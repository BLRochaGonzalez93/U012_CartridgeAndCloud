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dbf562fb0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244acde35a874511"/>
    <x:sheet xmlns:r="http://schemas.openxmlformats.org/officeDocument/2006/relationships" name="00_Instrucciones" sheetId="2" r:id="R8654ebae7d4d4070"/>
    <x:sheet xmlns:r="http://schemas.openxmlformats.org/officeDocument/2006/relationships" name="02_Requisitos" sheetId="3" r:id="R2c0d54c4bae4404f"/>
    <x:sheet xmlns:r="http://schemas.openxmlformats.org/officeDocument/2006/relationships" name="03_Matriz_End_to_End" sheetId="4" r:id="Rceff59ef7c034742"/>
    <x:sheet xmlns:r="http://schemas.openxmlformats.org/officeDocument/2006/relationships" name="04_Cambios" sheetId="5" r:id="Rb789b72af72a4343"/>
    <x:sheet xmlns:r="http://schemas.openxmlformats.org/officeDocument/2006/relationships" name="05_Impacto_Documental" sheetId="6" r:id="R1722e03685ba4588"/>
    <x:sheet xmlns:r="http://schemas.openxmlformats.org/officeDocument/2006/relationships" name="06_Versiones_Documentos" sheetId="7" r:id="Rbdda2151e8cc48f3"/>
    <x:sheet xmlns:r="http://schemas.openxmlformats.org/officeDocument/2006/relationships" name="07_Linaje_Documental" sheetId="8" r:id="Rc04d8f323f83427d"/>
    <x:sheet xmlns:r="http://schemas.openxmlformats.org/officeDocument/2006/relationships" name="08_Relaciones_Documentales" sheetId="9" r:id="Rfd74ed7d4f5e47ed"/>
    <x:sheet xmlns:r="http://schemas.openxmlformats.org/officeDocument/2006/relationships" name="09_Consolidacion_Baseline" sheetId="10" r:id="R16bcf4346de040c9"/>
    <x:sheet xmlns:r="http://schemas.openxmlformats.org/officeDocument/2006/relationships" name="10_Work_Packages" sheetId="11" r:id="Rfdab2d400f40446d"/>
    <x:sheet xmlns:r="http://schemas.openxmlformats.org/officeDocument/2006/relationships" name="11_H6_Release" sheetId="12" r:id="R9d21e5ed10e44e00"/>
    <x:sheet xmlns:r="http://schemas.openxmlformats.org/officeDocument/2006/relationships" name="12_Riesgos_Cambios" sheetId="13" r:id="R2e4a482b974c4a5f"/>
    <x:sheet xmlns:r="http://schemas.openxmlformats.org/officeDocument/2006/relationships" name="13_Acciones_Tratamiento" sheetId="14" r:id="R54ad529e59834512"/>
    <x:sheet xmlns:r="http://schemas.openxmlformats.org/officeDocument/2006/relationships" name="14_Decisiones_ADR" sheetId="15" r:id="R720f14e10fb141da"/>
    <x:sheet xmlns:r="http://schemas.openxmlformats.org/officeDocument/2006/relationships" name="15_Commits" sheetId="16" r:id="Rd3b92d4f8b1e4234"/>
    <x:sheet xmlns:r="http://schemas.openxmlformats.org/officeDocument/2006/relationships" name="16_Builds" sheetId="17" r:id="R645a673e8f9146b0"/>
    <x:sheet xmlns:r="http://schemas.openxmlformats.org/officeDocument/2006/relationships" name="17_Pruebas_Evidencia" sheetId="18" r:id="R71bbbdbdbda94e9b"/>
    <x:sheet xmlns:r="http://schemas.openxmlformats.org/officeDocument/2006/relationships" name="18_Defectos_Deuda" sheetId="19" r:id="Rca8f27bc0aaf4eec"/>
    <x:sheet xmlns:r="http://schemas.openxmlformats.org/officeDocument/2006/relationships" name="19_Baselines_Paquetes" sheetId="20" r:id="R61b14b5d61c841fe"/>
    <x:sheet xmlns:r="http://schemas.openxmlformats.org/officeDocument/2006/relationships" name="20_Control_Alcance" sheetId="21" r:id="R862c8cc3cfea4c24"/>
    <x:sheet xmlns:r="http://schemas.openxmlformats.org/officeDocument/2006/relationships" name="21_Migraciones_Datos" sheetId="22" r:id="Rd068b460ee844420"/>
    <x:sheet xmlns:r="http://schemas.openxmlformats.org/officeDocument/2006/relationships" name="22_Assets_Contenido" sheetId="23" r:id="Rf0d3c890983e41d1"/>
    <x:sheet xmlns:r="http://schemas.openxmlformats.org/officeDocument/2006/relationships" name="23_Sustituciones" sheetId="24" r:id="Ra63ca6745e734da6"/>
    <x:sheet xmlns:r="http://schemas.openxmlformats.org/officeDocument/2006/relationships" name="24_Fuentes_Historicas" sheetId="25" r:id="Rd43dd54ce3cc4eb3"/>
    <x:sheet xmlns:r="http://schemas.openxmlformats.org/officeDocument/2006/relationships" name="25_Evidencias_H6" sheetId="26" r:id="Re09c2c679cfd4bb5"/>
    <x:sheet xmlns:r="http://schemas.openxmlformats.org/officeDocument/2006/relationships" name="26_Auditoria_Control" sheetId="27" r:id="R0f50a80a5e1c4e86"/>
    <x:sheet xmlns:r="http://schemas.openxmlformats.org/officeDocument/2006/relationships" name="27_Catalogos" sheetId="28" r:id="R7d1613851261486f"/>
    <x:sheet xmlns:r="http://schemas.openxmlformats.org/officeDocument/2006/relationships" name="28_Log_Cambios" sheetId="29" r:id="Rfbf05572d83742ad"/>
    <x:sheet xmlns:r="http://schemas.openxmlformats.org/officeDocument/2006/relationships" name="29_W0_Cierre" sheetId="30" r:id="R6f182f0ecd0a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0B1F1A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B1F1A"/>
      </x:patternFill>
    </x:fill>
    <x:fill>
      <x:patternFill patternType="solid">
        <x:fgColor rgb="FF1F6B4A"/>
      </x:patternFill>
    </x:fill>
    <x:fill>
      <x:patternFill patternType="solid">
        <x:fgColor rgb="FF0B1F1A"/>
      </x:patternFill>
    </x:fill>
    <x:fill>
      <x:patternFill patternType="solid">
        <x:fgColor rgb="FF1F6B4A"/>
      </x:patternFill>
    </x:fill>
    <x:fill>
      <x:patternFill patternType="solid">
        <x:fgColor rgb="FF0B1F1A"/>
      </x:patternFill>
    </x:fill>
    <x:fill>
      <x:patternFill patternType="solid">
        <x:fgColor rgb="FF1F6B4A"/>
      </x:patternFill>
    </x:fill>
    <x:fill>
      <x:patternFill patternType="solid">
        <x:fgColor rgb="FF0B1F1A"/>
      </x:patternFill>
    </x:fill>
    <x:fill>
      <x:patternFill patternType="solid">
        <x:fgColor rgb="FF1F6B4A"/>
      </x:patternFill>
    </x:fill>
    <x:fill>
      <x:patternFill patternType="solid">
        <x:fgColor rgb="FF0B1F1A"/>
      </x:patternFill>
    </x:fill>
    <x:fill>
      <x:patternFill patternType="solid">
        <x:fgColor rgb="FF1F6B4A"/>
      </x:patternFill>
    </x:fill>
    <x:fill>
      <x:patternFill patternType="solid">
        <x:fgColor rgb="FFEAF5EE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/>
    <x:xf numFmtId="0" fontId="3" fillId="5" xfId="0" applyNumberFormat="1" applyFont="1" applyFill="1" applyBorder="0"/>
    <x:xf numFmtId="0" fontId="3" fillId="5" xfId="0" applyNumberFormat="1" applyFont="1" applyFill="1" applyBorder="0" applyAlignment="1">
      <x:alignment wrapText="1"/>
    </x:xf>
    <x:xf numFmtId="0" fontId="3" fillId="5" xfId="0" applyNumberFormat="1" applyFont="1" applyFill="1" applyBorder="0" applyAlignment="1">
      <x:alignment horizontal="center" wrapText="1"/>
    </x:xf>
    <x:xf numFmtId="0" fontId="3" fillId="5" xfId="0" applyNumberFormat="1" applyFont="1" applyFill="1" applyBorder="0" applyAlignment="1">
      <x:alignment horizontal="center" vertical="center" wrapText="1"/>
    </x:xf>
    <x:xf numFmtId="0" fontId="3" fillId="3" xfId="0" applyNumberFormat="1" applyFont="1" applyFill="1" applyBorder="0"/>
    <x:xf numFmtId="0" fontId="3" fillId="3" xfId="0" applyNumberFormat="1" applyFont="1" applyFill="1" applyBorder="0" applyAlignment="1">
      <x:alignment wrapText="1"/>
    </x:xf>
    <x:xf numFmtId="0" fontId="3" fillId="3" xfId="0" applyNumberFormat="1" applyFont="1" applyFill="1" applyBorder="0" applyAlignment="1">
      <x:alignment horizontal="center" wrapText="1"/>
    </x:xf>
    <x:xf numFmtId="0" fontId="3" fillId="3" xfId="0" applyNumberFormat="1" applyFont="1" applyFill="1" applyBorder="0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/>
    <x:xf numFmtId="0" fontId="3" fillId="7" xfId="0" applyNumberFormat="1" applyFont="1" applyFill="1" applyBorder="0"/>
    <x:xf numFmtId="0" fontId="3" fillId="7" xfId="0" applyNumberFormat="1" applyFont="1" applyFill="1" applyBorder="0" applyAlignment="1">
      <x:alignment wrapText="1"/>
    </x:xf>
    <x:xf numFmtId="0" fontId="3" fillId="7" xfId="0" applyNumberFormat="1" applyFont="1" applyFill="1" applyBorder="0" applyAlignment="1">
      <x:alignment horizontal="center" wrapText="1"/>
    </x:xf>
    <x:xf numFmtId="0" fontId="3" fillId="7" xfId="0" applyNumberFormat="1" applyFont="1" applyFill="1" applyBorder="0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/>
    <x:xf numFmtId="0" fontId="3" fillId="9" xfId="0" applyNumberFormat="1" applyFont="1" applyFill="1" applyBorder="0"/>
    <x:xf numFmtId="0" fontId="3" fillId="9" xfId="0" applyNumberFormat="1" applyFont="1" applyFill="1" applyBorder="0" applyAlignment="1">
      <x:alignment wrapText="1"/>
    </x:xf>
    <x:xf numFmtId="0" fontId="3" fillId="9" xfId="0" applyNumberFormat="1" applyFont="1" applyFill="1" applyBorder="0" applyAlignment="1">
      <x:alignment horizontal="center" wrapText="1"/>
    </x:xf>
    <x:xf numFmtId="0" fontId="3" fillId="9" xfId="0" applyNumberFormat="1" applyFont="1" applyFill="1" applyBorder="0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/>
    <x:xf numFmtId="0" fontId="3" fillId="11" xfId="0" applyNumberFormat="1" applyFont="1" applyFill="1" applyBorder="0"/>
    <x:xf numFmtId="0" fontId="3" fillId="11" xfId="0" applyNumberFormat="1" applyFont="1" applyFill="1" applyBorder="0" applyAlignment="1">
      <x:alignment wrapText="1"/>
    </x:xf>
    <x:xf numFmtId="0" fontId="3" fillId="11" xfId="0" applyNumberFormat="1" applyFont="1" applyFill="1" applyBorder="0" applyAlignment="1">
      <x:alignment horizontal="center" wrapText="1"/>
    </x:xf>
    <x:xf numFmtId="0" fontId="3" fillId="11" xfId="0" applyNumberFormat="1" applyFont="1" applyFill="1" applyBorder="0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vertical="center" wrapText="1"/>
    </x:xf>
    <x:xf numFmtId="200" fontId="0" fillId="12" borderId="0" xfId="0" applyNumberFormat="1" applyFont="1" applyFill="1" applyBorder="1"/>
    <x:xf numFmtId="200" fontId="4" fillId="12" borderId="0" xfId="0" applyNumberFormat="1" applyFont="1" applyFill="1" applyBorder="1"/>
    <x:xf numFmtId="200" fontId="4" fillId="12" borderId="0" xfId="0" applyNumberFormat="1" applyFont="1" applyFill="1" applyBorder="1" applyAlignment="1">
      <x:alignment wrapText="1"/>
    </x:xf>
    <x:xf numFmtId="200" fontId="4" fillId="1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6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b196302cd46b9" /><Relationship Type="http://schemas.openxmlformats.org/officeDocument/2006/relationships/theme" Target="/xl/theme/theme1.xml" Id="Ra682b2738eeb4ebe" /><Relationship Type="http://schemas.openxmlformats.org/officeDocument/2006/relationships/sharedStrings" Target="/xl/sharedStrings.xml" Id="R07d6989c01484c8c" /><Relationship Type="http://schemas.openxmlformats.org/officeDocument/2006/relationships/worksheet" Target="/xl/worksheets/sheet1.xml" Id="R244acde35a874511" /><Relationship Type="http://schemas.openxmlformats.org/officeDocument/2006/relationships/worksheet" Target="/xl/worksheets/sheet2.xml" Id="R8654ebae7d4d4070" /><Relationship Type="http://schemas.openxmlformats.org/officeDocument/2006/relationships/worksheet" Target="/xl/worksheets/sheet3.xml" Id="R2c0d54c4bae4404f" /><Relationship Type="http://schemas.openxmlformats.org/officeDocument/2006/relationships/worksheet" Target="/xl/worksheets/sheet4.xml" Id="Rceff59ef7c034742" /><Relationship Type="http://schemas.openxmlformats.org/officeDocument/2006/relationships/worksheet" Target="/xl/worksheets/sheet5.xml" Id="Rb789b72af72a4343" /><Relationship Type="http://schemas.openxmlformats.org/officeDocument/2006/relationships/worksheet" Target="/xl/worksheets/sheet6.xml" Id="R1722e03685ba4588" /><Relationship Type="http://schemas.openxmlformats.org/officeDocument/2006/relationships/worksheet" Target="/xl/worksheets/sheet7.xml" Id="Rbdda2151e8cc48f3" /><Relationship Type="http://schemas.openxmlformats.org/officeDocument/2006/relationships/worksheet" Target="/xl/worksheets/sheet8.xml" Id="Rc04d8f323f83427d" /><Relationship Type="http://schemas.openxmlformats.org/officeDocument/2006/relationships/worksheet" Target="/xl/worksheets/sheet9.xml" Id="Rfd74ed7d4f5e47ed" /><Relationship Type="http://schemas.openxmlformats.org/officeDocument/2006/relationships/worksheet" Target="/xl/worksheets/sheet10.xml" Id="R16bcf4346de040c9" /><Relationship Type="http://schemas.openxmlformats.org/officeDocument/2006/relationships/worksheet" Target="/xl/worksheets/sheet11.xml" Id="Rfdab2d400f40446d" /><Relationship Type="http://schemas.openxmlformats.org/officeDocument/2006/relationships/worksheet" Target="/xl/worksheets/sheet12.xml" Id="R9d21e5ed10e44e00" /><Relationship Type="http://schemas.openxmlformats.org/officeDocument/2006/relationships/worksheet" Target="/xl/worksheets/sheet13.xml" Id="R2e4a482b974c4a5f" /><Relationship Type="http://schemas.openxmlformats.org/officeDocument/2006/relationships/worksheet" Target="/xl/worksheets/sheet14.xml" Id="R54ad529e59834512" /><Relationship Type="http://schemas.openxmlformats.org/officeDocument/2006/relationships/worksheet" Target="/xl/worksheets/sheet15.xml" Id="R720f14e10fb141da" /><Relationship Type="http://schemas.openxmlformats.org/officeDocument/2006/relationships/worksheet" Target="/xl/worksheets/sheet16.xml" Id="Rd3b92d4f8b1e4234" /><Relationship Type="http://schemas.openxmlformats.org/officeDocument/2006/relationships/worksheet" Target="/xl/worksheets/sheet17.xml" Id="R645a673e8f9146b0" /><Relationship Type="http://schemas.openxmlformats.org/officeDocument/2006/relationships/worksheet" Target="/xl/worksheets/sheet18.xml" Id="R71bbbdbdbda94e9b" /><Relationship Type="http://schemas.openxmlformats.org/officeDocument/2006/relationships/worksheet" Target="/xl/worksheets/sheet19.xml" Id="Rca8f27bc0aaf4eec" /><Relationship Type="http://schemas.openxmlformats.org/officeDocument/2006/relationships/worksheet" Target="/xl/worksheets/sheet20.xml" Id="R61b14b5d61c841fe" /><Relationship Type="http://schemas.openxmlformats.org/officeDocument/2006/relationships/worksheet" Target="/xl/worksheets/sheet21.xml" Id="R862c8cc3cfea4c24" /><Relationship Type="http://schemas.openxmlformats.org/officeDocument/2006/relationships/worksheet" Target="/xl/worksheets/sheet22.xml" Id="Rd068b460ee844420" /><Relationship Type="http://schemas.openxmlformats.org/officeDocument/2006/relationships/worksheet" Target="/xl/worksheets/sheet23.xml" Id="Rf0d3c890983e41d1" /><Relationship Type="http://schemas.openxmlformats.org/officeDocument/2006/relationships/worksheet" Target="/xl/worksheets/sheet24.xml" Id="Ra63ca6745e734da6" /><Relationship Type="http://schemas.openxmlformats.org/officeDocument/2006/relationships/worksheet" Target="/xl/worksheets/sheet25.xml" Id="Rd43dd54ce3cc4eb3" /><Relationship Type="http://schemas.openxmlformats.org/officeDocument/2006/relationships/worksheet" Target="/xl/worksheets/sheet26.xml" Id="Re09c2c679cfd4bb5" /><Relationship Type="http://schemas.openxmlformats.org/officeDocument/2006/relationships/worksheet" Target="/xl/worksheets/sheet27.xml" Id="R0f50a80a5e1c4e86" /><Relationship Type="http://schemas.openxmlformats.org/officeDocument/2006/relationships/worksheet" Target="/xl/worksheets/sheet28.xml" Id="R7d1613851261486f" /><Relationship Type="http://schemas.openxmlformats.org/officeDocument/2006/relationships/worksheet" Target="/xl/worksheets/sheet29.xml" Id="Rfbf05572d83742ad" /><Relationship Type="http://schemas.openxmlformats.org/officeDocument/2006/relationships/worksheet" Target="/xl/worksheets/sheet30.xml" Id="R6f182f0ecd0a43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eb22fb7c4947bd" /><Relationship Type="http://schemas.openxmlformats.org/officeDocument/2006/relationships/chart" Target="/xl/drawings/charts/chart2.xml" Id="R87d5fe17593e4d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Cambios por estado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'01_Dashboard'!$A$27:$A$31</c:f>
              <c:strCache>
                <c:ptCount val="0"/>
              </c:strCache>
            </c:strRef>
          </c:cat>
          <c:val>
            <c:numRef>
              <c:f>'01_Dashboard'!$B$27:$B$31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Readiness documental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'01_Dashboard'!$D$27:$D$32</c:f>
              <c:strCache>
                <c:ptCount val="0"/>
              </c:strCache>
            </c:strRef>
          </c:cat>
          <c:val>
            <c:numRef>
              <c:f>'01_Dashboard'!$E$27:$E$32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21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eb22fb7c4947bd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d5fe17593e4dc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15e0a24fb744c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8" hidden="0" customWidth="1"/>
    <x:col min="4" max="4" width="18" hidden="0" customWidth="1"/>
    <x:col min="5" max="5" width="24" hidden="0" customWidth="1"/>
    <x:col min="6" max="6" width="14" hidden="0" customWidth="1"/>
    <x:col min="7" max="7" width="3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28" hidden="0" customWidth="1"/>
  </x:cols>
  <x:sheetData>
    <x:row r="1" ht="28" customHeight="1">
      <x:c r="A1" s="4" t="str">
        <x:v>Dashboard de trazabilidad y control de cambios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11" t="str">
        <x:v>Baseline RC1: requisitos, cambios, impactos, documentos, H6/release, riesgos, consolidación e integridad histórica.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>
      <x:c r="A4" t="str">
        <x:v>Proyecto</x:v>
      </x:c>
      <x:c r="B4" t="str">
        <x:v>Cartridge &amp; Cloud</x:v>
      </x:c>
      <x:c r="C4"/>
      <x:c r="D4" t="str">
        <x:v>Estado</x:v>
      </x:c>
      <x:c r="E4" t="str">
        <x:v>W0 DOCUMENTAL CLOSED / REMEDIATION REQUIRED</x:v>
      </x:c>
      <x:c r="F4"/>
      <x:c r="G4" t="str">
        <x:v>Documentos</x:v>
      </x:c>
      <x:c r="H4" t="str">
        <x:v>00–34</x:v>
      </x:c>
      <x:c r="I4"/>
      <x:c r="J4" t="str">
        <x:v>Fecha</x:v>
      </x:c>
      <x:c r="K4" t="str">
        <x:v>2026-07-07</x:v>
      </x:c>
      <x:c r="L4"/>
      <x:c r="M4" t="str">
        <x:v>Próximo paso</x:v>
      </x:c>
      <x:c r="N4" t="str">
        <x:v>Ejecutar CHAR-TIM antes de W1</x:v>
      </x:c>
    </x:row>
    <x:row r="5">
      <x:c r="A5" t="str">
        <x:v>Estudio / Autor</x:v>
      </x:c>
      <x:c r="B5" t="str">
        <x:v>VRM Games / Blas Luis Rocha González</x:v>
      </x:c>
      <x:c r="C5"/>
      <x:c r="D5"/>
      <x:c r="E5"/>
      <x:c r="F5"/>
      <x:c r="G5"/>
      <x:c r="H5"/>
      <x:c r="I5"/>
      <x:c r="J5"/>
      <x:c r="K5"/>
      <x:c r="L5"/>
      <x:c r="M5"/>
      <x:c r="N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</x:row>
    <x:row r="7" ht="30" customHeight="1">
      <x:c r="A7" s="19" t="str">
        <x:v>Área</x:v>
      </x:c>
      <x:c r="B7" s="19" t="str">
        <x:v>Estado</x:v>
      </x:c>
      <x:c r="C7" s="19" t="str">
        <x:v>Condición</x:v>
      </x:c>
      <x:c r="D7" s="19" t="str">
        <x:v>Fuente</x:v>
      </x:c>
      <x:c r="E7" s="19" t="str">
        <x:v>Owner</x:v>
      </x:c>
      <x:c r="F7" s="19" t="str">
        <x:v>Bloqueante</x:v>
      </x:c>
      <x:c r="G7" s="19" t="str">
        <x:v>Próximo paso</x:v>
      </x:c>
      <x:c r="H7"/>
      <x:c r="I7"/>
      <x:c r="J7"/>
      <x:c r="K7"/>
      <x:c r="L7"/>
      <x:c r="M7"/>
      <x:c r="N7"/>
    </x:row>
    <x:row r="8" ht="34" customHeight="1">
      <x:c r="A8" s="24" t="str">
        <x:v>Documento 12</x:v>
      </x:c>
      <x:c r="B8" s="24" t="str">
        <x:v>DONE</x:v>
      </x:c>
      <x:c r="C8" s="24" t="str">
        <x:v>Regenerado y hash externo capturado</x:v>
      </x:c>
      <x:c r="D8" s="24" t="str">
        <x:v>12</x:v>
      </x:c>
      <x:c r="E8" s="24" t="str">
        <x:v>Production</x:v>
      </x:c>
      <x:c r="F8" s="24" t="str">
        <x:v>NO</x:v>
      </x:c>
      <x:c r="G8" s="24" t="str">
        <x:v>Sustituir en baseline</x:v>
      </x:c>
      <x:c r="H8"/>
      <x:c r="I8"/>
      <x:c r="J8"/>
      <x:c r="K8"/>
      <x:c r="L8"/>
      <x:c r="M8"/>
      <x:c r="N8"/>
    </x:row>
    <x:row r="9" ht="34" customHeight="1">
      <x:c r="A9" s="24" t="str">
        <x:v>Documento 13</x:v>
      </x:c>
      <x:c r="B9" s="24" t="str">
        <x:v>DONE</x:v>
      </x:c>
      <x:c r="C9" s="24" t="str">
        <x:v>Regenerado; hash propio externo</x:v>
      </x:c>
      <x:c r="D9" s="24" t="str">
        <x:v>13</x:v>
      </x:c>
      <x:c r="E9" s="24" t="str">
        <x:v>Documentation</x:v>
      </x:c>
      <x:c r="F9" s="24" t="str">
        <x:v>NO</x:v>
      </x:c>
      <x:c r="G9" s="24" t="str">
        <x:v>Actualizar Binder 14</x:v>
      </x:c>
      <x:c r="H9"/>
      <x:c r="I9"/>
      <x:c r="J9"/>
      <x:c r="K9"/>
      <x:c r="L9"/>
      <x:c r="M9"/>
      <x:c r="N9"/>
    </x:row>
    <x:row r="10" ht="34" customHeight="1">
      <x:c r="A10" s="24" t="str">
        <x:v>Binder / Guía</x:v>
      </x:c>
      <x:c r="B10" s="24" t="str">
        <x:v>DONE</x:v>
      </x:c>
      <x:c r="C10" s="24" t="str">
        <x:v>W0 y ADR-0074…0085 sincronizados</x:v>
      </x:c>
      <x:c r="D10" s="24" t="str">
        <x:v>14/15</x:v>
      </x:c>
      <x:c r="E10" s="24" t="str">
        <x:v>Documentation</x:v>
      </x:c>
      <x:c r="F10" s="24" t="str">
        <x:v>YES</x:v>
      </x:c>
      <x:c r="G10" s="24" t="str">
        <x:v>Conservar como autoridad de entrada</x:v>
      </x:c>
      <x:c r="H10"/>
      <x:c r="I10"/>
      <x:c r="J10"/>
      <x:c r="K10"/>
      <x:c r="L10"/>
      <x:c r="M10"/>
      <x:c r="N10"/>
    </x:row>
    <x:row r="11" ht="34" customHeight="1">
      <x:c r="A11" s="24" t="str">
        <x:v>Auditoría global</x:v>
      </x:c>
      <x:c r="B11" s="24" t="str">
        <x:v>W0 PASS / IMPLEMENTATION OPEN</x:v>
      </x:c>
      <x:c r="C11" s="24" t="str">
        <x:v>Ambigüedades DEC cerradas; evidencia funcional pendiente</x:v>
      </x:c>
      <x:c r="D11" s="24" t="str">
        <x:v>16</x:v>
      </x:c>
      <x:c r="E11" s="24" t="str">
        <x:v>Documentation/QA</x:v>
      </x:c>
      <x:c r="F11" s="24" t="str">
        <x:v>YES</x:v>
      </x:c>
      <x:c r="G11" s="24" t="str">
        <x:v>Reauditar tras W8</x:v>
      </x:c>
      <x:c r="H11"/>
      <x:c r="I11"/>
      <x:c r="J11"/>
      <x:c r="K11"/>
      <x:c r="L11"/>
      <x:c r="M11"/>
      <x:c r="N11"/>
    </x:row>
    <x:row r="12" ht="34" customHeight="1">
      <x:c r="A12" s="24" t="str">
        <x:v>H6</x:v>
      </x:c>
      <x:c r="B12" s="24" t="str">
        <x:v>BLOCKED / NOT RUN</x:v>
      </x:c>
      <x:c r="C12" s="24" t="str">
        <x:v>Controles definidos, no ejecutados</x:v>
      </x:c>
      <x:c r="D12" s="24" t="str">
        <x:v>31</x:v>
      </x:c>
      <x:c r="E12" s="24" t="str">
        <x:v>Project Owner/QA</x:v>
      </x:c>
      <x:c r="F12" s="24" t="str">
        <x:v>YES</x:v>
      </x:c>
      <x:c r="G12" s="24" t="str">
        <x:v>Ejecutar después de W1-W8</x:v>
      </x:c>
      <x:c r="H12"/>
      <x:c r="I12"/>
      <x:c r="J12"/>
      <x:c r="K12"/>
      <x:c r="L12"/>
      <x:c r="M12"/>
      <x:c r="N12"/>
    </x:row>
    <x:row r="13" ht="34" customHeight="1">
      <x:c r="A13" s="24" t="str">
        <x:v>Risk &amp; Continuity</x:v>
      </x:c>
      <x:c r="B13" s="24" t="str">
        <x:v>OPEN</x:v>
      </x:c>
      <x:c r="C13" s="24" t="str">
        <x:v>Riesgos W0 registrados; tratamientos no ejecutados</x:v>
      </x:c>
      <x:c r="D13" s="24" t="str">
        <x:v>33</x:v>
      </x:c>
      <x:c r="E13" s="24" t="str">
        <x:v>Risk Owners</x:v>
      </x:c>
      <x:c r="F13" s="24" t="str">
        <x:v>YES</x:v>
      </x:c>
      <x:c r="G13" s="24" t="str">
        <x:v>Actualizar por ola</x:v>
      </x:c>
      <x:c r="H13"/>
      <x:c r="I13"/>
      <x:c r="J13"/>
      <x:c r="K13"/>
      <x:c r="L13"/>
      <x:c r="M13"/>
      <x:c r="N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 ht="30" customHeight="1">
      <x:c r="A15" s="80" t="str">
        <x:v>KPI</x:v>
      </x:c>
      <x:c r="B15" s="80" t="str">
        <x:v>Value</x:v>
      </x:c>
      <x:c r="C15" s="80" t="str">
        <x:v>Interpretation</x:v>
      </x:c>
      <x:c r="D15" s="80"/>
      <x:c r="E15" s="80" t="str">
        <x:v>KPI</x:v>
      </x:c>
      <x:c r="F15" s="80" t="str">
        <x:v>Value</x:v>
      </x:c>
      <x:c r="G15" s="80" t="str">
        <x:v>Interpretation</x:v>
      </x:c>
      <x:c r="H15" s="80"/>
      <x:c r="I15" s="80" t="str">
        <x:v>KPI</x:v>
      </x:c>
      <x:c r="J15" s="80" t="str">
        <x:v>Value</x:v>
      </x:c>
      <x:c r="K15" s="80" t="str">
        <x:v>Interpretation</x:v>
      </x:c>
      <x:c r="L15" s="80"/>
      <x:c r="M15" s="80" t="str">
        <x:v>KPI</x:v>
      </x:c>
      <x:c r="N15" s="80" t="str">
        <x:v>Value</x:v>
      </x:c>
    </x:row>
    <x:row r="16">
      <x:c r="A16" s="85" t="str">
        <x:v>Requirements</x:v>
      </x:c>
      <x:c r="B16" s="85" t="n">
        <x:f>COUNTA('02_Requisitos'!A5:A712)</x:f>
        <x:v>708</x:v>
      </x:c>
      <x:c r="C16" s="85" t="str">
        <x:v>Contractual + readiness + closure</x:v>
      </x:c>
      <x:c r="D16"/>
      <x:c r="E16" s="85" t="str">
        <x:v>Changes</x:v>
      </x:c>
      <x:c r="F16" s="85" t="n">
        <x:f>COUNTA('04_Cambios'!A5:A135)</x:f>
        <x:v>131</x:v>
      </x:c>
      <x:c r="G16" s="85" t="str">
        <x:v>Historical + RC1</x:v>
      </x:c>
      <x:c r="H16"/>
      <x:c r="I16" s="85" t="str">
        <x:v>Docs 00–34</x:v>
      </x:c>
      <x:c r="J16" s="85" t="n">
        <x:f>COUNTA('06_Versiones_Documentos'!A5:A39)</x:f>
        <x:v>35</x:v>
      </x:c>
      <x:c r="K16" s="85" t="str">
        <x:v>Expected 35</x:v>
      </x:c>
      <x:c r="L16"/>
      <x:c r="M16" s="85" t="str">
        <x:v>Consolidation %</x:v>
      </x:c>
      <x:c r="N16" s="89" t="n">
        <x:f>AVERAGE('09_Consolidacion_Baseline'!L5:L26)</x:f>
        <x:v>0.13636363636363635</x:v>
      </x:c>
    </x:row>
    <x:row r="17">
      <x:c r="A17" s="85" t="str">
        <x:v>Trace rows</x:v>
      </x:c>
      <x:c r="B17" s="85" t="n">
        <x:f>COUNTA('03_Matriz_End_to_End'!A5:A712)</x:f>
        <x:v>708</x:v>
      </x:c>
      <x:c r="C17" s="85" t="str">
        <x:v>End-to-end links</x:v>
      </x:c>
      <x:c r="D17"/>
      <x:c r="E17" s="85" t="str">
        <x:v>Open changes</x:v>
      </x:c>
      <x:c r="F17" s="85" t="n">
        <x:f>COUNTIF('04_Cambios'!U5:U135,"&lt;&gt;Closed")</x:f>
        <x:v>35</x:v>
      </x:c>
      <x:c r="G17" s="85" t="str">
        <x:v>Not Closed</x:v>
      </x:c>
      <x:c r="H17"/>
      <x:c r="I17" s="85" t="str">
        <x:v>Docs with action</x:v>
      </x:c>
      <x:c r="J17" s="85" t="n">
        <x:f>COUNTIF('06_Versiones_Documentos'!H5:H39,"&lt;&gt;READY")-COUNTIF('06_Versiones_Documentos'!H5:H39,"CANDIDATE REGENERATED")</x:f>
        <x:v>9</x:v>
      </x:c>
      <x:c r="K17" s="85" t="str">
        <x:v>Not READY/candidate</x:v>
      </x:c>
      <x:c r="L17"/>
      <x:c r="M17" s="85" t="str">
        <x:v>Historical files</x:v>
      </x:c>
      <x:c r="N17" s="85" t="n">
        <x:f>COUNTA('24_Fuentes_Historicas'!A5:A749)</x:f>
        <x:v>745</x:v>
      </x:c>
    </x:row>
    <x:row r="18">
      <x:c r="A18" s="85" t="str">
        <x:v>Open impacts</x:v>
      </x:c>
      <x:c r="B18" s="85" t="n">
        <x:f>COUNTIF('05_Impacto_Documental'!G5:G167,"Open")</x:f>
        <x:v>85</x:v>
      </x:c>
      <x:c r="C18" s="85" t="str">
        <x:v>Document propagation</x:v>
      </x:c>
      <x:c r="D18"/>
      <x:c r="E18" s="85" t="str">
        <x:v>H6 NOT RUN</x:v>
      </x:c>
      <x:c r="F18" s="85" t="n">
        <x:f>COUNTIFS('11_H6_Release'!A5:A479,"H6",'11_H6_Release'!P5:P479,"NOT RUN")</x:f>
        <x:v>266</x:v>
      </x:c>
      <x:c r="G18" s="85" t="str">
        <x:v>Operational execution pending</x:v>
      </x:c>
      <x:c r="H18"/>
      <x:c r="I18" s="85" t="str">
        <x:v>Release NOT RUN</x:v>
      </x:c>
      <x:c r="J18" s="85" t="n">
        <x:f>COUNTIFS('11_H6_Release'!A5:A479,"Release",'11_H6_Release'!P5:P479,"NOT RUN")</x:f>
        <x:v>209</x:v>
      </x:c>
      <x:c r="K18" s="85" t="str">
        <x:v>Phase not open</x:v>
      </x:c>
      <x:c r="L18"/>
      <x:c r="M18" s="85" t="str">
        <x:v>Risks outside tolerance</x:v>
      </x:c>
      <x:c r="N18" s="85" t="n">
        <x:f>COUNTIF('12_Riesgos_Cambios'!J5:J184,"OUTSIDE TOLERANCE")</x:f>
        <x:v>174</x:v>
      </x:c>
    </x:row>
    <x:row r="19">
      <x:c r="A19" s="85" t="str">
        <x:v>Evidence missing</x:v>
      </x:c>
      <x:c r="B19" s="85" t="n">
        <x:f>COUNTIF('25_Evidencias_H6'!F5:F44,"MISSING")</x:f>
        <x:v>40</x:v>
      </x:c>
      <x:c r="C19" s="85" t="str">
        <x:v>H6/release packages</x:v>
      </x:c>
      <x:c r="D19"/>
      <x:c r="E19" s="85" t="str">
        <x:v>Tests Not Run</x:v>
      </x:c>
      <x:c r="F19" s="85" t="n">
        <x:f>COUNTIF('17_Pruebas_Evidencia'!I5:I669,"Not Run")+COUNTIF('17_Pruebas_Evidencia'!I5:I669,"NOT RUN")</x:f>
        <x:v>142</x:v>
      </x:c>
      <x:c r="G19" s="85" t="str">
        <x:v>Execution pending</x:v>
      </x:c>
      <x:c r="H19"/>
      <x:c r="I19" s="85" t="str">
        <x:v>Blocking findings</x:v>
      </x:c>
      <x:c r="J19" s="85" t="n">
        <x:f>COUNTIFS('18_Defectos_Deuda'!I5:I59,"Yes",'18_Defectos_Deuda'!J5:J59,"&lt;&gt;Closed")+COUNTIFS('18_Defectos_Deuda'!I5:I59,"YES",'18_Defectos_Deuda'!J5:J59,"&lt;&gt;CLOSED")</x:f>
        <x:v>8</x:v>
      </x:c>
      <x:c r="K19" s="85" t="str">
        <x:v>Must resolve/accept</x:v>
      </x:c>
      <x:c r="L19"/>
      <x:c r="M19" s="85" t="str">
        <x:v>Audit failures</x:v>
      </x:c>
      <x:c r="N19" s="85" t="n">
        <x:f>COUNTIF('26_Auditoria_Control'!G5:G25,"FAIL")</x:f>
        <x:v>3</x:v>
      </x:c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</x:row>
    <x:row r="26" ht="30" customHeight="1">
      <x:c r="A26" s="80" t="str">
        <x:v>Change Status</x:v>
      </x:c>
      <x:c r="B26" s="80" t="str">
        <x:v>Count</x:v>
      </x:c>
      <x:c r="D26" s="80" t="str">
        <x:v>Document Readiness</x:v>
      </x:c>
      <x:c r="E26" s="80" t="str">
        <x:v>Count</x:v>
      </x:c>
      <x:c r="G26" s="80" t="str">
        <x:v>Traceability</x:v>
      </x:c>
      <x:c r="H26" s="80" t="str">
        <x:v>Count</x:v>
      </x:c>
    </x:row>
    <x:row r="27">
      <x:c r="A27" t="str">
        <x:v>Closed</x:v>
      </x:c>
      <x:c r="B27" t="n">
        <x:f>COUNTIF('04_Cambios'!U5:U135,A27)</x:f>
        <x:v>96</x:v>
      </x:c>
      <x:c r="D27" t="str">
        <x:v>READY</x:v>
      </x:c>
      <x:c r="E27" t="n">
        <x:f>COUNTIF('06_Versiones_Documentos'!H5:H39,D27)</x:f>
        <x:v>24</x:v>
      </x:c>
      <x:c r="G27" t="str">
        <x:v>Complete</x:v>
      </x:c>
      <x:c r="H27" t="n">
        <x:f>COUNTIF('03_Matriz_End_to_End'!N5:N712,G27)</x:f>
        <x:v>296</x:v>
      </x:c>
    </x:row>
    <x:row r="28">
      <x:c r="A28" t="str">
        <x:v>Planned</x:v>
      </x:c>
      <x:c r="B28" t="n">
        <x:f>COUNTIF('04_Cambios'!U5:U135,A28)</x:f>
        <x:v>28</x:v>
      </x:c>
      <x:c r="D28" t="str">
        <x:v>CANDIDATE REGENERATED</x:v>
      </x:c>
      <x:c r="E28" t="n">
        <x:f>COUNTIF('06_Versiones_Documentos'!H5:H39,D28)</x:f>
        <x:v>2</x:v>
      </x:c>
      <x:c r="G28" t="str">
        <x:v>Defined / Not Executed</x:v>
      </x:c>
      <x:c r="H28" t="n">
        <x:f>COUNTIF('03_Matriz_End_to_End'!N5:N712,G28)</x:f>
        <x:v>393</x:v>
      </x:c>
    </x:row>
    <x:row r="29">
      <x:c r="A29" t="str">
        <x:v>In Progress</x:v>
      </x:c>
      <x:c r="B29" t="n">
        <x:f>COUNTIF('04_Cambios'!U5:U135,A29)</x:f>
        <x:v>4</x:v>
      </x:c>
      <x:c r="D29" t="str">
        <x:v>REGENERATE</x:v>
      </x:c>
      <x:c r="E29" t="n">
        <x:f>COUNTIF('06_Versiones_Documentos'!H5:H39,D29)</x:f>
        <x:v>3</x:v>
      </x:c>
      <x:c r="G29" t="str">
        <x:v>Defined / Pending</x:v>
      </x:c>
      <x:c r="H29" t="n">
        <x:f>COUNTIF('03_Matriz_End_to_End'!N5:N712,G29)</x:f>
        <x:v>19</x:v>
      </x:c>
    </x:row>
    <x:row r="30">
      <x:c r="A30" t="str">
        <x:v>Blocked</x:v>
      </x:c>
      <x:c r="B30" t="n">
        <x:f>COUNTIF('04_Cambios'!U5:U135,A30)</x:f>
        <x:v>0</x:v>
      </x:c>
      <x:c r="D30" t="str">
        <x:v>UPDATE</x:v>
      </x:c>
      <x:c r="E30" t="n">
        <x:f>COUNTIF('06_Versiones_Documentos'!H5:H39,D30)</x:f>
        <x:v>5</x:v>
      </x:c>
      <x:c r="G30" t="str">
        <x:v>Evidence Linked</x:v>
      </x:c>
      <x:c r="H30" t="n">
        <x:f>COUNTIF('03_Matriz_End_to_End'!N5:N712,G30)</x:f>
        <x:v>0</x:v>
      </x:c>
    </x:row>
    <x:row r="31">
      <x:c r="A31" t="str">
        <x:v>Deferred</x:v>
      </x:c>
      <x:c r="B31" t="n">
        <x:f>COUNTIF('04_Cambios'!U5:U135,A31)</x:f>
        <x:v>0</x:v>
      </x:c>
      <x:c r="D31" t="str">
        <x:v>FINALIZE LATER</x:v>
      </x:c>
      <x:c r="E31" t="n">
        <x:f>COUNTIF('06_Versiones_Documentos'!H5:H39,D31)</x:f>
        <x:v>1</x:v>
      </x:c>
      <x:c r="G31" t="str">
        <x:v>Other</x:v>
      </x:c>
      <x:c r="H31" t="n">
        <x:f>COUNTA('03_Matriz_End_to_End'!A5:A712)-SUM(H27:H30)</x:f>
        <x:v>0</x:v>
      </x:c>
    </x:row>
    <x:row r="32">
      <x:c r="A32" t="str">
        <x:v>Other</x:v>
      </x:c>
      <x:c r="B32" t="n">
        <x:f>COUNTA('04_Cambios'!A5:A135)-SUM(B27:B31)</x:f>
        <x:v>3</x:v>
      </x:c>
      <x:c r="D32" t="str">
        <x:v>OTHER</x:v>
      </x:c>
      <x:c r="E32" t="n">
        <x:f>COUNTA('06_Versiones_Documentos'!A5:A39)-SUM(E27:E31)</x:f>
        <x:v>0</x:v>
      </x:c>
    </x:row>
    <x:row r="33">
      <x:c r="D33" t="str">
        <x:v>TOTAL</x:v>
      </x:c>
      <x:c r="E33" t="n">
        <x:f>SUM(E27:E32)</x:f>
        <x:v>35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dc15e0a24fb744cb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4" t="str">
        <x:v>Instrucciones y autoridad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Uso del libro, reglas de cambio, jerarquía, evidencia, hashes y cierre de baseline.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19" t="str">
        <x:v>Tema</x:v>
      </x:c>
      <x:c r="B4" s="19" t="str">
        <x:v>Regla</x:v>
      </x:c>
    </x:row>
    <x:row r="5" ht="42" customHeight="1">
      <x:c r="A5" s="24" t="str">
        <x:v>Autoridad</x:v>
      </x:c>
      <x:c r="B5" s="24" t="str">
        <x:v>Este libro es la autoridad operativa para requisitos, cambios, impactos, versiones, linaje y propagación durante RC1.</x:v>
      </x:c>
    </x:row>
    <x:row r="6" ht="42" customHeight="1">
      <x:c r="A6" s="24" t="str">
        <x:v>Jerarquía</x:v>
      </x:c>
      <x:c r="B6" s="24" t="str">
        <x:v>00 fija visión; 01–11 contratos; 12 producción; 13 trazabilidad/cambios; 14–16 gobierno; 17–30 especialización; 31–34 operación/cierre.</x:v>
      </x:c>
    </x:row>
    <x:row r="7" ht="42" customHeight="1">
      <x:c r="A7" s="24" t="str">
        <x:v>No borrar historia</x:v>
      </x:c>
      <x:c r="B7" s="24" t="str">
        <x:v>Una sustitución cambia autoridad, pero no elimina baselines, ADR, QA, commits, builds ni fuentes históricas.</x:v>
      </x:c>
    </x:row>
    <x:row r="8" ht="42" customHeight="1">
      <x:c r="A8" s="24" t="str">
        <x:v>Change control</x:v>
      </x:c>
      <x:c r="B8" s="24" t="str">
        <x:v>Todo cambio transversal necesita ID, motivo, owner, documentos afectados, evidencia, decisión y estado.</x:v>
      </x:c>
    </x:row>
    <x:row r="9" ht="42" customHeight="1">
      <x:c r="A9" s="24" t="str">
        <x:v>Implementación vs documentación</x:v>
      </x:c>
      <x:c r="B9" s="24" t="str">
        <x:v>Documento generado no significa feature implementada, validada ni autorizada para claim público.</x:v>
      </x:c>
    </x:row>
    <x:row r="10" ht="42" customHeight="1">
      <x:c r="A10" s="24" t="str">
        <x:v>H6 y release</x:v>
      </x:c>
      <x:c r="B10" s="24" t="str">
        <x:v>Los controles de 31 permanecen NOT RUN hasta existir ejecución y evidencia reales.</x:v>
      </x:c>
    </x:row>
    <x:row r="11" ht="42" customHeight="1">
      <x:c r="A11" s="24" t="str">
        <x:v>Riesgos</x:v>
      </x:c>
      <x:c r="B11" s="24" t="str">
        <x:v>El residual de 33 es provisional hasta validar controles; no cerrar por mera existencia del plan.</x:v>
      </x:c>
    </x:row>
    <x:row r="12" ht="42" customHeight="1">
      <x:c r="A12" s="24" t="str">
        <x:v>Hash propio</x:v>
      </x:c>
      <x:c r="B12" s="24" t="str">
        <x:v>El SHA-256 de este XLSX se registra externamente porque insertarlo dentro cambiaría el archivo.</x:v>
      </x:c>
    </x:row>
    <x:row r="13" ht="42" customHeight="1">
      <x:c r="A13" s="24" t="str">
        <x:v>Baseline RC1</x:v>
      </x:c>
      <x:c r="B13" s="24" t="str">
        <x:v>El snapshot preconsolidación es el punto de rollback; 12 y 13 regenerados sustituyen sus copias anteriores.</x:v>
      </x:c>
    </x:row>
    <x:row r="14" ht="42" customHeight="1">
      <x:c r="A14" s="24" t="str">
        <x:v>Próximo paso</x:v>
      </x:c>
      <x:c r="B14" s="24" t="str">
        <x:v>Actualizar 14_Project_Binder_Indice_Maestro.md y registrar el cambio en 04/05/27.</x:v>
      </x:c>
    </x:row>
    <x:row r="15" ht="42" customHeight="1">
      <x:c r="A15" s="24" t="str">
        <x:v>Cierre</x:v>
      </x:c>
      <x:c r="B15" s="24" t="str">
        <x:v>La baseline final exige auditoría 16 PASS, manifiesto 32 final, checksums, informe, ZIP inmutable y restauración.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4" hidden="0" customWidth="1"/>
    <x:col min="4" max="4" width="18" hidden="0" customWidth="1"/>
    <x:col min="5" max="5" width="58" hidden="0" customWidth="1"/>
    <x:col min="6" max="6" width="5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4" t="str">
        <x:v>Registro de requisitos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1" t="str">
        <x:v>Requisitos contractuales, normativos y operativos; controles únicos de H6/release y cierre sin duplicar IDs históricos.</x:v>
      </x:c>
      <x:c r="B2" s="11"/>
      <x:c r="C2" s="11"/>
      <x:c r="D2" s="11"/>
      <x:c r="E2" s="11"/>
      <x:c r="F2" s="11"/>
      <x:c r="G2" s="11"/>
      <x:c r="H2" s="11"/>
      <x:c r="I2" s="11"/>
    </x:row>
    <x:row r="4" ht="30" customHeight="1">
      <x:c r="A4" s="19" t="str">
        <x:v>Requirement ID</x:v>
      </x:c>
      <x:c r="B4" s="19" t="str">
        <x:v>Documento</x:v>
      </x:c>
      <x:c r="C4" s="19" t="str">
        <x:v>Sección</x:v>
      </x:c>
      <x:c r="D4" s="19" t="str">
        <x:v>Sistema</x:v>
      </x:c>
      <x:c r="E4" s="19" t="str">
        <x:v>Requisito</x:v>
      </x:c>
      <x:c r="F4" s="19" t="str">
        <x:v>Evidencia esperada</x:v>
      </x:c>
      <x:c r="G4" s="19" t="str">
        <x:v>Tipo</x:v>
      </x:c>
      <x:c r="H4" s="19" t="str">
        <x:v>Estado</x:v>
      </x:c>
      <x:c r="I4" s="19" t="str">
        <x:v>Owner</x:v>
      </x:c>
    </x:row>
    <x:row r="5" ht="30" customHeight="1">
      <x:c r="A5" s="26" t="str">
        <x:v>VS-APP-001</x:v>
      </x:c>
      <x:c r="B5" s="26" t="str">
        <x:v>02_Vertical_Slice_Specification.md</x:v>
      </x:c>
      <x:c r="C5" s="26" t="str">
        <x:v>7. Registro de criterios de aceptación</x:v>
      </x:c>
      <x:c r="D5" s="26" t="str">
        <x:v>APP</x:v>
      </x:c>
      <x:c r="E5" s="26" t="str">
        <x:v>Bootstrap inicia y alcanza menú sin excepción bloqueante.</x:v>
      </x:c>
      <x:c r="F5" s="26" t="str">
        <x:v>Build/Editor, log y captura.</x:v>
      </x:c>
      <x:c r="G5" s="26" t="str">
        <x:v>Criterio de aceptación</x:v>
      </x:c>
      <x:c r="H5" s="26" t="str">
        <x:v>Activo</x:v>
      </x:c>
      <x:c r="I5" s="26" t="str">
        <x:v>VRM Games</x:v>
      </x:c>
    </x:row>
    <x:row r="6" ht="30" customHeight="1">
      <x:c r="A6" s="26" t="str">
        <x:v>VS-APP-002</x:v>
      </x:c>
      <x:c r="B6" s="26" t="str">
        <x:v>02_Vertical_Slice_Specification.md</x:v>
      </x:c>
      <x:c r="C6" s="26" t="str">
        <x:v>7. Registro de criterios de aceptación</x:v>
      </x:c>
      <x:c r="D6" s="26" t="str">
        <x:v>APP</x:v>
      </x:c>
      <x:c r="E6" s="26" t="str">
        <x:v>Nueva partida crea un slot válido una sola vez.</x:v>
      </x:c>
      <x:c r="F6" s="26" t="str">
        <x:v>Prueba manual y comparación de archivos.</x:v>
      </x:c>
      <x:c r="G6" s="26" t="str">
        <x:v>Criterio de aceptación</x:v>
      </x:c>
      <x:c r="H6" s="26" t="str">
        <x:v>Activo</x:v>
      </x:c>
      <x:c r="I6" s="26" t="str">
        <x:v>VRM Games</x:v>
      </x:c>
    </x:row>
    <x:row r="7" ht="30" customHeight="1">
      <x:c r="A7" s="26" t="str">
        <x:v>VS-APP-003</x:v>
      </x:c>
      <x:c r="B7" s="26" t="str">
        <x:v>02_Vertical_Slice_Specification.md</x:v>
      </x:c>
      <x:c r="C7" s="26" t="str">
        <x:v>7. Registro de criterios de aceptación</x:v>
      </x:c>
      <x:c r="D7" s="26" t="str">
        <x:v>APP</x:v>
      </x:c>
      <x:c r="E7" s="26" t="str">
        <x:v>Carga de slot entra en la sesión correcta sin duplicar inicialización.</x:v>
      </x:c>
      <x:c r="F7" s="26" t="str">
        <x:v>Golden Path y logs.</x:v>
      </x:c>
      <x:c r="G7" s="26" t="str">
        <x:v>Criterio de aceptación</x:v>
      </x:c>
      <x:c r="H7" s="26" t="str">
        <x:v>Activo</x:v>
      </x:c>
      <x:c r="I7" s="26" t="str">
        <x:v>VRM Games</x:v>
      </x:c>
    </x:row>
    <x:row r="8" ht="30" customHeight="1">
      <x:c r="A8" s="26" t="str">
        <x:v>VS-APP-004</x:v>
      </x:c>
      <x:c r="B8" s="26" t="str">
        <x:v>02_Vertical_Slice_Specification.md</x:v>
      </x:c>
      <x:c r="C8" s="26" t="str">
        <x:v>7. Registro de criterios de aceptación</x:v>
      </x:c>
      <x:c r="D8" s="26" t="str">
        <x:v>APP</x:v>
      </x:c>
      <x:c r="E8" s="26" t="str">
        <x:v>Volver al menú o salir no pierde un guardado confirmado.</x:v>
      </x:c>
      <x:c r="F8" s="26" t="str">
        <x:v>Prueba manual.</x:v>
      </x:c>
      <x:c r="G8" s="26" t="str">
        <x:v>Criterio de aceptación</x:v>
      </x:c>
      <x:c r="H8" s="26" t="str">
        <x:v>Activo</x:v>
      </x:c>
      <x:c r="I8" s="26" t="str">
        <x:v>VRM Games</x:v>
      </x:c>
    </x:row>
    <x:row r="9" ht="30" customHeight="1">
      <x:c r="A9" s="26" t="str">
        <x:v>VS-SCN-001</x:v>
      </x:c>
      <x:c r="B9" s="26" t="str">
        <x:v>02_Vertical_Slice_Specification.md</x:v>
      </x:c>
      <x:c r="C9" s="26" t="str">
        <x:v>7. Registro de criterios de aceptación</x:v>
      </x:c>
      <x:c r="D9" s="26" t="str">
        <x:v>SCN</x:v>
      </x:c>
      <x:c r="E9" s="26" t="str">
        <x:v>`StoreInitial.unity` carga con referencias obligatorias válidas.</x:v>
      </x:c>
      <x:c r="F9" s="26" t="str">
        <x:v>Validación de escena y log.</x:v>
      </x:c>
      <x:c r="G9" s="26" t="str">
        <x:v>Criterio de aceptación</x:v>
      </x:c>
      <x:c r="H9" s="26" t="str">
        <x:v>Activo</x:v>
      </x:c>
      <x:c r="I9" s="26" t="str">
        <x:v>VRM Games</x:v>
      </x:c>
    </x:row>
    <x:row r="10" ht="30" customHeight="1">
      <x:c r="A10" s="26" t="str">
        <x:v>VS-SCN-002</x:v>
      </x:c>
      <x:c r="B10" s="26" t="str">
        <x:v>02_Vertical_Slice_Specification.md</x:v>
      </x:c>
      <x:c r="C10" s="26" t="str">
        <x:v>7. Registro de criterios de aceptación</x:v>
      </x:c>
      <x:c r="D10" s="26" t="str">
        <x:v>SCN</x:v>
      </x:c>
      <x:c r="E10" s="26" t="str">
        <x:v>Arquitectura, puerta, zonas y mobiliario están colocados conforme al layout aprobado.</x:v>
      </x:c>
      <x:c r="F10" s="26" t="str">
        <x:v>Revisión visual y checklist.</x:v>
      </x:c>
      <x:c r="G10" s="26" t="str">
        <x:v>Criterio de aceptación</x:v>
      </x:c>
      <x:c r="H10" s="26" t="str">
        <x:v>Activo</x:v>
      </x:c>
      <x:c r="I10" s="26" t="str">
        <x:v>VRM Games</x:v>
      </x:c>
    </x:row>
    <x:row r="11" ht="30" customHeight="1">
      <x:c r="A11" s="26" t="str">
        <x:v>VS-SCN-003</x:v>
      </x:c>
      <x:c r="B11" s="26" t="str">
        <x:v>02_Vertical_Slice_Specification.md</x:v>
      </x:c>
      <x:c r="C11" s="26" t="str">
        <x:v>7. Registro de criterios de aceptación</x:v>
      </x:c>
      <x:c r="D11" s="26" t="str">
        <x:v>SCN</x:v>
      </x:c>
      <x:c r="E11" s="26" t="str">
        <x:v>No existen placeholders visibles no exceptuados.</x:v>
      </x:c>
      <x:c r="F11" s="26" t="str">
        <x:v>Capturas y revisión.</x:v>
      </x:c>
      <x:c r="G11" s="26" t="str">
        <x:v>Criterio de aceptación</x:v>
      </x:c>
      <x:c r="H11" s="26" t="str">
        <x:v>Activo</x:v>
      </x:c>
      <x:c r="I11" s="26" t="str">
        <x:v>VRM Games</x:v>
      </x:c>
    </x:row>
    <x:row r="12" ht="30" customHeight="1">
      <x:c r="A12" s="26" t="str">
        <x:v>VS-SCN-004</x:v>
      </x:c>
      <x:c r="B12" s="26" t="str">
        <x:v>02_Vertical_Slice_Specification.md</x:v>
      </x:c>
      <x:c r="C12" s="26" t="str">
        <x:v>7. Registro de criterios de aceptación</x:v>
      </x:c>
      <x:c r="D12" s="26" t="str">
        <x:v>SCN</x:v>
      </x:c>
      <x:c r="E12" s="26" t="str">
        <x:v>Visuales, colliders, navegación y puntos funcionales no se contradicen.</x:v>
      </x:c>
      <x:c r="F12" s="26" t="str">
        <x:v>Recorrido manual.</x:v>
      </x:c>
      <x:c r="G12" s="26" t="str">
        <x:v>Criterio de aceptación</x:v>
      </x:c>
      <x:c r="H12" s="26" t="str">
        <x:v>Activo</x:v>
      </x:c>
      <x:c r="I12" s="26" t="str">
        <x:v>VRM Games</x:v>
      </x:c>
    </x:row>
    <x:row r="13" ht="30" customHeight="1">
      <x:c r="A13" s="26" t="str">
        <x:v>VS-INP-001</x:v>
      </x:c>
      <x:c r="B13" s="26" t="str">
        <x:v>02_Vertical_Slice_Specification.md</x:v>
      </x:c>
      <x:c r="C13" s="26" t="str">
        <x:v>7. Registro de criterios de aceptación</x:v>
      </x:c>
      <x:c r="D13" s="26" t="str">
        <x:v>INP</x:v>
      </x:c>
      <x:c r="E13" s="26" t="str">
        <x:v>Un evento consumido por UI no dispara movimiento, colocación o interacción de mundo.</x:v>
      </x:c>
      <x:c r="F13" s="26" t="str">
        <x:v>Pruebas de propagación.</x:v>
      </x:c>
      <x:c r="G13" s="26" t="str">
        <x:v>Criterio de aceptación</x:v>
      </x:c>
      <x:c r="H13" s="26" t="str">
        <x:v>Activo</x:v>
      </x:c>
      <x:c r="I13" s="26" t="str">
        <x:v>VRM Games</x:v>
      </x:c>
    </x:row>
    <x:row r="14" ht="30" customHeight="1">
      <x:c r="A14" s="26" t="str">
        <x:v>VS-INP-002</x:v>
      </x:c>
      <x:c r="B14" s="26" t="str">
        <x:v>02_Vertical_Slice_Specification.md</x:v>
      </x:c>
      <x:c r="C14" s="26" t="str">
        <x:v>7. Registro de criterios de aceptación</x:v>
      </x:c>
      <x:c r="D14" s="26" t="str">
        <x:v>INP</x:v>
      </x:c>
      <x:c r="E14" s="26" t="str">
        <x:v>Clic de mundo produce destino válido o feedback de rechazo.</x:v>
      </x:c>
      <x:c r="F14" s="26" t="str">
        <x:v>Recorrido manual.</x:v>
      </x:c>
      <x:c r="G14" s="26" t="str">
        <x:v>Criterio de aceptación</x:v>
      </x:c>
      <x:c r="H14" s="26" t="str">
        <x:v>Activo</x:v>
      </x:c>
      <x:c r="I14" s="26" t="str">
        <x:v>VRM Games</x:v>
      </x:c>
    </x:row>
    <x:row r="15" ht="30" customHeight="1">
      <x:c r="A15" s="26" t="str">
        <x:v>VS-CAM-001</x:v>
      </x:c>
      <x:c r="B15" s="26" t="str">
        <x:v>02_Vertical_Slice_Specification.md</x:v>
      </x:c>
      <x:c r="C15" s="26" t="str">
        <x:v>7. Registro de criterios de aceptación</x:v>
      </x:c>
      <x:c r="D15" s="26" t="str">
        <x:v>CAM</x:v>
      </x:c>
      <x:c r="E15" s="26" t="str">
        <x:v>Órbita y zoom permanecen dentro de límites y no bloquean el flujo.</x:v>
      </x:c>
      <x:c r="F15" s="26" t="str">
        <x:v>Prueba manual.</x:v>
      </x:c>
      <x:c r="G15" s="26" t="str">
        <x:v>Criterio de aceptación</x:v>
      </x:c>
      <x:c r="H15" s="26" t="str">
        <x:v>Activo</x:v>
      </x:c>
      <x:c r="I15" s="26" t="str">
        <x:v>VRM Games</x:v>
      </x:c>
    </x:row>
    <x:row r="16" ht="30" customHeight="1">
      <x:c r="A16" s="26" t="str">
        <x:v>VS-CAM-002</x:v>
      </x:c>
      <x:c r="B16" s="26" t="str">
        <x:v>02_Vertical_Slice_Specification.md</x:v>
      </x:c>
      <x:c r="C16" s="26" t="str">
        <x:v>7. Registro de criterios de aceptación</x:v>
      </x:c>
      <x:c r="D16" s="26" t="str">
        <x:v>CAM</x:v>
      </x:c>
      <x:c r="E16" s="26" t="str">
        <x:v>La cámara mantiene legibles entrada, displays, cola y checkout.</x:v>
      </x:c>
      <x:c r="F16" s="26" t="str">
        <x:v>Capturas de referencia.</x:v>
      </x:c>
      <x:c r="G16" s="26" t="str">
        <x:v>Criterio de aceptación</x:v>
      </x:c>
      <x:c r="H16" s="26" t="str">
        <x:v>Activo</x:v>
      </x:c>
      <x:c r="I16" s="26" t="str">
        <x:v>VRM Games</x:v>
      </x:c>
    </x:row>
    <x:row r="17" ht="30" customHeight="1">
      <x:c r="A17" s="26" t="str">
        <x:v>VS-MOV-001</x:v>
      </x:c>
      <x:c r="B17" s="26" t="str">
        <x:v>02_Vertical_Slice_Specification.md</x:v>
      </x:c>
      <x:c r="C17" s="26" t="str">
        <x:v>7. Registro de criterios de aceptación</x:v>
      </x:c>
      <x:c r="D17" s="26" t="str">
        <x:v>MOV</x:v>
      </x:c>
      <x:c r="E17" s="26" t="str">
        <x:v>El jugador alcanza todos los puntos accesibles obligatorios.</x:v>
      </x:c>
      <x:c r="F17" s="26" t="str">
        <x:v>Ruta completa.</x:v>
      </x:c>
      <x:c r="G17" s="26" t="str">
        <x:v>Criterio de aceptación</x:v>
      </x:c>
      <x:c r="H17" s="26" t="str">
        <x:v>Activo</x:v>
      </x:c>
      <x:c r="I17" s="26" t="str">
        <x:v>VRM Games</x:v>
      </x:c>
    </x:row>
    <x:row r="18" ht="30" customHeight="1">
      <x:c r="A18" s="26" t="str">
        <x:v>VS-MOV-002</x:v>
      </x:c>
      <x:c r="B18" s="26" t="str">
        <x:v>02_Vertical_Slice_Specification.md</x:v>
      </x:c>
      <x:c r="C18" s="26" t="str">
        <x:v>7. Registro de criterios de aceptación</x:v>
      </x:c>
      <x:c r="D18" s="26" t="str">
        <x:v>MOV</x:v>
      </x:c>
      <x:c r="E18" s="26" t="str">
        <x:v>El jugador no atraviesa arquitectura ni mobiliario.</x:v>
      </x:c>
      <x:c r="F18" s="26" t="str">
        <x:v>Pruebas de colisión/navegación.</x:v>
      </x:c>
      <x:c r="G18" s="26" t="str">
        <x:v>Criterio de aceptación</x:v>
      </x:c>
      <x:c r="H18" s="26" t="str">
        <x:v>Activo</x:v>
      </x:c>
      <x:c r="I18" s="26" t="str">
        <x:v>VRM Games</x:v>
      </x:c>
    </x:row>
    <x:row r="19" ht="30" customHeight="1">
      <x:c r="A19" s="26" t="str">
        <x:v>VS-MOV-003</x:v>
      </x:c>
      <x:c r="B19" s="26" t="str">
        <x:v>02_Vertical_Slice_Specification.md</x:v>
      </x:c>
      <x:c r="C19" s="26" t="str">
        <x:v>7. Registro de criterios de aceptación</x:v>
      </x:c>
      <x:c r="D19" s="26" t="str">
        <x:v>MOV</x:v>
      </x:c>
      <x:c r="E19" s="26" t="str">
        <x:v>Un destino inaccesible no deja al jugador en estado indefinido.</x:v>
      </x:c>
      <x:c r="F19" s="26" t="str">
        <x:v>Prueba negativa.</x:v>
      </x:c>
      <x:c r="G19" s="26" t="str">
        <x:v>Criterio de aceptación</x:v>
      </x:c>
      <x:c r="H19" s="26" t="str">
        <x:v>Activo</x:v>
      </x:c>
      <x:c r="I19" s="26" t="str">
        <x:v>VRM Games</x:v>
      </x:c>
    </x:row>
    <x:row r="20" ht="30" customHeight="1">
      <x:c r="A20" s="26" t="str">
        <x:v>VS-BLD-001</x:v>
      </x:c>
      <x:c r="B20" s="26" t="str">
        <x:v>02_Vertical_Slice_Specification.md</x:v>
      </x:c>
      <x:c r="C20" s="26" t="str">
        <x:v>7. Registro de criterios de aceptación</x:v>
      </x:c>
      <x:c r="D20" s="26" t="str">
        <x:v>BLD</x:v>
      </x:c>
      <x:c r="E20" s="26" t="str">
        <x:v>Preview coincide con posición, rotación y huella final.</x:v>
      </x:c>
      <x:c r="F20" s="26" t="str">
        <x:v>Prueba de colocación.</x:v>
      </x:c>
      <x:c r="G20" s="26" t="str">
        <x:v>Criterio de aceptación</x:v>
      </x:c>
      <x:c r="H20" s="26" t="str">
        <x:v>Activo</x:v>
      </x:c>
      <x:c r="I20" s="26" t="str">
        <x:v>VRM Games</x:v>
      </x:c>
    </x:row>
    <x:row r="21" ht="30" customHeight="1">
      <x:c r="A21" s="26" t="str">
        <x:v>VS-BLD-002</x:v>
      </x:c>
      <x:c r="B21" s="26" t="str">
        <x:v>02_Vertical_Slice_Specification.md</x:v>
      </x:c>
      <x:c r="C21" s="26" t="str">
        <x:v>7. Registro de criterios de aceptación</x:v>
      </x:c>
      <x:c r="D21" s="26" t="str">
        <x:v>BLD</x:v>
      </x:c>
      <x:c r="E21" s="26" t="str">
        <x:v>No se confirma colocación fuera de límites o sobre celdas ocupadas.</x:v>
      </x:c>
      <x:c r="F21" s="26" t="str">
        <x:v>Pruebas negativas.</x:v>
      </x:c>
      <x:c r="G21" s="26" t="str">
        <x:v>Criterio de aceptación</x:v>
      </x:c>
      <x:c r="H21" s="26" t="str">
        <x:v>Activo</x:v>
      </x:c>
      <x:c r="I21" s="26" t="str">
        <x:v>VRM Games</x:v>
      </x:c>
    </x:row>
    <x:row r="22" ht="30" customHeight="1">
      <x:c r="A22" s="26" t="str">
        <x:v>VS-BLD-003</x:v>
      </x:c>
      <x:c r="B22" s="26" t="str">
        <x:v>02_Vertical_Slice_Specification.md</x:v>
      </x:c>
      <x:c r="C22" s="26" t="str">
        <x:v>7. Registro de criterios de aceptación</x:v>
      </x:c>
      <x:c r="D22" s="26" t="str">
        <x:v>BLD</x:v>
      </x:c>
      <x:c r="E22" s="26" t="str">
        <x:v>No se bloquean entrada, salida o puntos obligatorios.</x:v>
      </x:c>
      <x:c r="F22" s="26" t="str">
        <x:v>Prueba de acceso.</x:v>
      </x:c>
      <x:c r="G22" s="26" t="str">
        <x:v>Criterio de aceptación</x:v>
      </x:c>
      <x:c r="H22" s="26" t="str">
        <x:v>Activo</x:v>
      </x:c>
      <x:c r="I22" s="26" t="str">
        <x:v>VRM Games</x:v>
      </x:c>
    </x:row>
    <x:row r="23" ht="30" customHeight="1">
      <x:c r="A23" s="26" t="str">
        <x:v>VS-BLD-004</x:v>
      </x:c>
      <x:c r="B23" s="26" t="str">
        <x:v>02_Vertical_Slice_Specification.md</x:v>
      </x:c>
      <x:c r="C23" s="26" t="str">
        <x:v>7. Registro de criterios de aceptación</x:v>
      </x:c>
      <x:c r="D23" s="26" t="str">
        <x:v>BLD</x:v>
      </x:c>
      <x:c r="E23" s="26" t="str">
        <x:v>Fallo de validación no consume dinero ni altera ocupación.</x:v>
      </x:c>
      <x:c r="F23" s="26" t="str">
        <x:v>Comparación antes/después.</x:v>
      </x:c>
      <x:c r="G23" s="26" t="str">
        <x:v>Criterio de aceptación</x:v>
      </x:c>
      <x:c r="H23" s="26" t="str">
        <x:v>Activo</x:v>
      </x:c>
      <x:c r="I23" s="26" t="str">
        <x:v>VRM Games</x:v>
      </x:c>
    </x:row>
    <x:row r="24" ht="30" customHeight="1">
      <x:c r="A24" s="26" t="str">
        <x:v>VS-BLD-005</x:v>
      </x:c>
      <x:c r="B24" s="26" t="str">
        <x:v>02_Vertical_Slice_Specification.md</x:v>
      </x:c>
      <x:c r="C24" s="26" t="str">
        <x:v>7. Registro de criterios de aceptación</x:v>
      </x:c>
      <x:c r="D24" s="26" t="str">
        <x:v>BLD</x:v>
      </x:c>
      <x:c r="E24" s="26" t="str">
        <x:v>Mover o retirar libera exactamente las celdas ocupadas.</x:v>
      </x:c>
      <x:c r="F24" s="26" t="str">
        <x:v>Prueba automatizada/manual.</x:v>
      </x:c>
      <x:c r="G24" s="26" t="str">
        <x:v>Criterio de aceptación</x:v>
      </x:c>
      <x:c r="H24" s="26" t="str">
        <x:v>Activo</x:v>
      </x:c>
      <x:c r="I24" s="26" t="str">
        <x:v>VRM Games</x:v>
      </x:c>
    </x:row>
    <x:row r="25" ht="30" customHeight="1">
      <x:c r="A25" s="26" t="str">
        <x:v>VS-BLD-006</x:v>
      </x:c>
      <x:c r="B25" s="26" t="str">
        <x:v>02_Vertical_Slice_Specification.md</x:v>
      </x:c>
      <x:c r="C25" s="26" t="str">
        <x:v>7. Registro de criterios de aceptación</x:v>
      </x:c>
      <x:c r="D25" s="26" t="str">
        <x:v>BLD</x:v>
      </x:c>
      <x:c r="E25" s="26" t="str">
        <x:v>Posición, rotación, tipo e ID persisten tras recarga.</x:v>
      </x:c>
      <x:c r="F25" s="26" t="str">
        <x:v>Save/load.</x:v>
      </x:c>
      <x:c r="G25" s="26" t="str">
        <x:v>Criterio de aceptación</x:v>
      </x:c>
      <x:c r="H25" s="26" t="str">
        <x:v>Activo</x:v>
      </x:c>
      <x:c r="I25" s="26" t="str">
        <x:v>VRM Games</x:v>
      </x:c>
    </x:row>
    <x:row r="26" ht="30" customHeight="1">
      <x:c r="A26" s="26" t="str">
        <x:v>VS-INV-001</x:v>
      </x:c>
      <x:c r="B26" s="26" t="str">
        <x:v>02_Vertical_Slice_Specification.md</x:v>
      </x:c>
      <x:c r="C26" s="26" t="str">
        <x:v>7. Registro de criterios de aceptación</x:v>
      </x:c>
      <x:c r="D26" s="26" t="str">
        <x:v>INV</x:v>
      </x:c>
      <x:c r="E26" s="26" t="str">
        <x:v>La suma de ubicaciones coincide con el stock registrado.</x:v>
      </x:c>
      <x:c r="F26" s="26" t="str">
        <x:v>Test de invariante.</x:v>
      </x:c>
      <x:c r="G26" s="26" t="str">
        <x:v>Criterio de aceptación</x:v>
      </x:c>
      <x:c r="H26" s="26" t="str">
        <x:v>Activo</x:v>
      </x:c>
      <x:c r="I26" s="26" t="str">
        <x:v>VRM Games</x:v>
      </x:c>
    </x:row>
    <x:row r="27" ht="30" customHeight="1">
      <x:c r="A27" s="26" t="str">
        <x:v>VS-INV-002</x:v>
      </x:c>
      <x:c r="B27" s="26" t="str">
        <x:v>02_Vertical_Slice_Specification.md</x:v>
      </x:c>
      <x:c r="C27" s="26" t="str">
        <x:v>7. Registro de criterios de aceptación</x:v>
      </x:c>
      <x:c r="D27" s="26" t="str">
        <x:v>INV</x:v>
      </x:c>
      <x:c r="E27" s="26" t="str">
        <x:v>Una unidad solo ocupa una ubicación lógica.</x:v>
      </x:c>
      <x:c r="F27" s="26" t="str">
        <x:v>Test automatizado.</x:v>
      </x:c>
      <x:c r="G27" s="26" t="str">
        <x:v>Criterio de aceptación</x:v>
      </x:c>
      <x:c r="H27" s="26" t="str">
        <x:v>Activo</x:v>
      </x:c>
      <x:c r="I27" s="26" t="str">
        <x:v>VRM Games</x:v>
      </x:c>
    </x:row>
    <x:row r="28" ht="30" customHeight="1">
      <x:c r="A28" s="26" t="str">
        <x:v>VS-INV-003</x:v>
      </x:c>
      <x:c r="B28" s="26" t="str">
        <x:v>02_Vertical_Slice_Specification.md</x:v>
      </x:c>
      <x:c r="C28" s="26" t="str">
        <x:v>7. Registro de criterios de aceptación</x:v>
      </x:c>
      <x:c r="D28" s="26" t="str">
        <x:v>INV</x:v>
      </x:c>
      <x:c r="E28" s="26" t="str">
        <x:v>Transferencia inválida no modifica origen ni destino.</x:v>
      </x:c>
      <x:c r="F28" s="26" t="str">
        <x:v>Prueba negativa.</x:v>
      </x:c>
      <x:c r="G28" s="26" t="str">
        <x:v>Criterio de aceptación</x:v>
      </x:c>
      <x:c r="H28" s="26" t="str">
        <x:v>Activo</x:v>
      </x:c>
      <x:c r="I28" s="26" t="str">
        <x:v>VRM Games</x:v>
      </x:c>
    </x:row>
    <x:row r="29" ht="30" customHeight="1">
      <x:c r="A29" s="26" t="str">
        <x:v>VS-INV-004</x:v>
      </x:c>
      <x:c r="B29" s="26" t="str">
        <x:v>02_Vertical_Slice_Specification.md</x:v>
      </x:c>
      <x:c r="C29" s="26" t="str">
        <x:v>7. Registro de criterios de aceptación</x:v>
      </x:c>
      <x:c r="D29" s="26" t="str">
        <x:v>INV</x:v>
      </x:c>
      <x:c r="E29" s="26" t="str">
        <x:v>Transferencia válida conserva cantidad total.</x:v>
      </x:c>
      <x:c r="F29" s="26" t="str">
        <x:v>Prueba automatizada.</x:v>
      </x:c>
      <x:c r="G29" s="26" t="str">
        <x:v>Criterio de aceptación</x:v>
      </x:c>
      <x:c r="H29" s="26" t="str">
        <x:v>Activo</x:v>
      </x:c>
      <x:c r="I29" s="26" t="str">
        <x:v>VRM Games</x:v>
      </x:c>
    </x:row>
    <x:row r="30" ht="30" customHeight="1">
      <x:c r="A30" s="26" t="str">
        <x:v>VS-INV-005</x:v>
      </x:c>
      <x:c r="B30" s="26" t="str">
        <x:v>02_Vertical_Slice_Specification.md</x:v>
      </x:c>
      <x:c r="C30" s="26" t="str">
        <x:v>7. Registro de criterios de aceptación</x:v>
      </x:c>
      <x:c r="D30" s="26" t="str">
        <x:v>INV</x:v>
      </x:c>
      <x:c r="E30" s="26" t="str">
        <x:v>No existen pérdidas o duplicaciones tras siete días.</x:v>
      </x:c>
      <x:c r="F30" s="26" t="str">
        <x:v>Auditoría de partida.</x:v>
      </x:c>
      <x:c r="G30" s="26" t="str">
        <x:v>Criterio de aceptación</x:v>
      </x:c>
      <x:c r="H30" s="26" t="str">
        <x:v>Activo</x:v>
      </x:c>
      <x:c r="I30" s="26" t="str">
        <x:v>VRM Games</x:v>
      </x:c>
    </x:row>
    <x:row r="31" ht="30" customHeight="1">
      <x:c r="A31" s="26" t="str">
        <x:v>VS-ORD-001</x:v>
      </x:c>
      <x:c r="B31" s="26" t="str">
        <x:v>02_Vertical_Slice_Specification.md</x:v>
      </x:c>
      <x:c r="C31" s="26" t="str">
        <x:v>7. Registro de criterios de aceptación</x:v>
      </x:c>
      <x:c r="D31" s="26" t="str">
        <x:v>ORD</x:v>
      </x:c>
      <x:c r="E31" s="26" t="str">
        <x:v>Pedido inválido se rechaza sin coste.</x:v>
      </x:c>
      <x:c r="F31" s="26" t="str">
        <x:v>Prueba negativa.</x:v>
      </x:c>
      <x:c r="G31" s="26" t="str">
        <x:v>Criterio de aceptación</x:v>
      </x:c>
      <x:c r="H31" s="26" t="str">
        <x:v>Activo</x:v>
      </x:c>
      <x:c r="I31" s="26" t="str">
        <x:v>VRM Games</x:v>
      </x:c>
    </x:row>
    <x:row r="32" ht="30" customHeight="1">
      <x:c r="A32" s="26" t="str">
        <x:v>VS-ORD-002</x:v>
      </x:c>
      <x:c r="B32" s="26" t="str">
        <x:v>02_Vertical_Slice_Specification.md</x:v>
      </x:c>
      <x:c r="C32" s="26" t="str">
        <x:v>7. Registro de criterios de aceptación</x:v>
      </x:c>
      <x:c r="D32" s="26" t="str">
        <x:v>ORD</x:v>
      </x:c>
      <x:c r="E32" s="26" t="str">
        <x:v>Pedido válido registra proveedor, producto, cantidad, coste e ID.</x:v>
      </x:c>
      <x:c r="F32" s="26" t="str">
        <x:v>Inspección funcional.</x:v>
      </x:c>
      <x:c r="G32" s="26" t="str">
        <x:v>Criterio de aceptación</x:v>
      </x:c>
      <x:c r="H32" s="26" t="str">
        <x:v>Activo</x:v>
      </x:c>
      <x:c r="I32" s="26" t="str">
        <x:v>VRM Games</x:v>
      </x:c>
    </x:row>
    <x:row r="33" ht="30" customHeight="1">
      <x:c r="A33" s="26" t="str">
        <x:v>VS-ORD-003</x:v>
      </x:c>
      <x:c r="B33" s="26" t="str">
        <x:v>02_Vertical_Slice_Specification.md</x:v>
      </x:c>
      <x:c r="C33" s="26" t="str">
        <x:v>7. Registro de criterios de aceptación</x:v>
      </x:c>
      <x:c r="D33" s="26" t="str">
        <x:v>ORD</x:v>
      </x:c>
      <x:c r="E33" s="26" t="str">
        <x:v>Cada pedido se entrega una sola vez.</x:v>
      </x:c>
      <x:c r="F33" s="26" t="str">
        <x:v>Prueba de recarga/evento.</x:v>
      </x:c>
      <x:c r="G33" s="26" t="str">
        <x:v>Criterio de aceptación</x:v>
      </x:c>
      <x:c r="H33" s="26" t="str">
        <x:v>Activo</x:v>
      </x:c>
      <x:c r="I33" s="26" t="str">
        <x:v>VRM Games</x:v>
      </x:c>
    </x:row>
    <x:row r="34" ht="30" customHeight="1">
      <x:c r="A34" s="26" t="str">
        <x:v>VS-ORD-004</x:v>
      </x:c>
      <x:c r="B34" s="26" t="str">
        <x:v>02_Vertical_Slice_Specification.md</x:v>
      </x:c>
      <x:c r="C34" s="26" t="str">
        <x:v>7. Registro de criterios de aceptación</x:v>
      </x:c>
      <x:c r="D34" s="26" t="str">
        <x:v>ORD</x:v>
      </x:c>
      <x:c r="E34" s="26" t="str">
        <x:v>La entrega contiene exactamente las cantidades confirmadas.</x:v>
      </x:c>
      <x:c r="F34" s="26" t="str">
        <x:v>Conteo y log.</x:v>
      </x:c>
      <x:c r="G34" s="26" t="str">
        <x:v>Criterio de aceptación</x:v>
      </x:c>
      <x:c r="H34" s="26" t="str">
        <x:v>Activo</x:v>
      </x:c>
      <x:c r="I34" s="26" t="str">
        <x:v>VRM Games</x:v>
      </x:c>
    </x:row>
    <x:row r="35" ht="30" customHeight="1">
      <x:c r="A35" s="26" t="str">
        <x:v>VS-ORD-005</x:v>
      </x:c>
      <x:c r="B35" s="26" t="str">
        <x:v>02_Vertical_Slice_Specification.md</x:v>
      </x:c>
      <x:c r="C35" s="26" t="str">
        <x:v>7. Registro de criterios de aceptación</x:v>
      </x:c>
      <x:c r="D35" s="26" t="str">
        <x:v>ORD</x:v>
      </x:c>
      <x:c r="E35" s="26" t="str">
        <x:v>Pedido pendiente persiste y reanuda correctamente.</x:v>
      </x:c>
      <x:c r="F35" s="26" t="str">
        <x:v>Save/load.</x:v>
      </x:c>
      <x:c r="G35" s="26" t="str">
        <x:v>Criterio de aceptación</x:v>
      </x:c>
      <x:c r="H35" s="26" t="str">
        <x:v>Activo</x:v>
      </x:c>
      <x:c r="I35" s="26" t="str">
        <x:v>VRM Games</x:v>
      </x:c>
    </x:row>
    <x:row r="36" ht="30" customHeight="1">
      <x:c r="A36" s="26" t="str">
        <x:v>VS-DSP-001</x:v>
      </x:c>
      <x:c r="B36" s="26" t="str">
        <x:v>02_Vertical_Slice_Specification.md</x:v>
      </x:c>
      <x:c r="C36" s="26" t="str">
        <x:v>7. Registro de criterios de aceptación</x:v>
      </x:c>
      <x:c r="D36" s="26" t="str">
        <x:v>DSP</x:v>
      </x:c>
      <x:c r="E36" s="26" t="str">
        <x:v>Asignación incompatible se rechaza con feedback.</x:v>
      </x:c>
      <x:c r="F36" s="26" t="str">
        <x:v>Prueba negativa.</x:v>
      </x:c>
      <x:c r="G36" s="26" t="str">
        <x:v>Criterio de aceptación</x:v>
      </x:c>
      <x:c r="H36" s="26" t="str">
        <x:v>Activo</x:v>
      </x:c>
      <x:c r="I36" s="26" t="str">
        <x:v>VRM Games</x:v>
      </x:c>
    </x:row>
    <x:row r="37" ht="30" customHeight="1">
      <x:c r="A37" s="26" t="str">
        <x:v>VS-DSP-002</x:v>
      </x:c>
      <x:c r="B37" s="26" t="str">
        <x:v>02_Vertical_Slice_Specification.md</x:v>
      </x:c>
      <x:c r="C37" s="26" t="str">
        <x:v>7. Registro de criterios de aceptación</x:v>
      </x:c>
      <x:c r="D37" s="26" t="str">
        <x:v>DSP</x:v>
      </x:c>
      <x:c r="E37" s="26" t="str">
        <x:v>Capacidad impide sobrellenado.</x:v>
      </x:c>
      <x:c r="F37" s="26" t="str">
        <x:v>Prueba límite.</x:v>
      </x:c>
      <x:c r="G37" s="26" t="str">
        <x:v>Criterio de aceptación</x:v>
      </x:c>
      <x:c r="H37" s="26" t="str">
        <x:v>Activo</x:v>
      </x:c>
      <x:c r="I37" s="26" t="str">
        <x:v>VRM Games</x:v>
      </x:c>
    </x:row>
    <x:row r="38" ht="30" customHeight="1">
      <x:c r="A38" s="26" t="str">
        <x:v>VS-DSP-003</x:v>
      </x:c>
      <x:c r="B38" s="26" t="str">
        <x:v>02_Vertical_Slice_Specification.md</x:v>
      </x:c>
      <x:c r="C38" s="26" t="str">
        <x:v>7. Registro de criterios de aceptación</x:v>
      </x:c>
      <x:c r="D38" s="26" t="str">
        <x:v>DSP</x:v>
      </x:c>
      <x:c r="E38" s="26" t="str">
        <x:v>Reposición consume origen y aumenta destino de forma atómica.</x:v>
      </x:c>
      <x:c r="F38" s="26" t="str">
        <x:v>Comparación de inventario.</x:v>
      </x:c>
      <x:c r="G38" s="26" t="str">
        <x:v>Criterio de aceptación</x:v>
      </x:c>
      <x:c r="H38" s="26" t="str">
        <x:v>Activo</x:v>
      </x:c>
      <x:c r="I38" s="26" t="str">
        <x:v>VRM Games</x:v>
      </x:c>
    </x:row>
    <x:row r="39" ht="30" customHeight="1">
      <x:c r="A39" s="26" t="str">
        <x:v>VS-DSP-004</x:v>
      </x:c>
      <x:c r="B39" s="26" t="str">
        <x:v>02_Vertical_Slice_Specification.md</x:v>
      </x:c>
      <x:c r="C39" s="26" t="str">
        <x:v>7. Registro de criterios de aceptación</x:v>
      </x:c>
      <x:c r="D39" s="26" t="str">
        <x:v>DSP</x:v>
      </x:c>
      <x:c r="E39" s="26" t="str">
        <x:v>Visual de producto coincide con asignación y cantidad representada.</x:v>
      </x:c>
      <x:c r="F39" s="26" t="str">
        <x:v>Revisión visual.</x:v>
      </x:c>
      <x:c r="G39" s="26" t="str">
        <x:v>Criterio de aceptación</x:v>
      </x:c>
      <x:c r="H39" s="26" t="str">
        <x:v>Activo</x:v>
      </x:c>
      <x:c r="I39" s="26" t="str">
        <x:v>VRM Games</x:v>
      </x:c>
    </x:row>
    <x:row r="40" ht="30" customHeight="1">
      <x:c r="A40" s="26" t="str">
        <x:v>VS-DSP-005</x:v>
      </x:c>
      <x:c r="B40" s="26" t="str">
        <x:v>02_Vertical_Slice_Specification.md</x:v>
      </x:c>
      <x:c r="C40" s="26" t="str">
        <x:v>7. Registro de criterios de aceptación</x:v>
      </x:c>
      <x:c r="D40" s="26" t="str">
        <x:v>DSP</x:v>
      </x:c>
      <x:c r="E40" s="26" t="str">
        <x:v>Asignación y stock visible persisten.</x:v>
      </x:c>
      <x:c r="F40" s="26" t="str">
        <x:v>Save/load.</x:v>
      </x:c>
      <x:c r="G40" s="26" t="str">
        <x:v>Criterio de aceptación</x:v>
      </x:c>
      <x:c r="H40" s="26" t="str">
        <x:v>Activo</x:v>
      </x:c>
      <x:c r="I40" s="26" t="str">
        <x:v>VRM Games</x:v>
      </x:c>
    </x:row>
    <x:row r="41" ht="30" customHeight="1">
      <x:c r="A41" s="26" t="str">
        <x:v>VS-PRC-001</x:v>
      </x:c>
      <x:c r="B41" s="26" t="str">
        <x:v>02_Vertical_Slice_Specification.md</x:v>
      </x:c>
      <x:c r="C41" s="26" t="str">
        <x:v>7. Registro de criterios de aceptación</x:v>
      </x:c>
      <x:c r="D41" s="26" t="str">
        <x:v>PRC</x:v>
      </x:c>
      <x:c r="E41" s="26" t="str">
        <x:v>Precio inválido se rechaza.</x:v>
      </x:c>
      <x:c r="F41" s="26" t="str">
        <x:v>Prueba negativa.</x:v>
      </x:c>
      <x:c r="G41" s="26" t="str">
        <x:v>Criterio de aceptación</x:v>
      </x:c>
      <x:c r="H41" s="26" t="str">
        <x:v>Activo</x:v>
      </x:c>
      <x:c r="I41" s="26" t="str">
        <x:v>VRM Games</x:v>
      </x:c>
    </x:row>
    <x:row r="42" ht="30" customHeight="1">
      <x:c r="A42" s="26" t="str">
        <x:v>VS-PRC-002</x:v>
      </x:c>
      <x:c r="B42" s="26" t="str">
        <x:v>02_Vertical_Slice_Specification.md</x:v>
      </x:c>
      <x:c r="C42" s="26" t="str">
        <x:v>7. Registro de criterios de aceptación</x:v>
      </x:c>
      <x:c r="D42" s="26" t="str">
        <x:v>PRC</x:v>
      </x:c>
      <x:c r="E42" s="26" t="str">
        <x:v>Precio confirmado persiste y se utiliza en la venta.</x:v>
      </x:c>
      <x:c r="F42" s="26" t="str">
        <x:v>Save/load y transacción.</x:v>
      </x:c>
      <x:c r="G42" s="26" t="str">
        <x:v>Criterio de aceptación</x:v>
      </x:c>
      <x:c r="H42" s="26" t="str">
        <x:v>Activo</x:v>
      </x:c>
      <x:c r="I42" s="26" t="str">
        <x:v>VRM Games</x:v>
      </x:c>
    </x:row>
    <x:row r="43" ht="30" customHeight="1">
      <x:c r="A43" s="26" t="str">
        <x:v>VS-PRC-003</x:v>
      </x:c>
      <x:c r="B43" s="26" t="str">
        <x:v>02_Vertical_Slice_Specification.md</x:v>
      </x:c>
      <x:c r="C43" s="26" t="str">
        <x:v>7. Registro de criterios de aceptación</x:v>
      </x:c>
      <x:c r="D43" s="26" t="str">
        <x:v>PRC</x:v>
      </x:c>
      <x:c r="E43" s="26" t="str">
        <x:v>Cambiar precio afecta interés según regla determinista/configurada.</x:v>
      </x:c>
      <x:c r="F43" s="26" t="str">
        <x:v>Prueba comparativa.</x:v>
      </x:c>
      <x:c r="G43" s="26" t="str">
        <x:v>Criterio de aceptación</x:v>
      </x:c>
      <x:c r="H43" s="26" t="str">
        <x:v>Activo</x:v>
      </x:c>
      <x:c r="I43" s="26" t="str">
        <x:v>VRM Games</x:v>
      </x:c>
    </x:row>
    <x:row r="44" ht="30" customHeight="1">
      <x:c r="A44" s="26" t="str">
        <x:v>VS-CUS-001</x:v>
      </x:c>
      <x:c r="B44" s="26" t="str">
        <x:v>02_Vertical_Slice_Specification.md</x:v>
      </x:c>
      <x:c r="C44" s="26" t="str">
        <x:v>7. Registro de criterios de aceptación</x:v>
      </x:c>
      <x:c r="D44" s="26" t="str">
        <x:v>CUS</x:v>
      </x:c>
      <x:c r="E44" s="26" t="str">
        <x:v>Clientes solo aparecen durante estados permitidos.</x:v>
      </x:c>
      <x:c r="F44" s="26" t="str">
        <x:v>Prueba de estados.</x:v>
      </x:c>
      <x:c r="G44" s="26" t="str">
        <x:v>Criterio de aceptación</x:v>
      </x:c>
      <x:c r="H44" s="26" t="str">
        <x:v>Activo</x:v>
      </x:c>
      <x:c r="I44" s="26" t="str">
        <x:v>VRM Games</x:v>
      </x:c>
    </x:row>
    <x:row r="45" ht="30" customHeight="1">
      <x:c r="A45" s="26" t="str">
        <x:v>VS-CUS-002</x:v>
      </x:c>
      <x:c r="B45" s="26" t="str">
        <x:v>02_Vertical_Slice_Specification.md</x:v>
      </x:c>
      <x:c r="C45" s="26" t="str">
        <x:v>7. Registro de criterios de aceptación</x:v>
      </x:c>
      <x:c r="D45" s="26" t="str">
        <x:v>CUS</x:v>
      </x:c>
      <x:c r="E45" s="26" t="str">
        <x:v>Cliente selecciona objetivo compatible o abandona con causa.</x:v>
      </x:c>
      <x:c r="F45" s="26" t="str">
        <x:v>Observación y log de prueba.</x:v>
      </x:c>
      <x:c r="G45" s="26" t="str">
        <x:v>Criterio de aceptación</x:v>
      </x:c>
      <x:c r="H45" s="26" t="str">
        <x:v>Activo</x:v>
      </x:c>
      <x:c r="I45" s="26" t="str">
        <x:v>VRM Games</x:v>
      </x:c>
    </x:row>
    <x:row r="46" ht="30" customHeight="1">
      <x:c r="A46" s="26" t="str">
        <x:v>VS-CUS-003</x:v>
      </x:c>
      <x:c r="B46" s="26" t="str">
        <x:v>02_Vertical_Slice_Specification.md</x:v>
      </x:c>
      <x:c r="C46" s="26" t="str">
        <x:v>7. Registro de criterios de aceptación</x:v>
      </x:c>
      <x:c r="D46" s="26" t="str">
        <x:v>CUS</x:v>
      </x:c>
      <x:c r="E46" s="26" t="str">
        <x:v>Cliente navega sin atravesar obstáculos ni quedar bloqueado indefinidamente.</x:v>
      </x:c>
      <x:c r="F46" s="26" t="str">
        <x:v>Saturación y recorrido.</x:v>
      </x:c>
      <x:c r="G46" s="26" t="str">
        <x:v>Criterio de aceptación</x:v>
      </x:c>
      <x:c r="H46" s="26" t="str">
        <x:v>Activo</x:v>
      </x:c>
      <x:c r="I46" s="26" t="str">
        <x:v>VRM Games</x:v>
      </x:c>
    </x:row>
    <x:row r="47" ht="30" customHeight="1">
      <x:c r="A47" s="26" t="str">
        <x:v>VS-CUS-004</x:v>
      </x:c>
      <x:c r="B47" s="26" t="str">
        <x:v>02_Vertical_Slice_Specification.md</x:v>
      </x:c>
      <x:c r="C47" s="26" t="str">
        <x:v>7. Registro de criterios de aceptación</x:v>
      </x:c>
      <x:c r="D47" s="26" t="str">
        <x:v>CUS</x:v>
      </x:c>
      <x:c r="E47" s="26" t="str">
        <x:v>Falta de stock, precio o espera producen reacción legible.</x:v>
      </x:c>
      <x:c r="F47" s="26" t="str">
        <x:v>Pruebas de variantes.</x:v>
      </x:c>
      <x:c r="G47" s="26" t="str">
        <x:v>Criterio de aceptación</x:v>
      </x:c>
      <x:c r="H47" s="26" t="str">
        <x:v>Activo</x:v>
      </x:c>
      <x:c r="I47" s="26" t="str">
        <x:v>VRM Games</x:v>
      </x:c>
    </x:row>
    <x:row r="48" ht="30" customHeight="1">
      <x:c r="A48" s="26" t="str">
        <x:v>VS-RES-001</x:v>
      </x:c>
      <x:c r="B48" s="26" t="str">
        <x:v>02_Vertical_Slice_Specification.md</x:v>
      </x:c>
      <x:c r="C48" s="26" t="str">
        <x:v>7. Registro de criterios de aceptación</x:v>
      </x:c>
      <x:c r="D48" s="26" t="str">
        <x:v>RES</x:v>
      </x:c>
      <x:c r="E48" s="26" t="str">
        <x:v>Una unidad no puede reservarse para dos clientes.</x:v>
      </x:c>
      <x:c r="F48" s="26" t="str">
        <x:v>Test concurrente.</x:v>
      </x:c>
      <x:c r="G48" s="26" t="str">
        <x:v>Criterio de aceptación</x:v>
      </x:c>
      <x:c r="H48" s="26" t="str">
        <x:v>Activo</x:v>
      </x:c>
      <x:c r="I48" s="26" t="str">
        <x:v>VRM Games</x:v>
      </x:c>
    </x:row>
    <x:row r="49" ht="30" customHeight="1">
      <x:c r="A49" s="26" t="str">
        <x:v>VS-RES-002</x:v>
      </x:c>
      <x:c r="B49" s="26" t="str">
        <x:v>02_Vertical_Slice_Specification.md</x:v>
      </x:c>
      <x:c r="C49" s="26" t="str">
        <x:v>7. Registro de criterios de aceptación</x:v>
      </x:c>
      <x:c r="D49" s="26" t="str">
        <x:v>RES</x:v>
      </x:c>
      <x:c r="E49" s="26" t="str">
        <x:v>Abandono, fallo o cierre liberan la reserva.</x:v>
      </x:c>
      <x:c r="F49" s="26" t="str">
        <x:v>Pruebas de resolución.</x:v>
      </x:c>
      <x:c r="G49" s="26" t="str">
        <x:v>Criterio de aceptación</x:v>
      </x:c>
      <x:c r="H49" s="26" t="str">
        <x:v>Activo</x:v>
      </x:c>
      <x:c r="I49" s="26" t="str">
        <x:v>VRM Games</x:v>
      </x:c>
    </x:row>
    <x:row r="50" ht="30" customHeight="1">
      <x:c r="A50" s="26" t="str">
        <x:v>VS-RES-003</x:v>
      </x:c>
      <x:c r="B50" s="26" t="str">
        <x:v>02_Vertical_Slice_Specification.md</x:v>
      </x:c>
      <x:c r="C50" s="26" t="str">
        <x:v>7. Registro de criterios de aceptación</x:v>
      </x:c>
      <x:c r="D50" s="26" t="str">
        <x:v>RES</x:v>
      </x:c>
      <x:c r="E50" s="26" t="str">
        <x:v>Venta consume la reserva exactamente una vez.</x:v>
      </x:c>
      <x:c r="F50" s="26" t="str">
        <x:v>Test de checkout.</x:v>
      </x:c>
      <x:c r="G50" s="26" t="str">
        <x:v>Criterio de aceptación</x:v>
      </x:c>
      <x:c r="H50" s="26" t="str">
        <x:v>Activo</x:v>
      </x:c>
      <x:c r="I50" s="26" t="str">
        <x:v>VRM Games</x:v>
      </x:c>
    </x:row>
    <x:row r="51" ht="30" customHeight="1">
      <x:c r="A51" s="26" t="str">
        <x:v>VS-QUE-001</x:v>
      </x:c>
      <x:c r="B51" s="26" t="str">
        <x:v>02_Vertical_Slice_Specification.md</x:v>
      </x:c>
      <x:c r="C51" s="26" t="str">
        <x:v>7. Registro de criterios de aceptación</x:v>
      </x:c>
      <x:c r="D51" s="26" t="str">
        <x:v>QUE</x:v>
      </x:c>
      <x:c r="E51" s="26" t="str">
        <x:v>El orden de atención es determinista.</x:v>
      </x:c>
      <x:c r="F51" s="26" t="str">
        <x:v>Prueba con varios clientes.</x:v>
      </x:c>
      <x:c r="G51" s="26" t="str">
        <x:v>Criterio de aceptación</x:v>
      </x:c>
      <x:c r="H51" s="26" t="str">
        <x:v>Activo</x:v>
      </x:c>
      <x:c r="I51" s="26" t="str">
        <x:v>VRM Games</x:v>
      </x:c>
    </x:row>
    <x:row r="52" ht="30" customHeight="1">
      <x:c r="A52" s="26" t="str">
        <x:v>VS-QUE-002</x:v>
      </x:c>
      <x:c r="B52" s="26" t="str">
        <x:v>02_Vertical_Slice_Specification.md</x:v>
      </x:c>
      <x:c r="C52" s="26" t="str">
        <x:v>7. Registro de criterios de aceptación</x:v>
      </x:c>
      <x:c r="D52" s="26" t="str">
        <x:v>QUE</x:v>
      </x:c>
      <x:c r="E52" s="26" t="str">
        <x:v>Posiciones se liberan y avanzan correctamente.</x:v>
      </x:c>
      <x:c r="F52" s="26" t="str">
        <x:v>Observación.</x:v>
      </x:c>
      <x:c r="G52" s="26" t="str">
        <x:v>Criterio de aceptación</x:v>
      </x:c>
      <x:c r="H52" s="26" t="str">
        <x:v>Activo</x:v>
      </x:c>
      <x:c r="I52" s="26" t="str">
        <x:v>VRM Games</x:v>
      </x:c>
    </x:row>
    <x:row r="53" ht="30" customHeight="1">
      <x:c r="A53" s="26" t="str">
        <x:v>VS-QUE-003</x:v>
      </x:c>
      <x:c r="B53" s="26" t="str">
        <x:v>02_Vertical_Slice_Specification.md</x:v>
      </x:c>
      <x:c r="C53" s="26" t="str">
        <x:v>7. Registro de criterios de aceptación</x:v>
      </x:c>
      <x:c r="D53" s="26" t="str">
        <x:v>QUE</x:v>
      </x:c>
      <x:c r="E53" s="26" t="str">
        <x:v>Saturación no produce bloqueo permanente.</x:v>
      </x:c>
      <x:c r="F53" s="26" t="str">
        <x:v>Stress funcional.</x:v>
      </x:c>
      <x:c r="G53" s="26" t="str">
        <x:v>Criterio de aceptación</x:v>
      </x:c>
      <x:c r="H53" s="26" t="str">
        <x:v>Activo</x:v>
      </x:c>
      <x:c r="I53" s="26" t="str">
        <x:v>VRM Games</x:v>
      </x:c>
    </x:row>
    <x:row r="54" ht="30" customHeight="1">
      <x:c r="A54" s="26" t="str">
        <x:v>VS-CHK-001</x:v>
      </x:c>
      <x:c r="B54" s="26" t="str">
        <x:v>02_Vertical_Slice_Specification.md</x:v>
      </x:c>
      <x:c r="C54" s="26" t="str">
        <x:v>7. Registro de criterios de aceptación</x:v>
      </x:c>
      <x:c r="D54" s="26" t="str">
        <x:v>CHK</x:v>
      </x:c>
      <x:c r="E54" s="26" t="str">
        <x:v>Preflight rechaza transacción inválida sin mutación.</x:v>
      </x:c>
      <x:c r="F54" s="26" t="str">
        <x:v>Test negativo.</x:v>
      </x:c>
      <x:c r="G54" s="26" t="str">
        <x:v>Criterio de aceptación</x:v>
      </x:c>
      <x:c r="H54" s="26" t="str">
        <x:v>Activo</x:v>
      </x:c>
      <x:c r="I54" s="26" t="str">
        <x:v>VRM Games</x:v>
      </x:c>
    </x:row>
    <x:row r="55" ht="30" customHeight="1">
      <x:c r="A55" s="26" t="str">
        <x:v>VS-CHK-002</x:v>
      </x:c>
      <x:c r="B55" s="26" t="str">
        <x:v>02_Vertical_Slice_Specification.md</x:v>
      </x:c>
      <x:c r="C55" s="26" t="str">
        <x:v>7. Registro de criterios de aceptación</x:v>
      </x:c>
      <x:c r="D55" s="26" t="str">
        <x:v>CHK</x:v>
      </x:c>
      <x:c r="E55" s="26" t="str">
        <x:v>Venta válida consume una unidad y registra un ingreso.</x:v>
      </x:c>
      <x:c r="F55" s="26" t="str">
        <x:v>Test automatizado.</x:v>
      </x:c>
      <x:c r="G55" s="26" t="str">
        <x:v>Criterio de aceptación</x:v>
      </x:c>
      <x:c r="H55" s="26" t="str">
        <x:v>Activo</x:v>
      </x:c>
      <x:c r="I55" s="26" t="str">
        <x:v>VRM Games</x:v>
      </x:c>
    </x:row>
    <x:row r="56" ht="30" customHeight="1">
      <x:c r="A56" s="26" t="str">
        <x:v>VS-CHK-003</x:v>
      </x:c>
      <x:c r="B56" s="26" t="str">
        <x:v>02_Vertical_Slice_Specification.md</x:v>
      </x:c>
      <x:c r="C56" s="26" t="str">
        <x:v>7. Registro de criterios de aceptación</x:v>
      </x:c>
      <x:c r="D56" s="26" t="str">
        <x:v>CHK</x:v>
      </x:c>
      <x:c r="E56" s="26" t="str">
        <x:v>La misma venta no puede confirmarse dos veces.</x:v>
      </x:c>
      <x:c r="F56" s="26" t="str">
        <x:v>Doble input/evento.</x:v>
      </x:c>
      <x:c r="G56" s="26" t="str">
        <x:v>Criterio de aceptación</x:v>
      </x:c>
      <x:c r="H56" s="26" t="str">
        <x:v>Activo</x:v>
      </x:c>
      <x:c r="I56" s="26" t="str">
        <x:v>VRM Games</x:v>
      </x:c>
    </x:row>
    <x:row r="57" ht="30" customHeight="1">
      <x:c r="A57" s="26" t="str">
        <x:v>VS-CHK-004</x:v>
      </x:c>
      <x:c r="B57" s="26" t="str">
        <x:v>02_Vertical_Slice_Specification.md</x:v>
      </x:c>
      <x:c r="C57" s="26" t="str">
        <x:v>7. Registro de criterios de aceptación</x:v>
      </x:c>
      <x:c r="D57" s="26" t="str">
        <x:v>CHK</x:v>
      </x:c>
      <x:c r="E57" s="26" t="str">
        <x:v>Cliente, reserva, cola y métricas quedan resueltos tras vender.</x:v>
      </x:c>
      <x:c r="F57" s="26" t="str">
        <x:v>Inspección postcondición.</x:v>
      </x:c>
      <x:c r="G57" s="26" t="str">
        <x:v>Criterio de aceptación</x:v>
      </x:c>
      <x:c r="H57" s="26" t="str">
        <x:v>Activo</x:v>
      </x:c>
      <x:c r="I57" s="26" t="str">
        <x:v>VRM Games</x:v>
      </x:c>
    </x:row>
    <x:row r="58" ht="30" customHeight="1">
      <x:c r="A58" s="26" t="str">
        <x:v>VS-DAY-001</x:v>
      </x:c>
      <x:c r="B58" s="26" t="str">
        <x:v>02_Vertical_Slice_Specification.md</x:v>
      </x:c>
      <x:c r="C58" s="26" t="str">
        <x:v>7. Registro de criterios de aceptación</x:v>
      </x:c>
      <x:c r="D58" s="26" t="str">
        <x:v>DAY</x:v>
      </x:c>
      <x:c r="E58" s="26" t="str">
        <x:v>Transiciones entre estados siguen el orden permitido.</x:v>
      </x:c>
      <x:c r="F58" s="26" t="str">
        <x:v>Test de state machine.</x:v>
      </x:c>
      <x:c r="G58" s="26" t="str">
        <x:v>Criterio de aceptación</x:v>
      </x:c>
      <x:c r="H58" s="26" t="str">
        <x:v>Activo</x:v>
      </x:c>
      <x:c r="I58" s="26" t="str">
        <x:v>VRM Games</x:v>
      </x:c>
    </x:row>
    <x:row r="59" ht="30" customHeight="1">
      <x:c r="A59" s="26" t="str">
        <x:v>VS-DAY-002</x:v>
      </x:c>
      <x:c r="B59" s="26" t="str">
        <x:v>02_Vertical_Slice_Specification.md</x:v>
      </x:c>
      <x:c r="C59" s="26" t="str">
        <x:v>7. Registro de criterios de aceptación</x:v>
      </x:c>
      <x:c r="D59" s="26" t="str">
        <x:v>DAY</x:v>
      </x:c>
      <x:c r="E59" s="26" t="str">
        <x:v>Abrir habilita clientes una sola vez.</x:v>
      </x:c>
      <x:c r="F59" s="26" t="str">
        <x:v>Prueba de apertura.</x:v>
      </x:c>
      <x:c r="G59" s="26" t="str">
        <x:v>Criterio de aceptación</x:v>
      </x:c>
      <x:c r="H59" s="26" t="str">
        <x:v>Activo</x:v>
      </x:c>
      <x:c r="I59" s="26" t="str">
        <x:v>VRM Games</x:v>
      </x:c>
    </x:row>
    <x:row r="60" ht="30" customHeight="1">
      <x:c r="A60" s="26" t="str">
        <x:v>VS-DAY-003</x:v>
      </x:c>
      <x:c r="B60" s="26" t="str">
        <x:v>02_Vertical_Slice_Specification.md</x:v>
      </x:c>
      <x:c r="C60" s="26" t="str">
        <x:v>7. Registro de criterios de aceptación</x:v>
      </x:c>
      <x:c r="D60" s="26" t="str">
        <x:v>DAY</x:v>
      </x:c>
      <x:c r="E60" s="26" t="str">
        <x:v>Cerrar impide nuevas entradas y resuelve activos.</x:v>
      </x:c>
      <x:c r="F60" s="26" t="str">
        <x:v>Cierre manual/forzado.</x:v>
      </x:c>
      <x:c r="G60" s="26" t="str">
        <x:v>Criterio de aceptación</x:v>
      </x:c>
      <x:c r="H60" s="26" t="str">
        <x:v>Activo</x:v>
      </x:c>
      <x:c r="I60" s="26" t="str">
        <x:v>VRM Games</x:v>
      </x:c>
    </x:row>
    <x:row r="61" ht="30" customHeight="1">
      <x:c r="A61" s="26" t="str">
        <x:v>VS-DAY-004</x:v>
      </x:c>
      <x:c r="B61" s="26" t="str">
        <x:v>02_Vertical_Slice_Specification.md</x:v>
      </x:c>
      <x:c r="C61" s="26" t="str">
        <x:v>7. Registro de criterios de aceptación</x:v>
      </x:c>
      <x:c r="D61" s="26" t="str">
        <x:v>DAY</x:v>
      </x:c>
      <x:c r="E61" s="26" t="str">
        <x:v>Resumen y avance se generan una sola vez.</x:v>
      </x:c>
      <x:c r="F61" s="26" t="str">
        <x:v>Doble input/recarga.</x:v>
      </x:c>
      <x:c r="G61" s="26" t="str">
        <x:v>Criterio de aceptación</x:v>
      </x:c>
      <x:c r="H61" s="26" t="str">
        <x:v>Activo</x:v>
      </x:c>
      <x:c r="I61" s="26" t="str">
        <x:v>VRM Games</x:v>
      </x:c>
    </x:row>
    <x:row r="62" ht="30" customHeight="1">
      <x:c r="A62" s="26" t="str">
        <x:v>VS-ECO-001</x:v>
      </x:c>
      <x:c r="B62" s="26" t="str">
        <x:v>02_Vertical_Slice_Specification.md</x:v>
      </x:c>
      <x:c r="C62" s="26" t="str">
        <x:v>7. Registro de criterios de aceptación</x:v>
      </x:c>
      <x:c r="D62" s="26" t="str">
        <x:v>ECO</x:v>
      </x:c>
      <x:c r="E62" s="26" t="str">
        <x:v>Todo cambio de saldo tiene movimiento registrado.</x:v>
      </x:c>
      <x:c r="F62" s="26" t="str">
        <x:v>Auditoría contable.</x:v>
      </x:c>
      <x:c r="G62" s="26" t="str">
        <x:v>Criterio de aceptación</x:v>
      </x:c>
      <x:c r="H62" s="26" t="str">
        <x:v>Activo</x:v>
      </x:c>
      <x:c r="I62" s="26" t="str">
        <x:v>VRM Games</x:v>
      </x:c>
    </x:row>
    <x:row r="63" ht="30" customHeight="1">
      <x:c r="A63" s="26" t="str">
        <x:v>VS-ECO-002</x:v>
      </x:c>
      <x:c r="B63" s="26" t="str">
        <x:v>02_Vertical_Slice_Specification.md</x:v>
      </x:c>
      <x:c r="C63" s="26" t="str">
        <x:v>7. Registro de criterios de aceptación</x:v>
      </x:c>
      <x:c r="D63" s="26" t="str">
        <x:v>ECO</x:v>
      </x:c>
      <x:c r="E63" s="26" t="str">
        <x:v>Venta genera un único ingreso con precio correcto.</x:v>
      </x:c>
      <x:c r="F63" s="26" t="str">
        <x:v>Test de transacción.</x:v>
      </x:c>
      <x:c r="G63" s="26" t="str">
        <x:v>Criterio de aceptación</x:v>
      </x:c>
      <x:c r="H63" s="26" t="str">
        <x:v>Activo</x:v>
      </x:c>
      <x:c r="I63" s="26" t="str">
        <x:v>VRM Games</x:v>
      </x:c>
    </x:row>
    <x:row r="64" ht="30" customHeight="1">
      <x:c r="A64" s="26" t="str">
        <x:v>VS-ECO-003</x:v>
      </x:c>
      <x:c r="B64" s="26" t="str">
        <x:v>02_Vertical_Slice_Specification.md</x:v>
      </x:c>
      <x:c r="C64" s="26" t="str">
        <x:v>7. Registro de criterios de aceptación</x:v>
      </x:c>
      <x:c r="D64" s="26" t="str">
        <x:v>ECO</x:v>
      </x:c>
      <x:c r="E64" s="26" t="str">
        <x:v>Pedido rechazado no cambia saldo.</x:v>
      </x:c>
      <x:c r="F64" s="26" t="str">
        <x:v>Prueba negativa.</x:v>
      </x:c>
      <x:c r="G64" s="26" t="str">
        <x:v>Criterio de aceptación</x:v>
      </x:c>
      <x:c r="H64" s="26" t="str">
        <x:v>Activo</x:v>
      </x:c>
      <x:c r="I64" s="26" t="str">
        <x:v>VRM Games</x:v>
      </x:c>
    </x:row>
    <x:row r="65" ht="30" customHeight="1">
      <x:c r="A65" s="26" t="str">
        <x:v>VS-ECO-004</x:v>
      </x:c>
      <x:c r="B65" s="26" t="str">
        <x:v>02_Vertical_Slice_Specification.md</x:v>
      </x:c>
      <x:c r="C65" s="26" t="str">
        <x:v>7. Registro de criterios de aceptación</x:v>
      </x:c>
      <x:c r="D65" s="26" t="str">
        <x:v>ECO</x:v>
      </x:c>
      <x:c r="E65" s="26" t="str">
        <x:v>Impuesto solo se aplica a beneficio semanal positivo.</x:v>
      </x:c>
      <x:c r="F65" s="26" t="str">
        <x:v>Casos positivo/cero/negativo.</x:v>
      </x:c>
      <x:c r="G65" s="26" t="str">
        <x:v>Criterio de aceptación</x:v>
      </x:c>
      <x:c r="H65" s="26" t="str">
        <x:v>Activo</x:v>
      </x:c>
      <x:c r="I65" s="26" t="str">
        <x:v>VRM Games</x:v>
      </x:c>
    </x:row>
    <x:row r="66" ht="30" customHeight="1">
      <x:c r="A66" s="26" t="str">
        <x:v>VS-ECO-005</x:v>
      </x:c>
      <x:c r="B66" s="26" t="str">
        <x:v>02_Vertical_Slice_Specification.md</x:v>
      </x:c>
      <x:c r="C66" s="26" t="str">
        <x:v>7. Registro de criterios de aceptación</x:v>
      </x:c>
      <x:c r="D66" s="26" t="str">
        <x:v>ECO</x:v>
      </x:c>
      <x:c r="E66" s="26" t="str">
        <x:v>Resumen diario/semanal reconcilia movimientos.</x:v>
      </x:c>
      <x:c r="F66" s="26" t="str">
        <x:v>Comparación.</x:v>
      </x:c>
      <x:c r="G66" s="26" t="str">
        <x:v>Criterio de aceptación</x:v>
      </x:c>
      <x:c r="H66" s="26" t="str">
        <x:v>Activo</x:v>
      </x:c>
      <x:c r="I66" s="26" t="str">
        <x:v>VRM Games</x:v>
      </x:c>
    </x:row>
    <x:row r="67" ht="30" customHeight="1">
      <x:c r="A67" s="26" t="str">
        <x:v>VS-SAV-001</x:v>
      </x:c>
      <x:c r="B67" s="26" t="str">
        <x:v>02_Vertical_Slice_Specification.md</x:v>
      </x:c>
      <x:c r="C67" s="26" t="str">
        <x:v>7. Registro de criterios de aceptación</x:v>
      </x:c>
      <x:c r="D67" s="26" t="str">
        <x:v>SAV</x:v>
      </x:c>
      <x:c r="E67" s="26" t="str">
        <x:v>Guardado conserva todos los campos obligatorios.</x:v>
      </x:c>
      <x:c r="F67" s="26" t="str">
        <x:v>Snapshot y diff.</x:v>
      </x:c>
      <x:c r="G67" s="26" t="str">
        <x:v>Criterio de aceptación</x:v>
      </x:c>
      <x:c r="H67" s="26" t="str">
        <x:v>Activo</x:v>
      </x:c>
      <x:c r="I67" s="26" t="str">
        <x:v>VRM Games</x:v>
      </x:c>
    </x:row>
    <x:row r="68" ht="30" customHeight="1">
      <x:c r="A68" s="26" t="str">
        <x:v>VS-SAV-002</x:v>
      </x:c>
      <x:c r="B68" s="26" t="str">
        <x:v>02_Vertical_Slice_Specification.md</x:v>
      </x:c>
      <x:c r="C68" s="26" t="str">
        <x:v>7. Registro de criterios de aceptación</x:v>
      </x:c>
      <x:c r="D68" s="26" t="str">
        <x:v>SAV</x:v>
      </x:c>
      <x:c r="E68" s="26" t="str">
        <x:v>Carga reconstruye un estado equivalente.</x:v>
      </x:c>
      <x:c r="F68" s="26" t="str">
        <x:v>Comparación antes/después.</x:v>
      </x:c>
      <x:c r="G68" s="26" t="str">
        <x:v>Criterio de aceptación</x:v>
      </x:c>
      <x:c r="H68" s="26" t="str">
        <x:v>Activo</x:v>
      </x:c>
      <x:c r="I68" s="26" t="str">
        <x:v>VRM Games</x:v>
      </x:c>
    </x:row>
    <x:row r="69" ht="30" customHeight="1">
      <x:c r="A69" s="26" t="str">
        <x:v>VS-SAV-003</x:v>
      </x:c>
      <x:c r="B69" s="26" t="str">
        <x:v>02_Vertical_Slice_Specification.md</x:v>
      </x:c>
      <x:c r="C69" s="26" t="str">
        <x:v>7. Registro de criterios de aceptación</x:v>
      </x:c>
      <x:c r="D69" s="26" t="str">
        <x:v>SAV</x:v>
      </x:c>
      <x:c r="E69" s="26" t="str">
        <x:v>Cargar no duplica pedidos, muebles, stock, clientes o ingresos.</x:v>
      </x:c>
      <x:c r="F69" s="26" t="str">
        <x:v>Prueba de repetición.</x:v>
      </x:c>
      <x:c r="G69" s="26" t="str">
        <x:v>Criterio de aceptación</x:v>
      </x:c>
      <x:c r="H69" s="26" t="str">
        <x:v>Activo</x:v>
      </x:c>
      <x:c r="I69" s="26" t="str">
        <x:v>VRM Games</x:v>
      </x:c>
    </x:row>
    <x:row r="70" ht="30" customHeight="1">
      <x:c r="A70" s="26" t="str">
        <x:v>VS-SAV-004</x:v>
      </x:c>
      <x:c r="B70" s="26" t="str">
        <x:v>02_Vertical_Slice_Specification.md</x:v>
      </x:c>
      <x:c r="C70" s="26" t="str">
        <x:v>7. Registro de criterios de aceptación</x:v>
      </x:c>
      <x:c r="D70" s="26" t="str">
        <x:v>SAV</x:v>
      </x:c>
      <x:c r="E70" s="26" t="str">
        <x:v>Archivo ausente o corrupto se maneja de forma controlada.</x:v>
      </x:c>
      <x:c r="F70" s="26" t="str">
        <x:v>Prueba negativa/backup.</x:v>
      </x:c>
      <x:c r="G70" s="26" t="str">
        <x:v>Criterio de aceptación</x:v>
      </x:c>
      <x:c r="H70" s="26" t="str">
        <x:v>Activo</x:v>
      </x:c>
      <x:c r="I70" s="26" t="str">
        <x:v>VRM Games</x:v>
      </x:c>
    </x:row>
    <x:row r="71" ht="30" customHeight="1">
      <x:c r="A71" s="26" t="str">
        <x:v>VS-SAV-005</x:v>
      </x:c>
      <x:c r="B71" s="26" t="str">
        <x:v>02_Vertical_Slice_Specification.md</x:v>
      </x:c>
      <x:c r="C71" s="26" t="str">
        <x:v>7. Registro de criterios de aceptación</x:v>
      </x:c>
      <x:c r="D71" s="26" t="str">
        <x:v>SAV</x:v>
      </x:c>
      <x:c r="E71" s="26" t="str">
        <x:v>Tres slots son independientes.</x:v>
      </x:c>
      <x:c r="F71" s="26" t="str">
        <x:v>Prueba cruzada.</x:v>
      </x:c>
      <x:c r="G71" s="26" t="str">
        <x:v>Criterio de aceptación</x:v>
      </x:c>
      <x:c r="H71" s="26" t="str">
        <x:v>Activo</x:v>
      </x:c>
      <x:c r="I71" s="26" t="str">
        <x:v>VRM Games</x:v>
      </x:c>
    </x:row>
    <x:row r="72" ht="30" customHeight="1">
      <x:c r="A72" s="26" t="str">
        <x:v>VS-UI-001</x:v>
      </x:c>
      <x:c r="B72" s="26" t="str">
        <x:v>02_Vertical_Slice_Specification.md</x:v>
      </x:c>
      <x:c r="C72" s="26" t="str">
        <x:v>7. Registro de criterios de aceptación</x:v>
      </x:c>
      <x:c r="D72" s="26" t="str">
        <x:v>UI</x:v>
      </x:c>
      <x:c r="E72" s="26" t="str">
        <x:v>Golden Path puede completarse sin herramientas de debug.</x:v>
      </x:c>
      <x:c r="F72" s="26" t="str">
        <x:v>Sesión guiada/no guiada.</x:v>
      </x:c>
      <x:c r="G72" s="26" t="str">
        <x:v>Criterio de aceptación</x:v>
      </x:c>
      <x:c r="H72" s="26" t="str">
        <x:v>Activo</x:v>
      </x:c>
      <x:c r="I72" s="26" t="str">
        <x:v>VRM Games</x:v>
      </x:c>
    </x:row>
    <x:row r="73" ht="30" customHeight="1">
      <x:c r="A73" s="26" t="str">
        <x:v>VS-UI-002</x:v>
      </x:c>
      <x:c r="B73" s="26" t="str">
        <x:v>02_Vertical_Slice_Specification.md</x:v>
      </x:c>
      <x:c r="C73" s="26" t="str">
        <x:v>7. Registro de criterios de aceptación</x:v>
      </x:c>
      <x:c r="D73" s="26" t="str">
        <x:v>UI</x:v>
      </x:c>
      <x:c r="E73" s="26" t="str">
        <x:v>Errores y estados inválidos muestran causa comprensible.</x:v>
      </x:c>
      <x:c r="F73" s="26" t="str">
        <x:v>Checklist de feedback.</x:v>
      </x:c>
      <x:c r="G73" s="26" t="str">
        <x:v>Criterio de aceptación</x:v>
      </x:c>
      <x:c r="H73" s="26" t="str">
        <x:v>Activo</x:v>
      </x:c>
      <x:c r="I73" s="26" t="str">
        <x:v>VRM Games</x:v>
      </x:c>
    </x:row>
    <x:row r="74" ht="30" customHeight="1">
      <x:c r="A74" s="26" t="str">
        <x:v>VS-UI-003</x:v>
      </x:c>
      <x:c r="B74" s="26" t="str">
        <x:v>02_Vertical_Slice_Specification.md</x:v>
      </x:c>
      <x:c r="C74" s="26" t="str">
        <x:v>7. Registro de criterios de aceptación</x:v>
      </x:c>
      <x:c r="D74" s="26" t="str">
        <x:v>UI</x:v>
      </x:c>
      <x:c r="E74" s="26" t="str">
        <x:v>Controles críticos no dependen solo del color.</x:v>
      </x:c>
      <x:c r="F74" s="26" t="str">
        <x:v>Revisión de accesibilidad.</x:v>
      </x:c>
      <x:c r="G74" s="26" t="str">
        <x:v>Criterio de aceptación</x:v>
      </x:c>
      <x:c r="H74" s="26" t="str">
        <x:v>Activo</x:v>
      </x:c>
      <x:c r="I74" s="26" t="str">
        <x:v>VRM Games</x:v>
      </x:c>
    </x:row>
    <x:row r="75" ht="30" customHeight="1">
      <x:c r="A75" s="26" t="str">
        <x:v>VS-UI-004</x:v>
      </x:c>
      <x:c r="B75" s="26" t="str">
        <x:v>02_Vertical_Slice_Specification.md</x:v>
      </x:c>
      <x:c r="C75" s="26" t="str">
        <x:v>7. Registro de criterios de aceptación</x:v>
      </x:c>
      <x:c r="D75" s="26" t="str">
        <x:v>UI</x:v>
      </x:c>
      <x:c r="E75" s="26" t="str">
        <x:v>Textos incluidos están preparados para ES/EN sin desbordes bloqueantes.</x:v>
      </x:c>
      <x:c r="F75" s="26" t="str">
        <x:v>Revisión de localización.</x:v>
      </x:c>
      <x:c r="G75" s="26" t="str">
        <x:v>Criterio de aceptación</x:v>
      </x:c>
      <x:c r="H75" s="26" t="str">
        <x:v>Activo</x:v>
      </x:c>
      <x:c r="I75" s="26" t="str">
        <x:v>VRM Games</x:v>
      </x:c>
    </x:row>
    <x:row r="76" ht="30" customHeight="1">
      <x:c r="A76" s="26" t="str">
        <x:v>VS-ART-001</x:v>
      </x:c>
      <x:c r="B76" s="26" t="str">
        <x:v>02_Vertical_Slice_Specification.md</x:v>
      </x:c>
      <x:c r="C76" s="26" t="str">
        <x:v>7. Registro de criterios de aceptación</x:v>
      </x:c>
      <x:c r="D76" s="26" t="str">
        <x:v>ART</x:v>
      </x:c>
      <x:c r="E76" s="26" t="str">
        <x:v>Escena cumple layout, escala y silueta aprobados.</x:v>
      </x:c>
      <x:c r="F76" s="26" t="str">
        <x:v>Revisión visual.</x:v>
      </x:c>
      <x:c r="G76" s="26" t="str">
        <x:v>Criterio de aceptación</x:v>
      </x:c>
      <x:c r="H76" s="26" t="str">
        <x:v>Activo</x:v>
      </x:c>
      <x:c r="I76" s="26" t="str">
        <x:v>VRM Games</x:v>
      </x:c>
    </x:row>
    <x:row r="77" ht="30" customHeight="1">
      <x:c r="A77" s="26" t="str">
        <x:v>VS-ART-002</x:v>
      </x:c>
      <x:c r="B77" s="26" t="str">
        <x:v>02_Vertical_Slice_Specification.md</x:v>
      </x:c>
      <x:c r="C77" s="26" t="str">
        <x:v>7. Registro de criterios de aceptación</x:v>
      </x:c>
      <x:c r="D77" s="26" t="str">
        <x:v>ART</x:v>
      </x:c>
      <x:c r="E77" s="26" t="str">
        <x:v>Iluminación permite leer zonas, productos, clientes y cola.</x:v>
      </x:c>
      <x:c r="F77" s="26" t="str">
        <x:v>Capturas y recorrido.</x:v>
      </x:c>
      <x:c r="G77" s="26" t="str">
        <x:v>Criterio de aceptación</x:v>
      </x:c>
      <x:c r="H77" s="26" t="str">
        <x:v>Activo</x:v>
      </x:c>
      <x:c r="I77" s="26" t="str">
        <x:v>VRM Games</x:v>
      </x:c>
    </x:row>
    <x:row r="78" ht="30" customHeight="1">
      <x:c r="A78" s="26" t="str">
        <x:v>VS-AUD-001</x:v>
      </x:c>
      <x:c r="B78" s="26" t="str">
        <x:v>02_Vertical_Slice_Specification.md</x:v>
      </x:c>
      <x:c r="C78" s="26" t="str">
        <x:v>7. Registro de criterios de aceptación</x:v>
      </x:c>
      <x:c r="D78" s="26" t="str">
        <x:v>AUD</x:v>
      </x:c>
      <x:c r="E78" s="26" t="str">
        <x:v>Acciones críticas incluidas tienen feedback sonoro o alternativa aprobada.</x:v>
      </x:c>
      <x:c r="F78" s="26" t="str">
        <x:v>Checklist.</x:v>
      </x:c>
      <x:c r="G78" s="26" t="str">
        <x:v>Criterio de aceptación</x:v>
      </x:c>
      <x:c r="H78" s="26" t="str">
        <x:v>Activo</x:v>
      </x:c>
      <x:c r="I78" s="26" t="str">
        <x:v>VRM Games</x:v>
      </x:c>
    </x:row>
    <x:row r="79" ht="30" customHeight="1">
      <x:c r="A79" s="26" t="str">
        <x:v>VS-PER-001</x:v>
      </x:c>
      <x:c r="B79" s="26" t="str">
        <x:v>02_Vertical_Slice_Specification.md</x:v>
      </x:c>
      <x:c r="C79" s="26" t="str">
        <x:v>7. Registro de criterios de aceptación</x:v>
      </x:c>
      <x:c r="D79" s="26" t="str">
        <x:v>PER</x:v>
      </x:c>
      <x:c r="E79" s="26" t="str">
        <x:v>Prueba objetivo registra 60 FPS/1080p o desviación justificada en perfil documentado.</x:v>
      </x:c>
      <x:c r="F79" s="26" t="str">
        <x:v>Captura de profiler/medición.</x:v>
      </x:c>
      <x:c r="G79" s="26" t="str">
        <x:v>Criterio de aceptación</x:v>
      </x:c>
      <x:c r="H79" s="26" t="str">
        <x:v>Activo</x:v>
      </x:c>
      <x:c r="I79" s="26" t="str">
        <x:v>VRM Games</x:v>
      </x:c>
    </x:row>
    <x:row r="80" ht="30" customHeight="1">
      <x:c r="A80" s="26" t="str">
        <x:v>VS-PER-002</x:v>
      </x:c>
      <x:c r="B80" s="26" t="str">
        <x:v>02_Vertical_Slice_Specification.md</x:v>
      </x:c>
      <x:c r="C80" s="26" t="str">
        <x:v>7. Registro de criterios de aceptación</x:v>
      </x:c>
      <x:c r="D80" s="26" t="str">
        <x:v>PER</x:v>
      </x:c>
      <x:c r="E80" s="26" t="str">
        <x:v>No existe degradación acumulativa grave durante la sesión extensa.</x:v>
      </x:c>
      <x:c r="F80" s="26" t="str">
        <x:v>Soak test.</x:v>
      </x:c>
      <x:c r="G80" s="26" t="str">
        <x:v>Criterio de aceptación</x:v>
      </x:c>
      <x:c r="H80" s="26" t="str">
        <x:v>Activo</x:v>
      </x:c>
      <x:c r="I80" s="26" t="str">
        <x:v>VRM Games</x:v>
      </x:c>
    </x:row>
    <x:row r="81" ht="30" customHeight="1">
      <x:c r="A81" s="26" t="str">
        <x:v>VS-QA-001</x:v>
      </x:c>
      <x:c r="B81" s="26" t="str">
        <x:v>02_Vertical_Slice_Specification.md</x:v>
      </x:c>
      <x:c r="C81" s="26" t="str">
        <x:v>7. Registro de criterios de aceptación</x:v>
      </x:c>
      <x:c r="D81" s="26" t="str">
        <x:v>QA</x:v>
      </x:c>
      <x:c r="E81" s="26" t="str">
        <x:v>Suite automatizada completa permanece verde.</x:v>
      </x:c>
      <x:c r="F81" s="26" t="str">
        <x:v>Reporte de tests.</x:v>
      </x:c>
      <x:c r="G81" s="26" t="str">
        <x:v>Criterio de aceptación</x:v>
      </x:c>
      <x:c r="H81" s="26" t="str">
        <x:v>Activo</x:v>
      </x:c>
      <x:c r="I81" s="26" t="str">
        <x:v>VRM Games</x:v>
      </x:c>
    </x:row>
    <x:row r="82" ht="30" customHeight="1">
      <x:c r="A82" s="26" t="str">
        <x:v>VS-QA-002</x:v>
      </x:c>
      <x:c r="B82" s="26" t="str">
        <x:v>02_Vertical_Slice_Specification.md</x:v>
      </x:c>
      <x:c r="C82" s="26" t="str">
        <x:v>7. Registro de criterios de aceptación</x:v>
      </x:c>
      <x:c r="D82" s="26" t="str">
        <x:v>QA</x:v>
      </x:c>
      <x:c r="E82" s="26" t="str">
        <x:v>Golden Path manual obtiene PASS reproducible.</x:v>
      </x:c>
      <x:c r="F82" s="26" t="str">
        <x:v>Acta de ejecución.</x:v>
      </x:c>
      <x:c r="G82" s="26" t="str">
        <x:v>Criterio de aceptación</x:v>
      </x:c>
      <x:c r="H82" s="26" t="str">
        <x:v>Activo</x:v>
      </x:c>
      <x:c r="I82" s="26" t="str">
        <x:v>VRM Games</x:v>
      </x:c>
    </x:row>
    <x:row r="83" ht="30" customHeight="1">
      <x:c r="A83" s="26" t="str">
        <x:v>VS-BUILD-001</x:v>
      </x:c>
      <x:c r="B83" s="26" t="str">
        <x:v>02_Vertical_Slice_Specification.md</x:v>
      </x:c>
      <x:c r="C83" s="26" t="str">
        <x:v>7. Registro de criterios de aceptación</x:v>
      </x:c>
      <x:c r="D83" s="26" t="str">
        <x:v>BUILD</x:v>
      </x:c>
      <x:c r="E83" s="26" t="str">
        <x:v>Windows x64 Development Build se genera sin error.</x:v>
      </x:c>
      <x:c r="F83" s="26" t="str">
        <x:v>Artefacto y log.</x:v>
      </x:c>
      <x:c r="G83" s="26" t="str">
        <x:v>Criterio de aceptación</x:v>
      </x:c>
      <x:c r="H83" s="26" t="str">
        <x:v>Activo</x:v>
      </x:c>
      <x:c r="I83" s="26" t="str">
        <x:v>VRM Games</x:v>
      </x:c>
    </x:row>
    <x:row r="84" ht="30" customHeight="1">
      <x:c r="A84" s="26" t="str">
        <x:v>VS-BUILD-002</x:v>
      </x:c>
      <x:c r="B84" s="26" t="str">
        <x:v>02_Vertical_Slice_Specification.md</x:v>
      </x:c>
      <x:c r="C84" s="26" t="str">
        <x:v>7. Registro de criterios de aceptación</x:v>
      </x:c>
      <x:c r="D84" s="26" t="str">
        <x:v>BUILD</x:v>
      </x:c>
      <x:c r="E84" s="26" t="str">
        <x:v>Ejecutable arranca y completa Golden Path fuera del Editor.</x:v>
      </x:c>
      <x:c r="F84" s="26" t="str">
        <x:v>Acta externa.</x:v>
      </x:c>
      <x:c r="G84" s="26" t="str">
        <x:v>Criterio de aceptación</x:v>
      </x:c>
      <x:c r="H84" s="26" t="str">
        <x:v>Activo</x:v>
      </x:c>
      <x:c r="I84" s="26" t="str">
        <x:v>VRM Games</x:v>
      </x:c>
    </x:row>
    <x:row r="85" ht="30" customHeight="1">
      <x:c r="A85" s="26" t="str">
        <x:v>VS-BUILD-003</x:v>
      </x:c>
      <x:c r="B85" s="26" t="str">
        <x:v>02_Vertical_Slice_Specification.md</x:v>
      </x:c>
      <x:c r="C85" s="26" t="str">
        <x:v>7. Registro de criterios de aceptación</x:v>
      </x:c>
      <x:c r="D85" s="26" t="str">
        <x:v>BUILD</x:v>
      </x:c>
      <x:c r="E85" s="26" t="str">
        <x:v>`Player.log` no contiene errores bloqueantes o recurrentes.</x:v>
      </x:c>
      <x:c r="F85" s="26" t="str">
        <x:v>Log archivado.</x:v>
      </x:c>
      <x:c r="G85" s="26" t="str">
        <x:v>Criterio de aceptación</x:v>
      </x:c>
      <x:c r="H85" s="26" t="str">
        <x:v>Activo</x:v>
      </x:c>
      <x:c r="I85" s="26" t="str">
        <x:v>VRM Games</x:v>
      </x:c>
    </x:row>
    <x:row r="86" ht="30" customHeight="1">
      <x:c r="A86" s="26" t="str">
        <x:v>VS-DOC-001</x:v>
      </x:c>
      <x:c r="B86" s="26" t="str">
        <x:v>02_Vertical_Slice_Specification.md</x:v>
      </x:c>
      <x:c r="C86" s="26" t="str">
        <x:v>7. Registro de criterios de aceptación</x:v>
      </x:c>
      <x:c r="D86" s="26" t="str">
        <x:v>DOC</x:v>
      </x:c>
      <x:c r="E86" s="26" t="str">
        <x:v>Resultados, defectos, excepciones y decisiones están trazados.</x:v>
      </x:c>
      <x:c r="F86" s="26" t="str">
        <x:v>Matriz y changelog.</x:v>
      </x:c>
      <x:c r="G86" s="26" t="str">
        <x:v>Criterio de aceptación</x:v>
      </x:c>
      <x:c r="H86" s="26" t="str">
        <x:v>Activo</x:v>
      </x:c>
      <x:c r="I86" s="26" t="str">
        <x:v>VRM Games</x:v>
      </x:c>
    </x:row>
    <x:row r="87" ht="30" customHeight="1">
      <x:c r="A87" s="26" t="str">
        <x:v>VS-TST-001</x:v>
      </x:c>
      <x:c r="B87" s="26" t="str">
        <x:v>02_Vertical_Slice_Specification.md</x:v>
      </x:c>
      <x:c r="C87" s="26" t="str">
        <x:v>8.2. Escenarios obligatorios</x:v>
      </x:c>
      <x:c r="D87" s="26" t="str">
        <x:v>TST</x:v>
      </x:c>
      <x:c r="E87" s="26" t="str">
        <x:v>D</x:v>
      </x:c>
      <x:c r="F87" s="26" t="str">
        <x:v>Crear slot, entrar, completar primer día.</x:v>
      </x:c>
      <x:c r="G87" s="26" t="str">
        <x:v>Escenario</x:v>
      </x:c>
      <x:c r="H87" s="26" t="str">
        <x:v>Activo</x:v>
      </x:c>
      <x:c r="I87" s="26" t="str">
        <x:v>VRM Games</x:v>
      </x:c>
    </x:row>
    <x:row r="88" ht="30" customHeight="1">
      <x:c r="A88" s="26" t="str">
        <x:v>VS-TST-002</x:v>
      </x:c>
      <x:c r="B88" s="26" t="str">
        <x:v>02_Vertical_Slice_Specification.md</x:v>
      </x:c>
      <x:c r="C88" s="26" t="str">
        <x:v>8.2. Escenarios obligatorios</x:v>
      </x:c>
      <x:c r="D88" s="26" t="str">
        <x:v>TST</x:v>
      </x:c>
      <x:c r="E88" s="26" t="str">
        <x:v>D</x:v>
      </x:c>
      <x:c r="F88" s="26" t="str">
        <x:v>Crear estados distintos en cada slot.</x:v>
      </x:c>
      <x:c r="G88" s="26" t="str">
        <x:v>Escenario</x:v>
      </x:c>
      <x:c r="H88" s="26" t="str">
        <x:v>Activo</x:v>
      </x:c>
      <x:c r="I88" s="26" t="str">
        <x:v>VRM Games</x:v>
      </x:c>
    </x:row>
    <x:row r="89" ht="30" customHeight="1">
      <x:c r="A89" s="26" t="str">
        <x:v>VS-TST-003</x:v>
      </x:c>
      <x:c r="B89" s="26" t="str">
        <x:v>02_Vertical_Slice_Specification.md</x:v>
      </x:c>
      <x:c r="C89" s="26" t="str">
        <x:v>8.2. Escenarios obligatorios</x:v>
      </x:c>
      <x:c r="D89" s="26" t="str">
        <x:v>TST</x:v>
      </x:c>
      <x:c r="E89" s="26" t="str">
        <x:v>D/E</x:v>
      </x:c>
      <x:c r="F89" s="26" t="str">
        <x:v>Ejecutar todos los pasos oficiales.</x:v>
      </x:c>
      <x:c r="G89" s="26" t="str">
        <x:v>Escenario</x:v>
      </x:c>
      <x:c r="H89" s="26" t="str">
        <x:v>Activo</x:v>
      </x:c>
      <x:c r="I89" s="26" t="str">
        <x:v>VRM Games</x:v>
      </x:c>
    </x:row>
    <x:row r="90" ht="30" customHeight="1">
      <x:c r="A90" s="26" t="str">
        <x:v>VS-TST-004</x:v>
      </x:c>
      <x:c r="B90" s="26" t="str">
        <x:v>02_Vertical_Slice_Specification.md</x:v>
      </x:c>
      <x:c r="C90" s="26" t="str">
        <x:v>8.2. Escenarios obligatorios</x:v>
      </x:c>
      <x:c r="D90" s="26" t="str">
        <x:v>TST</x:v>
      </x:c>
      <x:c r="E90" s="26" t="str">
        <x:v>F</x:v>
      </x:c>
      <x:c r="F90" s="26" t="str">
        <x:v>Completar semana con varias compras y ventas.</x:v>
      </x:c>
      <x:c r="G90" s="26" t="str">
        <x:v>Escenario</x:v>
      </x:c>
      <x:c r="H90" s="26" t="str">
        <x:v>Activo</x:v>
      </x:c>
      <x:c r="I90" s="26" t="str">
        <x:v>VRM Games</x:v>
      </x:c>
    </x:row>
    <x:row r="91" ht="30" customHeight="1">
      <x:c r="A91" s="26" t="str">
        <x:v>VS-TST-005</x:v>
      </x:c>
      <x:c r="B91" s="26" t="str">
        <x:v>02_Vertical_Slice_Specification.md</x:v>
      </x:c>
      <x:c r="C91" s="26" t="str">
        <x:v>8.2. Escenarios obligatorios</x:v>
      </x:c>
      <x:c r="D91" s="26" t="str">
        <x:v>TST</x:v>
      </x:c>
      <x:c r="E91" s="26" t="str">
        <x:v>C/D</x:v>
      </x:c>
      <x:c r="F91" s="26" t="str">
        <x:v>Cerrar en ventana permitida.</x:v>
      </x:c>
      <x:c r="G91" s="26" t="str">
        <x:v>Escenario</x:v>
      </x:c>
      <x:c r="H91" s="26" t="str">
        <x:v>Activo</x:v>
      </x:c>
      <x:c r="I91" s="26" t="str">
        <x:v>VRM Games</x:v>
      </x:c>
    </x:row>
    <x:row r="92" ht="30" customHeight="1">
      <x:c r="A92" s="26" t="str">
        <x:v>VS-TST-006</x:v>
      </x:c>
      <x:c r="B92" s="26" t="str">
        <x:v>02_Vertical_Slice_Specification.md</x:v>
      </x:c>
      <x:c r="C92" s="26" t="str">
        <x:v>8.2. Escenarios obligatorios</x:v>
      </x:c>
      <x:c r="D92" s="26" t="str">
        <x:v>TST</x:v>
      </x:c>
      <x:c r="E92" s="26" t="str">
        <x:v>C/D</x:v>
      </x:c>
      <x:c r="F92" s="26" t="str">
        <x:v>Alcanzar hora límite con clientes activos.</x:v>
      </x:c>
      <x:c r="G92" s="26" t="str">
        <x:v>Escenario</x:v>
      </x:c>
      <x:c r="H92" s="26" t="str">
        <x:v>Activo</x:v>
      </x:c>
      <x:c r="I92" s="26" t="str">
        <x:v>VRM Games</x:v>
      </x:c>
    </x:row>
    <x:row r="93" ht="30" customHeight="1">
      <x:c r="A93" s="26" t="str">
        <x:v>VS-TST-007</x:v>
      </x:c>
      <x:c r="B93" s="26" t="str">
        <x:v>02_Vertical_Slice_Specification.md</x:v>
      </x:c>
      <x:c r="C93" s="26" t="str">
        <x:v>8.2. Escenarios obligatorios</x:v>
      </x:c>
      <x:c r="D93" s="26" t="str">
        <x:v>TST</x:v>
      </x:c>
      <x:c r="E93" s="26" t="str">
        <x:v>B/C</x:v>
      </x:c>
      <x:c r="F93" s="26" t="str">
        <x:v>Colocar y rotar cada familia incluida.</x:v>
      </x:c>
      <x:c r="G93" s="26" t="str">
        <x:v>Escenario</x:v>
      </x:c>
      <x:c r="H93" s="26" t="str">
        <x:v>Activo</x:v>
      </x:c>
      <x:c r="I93" s="26" t="str">
        <x:v>VRM Games</x:v>
      </x:c>
    </x:row>
    <x:row r="94" ht="30" customHeight="1">
      <x:c r="A94" s="26" t="str">
        <x:v>VS-TST-008</x:v>
      </x:c>
      <x:c r="B94" s="26" t="str">
        <x:v>02_Vertical_Slice_Specification.md</x:v>
      </x:c>
      <x:c r="C94" s="26" t="str">
        <x:v>8.2. Escenarios obligatorios</x:v>
      </x:c>
      <x:c r="D94" s="26" t="str">
        <x:v>TST</x:v>
      </x:c>
      <x:c r="E94" s="26" t="str">
        <x:v>B/C</x:v>
      </x:c>
      <x:c r="F94" s="26" t="str">
        <x:v>Intentar ocupar celdas usadas.</x:v>
      </x:c>
      <x:c r="G94" s="26" t="str">
        <x:v>Escenario</x:v>
      </x:c>
      <x:c r="H94" s="26" t="str">
        <x:v>Activo</x:v>
      </x:c>
      <x:c r="I94" s="26" t="str">
        <x:v>VRM Games</x:v>
      </x:c>
    </x:row>
    <x:row r="95" ht="30" customHeight="1">
      <x:c r="A95" s="26" t="str">
        <x:v>VS-TST-009</x:v>
      </x:c>
      <x:c r="B95" s="26" t="str">
        <x:v>02_Vertical_Slice_Specification.md</x:v>
      </x:c>
      <x:c r="C95" s="26" t="str">
        <x:v>8.2. Escenarios obligatorios</x:v>
      </x:c>
      <x:c r="D95" s="26" t="str">
        <x:v>TST</x:v>
      </x:c>
      <x:c r="E95" s="26" t="str">
        <x:v>B/C</x:v>
      </x:c>
      <x:c r="F95" s="26" t="str">
        <x:v>Intentar bloquear reserva obligatoria.</x:v>
      </x:c>
      <x:c r="G95" s="26" t="str">
        <x:v>Escenario</x:v>
      </x:c>
      <x:c r="H95" s="26" t="str">
        <x:v>Activo</x:v>
      </x:c>
      <x:c r="I95" s="26" t="str">
        <x:v>VRM Games</x:v>
      </x:c>
    </x:row>
    <x:row r="96" ht="30" customHeight="1">
      <x:c r="A96" s="26" t="str">
        <x:v>VS-TST-010</x:v>
      </x:c>
      <x:c r="B96" s="26" t="str">
        <x:v>02_Vertical_Slice_Specification.md</x:v>
      </x:c>
      <x:c r="C96" s="26" t="str">
        <x:v>8.2. Escenarios obligatorios</x:v>
      </x:c>
      <x:c r="D96" s="26" t="str">
        <x:v>TST</x:v>
      </x:c>
      <x:c r="E96" s="26" t="str">
        <x:v>B/C</x:v>
      </x:c>
      <x:c r="F96" s="26" t="str">
        <x:v>Mover objeto y comprobar celdas.</x:v>
      </x:c>
      <x:c r="G96" s="26" t="str">
        <x:v>Escenario</x:v>
      </x:c>
      <x:c r="H96" s="26" t="str">
        <x:v>Activo</x:v>
      </x:c>
      <x:c r="I96" s="26" t="str">
        <x:v>VRM Games</x:v>
      </x:c>
    </x:row>
    <x:row r="97" ht="30" customHeight="1">
      <x:c r="A97" s="26" t="str">
        <x:v>VS-TST-011</x:v>
      </x:c>
      <x:c r="B97" s="26" t="str">
        <x:v>02_Vertical_Slice_Specification.md</x:v>
      </x:c>
      <x:c r="C97" s="26" t="str">
        <x:v>8.2. Escenarios obligatorios</x:v>
      </x:c>
      <x:c r="D97" s="26" t="str">
        <x:v>TST</x:v>
      </x:c>
      <x:c r="E97" s="26" t="str">
        <x:v>A/C</x:v>
      </x:c>
      <x:c r="F97" s="26" t="str">
        <x:v>Confirmar pedido superior al saldo.</x:v>
      </x:c>
      <x:c r="G97" s="26" t="str">
        <x:v>Escenario</x:v>
      </x:c>
      <x:c r="H97" s="26" t="str">
        <x:v>Activo</x:v>
      </x:c>
      <x:c r="I97" s="26" t="str">
        <x:v>VRM Games</x:v>
      </x:c>
    </x:row>
    <x:row r="98" ht="30" customHeight="1">
      <x:c r="A98" s="26" t="str">
        <x:v>VS-TST-012</x:v>
      </x:c>
      <x:c r="B98" s="26" t="str">
        <x:v>02_Vertical_Slice_Specification.md</x:v>
      </x:c>
      <x:c r="C98" s="26" t="str">
        <x:v>8.2. Escenarios obligatorios</x:v>
      </x:c>
      <x:c r="D98" s="26" t="str">
        <x:v>TST</x:v>
      </x:c>
      <x:c r="E98" s="26" t="str">
        <x:v>A/C</x:v>
      </x:c>
      <x:c r="F98" s="26" t="str">
        <x:v>Comprar varias cantidades.</x:v>
      </x:c>
      <x:c r="G98" s="26" t="str">
        <x:v>Escenario</x:v>
      </x:c>
      <x:c r="H98" s="26" t="str">
        <x:v>Activo</x:v>
      </x:c>
      <x:c r="I98" s="26" t="str">
        <x:v>VRM Games</x:v>
      </x:c>
    </x:row>
    <x:row r="99" ht="30" customHeight="1">
      <x:c r="A99" s="26" t="str">
        <x:v>VS-TST-013</x:v>
      </x:c>
      <x:c r="B99" s="26" t="str">
        <x:v>02_Vertical_Slice_Specification.md</x:v>
      </x:c>
      <x:c r="C99" s="26" t="str">
        <x:v>8.2. Escenarios obligatorios</x:v>
      </x:c>
      <x:c r="D99" s="26" t="str">
        <x:v>TST</x:v>
      </x:c>
      <x:c r="E99" s="26" t="str">
        <x:v>A/C</x:v>
      </x:c>
      <x:c r="F99" s="26" t="str">
        <x:v>Guardar antes de entrega, cargar y avanzar.</x:v>
      </x:c>
      <x:c r="G99" s="26" t="str">
        <x:v>Escenario</x:v>
      </x:c>
      <x:c r="H99" s="26" t="str">
        <x:v>Activo</x:v>
      </x:c>
      <x:c r="I99" s="26" t="str">
        <x:v>VRM Games</x:v>
      </x:c>
    </x:row>
    <x:row r="100" ht="30" customHeight="1">
      <x:c r="A100" s="26" t="str">
        <x:v>VS-TST-014</x:v>
      </x:c>
      <x:c r="B100" s="26" t="str">
        <x:v>02_Vertical_Slice_Specification.md</x:v>
      </x:c>
      <x:c r="C100" s="26" t="str">
        <x:v>8.2. Escenarios obligatorios</x:v>
      </x:c>
      <x:c r="D100" s="26" t="str">
        <x:v>TST</x:v>
      </x:c>
      <x:c r="E100" s="26" t="str">
        <x:v>A/C</x:v>
      </x:c>
      <x:c r="F100" s="26" t="str">
        <x:v>Forzar destino insuficiente.</x:v>
      </x:c>
      <x:c r="G100" s="26" t="str">
        <x:v>Escenario</x:v>
      </x:c>
      <x:c r="H100" s="26" t="str">
        <x:v>Activo</x:v>
      </x:c>
      <x:c r="I100" s="26" t="str">
        <x:v>VRM Games</x:v>
      </x:c>
    </x:row>
    <x:row r="101" ht="30" customHeight="1">
      <x:c r="A101" s="26" t="str">
        <x:v>VS-TST-015</x:v>
      </x:c>
      <x:c r="B101" s="26" t="str">
        <x:v>02_Vertical_Slice_Specification.md</x:v>
      </x:c>
      <x:c r="C101" s="26" t="str">
        <x:v>8.2. Escenarios obligatorios</x:v>
      </x:c>
      <x:c r="D101" s="26" t="str">
        <x:v>TST</x:v>
      </x:c>
      <x:c r="E101" s="26" t="str">
        <x:v>A/C</x:v>
      </x:c>
      <x:c r="F101" s="26" t="str">
        <x:v>Mover recepción→almacén→display.</x:v>
      </x:c>
      <x:c r="G101" s="26" t="str">
        <x:v>Escenario</x:v>
      </x:c>
      <x:c r="H101" s="26" t="str">
        <x:v>Activo</x:v>
      </x:c>
      <x:c r="I101" s="26" t="str">
        <x:v>VRM Games</x:v>
      </x:c>
    </x:row>
    <x:row r="102" ht="30" customHeight="1">
      <x:c r="A102" s="26" t="str">
        <x:v>VS-TST-016</x:v>
      </x:c>
      <x:c r="B102" s="26" t="str">
        <x:v>02_Vertical_Slice_Specification.md</x:v>
      </x:c>
      <x:c r="C102" s="26" t="str">
        <x:v>8.2. Escenarios obligatorios</x:v>
      </x:c>
      <x:c r="D102" s="26" t="str">
        <x:v>TST</x:v>
      </x:c>
      <x:c r="E102" s="26" t="str">
        <x:v>A/C</x:v>
      </x:c>
      <x:c r="F102" s="26" t="str">
        <x:v>Destino incompatible/lleno.</x:v>
      </x:c>
      <x:c r="G102" s="26" t="str">
        <x:v>Escenario</x:v>
      </x:c>
      <x:c r="H102" s="26" t="str">
        <x:v>Activo</x:v>
      </x:c>
      <x:c r="I102" s="26" t="str">
        <x:v>VRM Games</x:v>
      </x:c>
    </x:row>
    <x:row r="103" ht="30" customHeight="1">
      <x:c r="A103" s="26" t="str">
        <x:v>VS-TST-017</x:v>
      </x:c>
      <x:c r="B103" s="26" t="str">
        <x:v>02_Vertical_Slice_Specification.md</x:v>
      </x:c>
      <x:c r="C103" s="26" t="str">
        <x:v>8.2. Escenarios obligatorios</x:v>
      </x:c>
      <x:c r="D103" s="26" t="str">
        <x:v>TST</x:v>
      </x:c>
      <x:c r="E103" s="26" t="str">
        <x:v>A/C</x:v>
      </x:c>
      <x:c r="F103" s="26" t="str">
        <x:v>Asignar producto no admitido.</x:v>
      </x:c>
      <x:c r="G103" s="26" t="str">
        <x:v>Escenario</x:v>
      </x:c>
      <x:c r="H103" s="26" t="str">
        <x:v>Activo</x:v>
      </x:c>
      <x:c r="I103" s="26" t="str">
        <x:v>VRM Games</x:v>
      </x:c>
    </x:row>
    <x:row r="104" ht="30" customHeight="1">
      <x:c r="A104" s="26" t="str">
        <x:v>VS-TST-018</x:v>
      </x:c>
      <x:c r="B104" s="26" t="str">
        <x:v>02_Vertical_Slice_Specification.md</x:v>
      </x:c>
      <x:c r="C104" s="26" t="str">
        <x:v>8.2. Escenarios obligatorios</x:v>
      </x:c>
      <x:c r="D104" s="26" t="str">
        <x:v>TST</x:v>
      </x:c>
      <x:c r="E104" s="26" t="str">
        <x:v>A/C</x:v>
      </x:c>
      <x:c r="F104" s="26" t="str">
        <x:v>Reponer hasta capacidad.</x:v>
      </x:c>
      <x:c r="G104" s="26" t="str">
        <x:v>Escenario</x:v>
      </x:c>
      <x:c r="H104" s="26" t="str">
        <x:v>Activo</x:v>
      </x:c>
      <x:c r="I104" s="26" t="str">
        <x:v>VRM Games</x:v>
      </x:c>
    </x:row>
    <x:row r="105" ht="30" customHeight="1">
      <x:c r="A105" s="26" t="str">
        <x:v>VS-TST-019</x:v>
      </x:c>
      <x:c r="B105" s="26" t="str">
        <x:v>02_Vertical_Slice_Specification.md</x:v>
      </x:c>
      <x:c r="C105" s="26" t="str">
        <x:v>8.2. Escenarios obligatorios</x:v>
      </x:c>
      <x:c r="D105" s="26" t="str">
        <x:v>TST</x:v>
      </x:c>
      <x:c r="E105" s="26" t="str">
        <x:v>C/F</x:v>
      </x:c>
      <x:c r="F105" s="26" t="str">
        <x:v>Usar precio bajo, recomendado y alto.</x:v>
      </x:c>
      <x:c r="G105" s="26" t="str">
        <x:v>Escenario</x:v>
      </x:c>
      <x:c r="H105" s="26" t="str">
        <x:v>Activo</x:v>
      </x:c>
      <x:c r="I105" s="26" t="str">
        <x:v>VRM Games</x:v>
      </x:c>
    </x:row>
    <x:row r="106" ht="30" customHeight="1">
      <x:c r="A106" s="26" t="str">
        <x:v>VS-TST-020</x:v>
      </x:c>
      <x:c r="B106" s="26" t="str">
        <x:v>02_Vertical_Slice_Specification.md</x:v>
      </x:c>
      <x:c r="C106" s="26" t="str">
        <x:v>8.2. Escenarios obligatorios</x:v>
      </x:c>
      <x:c r="D106" s="26" t="str">
        <x:v>TST</x:v>
      </x:c>
      <x:c r="E106" s="26" t="str">
        <x:v>C/D</x:v>
      </x:c>
      <x:c r="F106" s="26" t="str">
        <x:v>Abrir con producto demandado agotado.</x:v>
      </x:c>
      <x:c r="G106" s="26" t="str">
        <x:v>Escenario</x:v>
      </x:c>
      <x:c r="H106" s="26" t="str">
        <x:v>Activo</x:v>
      </x:c>
      <x:c r="I106" s="26" t="str">
        <x:v>VRM Games</x:v>
      </x:c>
    </x:row>
    <x:row r="107" ht="30" customHeight="1">
      <x:c r="A107" s="26" t="str">
        <x:v>VS-TST-021</x:v>
      </x:c>
      <x:c r="B107" s="26" t="str">
        <x:v>02_Vertical_Slice_Specification.md</x:v>
      </x:c>
      <x:c r="C107" s="26" t="str">
        <x:v>8.2. Escenarios obligatorios</x:v>
      </x:c>
      <x:c r="D107" s="26" t="str">
        <x:v>TST</x:v>
      </x:c>
      <x:c r="E107" s="26" t="str">
        <x:v>A/C</x:v>
      </x:c>
      <x:c r="F107" s="26" t="str">
        <x:v>Competencia por última unidad.</x:v>
      </x:c>
      <x:c r="G107" s="26" t="str">
        <x:v>Escenario</x:v>
      </x:c>
      <x:c r="H107" s="26" t="str">
        <x:v>Activo</x:v>
      </x:c>
      <x:c r="I107" s="26" t="str">
        <x:v>VRM Games</x:v>
      </x:c>
    </x:row>
    <x:row r="108" ht="30" customHeight="1">
      <x:c r="A108" s="26" t="str">
        <x:v>VS-TST-022</x:v>
      </x:c>
      <x:c r="B108" s="26" t="str">
        <x:v>02_Vertical_Slice_Specification.md</x:v>
      </x:c>
      <x:c r="C108" s="26" t="str">
        <x:v>8.2. Escenarios obligatorios</x:v>
      </x:c>
      <x:c r="D108" s="26" t="str">
        <x:v>TST</x:v>
      </x:c>
      <x:c r="E108" s="26" t="str">
        <x:v>A/C</x:v>
      </x:c>
      <x:c r="F108" s="26" t="str">
        <x:v>Provocar espera o fallo.</x:v>
      </x:c>
      <x:c r="G108" s="26" t="str">
        <x:v>Escenario</x:v>
      </x:c>
      <x:c r="H108" s="26" t="str">
        <x:v>Activo</x:v>
      </x:c>
      <x:c r="I108" s="26" t="str">
        <x:v>VRM Games</x:v>
      </x:c>
    </x:row>
    <x:row r="109" ht="30" customHeight="1">
      <x:c r="A109" s="26" t="str">
        <x:v>VS-TST-023</x:v>
      </x:c>
      <x:c r="B109" s="26" t="str">
        <x:v>02_Vertical_Slice_Specification.md</x:v>
      </x:c>
      <x:c r="C109" s="26" t="str">
        <x:v>8.2. Escenarios obligatorios</x:v>
      </x:c>
      <x:c r="D109" s="26" t="str">
        <x:v>TST</x:v>
      </x:c>
      <x:c r="E109" s="26" t="str">
        <x:v>C/F</x:v>
      </x:c>
      <x:c r="F109" s="26" t="str">
        <x:v>Alcanzar carga de clientes de referencia.</x:v>
      </x:c>
      <x:c r="G109" s="26" t="str">
        <x:v>Escenario</x:v>
      </x:c>
      <x:c r="H109" s="26" t="str">
        <x:v>Activo</x:v>
      </x:c>
      <x:c r="I109" s="26" t="str">
        <x:v>VRM Games</x:v>
      </x:c>
    </x:row>
    <x:row r="110" ht="30" customHeight="1">
      <x:c r="A110" s="26" t="str">
        <x:v>VS-TST-024</x:v>
      </x:c>
      <x:c r="B110" s="26" t="str">
        <x:v>02_Vertical_Slice_Specification.md</x:v>
      </x:c>
      <x:c r="C110" s="26" t="str">
        <x:v>8.2. Escenarios obligatorios</x:v>
      </x:c>
      <x:c r="D110" s="26" t="str">
        <x:v>TST</x:v>
      </x:c>
      <x:c r="E110" s="26" t="str">
        <x:v>A/C</x:v>
      </x:c>
      <x:c r="F110" s="26" t="str">
        <x:v>Repetir input/evento.</x:v>
      </x:c>
      <x:c r="G110" s="26" t="str">
        <x:v>Escenario</x:v>
      </x:c>
      <x:c r="H110" s="26" t="str">
        <x:v>Activo</x:v>
      </x:c>
      <x:c r="I110" s="26" t="str">
        <x:v>VRM Games</x:v>
      </x:c>
    </x:row>
    <x:row r="111" ht="30" customHeight="1">
      <x:c r="A111" s="26" t="str">
        <x:v>VS-TST-025</x:v>
      </x:c>
      <x:c r="B111" s="26" t="str">
        <x:v>02_Vertical_Slice_Specification.md</x:v>
      </x:c>
      <x:c r="C111" s="26" t="str">
        <x:v>8.2. Escenarios obligatorios</x:v>
      </x:c>
      <x:c r="D111" s="26" t="str">
        <x:v>TST</x:v>
      </x:c>
      <x:c r="E111" s="26" t="str">
        <x:v>A/C</x:v>
      </x:c>
      <x:c r="F111" s="26" t="str">
        <x:v>Cerrar durante recorrido.</x:v>
      </x:c>
      <x:c r="G111" s="26" t="str">
        <x:v>Escenario</x:v>
      </x:c>
      <x:c r="H111" s="26" t="str">
        <x:v>Activo</x:v>
      </x:c>
      <x:c r="I111" s="26" t="str">
        <x:v>VRM Games</x:v>
      </x:c>
    </x:row>
    <x:row r="112" ht="30" customHeight="1">
      <x:c r="A112" s="26" t="str">
        <x:v>VS-TST-026</x:v>
      </x:c>
      <x:c r="B112" s="26" t="str">
        <x:v>02_Vertical_Slice_Specification.md</x:v>
      </x:c>
      <x:c r="C112" s="26" t="str">
        <x:v>8.2. Escenarios obligatorios</x:v>
      </x:c>
      <x:c r="D112" s="26" t="str">
        <x:v>TST</x:v>
      </x:c>
      <x:c r="E112" s="26" t="str">
        <x:v>A/F</x:v>
      </x:c>
      <x:c r="F112" s="26" t="str">
        <x:v>Cerrar semana positiva.</x:v>
      </x:c>
      <x:c r="G112" s="26" t="str">
        <x:v>Escenario</x:v>
      </x:c>
      <x:c r="H112" s="26" t="str">
        <x:v>Activo</x:v>
      </x:c>
      <x:c r="I112" s="26" t="str">
        <x:v>VRM Games</x:v>
      </x:c>
    </x:row>
    <x:row r="113" ht="30" customHeight="1">
      <x:c r="A113" s="26" t="str">
        <x:v>VS-TST-027</x:v>
      </x:c>
      <x:c r="B113" s="26" t="str">
        <x:v>02_Vertical_Slice_Specification.md</x:v>
      </x:c>
      <x:c r="C113" s="26" t="str">
        <x:v>8.2. Escenarios obligatorios</x:v>
      </x:c>
      <x:c r="D113" s="26" t="str">
        <x:v>TST</x:v>
      </x:c>
      <x:c r="E113" s="26" t="str">
        <x:v>A/F</x:v>
      </x:c>
      <x:c r="F113" s="26" t="str">
        <x:v>Cerrar semana cero/negativa.</x:v>
      </x:c>
      <x:c r="G113" s="26" t="str">
        <x:v>Escenario</x:v>
      </x:c>
      <x:c r="H113" s="26" t="str">
        <x:v>Activo</x:v>
      </x:c>
      <x:c r="I113" s="26" t="str">
        <x:v>VRM Games</x:v>
      </x:c>
    </x:row>
    <x:row r="114" ht="30" customHeight="1">
      <x:c r="A114" s="26" t="str">
        <x:v>VS-TST-028</x:v>
      </x:c>
      <x:c r="B114" s="26" t="str">
        <x:v>02_Vertical_Slice_Specification.md</x:v>
      </x:c>
      <x:c r="C114" s="26" t="str">
        <x:v>8.2. Escenarios obligatorios</x:v>
      </x:c>
      <x:c r="D114" s="26" t="str">
        <x:v>TST</x:v>
      </x:c>
      <x:c r="E114" s="26" t="str">
        <x:v>C/D</x:v>
      </x:c>
      <x:c r="F114" s="26" t="str">
        <x:v>Guardar cuando está permitido.</x:v>
      </x:c>
      <x:c r="G114" s="26" t="str">
        <x:v>Escenario</x:v>
      </x:c>
      <x:c r="H114" s="26" t="str">
        <x:v>Activo</x:v>
      </x:c>
      <x:c r="I114" s="26" t="str">
        <x:v>VRM Games</x:v>
      </x:c>
    </x:row>
    <x:row r="115" ht="30" customHeight="1">
      <x:c r="A115" s="26" t="str">
        <x:v>VS-TST-029</x:v>
      </x:c>
      <x:c r="B115" s="26" t="str">
        <x:v>02_Vertical_Slice_Specification.md</x:v>
      </x:c>
      <x:c r="C115" s="26" t="str">
        <x:v>8.2. Escenarios obligatorios</x:v>
      </x:c>
      <x:c r="D115" s="26" t="str">
        <x:v>TST</x:v>
      </x:c>
      <x:c r="E115" s="26" t="str">
        <x:v>C/D</x:v>
      </x:c>
      <x:c r="F115" s="26" t="str">
        <x:v>Intentar guardar donde no procede.</x:v>
      </x:c>
      <x:c r="G115" s="26" t="str">
        <x:v>Escenario</x:v>
      </x:c>
      <x:c r="H115" s="26" t="str">
        <x:v>Activo</x:v>
      </x:c>
      <x:c r="I115" s="26" t="str">
        <x:v>VRM Games</x:v>
      </x:c>
    </x:row>
    <x:row r="116" ht="30" customHeight="1">
      <x:c r="A116" s="26" t="str">
        <x:v>VS-TST-030</x:v>
      </x:c>
      <x:c r="B116" s="26" t="str">
        <x:v>02_Vertical_Slice_Specification.md</x:v>
      </x:c>
      <x:c r="C116" s="26" t="str">
        <x:v>8.2. Escenarios obligatorios</x:v>
      </x:c>
      <x:c r="D116" s="26" t="str">
        <x:v>TST</x:v>
      </x:c>
      <x:c r="E116" s="26" t="str">
        <x:v>A/D</x:v>
      </x:c>
      <x:c r="F116" s="26" t="str">
        <x:v>Snapshot antes y después.</x:v>
      </x:c>
      <x:c r="G116" s="26" t="str">
        <x:v>Escenario</x:v>
      </x:c>
      <x:c r="H116" s="26" t="str">
        <x:v>Activo</x:v>
      </x:c>
      <x:c r="I116" s="26" t="str">
        <x:v>VRM Games</x:v>
      </x:c>
    </x:row>
    <x:row r="117" ht="30" customHeight="1">
      <x:c r="A117" s="26" t="str">
        <x:v>VS-TST-031</x:v>
      </x:c>
      <x:c r="B117" s="26" t="str">
        <x:v>02_Vertical_Slice_Specification.md</x:v>
      </x:c>
      <x:c r="C117" s="26" t="str">
        <x:v>8.2. Escenarios obligatorios</x:v>
      </x:c>
      <x:c r="D117" s="26" t="str">
        <x:v>TST</x:v>
      </x:c>
      <x:c r="E117" s="26" t="str">
        <x:v>B/E</x:v>
      </x:c>
      <x:c r="F117" s="26" t="str">
        <x:v>Probar recuperación soportada.</x:v>
      </x:c>
      <x:c r="G117" s="26" t="str">
        <x:v>Escenario</x:v>
      </x:c>
      <x:c r="H117" s="26" t="str">
        <x:v>Activo</x:v>
      </x:c>
      <x:c r="I117" s="26" t="str">
        <x:v>VRM Games</x:v>
      </x:c>
    </x:row>
    <x:row r="118" ht="30" customHeight="1">
      <x:c r="A118" s="26" t="str">
        <x:v>VS-TST-032</x:v>
      </x:c>
      <x:c r="B118" s="26" t="str">
        <x:v>02_Vertical_Slice_Specification.md</x:v>
      </x:c>
      <x:c r="C118" s="26" t="str">
        <x:v>8.2. Escenarios obligatorios</x:v>
      </x:c>
      <x:c r="D118" s="26" t="str">
        <x:v>TST</x:v>
      </x:c>
      <x:c r="E118" s="26" t="str">
        <x:v>C/D</x:v>
      </x:c>
      <x:c r="F118" s="26" t="str">
        <x:v>Operar todas las pantallas sobre mundo interactivo.</x:v>
      </x:c>
      <x:c r="G118" s="26" t="str">
        <x:v>Escenario</x:v>
      </x:c>
      <x:c r="H118" s="26" t="str">
        <x:v>Activo</x:v>
      </x:c>
      <x:c r="I118" s="26" t="str">
        <x:v>VRM Games</x:v>
      </x:c>
    </x:row>
    <x:row r="119" ht="30" customHeight="1">
      <x:c r="A119" s="26" t="str">
        <x:v>VS-TST-033</x:v>
      </x:c>
      <x:c r="B119" s="26" t="str">
        <x:v>02_Vertical_Slice_Specification.md</x:v>
      </x:c>
      <x:c r="C119" s="26" t="str">
        <x:v>8.2. Escenarios obligatorios</x:v>
      </x:c>
      <x:c r="D119" s="26" t="str">
        <x:v>TST</x:v>
      </x:c>
      <x:c r="E119" s="26" t="str">
        <x:v>C/E</x:v>
      </x:c>
      <x:c r="F119" s="26" t="str">
        <x:v>Recorrer UI completa.</x:v>
      </x:c>
      <x:c r="G119" s="26" t="str">
        <x:v>Escenario</x:v>
      </x:c>
      <x:c r="H119" s="26" t="str">
        <x:v>Activo</x:v>
      </x:c>
      <x:c r="I119" s="26" t="str">
        <x:v>VRM Games</x:v>
      </x:c>
    </x:row>
    <x:row r="120" ht="30" customHeight="1">
      <x:c r="A120" s="26" t="str">
        <x:v>VS-TST-034</x:v>
      </x:c>
      <x:c r="B120" s="26" t="str">
        <x:v>02_Vertical_Slice_Specification.md</x:v>
      </x:c>
      <x:c r="C120" s="26" t="str">
        <x:v>8.2. Escenarios obligatorios</x:v>
      </x:c>
      <x:c r="D120" s="26" t="str">
        <x:v>TST</x:v>
      </x:c>
      <x:c r="E120" s="26" t="str">
        <x:v>C/E</x:v>
      </x:c>
      <x:c r="F120" s="26" t="str">
        <x:v>Completar Golden Path.</x:v>
      </x:c>
      <x:c r="G120" s="26" t="str">
        <x:v>Escenario</x:v>
      </x:c>
      <x:c r="H120" s="26" t="str">
        <x:v>Activo</x:v>
      </x:c>
      <x:c r="I120" s="26" t="str">
        <x:v>VRM Games</x:v>
      </x:c>
    </x:row>
    <x:row r="121" ht="30" customHeight="1">
      <x:c r="A121" s="26" t="str">
        <x:v>VS-TST-035</x:v>
      </x:c>
      <x:c r="B121" s="26" t="str">
        <x:v>02_Vertical_Slice_Specification.md</x:v>
      </x:c>
      <x:c r="C121" s="26" t="str">
        <x:v>8.2. Escenarios obligatorios</x:v>
      </x:c>
      <x:c r="D121" s="26" t="str">
        <x:v>TST</x:v>
      </x:c>
      <x:c r="E121" s="26" t="str">
        <x:v>C/E</x:v>
      </x:c>
      <x:c r="F121" s="26" t="str">
        <x:v>Completar Golden Path.</x:v>
      </x:c>
      <x:c r="G121" s="26" t="str">
        <x:v>Escenario</x:v>
      </x:c>
      <x:c r="H121" s="26" t="str">
        <x:v>Activo</x:v>
      </x:c>
      <x:c r="I121" s="26" t="str">
        <x:v>VRM Games</x:v>
      </x:c>
    </x:row>
    <x:row r="122" ht="30" customHeight="1">
      <x:c r="A122" s="26" t="str">
        <x:v>VS-TST-036</x:v>
      </x:c>
      <x:c r="B122" s="26" t="str">
        <x:v>02_Vertical_Slice_Specification.md</x:v>
      </x:c>
      <x:c r="C122" s="26" t="str">
        <x:v>8.2. Escenarios obligatorios</x:v>
      </x:c>
      <x:c r="D122" s="26" t="str">
        <x:v>TST</x:v>
      </x:c>
      <x:c r="E122" s="26" t="str">
        <x:v>C/E</x:v>
      </x:c>
      <x:c r="F122" s="26" t="str">
        <x:v>Entrada/salida con varios agentes.</x:v>
      </x:c>
      <x:c r="G122" s="26" t="str">
        <x:v>Escenario</x:v>
      </x:c>
      <x:c r="H122" s="26" t="str">
        <x:v>Activo</x:v>
      </x:c>
      <x:c r="I122" s="26" t="str">
        <x:v>VRM Games</x:v>
      </x:c>
    </x:row>
    <x:row r="123" ht="30" customHeight="1">
      <x:c r="A123" s="26" t="str">
        <x:v>VS-TST-037</x:v>
      </x:c>
      <x:c r="B123" s="26" t="str">
        <x:v>02_Vertical_Slice_Specification.md</x:v>
      </x:c>
      <x:c r="C123" s="26" t="str">
        <x:v>8.2. Escenarios obligatorios</x:v>
      </x:c>
      <x:c r="D123" s="26" t="str">
        <x:v>TST</x:v>
      </x:c>
      <x:c r="E123" s="26" t="str">
        <x:v>E/F</x:v>
      </x:c>
      <x:c r="F123" s="26" t="str">
        <x:v>Tienda equipada y 8 clientes.</x:v>
      </x:c>
      <x:c r="G123" s="26" t="str">
        <x:v>Escenario</x:v>
      </x:c>
      <x:c r="H123" s="26" t="str">
        <x:v>Activo</x:v>
      </x:c>
      <x:c r="I123" s="26" t="str">
        <x:v>VRM Games</x:v>
      </x:c>
    </x:row>
    <x:row r="124" ht="30" customHeight="1">
      <x:c r="A124" s="26" t="str">
        <x:v>VS-TST-038</x:v>
      </x:c>
      <x:c r="B124" s="26" t="str">
        <x:v>02_Vertical_Slice_Specification.md</x:v>
      </x:c>
      <x:c r="C124" s="26" t="str">
        <x:v>8.2. Escenarios obligatorios</x:v>
      </x:c>
      <x:c r="D124" s="26" t="str">
        <x:v>TST</x:v>
      </x:c>
      <x:c r="E124" s="26" t="str">
        <x:v>E/F</x:v>
      </x:c>
      <x:c r="F124" s="26" t="str">
        <x:v>Sesión prolongada y varios días.</x:v>
      </x:c>
      <x:c r="G124" s="26" t="str">
        <x:v>Escenario</x:v>
      </x:c>
      <x:c r="H124" s="26" t="str">
        <x:v>Activo</x:v>
      </x:c>
      <x:c r="I124" s="26" t="str">
        <x:v>VRM Games</x:v>
      </x:c>
    </x:row>
    <x:row r="125" ht="30" customHeight="1">
      <x:c r="A125" s="26" t="str">
        <x:v>VS-TST-039</x:v>
      </x:c>
      <x:c r="B125" s="26" t="str">
        <x:v>02_Vertical_Slice_Specification.md</x:v>
      </x:c>
      <x:c r="C125" s="26" t="str">
        <x:v>8.2. Escenarios obligatorios</x:v>
      </x:c>
      <x:c r="D125" s="26" t="str">
        <x:v>TST</x:v>
      </x:c>
      <x:c r="E125" s="26" t="str">
        <x:v>E</x:v>
      </x:c>
      <x:c r="F125" s="26" t="str">
        <x:v>Ejecutar en entorno fuera del Editor.</x:v>
      </x:c>
      <x:c r="G125" s="26" t="str">
        <x:v>Escenario</x:v>
      </x:c>
      <x:c r="H125" s="26" t="str">
        <x:v>Activo</x:v>
      </x:c>
      <x:c r="I125" s="26" t="str">
        <x:v>VRM Games</x:v>
      </x:c>
    </x:row>
    <x:row r="126" ht="30" customHeight="1">
      <x:c r="A126" s="26" t="str">
        <x:v>VS-TST-040</x:v>
      </x:c>
      <x:c r="B126" s="26" t="str">
        <x:v>02_Vertical_Slice_Specification.md</x:v>
      </x:c>
      <x:c r="C126" s="26" t="str">
        <x:v>8.2. Escenarios obligatorios</x:v>
      </x:c>
      <x:c r="D126" s="26" t="str">
        <x:v>TST</x:v>
      </x:c>
      <x:c r="E126" s="26" t="str">
        <x:v>A/B/C</x:v>
      </x:c>
      <x:c r="F126" s="26" t="str">
        <x:v>Ejecutar suite y checklist.</x:v>
      </x:c>
      <x:c r="G126" s="26" t="str">
        <x:v>Escenario</x:v>
      </x:c>
      <x:c r="H126" s="26" t="str">
        <x:v>Activo</x:v>
      </x:c>
      <x:c r="I126" s="26" t="str">
        <x:v>VRM Games</x:v>
      </x:c>
    </x:row>
    <x:row r="127" ht="30" customHeight="1">
      <x:c r="A127" s="26" t="str">
        <x:v>UX-BOOT-001</x:v>
      </x:c>
      <x:c r="B127" s="26" t="str">
        <x:v>05_UX_Flow.md</x:v>
      </x:c>
      <x:c r="C127" s="26" t="str">
        <x:v>30.1. Arranque y escenas</x:v>
      </x:c>
      <x:c r="D127" s="26" t="str">
        <x:v>BOOT</x:v>
      </x:c>
      <x:c r="E127" s="26" t="str">
        <x:v>La aplicación entra por Bootstrap.</x:v>
      </x:c>
      <x:c r="F127" s="26"/>
      <x:c r="G127" s="26" t="str">
        <x:v>Criterio UX</x:v>
      </x:c>
      <x:c r="H127" s="26" t="str">
        <x:v>Activo</x:v>
      </x:c>
      <x:c r="I127" s="26" t="str">
        <x:v>VRM Games</x:v>
      </x:c>
    </x:row>
    <x:row r="128" ht="30" customHeight="1">
      <x:c r="A128" s="26" t="str">
        <x:v>UX-BOOT-002</x:v>
      </x:c>
      <x:c r="B128" s="26" t="str">
        <x:v>05_UX_Flow.md</x:v>
      </x:c>
      <x:c r="C128" s="26" t="str">
        <x:v>30.1. Arranque y escenas</x:v>
      </x:c>
      <x:c r="D128" s="26" t="str">
        <x:v>BOOT</x:v>
      </x:c>
      <x:c r="E128" s="26" t="str">
        <x:v>MainMenu se carga mediante transición controlada.</x:v>
      </x:c>
      <x:c r="F128" s="26"/>
      <x:c r="G128" s="26" t="str">
        <x:v>Criterio UX</x:v>
      </x:c>
      <x:c r="H128" s="26" t="str">
        <x:v>Activo</x:v>
      </x:c>
      <x:c r="I128" s="26" t="str">
        <x:v>VRM Games</x:v>
      </x:c>
    </x:row>
    <x:row r="129" ht="30" customHeight="1">
      <x:c r="A129" s="26" t="str">
        <x:v>UX-BOOT-003</x:v>
      </x:c>
      <x:c r="B129" s="26" t="str">
        <x:v>05_UX_Flow.md</x:v>
      </x:c>
      <x:c r="C129" s="26" t="str">
        <x:v>30.1. Arranque y escenas</x:v>
      </x:c>
      <x:c r="D129" s="26" t="str">
        <x:v>BOOT</x:v>
      </x:c>
      <x:c r="E129" s="26" t="str">
        <x:v>No existen solicitudes concurrentes de escena.</x:v>
      </x:c>
      <x:c r="F129" s="26"/>
      <x:c r="G129" s="26" t="str">
        <x:v>Criterio UX</x:v>
      </x:c>
      <x:c r="H129" s="26" t="str">
        <x:v>Activo</x:v>
      </x:c>
      <x:c r="I129" s="26" t="str">
        <x:v>VRM Games</x:v>
      </x:c>
    </x:row>
    <x:row r="130" ht="30" customHeight="1">
      <x:c r="A130" s="26" t="str">
        <x:v>UX-BOOT-004</x:v>
      </x:c>
      <x:c r="B130" s="26" t="str">
        <x:v>05_UX_Flow.md</x:v>
      </x:c>
      <x:c r="C130" s="26" t="str">
        <x:v>30.1. Arranque y escenas</x:v>
      </x:c>
      <x:c r="D130" s="26" t="str">
        <x:v>BOOT</x:v>
      </x:c>
      <x:c r="E130" s="26" t="str">
        <x:v>TestLab no aparece en producción.</x:v>
      </x:c>
      <x:c r="F130" s="26"/>
      <x:c r="G130" s="26" t="str">
        <x:v>Criterio UX</x:v>
      </x:c>
      <x:c r="H130" s="26" t="str">
        <x:v>Activo</x:v>
      </x:c>
      <x:c r="I130" s="26" t="str">
        <x:v>VRM Games</x:v>
      </x:c>
    </x:row>
    <x:row r="131" ht="30" customHeight="1">
      <x:c r="A131" s="26" t="str">
        <x:v>UX-BOOT-005</x:v>
      </x:c>
      <x:c r="B131" s="26" t="str">
        <x:v>05_UX_Flow.md</x:v>
      </x:c>
      <x:c r="C131" s="26" t="str">
        <x:v>30.1. Arranque y escenas</x:v>
      </x:c>
      <x:c r="D131" s="26" t="str">
        <x:v>BOOT</x:v>
      </x:c>
      <x:c r="E131" s="26" t="str">
        <x:v>Un fallo de carga ofrece recuperación segura.</x:v>
      </x:c>
      <x:c r="F131" s="26"/>
      <x:c r="G131" s="26" t="str">
        <x:v>Criterio UX</x:v>
      </x:c>
      <x:c r="H131" s="26" t="str">
        <x:v>Activo</x:v>
      </x:c>
      <x:c r="I131" s="26" t="str">
        <x:v>VRM Games</x:v>
      </x:c>
    </x:row>
    <x:row r="132" ht="30" customHeight="1">
      <x:c r="A132" s="26" t="str">
        <x:v>UX-BOOT-006</x:v>
      </x:c>
      <x:c r="B132" s="26" t="str">
        <x:v>05_UX_Flow.md</x:v>
      </x:c>
      <x:c r="C132" s="26" t="str">
        <x:v>30.1. Arranque y escenas</x:v>
      </x:c>
      <x:c r="D132" s="26" t="str">
        <x:v>BOOT</x:v>
      </x:c>
      <x:c r="E132" s="26" t="str">
        <x:v>El clic de cierre de loading no mueve al jugador.</x:v>
      </x:c>
      <x:c r="F132" s="26"/>
      <x:c r="G132" s="26" t="str">
        <x:v>Criterio UX</x:v>
      </x:c>
      <x:c r="H132" s="26" t="str">
        <x:v>Activo</x:v>
      </x:c>
      <x:c r="I132" s="26" t="str">
        <x:v>VRM Games</x:v>
      </x:c>
    </x:row>
    <x:row r="133" ht="30" customHeight="1">
      <x:c r="A133" s="26" t="str">
        <x:v>UX-SLOT-001</x:v>
      </x:c>
      <x:c r="B133" s="26" t="str">
        <x:v>05_UX_Flow.md</x:v>
      </x:c>
      <x:c r="C133" s="26" t="str">
        <x:v>30.2. Slots</x:v>
      </x:c>
      <x:c r="D133" s="26" t="str">
        <x:v>SLOT</x:v>
      </x:c>
      <x:c r="E133" s="26" t="str">
        <x:v>Un slot vacío ofrece nueva partida.</x:v>
      </x:c>
      <x:c r="F133" s="26"/>
      <x:c r="G133" s="26" t="str">
        <x:v>Criterio UX</x:v>
      </x:c>
      <x:c r="H133" s="26" t="str">
        <x:v>Activo</x:v>
      </x:c>
      <x:c r="I133" s="26" t="str">
        <x:v>VRM Games</x:v>
      </x:c>
    </x:row>
    <x:row r="134" ht="30" customHeight="1">
      <x:c r="A134" s="26" t="str">
        <x:v>UX-SLOT-002</x:v>
      </x:c>
      <x:c r="B134" s="26" t="str">
        <x:v>05_UX_Flow.md</x:v>
      </x:c>
      <x:c r="C134" s="26" t="str">
        <x:v>30.2. Slots</x:v>
      </x:c>
      <x:c r="D134" s="26" t="str">
        <x:v>SLOT</x:v>
      </x:c>
      <x:c r="E134" s="26" t="str">
        <x:v>Un slot válido muestra información suficiente.</x:v>
      </x:c>
      <x:c r="F134" s="26"/>
      <x:c r="G134" s="26" t="str">
        <x:v>Criterio UX</x:v>
      </x:c>
      <x:c r="H134" s="26" t="str">
        <x:v>Activo</x:v>
      </x:c>
      <x:c r="I134" s="26" t="str">
        <x:v>VRM Games</x:v>
      </x:c>
    </x:row>
    <x:row r="135" ht="30" customHeight="1">
      <x:c r="A135" s="26" t="str">
        <x:v>UX-SLOT-003</x:v>
      </x:c>
      <x:c r="B135" s="26" t="str">
        <x:v>05_UX_Flow.md</x:v>
      </x:c>
      <x:c r="C135" s="26" t="str">
        <x:v>30.2. Slots</x:v>
      </x:c>
      <x:c r="D135" s="26" t="str">
        <x:v>SLOT</x:v>
      </x:c>
      <x:c r="E135" s="26" t="str">
        <x:v>Reemplazar exige confirmación inequívoca.</x:v>
      </x:c>
      <x:c r="F135" s="26"/>
      <x:c r="G135" s="26" t="str">
        <x:v>Criterio UX</x:v>
      </x:c>
      <x:c r="H135" s="26" t="str">
        <x:v>Activo</x:v>
      </x:c>
      <x:c r="I135" s="26" t="str">
        <x:v>VRM Games</x:v>
      </x:c>
    </x:row>
    <x:row r="136" ht="30" customHeight="1">
      <x:c r="A136" s="26" t="str">
        <x:v>UX-SLOT-004</x:v>
      </x:c>
      <x:c r="B136" s="26" t="str">
        <x:v>05_UX_Flow.md</x:v>
      </x:c>
      <x:c r="C136" s="26" t="str">
        <x:v>30.2. Slots</x:v>
      </x:c>
      <x:c r="D136" s="26" t="str">
        <x:v>SLOT</x:v>
      </x:c>
      <x:c r="E136" s="26" t="str">
        <x:v>Borrar exige confirmación.</x:v>
      </x:c>
      <x:c r="F136" s="26"/>
      <x:c r="G136" s="26" t="str">
        <x:v>Criterio UX</x:v>
      </x:c>
      <x:c r="H136" s="26" t="str">
        <x:v>Activo</x:v>
      </x:c>
      <x:c r="I136" s="26" t="str">
        <x:v>VRM Games</x:v>
      </x:c>
    </x:row>
    <x:row r="137" ht="30" customHeight="1">
      <x:c r="A137" s="26" t="str">
        <x:v>UX-SLOT-005</x:v>
      </x:c>
      <x:c r="B137" s="26" t="str">
        <x:v>05_UX_Flow.md</x:v>
      </x:c>
      <x:c r="C137" s="26" t="str">
        <x:v>30.2. Slots</x:v>
      </x:c>
      <x:c r="D137" s="26" t="str">
        <x:v>SLOT</x:v>
      </x:c>
      <x:c r="E137" s="26" t="str">
        <x:v>El backup se ofrece cuando el primario falla.</x:v>
      </x:c>
      <x:c r="F137" s="26"/>
      <x:c r="G137" s="26" t="str">
        <x:v>Criterio UX</x:v>
      </x:c>
      <x:c r="H137" s="26" t="str">
        <x:v>Activo</x:v>
      </x:c>
      <x:c r="I137" s="26" t="str">
        <x:v>VRM Games</x:v>
      </x:c>
    </x:row>
    <x:row r="138" ht="30" customHeight="1">
      <x:c r="A138" s="26" t="str">
        <x:v>UX-SLOT-006</x:v>
      </x:c>
      <x:c r="B138" s="26" t="str">
        <x:v>05_UX_Flow.md</x:v>
      </x:c>
      <x:c r="C138" s="26" t="str">
        <x:v>30.2. Slots</x:v>
      </x:c>
      <x:c r="D138" s="26" t="str">
        <x:v>SLOT</x:v>
      </x:c>
      <x:c r="E138" s="26" t="str">
        <x:v>Un error no sobrescribe el guardado existente.</x:v>
      </x:c>
      <x:c r="F138" s="26"/>
      <x:c r="G138" s="26" t="str">
        <x:v>Criterio UX</x:v>
      </x:c>
      <x:c r="H138" s="26" t="str">
        <x:v>Activo</x:v>
      </x:c>
      <x:c r="I138" s="26" t="str">
        <x:v>VRM Games</x:v>
      </x:c>
    </x:row>
    <x:row r="139" ht="30" customHeight="1">
      <x:c r="A139" s="26" t="str">
        <x:v>UX-SLOT-007</x:v>
      </x:c>
      <x:c r="B139" s="26" t="str">
        <x:v>05_UX_Flow.md</x:v>
      </x:c>
      <x:c r="C139" s="26" t="str">
        <x:v>30.2. Slots</x:v>
      </x:c>
      <x:c r="D139" s="26" t="str">
        <x:v>SLOT</x:v>
      </x:c>
      <x:c r="E139" s="26" t="str">
        <x:v>La carga no finaliza antes de restaurar escena y estado.</x:v>
      </x:c>
      <x:c r="F139" s="26"/>
      <x:c r="G139" s="26" t="str">
        <x:v>Criterio UX</x:v>
      </x:c>
      <x:c r="H139" s="26" t="str">
        <x:v>Activo</x:v>
      </x:c>
      <x:c r="I139" s="26" t="str">
        <x:v>VRM Games</x:v>
      </x:c>
    </x:row>
    <x:row r="140" ht="30" customHeight="1">
      <x:c r="A140" s="26" t="str">
        <x:v>UX-INP-001</x:v>
      </x:c>
      <x:c r="B140" s="26" t="str">
        <x:v>05_UX_Flow.md</x:v>
      </x:c>
      <x:c r="C140" s="26" t="str">
        <x:v>30.3. Input</x:v>
      </x:c>
      <x:c r="D140" s="26" t="str">
        <x:v>INP</x:v>
      </x:c>
      <x:c r="E140" s="26" t="str">
        <x:v>UI y mundo no procesan el mismo clic.</x:v>
      </x:c>
      <x:c r="F140" s="26"/>
      <x:c r="G140" s="26" t="str">
        <x:v>Criterio UX</x:v>
      </x:c>
      <x:c r="H140" s="26" t="str">
        <x:v>Activo</x:v>
      </x:c>
      <x:c r="I140" s="26" t="str">
        <x:v>VRM Games</x:v>
      </x:c>
    </x:row>
    <x:row r="141" ht="30" customHeight="1">
      <x:c r="A141" s="26" t="str">
        <x:v>UX-INP-002</x:v>
      </x:c>
      <x:c r="B141" s="26" t="str">
        <x:v>05_UX_Flow.md</x:v>
      </x:c>
      <x:c r="C141" s="26" t="str">
        <x:v>30.3. Input</x:v>
      </x:c>
      <x:c r="D141" s="26" t="str">
        <x:v>INP</x:v>
      </x:c>
      <x:c r="E141" s="26" t="str">
        <x:v>Solo un contexto captura input principal.</x:v>
      </x:c>
      <x:c r="F141" s="26"/>
      <x:c r="G141" s="26" t="str">
        <x:v>Criterio UX</x:v>
      </x:c>
      <x:c r="H141" s="26" t="str">
        <x:v>Activo</x:v>
      </x:c>
      <x:c r="I141" s="26" t="str">
        <x:v>VRM Games</x:v>
      </x:c>
    </x:row>
    <x:row r="142" ht="30" customHeight="1">
      <x:c r="A142" s="26" t="str">
        <x:v>UX-INP-003</x:v>
      </x:c>
      <x:c r="B142" s="26" t="str">
        <x:v>05_UX_Flow.md</x:v>
      </x:c>
      <x:c r="C142" s="26" t="str">
        <x:v>30.3. Input</x:v>
      </x:c>
      <x:c r="D142" s="26" t="str">
        <x:v>INP</x:v>
      </x:c>
      <x:c r="E142" s="26" t="str">
        <x:v>Escape resuelve primero el contexto más profundo.</x:v>
      </x:c>
      <x:c r="F142" s="26"/>
      <x:c r="G142" s="26" t="str">
        <x:v>Criterio UX</x:v>
      </x:c>
      <x:c r="H142" s="26" t="str">
        <x:v>Activo</x:v>
      </x:c>
      <x:c r="I142" s="26" t="str">
        <x:v>VRM Games</x:v>
      </x:c>
    </x:row>
    <x:row r="143" ht="30" customHeight="1">
      <x:c r="A143" s="26" t="str">
        <x:v>UX-INP-004</x:v>
      </x:c>
      <x:c r="B143" s="26" t="str">
        <x:v>05_UX_Flow.md</x:v>
      </x:c>
      <x:c r="C143" s="26" t="str">
        <x:v>30.3. Input</x:v>
      </x:c>
      <x:c r="D143" s="26" t="str">
        <x:v>INP</x:v>
      </x:c>
      <x:c r="E143" s="26" t="str">
        <x:v>Pausa impide mutaciones de gameplay.</x:v>
      </x:c>
      <x:c r="F143" s="26"/>
      <x:c r="G143" s="26" t="str">
        <x:v>Criterio UX</x:v>
      </x:c>
      <x:c r="H143" s="26" t="str">
        <x:v>Activo</x:v>
      </x:c>
      <x:c r="I143" s="26" t="str">
        <x:v>VRM Games</x:v>
      </x:c>
    </x:row>
    <x:row r="144" ht="30" customHeight="1">
      <x:c r="A144" s="26" t="str">
        <x:v>UX-INP-005</x:v>
      </x:c>
      <x:c r="B144" s="26" t="str">
        <x:v>05_UX_Flow.md</x:v>
      </x:c>
      <x:c r="C144" s="26" t="str">
        <x:v>30.3. Input</x:v>
      </x:c>
      <x:c r="D144" s="26" t="str">
        <x:v>INP</x:v>
      </x:c>
      <x:c r="E144" s="26" t="str">
        <x:v>Las instrucciones muestran bindings vigentes.</x:v>
      </x:c>
      <x:c r="F144" s="26"/>
      <x:c r="G144" s="26" t="str">
        <x:v>Criterio UX</x:v>
      </x:c>
      <x:c r="H144" s="26" t="str">
        <x:v>Activo</x:v>
      </x:c>
      <x:c r="I144" s="26" t="str">
        <x:v>VRM Games</x:v>
      </x:c>
    </x:row>
    <x:row r="145" ht="30" customHeight="1">
      <x:c r="A145" s="26" t="str">
        <x:v>UX-INP-006</x:v>
      </x:c>
      <x:c r="B145" s="26" t="str">
        <x:v>05_UX_Flow.md</x:v>
      </x:c>
      <x:c r="C145" s="26" t="str">
        <x:v>30.3. Input</x:v>
      </x:c>
      <x:c r="D145" s="26" t="str">
        <x:v>INP</x:v>
      </x:c>
      <x:c r="E145" s="26" t="str">
        <x:v>La cámara no activa interacciones.</x:v>
      </x:c>
      <x:c r="F145" s="26"/>
      <x:c r="G145" s="26" t="str">
        <x:v>Criterio UX</x:v>
      </x:c>
      <x:c r="H145" s="26" t="str">
        <x:v>Activo</x:v>
      </x:c>
      <x:c r="I145" s="26" t="str">
        <x:v>VRM Games</x:v>
      </x:c>
    </x:row>
    <x:row r="146" ht="30" customHeight="1">
      <x:c r="A146" s="26" t="str">
        <x:v>UX-BLD-001</x:v>
      </x:c>
      <x:c r="B146" s="26" t="str">
        <x:v>05_UX_Flow.md</x:v>
      </x:c>
      <x:c r="C146" s="26" t="str">
        <x:v>30.4. Construcción</x:v>
      </x:c>
      <x:c r="D146" s="26" t="str">
        <x:v>BLD</x:v>
      </x:c>
      <x:c r="E146" s="26" t="str">
        <x:v>Entrar en BuildMode suprime movimiento.</x:v>
      </x:c>
      <x:c r="F146" s="26"/>
      <x:c r="G146" s="26" t="str">
        <x:v>Criterio UX</x:v>
      </x:c>
      <x:c r="H146" s="26" t="str">
        <x:v>Activo</x:v>
      </x:c>
      <x:c r="I146" s="26" t="str">
        <x:v>VRM Games</x:v>
      </x:c>
    </x:row>
    <x:row r="147" ht="30" customHeight="1">
      <x:c r="A147" s="26" t="str">
        <x:v>UX-BLD-002</x:v>
      </x:c>
      <x:c r="B147" s="26" t="str">
        <x:v>05_UX_Flow.md</x:v>
      </x:c>
      <x:c r="C147" s="26" t="str">
        <x:v>30.4. Construcción</x:v>
      </x:c>
      <x:c r="D147" s="26" t="str">
        <x:v>BLD</x:v>
      </x:c>
      <x:c r="E147" s="26" t="str">
        <x:v>Preview coincide con grid y huella.</x:v>
      </x:c>
      <x:c r="F147" s="26"/>
      <x:c r="G147" s="26" t="str">
        <x:v>Criterio UX</x:v>
      </x:c>
      <x:c r="H147" s="26" t="str">
        <x:v>Activo</x:v>
      </x:c>
      <x:c r="I147" s="26" t="str">
        <x:v>VRM Games</x:v>
      </x:c>
    </x:row>
    <x:row r="148" ht="30" customHeight="1">
      <x:c r="A148" s="26" t="str">
        <x:v>UX-BLD-003</x:v>
      </x:c>
      <x:c r="B148" s="26" t="str">
        <x:v>05_UX_Flow.md</x:v>
      </x:c>
      <x:c r="C148" s="26" t="str">
        <x:v>30.4. Construcción</x:v>
      </x:c>
      <x:c r="D148" s="26" t="str">
        <x:v>BLD</x:v>
      </x:c>
      <x:c r="E148" s="26" t="str">
        <x:v>Q/E rota y revalida.</x:v>
      </x:c>
      <x:c r="F148" s="26"/>
      <x:c r="G148" s="26" t="str">
        <x:v>Criterio UX</x:v>
      </x:c>
      <x:c r="H148" s="26" t="str">
        <x:v>Activo</x:v>
      </x:c>
      <x:c r="I148" s="26" t="str">
        <x:v>VRM Games</x:v>
      </x:c>
    </x:row>
    <x:row r="149" ht="30" customHeight="1">
      <x:c r="A149" s="26" t="str">
        <x:v>UX-BLD-004</x:v>
      </x:c>
      <x:c r="B149" s="26" t="str">
        <x:v>05_UX_Flow.md</x:v>
      </x:c>
      <x:c r="C149" s="26" t="str">
        <x:v>30.4. Construcción</x:v>
      </x:c>
      <x:c r="D149" s="26" t="str">
        <x:v>BLD</x:v>
      </x:c>
      <x:c r="E149" s="26" t="str">
        <x:v>Un placement inválido explica causa.</x:v>
      </x:c>
      <x:c r="F149" s="26"/>
      <x:c r="G149" s="26" t="str">
        <x:v>Criterio UX</x:v>
      </x:c>
      <x:c r="H149" s="26" t="str">
        <x:v>Activo</x:v>
      </x:c>
      <x:c r="I149" s="26" t="str">
        <x:v>VRM Games</x:v>
      </x:c>
    </x:row>
    <x:row r="150" ht="30" customHeight="1">
      <x:c r="A150" s="26" t="str">
        <x:v>UX-BLD-005</x:v>
      </x:c>
      <x:c r="B150" s="26" t="str">
        <x:v>05_UX_Flow.md</x:v>
      </x:c>
      <x:c r="C150" s="26" t="str">
        <x:v>30.4. Construcción</x:v>
      </x:c>
      <x:c r="D150" s="26" t="str">
        <x:v>BLD</x:v>
      </x:c>
      <x:c r="E150" s="26" t="str">
        <x:v>Un placement inválido no cobra ni ocupa.</x:v>
      </x:c>
      <x:c r="F150" s="26"/>
      <x:c r="G150" s="26" t="str">
        <x:v>Criterio UX</x:v>
      </x:c>
      <x:c r="H150" s="26" t="str">
        <x:v>Activo</x:v>
      </x:c>
      <x:c r="I150" s="26" t="str">
        <x:v>VRM Games</x:v>
      </x:c>
    </x:row>
    <x:row r="151" ht="30" customHeight="1">
      <x:c r="A151" s="26" t="str">
        <x:v>UX-BLD-006</x:v>
      </x:c>
      <x:c r="B151" s="26" t="str">
        <x:v>05_UX_Flow.md</x:v>
      </x:c>
      <x:c r="C151" s="26" t="str">
        <x:v>30.4. Construcción</x:v>
      </x:c>
      <x:c r="D151" s="26" t="str">
        <x:v>BLD</x:v>
      </x:c>
      <x:c r="E151" s="26" t="str">
        <x:v>Cancelar movimiento restaura estado anterior.</x:v>
      </x:c>
      <x:c r="F151" s="26"/>
      <x:c r="G151" s="26" t="str">
        <x:v>Criterio UX</x:v>
      </x:c>
      <x:c r="H151" s="26" t="str">
        <x:v>Activo</x:v>
      </x:c>
      <x:c r="I151" s="26" t="str">
        <x:v>VRM Games</x:v>
      </x:c>
    </x:row>
    <x:row r="152" ht="30" customHeight="1">
      <x:c r="A152" s="26" t="str">
        <x:v>UX-BLD-007</x:v>
      </x:c>
      <x:c r="B152" s="26" t="str">
        <x:v>05_UX_Flow.md</x:v>
      </x:c>
      <x:c r="C152" s="26" t="str">
        <x:v>30.4. Construcción</x:v>
      </x:c>
      <x:c r="D152" s="26" t="str">
        <x:v>BLD</x:v>
      </x:c>
      <x:c r="E152" s="26" t="str">
        <x:v>Retirar no destruye stock silenciosamente.</x:v>
      </x:c>
      <x:c r="F152" s="26"/>
      <x:c r="G152" s="26" t="str">
        <x:v>Criterio UX</x:v>
      </x:c>
      <x:c r="H152" s="26" t="str">
        <x:v>Activo</x:v>
      </x:c>
      <x:c r="I152" s="26" t="str">
        <x:v>VRM Games</x:v>
      </x:c>
    </x:row>
    <x:row r="153" ht="30" customHeight="1">
      <x:c r="A153" s="26" t="str">
        <x:v>UX-BLD-008</x:v>
      </x:c>
      <x:c r="B153" s="26" t="str">
        <x:v>05_UX_Flow.md</x:v>
      </x:c>
      <x:c r="C153" s="26" t="str">
        <x:v>30.4. Construcción</x:v>
      </x:c>
      <x:c r="D153" s="26" t="str">
        <x:v>BLD</x:v>
      </x:c>
      <x:c r="E153" s="26" t="str">
        <x:v>El feedback no depende solo del color.</x:v>
      </x:c>
      <x:c r="F153" s="26"/>
      <x:c r="G153" s="26" t="str">
        <x:v>Criterio UX</x:v>
      </x:c>
      <x:c r="H153" s="26" t="str">
        <x:v>Activo</x:v>
      </x:c>
      <x:c r="I153" s="26" t="str">
        <x:v>VRM Games</x:v>
      </x:c>
    </x:row>
    <x:row r="154" ht="30" customHeight="1">
      <x:c r="A154" s="26" t="str">
        <x:v>UX-BLD-009</x:v>
      </x:c>
      <x:c r="B154" s="26" t="str">
        <x:v>05_UX_Flow.md</x:v>
      </x:c>
      <x:c r="C154" s="26" t="str">
        <x:v>30.4. Construcción</x:v>
      </x:c>
      <x:c r="D154" s="26" t="str">
        <x:v>BLD</x:v>
      </x:c>
      <x:c r="E154" s="26" t="str">
        <x:v>Cerrar BuildMode no produce clic de mundo.</x:v>
      </x:c>
      <x:c r="F154" s="26"/>
      <x:c r="G154" s="26" t="str">
        <x:v>Criterio UX</x:v>
      </x:c>
      <x:c r="H154" s="26" t="str">
        <x:v>Activo</x:v>
      </x:c>
      <x:c r="I154" s="26" t="str">
        <x:v>VRM Games</x:v>
      </x:c>
    </x:row>
    <x:row r="155" ht="30" customHeight="1">
      <x:c r="A155" s="26" t="str">
        <x:v>UX-ORD-001</x:v>
      </x:c>
      <x:c r="B155" s="26" t="str">
        <x:v>05_UX_Flow.md</x:v>
      </x:c>
      <x:c r="C155" s="26" t="str">
        <x:v>30.5. Pedidos e inventario</x:v>
      </x:c>
      <x:c r="D155" s="26" t="str">
        <x:v>ORD</x:v>
      </x:c>
      <x:c r="E155" s="26" t="str">
        <x:v>El pedido muestra total antes de confirmar.</x:v>
      </x:c>
      <x:c r="F155" s="26"/>
      <x:c r="G155" s="26" t="str">
        <x:v>Criterio UX</x:v>
      </x:c>
      <x:c r="H155" s="26" t="str">
        <x:v>Activo</x:v>
      </x:c>
      <x:c r="I155" s="26" t="str">
        <x:v>VRM Games</x:v>
      </x:c>
    </x:row>
    <x:row r="156" ht="30" customHeight="1">
      <x:c r="A156" s="26" t="str">
        <x:v>UX-ORD-002</x:v>
      </x:c>
      <x:c r="B156" s="26" t="str">
        <x:v>05_UX_Flow.md</x:v>
      </x:c>
      <x:c r="C156" s="26" t="str">
        <x:v>30.5. Pedidos e inventario</x:v>
      </x:c>
      <x:c r="D156" s="26" t="str">
        <x:v>ORD</x:v>
      </x:c>
      <x:c r="E156" s="26" t="str">
        <x:v>Saldo insuficiente se explica.</x:v>
      </x:c>
      <x:c r="F156" s="26"/>
      <x:c r="G156" s="26" t="str">
        <x:v>Criterio UX</x:v>
      </x:c>
      <x:c r="H156" s="26" t="str">
        <x:v>Activo</x:v>
      </x:c>
      <x:c r="I156" s="26" t="str">
        <x:v>VRM Games</x:v>
      </x:c>
    </x:row>
    <x:row r="157" ht="30" customHeight="1">
      <x:c r="A157" s="26" t="str">
        <x:v>UX-ORD-003</x:v>
      </x:c>
      <x:c r="B157" s="26" t="str">
        <x:v>05_UX_Flow.md</x:v>
      </x:c>
      <x:c r="C157" s="26" t="str">
        <x:v>30.5. Pedidos e inventario</x:v>
      </x:c>
      <x:c r="D157" s="26" t="str">
        <x:v>ORD</x:v>
      </x:c>
      <x:c r="E157" s="26" t="str">
        <x:v>La recepción no puede repetirse.</x:v>
      </x:c>
      <x:c r="F157" s="26"/>
      <x:c r="G157" s="26" t="str">
        <x:v>Criterio UX</x:v>
      </x:c>
      <x:c r="H157" s="26" t="str">
        <x:v>Activo</x:v>
      </x:c>
      <x:c r="I157" s="26" t="str">
        <x:v>VRM Games</x:v>
      </x:c>
    </x:row>
    <x:row r="158" ht="30" customHeight="1">
      <x:c r="A158" s="26" t="str">
        <x:v>UX-INV-001</x:v>
      </x:c>
      <x:c r="B158" s="26" t="str">
        <x:v>05_UX_Flow.md</x:v>
      </x:c>
      <x:c r="C158" s="26" t="str">
        <x:v>30.5. Pedidos e inventario</x:v>
      </x:c>
      <x:c r="D158" s="26" t="str">
        <x:v>INV</x:v>
      </x:c>
      <x:c r="E158" s="26" t="str">
        <x:v>La UI distingue ubicaciones de stock.</x:v>
      </x:c>
      <x:c r="F158" s="26"/>
      <x:c r="G158" s="26" t="str">
        <x:v>Criterio UX</x:v>
      </x:c>
      <x:c r="H158" s="26" t="str">
        <x:v>Activo</x:v>
      </x:c>
      <x:c r="I158" s="26" t="str">
        <x:v>VRM Games</x:v>
      </x:c>
    </x:row>
    <x:row r="159" ht="30" customHeight="1">
      <x:c r="A159" s="26" t="str">
        <x:v>UX-INV-002</x:v>
      </x:c>
      <x:c r="B159" s="26" t="str">
        <x:v>05_UX_Flow.md</x:v>
      </x:c>
      <x:c r="C159" s="26" t="str">
        <x:v>30.5. Pedidos e inventario</x:v>
      </x:c>
      <x:c r="D159" s="26" t="str">
        <x:v>INV</x:v>
      </x:c>
      <x:c r="E159" s="26" t="str">
        <x:v>Transferir valida origen, destino y cantidad.</x:v>
      </x:c>
      <x:c r="F159" s="26"/>
      <x:c r="G159" s="26" t="str">
        <x:v>Criterio UX</x:v>
      </x:c>
      <x:c r="H159" s="26" t="str">
        <x:v>Activo</x:v>
      </x:c>
      <x:c r="I159" s="26" t="str">
        <x:v>VRM Games</x:v>
      </x:c>
    </x:row>
    <x:row r="160" ht="30" customHeight="1">
      <x:c r="A160" s="26" t="str">
        <x:v>UX-INV-003</x:v>
      </x:c>
      <x:c r="B160" s="26" t="str">
        <x:v>05_UX_Flow.md</x:v>
      </x:c>
      <x:c r="C160" s="26" t="str">
        <x:v>30.5. Pedidos e inventario</x:v>
      </x:c>
      <x:c r="D160" s="26" t="str">
        <x:v>INV</x:v>
      </x:c>
      <x:c r="E160" s="26" t="str">
        <x:v>Una transferencia falla sin estado parcial.</x:v>
      </x:c>
      <x:c r="F160" s="26"/>
      <x:c r="G160" s="26" t="str">
        <x:v>Criterio UX</x:v>
      </x:c>
      <x:c r="H160" s="26" t="str">
        <x:v>Activo</x:v>
      </x:c>
      <x:c r="I160" s="26" t="str">
        <x:v>VRM Games</x:v>
      </x:c>
    </x:row>
    <x:row r="161" ht="30" customHeight="1">
      <x:c r="A161" s="26" t="str">
        <x:v>UX-INV-004</x:v>
      </x:c>
      <x:c r="B161" s="26" t="str">
        <x:v>05_UX_Flow.md</x:v>
      </x:c>
      <x:c r="C161" s="26" t="str">
        <x:v>30.5. Pedidos e inventario</x:v>
      </x:c>
      <x:c r="D161" s="26" t="str">
        <x:v>INV</x:v>
      </x:c>
      <x:c r="E161" s="26" t="str">
        <x:v>Los estados vacíos sugieren siguiente acción.</x:v>
      </x:c>
      <x:c r="F161" s="26"/>
      <x:c r="G161" s="26" t="str">
        <x:v>Criterio UX</x:v>
      </x:c>
      <x:c r="H161" s="26" t="str">
        <x:v>Activo</x:v>
      </x:c>
      <x:c r="I161" s="26" t="str">
        <x:v>VRM Games</x:v>
      </x:c>
    </x:row>
    <x:row r="162" ht="30" customHeight="1">
      <x:c r="A162" s="26" t="str">
        <x:v>UX-DSP-001</x:v>
      </x:c>
      <x:c r="B162" s="26" t="str">
        <x:v>05_UX_Flow.md</x:v>
      </x:c>
      <x:c r="C162" s="26" t="str">
        <x:v>30.5. Pedidos e inventario</x:v>
      </x:c>
      <x:c r="D162" s="26" t="str">
        <x:v>DSP</x:v>
      </x:c>
      <x:c r="E162" s="26" t="str">
        <x:v>Asignar producto no crea stock.</x:v>
      </x:c>
      <x:c r="F162" s="26"/>
      <x:c r="G162" s="26" t="str">
        <x:v>Criterio UX</x:v>
      </x:c>
      <x:c r="H162" s="26" t="str">
        <x:v>Activo</x:v>
      </x:c>
      <x:c r="I162" s="26" t="str">
        <x:v>VRM Games</x:v>
      </x:c>
    </x:row>
    <x:row r="163" ht="30" customHeight="1">
      <x:c r="A163" s="26" t="str">
        <x:v>UX-DSP-002</x:v>
      </x:c>
      <x:c r="B163" s="26" t="str">
        <x:v>05_UX_Flow.md</x:v>
      </x:c>
      <x:c r="C163" s="26" t="str">
        <x:v>30.5. Pedidos e inventario</x:v>
      </x:c>
      <x:c r="D163" s="26" t="str">
        <x:v>DSP</x:v>
      </x:c>
      <x:c r="E163" s="26" t="str">
        <x:v>Reasignar preserva unidades.</x:v>
      </x:c>
      <x:c r="F163" s="26"/>
      <x:c r="G163" s="26" t="str">
        <x:v>Criterio UX</x:v>
      </x:c>
      <x:c r="H163" s="26" t="str">
        <x:v>Activo</x:v>
      </x:c>
      <x:c r="I163" s="26" t="str">
        <x:v>VRM Games</x:v>
      </x:c>
    </x:row>
    <x:row r="164" ht="30" customHeight="1">
      <x:c r="A164" s="26" t="str">
        <x:v>UX-DSP-003</x:v>
      </x:c>
      <x:c r="B164" s="26" t="str">
        <x:v>05_UX_Flow.md</x:v>
      </x:c>
      <x:c r="C164" s="26" t="str">
        <x:v>30.5. Pedidos e inventario</x:v>
      </x:c>
      <x:c r="D164" s="26" t="str">
        <x:v>DSP</x:v>
      </x:c>
      <x:c r="E164" s="26" t="str">
        <x:v>Reponer actualiza lógica y visual.</x:v>
      </x:c>
      <x:c r="F164" s="26"/>
      <x:c r="G164" s="26" t="str">
        <x:v>Criterio UX</x:v>
      </x:c>
      <x:c r="H164" s="26" t="str">
        <x:v>Activo</x:v>
      </x:c>
      <x:c r="I164" s="26" t="str">
        <x:v>VRM Games</x:v>
      </x:c>
    </x:row>
    <x:row r="165" ht="30" customHeight="1">
      <x:c r="A165" s="26" t="str">
        <x:v>UX-DAY-001</x:v>
      </x:c>
      <x:c r="B165" s="26" t="str">
        <x:v>05_UX_Flow.md</x:v>
      </x:c>
      <x:c r="C165" s="26" t="str">
        <x:v>30.6. Jornada y clientes</x:v>
      </x:c>
      <x:c r="D165" s="26" t="str">
        <x:v>DAY</x:v>
      </x:c>
      <x:c r="E165" s="26" t="str">
        <x:v>El estado de jornada siempre es visible.</x:v>
      </x:c>
      <x:c r="F165" s="26"/>
      <x:c r="G165" s="26" t="str">
        <x:v>Criterio UX</x:v>
      </x:c>
      <x:c r="H165" s="26" t="str">
        <x:v>Activo</x:v>
      </x:c>
      <x:c r="I165" s="26" t="str">
        <x:v>VRM Games</x:v>
      </x:c>
    </x:row>
    <x:row r="166" ht="30" customHeight="1">
      <x:c r="A166" s="26" t="str">
        <x:v>UX-DAY-002</x:v>
      </x:c>
      <x:c r="B166" s="26" t="str">
        <x:v>05_UX_Flow.md</x:v>
      </x:c>
      <x:c r="C166" s="26" t="str">
        <x:v>30.6. Jornada y clientes</x:v>
      </x:c>
      <x:c r="D166" s="26" t="str">
        <x:v>DAY</x:v>
      </x:c>
      <x:c r="E166" s="26" t="str">
        <x:v>Abrir valida bloqueos críticos.</x:v>
      </x:c>
      <x:c r="F166" s="26"/>
      <x:c r="G166" s="26" t="str">
        <x:v>Criterio UX</x:v>
      </x:c>
      <x:c r="H166" s="26" t="str">
        <x:v>Activo</x:v>
      </x:c>
      <x:c r="I166" s="26" t="str">
        <x:v>VRM Games</x:v>
      </x:c>
    </x:row>
    <x:row r="167" ht="30" customHeight="1">
      <x:c r="A167" s="26" t="str">
        <x:v>UX-DAY-003</x:v>
      </x:c>
      <x:c r="B167" s="26" t="str">
        <x:v>05_UX_Flow.md</x:v>
      </x:c>
      <x:c r="C167" s="26" t="str">
        <x:v>30.6. Jornada y clientes</x:v>
      </x:c>
      <x:c r="D167" s="26" t="str">
        <x:v>DAY</x:v>
      </x:c>
      <x:c r="E167" s="26" t="str">
        <x:v>Closing bloquea nuevos clientes.</x:v>
      </x:c>
      <x:c r="F167" s="26"/>
      <x:c r="G167" s="26" t="str">
        <x:v>Criterio UX</x:v>
      </x:c>
      <x:c r="H167" s="26" t="str">
        <x:v>Activo</x:v>
      </x:c>
      <x:c r="I167" s="26" t="str">
        <x:v>VRM Games</x:v>
      </x:c>
    </x:row>
    <x:row r="168" ht="30" customHeight="1">
      <x:c r="A168" s="26" t="str">
        <x:v>UX-DAY-004</x:v>
      </x:c>
      <x:c r="B168" s="26" t="str">
        <x:v>05_UX_Flow.md</x:v>
      </x:c>
      <x:c r="C168" s="26" t="str">
        <x:v>30.6. Jornada y clientes</x:v>
      </x:c>
      <x:c r="D168" s="26" t="str">
        <x:v>DAY</x:v>
      </x:c>
      <x:c r="E168" s="26" t="str">
        <x:v>Results espera resolución segura.</x:v>
      </x:c>
      <x:c r="F168" s="26"/>
      <x:c r="G168" s="26" t="str">
        <x:v>Criterio UX</x:v>
      </x:c>
      <x:c r="H168" s="26" t="str">
        <x:v>Activo</x:v>
      </x:c>
      <x:c r="I168" s="26" t="str">
        <x:v>VRM Games</x:v>
      </x:c>
    </x:row>
    <x:row r="169" ht="30" customHeight="1">
      <x:c r="A169" s="26" t="str">
        <x:v>UX-CUS-001</x:v>
      </x:c>
      <x:c r="B169" s="26" t="str">
        <x:v>05_UX_Flow.md</x:v>
      </x:c>
      <x:c r="C169" s="26" t="str">
        <x:v>30.6. Jornada y clientes</x:v>
      </x:c>
      <x:c r="D169" s="26" t="str">
        <x:v>CUS</x:v>
      </x:c>
      <x:c r="E169" s="26" t="str">
        <x:v>El cliente comunica intención o problema.</x:v>
      </x:c>
      <x:c r="F169" s="26"/>
      <x:c r="G169" s="26" t="str">
        <x:v>Criterio UX</x:v>
      </x:c>
      <x:c r="H169" s="26" t="str">
        <x:v>Activo</x:v>
      </x:c>
      <x:c r="I169" s="26" t="str">
        <x:v>VRM Games</x:v>
      </x:c>
    </x:row>
    <x:row r="170" ht="30" customHeight="1">
      <x:c r="A170" s="26" t="str">
        <x:v>UX-CUS-002</x:v>
      </x:c>
      <x:c r="B170" s="26" t="str">
        <x:v>05_UX_Flow.md</x:v>
      </x:c>
      <x:c r="C170" s="26" t="str">
        <x:v>30.6. Jornada y clientes</x:v>
      </x:c>
      <x:c r="D170" s="26" t="str">
        <x:v>CUS</x:v>
      </x:c>
      <x:c r="E170" s="26" t="str">
        <x:v>La paciencia se anticipa cuando es accionable.</x:v>
      </x:c>
      <x:c r="F170" s="26"/>
      <x:c r="G170" s="26" t="str">
        <x:v>Criterio UX</x:v>
      </x:c>
      <x:c r="H170" s="26" t="str">
        <x:v>Activo</x:v>
      </x:c>
      <x:c r="I170" s="26" t="str">
        <x:v>VRM Games</x:v>
      </x:c>
    </x:row>
    <x:row r="171" ht="30" customHeight="1">
      <x:c r="A171" s="26" t="str">
        <x:v>UX-CUS-003</x:v>
      </x:c>
      <x:c r="B171" s="26" t="str">
        <x:v>05_UX_Flow.md</x:v>
      </x:c>
      <x:c r="C171" s="26" t="str">
        <x:v>30.6. Jornada y clientes</x:v>
      </x:c>
      <x:c r="D171" s="26" t="str">
        <x:v>CUS</x:v>
      </x:c>
      <x:c r="E171" s="26" t="str">
        <x:v>Abandono registra causa.</x:v>
      </x:c>
      <x:c r="F171" s="26"/>
      <x:c r="G171" s="26" t="str">
        <x:v>Criterio UX</x:v>
      </x:c>
      <x:c r="H171" s="26" t="str">
        <x:v>Activo</x:v>
      </x:c>
      <x:c r="I171" s="26" t="str">
        <x:v>VRM Games</x:v>
      </x:c>
    </x:row>
    <x:row r="172" ht="30" customHeight="1">
      <x:c r="A172" s="26" t="str">
        <x:v>UX-CUS-004</x:v>
      </x:c>
      <x:c r="B172" s="26" t="str">
        <x:v>05_UX_Flow.md</x:v>
      </x:c>
      <x:c r="C172" s="26" t="str">
        <x:v>30.6. Jornada y clientes</x:v>
      </x:c>
      <x:c r="D172" s="26" t="str">
        <x:v>CUS</x:v>
      </x:c>
      <x:c r="E172" s="26" t="str">
        <x:v>Cierre libera reservas.</x:v>
      </x:c>
      <x:c r="F172" s="26"/>
      <x:c r="G172" s="26" t="str">
        <x:v>Criterio UX</x:v>
      </x:c>
      <x:c r="H172" s="26" t="str">
        <x:v>Activo</x:v>
      </x:c>
      <x:c r="I172" s="26" t="str">
        <x:v>VRM Games</x:v>
      </x:c>
    </x:row>
    <x:row r="173" ht="30" customHeight="1">
      <x:c r="A173" s="26" t="str">
        <x:v>UX-CUS-005</x:v>
      </x:c>
      <x:c r="B173" s="26" t="str">
        <x:v>05_UX_Flow.md</x:v>
      </x:c>
      <x:c r="C173" s="26" t="str">
        <x:v>30.6. Jornada y clientes</x:v>
      </x:c>
      <x:c r="D173" s="26" t="str">
        <x:v>CUS</x:v>
      </x:c>
      <x:c r="E173" s="26" t="str">
        <x:v>Un cliente bloqueado no impide terminar jornada.</x:v>
      </x:c>
      <x:c r="F173" s="26"/>
      <x:c r="G173" s="26" t="str">
        <x:v>Criterio UX</x:v>
      </x:c>
      <x:c r="H173" s="26" t="str">
        <x:v>Activo</x:v>
      </x:c>
      <x:c r="I173" s="26" t="str">
        <x:v>VRM Games</x:v>
      </x:c>
    </x:row>
    <x:row r="174" ht="30" customHeight="1">
      <x:c r="A174" s="26" t="str">
        <x:v>UX-CHK-001</x:v>
      </x:c>
      <x:c r="B174" s="26" t="str">
        <x:v>05_UX_Flow.md</x:v>
      </x:c>
      <x:c r="C174" s="26" t="str">
        <x:v>30.7. Checkout y economía</x:v>
      </x:c>
      <x:c r="D174" s="26" t="str">
        <x:v>CHK</x:v>
      </x:c>
      <x:c r="E174" s="26" t="str">
        <x:v>Checkout muestra carrito y total.</x:v>
      </x:c>
      <x:c r="F174" s="26"/>
      <x:c r="G174" s="26" t="str">
        <x:v>Criterio UX</x:v>
      </x:c>
      <x:c r="H174" s="26" t="str">
        <x:v>Activo</x:v>
      </x:c>
      <x:c r="I174" s="26" t="str">
        <x:v>VRM Games</x:v>
      </x:c>
    </x:row>
    <x:row r="175" ht="30" customHeight="1">
      <x:c r="A175" s="26" t="str">
        <x:v>UX-CHK-002</x:v>
      </x:c>
      <x:c r="B175" s="26" t="str">
        <x:v>05_UX_Flow.md</x:v>
      </x:c>
      <x:c r="C175" s="26" t="str">
        <x:v>30.7. Checkout y economía</x:v>
      </x:c>
      <x:c r="D175" s="26" t="str">
        <x:v>CHK</x:v>
      </x:c>
      <x:c r="E175" s="26" t="str">
        <x:v>Preflight ocurre antes de mutar.</x:v>
      </x:c>
      <x:c r="F175" s="26"/>
      <x:c r="G175" s="26" t="str">
        <x:v>Criterio UX</x:v>
      </x:c>
      <x:c r="H175" s="26" t="str">
        <x:v>Activo</x:v>
      </x:c>
      <x:c r="I175" s="26" t="str">
        <x:v>VRM Games</x:v>
      </x:c>
    </x:row>
    <x:row r="176" ht="30" customHeight="1">
      <x:c r="A176" s="26" t="str">
        <x:v>UX-CHK-003</x:v>
      </x:c>
      <x:c r="B176" s="26" t="str">
        <x:v>05_UX_Flow.md</x:v>
      </x:c>
      <x:c r="C176" s="26" t="str">
        <x:v>30.7. Checkout y economía</x:v>
      </x:c>
      <x:c r="D176" s="26" t="str">
        <x:v>CHK</x:v>
      </x:c>
      <x:c r="E176" s="26" t="str">
        <x:v>Una venta se confirma una sola vez.</x:v>
      </x:c>
      <x:c r="F176" s="26"/>
      <x:c r="G176" s="26" t="str">
        <x:v>Criterio UX</x:v>
      </x:c>
      <x:c r="H176" s="26" t="str">
        <x:v>Activo</x:v>
      </x:c>
      <x:c r="I176" s="26" t="str">
        <x:v>VRM Games</x:v>
      </x:c>
    </x:row>
    <x:row r="177" ht="30" customHeight="1">
      <x:c r="A177" s="26" t="str">
        <x:v>UX-CHK-004</x:v>
      </x:c>
      <x:c r="B177" s="26" t="str">
        <x:v>05_UX_Flow.md</x:v>
      </x:c>
      <x:c r="C177" s="26" t="str">
        <x:v>30.7. Checkout y economía</x:v>
      </x:c>
      <x:c r="D177" s="26" t="str">
        <x:v>CHK</x:v>
      </x:c>
      <x:c r="E177" s="26" t="str">
        <x:v>Un fallo no mueve dinero ni stock.</x:v>
      </x:c>
      <x:c r="F177" s="26"/>
      <x:c r="G177" s="26" t="str">
        <x:v>Criterio UX</x:v>
      </x:c>
      <x:c r="H177" s="26" t="str">
        <x:v>Activo</x:v>
      </x:c>
      <x:c r="I177" s="26" t="str">
        <x:v>VRM Games</x:v>
      </x:c>
    </x:row>
    <x:row r="178" ht="30" customHeight="1">
      <x:c r="A178" s="26" t="str">
        <x:v>UX-CHK-005</x:v>
      </x:c>
      <x:c r="B178" s="26" t="str">
        <x:v>05_UX_Flow.md</x:v>
      </x:c>
      <x:c r="C178" s="26" t="str">
        <x:v>30.7. Checkout y economía</x:v>
      </x:c>
      <x:c r="D178" s="26" t="str">
        <x:v>CHK</x:v>
      </x:c>
      <x:c r="E178" s="26" t="str">
        <x:v>La cola avanza después de la venta.</x:v>
      </x:c>
      <x:c r="F178" s="26"/>
      <x:c r="G178" s="26" t="str">
        <x:v>Criterio UX</x:v>
      </x:c>
      <x:c r="H178" s="26" t="str">
        <x:v>Activo</x:v>
      </x:c>
      <x:c r="I178" s="26" t="str">
        <x:v>VRM Games</x:v>
      </x:c>
    </x:row>
    <x:row r="179" ht="30" customHeight="1">
      <x:c r="A179" s="26" t="str">
        <x:v>UX-ECO-001</x:v>
      </x:c>
      <x:c r="B179" s="26" t="str">
        <x:v>05_UX_Flow.md</x:v>
      </x:c>
      <x:c r="C179" s="26" t="str">
        <x:v>30.7. Checkout y economía</x:v>
      </x:c>
      <x:c r="D179" s="26" t="str">
        <x:v>ECO</x:v>
      </x:c>
      <x:c r="E179" s="26" t="str">
        <x:v>El saldo se actualiza de forma comprensible.</x:v>
      </x:c>
      <x:c r="F179" s="26"/>
      <x:c r="G179" s="26" t="str">
        <x:v>Criterio UX</x:v>
      </x:c>
      <x:c r="H179" s="26" t="str">
        <x:v>Activo</x:v>
      </x:c>
      <x:c r="I179" s="26" t="str">
        <x:v>VRM Games</x:v>
      </x:c>
    </x:row>
    <x:row r="180" ht="30" customHeight="1">
      <x:c r="A180" s="26" t="str">
        <x:v>UX-ECO-002</x:v>
      </x:c>
      <x:c r="B180" s="26" t="str">
        <x:v>05_UX_Flow.md</x:v>
      </x:c>
      <x:c r="C180" s="26" t="str">
        <x:v>30.7. Checkout y economía</x:v>
      </x:c>
      <x:c r="D180" s="26" t="str">
        <x:v>ECO</x:v>
      </x:c>
      <x:c r="E180" s="26" t="str">
        <x:v>Cada movimiento tiene causa consultable.</x:v>
      </x:c>
      <x:c r="F180" s="26"/>
      <x:c r="G180" s="26" t="str">
        <x:v>Criterio UX</x:v>
      </x:c>
      <x:c r="H180" s="26" t="str">
        <x:v>Activo</x:v>
      </x:c>
      <x:c r="I180" s="26" t="str">
        <x:v>VRM Games</x:v>
      </x:c>
    </x:row>
    <x:row r="181" ht="30" customHeight="1">
      <x:c r="A181" s="26" t="str">
        <x:v>UX-ECO-003</x:v>
      </x:c>
      <x:c r="B181" s="26" t="str">
        <x:v>05_UX_Flow.md</x:v>
      </x:c>
      <x:c r="C181" s="26" t="str">
        <x:v>30.7. Checkout y economía</x:v>
      </x:c>
      <x:c r="D181" s="26" t="str">
        <x:v>ECO</x:v>
      </x:c>
      <x:c r="E181" s="26" t="str">
        <x:v>Results separa ingresos, costes y beneficio.</x:v>
      </x:c>
      <x:c r="F181" s="26"/>
      <x:c r="G181" s="26" t="str">
        <x:v>Criterio UX</x:v>
      </x:c>
      <x:c r="H181" s="26" t="str">
        <x:v>Activo</x:v>
      </x:c>
      <x:c r="I181" s="26" t="str">
        <x:v>VRM Games</x:v>
      </x:c>
    </x:row>
    <x:row r="182" ht="30" customHeight="1">
      <x:c r="A182" s="26" t="str">
        <x:v>UX-SAV-001</x:v>
      </x:c>
      <x:c r="B182" s="26" t="str">
        <x:v>05_UX_Flow.md</x:v>
      </x:c>
      <x:c r="C182" s="26" t="str">
        <x:v>30.8. Guardado y accesibilidad</x:v>
      </x:c>
      <x:c r="D182" s="26" t="str">
        <x:v>SAV</x:v>
      </x:c>
      <x:c r="E182" s="26" t="str">
        <x:v>Guardar muestra progreso y resultado real.</x:v>
      </x:c>
      <x:c r="F182" s="26"/>
      <x:c r="G182" s="26" t="str">
        <x:v>Criterio UX</x:v>
      </x:c>
      <x:c r="H182" s="26" t="str">
        <x:v>Activo</x:v>
      </x:c>
      <x:c r="I182" s="26" t="str">
        <x:v>VRM Games</x:v>
      </x:c>
    </x:row>
    <x:row r="183" ht="30" customHeight="1">
      <x:c r="A183" s="26" t="str">
        <x:v>UX-SAV-002</x:v>
      </x:c>
      <x:c r="B183" s="26" t="str">
        <x:v>05_UX_Flow.md</x:v>
      </x:c>
      <x:c r="C183" s="26" t="str">
        <x:v>30.8. Guardado y accesibilidad</x:v>
      </x:c>
      <x:c r="D183" s="26" t="str">
        <x:v>SAV</x:v>
      </x:c>
      <x:c r="E183" s="26" t="str">
        <x:v>Un error de guardado permanece visible.</x:v>
      </x:c>
      <x:c r="F183" s="26"/>
      <x:c r="G183" s="26" t="str">
        <x:v>Criterio UX</x:v>
      </x:c>
      <x:c r="H183" s="26" t="str">
        <x:v>Activo</x:v>
      </x:c>
      <x:c r="I183" s="26" t="str">
        <x:v>VRM Games</x:v>
      </x:c>
    </x:row>
    <x:row r="184" ht="30" customHeight="1">
      <x:c r="A184" s="26" t="str">
        <x:v>UX-SAV-003</x:v>
      </x:c>
      <x:c r="B184" s="26" t="str">
        <x:v>05_UX_Flow.md</x:v>
      </x:c>
      <x:c r="C184" s="26" t="str">
        <x:v>30.8. Guardado y accesibilidad</x:v>
      </x:c>
      <x:c r="D184" s="26" t="str">
        <x:v>SAV</x:v>
      </x:c>
      <x:c r="E184" s="26" t="str">
        <x:v>Cargar conserva estado relevante.</x:v>
      </x:c>
      <x:c r="F184" s="26"/>
      <x:c r="G184" s="26" t="str">
        <x:v>Criterio UX</x:v>
      </x:c>
      <x:c r="H184" s="26" t="str">
        <x:v>Activo</x:v>
      </x:c>
      <x:c r="I184" s="26" t="str">
        <x:v>VRM Games</x:v>
      </x:c>
    </x:row>
    <x:row r="185" ht="30" customHeight="1">
      <x:c r="A185" s="26" t="str">
        <x:v>UX-SAV-004</x:v>
      </x:c>
      <x:c r="B185" s="26" t="str">
        <x:v>05_UX_Flow.md</x:v>
      </x:c>
      <x:c r="C185" s="26" t="str">
        <x:v>30.8. Guardado y accesibilidad</x:v>
      </x:c>
      <x:c r="D185" s="26" t="str">
        <x:v>SAV</x:v>
      </x:c>
      <x:c r="E185" s="26" t="str">
        <x:v>Salir con cambios ofrece opciones claras.</x:v>
      </x:c>
      <x:c r="F185" s="26"/>
      <x:c r="G185" s="26" t="str">
        <x:v>Criterio UX</x:v>
      </x:c>
      <x:c r="H185" s="26" t="str">
        <x:v>Activo</x:v>
      </x:c>
      <x:c r="I185" s="26" t="str">
        <x:v>VRM Games</x:v>
      </x:c>
    </x:row>
    <x:row r="186" ht="30" customHeight="1">
      <x:c r="A186" s="26" t="str">
        <x:v>UX-ACC-001</x:v>
      </x:c>
      <x:c r="B186" s="26" t="str">
        <x:v>05_UX_Flow.md</x:v>
      </x:c>
      <x:c r="C186" s="26" t="str">
        <x:v>30.8. Guardado y accesibilidad</x:v>
      </x:c>
      <x:c r="D186" s="26" t="str">
        <x:v>ACC</x:v>
      </x:c>
      <x:c r="E186" s="26" t="str">
        <x:v>Los estados críticos no dependen solo del color.</x:v>
      </x:c>
      <x:c r="F186" s="26"/>
      <x:c r="G186" s="26" t="str">
        <x:v>Criterio UX</x:v>
      </x:c>
      <x:c r="H186" s="26" t="str">
        <x:v>Activo</x:v>
      </x:c>
      <x:c r="I186" s="26" t="str">
        <x:v>VRM Games</x:v>
      </x:c>
    </x:row>
    <x:row r="187" ht="30" customHeight="1">
      <x:c r="A187" s="26" t="str">
        <x:v>UX-ACC-002</x:v>
      </x:c>
      <x:c r="B187" s="26" t="str">
        <x:v>05_UX_Flow.md</x:v>
      </x:c>
      <x:c r="C187" s="26" t="str">
        <x:v>30.8. Guardado y accesibilidad</x:v>
      </x:c>
      <x:c r="D187" s="26" t="str">
        <x:v>ACC</x:v>
      </x:c>
      <x:c r="E187" s="26" t="str">
        <x:v>La escala de UI es configurable.</x:v>
      </x:c>
      <x:c r="F187" s="26"/>
      <x:c r="G187" s="26" t="str">
        <x:v>Criterio UX</x:v>
      </x:c>
      <x:c r="H187" s="26" t="str">
        <x:v>Activo</x:v>
      </x:c>
      <x:c r="I187" s="26" t="str">
        <x:v>VRM Games</x:v>
      </x:c>
    </x:row>
    <x:row r="188" ht="30" customHeight="1">
      <x:c r="A188" s="26" t="str">
        <x:v>UX-ACC-003</x:v>
      </x:c>
      <x:c r="B188" s="26" t="str">
        <x:v>05_UX_Flow.md</x:v>
      </x:c>
      <x:c r="C188" s="26" t="str">
        <x:v>30.8. Guardado y accesibilidad</x:v>
      </x:c>
      <x:c r="D188" s="26" t="str">
        <x:v>ACC</x:v>
      </x:c>
      <x:c r="E188" s="26" t="str">
        <x:v>La velocidad de cámara es configurable.</x:v>
      </x:c>
      <x:c r="F188" s="26"/>
      <x:c r="G188" s="26" t="str">
        <x:v>Criterio UX</x:v>
      </x:c>
      <x:c r="H188" s="26" t="str">
        <x:v>Activo</x:v>
      </x:c>
      <x:c r="I188" s="26" t="str">
        <x:v>VRM Games</x:v>
      </x:c>
    </x:row>
    <x:row r="189" ht="30" customHeight="1">
      <x:c r="A189" s="26" t="str">
        <x:v>UX-ACC-004</x:v>
      </x:c>
      <x:c r="B189" s="26" t="str">
        <x:v>05_UX_Flow.md</x:v>
      </x:c>
      <x:c r="C189" s="26" t="str">
        <x:v>30.8. Guardado y accesibilidad</x:v>
      </x:c>
      <x:c r="D189" s="26" t="str">
        <x:v>ACC</x:v>
      </x:c>
      <x:c r="E189" s="26" t="str">
        <x:v>Los avisos importantes tienen alternativa visual.</x:v>
      </x:c>
      <x:c r="F189" s="26"/>
      <x:c r="G189" s="26" t="str">
        <x:v>Criterio UX</x:v>
      </x:c>
      <x:c r="H189" s="26" t="str">
        <x:v>Activo</x:v>
      </x:c>
      <x:c r="I189" s="26" t="str">
        <x:v>VRM Games</x:v>
      </x:c>
    </x:row>
    <x:row r="190" ht="30" customHeight="1">
      <x:c r="A190" s="26" t="str">
        <x:v>UX-ACC-005</x:v>
      </x:c>
      <x:c r="B190" s="26" t="str">
        <x:v>05_UX_Flow.md</x:v>
      </x:c>
      <x:c r="C190" s="26" t="str">
        <x:v>30.8. Guardado y accesibilidad</x:v>
      </x:c>
      <x:c r="D190" s="26" t="str">
        <x:v>ACC</x:v>
      </x:c>
      <x:c r="E190" s="26" t="str">
        <x:v>La lectura puede realizarse con simulación pausada.</x:v>
      </x:c>
      <x:c r="F190" s="26"/>
      <x:c r="G190" s="26" t="str">
        <x:v>Criterio UX</x:v>
      </x:c>
      <x:c r="H190" s="26" t="str">
        <x:v>Activo</x:v>
      </x:c>
      <x:c r="I190" s="26" t="str">
        <x:v>VRM Games</x:v>
      </x:c>
    </x:row>
    <x:row r="191" ht="30" customHeight="1">
      <x:c r="A191" s="26" t="str">
        <x:v>UX-LOC-001</x:v>
      </x:c>
      <x:c r="B191" s="26" t="str">
        <x:v>05_UX_Flow.md</x:v>
      </x:c>
      <x:c r="C191" s="26" t="str">
        <x:v>30.8. Guardado y accesibilidad</x:v>
      </x:c>
      <x:c r="D191" s="26" t="str">
        <x:v>LOC</x:v>
      </x:c>
      <x:c r="E191" s="26" t="str">
        <x:v>ES y EN no presentan truncamientos críticos.</x:v>
      </x:c>
      <x:c r="F191" s="26"/>
      <x:c r="G191" s="26" t="str">
        <x:v>Criterio UX</x:v>
      </x:c>
      <x:c r="H191" s="26" t="str">
        <x:v>Activo</x:v>
      </x:c>
      <x:c r="I191" s="26" t="str">
        <x:v>VRM Games</x:v>
      </x:c>
    </x:row>
    <x:row r="192" ht="30" customHeight="1">
      <x:c r="A192" s="26" t="str">
        <x:v>UX-GP-001</x:v>
      </x:c>
      <x:c r="B192" s="26" t="str">
        <x:v>05_UX_Flow.md</x:v>
      </x:c>
      <x:c r="C192" s="26" t="str">
        <x:v>30.9. Golden Path y build</x:v>
      </x:c>
      <x:c r="D192" s="26" t="str">
        <x:v>GP</x:v>
      </x:c>
      <x:c r="E192" s="26" t="str">
        <x:v>El Golden Path se completa sin herramientas de Editor.</x:v>
      </x:c>
      <x:c r="F192" s="26"/>
      <x:c r="G192" s="26" t="str">
        <x:v>Criterio UX</x:v>
      </x:c>
      <x:c r="H192" s="26" t="str">
        <x:v>Activo</x:v>
      </x:c>
      <x:c r="I192" s="26" t="str">
        <x:v>VRM Games</x:v>
      </x:c>
    </x:row>
    <x:row r="193" ht="30" customHeight="1">
      <x:c r="A193" s="26" t="str">
        <x:v>UX-GP-002</x:v>
      </x:c>
      <x:c r="B193" s="26" t="str">
        <x:v>05_UX_Flow.md</x:v>
      </x:c>
      <x:c r="C193" s="26" t="str">
        <x:v>30.9. Golden Path y build</x:v>
      </x:c>
      <x:c r="D193" s="26" t="str">
        <x:v>GP</x:v>
      </x:c>
      <x:c r="E193" s="26" t="str">
        <x:v>El recorrido se completa en StoreInitial.</x:v>
      </x:c>
      <x:c r="F193" s="26"/>
      <x:c r="G193" s="26" t="str">
        <x:v>Criterio UX</x:v>
      </x:c>
      <x:c r="H193" s="26" t="str">
        <x:v>Activo</x:v>
      </x:c>
      <x:c r="I193" s="26" t="str">
        <x:v>VRM Games</x:v>
      </x:c>
    </x:row>
    <x:row r="194" ht="30" customHeight="1">
      <x:c r="A194" s="26" t="str">
        <x:v>UX-GP-003</x:v>
      </x:c>
      <x:c r="B194" s="26" t="str">
        <x:v>05_UX_Flow.md</x:v>
      </x:c>
      <x:c r="C194" s="26" t="str">
        <x:v>30.9. Golden Path y build</x:v>
      </x:c>
      <x:c r="D194" s="26" t="str">
        <x:v>GP</x:v>
      </x:c>
      <x:c r="E194" s="26" t="str">
        <x:v>Guardar y cargar conserva equivalencia observable.</x:v>
      </x:c>
      <x:c r="F194" s="26"/>
      <x:c r="G194" s="26" t="str">
        <x:v>Criterio UX</x:v>
      </x:c>
      <x:c r="H194" s="26" t="str">
        <x:v>Activo</x:v>
      </x:c>
      <x:c r="I194" s="26" t="str">
        <x:v>VRM Games</x:v>
      </x:c>
    </x:row>
    <x:row r="195" ht="30" customHeight="1">
      <x:c r="A195" s="26" t="str">
        <x:v>UX-GP-004</x:v>
      </x:c>
      <x:c r="B195" s="26" t="str">
        <x:v>05_UX_Flow.md</x:v>
      </x:c>
      <x:c r="C195" s="26" t="str">
        <x:v>30.9. Golden Path y build</x:v>
      </x:c>
      <x:c r="D195" s="26" t="str">
        <x:v>GP</x:v>
      </x:c>
      <x:c r="E195" s="26" t="str">
        <x:v>La build Windows x64 reproduce el recorrido.</x:v>
      </x:c>
      <x:c r="F195" s="26"/>
      <x:c r="G195" s="26" t="str">
        <x:v>Criterio UX</x:v>
      </x:c>
      <x:c r="H195" s="26" t="str">
        <x:v>Activo</x:v>
      </x:c>
      <x:c r="I195" s="26" t="str">
        <x:v>VRM Games</x:v>
      </x:c>
    </x:row>
    <x:row r="196" ht="30" customHeight="1">
      <x:c r="A196" s="26" t="str">
        <x:v>UX-GP-005</x:v>
      </x:c>
      <x:c r="B196" s="26" t="str">
        <x:v>05_UX_Flow.md</x:v>
      </x:c>
      <x:c r="C196" s="26" t="str">
        <x:v>30.9. Golden Path y build</x:v>
      </x:c>
      <x:c r="D196" s="26" t="str">
        <x:v>GP</x:v>
      </x:c>
      <x:c r="E196" s="26" t="str">
        <x:v>Player.log no contiene errores UX bloqueantes.</x:v>
      </x:c>
      <x:c r="F196" s="26"/>
      <x:c r="G196" s="26" t="str">
        <x:v>Criterio UX</x:v>
      </x:c>
      <x:c r="H196" s="26" t="str">
        <x:v>Activo</x:v>
      </x:c>
      <x:c r="I196" s="26" t="str">
        <x:v>VRM Games</x:v>
      </x:c>
    </x:row>
    <x:row r="197" ht="30" customHeight="1">
      <x:c r="A197" s="26" t="str">
        <x:v>UX-GP-006</x:v>
      </x:c>
      <x:c r="B197" s="26" t="str">
        <x:v>05_UX_Flow.md</x:v>
      </x:c>
      <x:c r="C197" s="26" t="str">
        <x:v>30.9. Golden Path y build</x:v>
      </x:c>
      <x:c r="D197" s="26" t="str">
        <x:v>GP</x:v>
      </x:c>
      <x:c r="E197" s="26" t="str">
        <x:v>No existen defectos S0 o S1 abiertos.</x:v>
      </x:c>
      <x:c r="F197" s="26"/>
      <x:c r="G197" s="26" t="str">
        <x:v>Criterio UX</x:v>
      </x:c>
      <x:c r="H197" s="26" t="str">
        <x:v>Activo</x:v>
      </x:c>
      <x:c r="I197" s="26" t="str">
        <x:v>VRM Games</x:v>
      </x:c>
    </x:row>
    <x:row r="198" ht="30" customHeight="1">
      <x:c r="A198" s="26" t="str">
        <x:v>CS-STD-001</x:v>
      </x:c>
      <x:c r="B198" s="26" t="str">
        <x:v>09_CSharp_Coding_Standards.md</x:v>
      </x:c>
      <x:c r="C198" s="26" t="str">
        <x:v>45. Criterios de aceptación del estándar</x:v>
      </x:c>
      <x:c r="D198" s="26" t="str">
        <x:v>CSharp</x:v>
      </x:c>
      <x:c r="E198" s="26" t="str">
        <x:v>Todo tipo nuevo usa namespace raíz correcto.</x:v>
      </x:c>
      <x:c r="F198" s="26"/>
      <x:c r="G198" s="26" t="str">
        <x:v>Estándar de código</x:v>
      </x:c>
      <x:c r="H198" s="26" t="str">
        <x:v>Activo</x:v>
      </x:c>
      <x:c r="I198" s="26" t="str">
        <x:v>VRM Games</x:v>
      </x:c>
    </x:row>
    <x:row r="199" ht="30" customHeight="1">
      <x:c r="A199" s="26" t="str">
        <x:v>CS-STD-002</x:v>
      </x:c>
      <x:c r="B199" s="26" t="str">
        <x:v>09_CSharp_Coding_Standards.md</x:v>
      </x:c>
      <x:c r="C199" s="26" t="str">
        <x:v>45. Criterios de aceptación del estándar</x:v>
      </x:c>
      <x:c r="D199" s="26" t="str">
        <x:v>CSharp</x:v>
      </x:c>
      <x:c r="E199" s="26" t="str">
        <x:v>Domain no referencia Unity.</x:v>
      </x:c>
      <x:c r="F199" s="26"/>
      <x:c r="G199" s="26" t="str">
        <x:v>Estándar de código</x:v>
      </x:c>
      <x:c r="H199" s="26" t="str">
        <x:v>Activo</x:v>
      </x:c>
      <x:c r="I199" s="26" t="str">
        <x:v>VRM Games</x:v>
      </x:c>
    </x:row>
    <x:row r="200" ht="30" customHeight="1">
      <x:c r="A200" s="26" t="str">
        <x:v>CS-STD-003</x:v>
      </x:c>
      <x:c r="B200" s="26" t="str">
        <x:v>09_CSharp_Coding_Standards.md</x:v>
      </x:c>
      <x:c r="C200" s="26" t="str">
        <x:v>45. Criterios de aceptación del estándar</x:v>
      </x:c>
      <x:c r="D200" s="26" t="str">
        <x:v>CSharp</x:v>
      </x:c>
      <x:c r="E200" s="26" t="str">
        <x:v>Application no contiene `MonoBehaviour`.</x:v>
      </x:c>
      <x:c r="F200" s="26"/>
      <x:c r="G200" s="26" t="str">
        <x:v>Estándar de código</x:v>
      </x:c>
      <x:c r="H200" s="26" t="str">
        <x:v>Activo</x:v>
      </x:c>
      <x:c r="I200" s="26" t="str">
        <x:v>VRM Games</x:v>
      </x:c>
    </x:row>
    <x:row r="201" ht="30" customHeight="1">
      <x:c r="A201" s="26" t="str">
        <x:v>CS-STD-004</x:v>
      </x:c>
      <x:c r="B201" s="26" t="str">
        <x:v>09_CSharp_Coding_Standards.md</x:v>
      </x:c>
      <x:c r="C201" s="26" t="str">
        <x:v>45. Criterios de aceptación del estándar</x:v>
      </x:c>
      <x:c r="D201" s="26" t="str">
        <x:v>CSharp</x:v>
      </x:c>
      <x:c r="E201" s="26" t="str">
        <x:v>Presentation no es autoridad de estado de negocio.</x:v>
      </x:c>
      <x:c r="F201" s="26"/>
      <x:c r="G201" s="26" t="str">
        <x:v>Estándar de código</x:v>
      </x:c>
      <x:c r="H201" s="26" t="str">
        <x:v>Activo</x:v>
      </x:c>
      <x:c r="I201" s="26" t="str">
        <x:v>VRM Games</x:v>
      </x:c>
    </x:row>
    <x:row r="202" ht="30" customHeight="1">
      <x:c r="A202" s="26" t="str">
        <x:v>CS-STD-005</x:v>
      </x:c>
      <x:c r="B202" s="26" t="str">
        <x:v>09_CSharp_Coding_Standards.md</x:v>
      </x:c>
      <x:c r="C202" s="26" t="str">
        <x:v>45. Criterios de aceptación del estándar</x:v>
      </x:c>
      <x:c r="D202" s="26" t="str">
        <x:v>CSharp</x:v>
      </x:c>
      <x:c r="E202" s="26" t="str">
        <x:v>Toda dependencia estructural es explícita.</x:v>
      </x:c>
      <x:c r="F202" s="26"/>
      <x:c r="G202" s="26" t="str">
        <x:v>Estándar de código</x:v>
      </x:c>
      <x:c r="H202" s="26" t="str">
        <x:v>Activo</x:v>
      </x:c>
      <x:c r="I202" s="26" t="str">
        <x:v>VRM Games</x:v>
      </x:c>
    </x:row>
    <x:row r="203" ht="30" customHeight="1">
      <x:c r="A203" s="26" t="str">
        <x:v>CS-STD-006</x:v>
      </x:c>
      <x:c r="B203" s="26" t="str">
        <x:v>09_CSharp_Coding_Standards.md</x:v>
      </x:c>
      <x:c r="C203" s="26" t="str">
        <x:v>45. Criterios de aceptación del estándar</x:v>
      </x:c>
      <x:c r="D203" s="26" t="str">
        <x:v>CSharp</x:v>
      </x:c>
      <x:c r="E203" s="26" t="str">
        <x:v>IDs persistentes son estables y no dependen de nombres de escena.</x:v>
      </x:c>
      <x:c r="F203" s="26"/>
      <x:c r="G203" s="26" t="str">
        <x:v>Estándar de código</x:v>
      </x:c>
      <x:c r="H203" s="26" t="str">
        <x:v>Activo</x:v>
      </x:c>
      <x:c r="I203" s="26" t="str">
        <x:v>VRM Games</x:v>
      </x:c>
    </x:row>
    <x:row r="204" ht="30" customHeight="1">
      <x:c r="A204" s="26" t="str">
        <x:v>CS-STD-007</x:v>
      </x:c>
      <x:c r="B204" s="26" t="str">
        <x:v>09_CSharp_Coding_Standards.md</x:v>
      </x:c>
      <x:c r="C204" s="26" t="str">
        <x:v>45. Criterios de aceptación del estándar</x:v>
      </x:c>
      <x:c r="D204" s="26" t="str">
        <x:v>CSharp</x:v>
      </x:c>
      <x:c r="E204" s="26" t="str">
        <x:v>Operaciones compuestas validan antes de mutar.</x:v>
      </x:c>
      <x:c r="F204" s="26"/>
      <x:c r="G204" s="26" t="str">
        <x:v>Estándar de código</x:v>
      </x:c>
      <x:c r="H204" s="26" t="str">
        <x:v>Activo</x:v>
      </x:c>
      <x:c r="I204" s="26" t="str">
        <x:v>VRM Games</x:v>
      </x:c>
    </x:row>
    <x:row r="205" ht="30" customHeight="1">
      <x:c r="A205" s="26" t="str">
        <x:v>CS-STD-008</x:v>
      </x:c>
      <x:c r="B205" s="26" t="str">
        <x:v>09_CSharp_Coding_Standards.md</x:v>
      </x:c>
      <x:c r="C205" s="26" t="str">
        <x:v>45. Criterios de aceptación del estándar</x:v>
      </x:c>
      <x:c r="D205" s="26" t="str">
        <x:v>CSharp</x:v>
      </x:c>
      <x:c r="E205" s="26" t="str">
        <x:v>Fallos esperables usan razones tipadas.</x:v>
      </x:c>
      <x:c r="F205" s="26"/>
      <x:c r="G205" s="26" t="str">
        <x:v>Estándar de código</x:v>
      </x:c>
      <x:c r="H205" s="26" t="str">
        <x:v>Activo</x:v>
      </x:c>
      <x:c r="I205" s="26" t="str">
        <x:v>VRM Games</x:v>
      </x:c>
    </x:row>
    <x:row r="206" ht="30" customHeight="1">
      <x:c r="A206" s="26" t="str">
        <x:v>CS-STD-009</x:v>
      </x:c>
      <x:c r="B206" s="26" t="str">
        <x:v>09_CSharp_Coding_Standards.md</x:v>
      </x:c>
      <x:c r="C206" s="26" t="str">
        <x:v>45. Criterios de aceptación del estándar</x:v>
      </x:c>
      <x:c r="D206" s="26" t="str">
        <x:v>CSharp</x:v>
      </x:c>
      <x:c r="E206" s="26" t="str">
        <x:v>Dinero no usa float/double.</x:v>
      </x:c>
      <x:c r="F206" s="26"/>
      <x:c r="G206" s="26" t="str">
        <x:v>Estándar de código</x:v>
      </x:c>
      <x:c r="H206" s="26" t="str">
        <x:v>Activo</x:v>
      </x:c>
      <x:c r="I206" s="26" t="str">
        <x:v>VRM Games</x:v>
      </x:c>
    </x:row>
    <x:row r="207" ht="30" customHeight="1">
      <x:c r="A207" s="26" t="str">
        <x:v>CS-STD-010</x:v>
      </x:c>
      <x:c r="B207" s="26" t="str">
        <x:v>09_CSharp_Coding_Standards.md</x:v>
      </x:c>
      <x:c r="C207" s="26" t="str">
        <x:v>45. Criterios de aceptación del estándar</x:v>
      </x:c>
      <x:c r="D207" s="26" t="str">
        <x:v>CSharp</x:v>
      </x:c>
      <x:c r="E207" s="26" t="str">
        <x:v>Colecciones internas no se exponen mutables.</x:v>
      </x:c>
      <x:c r="F207" s="26"/>
      <x:c r="G207" s="26" t="str">
        <x:v>Estándar de código</x:v>
      </x:c>
      <x:c r="H207" s="26" t="str">
        <x:v>Activo</x:v>
      </x:c>
      <x:c r="I207" s="26" t="str">
        <x:v>VRM Games</x:v>
      </x:c>
    </x:row>
    <x:row r="208" ht="30" customHeight="1">
      <x:c r="A208" s="26" t="str">
        <x:v>CS-STD-011</x:v>
      </x:c>
      <x:c r="B208" s="26" t="str">
        <x:v>09_CSharp_Coding_Standards.md</x:v>
      </x:c>
      <x:c r="C208" s="26" t="str">
        <x:v>45. Criterios de aceptación del estándar</x:v>
      </x:c>
      <x:c r="D208" s="26" t="str">
        <x:v>CSharp</x:v>
      </x:c>
      <x:c r="E208" s="26" t="str">
        <x:v>Suscripciones tienen desuscripción simétrica.</x:v>
      </x:c>
      <x:c r="F208" s="26"/>
      <x:c r="G208" s="26" t="str">
        <x:v>Estándar de código</x:v>
      </x:c>
      <x:c r="H208" s="26" t="str">
        <x:v>Activo</x:v>
      </x:c>
      <x:c r="I208" s="26" t="str">
        <x:v>VRM Games</x:v>
      </x:c>
    </x:row>
    <x:row r="209" ht="30" customHeight="1">
      <x:c r="A209" s="26" t="str">
        <x:v>CS-STD-012</x:v>
      </x:c>
      <x:c r="B209" s="26" t="str">
        <x:v>09_CSharp_Coding_Standards.md</x:v>
      </x:c>
      <x:c r="C209" s="26" t="str">
        <x:v>45. Criterios de aceptación del estándar</x:v>
      </x:c>
      <x:c r="D209" s="26" t="str">
        <x:v>CSharp</x:v>
      </x:c>
      <x:c r="E209" s="26" t="str">
        <x:v>No hay búsqueda global por frame.</x:v>
      </x:c>
      <x:c r="F209" s="26"/>
      <x:c r="G209" s="26" t="str">
        <x:v>Estándar de código</x:v>
      </x:c>
      <x:c r="H209" s="26" t="str">
        <x:v>Activo</x:v>
      </x:c>
      <x:c r="I209" s="26" t="str">
        <x:v>VRM Games</x:v>
      </x:c>
    </x:row>
    <x:row r="210" ht="30" customHeight="1">
      <x:c r="A210" s="26" t="str">
        <x:v>CS-STD-013</x:v>
      </x:c>
      <x:c r="B210" s="26" t="str">
        <x:v>09_CSharp_Coding_Standards.md</x:v>
      </x:c>
      <x:c r="C210" s="26" t="str">
        <x:v>45. Criterios de aceptación del estándar</x:v>
      </x:c>
      <x:c r="D210" s="26" t="str">
        <x:v>CSharp</x:v>
      </x:c>
      <x:c r="E210" s="26" t="str">
        <x:v>`ScriptableObject` no almacena progreso autoritativo.</x:v>
      </x:c>
      <x:c r="F210" s="26"/>
      <x:c r="G210" s="26" t="str">
        <x:v>Estándar de código</x:v>
      </x:c>
      <x:c r="H210" s="26" t="str">
        <x:v>Activo</x:v>
      </x:c>
      <x:c r="I210" s="26" t="str">
        <x:v>VRM Games</x:v>
      </x:c>
    </x:row>
    <x:row r="211" ht="30" customHeight="1">
      <x:c r="A211" s="26" t="str">
        <x:v>CS-STD-014</x:v>
      </x:c>
      <x:c r="B211" s="26" t="str">
        <x:v>09_CSharp_Coding_Standards.md</x:v>
      </x:c>
      <x:c r="C211" s="26" t="str">
        <x:v>45. Criterios de aceptación del estándar</x:v>
      </x:c>
      <x:c r="D211" s="26" t="str">
        <x:v>CSharp</x:v>
      </x:c>
      <x:c r="E211" s="26" t="str">
        <x:v>Campos persistentes nuevos tienen round trip y migración/default.</x:v>
      </x:c>
      <x:c r="F211" s="26"/>
      <x:c r="G211" s="26" t="str">
        <x:v>Estándar de código</x:v>
      </x:c>
      <x:c r="H211" s="26" t="str">
        <x:v>Activo</x:v>
      </x:c>
      <x:c r="I211" s="26" t="str">
        <x:v>VRM Games</x:v>
      </x:c>
    </x:row>
    <x:row r="212" ht="30" customHeight="1">
      <x:c r="A212" s="26" t="str">
        <x:v>CS-STD-015</x:v>
      </x:c>
      <x:c r="B212" s="26" t="str">
        <x:v>09_CSharp_Coding_Standards.md</x:v>
      </x:c>
      <x:c r="C212" s="26" t="str">
        <x:v>45. Criterios de aceptación del estándar</x:v>
      </x:c>
      <x:c r="D212" s="26" t="str">
        <x:v>CSharp</x:v>
      </x:c>
      <x:c r="E212" s="26" t="str">
        <x:v>Guardado escribe de forma atómica.</x:v>
      </x:c>
      <x:c r="F212" s="26"/>
      <x:c r="G212" s="26" t="str">
        <x:v>Estándar de código</x:v>
      </x:c>
      <x:c r="H212" s="26" t="str">
        <x:v>Activo</x:v>
      </x:c>
      <x:c r="I212" s="26" t="str">
        <x:v>VRM Games</x:v>
      </x:c>
    </x:row>
    <x:row r="213" ht="30" customHeight="1">
      <x:c r="A213" s="26" t="str">
        <x:v>CS-STD-016</x:v>
      </x:c>
      <x:c r="B213" s="26" t="str">
        <x:v>09_CSharp_Coding_Standards.md</x:v>
      </x:c>
      <x:c r="C213" s="26" t="str">
        <x:v>45. Criterios de aceptación del estándar</x:v>
      </x:c>
      <x:c r="D213" s="26" t="str">
        <x:v>CSharp</x:v>
      </x:c>
      <x:c r="E213" s="26" t="str">
        <x:v>Tests verifican no mutación en fallo crítico.</x:v>
      </x:c>
      <x:c r="F213" s="26"/>
      <x:c r="G213" s="26" t="str">
        <x:v>Estándar de código</x:v>
      </x:c>
      <x:c r="H213" s="26" t="str">
        <x:v>Activo</x:v>
      </x:c>
      <x:c r="I213" s="26" t="str">
        <x:v>VRM Games</x:v>
      </x:c>
    </x:row>
    <x:row r="214" ht="30" customHeight="1">
      <x:c r="A214" s="26" t="str">
        <x:v>CS-STD-017</x:v>
      </x:c>
      <x:c r="B214" s="26" t="str">
        <x:v>09_CSharp_Coding_Standards.md</x:v>
      </x:c>
      <x:c r="C214" s="26" t="str">
        <x:v>45. Criterios de aceptación del estándar</x:v>
      </x:c>
      <x:c r="D214" s="26" t="str">
        <x:v>CSharp</x:v>
      </x:c>
      <x:c r="E214" s="26" t="str">
        <x:v>Herramientas de Editor son idempotentes.</x:v>
      </x:c>
      <x:c r="F214" s="26"/>
      <x:c r="G214" s="26" t="str">
        <x:v>Estándar de código</x:v>
      </x:c>
      <x:c r="H214" s="26" t="str">
        <x:v>Activo</x:v>
      </x:c>
      <x:c r="I214" s="26" t="str">
        <x:v>VRM Games</x:v>
      </x:c>
    </x:row>
    <x:row r="215" ht="30" customHeight="1">
      <x:c r="A215" s="26" t="str">
        <x:v>CS-STD-018</x:v>
      </x:c>
      <x:c r="B215" s="26" t="str">
        <x:v>09_CSharp_Coding_Standards.md</x:v>
      </x:c>
      <x:c r="C215" s="26" t="str">
        <x:v>45. Criterios de aceptación del estándar</x:v>
      </x:c>
      <x:c r="D215" s="26" t="str">
        <x:v>CSharp</x:v>
      </x:c>
      <x:c r="E215" s="26" t="str">
        <x:v>No se introducen warnings nuevos.</x:v>
      </x:c>
      <x:c r="F215" s="26"/>
      <x:c r="G215" s="26" t="str">
        <x:v>Estándar de código</x:v>
      </x:c>
      <x:c r="H215" s="26" t="str">
        <x:v>Activo</x:v>
      </x:c>
      <x:c r="I215" s="26" t="str">
        <x:v>VRM Games</x:v>
      </x:c>
    </x:row>
    <x:row r="216" ht="30" customHeight="1">
      <x:c r="A216" s="26" t="str">
        <x:v>CS-STD-019</x:v>
      </x:c>
      <x:c r="B216" s="26" t="str">
        <x:v>09_CSharp_Coding_Standards.md</x:v>
      </x:c>
      <x:c r="C216" s="26" t="str">
        <x:v>45. Criterios de aceptación del estándar</x:v>
      </x:c>
      <x:c r="D216" s="26" t="str">
        <x:v>CSharp</x:v>
      </x:c>
      <x:c r="E216" s="26" t="str">
        <x:v>No existe catch vacío.</x:v>
      </x:c>
      <x:c r="F216" s="26"/>
      <x:c r="G216" s="26" t="str">
        <x:v>Estándar de código</x:v>
      </x:c>
      <x:c r="H216" s="26" t="str">
        <x:v>Activo</x:v>
      </x:c>
      <x:c r="I216" s="26" t="str">
        <x:v>VRM Games</x:v>
      </x:c>
    </x:row>
    <x:row r="217" ht="30" customHeight="1">
      <x:c r="A217" s="26" t="str">
        <x:v>CS-STD-020</x:v>
      </x:c>
      <x:c r="B217" s="26" t="str">
        <x:v>09_CSharp_Coding_Standards.md</x:v>
      </x:c>
      <x:c r="C217" s="26" t="str">
        <x:v>45. Criterios de aceptación del estándar</x:v>
      </x:c>
      <x:c r="D217" s="26" t="str">
        <x:v>CSharp</x:v>
      </x:c>
      <x:c r="E217" s="26" t="str">
        <x:v>Una contribución cumple Definition of Done C#.</x:v>
      </x:c>
      <x:c r="F217" s="26"/>
      <x:c r="G217" s="26" t="str">
        <x:v>Estándar de código</x:v>
      </x:c>
      <x:c r="H217" s="26" t="str">
        <x:v>Activo</x:v>
      </x:c>
      <x:c r="I217" s="26" t="str">
        <x:v>VRM Games</x:v>
      </x:c>
    </x:row>
    <x:row r="218" ht="30" customHeight="1">
      <x:c r="A218" s="26" t="str">
        <x:v>SETUP-DEBT-001</x:v>
      </x:c>
      <x:c r="B218" s="26" t="str">
        <x:v>10_Unity_Project_Setup_Guide.md</x:v>
      </x:c>
      <x:c r="C218" s="26" t="str">
        <x:v>46.1. Tabla de deuda</x:v>
      </x:c>
      <x:c r="D218" s="26" t="str">
        <x:v>Setup</x:v>
      </x:c>
      <x:c r="E218" s="26" t="str">
        <x:v>StoreInitial no está en build</x:v>
      </x:c>
      <x:c r="F218" s="26" t="str">
        <x:v>cerrar Sprint 16 antes de sustituir</x:v>
      </x:c>
      <x:c r="G218" s="26" t="str">
        <x:v>Deuda de setup</x:v>
      </x:c>
      <x:c r="H218" s="26" t="str">
        <x:v>Activo</x:v>
      </x:c>
      <x:c r="I218" s="26" t="str">
        <x:v>VRM Games</x:v>
      </x:c>
    </x:row>
    <x:row r="219" ht="30" customHeight="1">
      <x:c r="A219" s="26" t="str">
        <x:v>SETUP-DEBT-002</x:v>
      </x:c>
      <x:c r="B219" s="26" t="str">
        <x:v>10_Unity_Project_Setup_Guide.md</x:v>
      </x:c>
      <x:c r="C219" s="26" t="str">
        <x:v>46.1. Tabla de deuda</x:v>
      </x:c>
      <x:c r="D219" s="26" t="str">
        <x:v>Setup</x:v>
      </x:c>
      <x:c r="E219" s="26" t="str">
        <x:v>doble shell o escena equivocada</x:v>
      </x:c>
      <x:c r="F219" s="26" t="str">
        <x:v>migración controlada</x:v>
      </x:c>
      <x:c r="G219" s="26" t="str">
        <x:v>Deuda de setup</x:v>
      </x:c>
      <x:c r="H219" s="26" t="str">
        <x:v>Activo</x:v>
      </x:c>
      <x:c r="I219" s="26" t="str">
        <x:v>VRM Games</x:v>
      </x:c>
    </x:row>
    <x:row r="220" ht="30" customHeight="1">
      <x:c r="A220" s="26" t="str">
        <x:v>SETUP-DEBT-003</x:v>
      </x:c>
      <x:c r="B220" s="26" t="str">
        <x:v>10_Unity_Project_Setup_Guide.md</x:v>
      </x:c>
      <x:c r="C220" s="26" t="str">
        <x:v>46.1. Tabla de deuda</x:v>
      </x:c>
      <x:c r="D220" s="26" t="str">
        <x:v>Setup</x:v>
      </x:c>
      <x:c r="E220" s="26" t="str">
        <x:v>no representa objetivo de validación</x:v>
      </x:c>
      <x:c r="F220" s="26" t="str">
        <x:v>decidir antes de H6</x:v>
      </x:c>
      <x:c r="G220" s="26" t="str">
        <x:v>Deuda de setup</x:v>
      </x:c>
      <x:c r="H220" s="26" t="str">
        <x:v>Activo</x:v>
      </x:c>
      <x:c r="I220" s="26" t="str">
        <x:v>VRM Games</x:v>
      </x:c>
    </x:row>
    <x:row r="221" ht="30" customHeight="1">
      <x:c r="A221" s="26" t="str">
        <x:v>SETUP-DEBT-004</x:v>
      </x:c>
      <x:c r="B221" s="26" t="str">
        <x:v>10_Unity_Project_Setup_Guide.md</x:v>
      </x:c>
      <x:c r="C221" s="26" t="str">
        <x:v>46.1. Tabla de deuda</x:v>
      </x:c>
      <x:c r="D221" s="26" t="str">
        <x:v>Setup</x:v>
      </x:c>
      <x:c r="E221" s="26" t="str">
        <x:v>posible fricción PC</x:v>
      </x:c>
      <x:c r="F221" s="26" t="str">
        <x:v>validar UX</x:v>
      </x:c>
      <x:c r="G221" s="26" t="str">
        <x:v>Deuda de setup</x:v>
      </x:c>
      <x:c r="H221" s="26" t="str">
        <x:v>Activo</x:v>
      </x:c>
      <x:c r="I221" s="26" t="str">
        <x:v>VRM Games</x:v>
      </x:c>
    </x:row>
    <x:row r="222" ht="30" customHeight="1">
      <x:c r="A222" s="26" t="str">
        <x:v>SETUP-DEBT-005</x:v>
      </x:c>
      <x:c r="B222" s="26" t="str">
        <x:v>10_Unity_Project_Setup_Guide.md</x:v>
      </x:c>
      <x:c r="C222" s="26" t="str">
        <x:v>46.1. Tabla de deuda</x:v>
      </x:c>
      <x:c r="D222" s="26" t="str">
        <x:v>Setup</x:v>
      </x:c>
      <x:c r="E222" s="26" t="str">
        <x:v>ES/EN no queda demostrado</x:v>
      </x:c>
      <x:c r="F222" s="26" t="str">
        <x:v>completar en Sprint 17/H6</x:v>
      </x:c>
      <x:c r="G222" s="26" t="str">
        <x:v>Deuda de setup</x:v>
      </x:c>
      <x:c r="H222" s="26" t="str">
        <x:v>Activo</x:v>
      </x:c>
      <x:c r="I222" s="26" t="str">
        <x:v>VRM Games</x:v>
      </x:c>
    </x:row>
    <x:row r="223" ht="30" customHeight="1">
      <x:c r="A223" s="26" t="str">
        <x:v>SETUP-DEBT-006</x:v>
      </x:c>
      <x:c r="B223" s="26" t="str">
        <x:v>10_Unity_Project_Setup_Guide.md</x:v>
      </x:c>
      <x:c r="C223" s="26" t="str">
        <x:v>46.1. Tabla de deuda</x:v>
      </x:c>
      <x:c r="D223" s="26" t="str">
        <x:v>Setup</x:v>
      </x:c>
      <x:c r="E223" s="26" t="str">
        <x:v>no es defecto; limita máscaras nominales</x:v>
      </x:c>
      <x:c r="F223" s="26" t="str">
        <x:v>añadir solo con caso real</x:v>
      </x:c>
      <x:c r="G223" s="26" t="str">
        <x:v>Deuda de setup</x:v>
      </x:c>
      <x:c r="H223" s="26" t="str">
        <x:v>Activo</x:v>
      </x:c>
      <x:c r="I223" s="26" t="str">
        <x:v>VRM Games</x:v>
      </x:c>
    </x:row>
    <x:row r="224" ht="30" customHeight="1">
      <x:c r="A224" s="26" t="str">
        <x:v>SETUP-DEBT-007</x:v>
      </x:c>
      <x:c r="B224" s="26" t="str">
        <x:v>10_Unity_Project_Setup_Guide.md</x:v>
      </x:c>
      <x:c r="C224" s="26" t="str">
        <x:v>46.1. Tabla de deuda</x:v>
      </x:c>
      <x:c r="D224" s="26" t="str">
        <x:v>Setup</x:v>
      </x:c>
      <x:c r="E224" s="26" t="str">
        <x:v>estilo no automatizado</x:v>
      </x:c>
      <x:c r="F224" s="26" t="str">
        <x:v>plan gradual de Coding Standards</x:v>
      </x:c>
      <x:c r="G224" s="26" t="str">
        <x:v>Deuda de setup</x:v>
      </x:c>
      <x:c r="H224" s="26" t="str">
        <x:v>Activo</x:v>
      </x:c>
      <x:c r="I224" s="26" t="str">
        <x:v>VRM Games</x:v>
      </x:c>
    </x:row>
    <x:row r="225" ht="30" customHeight="1">
      <x:c r="A225" s="26" t="str">
        <x:v>SETUP-DEBT-008</x:v>
      </x:c>
      <x:c r="B225" s="26" t="str">
        <x:v>10_Unity_Project_Setup_Guide.md</x:v>
      </x:c>
      <x:c r="C225" s="26" t="str">
        <x:v>46.1. Tabla de deuda</x:v>
      </x:c>
      <x:c r="D225" s="26" t="str">
        <x:v>Setup</x:v>
      </x:c>
      <x:c r="E225" s="26" t="str">
        <x:v>crecimiento de binarios</x:v>
      </x:c>
      <x:c r="F225" s="26" t="str">
        <x:v>medir y decidir</x:v>
      </x:c>
      <x:c r="G225" s="26" t="str">
        <x:v>Deuda de setup</x:v>
      </x:c>
      <x:c r="H225" s="26" t="str">
        <x:v>Activo</x:v>
      </x:c>
      <x:c r="I225" s="26" t="str">
        <x:v>VRM Games</x:v>
      </x:c>
    </x:row>
    <x:row r="226" ht="30" customHeight="1">
      <x:c r="A226" s="26" t="str">
        <x:v>SETUP-DEBT-009</x:v>
      </x:c>
      <x:c r="B226" s="26" t="str">
        <x:v>10_Unity_Project_Setup_Guide.md</x:v>
      </x:c>
      <x:c r="C226" s="26" t="str">
        <x:v>46.1. Tabla de deuda</x:v>
      </x:c>
      <x:c r="D226" s="26" t="str">
        <x:v>Setup</x:v>
      </x:c>
      <x:c r="E226" s="26" t="str">
        <x:v>contrato confuso</x:v>
      </x:c>
      <x:c r="F226" s="26" t="str">
        <x:v>limpiar sin romper IDs usados</x:v>
      </x:c>
      <x:c r="G226" s="26" t="str">
        <x:v>Deuda de setup</x:v>
      </x:c>
      <x:c r="H226" s="26" t="str">
        <x:v>Activo</x:v>
      </x:c>
      <x:c r="I226" s="26" t="str">
        <x:v>VRM Games</x:v>
      </x:c>
    </x:row>
    <x:row r="227" ht="30" customHeight="1">
      <x:c r="A227" s="26" t="str">
        <x:v>SETUP-DEBT-010</x:v>
      </x:c>
      <x:c r="B227" s="26" t="str">
        <x:v>10_Unity_Project_Setup_Guide.md</x:v>
      </x:c>
      <x:c r="C227" s="26" t="str">
        <x:v>46.1. Tabla de deuda</x:v>
      </x:c>
      <x:c r="D227" s="26" t="str">
        <x:v>Setup</x:v>
      </x:c>
      <x:c r="E227" s="26" t="str">
        <x:v>no apto para release</x:v>
      </x:c>
      <x:c r="F227" s="26" t="str">
        <x:v>profile de candidato separado</x:v>
      </x:c>
      <x:c r="G227" s="26" t="str">
        <x:v>Deuda de setup</x:v>
      </x:c>
      <x:c r="H227" s="26" t="str">
        <x:v>Activo</x:v>
      </x:c>
      <x:c r="I227" s="26" t="str">
        <x:v>VRM Games</x:v>
      </x:c>
    </x:row>
    <x:row r="228" ht="30" customHeight="1">
      <x:c r="A228" s="26" t="str">
        <x:v>SETUP-001</x:v>
      </x:c>
      <x:c r="B228" s="26" t="str">
        <x:v>10_Unity_Project_Setup_Guide.md</x:v>
      </x:c>
      <x:c r="C228" s="26" t="str">
        <x:v>48. Criterios de aceptación</x:v>
      </x:c>
      <x:c r="D228" s="26" t="str">
        <x:v>Setup</x:v>
      </x:c>
      <x:c r="E228" s="26" t="str">
        <x:v>`ProjectVersion.txt` declara `6000.3.18f1`.</x:v>
      </x:c>
      <x:c r="F228" s="26" t="str">
        <x:v>archivo y About Unity</x:v>
      </x:c>
      <x:c r="G228" s="26" t="str">
        <x:v>Criterio de setup</x:v>
      </x:c>
      <x:c r="H228" s="26" t="str">
        <x:v>Activo</x:v>
      </x:c>
      <x:c r="I228" s="26" t="str">
        <x:v>VRM Games</x:v>
      </x:c>
    </x:row>
    <x:row r="229" ht="30" customHeight="1">
      <x:c r="A229" s="26" t="str">
        <x:v>SETUP-002</x:v>
      </x:c>
      <x:c r="B229" s="26" t="str">
        <x:v>10_Unity_Project_Setup_Guide.md</x:v>
      </x:c>
      <x:c r="C229" s="26" t="str">
        <x:v>48. Criterios de aceptación</x:v>
      </x:c>
      <x:c r="D229" s="26" t="str">
        <x:v>Setup</x:v>
      </x:c>
      <x:c r="E229" s="26" t="str">
        <x:v>Windows Build Support está disponible.</x:v>
      </x:c>
      <x:c r="F229" s="26" t="str">
        <x:v>build externa</x:v>
      </x:c>
      <x:c r="G229" s="26" t="str">
        <x:v>Criterio de setup</x:v>
      </x:c>
      <x:c r="H229" s="26" t="str">
        <x:v>Activo</x:v>
      </x:c>
      <x:c r="I229" s="26" t="str">
        <x:v>VRM Games</x:v>
      </x:c>
    </x:row>
    <x:row r="230" ht="30" customHeight="1">
      <x:c r="A230" s="26" t="str">
        <x:v>SETUP-003</x:v>
      </x:c>
      <x:c r="B230" s="26" t="str">
        <x:v>10_Unity_Project_Setup_Guide.md</x:v>
      </x:c>
      <x:c r="C230" s="26" t="str">
        <x:v>48. Criterios de aceptación</x:v>
      </x:c>
      <x:c r="D230" s="26" t="str">
        <x:v>Setup</x:v>
      </x:c>
      <x:c r="E230" s="26" t="str">
        <x:v>`manifest.json` contiene las siete dependencias directas aprobadas.</x:v>
      </x:c>
      <x:c r="F230" s="26" t="str">
        <x:v>diff/revisión</x:v>
      </x:c>
      <x:c r="G230" s="26" t="str">
        <x:v>Criterio de setup</x:v>
      </x:c>
      <x:c r="H230" s="26" t="str">
        <x:v>Activo</x:v>
      </x:c>
      <x:c r="I230" s="26" t="str">
        <x:v>VRM Games</x:v>
      </x:c>
    </x:row>
    <x:row r="231" ht="30" customHeight="1">
      <x:c r="A231" s="26" t="str">
        <x:v>SETUP-004</x:v>
      </x:c>
      <x:c r="B231" s="26" t="str">
        <x:v>10_Unity_Project_Setup_Guide.md</x:v>
      </x:c>
      <x:c r="C231" s="26" t="str">
        <x:v>48. Criterios de aceptación</x:v>
      </x:c>
      <x:c r="D231" s="26" t="str">
        <x:v>Setup</x:v>
      </x:c>
      <x:c r="E231" s="26" t="str">
        <x:v>`packages-lock.json` resuelve sin Preview.</x:v>
      </x:c>
      <x:c r="F231" s="26" t="str">
        <x:v>Package Manager</x:v>
      </x:c>
      <x:c r="G231" s="26" t="str">
        <x:v>Criterio de setup</x:v>
      </x:c>
      <x:c r="H231" s="26" t="str">
        <x:v>Activo</x:v>
      </x:c>
      <x:c r="I231" s="26" t="str">
        <x:v>VRM Games</x:v>
      </x:c>
    </x:row>
    <x:row r="232" ht="30" customHeight="1">
      <x:c r="A232" s="26" t="str">
        <x:v>SETUP-005</x:v>
      </x:c>
      <x:c r="B232" s="26" t="str">
        <x:v>10_Unity_Project_Setup_Guide.md</x:v>
      </x:c>
      <x:c r="C232" s="26" t="str">
        <x:v>48. Criterios de aceptación</x:v>
      </x:c>
      <x:c r="D232" s="26" t="str">
        <x:v>Setup</x:v>
      </x:c>
      <x:c r="E232" s="26" t="str">
        <x:v>Company, Product, Identifier y Version son correctos.</x:v>
      </x:c>
      <x:c r="F232" s="26" t="str">
        <x:v>Player Settings</x:v>
      </x:c>
      <x:c r="G232" s="26" t="str">
        <x:v>Criterio de setup</x:v>
      </x:c>
      <x:c r="H232" s="26" t="str">
        <x:v>Activo</x:v>
      </x:c>
      <x:c r="I232" s="26" t="str">
        <x:v>VRM Games</x:v>
      </x:c>
    </x:row>
    <x:row r="233" ht="30" customHeight="1">
      <x:c r="A233" s="26" t="str">
        <x:v>SETUP-006</x:v>
      </x:c>
      <x:c r="B233" s="26" t="str">
        <x:v>10_Unity_Project_Setup_Guide.md</x:v>
      </x:c>
      <x:c r="C233" s="26" t="str">
        <x:v>48. Criterios de aceptación</x:v>
      </x:c>
      <x:c r="D233" s="26" t="str">
        <x:v>Setup</x:v>
      </x:c>
      <x:c r="E233" s="26" t="str">
        <x:v>Color Space es Linear.</x:v>
      </x:c>
      <x:c r="F233" s="26" t="str">
        <x:v>Project Settings</x:v>
      </x:c>
      <x:c r="G233" s="26" t="str">
        <x:v>Criterio de setup</x:v>
      </x:c>
      <x:c r="H233" s="26" t="str">
        <x:v>Activo</x:v>
      </x:c>
      <x:c r="I233" s="26" t="str">
        <x:v>VRM Games</x:v>
      </x:c>
    </x:row>
    <x:row r="234" ht="30" customHeight="1">
      <x:c r="A234" s="26" t="str">
        <x:v>SETUP-007</x:v>
      </x:c>
      <x:c r="B234" s="26" t="str">
        <x:v>10_Unity_Project_Setup_Guide.md</x:v>
      </x:c>
      <x:c r="C234" s="26" t="str">
        <x:v>48. Criterios de aceptación</x:v>
      </x:c>
      <x:c r="D234" s="26" t="str">
        <x:v>Setup</x:v>
      </x:c>
      <x:c r="E234" s="26" t="str">
        <x:v>Visible Meta Files está activo.</x:v>
      </x:c>
      <x:c r="F234" s="26" t="str">
        <x:v>Version Control Settings</x:v>
      </x:c>
      <x:c r="G234" s="26" t="str">
        <x:v>Criterio de setup</x:v>
      </x:c>
      <x:c r="H234" s="26" t="str">
        <x:v>Activo</x:v>
      </x:c>
      <x:c r="I234" s="26" t="str">
        <x:v>VRM Games</x:v>
      </x:c>
    </x:row>
    <x:row r="235" ht="30" customHeight="1">
      <x:c r="A235" s="26" t="str">
        <x:v>SETUP-008</x:v>
      </x:c>
      <x:c r="B235" s="26" t="str">
        <x:v>10_Unity_Project_Setup_Guide.md</x:v>
      </x:c>
      <x:c r="C235" s="26" t="str">
        <x:v>48. Criterios de aceptación</x:v>
      </x:c>
      <x:c r="D235" s="26" t="str">
        <x:v>Setup</x:v>
      </x:c>
      <x:c r="E235" s="26" t="str">
        <x:v>Force Text está activo.</x:v>
      </x:c>
      <x:c r="F235" s="26" t="str">
        <x:v>Editor Settings</x:v>
      </x:c>
      <x:c r="G235" s="26" t="str">
        <x:v>Criterio de setup</x:v>
      </x:c>
      <x:c r="H235" s="26" t="str">
        <x:v>Activo</x:v>
      </x:c>
      <x:c r="I235" s="26" t="str">
        <x:v>VRM Games</x:v>
      </x:c>
    </x:row>
    <x:row r="236" ht="30" customHeight="1">
      <x:c r="A236" s="26" t="str">
        <x:v>SETUP-009</x:v>
      </x:c>
      <x:c r="B236" s="26" t="str">
        <x:v>10_Unity_Project_Setup_Guide.md</x:v>
      </x:c>
      <x:c r="C236" s="26" t="str">
        <x:v>48. Criterios de aceptación</x:v>
      </x:c>
      <x:c r="D236" s="26" t="str">
        <x:v>Setup</x:v>
      </x:c>
      <x:c r="E236" s="26" t="str">
        <x:v>Git ignora carpetas generadas.</x:v>
      </x:c>
      <x:c r="F236" s="26" t="str">
        <x:v>status limpio</x:v>
      </x:c>
      <x:c r="G236" s="26" t="str">
        <x:v>Criterio de setup</x:v>
      </x:c>
      <x:c r="H236" s="26" t="str">
        <x:v>Activo</x:v>
      </x:c>
      <x:c r="I236" s="26" t="str">
        <x:v>VRM Games</x:v>
      </x:c>
    </x:row>
    <x:row r="237" ht="30" customHeight="1">
      <x:c r="A237" s="26" t="str">
        <x:v>SETUP-010</x:v>
      </x:c>
      <x:c r="B237" s="26" t="str">
        <x:v>10_Unity_Project_Setup_Guide.md</x:v>
      </x:c>
      <x:c r="C237" s="26" t="str">
        <x:v>48. Criterios de aceptación</x:v>
      </x:c>
      <x:c r="D237" s="26" t="str">
        <x:v>Setup</x:v>
      </x:c>
      <x:c r="E237" s="26" t="str">
        <x:v>`.gitattributes` normaliza texto y clasifica binarios.</x:v>
      </x:c>
      <x:c r="F237" s="26" t="str">
        <x:v>revisión</x:v>
      </x:c>
      <x:c r="G237" s="26" t="str">
        <x:v>Criterio de setup</x:v>
      </x:c>
      <x:c r="H237" s="26" t="str">
        <x:v>Activo</x:v>
      </x:c>
      <x:c r="I237" s="26" t="str">
        <x:v>VRM Games</x:v>
      </x:c>
    </x:row>
    <x:row r="238" ht="30" customHeight="1">
      <x:c r="A238" s="26" t="str">
        <x:v>SETUP-011</x:v>
      </x:c>
      <x:c r="B238" s="26" t="str">
        <x:v>10_Unity_Project_Setup_Guide.md</x:v>
      </x:c>
      <x:c r="C238" s="26" t="str">
        <x:v>48. Criterios de aceptación</x:v>
      </x:c>
      <x:c r="D238" s="26" t="str">
        <x:v>Setup</x:v>
      </x:c>
      <x:c r="E238" s="26" t="str">
        <x:v>los doce asmdefs se descubren.</x:v>
      </x:c>
      <x:c r="F238" s="26" t="str">
        <x:v>Inspector/compilación</x:v>
      </x:c>
      <x:c r="G238" s="26" t="str">
        <x:v>Criterio de setup</x:v>
      </x:c>
      <x:c r="H238" s="26" t="str">
        <x:v>Activo</x:v>
      </x:c>
      <x:c r="I238" s="26" t="str">
        <x:v>VRM Games</x:v>
      </x:c>
    </x:row>
    <x:row r="239" ht="30" customHeight="1">
      <x:c r="A239" s="26" t="str">
        <x:v>SETUP-012</x:v>
      </x:c>
      <x:c r="B239" s="26" t="str">
        <x:v>10_Unity_Project_Setup_Guide.md</x:v>
      </x:c>
      <x:c r="C239" s="26" t="str">
        <x:v>48. Criterios de aceptación</x:v>
      </x:c>
      <x:c r="D239" s="26" t="str">
        <x:v>Setup</x:v>
      </x:c>
      <x:c r="E239" s="26" t="str">
        <x:v>Domain y Application usan No Engine References.</x:v>
      </x:c>
      <x:c r="F239" s="26" t="str">
        <x:v>asmdefs</x:v>
      </x:c>
      <x:c r="G239" s="26" t="str">
        <x:v>Criterio de setup</x:v>
      </x:c>
      <x:c r="H239" s="26" t="str">
        <x:v>Activo</x:v>
      </x:c>
      <x:c r="I239" s="26" t="str">
        <x:v>VRM Games</x:v>
      </x:c>
    </x:row>
    <x:row r="240" ht="30" customHeight="1">
      <x:c r="A240" s="26" t="str">
        <x:v>SETUP-013</x:v>
      </x:c>
      <x:c r="B240" s="26" t="str">
        <x:v>10_Unity_Project_Setup_Guide.md</x:v>
      </x:c>
      <x:c r="C240" s="26" t="str">
        <x:v>48. Criterios de aceptación</x:v>
      </x:c>
      <x:c r="D240" s="26" t="str">
        <x:v>Setup</x:v>
      </x:c>
      <x:c r="E240" s="26" t="str">
        <x:v>Bootstrap es primera escena del profile.</x:v>
      </x:c>
      <x:c r="F240" s="26" t="str">
        <x:v>Build Profile</x:v>
      </x:c>
      <x:c r="G240" s="26" t="str">
        <x:v>Criterio de setup</x:v>
      </x:c>
      <x:c r="H240" s="26" t="str">
        <x:v>Activo</x:v>
      </x:c>
      <x:c r="I240" s="26" t="str">
        <x:v>VRM Games</x:v>
      </x:c>
    </x:row>
    <x:row r="241" ht="30" customHeight="1">
      <x:c r="A241" s="26" t="str">
        <x:v>SETUP-014</x:v>
      </x:c>
      <x:c r="B241" s="26" t="str">
        <x:v>10_Unity_Project_Setup_Guide.md</x:v>
      </x:c>
      <x:c r="C241" s="26" t="str">
        <x:v>48. Criterios de aceptación</x:v>
      </x:c>
      <x:c r="D241" s="26" t="str">
        <x:v>Setup</x:v>
      </x:c>
      <x:c r="E241" s="26" t="str">
        <x:v>StoreInitial conserva GUID propio.</x:v>
      </x:c>
      <x:c r="F241" s="26" t="str">
        <x:v>`.meta`</x:v>
      </x:c>
      <x:c r="G241" s="26" t="str">
        <x:v>Criterio de setup</x:v>
      </x:c>
      <x:c r="H241" s="26" t="str">
        <x:v>Activo</x:v>
      </x:c>
      <x:c r="I241" s="26" t="str">
        <x:v>VRM Games</x:v>
      </x:c>
    </x:row>
    <x:row r="242" ht="30" customHeight="1">
      <x:c r="A242" s="26" t="str">
        <x:v>SETUP-015</x:v>
      </x:c>
      <x:c r="B242" s="26" t="str">
        <x:v>10_Unity_Project_Setup_Guide.md</x:v>
      </x:c>
      <x:c r="C242" s="26" t="str">
        <x:v>48. Criterios de aceptación</x:v>
      </x:c>
      <x:c r="D242" s="26" t="str">
        <x:v>Setup</x:v>
      </x:c>
      <x:c r="E242" s="26" t="str">
        <x:v>RuntimeAssetRegistry y Input Actions se resuelven.</x:v>
      </x:c>
      <x:c r="F242" s="26" t="str">
        <x:v>arranque/tests</x:v>
      </x:c>
      <x:c r="G242" s="26" t="str">
        <x:v>Criterio de setup</x:v>
      </x:c>
      <x:c r="H242" s="26" t="str">
        <x:v>Activo</x:v>
      </x:c>
      <x:c r="I242" s="26" t="str">
        <x:v>VRM Games</x:v>
      </x:c>
    </x:row>
    <x:row r="243" ht="30" customHeight="1">
      <x:c r="A243" s="26" t="str">
        <x:v>SETUP-016</x:v>
      </x:c>
      <x:c r="B243" s="26" t="str">
        <x:v>10_Unity_Project_Setup_Guide.md</x:v>
      </x:c>
      <x:c r="C243" s="26" t="str">
        <x:v>48. Criterios de aceptación</x:v>
      </x:c>
      <x:c r="D243" s="26" t="str">
        <x:v>Setup</x:v>
      </x:c>
      <x:c r="E243" s="26" t="str">
        <x:v>PC_RPAsset está asignado a Standalone.</x:v>
      </x:c>
      <x:c r="F243" s="26" t="str">
        <x:v>Graphics/Quality</x:v>
      </x:c>
      <x:c r="G243" s="26" t="str">
        <x:v>Criterio de setup</x:v>
      </x:c>
      <x:c r="H243" s="26" t="str">
        <x:v>Activo</x:v>
      </x:c>
      <x:c r="I243" s="26" t="str">
        <x:v>VRM Games</x:v>
      </x:c>
    </x:row>
    <x:row r="244" ht="30" customHeight="1">
      <x:c r="A244" s="26" t="str">
        <x:v>SETUP-017</x:v>
      </x:c>
      <x:c r="B244" s="26" t="str">
        <x:v>10_Unity_Project_Setup_Guide.md</x:v>
      </x:c>
      <x:c r="C244" s="26" t="str">
        <x:v>48. Criterios de aceptación</x:v>
      </x:c>
      <x:c r="D244" s="26" t="str">
        <x:v>Setup</x:v>
      </x:c>
      <x:c r="E244" s="26" t="str">
        <x:v>Input System funciona sin propagación UI→mundo.</x:v>
      </x:c>
      <x:c r="F244" s="26" t="str">
        <x:v>PlayMode/manual</x:v>
      </x:c>
      <x:c r="G244" s="26" t="str">
        <x:v>Criterio de setup</x:v>
      </x:c>
      <x:c r="H244" s="26" t="str">
        <x:v>Activo</x:v>
      </x:c>
      <x:c r="I244" s="26" t="str">
        <x:v>VRM Games</x:v>
      </x:c>
    </x:row>
    <x:row r="245" ht="30" customHeight="1">
      <x:c r="A245" s="26" t="str">
        <x:v>SETUP-018</x:v>
      </x:c>
      <x:c r="B245" s="26" t="str">
        <x:v>10_Unity_Project_Setup_Guide.md</x:v>
      </x:c>
      <x:c r="C245" s="26" t="str">
        <x:v>48. Criterios de aceptación</x:v>
      </x:c>
      <x:c r="D245" s="26" t="str">
        <x:v>Setup</x:v>
      </x:c>
      <x:c r="E245" s="26" t="str">
        <x:v>AI Navigation alcanza puntos críticos.</x:v>
      </x:c>
      <x:c r="F245" s="26" t="str">
        <x:v>recorrido</x:v>
      </x:c>
      <x:c r="G245" s="26" t="str">
        <x:v>Criterio de setup</x:v>
      </x:c>
      <x:c r="H245" s="26" t="str">
        <x:v>Activo</x:v>
      </x:c>
      <x:c r="I245" s="26" t="str">
        <x:v>VRM Games</x:v>
      </x:c>
    </x:row>
    <x:row r="246" ht="30" customHeight="1">
      <x:c r="A246" s="26" t="str">
        <x:v>SETUP-019</x:v>
      </x:c>
      <x:c r="B246" s="26" t="str">
        <x:v>10_Unity_Project_Setup_Guide.md</x:v>
      </x:c>
      <x:c r="C246" s="26" t="str">
        <x:v>48. Criterios de aceptación</x:v>
      </x:c>
      <x:c r="D246" s="26" t="str">
        <x:v>Setup</x:v>
      </x:c>
      <x:c r="E246" s="26" t="str">
        <x:v>no hay missing scripts ni materiales rosas.</x:v>
      </x:c>
      <x:c r="F246" s="26" t="str">
        <x:v>revisión escena</x:v>
      </x:c>
      <x:c r="G246" s="26" t="str">
        <x:v>Criterio de setup</x:v>
      </x:c>
      <x:c r="H246" s="26" t="str">
        <x:v>Activo</x:v>
      </x:c>
      <x:c r="I246" s="26" t="str">
        <x:v>VRM Games</x:v>
      </x:c>
    </x:row>
    <x:row r="247" ht="30" customHeight="1">
      <x:c r="A247" s="26" t="str">
        <x:v>SETUP-020</x:v>
      </x:c>
      <x:c r="B247" s="26" t="str">
        <x:v>10_Unity_Project_Setup_Guide.md</x:v>
      </x:c>
      <x:c r="C247" s="26" t="str">
        <x:v>48. Criterios de aceptación</x:v>
      </x:c>
      <x:c r="D247" s="26" t="str">
        <x:v>Setup</x:v>
      </x:c>
      <x:c r="E247" s="26" t="str">
        <x:v>EditMode vigente pasa.</x:v>
      </x:c>
      <x:c r="F247" s="26" t="str">
        <x:v>reporte</x:v>
      </x:c>
      <x:c r="G247" s="26" t="str">
        <x:v>Criterio de setup</x:v>
      </x:c>
      <x:c r="H247" s="26" t="str">
        <x:v>Activo</x:v>
      </x:c>
      <x:c r="I247" s="26" t="str">
        <x:v>VRM Games</x:v>
      </x:c>
    </x:row>
    <x:row r="248" ht="30" customHeight="1">
      <x:c r="A248" s="26" t="str">
        <x:v>SETUP-021</x:v>
      </x:c>
      <x:c r="B248" s="26" t="str">
        <x:v>10_Unity_Project_Setup_Guide.md</x:v>
      </x:c>
      <x:c r="C248" s="26" t="str">
        <x:v>48. Criterios de aceptación</x:v>
      </x:c>
      <x:c r="D248" s="26" t="str">
        <x:v>Setup</x:v>
      </x:c>
      <x:c r="E248" s="26" t="str">
        <x:v>PlayMode vigente pasa.</x:v>
      </x:c>
      <x:c r="F248" s="26" t="str">
        <x:v>reporte</x:v>
      </x:c>
      <x:c r="G248" s="26" t="str">
        <x:v>Criterio de setup</x:v>
      </x:c>
      <x:c r="H248" s="26" t="str">
        <x:v>Activo</x:v>
      </x:c>
      <x:c r="I248" s="26" t="str">
        <x:v>VRM Games</x:v>
      </x:c>
    </x:row>
    <x:row r="249" ht="30" customHeight="1">
      <x:c r="A249" s="26" t="str">
        <x:v>SETUP-022</x:v>
      </x:c>
      <x:c r="B249" s="26" t="str">
        <x:v>10_Unity_Project_Setup_Guide.md</x:v>
      </x:c>
      <x:c r="C249" s="26" t="str">
        <x:v>48. Criterios de aceptación</x:v>
      </x:c>
      <x:c r="D249" s="26" t="str">
        <x:v>Setup</x:v>
      </x:c>
      <x:c r="E249" s="26" t="str">
        <x:v>EXE Windows x64 arranca desde Bootstrap.</x:v>
      </x:c>
      <x:c r="F249" s="26" t="str">
        <x:v>build record</x:v>
      </x:c>
      <x:c r="G249" s="26" t="str">
        <x:v>Criterio de setup</x:v>
      </x:c>
      <x:c r="H249" s="26" t="str">
        <x:v>Activo</x:v>
      </x:c>
      <x:c r="I249" s="26" t="str">
        <x:v>VRM Games</x:v>
      </x:c>
    </x:row>
    <x:row r="250" ht="30" customHeight="1">
      <x:c r="A250" s="26" t="str">
        <x:v>SETUP-023</x:v>
      </x:c>
      <x:c r="B250" s="26" t="str">
        <x:v>10_Unity_Project_Setup_Guide.md</x:v>
      </x:c>
      <x:c r="C250" s="26" t="str">
        <x:v>48. Criterios de aceptación</x:v>
      </x:c>
      <x:c r="D250" s="26" t="str">
        <x:v>Setup</x:v>
      </x:c>
      <x:c r="E250" s="26" t="str">
        <x:v>Player.log no tiene errores bloqueantes.</x:v>
      </x:c>
      <x:c r="F250" s="26" t="str">
        <x:v>log</x:v>
      </x:c>
      <x:c r="G250" s="26" t="str">
        <x:v>Criterio de setup</x:v>
      </x:c>
      <x:c r="H250" s="26" t="str">
        <x:v>Activo</x:v>
      </x:c>
      <x:c r="I250" s="26" t="str">
        <x:v>VRM Games</x:v>
      </x:c>
    </x:row>
    <x:row r="251" ht="30" customHeight="1">
      <x:c r="A251" s="26" t="str">
        <x:v>SETUP-024</x:v>
      </x:c>
      <x:c r="B251" s="26" t="str">
        <x:v>10_Unity_Project_Setup_Guide.md</x:v>
      </x:c>
      <x:c r="C251" s="26" t="str">
        <x:v>48. Criterios de aceptación</x:v>
      </x:c>
      <x:c r="D251" s="26" t="str">
        <x:v>Setup</x:v>
      </x:c>
      <x:c r="E251" s="26" t="str">
        <x:v>Git permanece limpio tras abrir, probar y cerrar.</x:v>
      </x:c>
      <x:c r="F251" s="26" t="str">
        <x:v>status</x:v>
      </x:c>
      <x:c r="G251" s="26" t="str">
        <x:v>Criterio de setup</x:v>
      </x:c>
      <x:c r="H251" s="26" t="str">
        <x:v>Activo</x:v>
      </x:c>
      <x:c r="I251" s="26" t="str">
        <x:v>VRM Games</x:v>
      </x:c>
    </x:row>
    <x:row r="252" ht="30" customHeight="1">
      <x:c r="A252" s="26" t="str">
        <x:v>SETUP-025</x:v>
      </x:c>
      <x:c r="B252" s="26" t="str">
        <x:v>10_Unity_Project_Setup_Guide.md</x:v>
      </x:c>
      <x:c r="C252" s="26" t="str">
        <x:v>48. Criterios de aceptación</x:v>
      </x:c>
      <x:c r="D252" s="26" t="str">
        <x:v>Setup</x:v>
      </x:c>
      <x:c r="E252" s="26" t="str">
        <x:v>el registro de entorno no contiene secretos.</x:v>
      </x:c>
      <x:c r="F252" s="26" t="str">
        <x:v>revisión</x:v>
      </x:c>
      <x:c r="G252" s="26" t="str">
        <x:v>Criterio de setup</x:v>
      </x:c>
      <x:c r="H252" s="26" t="str">
        <x:v>Activo</x:v>
      </x:c>
      <x:c r="I252" s="26" t="str">
        <x:v>VRM Games</x:v>
      </x:c>
    </x:row>
    <x:row r="253" ht="30" customHeight="1">
      <x:c r="A253" s="26" t="str">
        <x:v>SETUP-026</x:v>
      </x:c>
      <x:c r="B253" s="26" t="str">
        <x:v>10_Unity_Project_Setup_Guide.md</x:v>
      </x:c>
      <x:c r="C253" s="26" t="str">
        <x:v>48. Criterios de aceptación</x:v>
      </x:c>
      <x:c r="D253" s="26" t="str">
        <x:v>Setup</x:v>
      </x:c>
      <x:c r="E253" s="26" t="str">
        <x:v>cambios de Unity/paquetes disponen de ADR o registro.</x:v>
      </x:c>
      <x:c r="F253" s="26" t="str">
        <x:v>documentación</x:v>
      </x:c>
      <x:c r="G253" s="26" t="str">
        <x:v>Criterio de setup</x:v>
      </x:c>
      <x:c r="H253" s="26" t="str">
        <x:v>Activo</x:v>
      </x:c>
      <x:c r="I253" s="26" t="str">
        <x:v>VRM Games</x:v>
      </x:c>
    </x:row>
    <x:row r="254" ht="30" customHeight="1">
      <x:c r="A254" s="26" t="str">
        <x:v>SETUP-027</x:v>
      </x:c>
      <x:c r="B254" s="26" t="str">
        <x:v>10_Unity_Project_Setup_Guide.md</x:v>
      </x:c>
      <x:c r="C254" s="26" t="str">
        <x:v>48. Criterios de aceptación</x:v>
      </x:c>
      <x:c r="D254" s="26" t="str">
        <x:v>Setup</x:v>
      </x:c>
      <x:c r="E254" s="26" t="str">
        <x:v>Store no se sustituye antes de validar StoreInitial.</x:v>
      </x:c>
      <x:c r="F254" s="26" t="str">
        <x:v>gate Sprint 16</x:v>
      </x:c>
      <x:c r="G254" s="26" t="str">
        <x:v>Criterio de setup</x:v>
      </x:c>
      <x:c r="H254" s="26" t="str">
        <x:v>Activo</x:v>
      </x:c>
      <x:c r="I254" s="26" t="str">
        <x:v>VRM Games</x:v>
      </x:c>
    </x:row>
    <x:row r="255" ht="30" customHeight="1">
      <x:c r="A255" s="26" t="str">
        <x:v>SETUP-028</x:v>
      </x:c>
      <x:c r="B255" s="26" t="str">
        <x:v>10_Unity_Project_Setup_Guide.md</x:v>
      </x:c>
      <x:c r="C255" s="26" t="str">
        <x:v>48. Criterios de aceptación</x:v>
      </x:c>
      <x:c r="D255" s="26" t="str">
        <x:v>Setup</x:v>
      </x:c>
      <x:c r="E255" s="26" t="str">
        <x:v>Localization ES/EN se valida antes de H6.</x:v>
      </x:c>
      <x:c r="F255" s="26" t="str">
        <x:v>QA matrix</x:v>
      </x:c>
      <x:c r="G255" s="26" t="str">
        <x:v>Criterio de setup</x:v>
      </x:c>
      <x:c r="H255" s="26" t="str">
        <x:v>Activo</x:v>
      </x:c>
      <x:c r="I255" s="26" t="str">
        <x:v>VRM Games</x:v>
      </x:c>
    </x:row>
    <x:row r="256" ht="30" customHeight="1">
      <x:c r="A256" s="26" t="str">
        <x:v>SETUP-029</x:v>
      </x:c>
      <x:c r="B256" s="26" t="str">
        <x:v>10_Unity_Project_Setup_Guide.md</x:v>
      </x:c>
      <x:c r="C256" s="26" t="str">
        <x:v>48. Criterios de aceptación</x:v>
      </x:c>
      <x:c r="D256" s="26" t="str">
        <x:v>Setup</x:v>
      </x:c>
      <x:c r="E256" s="26" t="str">
        <x:v>resolución objetivo y ventana se deciden antes de candidato.</x:v>
      </x:c>
      <x:c r="F256" s="26" t="str">
        <x:v>Player Settings/build</x:v>
      </x:c>
      <x:c r="G256" s="26" t="str">
        <x:v>Criterio de setup</x:v>
      </x:c>
      <x:c r="H256" s="26" t="str">
        <x:v>Activo</x:v>
      </x:c>
      <x:c r="I256" s="26" t="str">
        <x:v>VRM Games</x:v>
      </x:c>
    </x:row>
    <x:row r="257" ht="30" customHeight="1">
      <x:c r="A257" s="26" t="str">
        <x:v>SETUP-030</x:v>
      </x:c>
      <x:c r="B257" s="26" t="str">
        <x:v>10_Unity_Project_Setup_Guide.md</x:v>
      </x:c>
      <x:c r="C257" s="26" t="str">
        <x:v>48. Criterios de aceptación</x:v>
      </x:c>
      <x:c r="D257" s="26" t="str">
        <x:v>Setup</x:v>
      </x:c>
      <x:c r="E257" s="26" t="str">
        <x:v>la guía y baseline reflejan la configuración real.</x:v>
      </x:c>
      <x:c r="F257" s="26" t="str">
        <x:v>trazabilidad</x:v>
      </x:c>
      <x:c r="G257" s="26" t="str">
        <x:v>Criterio de setup</x:v>
      </x:c>
      <x:c r="H257" s="26" t="str">
        <x:v>Activo</x:v>
      </x:c>
      <x:c r="I257" s="26" t="str">
        <x:v>VRM Games</x:v>
      </x:c>
    </x:row>
    <x:row r="258" ht="30" customHeight="1">
      <x:c r="A258" s="26" t="str">
        <x:v>BUILD-STD-001</x:v>
      </x:c>
      <x:c r="B258" s="26" t="str">
        <x:v>11_Build_y_Versioning_Guide.md</x:v>
      </x:c>
      <x:c r="C258" s="26" t="str">
        <x:v>49. Criterios de aceptación de la política</x:v>
      </x:c>
      <x:c r="D258" s="26" t="str">
        <x:v>Build</x:v>
      </x:c>
      <x:c r="E258" s="26" t="str">
        <x:v>Toda build retenida tiene Build ID único.</x:v>
      </x:c>
      <x:c r="F258" s="26" t="str">
        <x:v>Registro, manifest, test o artefacto aplicable</x:v>
      </x:c>
      <x:c r="G258" s="26" t="str">
        <x:v>Estándar de build</x:v>
      </x:c>
      <x:c r="H258" s="26" t="str">
        <x:v>Activo</x:v>
      </x:c>
      <x:c r="I258" s="26" t="str">
        <x:v>VRM Games</x:v>
      </x:c>
    </x:row>
    <x:row r="259" ht="30" customHeight="1">
      <x:c r="A259" s="26" t="str">
        <x:v>BUILD-STD-002</x:v>
      </x:c>
      <x:c r="B259" s="26" t="str">
        <x:v>11_Build_y_Versioning_Guide.md</x:v>
      </x:c>
      <x:c r="C259" s="26" t="str">
        <x:v>49. Criterios de aceptación de la política</x:v>
      </x:c>
      <x:c r="D259" s="26" t="str">
        <x:v>Build</x:v>
      </x:c>
      <x:c r="E259" s="26" t="str">
        <x:v>Toda build retenida registra versión de aplicación y SHA completo.</x:v>
      </x:c>
      <x:c r="F259" s="26" t="str">
        <x:v>Registro, manifest, test o artefacto aplicable</x:v>
      </x:c>
      <x:c r="G259" s="26" t="str">
        <x:v>Estándar de build</x:v>
      </x:c>
      <x:c r="H259" s="26" t="str">
        <x:v>Activo</x:v>
      </x:c>
      <x:c r="I259" s="26" t="str">
        <x:v>VRM Games</x:v>
      </x:c>
    </x:row>
    <x:row r="260" ht="30" customHeight="1">
      <x:c r="A260" s="26" t="str">
        <x:v>BUILD-STD-003</x:v>
      </x:c>
      <x:c r="B260" s="26" t="str">
        <x:v>11_Build_y_Versioning_Guide.md</x:v>
      </x:c>
      <x:c r="C260" s="26" t="str">
        <x:v>49. Criterios de aceptación de la política</x:v>
      </x:c>
      <x:c r="D260" s="26" t="str">
        <x:v>Build</x:v>
      </x:c>
      <x:c r="E260" s="26" t="str">
        <x:v>Bootstrap ocupa el índice 0 en toda build jugable.</x:v>
      </x:c>
      <x:c r="F260" s="26" t="str">
        <x:v>Registro, manifest, test o artefacto aplicable</x:v>
      </x:c>
      <x:c r="G260" s="26" t="str">
        <x:v>Estándar de build</x:v>
      </x:c>
      <x:c r="H260" s="26" t="str">
        <x:v>Activo</x:v>
      </x:c>
      <x:c r="I260" s="26" t="str">
        <x:v>VRM Games</x:v>
      </x:c>
    </x:row>
    <x:row r="261" ht="30" customHeight="1">
      <x:c r="A261" s="26" t="str">
        <x:v>BUILD-STD-004</x:v>
      </x:c>
      <x:c r="B261" s="26" t="str">
        <x:v>11_Build_y_Versioning_Guide.md</x:v>
      </x:c>
      <x:c r="C261" s="26" t="str">
        <x:v>49. Criterios de aceptación de la política</x:v>
      </x:c>
      <x:c r="D261" s="26" t="str">
        <x:v>Build</x:v>
      </x:c>
      <x:c r="E261" s="26" t="str">
        <x:v>Una build distribuida excluye TestLab salvo excepción aprobada.</x:v>
      </x:c>
      <x:c r="F261" s="26" t="str">
        <x:v>Registro, manifest, test o artefacto aplicable</x:v>
      </x:c>
      <x:c r="G261" s="26" t="str">
        <x:v>Estándar de build</x:v>
      </x:c>
      <x:c r="H261" s="26" t="str">
        <x:v>Activo</x:v>
      </x:c>
      <x:c r="I261" s="26" t="str">
        <x:v>VRM Games</x:v>
      </x:c>
    </x:row>
    <x:row r="262" ht="30" customHeight="1">
      <x:c r="A262" s="26" t="str">
        <x:v>BUILD-STD-005</x:v>
      </x:c>
      <x:c r="B262" s="26" t="str">
        <x:v>11_Build_y_Versioning_Guide.md</x:v>
      </x:c>
      <x:c r="C262" s="26" t="str">
        <x:v>49. Criterios de aceptación de la política</x:v>
      </x:c>
      <x:c r="D262" s="26" t="str">
        <x:v>Build</x:v>
      </x:c>
      <x:c r="E262" s="26" t="str">
        <x:v>StoreInitial sustituye a Store solo después de integración validada.</x:v>
      </x:c>
      <x:c r="F262" s="26" t="str">
        <x:v>Registro, manifest, test o artefacto aplicable</x:v>
      </x:c>
      <x:c r="G262" s="26" t="str">
        <x:v>Estándar de build</x:v>
      </x:c>
      <x:c r="H262" s="26" t="str">
        <x:v>Activo</x:v>
      </x:c>
      <x:c r="I262" s="26" t="str">
        <x:v>VRM Games</x:v>
      </x:c>
    </x:row>
    <x:row r="263" ht="30" customHeight="1">
      <x:c r="A263" s="26" t="str">
        <x:v>BUILD-STD-006</x:v>
      </x:c>
      <x:c r="B263" s="26" t="str">
        <x:v>11_Build_y_Versioning_Guide.md</x:v>
      </x:c>
      <x:c r="C263" s="26" t="str">
        <x:v>49. Criterios de aceptación de la política</x:v>
      </x:c>
      <x:c r="D263" s="26" t="str">
        <x:v>Build</x:v>
      </x:c>
      <x:c r="E263" s="26" t="str">
        <x:v>No se aprueba candidato con S0 o S1 abierto.</x:v>
      </x:c>
      <x:c r="F263" s="26" t="str">
        <x:v>Registro, manifest, test o artefacto aplicable</x:v>
      </x:c>
      <x:c r="G263" s="26" t="str">
        <x:v>Estándar de build</x:v>
      </x:c>
      <x:c r="H263" s="26" t="str">
        <x:v>Activo</x:v>
      </x:c>
      <x:c r="I263" s="26" t="str">
        <x:v>VRM Games</x:v>
      </x:c>
    </x:row>
    <x:row r="264" ht="30" customHeight="1">
      <x:c r="A264" s="26" t="str">
        <x:v>BUILD-STD-007</x:v>
      </x:c>
      <x:c r="B264" s="26" t="str">
        <x:v>11_Build_y_Versioning_Guide.md</x:v>
      </x:c>
      <x:c r="C264" s="26" t="str">
        <x:v>49. Criterios de aceptación de la política</x:v>
      </x:c>
      <x:c r="D264" s="26" t="str">
        <x:v>Build</x:v>
      </x:c>
      <x:c r="E264" s="26" t="str">
        <x:v>Todo candidato de hito incluye Player.log revisado.</x:v>
      </x:c>
      <x:c r="F264" s="26" t="str">
        <x:v>Registro, manifest, test o artefacto aplicable</x:v>
      </x:c>
      <x:c r="G264" s="26" t="str">
        <x:v>Estándar de build</x:v>
      </x:c>
      <x:c r="H264" s="26" t="str">
        <x:v>Activo</x:v>
      </x:c>
      <x:c r="I264" s="26" t="str">
        <x:v>VRM Games</x:v>
      </x:c>
    </x:row>
    <x:row r="265" ht="30" customHeight="1">
      <x:c r="A265" s="26" t="str">
        <x:v>BUILD-STD-008</x:v>
      </x:c>
      <x:c r="B265" s="26" t="str">
        <x:v>11_Build_y_Versioning_Guide.md</x:v>
      </x:c>
      <x:c r="C265" s="26" t="str">
        <x:v>49. Criterios de aceptación de la política</x:v>
      </x:c>
      <x:c r="D265" s="26" t="str">
        <x:v>Build</x:v>
      </x:c>
      <x:c r="E265" s="26" t="str">
        <x:v>Todo candidato de hito incluye paquete y SHA-256.</x:v>
      </x:c>
      <x:c r="F265" s="26" t="str">
        <x:v>Registro, manifest, test o artefacto aplicable</x:v>
      </x:c>
      <x:c r="G265" s="26" t="str">
        <x:v>Estándar de build</x:v>
      </x:c>
      <x:c r="H265" s="26" t="str">
        <x:v>Activo</x:v>
      </x:c>
      <x:c r="I265" s="26" t="str">
        <x:v>VRM Games</x:v>
      </x:c>
    </x:row>
    <x:row r="266" ht="30" customHeight="1">
      <x:c r="A266" s="26" t="str">
        <x:v>BUILD-STD-009</x:v>
      </x:c>
      <x:c r="B266" s="26" t="str">
        <x:v>11_Build_y_Versioning_Guide.md</x:v>
      </x:c>
      <x:c r="C266" s="26" t="str">
        <x:v>49. Criterios de aceptación de la política</x:v>
      </x:c>
      <x:c r="D266" s="26" t="str">
        <x:v>Build</x:v>
      </x:c>
      <x:c r="E266" s="26" t="str">
        <x:v>Todo cambio de schema incluye compatibilidad, migración o rechazo explícito.</x:v>
      </x:c>
      <x:c r="F266" s="26" t="str">
        <x:v>Registro, manifest, test o artefacto aplicable</x:v>
      </x:c>
      <x:c r="G266" s="26" t="str">
        <x:v>Estándar de build</x:v>
      </x:c>
      <x:c r="H266" s="26" t="str">
        <x:v>Activo</x:v>
      </x:c>
      <x:c r="I266" s="26" t="str">
        <x:v>VRM Games</x:v>
      </x:c>
    </x:row>
    <x:row r="267" ht="30" customHeight="1">
      <x:c r="A267" s="26" t="str">
        <x:v>BUILD-STD-010</x:v>
      </x:c>
      <x:c r="B267" s="26" t="str">
        <x:v>11_Build_y_Versioning_Guide.md</x:v>
      </x:c>
      <x:c r="C267" s="26" t="str">
        <x:v>49. Criterios de aceptación de la política</x:v>
      </x:c>
      <x:c r="D267" s="26" t="str">
        <x:v>Build</x:v>
      </x:c>
      <x:c r="E267" s="26" t="str">
        <x:v>Una carga de save se valida por equivalencia observable.</x:v>
      </x:c>
      <x:c r="F267" s="26" t="str">
        <x:v>Registro, manifest, test o artefacto aplicable</x:v>
      </x:c>
      <x:c r="G267" s="26" t="str">
        <x:v>Estándar de build</x:v>
      </x:c>
      <x:c r="H267" s="26" t="str">
        <x:v>Activo</x:v>
      </x:c>
      <x:c r="I267" s="26" t="str">
        <x:v>VRM Games</x:v>
      </x:c>
    </x:row>
    <x:row r="268" ht="30" customHeight="1">
      <x:c r="A268" s="26" t="str">
        <x:v>BUILD-STD-011</x:v>
      </x:c>
      <x:c r="B268" s="26" t="str">
        <x:v>11_Build_y_Versioning_Guide.md</x:v>
      </x:c>
      <x:c r="C268" s="26" t="str">
        <x:v>49. Criterios de aceptación de la política</x:v>
      </x:c>
      <x:c r="D268" s="26" t="str">
        <x:v>Build</x:v>
      </x:c>
      <x:c r="E268" s="26" t="str">
        <x:v>Los IDs de contenido persistido no se reutilizan.</x:v>
      </x:c>
      <x:c r="F268" s="26" t="str">
        <x:v>Registro, manifest, test o artefacto aplicable</x:v>
      </x:c>
      <x:c r="G268" s="26" t="str">
        <x:v>Estándar de build</x:v>
      </x:c>
      <x:c r="H268" s="26" t="str">
        <x:v>Activo</x:v>
      </x:c>
      <x:c r="I268" s="26" t="str">
        <x:v>VRM Games</x:v>
      </x:c>
    </x:row>
    <x:row r="269" ht="30" customHeight="1">
      <x:c r="A269" s="26" t="str">
        <x:v>BUILD-STD-012</x:v>
      </x:c>
      <x:c r="B269" s="26" t="str">
        <x:v>11_Build_y_Versioning_Guide.md</x:v>
      </x:c>
      <x:c r="C269" s="26" t="str">
        <x:v>49. Criterios de aceptación de la política</x:v>
      </x:c>
      <x:c r="D269" s="26" t="str">
        <x:v>Build</x:v>
      </x:c>
      <x:c r="E269" s="26" t="str">
        <x:v>La versión documental se distingue de la versión de aplicación.</x:v>
      </x:c>
      <x:c r="F269" s="26" t="str">
        <x:v>Registro, manifest, test o artefacto aplicable</x:v>
      </x:c>
      <x:c r="G269" s="26" t="str">
        <x:v>Estándar de build</x:v>
      </x:c>
      <x:c r="H269" s="26" t="str">
        <x:v>Activo</x:v>
      </x:c>
      <x:c r="I269" s="26" t="str">
        <x:v>VRM Games</x:v>
      </x:c>
    </x:row>
    <x:row r="270" ht="30" customHeight="1">
      <x:c r="A270" s="26" t="str">
        <x:v>BUILD-STD-013</x:v>
      </x:c>
      <x:c r="B270" s="26" t="str">
        <x:v>11_Build_y_Versioning_Guide.md</x:v>
      </x:c>
      <x:c r="C270" s="26" t="str">
        <x:v>49. Criterios de aceptación de la política</x:v>
      </x:c>
      <x:c r="D270" s="26" t="str">
        <x:v>Build</x:v>
      </x:c>
      <x:c r="E270" s="26" t="str">
        <x:v>Un tag representa un gate aprobado, no un intento.</x:v>
      </x:c>
      <x:c r="F270" s="26" t="str">
        <x:v>Registro, manifest, test o artefacto aplicable</x:v>
      </x:c>
      <x:c r="G270" s="26" t="str">
        <x:v>Estándar de build</x:v>
      </x:c>
      <x:c r="H270" s="26" t="str">
        <x:v>Activo</x:v>
      </x:c>
      <x:c r="I270" s="26" t="str">
        <x:v>VRM Games</x:v>
      </x:c>
    </x:row>
    <x:row r="271" ht="30" customHeight="1">
      <x:c r="A271" s="26" t="str">
        <x:v>BUILD-STD-014</x:v>
      </x:c>
      <x:c r="B271" s="26" t="str">
        <x:v>11_Build_y_Versioning_Guide.md</x:v>
      </x:c>
      <x:c r="C271" s="26" t="str">
        <x:v>49. Criterios de aceptación de la política</x:v>
      </x:c>
      <x:c r="D271" s="26" t="str">
        <x:v>Build</x:v>
      </x:c>
      <x:c r="E271" s="26" t="str">
        <x:v>Una release publicada no se sobrescribe ni mueve.</x:v>
      </x:c>
      <x:c r="F271" s="26" t="str">
        <x:v>Registro, manifest, test o artefacto aplicable</x:v>
      </x:c>
      <x:c r="G271" s="26" t="str">
        <x:v>Estándar de build</x:v>
      </x:c>
      <x:c r="H271" s="26" t="str">
        <x:v>Activo</x:v>
      </x:c>
      <x:c r="I271" s="26" t="str">
        <x:v>VRM Games</x:v>
      </x:c>
    </x:row>
    <x:row r="272" ht="30" customHeight="1">
      <x:c r="A272" s="26" t="str">
        <x:v>BUILD-STD-015</x:v>
      </x:c>
      <x:c r="B272" s="26" t="str">
        <x:v>11_Build_y_Versioning_Guide.md</x:v>
      </x:c>
      <x:c r="C272" s="26" t="str">
        <x:v>49. Criterios de aceptación de la política</x:v>
      </x:c>
      <x:c r="D272" s="26" t="str">
        <x:v>Build</x:v>
      </x:c>
      <x:c r="E272" s="26" t="str">
        <x:v>Los datos no registrados se declaran como no registrados.</x:v>
      </x:c>
      <x:c r="F272" s="26" t="str">
        <x:v>Registro, manifest, test o artefacto aplicable</x:v>
      </x:c>
      <x:c r="G272" s="26" t="str">
        <x:v>Estándar de build</x:v>
      </x:c>
      <x:c r="H272" s="26" t="str">
        <x:v>Activo</x:v>
      </x:c>
      <x:c r="I272" s="26" t="str">
        <x:v>VRM Games</x:v>
      </x:c>
    </x:row>
    <x:row r="273" ht="30" customHeight="1">
      <x:c r="A273" s="26" t="str">
        <x:v>BUILD-STD-016</x:v>
      </x:c>
      <x:c r="B273" s="26" t="str">
        <x:v>11_Build_y_Versioning_Guide.md</x:v>
      </x:c>
      <x:c r="C273" s="26" t="str">
        <x:v>49. Criterios de aceptación de la política</x:v>
      </x:c>
      <x:c r="D273" s="26" t="str">
        <x:v>Build</x:v>
      </x:c>
      <x:c r="E273" s="26" t="str">
        <x:v>El artefacto se ejecuta fuera del Editor.</x:v>
      </x:c>
      <x:c r="F273" s="26" t="str">
        <x:v>Registro, manifest, test o artefacto aplicable</x:v>
      </x:c>
      <x:c r="G273" s="26" t="str">
        <x:v>Estándar de build</x:v>
      </x:c>
      <x:c r="H273" s="26" t="str">
        <x:v>Activo</x:v>
      </x:c>
      <x:c r="I273" s="26" t="str">
        <x:v>VRM Games</x:v>
      </x:c>
    </x:row>
    <x:row r="274" ht="30" customHeight="1">
      <x:c r="A274" s="26" t="str">
        <x:v>BUILD-STD-017</x:v>
      </x:c>
      <x:c r="B274" s="26" t="str">
        <x:v>11_Build_y_Versioning_Guide.md</x:v>
      </x:c>
      <x:c r="C274" s="26" t="str">
        <x:v>49. Criterios de aceptación de la política</x:v>
      </x:c>
      <x:c r="D274" s="26" t="str">
        <x:v>Build</x:v>
      </x:c>
      <x:c r="E274" s="26" t="str">
        <x:v>La lista de escenas se verifica antes de construir.</x:v>
      </x:c>
      <x:c r="F274" s="26" t="str">
        <x:v>Registro, manifest, test o artefacto aplicable</x:v>
      </x:c>
      <x:c r="G274" s="26" t="str">
        <x:v>Estándar de build</x:v>
      </x:c>
      <x:c r="H274" s="26" t="str">
        <x:v>Activo</x:v>
      </x:c>
      <x:c r="I274" s="26" t="str">
        <x:v>VRM Games</x:v>
      </x:c>
    </x:row>
    <x:row r="275" ht="30" customHeight="1">
      <x:c r="A275" s="26" t="str">
        <x:v>BUILD-STD-018</x:v>
      </x:c>
      <x:c r="B275" s="26" t="str">
        <x:v>11_Build_y_Versioning_Guide.md</x:v>
      </x:c>
      <x:c r="C275" s="26" t="str">
        <x:v>49. Criterios de aceptación de la política</x:v>
      </x:c>
      <x:c r="D275" s="26" t="str">
        <x:v>Build</x:v>
      </x:c>
      <x:c r="E275" s="26" t="str">
        <x:v>La build usa la versión exacta de Unity aprobada.</x:v>
      </x:c>
      <x:c r="F275" s="26" t="str">
        <x:v>Registro, manifest, test o artefacto aplicable</x:v>
      </x:c>
      <x:c r="G275" s="26" t="str">
        <x:v>Estándar de build</x:v>
      </x:c>
      <x:c r="H275" s="26" t="str">
        <x:v>Activo</x:v>
      </x:c>
      <x:c r="I275" s="26" t="str">
        <x:v>VRM Games</x:v>
      </x:c>
    </x:row>
    <x:row r="276" ht="30" customHeight="1">
      <x:c r="A276" s="26" t="str">
        <x:v>BUILD-STD-019</x:v>
      </x:c>
      <x:c r="B276" s="26" t="str">
        <x:v>11_Build_y_Versioning_Guide.md</x:v>
      </x:c>
      <x:c r="C276" s="26" t="str">
        <x:v>49. Criterios de aceptación de la política</x:v>
      </x:c>
      <x:c r="D276" s="26" t="str">
        <x:v>Build</x:v>
      </x:c>
      <x:c r="E276" s="26" t="str">
        <x:v>Los paquetes se resuelven desde manifest y lock versionados.</x:v>
      </x:c>
      <x:c r="F276" s="26" t="str">
        <x:v>Registro, manifest, test o artefacto aplicable</x:v>
      </x:c>
      <x:c r="G276" s="26" t="str">
        <x:v>Estándar de build</x:v>
      </x:c>
      <x:c r="H276" s="26" t="str">
        <x:v>Activo</x:v>
      </x:c>
      <x:c r="I276" s="26" t="str">
        <x:v>VRM Games</x:v>
      </x:c>
    </x:row>
    <x:row r="277" ht="30" customHeight="1">
      <x:c r="A277" s="26" t="str">
        <x:v>BUILD-STD-020</x:v>
      </x:c>
      <x:c r="B277" s="26" t="str">
        <x:v>11_Build_y_Versioning_Guide.md</x:v>
      </x:c>
      <x:c r="C277" s="26" t="str">
        <x:v>49. Criterios de aceptación de la política</x:v>
      </x:c>
      <x:c r="D277" s="26" t="str">
        <x:v>Build</x:v>
      </x:c>
      <x:c r="E277" s="26" t="str">
        <x:v>Una build de profiling se identifica y no sustituye una medición final.</x:v>
      </x:c>
      <x:c r="F277" s="26" t="str">
        <x:v>Registro, manifest, test o artefacto aplicable</x:v>
      </x:c>
      <x:c r="G277" s="26" t="str">
        <x:v>Estándar de build</x:v>
      </x:c>
      <x:c r="H277" s="26" t="str">
        <x:v>Activo</x:v>
      </x:c>
      <x:c r="I277" s="26" t="str">
        <x:v>VRM Games</x:v>
      </x:c>
    </x:row>
    <x:row r="278" ht="30" customHeight="1">
      <x:c r="A278" s="26" t="str">
        <x:v>BUILD-STD-021</x:v>
      </x:c>
      <x:c r="B278" s="26" t="str">
        <x:v>11_Build_y_Versioning_Guide.md</x:v>
      </x:c>
      <x:c r="C278" s="26" t="str">
        <x:v>49. Criterios de aceptación de la política</x:v>
      </x:c>
      <x:c r="D278" s="26" t="str">
        <x:v>Build</x:v>
      </x:c>
      <x:c r="E278" s="26" t="str">
        <x:v>Los secretos no entran en Player, logs, scripts o repositorio.</x:v>
      </x:c>
      <x:c r="F278" s="26" t="str">
        <x:v>Registro, manifest, test o artefacto aplicable</x:v>
      </x:c>
      <x:c r="G278" s="26" t="str">
        <x:v>Estándar de build</x:v>
      </x:c>
      <x:c r="H278" s="26" t="str">
        <x:v>Activo</x:v>
      </x:c>
      <x:c r="I278" s="26" t="str">
        <x:v>VRM Games</x:v>
      </x:c>
    </x:row>
    <x:row r="279" ht="30" customHeight="1">
      <x:c r="A279" s="26" t="str">
        <x:v>BUILD-STD-022</x:v>
      </x:c>
      <x:c r="B279" s="26" t="str">
        <x:v>11_Build_y_Versioning_Guide.md</x:v>
      </x:c>
      <x:c r="C279" s="26" t="str">
        <x:v>49. Criterios de aceptación de la política</x:v>
      </x:c>
      <x:c r="D279" s="26" t="str">
        <x:v>Build</x:v>
      </x:c>
      <x:c r="E279" s="26" t="str">
        <x:v>El cambio de backend requiere ADR y regresión completa.</x:v>
      </x:c>
      <x:c r="F279" s="26" t="str">
        <x:v>Registro, manifest, test o artefacto aplicable</x:v>
      </x:c>
      <x:c r="G279" s="26" t="str">
        <x:v>Estándar de build</x:v>
      </x:c>
      <x:c r="H279" s="26" t="str">
        <x:v>Activo</x:v>
      </x:c>
      <x:c r="I279" s="26" t="str">
        <x:v>VRM Games</x:v>
      </x:c>
    </x:row>
    <x:row r="280" ht="30" customHeight="1">
      <x:c r="A280" s="26" t="str">
        <x:v>BUILD-STD-023</x:v>
      </x:c>
      <x:c r="B280" s="26" t="str">
        <x:v>11_Build_y_Versioning_Guide.md</x:v>
      </x:c>
      <x:c r="C280" s="26" t="str">
        <x:v>49. Criterios de aceptación de la política</x:v>
      </x:c>
      <x:c r="D280" s="26" t="str">
        <x:v>Build</x:v>
      </x:c>
      <x:c r="E280" s="26" t="str">
        <x:v>El cambio de Application Identifier requiere plan de saves.</x:v>
      </x:c>
      <x:c r="F280" s="26" t="str">
        <x:v>Registro, manifest, test o artefacto aplicable</x:v>
      </x:c>
      <x:c r="G280" s="26" t="str">
        <x:v>Estándar de build</x:v>
      </x:c>
      <x:c r="H280" s="26" t="str">
        <x:v>Activo</x:v>
      </x:c>
      <x:c r="I280" s="26" t="str">
        <x:v>VRM Games</x:v>
      </x:c>
    </x:row>
    <x:row r="281" ht="30" customHeight="1">
      <x:c r="A281" s="26" t="str">
        <x:v>BUILD-STD-024</x:v>
      </x:c>
      <x:c r="B281" s="26" t="str">
        <x:v>11_Build_y_Versioning_Guide.md</x:v>
      </x:c>
      <x:c r="C281" s="26" t="str">
        <x:v>49. Criterios de aceptación de la política</x:v>
      </x:c>
      <x:c r="D281" s="26" t="str">
        <x:v>Build</x:v>
      </x:c>
      <x:c r="E281" s="26" t="str">
        <x:v>Un hotfix incluye reproducción y regresión dirigida.</x:v>
      </x:c>
      <x:c r="F281" s="26" t="str">
        <x:v>Registro, manifest, test o artefacto aplicable</x:v>
      </x:c>
      <x:c r="G281" s="26" t="str">
        <x:v>Estándar de build</x:v>
      </x:c>
      <x:c r="H281" s="26" t="str">
        <x:v>Activo</x:v>
      </x:c>
      <x:c r="I281" s="26" t="str">
        <x:v>VRM Games</x:v>
      </x:c>
    </x:row>
    <x:row r="282" ht="30" customHeight="1">
      <x:c r="A282" s="26" t="str">
        <x:v>BUILD-STD-025</x:v>
      </x:c>
      <x:c r="B282" s="26" t="str">
        <x:v>11_Build_y_Versioning_Guide.md</x:v>
      </x:c>
      <x:c r="C282" s="26" t="str">
        <x:v>49. Criterios de aceptación de la política</x:v>
      </x:c>
      <x:c r="D282" s="26" t="str">
        <x:v>Build</x:v>
      </x:c>
      <x:c r="E282" s="26" t="str">
        <x:v>Un rollback evalúa saves migrados antes de ejecutarse.</x:v>
      </x:c>
      <x:c r="F282" s="26" t="str">
        <x:v>Registro, manifest, test o artefacto aplicable</x:v>
      </x:c>
      <x:c r="G282" s="26" t="str">
        <x:v>Estándar de build</x:v>
      </x:c>
      <x:c r="H282" s="26" t="str">
        <x:v>Activo</x:v>
      </x:c>
      <x:c r="I282" s="26" t="str">
        <x:v>VRM Games</x:v>
      </x:c>
    </x:row>
    <x:row r="283" ht="30" customHeight="1">
      <x:c r="A283" s="26" t="str">
        <x:v>BUILD-STD-026</x:v>
      </x:c>
      <x:c r="B283" s="26" t="str">
        <x:v>11_Build_y_Versioning_Guide.md</x:v>
      </x:c>
      <x:c r="C283" s="26" t="str">
        <x:v>49. Criterios de aceptación de la política</x:v>
      </x:c>
      <x:c r="D283" s="26" t="str">
        <x:v>Build</x:v>
      </x:c>
      <x:c r="E283" s="26" t="str">
        <x:v>Todo gate H6 incluye Golden Path y campaña persistente.</x:v>
      </x:c>
      <x:c r="F283" s="26" t="str">
        <x:v>Registro, manifest, test o artefacto aplicable</x:v>
      </x:c>
      <x:c r="G283" s="26" t="str">
        <x:v>Estándar de build</x:v>
      </x:c>
      <x:c r="H283" s="26" t="str">
        <x:v>Activo</x:v>
      </x:c>
      <x:c r="I283" s="26" t="str">
        <x:v>VRM Games</x:v>
      </x:c>
    </x:row>
    <x:row r="284" ht="30" customHeight="1">
      <x:c r="A284" s="26" t="str">
        <x:v>BUILD-STD-027</x:v>
      </x:c>
      <x:c r="B284" s="26" t="str">
        <x:v>11_Build_y_Versioning_Guide.md</x:v>
      </x:c>
      <x:c r="C284" s="26" t="str">
        <x:v>49. Criterios de aceptación de la política</x:v>
      </x:c>
      <x:c r="D284" s="26" t="str">
        <x:v>Build</x:v>
      </x:c>
      <x:c r="E284" s="26" t="str">
        <x:v>El checksum se calcula sobre el paquete definitivo.</x:v>
      </x:c>
      <x:c r="F284" s="26" t="str">
        <x:v>Registro, manifest, test o artefacto aplicable</x:v>
      </x:c>
      <x:c r="G284" s="26" t="str">
        <x:v>Estándar de build</x:v>
      </x:c>
      <x:c r="H284" s="26" t="str">
        <x:v>Activo</x:v>
      </x:c>
      <x:c r="I284" s="26" t="str">
        <x:v>VRM Games</x:v>
      </x:c>
    </x:row>
    <x:row r="285" ht="30" customHeight="1">
      <x:c r="A285" s="26" t="str">
        <x:v>BUILD-STD-028</x:v>
      </x:c>
      <x:c r="B285" s="26" t="str">
        <x:v>11_Build_y_Versioning_Guide.md</x:v>
      </x:c>
      <x:c r="C285" s="26" t="str">
        <x:v>49. Criterios de aceptación de la política</x:v>
      </x:c>
      <x:c r="D285" s="26" t="str">
        <x:v>Build</x:v>
      </x:c>
      <x:c r="E285" s="26" t="str">
        <x:v>Los known issues se congelan por candidato.</x:v>
      </x:c>
      <x:c r="F285" s="26" t="str">
        <x:v>Registro, manifest, test o artefacto aplicable</x:v>
      </x:c>
      <x:c r="G285" s="26" t="str">
        <x:v>Estándar de build</x:v>
      </x:c>
      <x:c r="H285" s="26" t="str">
        <x:v>Activo</x:v>
      </x:c>
      <x:c r="I285" s="26" t="str">
        <x:v>VRM Games</x:v>
      </x:c>
    </x:row>
    <x:row r="286" ht="30" customHeight="1">
      <x:c r="A286" s="26" t="str">
        <x:v>BUILD-STD-029</x:v>
      </x:c>
      <x:c r="B286" s="26" t="str">
        <x:v>11_Build_y_Versioning_Guide.md</x:v>
      </x:c>
      <x:c r="C286" s="26" t="str">
        <x:v>49. Criterios de aceptación de la política</x:v>
      </x:c>
      <x:c r="D286" s="26" t="str">
        <x:v>Build</x:v>
      </x:c>
      <x:c r="E286" s="26" t="str">
        <x:v>Un CI futuro falla ante tests o build fallidos.</x:v>
      </x:c>
      <x:c r="F286" s="26" t="str">
        <x:v>Registro, manifest, test o artefacto aplicable</x:v>
      </x:c>
      <x:c r="G286" s="26" t="str">
        <x:v>Estándar de build</x:v>
      </x:c>
      <x:c r="H286" s="26" t="str">
        <x:v>Activo</x:v>
      </x:c>
      <x:c r="I286" s="26" t="str">
        <x:v>VRM Games</x:v>
      </x:c>
    </x:row>
    <x:row r="287" ht="30" customHeight="1">
      <x:c r="A287" s="26" t="str">
        <x:v>BUILD-STD-030</x:v>
      </x:c>
      <x:c r="B287" s="26" t="str">
        <x:v>11_Build_y_Versioning_Guide.md</x:v>
      </x:c>
      <x:c r="C287" s="26" t="str">
        <x:v>49. Criterios de aceptación de la política</x:v>
      </x:c>
      <x:c r="D287" s="26" t="str">
        <x:v>Build</x:v>
      </x:c>
      <x:c r="E287" s="26" t="str">
        <x:v>La automatización no reemplaza la aprobación visual/manual.</x:v>
      </x:c>
      <x:c r="F287" s="26" t="str">
        <x:v>Registro, manifest, test o artefacto aplicable</x:v>
      </x:c>
      <x:c r="G287" s="26" t="str">
        <x:v>Estándar de build</x:v>
      </x:c>
      <x:c r="H287" s="26" t="str">
        <x:v>Activo</x:v>
      </x:c>
      <x:c r="I287" s="26" t="str">
        <x:v>VRM Games</x:v>
      </x:c>
    </x:row>
    <x:row r="288" ht="30" customHeight="1">
      <x:c r="A288" s="26" t="str">
        <x:v>GOV-001</x:v>
      </x:c>
      <x:c r="B288" s="26" t="str">
        <x:v>06_Production_Roadmap_y_Sprint_Plan.md</x:v>
      </x:c>
      <x:c r="C288" s="26" t="str">
        <x:v>Gobierno consolidado</x:v>
      </x:c>
      <x:c r="D288" s="26" t="str">
        <x:v>Governance</x:v>
      </x:c>
      <x:c r="E288" s="26" t="str">
        <x:v>No abrir Sprint 17 antes del cierre de Sprint 16.</x:v>
      </x:c>
      <x:c r="F288" s="26" t="str">
        <x:v>Closure record S16</x:v>
      </x:c>
      <x:c r="G288" s="26" t="str">
        <x:v>Política</x:v>
      </x:c>
      <x:c r="H288" s="26" t="str">
        <x:v>Activo</x:v>
      </x:c>
      <x:c r="I288" s="26" t="str">
        <x:v>VRM Games</x:v>
      </x:c>
    </x:row>
    <x:row r="289" ht="30" customHeight="1">
      <x:c r="A289" s="26" t="str">
        <x:v>GOV-002</x:v>
      </x:c>
      <x:c r="B289" s="26" t="str">
        <x:v>06_Production_Roadmap_y_Sprint_Plan.md</x:v>
      </x:c>
      <x:c r="C289" s="26" t="str">
        <x:v>Gobierno consolidado</x:v>
      </x:c>
      <x:c r="D289" s="26" t="str">
        <x:v>Governance</x:v>
      </x:c>
      <x:c r="E289" s="26" t="str">
        <x:v>No aprobar H6 con S0/S1 abiertos.</x:v>
      </x:c>
      <x:c r="F289" s="26" t="str">
        <x:v>Registro de defectos</x:v>
      </x:c>
      <x:c r="G289" s="26" t="str">
        <x:v>Política</x:v>
      </x:c>
      <x:c r="H289" s="26" t="str">
        <x:v>Activo</x:v>
      </x:c>
      <x:c r="I289" s="26" t="str">
        <x:v>VRM Games</x:v>
      </x:c>
    </x:row>
    <x:row r="290" ht="30" customHeight="1">
      <x:c r="A290" s="26" t="str">
        <x:v>GOV-003</x:v>
      </x:c>
      <x:c r="B290" s="26" t="str">
        <x:v>07_QA_Testing_Plan.md</x:v>
      </x:c>
      <x:c r="C290" s="26" t="str">
        <x:v>Gobierno consolidado</x:v>
      </x:c>
      <x:c r="D290" s="26" t="str">
        <x:v>Governance</x:v>
      </x:c>
      <x:c r="E290" s="26" t="str">
        <x:v>Todo PASS debe asociarse a versión, entorno y evidencia.</x:v>
      </x:c>
      <x:c r="F290" s="26" t="str">
        <x:v>Execution record</x:v>
      </x:c>
      <x:c r="G290" s="26" t="str">
        <x:v>Política</x:v>
      </x:c>
      <x:c r="H290" s="26" t="str">
        <x:v>Activo</x:v>
      </x:c>
      <x:c r="I290" s="26" t="str">
        <x:v>VRM Games</x:v>
      </x:c>
    </x:row>
    <x:row r="291" ht="30" customHeight="1">
      <x:c r="A291" s="26" t="str">
        <x:v>GOV-004</x:v>
      </x:c>
      <x:c r="B291" s="26" t="str">
        <x:v>07_QA_Testing_Plan.md</x:v>
      </x:c>
      <x:c r="C291" s="26" t="str">
        <x:v>Gobierno consolidado</x:v>
      </x:c>
      <x:c r="D291" s="26" t="str">
        <x:v>Governance</x:v>
      </x:c>
      <x:c r="E291" s="26" t="str">
        <x:v>La build externa debe revisarse mediante Player.log.</x:v>
      </x:c>
      <x:c r="F291" s="26" t="str">
        <x:v>Build record + log</x:v>
      </x:c>
      <x:c r="G291" s="26" t="str">
        <x:v>Política</x:v>
      </x:c>
      <x:c r="H291" s="26" t="str">
        <x:v>Activo</x:v>
      </x:c>
      <x:c r="I291" s="26" t="str">
        <x:v>VRM Games</x:v>
      </x:c>
    </x:row>
    <x:row r="292" ht="30" customHeight="1">
      <x:c r="A292" s="26" t="str">
        <x:v>GOV-005</x:v>
      </x:c>
      <x:c r="B292" s="26" t="str">
        <x:v>04_Modelo_de_Datos.md</x:v>
      </x:c>
      <x:c r="C292" s="26" t="str">
        <x:v>Gobierno consolidado</x:v>
      </x:c>
      <x:c r="D292" s="26" t="str">
        <x:v>Governance</x:v>
      </x:c>
      <x:c r="E292" s="26" t="str">
        <x:v>Las transferencias de inventario conservan unidades y son atómicas.</x:v>
      </x:c>
      <x:c r="F292" s="26" t="str">
        <x:v>Test de invariante</x:v>
      </x:c>
      <x:c r="G292" s="26" t="str">
        <x:v>Política</x:v>
      </x:c>
      <x:c r="H292" s="26" t="str">
        <x:v>Activo</x:v>
      </x:c>
      <x:c r="I292" s="26" t="str">
        <x:v>VRM Games</x:v>
      </x:c>
    </x:row>
    <x:row r="293" ht="30" customHeight="1">
      <x:c r="A293" s="26" t="str">
        <x:v>GOV-006</x:v>
      </x:c>
      <x:c r="B293" s="26" t="str">
        <x:v>04_Modelo_de_Datos.md</x:v>
      </x:c>
      <x:c r="C293" s="26" t="str">
        <x:v>Gobierno consolidado</x:v>
      </x:c>
      <x:c r="D293" s="26" t="str">
        <x:v>Governance</x:v>
      </x:c>
      <x:c r="E293" s="26" t="str">
        <x:v>El primario corrupto no destruye un backup válido.</x:v>
      </x:c>
      <x:c r="F293" s="26" t="str">
        <x:v>Fault injection</x:v>
      </x:c>
      <x:c r="G293" s="26" t="str">
        <x:v>Política</x:v>
      </x:c>
      <x:c r="H293" s="26" t="str">
        <x:v>Activo</x:v>
      </x:c>
      <x:c r="I293" s="26" t="str">
        <x:v>VRM Games</x:v>
      </x:c>
    </x:row>
    <x:row r="294" ht="30" customHeight="1">
      <x:c r="A294" s="26" t="str">
        <x:v>GOV-007</x:v>
      </x:c>
      <x:c r="B294" s="26" t="str">
        <x:v>03_Technical_Design_Document.md</x:v>
      </x:c>
      <x:c r="C294" s="26" t="str">
        <x:v>Gobierno consolidado</x:v>
      </x:c>
      <x:c r="D294" s="26" t="str">
        <x:v>Governance</x:v>
      </x:c>
      <x:c r="E294" s="26" t="str">
        <x:v>La UI consume input antes del mundo.</x:v>
      </x:c>
      <x:c r="F294" s="26" t="str">
        <x:v>PlayMode/manual</x:v>
      </x:c>
      <x:c r="G294" s="26" t="str">
        <x:v>Política</x:v>
      </x:c>
      <x:c r="H294" s="26" t="str">
        <x:v>Activo</x:v>
      </x:c>
      <x:c r="I294" s="26" t="str">
        <x:v>VRM Games</x:v>
      </x:c>
    </x:row>
    <x:row r="295" ht="30" customHeight="1">
      <x:c r="A295" s="26" t="str">
        <x:v>GOV-008</x:v>
      </x:c>
      <x:c r="B295" s="26" t="str">
        <x:v>03_Technical_Design_Document.md</x:v>
      </x:c>
      <x:c r="C295" s="26" t="str">
        <x:v>Gobierno consolidado</x:v>
      </x:c>
      <x:c r="D295" s="26" t="str">
        <x:v>Governance</x:v>
      </x:c>
      <x:c r="E295" s="26" t="str">
        <x:v>StoreInitialSceneContext usa referencias explícitas.</x:v>
      </x:c>
      <x:c r="F295" s="26" t="str">
        <x:v>Validación de escena</x:v>
      </x:c>
      <x:c r="G295" s="26" t="str">
        <x:v>Política</x:v>
      </x:c>
      <x:c r="H295" s="26" t="str">
        <x:v>Activo</x:v>
      </x:c>
      <x:c r="I295" s="26" t="str">
        <x:v>VRM Games</x:v>
      </x:c>
    </x:row>
    <x:row r="296" ht="30" customHeight="1">
      <x:c r="A296" s="26" t="str">
        <x:v>GOV-009</x:v>
      </x:c>
      <x:c r="B296" s="26" t="str">
        <x:v>11_Build_y_Versioning_Guide.md</x:v>
      </x:c>
      <x:c r="C296" s="26" t="str">
        <x:v>Gobierno consolidado</x:v>
      </x:c>
      <x:c r="D296" s="26" t="str">
        <x:v>Governance</x:v>
      </x:c>
      <x:c r="E296" s="26" t="str">
        <x:v>Cada candidata de hito registra versión, SHA y checksum.</x:v>
      </x:c>
      <x:c r="F296" s="26" t="str">
        <x:v>Manifest y build record</x:v>
      </x:c>
      <x:c r="G296" s="26" t="str">
        <x:v>Política</x:v>
      </x:c>
      <x:c r="H296" s="26" t="str">
        <x:v>Activo</x:v>
      </x:c>
      <x:c r="I296" s="26" t="str">
        <x:v>VRM Games</x:v>
      </x:c>
    </x:row>
    <x:row r="297" ht="30" customHeight="1">
      <x:c r="A297" s="26" t="str">
        <x:v>GOV-010</x:v>
      </x:c>
      <x:c r="B297" s="26" t="str">
        <x:v>12_Excel_Maestro_de_Produccion.xlsx</x:v>
      </x:c>
      <x:c r="C297" s="26" t="str">
        <x:v>Gobierno consolidado</x:v>
      </x:c>
      <x:c r="D297" s="26" t="str">
        <x:v>Governance</x:v>
      </x:c>
      <x:c r="E297" s="26" t="str">
        <x:v>Implementación y validación se registran por separado.</x:v>
      </x:c>
      <x:c r="F297" s="26" t="str">
        <x:v>Auditoría del backlog</x:v>
      </x:c>
      <x:c r="G297" s="26" t="str">
        <x:v>Política</x:v>
      </x:c>
      <x:c r="H297" s="26" t="str">
        <x:v>Activo</x:v>
      </x:c>
      <x:c r="I297" s="26" t="str">
        <x:v>VRM Games</x:v>
      </x:c>
    </x:row>
    <x:row r="298" ht="30" customHeight="1">
      <x:c r="A298" s="26" t="str">
        <x:v>H6-GOV-001</x:v>
      </x:c>
      <x:c r="B298" s="26" t="str">
        <x:v>31_H6_and_Release_Readiness_Checklist.xlsx</x:v>
      </x:c>
      <x:c r="C298" s="26" t="str">
        <x:v>H6 / Gobierno y alcance / Control especializado</x:v>
      </x:c>
      <x:c r="D298" s="26" t="str">
        <x:v>Gobierno y alcance</x:v>
      </x:c>
      <x:c r="E298" s="26" t="str">
        <x:v>El alcance H6 está congelado y excluye empleados, investigación, puestos informáticos, online, publishing y plataforma digital.</x:v>
      </x:c>
      <x:c r="F298" s="26" t="str">
        <x:v>Comparar backlog activo, commits y escenas con 00, 02 y 06; registrar cualquier excepción mediante Change ID.</x:v>
      </x:c>
      <x:c r="G298" s="26" t="str">
        <x:v>H6 readiness control</x:v>
      </x:c>
      <x:c r="H298" s="26" t="str">
        <x:v>Activo</x:v>
      </x:c>
      <x:c r="I298" s="26" t="str">
        <x:v>Production</x:v>
      </x:c>
    </x:row>
    <x:row r="299" ht="30" customHeight="1">
      <x:c r="A299" s="26" t="str">
        <x:v>H6-GOV-002</x:v>
      </x:c>
      <x:c r="B299" s="26" t="str">
        <x:v>31_H6_and_Release_Readiness_Checklist.xlsx</x:v>
      </x:c>
      <x:c r="C299" s="26" t="str">
        <x:v>H6 / Gobierno y alcance / Control especializado</x:v>
      </x:c>
      <x:c r="D299" s="26" t="str">
        <x:v>Gobierno y alcance</x:v>
      </x:c>
      <x:c r="E299" s="26" t="str">
        <x:v>No existen features nuevas introducidas durante estabilización sin aprobación formal de cambio mayor.</x:v>
      </x:c>
      <x:c r="F299" s="26" t="str">
        <x:v>Auditar cambios desde el freeze y revisar ADR/Change Register.</x:v>
      </x:c>
      <x:c r="G299" s="26" t="str">
        <x:v>H6 readiness control</x:v>
      </x:c>
      <x:c r="H299" s="26" t="str">
        <x:v>Activo</x:v>
      </x:c>
      <x:c r="I299" s="26" t="str">
        <x:v>Production</x:v>
      </x:c>
    </x:row>
    <x:row r="300" ht="30" customHeight="1">
      <x:c r="A300" s="26" t="str">
        <x:v>H6-GOV-003</x:v>
      </x:c>
      <x:c r="B300" s="26" t="str">
        <x:v>31_H6_and_Release_Readiness_Checklist.xlsx</x:v>
      </x:c>
      <x:c r="C300" s="26" t="str">
        <x:v>H6 / Gobierno y alcance / Control especializado</x:v>
      </x:c>
      <x:c r="D300" s="26" t="str">
        <x:v>Gobierno y alcance</x:v>
      </x:c>
      <x:c r="E300" s="26" t="str">
        <x:v>La escena objetivo, el Golden Path y el contenido mínimo coinciden con la baseline aprobada.</x:v>
      </x:c>
      <x:c r="F300" s="26" t="str">
        <x:v>Cruzar 02, 21, Build Profile y escena candidata.</x:v>
      </x:c>
      <x:c r="G300" s="26" t="str">
        <x:v>H6 readiness control</x:v>
      </x:c>
      <x:c r="H300" s="26" t="str">
        <x:v>Activo</x:v>
      </x:c>
      <x:c r="I300" s="26" t="str">
        <x:v>Production</x:v>
      </x:c>
    </x:row>
    <x:row r="301" ht="30" customHeight="1">
      <x:c r="A301" s="26" t="str">
        <x:v>H6-GOV-004</x:v>
      </x:c>
      <x:c r="B301" s="26" t="str">
        <x:v>31_H6_and_Release_Readiness_Checklist.xlsx</x:v>
      </x:c>
      <x:c r="C301" s="26" t="str">
        <x:v>H6 / Gobierno y alcance / Control especializado</x:v>
      </x:c>
      <x:c r="D301" s="26" t="str">
        <x:v>Gobierno y alcance</x:v>
      </x:c>
      <x:c r="E301" s="26" t="str">
        <x:v>Existe un commit candidato único, rama identificada y working copy limpia.</x:v>
      </x:c>
      <x:c r="F301" s="26" t="str">
        <x:v>Registrar branch, SHA, git status y tag/candidate label.</x:v>
      </x:c>
      <x:c r="G301" s="26" t="str">
        <x:v>H6 readiness control</x:v>
      </x:c>
      <x:c r="H301" s="26" t="str">
        <x:v>Activo</x:v>
      </x:c>
      <x:c r="I301" s="26" t="str">
        <x:v>Production</x:v>
      </x:c>
    </x:row>
    <x:row r="302" ht="30" customHeight="1">
      <x:c r="A302" s="26" t="str">
        <x:v>H6-GOV-005</x:v>
      </x:c>
      <x:c r="B302" s="26" t="str">
        <x:v>31_H6_and_Release_Readiness_Checklist.xlsx</x:v>
      </x:c>
      <x:c r="C302" s="26" t="str">
        <x:v>H6 / Gobierno y alcance / Control especializado</x:v>
      </x:c>
      <x:c r="D302" s="26" t="str">
        <x:v>Gobierno y alcance</x:v>
      </x:c>
      <x:c r="E302" s="26" t="str">
        <x:v>Todos los cambios de alcance, invariantes o aceptación tienen ADR o Change ID con impacto analizado.</x:v>
      </x:c>
      <x:c r="F302" s="26" t="str">
        <x:v>Revisar 13 y ADR Index contra commits del candidato.</x:v>
      </x:c>
      <x:c r="G302" s="26" t="str">
        <x:v>H6 readiness control</x:v>
      </x:c>
      <x:c r="H302" s="26" t="str">
        <x:v>Activo</x:v>
      </x:c>
      <x:c r="I302" s="26" t="str">
        <x:v>Production</x:v>
      </x:c>
    </x:row>
    <x:row r="303" ht="30" customHeight="1">
      <x:c r="A303" s="26" t="str">
        <x:v>H6-GOV-006</x:v>
      </x:c>
      <x:c r="B303" s="26" t="str">
        <x:v>31_H6_and_Release_Readiness_Checklist.xlsx</x:v>
      </x:c>
      <x:c r="C303" s="26" t="str">
        <x:v>H6 / Gobierno y alcance / Control especializado</x:v>
      </x:c>
      <x:c r="D303" s="26" t="str">
        <x:v>Gobierno y alcance</x:v>
      </x:c>
      <x:c r="E303" s="26" t="str">
        <x:v>La apertura de H6 no depende de fechas ficticias ni de tareas sin criterios de aceptación.</x:v>
      </x:c>
      <x:c r="F303" s="26" t="str">
        <x:v>Revisar roadmap, sprint backlog y gate package.</x:v>
      </x:c>
      <x:c r="G303" s="26" t="str">
        <x:v>H6 readiness control</x:v>
      </x:c>
      <x:c r="H303" s="26" t="str">
        <x:v>Activo</x:v>
      </x:c>
      <x:c r="I303" s="26" t="str">
        <x:v>Production</x:v>
      </x:c>
    </x:row>
    <x:row r="304" ht="30" customHeight="1">
      <x:c r="A304" s="26" t="str">
        <x:v>H6-GOV-007</x:v>
      </x:c>
      <x:c r="B304" s="26" t="str">
        <x:v>31_H6_and_Release_Readiness_Checklist.xlsx</x:v>
      </x:c>
      <x:c r="C304" s="26" t="str">
        <x:v>H6 / Gobierno y alcance / Control especializado</x:v>
      </x:c>
      <x:c r="D304" s="26" t="str">
        <x:v>Gobierno y alcance</x:v>
      </x:c>
      <x:c r="E304" s="26" t="str">
        <x:v>Los términos H6, Sprint 16, Sprint 17, QA build y Steam RC se usan sin equivalencias incorrectas.</x:v>
      </x:c>
      <x:c r="F304" s="26" t="str">
        <x:v>Revisión terminológica de documentos, dashboards y nombres de builds.</x:v>
      </x:c>
      <x:c r="G304" s="26" t="str">
        <x:v>H6 readiness control</x:v>
      </x:c>
      <x:c r="H304" s="26" t="str">
        <x:v>Activo</x:v>
      </x:c>
      <x:c r="I304" s="26" t="str">
        <x:v>Production</x:v>
      </x:c>
    </x:row>
    <x:row r="305" ht="30" customHeight="1">
      <x:c r="A305" s="26" t="str">
        <x:v>H6-GOV-008</x:v>
      </x:c>
      <x:c r="B305" s="26" t="str">
        <x:v>31_H6_and_Release_Readiness_Checklist.xlsx</x:v>
      </x:c>
      <x:c r="C305" s="26" t="str">
        <x:v>H6 / Gobierno y alcance / Control especializado</x:v>
      </x:c>
      <x:c r="D305" s="26" t="str">
        <x:v>Gobierno y alcance</x:v>
      </x:c>
      <x:c r="E305" s="26" t="str">
        <x:v>No se utiliza PASS WITH ACCEPTED DEBT para pérdida de datos, duplicación, build no arrancable, Golden Path roto o S0/S1.</x:v>
      </x:c>
      <x:c r="F305" s="26" t="str">
        <x:v>Revisar todas las excepciones propuestas contra política de severidad.</x:v>
      </x:c>
      <x:c r="G305" s="26" t="str">
        <x:v>H6 readiness control</x:v>
      </x:c>
      <x:c r="H305" s="26" t="str">
        <x:v>Activo</x:v>
      </x:c>
      <x:c r="I305" s="26" t="str">
        <x:v>Production</x:v>
      </x:c>
    </x:row>
    <x:row r="306" ht="30" customHeight="1">
      <x:c r="A306" s="26" t="str">
        <x:v>H6-GOV-009</x:v>
      </x:c>
      <x:c r="B306" s="26" t="str">
        <x:v>31_H6_and_Release_Readiness_Checklist.xlsx</x:v>
      </x:c>
      <x:c r="C306" s="26" t="str">
        <x:v>H6 / Gobierno y alcance / Control especializado</x:v>
      </x:c>
      <x:c r="D306" s="26" t="str">
        <x:v>Gobierno y alcance</x:v>
      </x:c>
      <x:c r="E306" s="26" t="str">
        <x:v>El universo de bloqueantes de gate está normalizado y separado del contador general de defectos.</x:v>
      </x:c>
      <x:c r="F306" s="26" t="str">
        <x:v>Comparar QA, producción y defect register; verificar campo Bloquea H6.</x:v>
      </x:c>
      <x:c r="G306" s="26" t="str">
        <x:v>H6 readiness control</x:v>
      </x:c>
      <x:c r="H306" s="26" t="str">
        <x:v>Activo</x:v>
      </x:c>
      <x:c r="I306" s="26" t="str">
        <x:v>Production</x:v>
      </x:c>
    </x:row>
    <x:row r="307" ht="30" customHeight="1">
      <x:c r="A307" s="26" t="str">
        <x:v>H6-GOV-010</x:v>
      </x:c>
      <x:c r="B307" s="26" t="str">
        <x:v>31_H6_and_Release_Readiness_Checklist.xlsx</x:v>
      </x:c>
      <x:c r="C307" s="26" t="str">
        <x:v>H6 / Gobierno y alcance / Control especializado</x:v>
      </x:c>
      <x:c r="D307" s="26" t="str">
        <x:v>Gobierno y alcance</x:v>
      </x:c>
      <x:c r="E307" s="26" t="str">
        <x:v>El responsable de decisión y los revisores de H6 están identificados antes de ejecutar la candidata.</x:v>
      </x:c>
      <x:c r="F307" s="26" t="str">
        <x:v>Completar matriz RACI y hoja de firmas.</x:v>
      </x:c>
      <x:c r="G307" s="26" t="str">
        <x:v>H6 readiness control</x:v>
      </x:c>
      <x:c r="H307" s="26" t="str">
        <x:v>Activo</x:v>
      </x:c>
      <x:c r="I307" s="26" t="str">
        <x:v>Production</x:v>
      </x:c>
    </x:row>
    <x:row r="308" ht="30" customHeight="1">
      <x:c r="A308" s="26" t="str">
        <x:v>H6-GOV-011</x:v>
      </x:c>
      <x:c r="B308" s="26" t="str">
        <x:v>31_H6_and_Release_Readiness_Checklist.xlsx</x:v>
      </x:c>
      <x:c r="C308" s="26" t="str">
        <x:v>H6 / Gobierno y alcance / Control especializado</x:v>
      </x:c>
      <x:c r="D308" s="26" t="str">
        <x:v>Gobierno y alcance</x:v>
      </x:c>
      <x:c r="E308" s="26" t="str">
        <x:v>La decisión H6 puede reproducirse meses después sin depender del historial del chat.</x:v>
      </x:c>
      <x:c r="F308" s="26" t="str">
        <x:v>Comprobar que paquete, hashes, logs, informes y acta son autosuficientes.</x:v>
      </x:c>
      <x:c r="G308" s="26" t="str">
        <x:v>H6 readiness control</x:v>
      </x:c>
      <x:c r="H308" s="26" t="str">
        <x:v>Activo</x:v>
      </x:c>
      <x:c r="I308" s="26" t="str">
        <x:v>Production</x:v>
      </x:c>
    </x:row>
    <x:row r="309" ht="30" customHeight="1">
      <x:c r="A309" s="26" t="str">
        <x:v>H6-GOV-012</x:v>
      </x:c>
      <x:c r="B309" s="26" t="str">
        <x:v>31_H6_and_Release_Readiness_Checklist.xlsx</x:v>
      </x:c>
      <x:c r="C309" s="26" t="str">
        <x:v>H6 / Gobierno y alcance / Control especializado</x:v>
      </x:c>
      <x:c r="D309" s="26" t="str">
        <x:v>Gobierno y alcance</x:v>
      </x:c>
      <x:c r="E309" s="26" t="str">
        <x:v>Cualquier desviación aceptada incluye impacto, mitigación, propietario y trigger de reapertura.</x:v>
      </x:c>
      <x:c r="F309" s="26" t="str">
        <x:v>Revisar excepciones y deuda aceptada.</x:v>
      </x:c>
      <x:c r="G309" s="26" t="str">
        <x:v>H6 readiness control</x:v>
      </x:c>
      <x:c r="H309" s="26" t="str">
        <x:v>Activo</x:v>
      </x:c>
      <x:c r="I309" s="26" t="str">
        <x:v>Production</x:v>
      </x:c>
    </x:row>
    <x:row r="310" ht="30" customHeight="1">
      <x:c r="A310" s="26" t="str">
        <x:v>H6-SCN-001</x:v>
      </x:c>
      <x:c r="B310" s="26" t="str">
        <x:v>31_H6_and_Release_Readiness_Checklist.xlsx</x:v>
      </x:c>
      <x:c r="C310" s="26" t="str">
        <x:v>H6 / StoreInitial y representación / Control especializado</x:v>
      </x:c>
      <x:c r="D310" s="26" t="str">
        <x:v>StoreInitial y representación</x:v>
      </x:c>
      <x:c r="E310" s="26" t="str">
        <x:v>StoreInitial.unity es la escena representativa conectada al flujo real de Bootstrap/Main Menu.</x:v>
      </x:c>
      <x:c r="F310" s="26" t="str">
        <x:v>Iniciar partida nueva y carga de slot desde build externa; comprobar escena cargada.</x:v>
      </x:c>
      <x:c r="G310" s="26" t="str">
        <x:v>H6 readiness control</x:v>
      </x:c>
      <x:c r="H310" s="26" t="str">
        <x:v>Activo</x:v>
      </x:c>
      <x:c r="I310" s="26" t="str">
        <x:v>Art/Level</x:v>
      </x:c>
    </x:row>
    <x:row r="311" ht="30" customHeight="1">
      <x:c r="A311" s="26" t="str">
        <x:v>H6-SCN-002</x:v>
      </x:c>
      <x:c r="B311" s="26" t="str">
        <x:v>31_H6_and_Release_Readiness_Checklist.xlsx</x:v>
      </x:c>
      <x:c r="C311" s="26" t="str">
        <x:v>H6 / StoreInitial y representación / Control especializado</x:v>
      </x:c>
      <x:c r="D311" s="26" t="str">
        <x:v>StoreInitial y representación</x:v>
      </x:c>
      <x:c r="E311" s="26" t="str">
        <x:v>El layout aprobado mantiene entrada, circulación, exposición, checkout, recepción y almacén funcionales.</x:v>
      </x:c>
      <x:c r="F311" s="26" t="str">
        <x:v>Recorrer puntos obligatorios y comparar con layout de referencia.</x:v>
      </x:c>
      <x:c r="G311" s="26" t="str">
        <x:v>H6 readiness control</x:v>
      </x:c>
      <x:c r="H311" s="26" t="str">
        <x:v>Activo</x:v>
      </x:c>
      <x:c r="I311" s="26" t="str">
        <x:v>Art/Level</x:v>
      </x:c>
    </x:row>
    <x:row r="312" ht="30" customHeight="1">
      <x:c r="A312" s="26" t="str">
        <x:v>H6-SCN-003</x:v>
      </x:c>
      <x:c r="B312" s="26" t="str">
        <x:v>31_H6_and_Release_Readiness_Checklist.xlsx</x:v>
      </x:c>
      <x:c r="C312" s="26" t="str">
        <x:v>H6 / StoreInitial y representación / Control especializado</x:v>
      </x:c>
      <x:c r="D312" s="26" t="str">
        <x:v>StoreInitial y representación</x:v>
      </x:c>
      <x:c r="E312" s="26" t="str">
        <x:v>La puerta visual, collider, navegación y lógica de entrada/salida coinciden.</x:v>
      </x:c>
      <x:c r="F312" s="26" t="str">
        <x:v>Probar jugador y múltiples clientes atravesando la puerta.</x:v>
      </x:c>
      <x:c r="G312" s="26" t="str">
        <x:v>H6 readiness control</x:v>
      </x:c>
      <x:c r="H312" s="26" t="str">
        <x:v>Activo</x:v>
      </x:c>
      <x:c r="I312" s="26" t="str">
        <x:v>Art/Level</x:v>
      </x:c>
    </x:row>
    <x:row r="313" ht="30" customHeight="1">
      <x:c r="A313" s="26" t="str">
        <x:v>H6-SCN-004</x:v>
      </x:c>
      <x:c r="B313" s="26" t="str">
        <x:v>31_H6_and_Release_Readiness_Checklist.xlsx</x:v>
      </x:c>
      <x:c r="C313" s="26" t="str">
        <x:v>H6 / StoreInitial y representación / Control especializado</x:v>
      </x:c>
      <x:c r="D313" s="26" t="str">
        <x:v>StoreInitial y representación</x:v>
      </x:c>
      <x:c r="E313" s="26" t="str">
        <x:v>No existen placeholders visibles no exceptuados en cámara normal de juego.</x:v>
      </x:c>
      <x:c r="F313" s="26" t="str">
        <x:v>Barrido visual de toda la tienda y estados del Golden Path.</x:v>
      </x:c>
      <x:c r="G313" s="26" t="str">
        <x:v>H6 readiness control</x:v>
      </x:c>
      <x:c r="H313" s="26" t="str">
        <x:v>Activo</x:v>
      </x:c>
      <x:c r="I313" s="26" t="str">
        <x:v>Art/Level</x:v>
      </x:c>
    </x:row>
    <x:row r="314" ht="30" customHeight="1">
      <x:c r="A314" s="26" t="str">
        <x:v>H6-SCN-005</x:v>
      </x:c>
      <x:c r="B314" s="26" t="str">
        <x:v>31_H6_and_Release_Readiness_Checklist.xlsx</x:v>
      </x:c>
      <x:c r="C314" s="26" t="str">
        <x:v>H6 / StoreInitial y representación / Control especializado</x:v>
      </x:c>
      <x:c r="D314" s="26" t="str">
        <x:v>StoreInitial y representación</x:v>
      </x:c>
      <x:c r="E314" s="26" t="str">
        <x:v>Los muebles representativos sustituyen blockouts sin alterar huellas, pivotes, colliders ni puntos de interacción.</x:v>
      </x:c>
      <x:c r="F314" s="26" t="str">
        <x:v>Probar colocar, mover, retirar, reponer y guardar cada familia.</x:v>
      </x:c>
      <x:c r="G314" s="26" t="str">
        <x:v>H6 readiness control</x:v>
      </x:c>
      <x:c r="H314" s="26" t="str">
        <x:v>Activo</x:v>
      </x:c>
      <x:c r="I314" s="26" t="str">
        <x:v>Art/Level</x:v>
      </x:c>
    </x:row>
    <x:row r="315" ht="30" customHeight="1">
      <x:c r="A315" s="26" t="str">
        <x:v>H6-SCN-006</x:v>
      </x:c>
      <x:c r="B315" s="26" t="str">
        <x:v>31_H6_and_Release_Readiness_Checklist.xlsx</x:v>
      </x:c>
      <x:c r="C315" s="26" t="str">
        <x:v>H6 / StoreInitial y representación / Control especializado</x:v>
      </x:c>
      <x:c r="D315" s="26" t="str">
        <x:v>StoreInitial y representación</x:v>
      </x:c>
      <x:c r="E315" s="26" t="str">
        <x:v>Los productos visibles corresponden al catálogo incluido y a su asignación lógica.</x:v>
      </x:c>
      <x:c r="F315" s="26" t="str">
        <x:v>Comparar contenido 21, ScriptableObjects y visuales en displays.</x:v>
      </x:c>
      <x:c r="G315" s="26" t="str">
        <x:v>H6 readiness control</x:v>
      </x:c>
      <x:c r="H315" s="26" t="str">
        <x:v>Activo</x:v>
      </x:c>
      <x:c r="I315" s="26" t="str">
        <x:v>Art/Level</x:v>
      </x:c>
    </x:row>
    <x:row r="316" ht="30" customHeight="1">
      <x:c r="A316" s="26" t="str">
        <x:v>H6-SCN-007</x:v>
      </x:c>
      <x:c r="B316" s="26" t="str">
        <x:v>31_H6_and_Release_Readiness_Checklist.xlsx</x:v>
      </x:c>
      <x:c r="C316" s="26" t="str">
        <x:v>H6 / StoreInitial y representación / Control especializado</x:v>
      </x:c>
      <x:c r="D316" s="26" t="str">
        <x:v>StoreInitial y representación</x:v>
      </x:c>
      <x:c r="E316" s="26" t="str">
        <x:v>Iluminación y materiales permiten leer rutas, zonas, productos, clientes, cola y checkout.</x:v>
      </x:c>
      <x:c r="F316" s="26" t="str">
        <x:v>Recorrido en condiciones normales y capturas de referencia.</x:v>
      </x:c>
      <x:c r="G316" s="26" t="str">
        <x:v>H6 readiness control</x:v>
      </x:c>
      <x:c r="H316" s="26" t="str">
        <x:v>Activo</x:v>
      </x:c>
      <x:c r="I316" s="26" t="str">
        <x:v>Art/Level</x:v>
      </x:c>
    </x:row>
    <x:row r="317" ht="30" customHeight="1">
      <x:c r="A317" s="26" t="str">
        <x:v>H6-SCN-008</x:v>
      </x:c>
      <x:c r="B317" s="26" t="str">
        <x:v>31_H6_and_Release_Readiness_Checklist.xlsx</x:v>
      </x:c>
      <x:c r="C317" s="26" t="str">
        <x:v>H6 / StoreInitial y representación / Control especializado</x:v>
      </x:c>
      <x:c r="D317" s="26" t="str">
        <x:v>StoreInitial y representación</x:v>
      </x:c>
      <x:c r="E317" s="26" t="str">
        <x:v>Las superficies caminables y NavMesh coinciden con arquitectura y mobiliario final.</x:v>
      </x:c>
      <x:c r="F317" s="26" t="str">
        <x:v>Bake/validación y prueba con saturación de agentes.</x:v>
      </x:c>
      <x:c r="G317" s="26" t="str">
        <x:v>H6 readiness control</x:v>
      </x:c>
      <x:c r="H317" s="26" t="str">
        <x:v>Activo</x:v>
      </x:c>
      <x:c r="I317" s="26" t="str">
        <x:v>Art/Level</x:v>
      </x:c>
    </x:row>
    <x:row r="318" ht="30" customHeight="1">
      <x:c r="A318" s="26" t="str">
        <x:v>H6-SCN-009</x:v>
      </x:c>
      <x:c r="B318" s="26" t="str">
        <x:v>31_H6_and_Release_Readiness_Checklist.xlsx</x:v>
      </x:c>
      <x:c r="C318" s="26" t="str">
        <x:v>H6 / StoreInitial y representación / Control especializado</x:v>
      </x:c>
      <x:c r="D318" s="26" t="str">
        <x:v>StoreInitial y representación</x:v>
      </x:c>
      <x:c r="E318" s="26" t="str">
        <x:v>No existen referencias perdidas, Missing Scripts o errores recurrentes al cargar la escena.</x:v>
      </x:c>
      <x:c r="F318" s="26" t="str">
        <x:v>Validar escena, ejecutar build y revisar Player.log.</x:v>
      </x:c>
      <x:c r="G318" s="26" t="str">
        <x:v>H6 readiness control</x:v>
      </x:c>
      <x:c r="H318" s="26" t="str">
        <x:v>Activo</x:v>
      </x:c>
      <x:c r="I318" s="26" t="str">
        <x:v>Art/Level</x:v>
      </x:c>
    </x:row>
    <x:row r="319" ht="30" customHeight="1">
      <x:c r="A319" s="26" t="str">
        <x:v>H6-SCN-010</x:v>
      </x:c>
      <x:c r="B319" s="26" t="str">
        <x:v>31_H6_and_Release_Readiness_Checklist.xlsx</x:v>
      </x:c>
      <x:c r="C319" s="26" t="str">
        <x:v>H6 / StoreInitial y representación / Control especializado</x:v>
      </x:c>
      <x:c r="D319" s="26" t="str">
        <x:v>StoreInitial y representación</x:v>
      </x:c>
      <x:c r="E319" s="26" t="str">
        <x:v>La composición visual conserva la identidad objetivo negra/verde de VRM Games donde corresponde sin imponerla a proveedores o clientes.</x:v>
      </x:c>
      <x:c r="F319" s="26" t="str">
        <x:v>Comparar con Art Bible y objetivos visuales aprobados.</x:v>
      </x:c>
      <x:c r="G319" s="26" t="str">
        <x:v>H6 readiness control</x:v>
      </x:c>
      <x:c r="H319" s="26" t="str">
        <x:v>Activo</x:v>
      </x:c>
      <x:c r="I319" s="26" t="str">
        <x:v>Art/Level</x:v>
      </x:c>
    </x:row>
    <x:row r="320" ht="30" customHeight="1">
      <x:c r="A320" s="26" t="str">
        <x:v>H6-SCN-011</x:v>
      </x:c>
      <x:c r="B320" s="26" t="str">
        <x:v>31_H6_and_Release_Readiness_Checklist.xlsx</x:v>
      </x:c>
      <x:c r="C320" s="26" t="str">
        <x:v>H6 / StoreInitial y representación / Control especializado</x:v>
      </x:c>
      <x:c r="D320" s="26" t="str">
        <x:v>StoreInitial y representación</x:v>
      </x:c>
      <x:c r="E320" s="26" t="str">
        <x:v>Los elementos de debug, etiquetas de Sprint o mensajes de blockout no aparecen en la candidata H6.</x:v>
      </x:c>
      <x:c r="F320" s="26" t="str">
        <x:v>Buscar textos y GameObjects de desarrollo en escena/build.</x:v>
      </x:c>
      <x:c r="G320" s="26" t="str">
        <x:v>H6 readiness control</x:v>
      </x:c>
      <x:c r="H320" s="26" t="str">
        <x:v>Activo</x:v>
      </x:c>
      <x:c r="I320" s="26" t="str">
        <x:v>Art/Level</x:v>
      </x:c>
    </x:row>
    <x:row r="321" ht="30" customHeight="1">
      <x:c r="A321" s="26" t="str">
        <x:v>H6-SCN-012</x:v>
      </x:c>
      <x:c r="B321" s="26" t="str">
        <x:v>31_H6_and_Release_Readiness_Checklist.xlsx</x:v>
      </x:c>
      <x:c r="C321" s="26" t="str">
        <x:v>H6 / StoreInitial y representación / Control especializado</x:v>
      </x:c>
      <x:c r="D321" s="26" t="str">
        <x:v>StoreInitial y representación</x:v>
      </x:c>
      <x:c r="E321" s="26" t="str">
        <x:v>La escena puede ejecutarse sin herramientas editor-only ni generadores procedurales de shell necesarios para su funcionamiento.</x:v>
      </x:c>
      <x:c r="F321" s="26" t="str">
        <x:v>Clean build desde checkout y ejecución externa.</x:v>
      </x:c>
      <x:c r="G321" s="26" t="str">
        <x:v>H6 readiness control</x:v>
      </x:c>
      <x:c r="H321" s="26" t="str">
        <x:v>Activo</x:v>
      </x:c>
      <x:c r="I321" s="26" t="str">
        <x:v>Art/Level</x:v>
      </x:c>
    </x:row>
    <x:row r="322" ht="30" customHeight="1">
      <x:c r="A322" s="26" t="str">
        <x:v>H6-SCN-013</x:v>
      </x:c>
      <x:c r="B322" s="26" t="str">
        <x:v>31_H6_and_Release_Readiness_Checklist.xlsx</x:v>
      </x:c>
      <x:c r="C322" s="26" t="str">
        <x:v>H6 / StoreInitial y representación / Control especializado</x:v>
      </x:c>
      <x:c r="D322" s="26" t="str">
        <x:v>StoreInitial y representación</x:v>
      </x:c>
      <x:c r="E322" s="26" t="str">
        <x:v>El contenido mínimo incluido está cerrado y no se usa volumen de contenido para ocultar deuda funcional.</x:v>
      </x:c>
      <x:c r="F322" s="26" t="str">
        <x:v>Comparar catálogo, backlog y requisitos H6.</x:v>
      </x:c>
      <x:c r="G322" s="26" t="str">
        <x:v>H6 readiness control</x:v>
      </x:c>
      <x:c r="H322" s="26" t="str">
        <x:v>Activo</x:v>
      </x:c>
      <x:c r="I322" s="26" t="str">
        <x:v>Art/Level</x:v>
      </x:c>
    </x:row>
    <x:row r="323" ht="30" customHeight="1">
      <x:c r="A323" s="26" t="str">
        <x:v>H6-SCN-014</x:v>
      </x:c>
      <x:c r="B323" s="26" t="str">
        <x:v>31_H6_and_Release_Readiness_Checklist.xlsx</x:v>
      </x:c>
      <x:c r="C323" s="26" t="str">
        <x:v>H6 / StoreInitial y representación / Control especializado</x:v>
      </x:c>
      <x:c r="D323" s="26" t="str">
        <x:v>StoreInitial y representación</x:v>
      </x:c>
      <x:c r="E323" s="26" t="str">
        <x:v>La escena mantiene escala, silueta y densidad coherentes con el target visual aprobado.</x:v>
      </x:c>
      <x:c r="F323" s="26" t="str">
        <x:v>Revisión con referencias y métricas de escala.</x:v>
      </x:c>
      <x:c r="G323" s="26" t="str">
        <x:v>H6 readiness control</x:v>
      </x:c>
      <x:c r="H323" s="26" t="str">
        <x:v>Activo</x:v>
      </x:c>
      <x:c r="I323" s="26" t="str">
        <x:v>Art/Level</x:v>
      </x:c>
    </x:row>
    <x:row r="324" ht="30" customHeight="1">
      <x:c r="A324" s="26" t="str">
        <x:v>H6-SCN-015</x:v>
      </x:c>
      <x:c r="B324" s="26" t="str">
        <x:v>31_H6_and_Release_Readiness_Checklist.xlsx</x:v>
      </x:c>
      <x:c r="C324" s="26" t="str">
        <x:v>H6 / StoreInitial y representación / Control especializado</x:v>
      </x:c>
      <x:c r="D324" s="26" t="str">
        <x:v>StoreInitial y representación</x:v>
      </x:c>
      <x:c r="E324" s="26" t="str">
        <x:v>Todos los puntos funcionales requeridos son accesibles tras configuraciones válidas de mobiliario.</x:v>
      </x:c>
      <x:c r="F324" s="26" t="str">
        <x:v>Ejecutar matriz de colocaciones límite y rutas.</x:v>
      </x:c>
      <x:c r="G324" s="26" t="str">
        <x:v>H6 readiness control</x:v>
      </x:c>
      <x:c r="H324" s="26" t="str">
        <x:v>Activo</x:v>
      </x:c>
      <x:c r="I324" s="26" t="str">
        <x:v>Art/Level</x:v>
      </x:c>
    </x:row>
    <x:row r="325" ht="30" customHeight="1">
      <x:c r="A325" s="26" t="str">
        <x:v>H6-SCN-016</x:v>
      </x:c>
      <x:c r="B325" s="26" t="str">
        <x:v>31_H6_and_Release_Readiness_Checklist.xlsx</x:v>
      </x:c>
      <x:c r="C325" s="26" t="str">
        <x:v>H6 / StoreInitial y representación / Control especializado</x:v>
      </x:c>
      <x:c r="D325" s="26" t="str">
        <x:v>StoreInitial y representación</x:v>
      </x:c>
      <x:c r="E325" s="26" t="str">
        <x:v>Las oclusiones de cámara no impiden acciones críticas y existen mitigaciones aprobadas.</x:v>
      </x:c>
      <x:c r="F325" s="26" t="str">
        <x:v>Probar órbita/zoom en zonas densas y cerca de paredes.</x:v>
      </x:c>
      <x:c r="G325" s="26" t="str">
        <x:v>H6 readiness control</x:v>
      </x:c>
      <x:c r="H325" s="26" t="str">
        <x:v>Activo</x:v>
      </x:c>
      <x:c r="I325" s="26" t="str">
        <x:v>Art/Level</x:v>
      </x:c>
    </x:row>
    <x:row r="326" ht="30" customHeight="1">
      <x:c r="A326" s="26" t="str">
        <x:v>H6-UXA-001</x:v>
      </x:c>
      <x:c r="B326" s="26" t="str">
        <x:v>31_H6_and_Release_Readiness_Checklist.xlsx</x:v>
      </x:c>
      <x:c r="C326" s="26" t="str">
        <x:v>H6 / UI, input y accesibilidad / Control especializado</x:v>
      </x:c>
      <x:c r="D326" s="26" t="str">
        <x:v>UI, input y accesibilidad</x:v>
      </x:c>
      <x:c r="E326" s="26" t="str">
        <x:v>Todas las pantallas del Golden Path pueden operarse con ratón y teclado sin propagación de input al mundo.</x:v>
      </x:c>
      <x:c r="F326" s="26" t="str">
        <x:v>Ejecutar flujo completo, incluyendo modales, listas, sliders y confirmaciones.</x:v>
      </x:c>
      <x:c r="G326" s="26" t="str">
        <x:v>H6 readiness control</x:v>
      </x:c>
      <x:c r="H326" s="26" t="str">
        <x:v>Activo</x:v>
      </x:c>
      <x:c r="I326" s="26" t="str">
        <x:v>UX/Engineering</x:v>
      </x:c>
    </x:row>
    <x:row r="327" ht="30" customHeight="1">
      <x:c r="A327" s="26" t="str">
        <x:v>H6-UXA-002</x:v>
      </x:c>
      <x:c r="B327" s="26" t="str">
        <x:v>31_H6_and_Release_Readiness_Checklist.xlsx</x:v>
      </x:c>
      <x:c r="C327" s="26" t="str">
        <x:v>H6 / UI, input y accesibilidad / Control especializado</x:v>
      </x:c>
      <x:c r="D327" s="26" t="str">
        <x:v>UI, input y accesibilidad</x:v>
      </x:c>
      <x:c r="E327" s="26" t="str">
        <x:v>El foco visual es visible, estable y sigue un orden lógico en las superficies que admiten teclado/mando.</x:v>
      </x:c>
      <x:c r="F327" s="26" t="str">
        <x:v>Recorrer controles sin ratón y registrar saltos/atrapamientos.</x:v>
      </x:c>
      <x:c r="G327" s="26" t="str">
        <x:v>H6 readiness control</x:v>
      </x:c>
      <x:c r="H327" s="26" t="str">
        <x:v>Activo</x:v>
      </x:c>
      <x:c r="I327" s="26" t="str">
        <x:v>UX/Engineering</x:v>
      </x:c>
    </x:row>
    <x:row r="328" ht="30" customHeight="1">
      <x:c r="A328" s="26" t="str">
        <x:v>H6-UXA-003</x:v>
      </x:c>
      <x:c r="B328" s="26" t="str">
        <x:v>31_H6_and_Release_Readiness_Checklist.xlsx</x:v>
      </x:c>
      <x:c r="C328" s="26" t="str">
        <x:v>H6 / UI, input y accesibilidad / Control especializado</x:v>
      </x:c>
      <x:c r="D328" s="26" t="str">
        <x:v>UI, input y accesibilidad</x:v>
      </x:c>
      <x:c r="E328" s="26" t="str">
        <x:v>Escape/Cancelar respeta la jerarquía de cierre y nunca abandona o modifica estado de forma ambigua.</x:v>
      </x:c>
      <x:c r="F328" s="26" t="str">
        <x:v>Probar cancelación en cada modal y modo de colocación.</x:v>
      </x:c>
      <x:c r="G328" s="26" t="str">
        <x:v>H6 readiness control</x:v>
      </x:c>
      <x:c r="H328" s="26" t="str">
        <x:v>Activo</x:v>
      </x:c>
      <x:c r="I328" s="26" t="str">
        <x:v>UX/Engineering</x:v>
      </x:c>
    </x:row>
    <x:row r="329" ht="30" customHeight="1">
      <x:c r="A329" s="26" t="str">
        <x:v>H6-UXA-004</x:v>
      </x:c>
      <x:c r="B329" s="26" t="str">
        <x:v>31_H6_and_Release_Readiness_Checklist.xlsx</x:v>
      </x:c>
      <x:c r="C329" s="26" t="str">
        <x:v>H6 / UI, input y accesibilidad / Control especializado</x:v>
      </x:c>
      <x:c r="D329" s="26" t="str">
        <x:v>UI, input y accesibilidad</x:v>
      </x:c>
      <x:c r="E329" s="26" t="str">
        <x:v>La escala de UI entre 80–150 % funciona en las resoluciones H6 sin ocultar acciones críticas.</x:v>
      </x:c>
      <x:c r="F329" s="26" t="str">
        <x:v>Ejecutar pantallas a mínimo, 100 % y máximo.</x:v>
      </x:c>
      <x:c r="G329" s="26" t="str">
        <x:v>H6 readiness control</x:v>
      </x:c>
      <x:c r="H329" s="26" t="str">
        <x:v>Activo</x:v>
      </x:c>
      <x:c r="I329" s="26" t="str">
        <x:v>UX/Engineering</x:v>
      </x:c>
    </x:row>
    <x:row r="330" ht="30" customHeight="1">
      <x:c r="A330" s="26" t="str">
        <x:v>H6-UXA-005</x:v>
      </x:c>
      <x:c r="B330" s="26" t="str">
        <x:v>31_H6_and_Release_Readiness_Checklist.xlsx</x:v>
      </x:c>
      <x:c r="C330" s="26" t="str">
        <x:v>H6 / UI, input y accesibilidad / Control especializado</x:v>
      </x:c>
      <x:c r="D330" s="26" t="str">
        <x:v>UI, input y accesibilidad</x:v>
      </x:c>
      <x:c r="E330" s="26" t="str">
        <x:v>La escala de texto entre 80–150 % no produce desbordes bloqueantes en ES/EN.</x:v>
      </x:c>
      <x:c r="F330" s="26" t="str">
        <x:v>Prueba matricial por idioma, escala y resolución.</x:v>
      </x:c>
      <x:c r="G330" s="26" t="str">
        <x:v>H6 readiness control</x:v>
      </x:c>
      <x:c r="H330" s="26" t="str">
        <x:v>Activo</x:v>
      </x:c>
      <x:c r="I330" s="26" t="str">
        <x:v>UX/Engineering</x:v>
      </x:c>
    </x:row>
    <x:row r="331" ht="30" customHeight="1">
      <x:c r="A331" s="26" t="str">
        <x:v>H6-UXA-006</x:v>
      </x:c>
      <x:c r="B331" s="26" t="str">
        <x:v>31_H6_and_Release_Readiness_Checklist.xlsx</x:v>
      </x:c>
      <x:c r="C331" s="26" t="str">
        <x:v>H6 / UI, input y accesibilidad / Control especializado</x:v>
      </x:c>
      <x:c r="D331" s="26" t="str">
        <x:v>UI, input y accesibilidad</x:v>
      </x:c>
      <x:c r="E331" s="26" t="str">
        <x:v>La preferencia de reducción de movimiento afecta a todas las animaciones/VFX definidos como reducibles.</x:v>
      </x:c>
      <x:c r="F331" s="26" t="str">
        <x:v>Comparar ON/OFF durante Golden Path y transiciones.</x:v>
      </x:c>
      <x:c r="G331" s="26" t="str">
        <x:v>H6 readiness control</x:v>
      </x:c>
      <x:c r="H331" s="26" t="str">
        <x:v>Activo</x:v>
      </x:c>
      <x:c r="I331" s="26" t="str">
        <x:v>UX/Engineering</x:v>
      </x:c>
    </x:row>
    <x:row r="332" ht="30" customHeight="1">
      <x:c r="A332" s="26" t="str">
        <x:v>H6-UXA-007</x:v>
      </x:c>
      <x:c r="B332" s="26" t="str">
        <x:v>31_H6_and_Release_Readiness_Checklist.xlsx</x:v>
      </x:c>
      <x:c r="C332" s="26" t="str">
        <x:v>H6 / UI, input y accesibilidad / Control especializado</x:v>
      </x:c>
      <x:c r="D332" s="26" t="str">
        <x:v>UI, input y accesibilidad</x:v>
      </x:c>
      <x:c r="E332" s="26" t="str">
        <x:v>Los controles y señales críticas no dependen únicamente del color.</x:v>
      </x:c>
      <x:c r="F332" s="26" t="str">
        <x:v>Revisión de iconos, texto, forma y estados con simulación de color.</x:v>
      </x:c>
      <x:c r="G332" s="26" t="str">
        <x:v>H6 readiness control</x:v>
      </x:c>
      <x:c r="H332" s="26" t="str">
        <x:v>Activo</x:v>
      </x:c>
      <x:c r="I332" s="26" t="str">
        <x:v>UX/Engineering</x:v>
      </x:c>
    </x:row>
    <x:row r="333" ht="30" customHeight="1">
      <x:c r="A333" s="26" t="str">
        <x:v>H6-UXA-008</x:v>
      </x:c>
      <x:c r="B333" s="26" t="str">
        <x:v>31_H6_and_Release_Readiness_Checklist.xlsx</x:v>
      </x:c>
      <x:c r="C333" s="26" t="str">
        <x:v>H6 / UI, input y accesibilidad / Control especializado</x:v>
      </x:c>
      <x:c r="D333" s="26" t="str">
        <x:v>UI, input y accesibilidad</x:v>
      </x:c>
      <x:c r="E333" s="26" t="str">
        <x:v>Errores, rechazos y estados inválidos explican causa y siguiente acción posible.</x:v>
      </x:c>
      <x:c r="F333" s="26" t="str">
        <x:v>Forzar casos negativos en pedidos, colocación, precio, checkout y guardado.</x:v>
      </x:c>
      <x:c r="G333" s="26" t="str">
        <x:v>H6 readiness control</x:v>
      </x:c>
      <x:c r="H333" s="26" t="str">
        <x:v>Activo</x:v>
      </x:c>
      <x:c r="I333" s="26" t="str">
        <x:v>UX/Engineering</x:v>
      </x:c>
    </x:row>
    <x:row r="334" ht="30" customHeight="1">
      <x:c r="A334" s="26" t="str">
        <x:v>H6-UXA-009</x:v>
      </x:c>
      <x:c r="B334" s="26" t="str">
        <x:v>31_H6_and_Release_Readiness_Checklist.xlsx</x:v>
      </x:c>
      <x:c r="C334" s="26" t="str">
        <x:v>H6 / UI, input y accesibilidad / Control especializado</x:v>
      </x:c>
      <x:c r="D334" s="26" t="str">
        <x:v>UI, input y accesibilidad</x:v>
      </x:c>
      <x:c r="E334" s="26" t="str">
        <x:v>Las confirmaciones destructivas configurables se aplican de forma consistente.</x:v>
      </x:c>
      <x:c r="F334" s="26" t="str">
        <x:v>Probar borrar slot, salir con cambios y acciones destructivas incluidas.</x:v>
      </x:c>
      <x:c r="G334" s="26" t="str">
        <x:v>H6 readiness control</x:v>
      </x:c>
      <x:c r="H334" s="26" t="str">
        <x:v>Activo</x:v>
      </x:c>
      <x:c r="I334" s="26" t="str">
        <x:v>UX/Engineering</x:v>
      </x:c>
    </x:row>
    <x:row r="335" ht="30" customHeight="1">
      <x:c r="A335" s="26" t="str">
        <x:v>H6-UXA-010</x:v>
      </x:c>
      <x:c r="B335" s="26" t="str">
        <x:v>31_H6_and_Release_Readiness_Checklist.xlsx</x:v>
      </x:c>
      <x:c r="C335" s="26" t="str">
        <x:v>H6 / UI, input y accesibilidad / Control especializado</x:v>
      </x:c>
      <x:c r="D335" s="26" t="str">
        <x:v>UI, input y accesibilidad</x:v>
      </x:c>
      <x:c r="E335" s="26" t="str">
        <x:v>El tutorial o guía permite completar el Golden Path sin depender de texto de debug.</x:v>
      </x:c>
      <x:c r="F335" s="26" t="str">
        <x:v>Sesión con usuario no familiarizado y registro de bloqueos.</x:v>
      </x:c>
      <x:c r="G335" s="26" t="str">
        <x:v>H6 readiness control</x:v>
      </x:c>
      <x:c r="H335" s="26" t="str">
        <x:v>Activo</x:v>
      </x:c>
      <x:c r="I335" s="26" t="str">
        <x:v>UX/Engineering</x:v>
      </x:c>
    </x:row>
    <x:row r="336" ht="30" customHeight="1">
      <x:c r="A336" s="26" t="str">
        <x:v>H6-UXA-011</x:v>
      </x:c>
      <x:c r="B336" s="26" t="str">
        <x:v>31_H6_and_Release_Readiness_Checklist.xlsx</x:v>
      </x:c>
      <x:c r="C336" s="26" t="str">
        <x:v>H6 / UI, input y accesibilidad / Control especializado</x:v>
      </x:c>
      <x:c r="D336" s="26" t="str">
        <x:v>UI, input y accesibilidad</x:v>
      </x:c>
      <x:c r="E336" s="26" t="str">
        <x:v>Las opciones globales persisten entre sesiones y slots según su alcance definido.</x:v>
      </x:c>
      <x:c r="F336" s="26" t="str">
        <x:v>Cambiar opciones, reiniciar aplicación y alternar slots.</x:v>
      </x:c>
      <x:c r="G336" s="26" t="str">
        <x:v>H6 readiness control</x:v>
      </x:c>
      <x:c r="H336" s="26" t="str">
        <x:v>Activo</x:v>
      </x:c>
      <x:c r="I336" s="26" t="str">
        <x:v>UX/Engineering</x:v>
      </x:c>
    </x:row>
    <x:row r="337" ht="30" customHeight="1">
      <x:c r="A337" s="26" t="str">
        <x:v>H6-UXA-012</x:v>
      </x:c>
      <x:c r="B337" s="26" t="str">
        <x:v>31_H6_and_Release_Readiness_Checklist.xlsx</x:v>
      </x:c>
      <x:c r="C337" s="26" t="str">
        <x:v>H6 / UI, input y accesibilidad / Control especializado</x:v>
      </x:c>
      <x:c r="D337" s="26" t="str">
        <x:v>UI, input y accesibilidad</x:v>
      </x:c>
      <x:c r="E337" s="26" t="str">
        <x:v>La UI no corta precios, cantidades, IDs visibles o acciones esenciales en 1080p y resolución mínima aprobada.</x:v>
      </x:c>
      <x:c r="F337" s="26" t="str">
        <x:v>Recorrido completo en matriz de resoluciones.</x:v>
      </x:c>
      <x:c r="G337" s="26" t="str">
        <x:v>H6 readiness control</x:v>
      </x:c>
      <x:c r="H337" s="26" t="str">
        <x:v>Activo</x:v>
      </x:c>
      <x:c r="I337" s="26" t="str">
        <x:v>UX/Engineering</x:v>
      </x:c>
    </x:row>
    <x:row r="338" ht="30" customHeight="1">
      <x:c r="A338" s="26" t="str">
        <x:v>H6-UXA-013</x:v>
      </x:c>
      <x:c r="B338" s="26" t="str">
        <x:v>31_H6_and_Release_Readiness_Checklist.xlsx</x:v>
      </x:c>
      <x:c r="C338" s="26" t="str">
        <x:v>H6 / UI, input y accesibilidad / Control especializado</x:v>
      </x:c>
      <x:c r="D338" s="26" t="str">
        <x:v>UI, input y accesibilidad</x:v>
      </x:c>
      <x:c r="E338" s="26" t="str">
        <x:v>Las alertas y notificaciones tienen duración suficiente o configuración compatible con accesibilidad cognitiva.</x:v>
      </x:c>
      <x:c r="F338" s="26" t="str">
        <x:v>Probar duración y acumulación de mensajes.</x:v>
      </x:c>
      <x:c r="G338" s="26" t="str">
        <x:v>H6 readiness control</x:v>
      </x:c>
      <x:c r="H338" s="26" t="str">
        <x:v>Activo</x:v>
      </x:c>
      <x:c r="I338" s="26" t="str">
        <x:v>UX/Engineering</x:v>
      </x:c>
    </x:row>
    <x:row r="339" ht="30" customHeight="1">
      <x:c r="A339" s="26" t="str">
        <x:v>H6-UXA-014</x:v>
      </x:c>
      <x:c r="B339" s="26" t="str">
        <x:v>31_H6_and_Release_Readiness_Checklist.xlsx</x:v>
      </x:c>
      <x:c r="C339" s="26" t="str">
        <x:v>H6 / UI, input y accesibilidad / Control especializado</x:v>
      </x:c>
      <x:c r="D339" s="26" t="str">
        <x:v>UI, input y accesibilidad</x:v>
      </x:c>
      <x:c r="E339" s="26" t="str">
        <x:v>Las características no implementadas —remapeo completo, narración, subtítulos o mando integral— no se declaran como disponibles.</x:v>
      </x:c>
      <x:c r="F339" s="26" t="str">
        <x:v>Revisar UI, documentación, Steam draft y marketing claims.</x:v>
      </x:c>
      <x:c r="G339" s="26" t="str">
        <x:v>H6 readiness control</x:v>
      </x:c>
      <x:c r="H339" s="26" t="str">
        <x:v>Activo</x:v>
      </x:c>
      <x:c r="I339" s="26" t="str">
        <x:v>UX/Engineering</x:v>
      </x:c>
    </x:row>
    <x:row r="340" ht="30" customHeight="1">
      <x:c r="A340" s="26" t="str">
        <x:v>H6-LOC-001</x:v>
      </x:c>
      <x:c r="B340" s="26" t="str">
        <x:v>31_H6_and_Release_Readiness_Checklist.xlsx</x:v>
      </x:c>
      <x:c r="C340" s="26" t="str">
        <x:v>H6 / Localización ES/EN / Control especializado</x:v>
      </x:c>
      <x:c r="D340" s="26" t="str">
        <x:v>Localización ES/EN</x:v>
      </x:c>
      <x:c r="E340" s="26" t="str">
        <x:v>Todas las strings runtime incluidas en H6 usan claves canónicas y no texto hardcodeado salvo excepción aprobada.</x:v>
      </x:c>
      <x:c r="F340" s="26" t="str">
        <x:v>Escaneo de código/assets y ejecución con reporte de keys.</x:v>
      </x:c>
      <x:c r="G340" s="26" t="str">
        <x:v>H6 readiness control</x:v>
      </x:c>
      <x:c r="H340" s="26" t="str">
        <x:v>Activo</x:v>
      </x:c>
      <x:c r="I340" s="26" t="str">
        <x:v>Localization/UX</x:v>
      </x:c>
    </x:row>
    <x:row r="341" ht="30" customHeight="1">
      <x:c r="A341" s="26" t="str">
        <x:v>H6-LOC-002</x:v>
      </x:c>
      <x:c r="B341" s="26" t="str">
        <x:v>31_H6_and_Release_Readiness_Checklist.xlsx</x:v>
      </x:c>
      <x:c r="C341" s="26" t="str">
        <x:v>H6 / Localización ES/EN / Control especializado</x:v>
      </x:c>
      <x:c r="D341" s="26" t="str">
        <x:v>Localización ES/EN</x:v>
      </x:c>
      <x:c r="E341" s="26" t="str">
        <x:v>Las tablas es-ES y en-US contienen todas las entradas referenciadas en el alcance H6.</x:v>
      </x:c>
      <x:c r="F341" s="26" t="str">
        <x:v>Generar auditoría de missing entries por colección.</x:v>
      </x:c>
      <x:c r="G341" s="26" t="str">
        <x:v>H6 readiness control</x:v>
      </x:c>
      <x:c r="H341" s="26" t="str">
        <x:v>Activo</x:v>
      </x:c>
      <x:c r="I341" s="26" t="str">
        <x:v>Localization/UX</x:v>
      </x:c>
    </x:row>
    <x:row r="342" ht="30" customHeight="1">
      <x:c r="A342" s="26" t="str">
        <x:v>H6-LOC-003</x:v>
      </x:c>
      <x:c r="B342" s="26" t="str">
        <x:v>31_H6_and_Release_Readiness_Checklist.xlsx</x:v>
      </x:c>
      <x:c r="C342" s="26" t="str">
        <x:v>H6 / Localización ES/EN / Control especializado</x:v>
      </x:c>
      <x:c r="D342" s="26" t="str">
        <x:v>Localización ES/EN</x:v>
      </x:c>
      <x:c r="E342" s="26" t="str">
        <x:v>No aparecen claves, tokens, placeholders o fallbacks visibles durante el Golden Path en ambos idiomas.</x:v>
      </x:c>
      <x:c r="F342" s="26" t="str">
        <x:v>Completar Golden Path ES y EN y revisar Player.log.</x:v>
      </x:c>
      <x:c r="G342" s="26" t="str">
        <x:v>H6 readiness control</x:v>
      </x:c>
      <x:c r="H342" s="26" t="str">
        <x:v>Activo</x:v>
      </x:c>
      <x:c r="I342" s="26" t="str">
        <x:v>Localization/UX</x:v>
      </x:c>
    </x:row>
    <x:row r="343" ht="30" customHeight="1">
      <x:c r="A343" s="26" t="str">
        <x:v>H6-LOC-004</x:v>
      </x:c>
      <x:c r="B343" s="26" t="str">
        <x:v>31_H6_and_Release_Readiness_Checklist.xlsx</x:v>
      </x:c>
      <x:c r="C343" s="26" t="str">
        <x:v>H6 / Localización ES/EN / Control especializado</x:v>
      </x:c>
      <x:c r="D343" s="26" t="str">
        <x:v>Localización ES/EN</x:v>
      </x:c>
      <x:c r="E343" s="26" t="str">
        <x:v>El cambio de idioma es reproducible y persiste según el alcance de preferencias.</x:v>
      </x:c>
      <x:c r="F343" s="26" t="str">
        <x:v>Cambiar idioma, navegar, guardar, reiniciar y recargar.</x:v>
      </x:c>
      <x:c r="G343" s="26" t="str">
        <x:v>H6 readiness control</x:v>
      </x:c>
      <x:c r="H343" s="26" t="str">
        <x:v>Activo</x:v>
      </x:c>
      <x:c r="I343" s="26" t="str">
        <x:v>Localization/UX</x:v>
      </x:c>
    </x:row>
    <x:row r="344" ht="30" customHeight="1">
      <x:c r="A344" s="26" t="str">
        <x:v>H6-LOC-005</x:v>
      </x:c>
      <x:c r="B344" s="26" t="str">
        <x:v>31_H6_and_Release_Readiness_Checklist.xlsx</x:v>
      </x:c>
      <x:c r="C344" s="26" t="str">
        <x:v>H6 / Localización ES/EN / Control especializado</x:v>
      </x:c>
      <x:c r="D344" s="26" t="str">
        <x:v>Localización ES/EN</x:v>
      </x:c>
      <x:c r="E344" s="26" t="str">
        <x:v>Moneda, números, porcentajes, fechas y plurales se formatean mediante locale y no concatenación frágil.</x:v>
      </x:c>
      <x:c r="F344" s="26" t="str">
        <x:v>Probar casos límite y valores variables en ES/EN.</x:v>
      </x:c>
      <x:c r="G344" s="26" t="str">
        <x:v>H6 readiness control</x:v>
      </x:c>
      <x:c r="H344" s="26" t="str">
        <x:v>Activo</x:v>
      </x:c>
      <x:c r="I344" s="26" t="str">
        <x:v>Localization/UX</x:v>
      </x:c>
    </x:row>
    <x:row r="345" ht="30" customHeight="1">
      <x:c r="A345" s="26" t="str">
        <x:v>H6-LOC-006</x:v>
      </x:c>
      <x:c r="B345" s="26" t="str">
        <x:v>31_H6_and_Release_Readiness_Checklist.xlsx</x:v>
      </x:c>
      <x:c r="C345" s="26" t="str">
        <x:v>H6 / Localización ES/EN / Control especializado</x:v>
      </x:c>
      <x:c r="D345" s="26" t="str">
        <x:v>Localización ES/EN</x:v>
      </x:c>
      <x:c r="E345" s="26" t="str">
        <x:v>La fuente final o aprobada contiene todos los glyphs necesarios y tiene fallback controlado.</x:v>
      </x:c>
      <x:c r="F345" s="26" t="str">
        <x:v>Auditar caracteres, acentos, símbolos monetarios y signos.</x:v>
      </x:c>
      <x:c r="G345" s="26" t="str">
        <x:v>H6 readiness control</x:v>
      </x:c>
      <x:c r="H345" s="26" t="str">
        <x:v>Activo</x:v>
      </x:c>
      <x:c r="I345" s="26" t="str">
        <x:v>Localization/UX</x:v>
      </x:c>
    </x:row>
    <x:row r="346" ht="30" customHeight="1">
      <x:c r="A346" s="26" t="str">
        <x:v>H6-LOC-007</x:v>
      </x:c>
      <x:c r="B346" s="26" t="str">
        <x:v>31_H6_and_Release_Readiness_Checklist.xlsx</x:v>
      </x:c>
      <x:c r="C346" s="26" t="str">
        <x:v>H6 / Localización ES/EN / Control especializado</x:v>
      </x:c>
      <x:c r="D346" s="26" t="str">
        <x:v>Localización ES/EN</x:v>
      </x:c>
      <x:c r="E346" s="26" t="str">
        <x:v>La pseudolocalización no produce desbordes o recortes bloqueantes.</x:v>
      </x:c>
      <x:c r="F346" s="26" t="str">
        <x:v>Ejecutar pantallas y HUD con pseudolocale expandido.</x:v>
      </x:c>
      <x:c r="G346" s="26" t="str">
        <x:v>H6 readiness control</x:v>
      </x:c>
      <x:c r="H346" s="26" t="str">
        <x:v>Activo</x:v>
      </x:c>
      <x:c r="I346" s="26" t="str">
        <x:v>Localization/UX</x:v>
      </x:c>
    </x:row>
    <x:row r="347" ht="30" customHeight="1">
      <x:c r="A347" s="26" t="str">
        <x:v>H6-LOC-008</x:v>
      </x:c>
      <x:c r="B347" s="26" t="str">
        <x:v>31_H6_and_Release_Readiness_Checklist.xlsx</x:v>
      </x:c>
      <x:c r="C347" s="26" t="str">
        <x:v>H6 / Localización ES/EN / Control especializado</x:v>
      </x:c>
      <x:c r="D347" s="26" t="str">
        <x:v>Localización ES/EN</x:v>
      </x:c>
      <x:c r="E347" s="26" t="str">
        <x:v>Los comentarios de contexto, variables y límites están completos para entradas H6.</x:v>
      </x:c>
      <x:c r="F347" s="26" t="str">
        <x:v>Revisar metadata de tablas y paquete de traducción.</x:v>
      </x:c>
      <x:c r="G347" s="26" t="str">
        <x:v>H6 readiness control</x:v>
      </x:c>
      <x:c r="H347" s="26" t="str">
        <x:v>Activo</x:v>
      </x:c>
      <x:c r="I347" s="26" t="str">
        <x:v>Localization/UX</x:v>
      </x:c>
    </x:row>
    <x:row r="348" ht="30" customHeight="1">
      <x:c r="A348" s="26" t="str">
        <x:v>H6-LOC-009</x:v>
      </x:c>
      <x:c r="B348" s="26" t="str">
        <x:v>31_H6_and_Release_Readiness_Checklist.xlsx</x:v>
      </x:c>
      <x:c r="C348" s="26" t="str">
        <x:v>H6 / Localización ES/EN / Control especializado</x:v>
      </x:c>
      <x:c r="D348" s="26" t="str">
        <x:v>Localización ES/EN</x:v>
      </x:c>
      <x:c r="E348" s="26" t="str">
        <x:v>El glosario de términos de juego está aprobado y aplicado de forma consistente en ES/EN.</x:v>
      </x:c>
      <x:c r="F348" s="26" t="str">
        <x:v>Revisión terminológica cruzada de UI, tutorial y contenido.</x:v>
      </x:c>
      <x:c r="G348" s="26" t="str">
        <x:v>H6 readiness control</x:v>
      </x:c>
      <x:c r="H348" s="26" t="str">
        <x:v>Activo</x:v>
      </x:c>
      <x:c r="I348" s="26" t="str">
        <x:v>Localization/UX</x:v>
      </x:c>
    </x:row>
    <x:row r="349" ht="30" customHeight="1">
      <x:c r="A349" s="26" t="str">
        <x:v>H6-LOC-010</x:v>
      </x:c>
      <x:c r="B349" s="26" t="str">
        <x:v>31_H6_and_Release_Readiness_Checklist.xlsx</x:v>
      </x:c>
      <x:c r="C349" s="26" t="str">
        <x:v>H6 / Localización ES/EN / Control especializado</x:v>
      </x:c>
      <x:c r="D349" s="26" t="str">
        <x:v>Localización ES/EN</x:v>
      </x:c>
      <x:c r="E349" s="26" t="str">
        <x:v>No existen strings de Sprint, phase, debug o instrucciones internas en la build H6.</x:v>
      </x:c>
      <x:c r="F349" s="26" t="str">
        <x:v>Búsqueda automatizada y recorrido manual.</x:v>
      </x:c>
      <x:c r="G349" s="26" t="str">
        <x:v>H6 readiness control</x:v>
      </x:c>
      <x:c r="H349" s="26" t="str">
        <x:v>Activo</x:v>
      </x:c>
      <x:c r="I349" s="26" t="str">
        <x:v>Localization/UX</x:v>
      </x:c>
    </x:row>
    <x:row r="350" ht="30" customHeight="1">
      <x:c r="A350" s="26" t="str">
        <x:v>H6-LOC-011</x:v>
      </x:c>
      <x:c r="B350" s="26" t="str">
        <x:v>31_H6_and_Release_Readiness_Checklist.xlsx</x:v>
      </x:c>
      <x:c r="C350" s="26" t="str">
        <x:v>H6 / Localización ES/EN / Control especializado</x:v>
      </x:c>
      <x:c r="D350" s="26" t="str">
        <x:v>Localización ES/EN</x:v>
      </x:c>
      <x:c r="E350" s="26" t="str">
        <x:v>Los archivos de localización, Shared Data, .meta y dependencias están versionados y sobreviven a clean checkout.</x:v>
      </x:c>
      <x:c r="F350" s="26" t="str">
        <x:v>Clonar/limpiar proyecto y generar build.</x:v>
      </x:c>
      <x:c r="G350" s="26" t="str">
        <x:v>H6 readiness control</x:v>
      </x:c>
      <x:c r="H350" s="26" t="str">
        <x:v>Activo</x:v>
      </x:c>
      <x:c r="I350" s="26" t="str">
        <x:v>Localization/UX</x:v>
      </x:c>
    </x:row>
    <x:row r="351" ht="30" customHeight="1">
      <x:c r="A351" s="26" t="str">
        <x:v>H6-LOC-012</x:v>
      </x:c>
      <x:c r="B351" s="26" t="str">
        <x:v>31_H6_and_Release_Readiness_Checklist.xlsx</x:v>
      </x:c>
      <x:c r="C351" s="26" t="str">
        <x:v>H6 / Localización ES/EN / Control especializado</x:v>
      </x:c>
      <x:c r="D351" s="26" t="str">
        <x:v>Localización ES/EN</x:v>
      </x:c>
      <x:c r="E351" s="26" t="str">
        <x:v>Player.log no contiene missing table, missing entry, glyph o format exception recurrentes.</x:v>
      </x:c>
      <x:c r="F351" s="26" t="str">
        <x:v>Revisar log tras Golden Path ES/EN.</x:v>
      </x:c>
      <x:c r="G351" s="26" t="str">
        <x:v>H6 readiness control</x:v>
      </x:c>
      <x:c r="H351" s="26" t="str">
        <x:v>Activo</x:v>
      </x:c>
      <x:c r="I351" s="26" t="str">
        <x:v>Localization/UX</x:v>
      </x:c>
    </x:row>
    <x:row r="352" ht="30" customHeight="1">
      <x:c r="A352" s="26" t="str">
        <x:v>H6-LOC-013</x:v>
      </x:c>
      <x:c r="B352" s="26" t="str">
        <x:v>31_H6_and_Release_Readiness_Checklist.xlsx</x:v>
      </x:c>
      <x:c r="C352" s="26" t="str">
        <x:v>H6 / Localización ES/EN / Control especializado</x:v>
      </x:c>
      <x:c r="D352" s="26" t="str">
        <x:v>Localización ES/EN</x:v>
      </x:c>
      <x:c r="E352" s="26" t="str">
        <x:v>La localización H6 funciona sin conexión de red.</x:v>
      </x:c>
      <x:c r="F352" s="26" t="str">
        <x:v>Ejecutar candidata offline en ambos idiomas.</x:v>
      </x:c>
      <x:c r="G352" s="26" t="str">
        <x:v>H6 readiness control</x:v>
      </x:c>
      <x:c r="H352" s="26" t="str">
        <x:v>Activo</x:v>
      </x:c>
      <x:c r="I352" s="26" t="str">
        <x:v>Localization/UX</x:v>
      </x:c>
    </x:row>
    <x:row r="353" ht="30" customHeight="1">
      <x:c r="A353" s="26" t="str">
        <x:v>H6-LOC-014</x:v>
      </x:c>
      <x:c r="B353" s="26" t="str">
        <x:v>31_H6_and_Release_Readiness_Checklist.xlsx</x:v>
      </x:c>
      <x:c r="C353" s="26" t="str">
        <x:v>H6 / Localización ES/EN / Control especializado</x:v>
      </x:c>
      <x:c r="D353" s="26" t="str">
        <x:v>Localización ES/EN</x:v>
      </x:c>
      <x:c r="E353" s="26" t="str">
        <x:v>Los créditos de traducción y proveedores están preparados sin exponer datos personales no autorizados.</x:v>
      </x:c>
      <x:c r="F353" s="26" t="str">
        <x:v>Revisar Legal Register y credits draft.</x:v>
      </x:c>
      <x:c r="G353" s="26" t="str">
        <x:v>H6 readiness control</x:v>
      </x:c>
      <x:c r="H353" s="26" t="str">
        <x:v>Activo</x:v>
      </x:c>
      <x:c r="I353" s="26" t="str">
        <x:v>Localization/UX</x:v>
      </x:c>
    </x:row>
    <x:row r="354" ht="30" customHeight="1">
      <x:c r="A354" s="26" t="str">
        <x:v>H6-ART-001</x:v>
      </x:c>
      <x:c r="B354" s="26" t="str">
        <x:v>31_H6_and_Release_Readiness_Checklist.xlsx</x:v>
      </x:c>
      <x:c r="C354" s="26" t="str">
        <x:v>H6 / Arte y presentación / Control especializado</x:v>
      </x:c>
      <x:c r="D354" s="26" t="str">
        <x:v>Arte y presentación</x:v>
      </x:c>
      <x:c r="E354" s="26" t="str">
        <x:v>La dirección visual de la candidata coincide con el target aprobado para Tier E/StoreInitial.</x:v>
      </x:c>
      <x:c r="F354" s="26" t="str">
        <x:v>Comparativa lado a lado con referencias aprobadas.</x:v>
      </x:c>
      <x:c r="G354" s="26" t="str">
        <x:v>H6 readiness control</x:v>
      </x:c>
      <x:c r="H354" s="26" t="str">
        <x:v>Activo</x:v>
      </x:c>
      <x:c r="I354" s="26" t="str">
        <x:v>Art</x:v>
      </x:c>
    </x:row>
    <x:row r="355" ht="30" customHeight="1">
      <x:c r="A355" s="26" t="str">
        <x:v>H6-ART-002</x:v>
      </x:c>
      <x:c r="B355" s="26" t="str">
        <x:v>31_H6_and_Release_Readiness_Checklist.xlsx</x:v>
      </x:c>
      <x:c r="C355" s="26" t="str">
        <x:v>H6 / Arte y presentación / Control especializado</x:v>
      </x:c>
      <x:c r="D355" s="26" t="str">
        <x:v>Arte y presentación</x:v>
      </x:c>
      <x:c r="E355" s="26" t="str">
        <x:v>Los assets incluidos tienen escala, pivote, orientación, naming y prefab correctos.</x:v>
      </x:c>
      <x:c r="F355" s="26" t="str">
        <x:v>Auditoría de importación y prueba funcional.</x:v>
      </x:c>
      <x:c r="G355" s="26" t="str">
        <x:v>H6 readiness control</x:v>
      </x:c>
      <x:c r="H355" s="26" t="str">
        <x:v>Activo</x:v>
      </x:c>
      <x:c r="I355" s="26" t="str">
        <x:v>Art</x:v>
      </x:c>
    </x:row>
    <x:row r="356" ht="30" customHeight="1">
      <x:c r="A356" s="26" t="str">
        <x:v>H6-ART-003</x:v>
      </x:c>
      <x:c r="B356" s="26" t="str">
        <x:v>31_H6_and_Release_Readiness_Checklist.xlsx</x:v>
      </x:c>
      <x:c r="C356" s="26" t="str">
        <x:v>H6 / Arte y presentación / Control especializado</x:v>
      </x:c>
      <x:c r="D356" s="26" t="str">
        <x:v>Arte y presentación</x:v>
      </x:c>
      <x:c r="E356" s="26" t="str">
        <x:v>No existen materiales rosas, texturas ausentes, UV rotas o normals invertidas visibles.</x:v>
      </x:c>
      <x:c r="F356" s="26" t="str">
        <x:v>Recorrido visual y revisión de logs de importación.</x:v>
      </x:c>
      <x:c r="G356" s="26" t="str">
        <x:v>H6 readiness control</x:v>
      </x:c>
      <x:c r="H356" s="26" t="str">
        <x:v>Activo</x:v>
      </x:c>
      <x:c r="I356" s="26" t="str">
        <x:v>Art</x:v>
      </x:c>
    </x:row>
    <x:row r="357" ht="30" customHeight="1">
      <x:c r="A357" s="26" t="str">
        <x:v>H6-ART-004</x:v>
      </x:c>
      <x:c r="B357" s="26" t="str">
        <x:v>31_H6_and_Release_Readiness_Checklist.xlsx</x:v>
      </x:c>
      <x:c r="C357" s="26" t="str">
        <x:v>H6 / Arte y presentación / Control especializado</x:v>
      </x:c>
      <x:c r="D357" s="26" t="str">
        <x:v>Arte y presentación</x:v>
      </x:c>
      <x:c r="E357" s="26" t="str">
        <x:v>Las texturas y materiales respetan presupuestos y no introducen degradación severa.</x:v>
      </x:c>
      <x:c r="F357" s="26" t="str">
        <x:v>Auditar import settings y profiling de memoria/GPU.</x:v>
      </x:c>
      <x:c r="G357" s="26" t="str">
        <x:v>H6 readiness control</x:v>
      </x:c>
      <x:c r="H357" s="26" t="str">
        <x:v>Activo</x:v>
      </x:c>
      <x:c r="I357" s="26" t="str">
        <x:v>Art</x:v>
      </x:c>
    </x:row>
    <x:row r="358" ht="30" customHeight="1">
      <x:c r="A358" s="26" t="str">
        <x:v>H6-ART-005</x:v>
      </x:c>
      <x:c r="B358" s="26" t="str">
        <x:v>31_H6_and_Release_Readiness_Checklist.xlsx</x:v>
      </x:c>
      <x:c r="C358" s="26" t="str">
        <x:v>H6 / Arte y presentación / Control especializado</x:v>
      </x:c>
      <x:c r="D358" s="26" t="str">
        <x:v>Arte y presentación</x:v>
      </x:c>
      <x:c r="E358" s="26" t="str">
        <x:v>Los LOD/culling aprobados no producen popping que impida leer productos o clientes.</x:v>
      </x:c>
      <x:c r="F358" s="26" t="str">
        <x:v>Recorrido de cámara a distancias extremas.</x:v>
      </x:c>
      <x:c r="G358" s="26" t="str">
        <x:v>H6 readiness control</x:v>
      </x:c>
      <x:c r="H358" s="26" t="str">
        <x:v>Activo</x:v>
      </x:c>
      <x:c r="I358" s="26" t="str">
        <x:v>Art</x:v>
      </x:c>
    </x:row>
    <x:row r="359" ht="30" customHeight="1">
      <x:c r="A359" s="26" t="str">
        <x:v>H6-ART-006</x:v>
      </x:c>
      <x:c r="B359" s="26" t="str">
        <x:v>31_H6_and_Release_Readiness_Checklist.xlsx</x:v>
      </x:c>
      <x:c r="C359" s="26" t="str">
        <x:v>H6 / Arte y presentación / Control especializado</x:v>
      </x:c>
      <x:c r="D359" s="26" t="str">
        <x:v>Arte y presentación</x:v>
      </x:c>
      <x:c r="E359" s="26" t="str">
        <x:v>VFX y partículas no generan flashes, obstrucción o movimiento incompatible con preferencias.</x:v>
      </x:c>
      <x:c r="F359" s="26" t="str">
        <x:v>Prueba normal y reduce motion.</x:v>
      </x:c>
      <x:c r="G359" s="26" t="str">
        <x:v>H6 readiness control</x:v>
      </x:c>
      <x:c r="H359" s="26" t="str">
        <x:v>Activo</x:v>
      </x:c>
      <x:c r="I359" s="26" t="str">
        <x:v>Art</x:v>
      </x:c>
    </x:row>
    <x:row r="360" ht="30" customHeight="1">
      <x:c r="A360" s="26" t="str">
        <x:v>H6-ART-007</x:v>
      </x:c>
      <x:c r="B360" s="26" t="str">
        <x:v>31_H6_and_Release_Readiness_Checklist.xlsx</x:v>
      </x:c>
      <x:c r="C360" s="26" t="str">
        <x:v>H6 / Arte y presentación / Control especializado</x:v>
      </x:c>
      <x:c r="D360" s="26" t="str">
        <x:v>Arte y presentación</x:v>
      </x:c>
      <x:c r="E360" s="26" t="str">
        <x:v>La UI utiliza sprites, iconos y estados coherentes con la guía visual.</x:v>
      </x:c>
      <x:c r="F360" s="26" t="str">
        <x:v>Auditoría de pantallas y componentes.</x:v>
      </x:c>
      <x:c r="G360" s="26" t="str">
        <x:v>H6 readiness control</x:v>
      </x:c>
      <x:c r="H360" s="26" t="str">
        <x:v>Activo</x:v>
      </x:c>
      <x:c r="I360" s="26" t="str">
        <x:v>Art</x:v>
      </x:c>
    </x:row>
    <x:row r="361" ht="30" customHeight="1">
      <x:c r="A361" s="26" t="str">
        <x:v>H6-ART-008</x:v>
      </x:c>
      <x:c r="B361" s="26" t="str">
        <x:v>31_H6_and_Release_Readiness_Checklist.xlsx</x:v>
      </x:c>
      <x:c r="C361" s="26" t="str">
        <x:v>H6 / Arte y presentación / Control especializado</x:v>
      </x:c>
      <x:c r="D361" s="26" t="str">
        <x:v>Arte y presentación</x:v>
      </x:c>
      <x:c r="E361" s="26" t="str">
        <x:v>Las capturas de evidencia se obtienen de la build candidata sin overlays de debug.</x:v>
      </x:c>
      <x:c r="F361" s="26" t="str">
        <x:v>Comparar build ID y capturas.</x:v>
      </x:c>
      <x:c r="G361" s="26" t="str">
        <x:v>H6 readiness control</x:v>
      </x:c>
      <x:c r="H361" s="26" t="str">
        <x:v>Activo</x:v>
      </x:c>
      <x:c r="I361" s="26" t="str">
        <x:v>Art</x:v>
      </x:c>
    </x:row>
    <x:row r="362" ht="30" customHeight="1">
      <x:c r="A362" s="26" t="str">
        <x:v>H6-ART-009</x:v>
      </x:c>
      <x:c r="B362" s="26" t="str">
        <x:v>31_H6_and_Release_Readiness_Checklist.xlsx</x:v>
      </x:c>
      <x:c r="C362" s="26" t="str">
        <x:v>H6 / Arte y presentación / Control especializado</x:v>
      </x:c>
      <x:c r="D362" s="26" t="str">
        <x:v>Arte y presentación</x:v>
      </x:c>
      <x:c r="E362" s="26" t="str">
        <x:v>Los personajes/clientes/proveedores mantienen diversidad y claridad sin estereotipos dañinos.</x:v>
      </x:c>
      <x:c r="F362" s="26" t="str">
        <x:v>Revisión inclusiva de modelos, ropa y nomenclatura.</x:v>
      </x:c>
      <x:c r="G362" s="26" t="str">
        <x:v>H6 readiness control</x:v>
      </x:c>
      <x:c r="H362" s="26" t="str">
        <x:v>Activo</x:v>
      </x:c>
      <x:c r="I362" s="26" t="str">
        <x:v>Art</x:v>
      </x:c>
    </x:row>
    <x:row r="363" ht="30" customHeight="1">
      <x:c r="A363" s="26" t="str">
        <x:v>H6-ART-010</x:v>
      </x:c>
      <x:c r="B363" s="26" t="str">
        <x:v>31_H6_and_Release_Readiness_Checklist.xlsx</x:v>
      </x:c>
      <x:c r="C363" s="26" t="str">
        <x:v>H6 / Arte y presentación / Control especializado</x:v>
      </x:c>
      <x:c r="D363" s="26" t="str">
        <x:v>Arte y presentación</x:v>
      </x:c>
      <x:c r="E363" s="26" t="str">
        <x:v>La densidad visual no oculta feedback crítico ni puntos de interacción.</x:v>
      </x:c>
      <x:c r="F363" s="26" t="str">
        <x:v>Pruebas en configuración de tienda cargada.</x:v>
      </x:c>
      <x:c r="G363" s="26" t="str">
        <x:v>H6 readiness control</x:v>
      </x:c>
      <x:c r="H363" s="26" t="str">
        <x:v>Activo</x:v>
      </x:c>
      <x:c r="I363" s="26" t="str">
        <x:v>Art</x:v>
      </x:c>
    </x:row>
    <x:row r="364" ht="30" customHeight="1">
      <x:c r="A364" s="26" t="str">
        <x:v>H6-ART-011</x:v>
      </x:c>
      <x:c r="B364" s="26" t="str">
        <x:v>31_H6_and_Release_Readiness_Checklist.xlsx</x:v>
      </x:c>
      <x:c r="C364" s="26" t="str">
        <x:v>H6 / Arte y presentación / Control especializado</x:v>
      </x:c>
      <x:c r="D364" s="26" t="str">
        <x:v>Arte y presentación</x:v>
      </x:c>
      <x:c r="E364" s="26" t="str">
        <x:v>Los assets de terceros usados en H6 están vinculados a una licencia/procedencia registrada.</x:v>
      </x:c>
      <x:c r="F364" s="26" t="str">
        <x:v>Cruzar Asset GUID/path con 23.</x:v>
      </x:c>
      <x:c r="G364" s="26" t="str">
        <x:v>H6 readiness control</x:v>
      </x:c>
      <x:c r="H364" s="26" t="str">
        <x:v>Activo</x:v>
      </x:c>
      <x:c r="I364" s="26" t="str">
        <x:v>Art</x:v>
      </x:c>
    </x:row>
    <x:row r="365" ht="30" customHeight="1">
      <x:c r="A365" s="26" t="str">
        <x:v>H6-ART-012</x:v>
      </x:c>
      <x:c r="B365" s="26" t="str">
        <x:v>31_H6_and_Release_Readiness_Checklist.xlsx</x:v>
      </x:c>
      <x:c r="C365" s="26" t="str">
        <x:v>H6 / Arte y presentación / Control especializado</x:v>
      </x:c>
      <x:c r="D365" s="26" t="str">
        <x:v>Arte y presentación</x:v>
      </x:c>
      <x:c r="E365" s="26" t="str">
        <x:v>No se reutilizan marcas reales, logos o trade dress no autorizados.</x:v>
      </x:c>
      <x:c r="F365" s="26" t="str">
        <x:v>Revisión visual/legal de todos los assets visibles.</x:v>
      </x:c>
      <x:c r="G365" s="26" t="str">
        <x:v>H6 readiness control</x:v>
      </x:c>
      <x:c r="H365" s="26" t="str">
        <x:v>Activo</x:v>
      </x:c>
      <x:c r="I365" s="26" t="str">
        <x:v>Art</x:v>
      </x:c>
    </x:row>
    <x:row r="366" ht="30" customHeight="1">
      <x:c r="A366" s="26" t="str">
        <x:v>H6-AUD-001</x:v>
      </x:c>
      <x:c r="B366" s="26" t="str">
        <x:v>31_H6_and_Release_Readiness_Checklist.xlsx</x:v>
      </x:c>
      <x:c r="C366" s="26" t="str">
        <x:v>H6 / Audio / Control especializado</x:v>
      </x:c>
      <x:c r="D366" s="26" t="str">
        <x:v>Audio</x:v>
      </x:c>
      <x:c r="E366" s="26" t="str">
        <x:v>Las acciones críticas incluidas tienen feedback sonoro o alternativa visual aprobada.</x:v>
      </x:c>
      <x:c r="F366" s="26" t="str">
        <x:v>Recorrer Golden Path con audio y con audio silenciado.</x:v>
      </x:c>
      <x:c r="G366" s="26" t="str">
        <x:v>H6 readiness control</x:v>
      </x:c>
      <x:c r="H366" s="26" t="str">
        <x:v>Activo</x:v>
      </x:c>
      <x:c r="I366" s="26" t="str">
        <x:v>Audio</x:v>
      </x:c>
    </x:row>
    <x:row r="367" ht="30" customHeight="1">
      <x:c r="A367" s="26" t="str">
        <x:v>H6-AUD-002</x:v>
      </x:c>
      <x:c r="B367" s="26" t="str">
        <x:v>31_H6_and_Release_Readiness_Checklist.xlsx</x:v>
      </x:c>
      <x:c r="C367" s="26" t="str">
        <x:v>H6 / Audio / Control especializado</x:v>
      </x:c>
      <x:c r="D367" s="26" t="str">
        <x:v>Audio</x:v>
      </x:c>
      <x:c r="E367" s="26" t="str">
        <x:v>Los buses/canales de volumen funcionan y persisten.</x:v>
      </x:c>
      <x:c r="F367" s="26" t="str">
        <x:v>Probar master, música, SFX y otros canales definidos.</x:v>
      </x:c>
      <x:c r="G367" s="26" t="str">
        <x:v>H6 readiness control</x:v>
      </x:c>
      <x:c r="H367" s="26" t="str">
        <x:v>Activo</x:v>
      </x:c>
      <x:c r="I367" s="26" t="str">
        <x:v>Audio</x:v>
      </x:c>
    </x:row>
    <x:row r="368" ht="30" customHeight="1">
      <x:c r="A368" s="26" t="str">
        <x:v>H6-AUD-003</x:v>
      </x:c>
      <x:c r="B368" s="26" t="str">
        <x:v>31_H6_and_Release_Readiness_Checklist.xlsx</x:v>
      </x:c>
      <x:c r="C368" s="26" t="str">
        <x:v>H6 / Audio / Control especializado</x:v>
      </x:c>
      <x:c r="D368" s="26" t="str">
        <x:v>Audio</x:v>
      </x:c>
      <x:c r="E368" s="26" t="str">
        <x:v>No existen clips ausentes, referencias rotas o errores de reproducción recurrentes.</x:v>
      </x:c>
      <x:c r="F368" s="26" t="str">
        <x:v>Revisar escena, consola y Player.log.</x:v>
      </x:c>
      <x:c r="G368" s="26" t="str">
        <x:v>H6 readiness control</x:v>
      </x:c>
      <x:c r="H368" s="26" t="str">
        <x:v>Activo</x:v>
      </x:c>
      <x:c r="I368" s="26" t="str">
        <x:v>Audio</x:v>
      </x:c>
    </x:row>
    <x:row r="369" ht="30" customHeight="1">
      <x:c r="A369" s="26" t="str">
        <x:v>H6-AUD-004</x:v>
      </x:c>
      <x:c r="B369" s="26" t="str">
        <x:v>31_H6_and_Release_Readiness_Checklist.xlsx</x:v>
      </x:c>
      <x:c r="C369" s="26" t="str">
        <x:v>H6 / Audio / Control especializado</x:v>
      </x:c>
      <x:c r="D369" s="26" t="str">
        <x:v>Audio</x:v>
      </x:c>
      <x:c r="E369" s="26" t="str">
        <x:v>Los clips no presentan clipping, ruido, loops defectuosos o variación de loudness extrema.</x:v>
      </x:c>
      <x:c r="F369" s="26" t="str">
        <x:v>Escucha técnica y medición aprobada.</x:v>
      </x:c>
      <x:c r="G369" s="26" t="str">
        <x:v>H6 readiness control</x:v>
      </x:c>
      <x:c r="H369" s="26" t="str">
        <x:v>Activo</x:v>
      </x:c>
      <x:c r="I369" s="26" t="str">
        <x:v>Audio</x:v>
      </x:c>
    </x:row>
    <x:row r="370" ht="30" customHeight="1">
      <x:c r="A370" s="26" t="str">
        <x:v>H6-AUD-005</x:v>
      </x:c>
      <x:c r="B370" s="26" t="str">
        <x:v>31_H6_and_Release_Readiness_Checklist.xlsx</x:v>
      </x:c>
      <x:c r="C370" s="26" t="str">
        <x:v>H6 / Audio / Control especializado</x:v>
      </x:c>
      <x:c r="D370" s="26" t="str">
        <x:v>Audio</x:v>
      </x:c>
      <x:c r="E370" s="26" t="str">
        <x:v>La simultaneidad de clientes y acciones no supera límites de voces ni degrada el rendimiento.</x:v>
      </x:c>
      <x:c r="F370" s="26" t="str">
        <x:v>Stress de 8 clientes y múltiples acciones.</x:v>
      </x:c>
      <x:c r="G370" s="26" t="str">
        <x:v>H6 readiness control</x:v>
      </x:c>
      <x:c r="H370" s="26" t="str">
        <x:v>Activo</x:v>
      </x:c>
      <x:c r="I370" s="26" t="str">
        <x:v>Audio</x:v>
      </x:c>
    </x:row>
    <x:row r="371" ht="30" customHeight="1">
      <x:c r="A371" s="26" t="str">
        <x:v>H6-AUD-006</x:v>
      </x:c>
      <x:c r="B371" s="26" t="str">
        <x:v>31_H6_and_Release_Readiness_Checklist.xlsx</x:v>
      </x:c>
      <x:c r="C371" s="26" t="str">
        <x:v>H6 / Audio / Control especializado</x:v>
      </x:c>
      <x:c r="D371" s="26" t="str">
        <x:v>Audio</x:v>
      </x:c>
      <x:c r="E371" s="26" t="str">
        <x:v>Las licencias, autores y condiciones de cada clip están registradas.</x:v>
      </x:c>
      <x:c r="F371" s="26" t="str">
        <x:v>Cruzar Assets/Audio con 23.</x:v>
      </x:c>
      <x:c r="G371" s="26" t="str">
        <x:v>H6 readiness control</x:v>
      </x:c>
      <x:c r="H371" s="26" t="str">
        <x:v>Activo</x:v>
      </x:c>
      <x:c r="I371" s="26" t="str">
        <x:v>Audio</x:v>
      </x:c>
    </x:row>
    <x:row r="372" ht="30" customHeight="1">
      <x:c r="A372" s="26" t="str">
        <x:v>H6-AUD-007</x:v>
      </x:c>
      <x:c r="B372" s="26" t="str">
        <x:v>31_H6_and_Release_Readiness_Checklist.xlsx</x:v>
      </x:c>
      <x:c r="C372" s="26" t="str">
        <x:v>H6 / Audio / Control especializado</x:v>
      </x:c>
      <x:c r="D372" s="26" t="str">
        <x:v>Audio</x:v>
      </x:c>
      <x:c r="E372" s="26" t="str">
        <x:v>No se incluyen pistas o stems temporales no autorizados en el paquete H6.</x:v>
      </x:c>
      <x:c r="F372" s="26" t="str">
        <x:v>Inventario de clips incluidos en build.</x:v>
      </x:c>
      <x:c r="G372" s="26" t="str">
        <x:v>H6 readiness control</x:v>
      </x:c>
      <x:c r="H372" s="26" t="str">
        <x:v>Activo</x:v>
      </x:c>
      <x:c r="I372" s="26" t="str">
        <x:v>Audio</x:v>
      </x:c>
    </x:row>
    <x:row r="373" ht="30" customHeight="1">
      <x:c r="A373" s="26" t="str">
        <x:v>H6-AUD-008</x:v>
      </x:c>
      <x:c r="B373" s="26" t="str">
        <x:v>31_H6_and_Release_Readiness_Checklist.xlsx</x:v>
      </x:c>
      <x:c r="C373" s="26" t="str">
        <x:v>H6 / Audio / Control especializado</x:v>
      </x:c>
      <x:c r="D373" s="26" t="str">
        <x:v>Audio</x:v>
      </x:c>
      <x:c r="E373" s="26" t="str">
        <x:v>La ausencia de subtítulos/captions para contenido no verbal no se comunica como característica disponible.</x:v>
      </x:c>
      <x:c r="F373" s="26" t="str">
        <x:v>Revisar claims y surfaces públicas.</x:v>
      </x:c>
      <x:c r="G373" s="26" t="str">
        <x:v>H6 readiness control</x:v>
      </x:c>
      <x:c r="H373" s="26" t="str">
        <x:v>Activo</x:v>
      </x:c>
      <x:c r="I373" s="26" t="str">
        <x:v>Audio</x:v>
      </x:c>
    </x:row>
    <x:row r="374" ht="30" customHeight="1">
      <x:c r="A374" s="26" t="str">
        <x:v>H6-AUD-009</x:v>
      </x:c>
      <x:c r="B374" s="26" t="str">
        <x:v>31_H6_and_Release_Readiness_Checklist.xlsx</x:v>
      </x:c>
      <x:c r="C374" s="26" t="str">
        <x:v>H6 / Audio / Control especializado</x:v>
      </x:c>
      <x:c r="D374" s="26" t="str">
        <x:v>Audio</x:v>
      </x:c>
      <x:c r="E374" s="26" t="str">
        <x:v>Los sonidos repetitivos de operaciones no generan fatiga severa durante siete días.</x:v>
      </x:c>
      <x:c r="F374" s="26" t="str">
        <x:v>Sesión extensa y feedback QA.</x:v>
      </x:c>
      <x:c r="G374" s="26" t="str">
        <x:v>H6 readiness control</x:v>
      </x:c>
      <x:c r="H374" s="26" t="str">
        <x:v>Activo</x:v>
      </x:c>
      <x:c r="I374" s="26" t="str">
        <x:v>Audio</x:v>
      </x:c>
    </x:row>
    <x:row r="375" ht="30" customHeight="1">
      <x:c r="A375" s="26" t="str">
        <x:v>H6-AUD-010</x:v>
      </x:c>
      <x:c r="B375" s="26" t="str">
        <x:v>31_H6_and_Release_Readiness_Checklist.xlsx</x:v>
      </x:c>
      <x:c r="C375" s="26" t="str">
        <x:v>H6 / Audio / Control especializado</x:v>
      </x:c>
      <x:c r="D375" s="26" t="str">
        <x:v>Audio</x:v>
      </x:c>
      <x:c r="E375" s="26" t="str">
        <x:v>El comportamiento offline y tras cambio de dispositivo de audio es controlado.</x:v>
      </x:c>
      <x:c r="F375" s="26" t="str">
        <x:v>Desconectar/reconectar dispositivo y ejecutar sin red.</x:v>
      </x:c>
      <x:c r="G375" s="26" t="str">
        <x:v>H6 readiness control</x:v>
      </x:c>
      <x:c r="H375" s="26" t="str">
        <x:v>Activo</x:v>
      </x:c>
      <x:c r="I375" s="26" t="str">
        <x:v>Audio</x:v>
      </x:c>
    </x:row>
    <x:row r="376" ht="30" customHeight="1">
      <x:c r="A376" s="26" t="str">
        <x:v>H6-QA-001</x:v>
      </x:c>
      <x:c r="B376" s="26" t="str">
        <x:v>31_H6_and_Release_Readiness_Checklist.xlsx</x:v>
      </x:c>
      <x:c r="C376" s="26" t="str">
        <x:v>H6 / QA, defectos y regresión / Control especializado</x:v>
      </x:c>
      <x:c r="D376" s="26" t="str">
        <x:v>QA, defectos y regresión</x:v>
      </x:c>
      <x:c r="E376" s="26" t="str">
        <x:v>La suite automatizada completa se ejecuta en el commit candidato y termina verde.</x:v>
      </x:c>
      <x:c r="F376" s="26" t="str">
        <x:v>Ejecutar EditMode/PlayMode/otras suites definidas desde entorno limpio.</x:v>
      </x:c>
      <x:c r="G376" s="26" t="str">
        <x:v>H6 readiness control</x:v>
      </x:c>
      <x:c r="H376" s="26" t="str">
        <x:v>Activo</x:v>
      </x:c>
      <x:c r="I376" s="26" t="str">
        <x:v>QA</x:v>
      </x:c>
    </x:row>
    <x:row r="377" ht="30" customHeight="1">
      <x:c r="A377" s="26" t="str">
        <x:v>H6-QA-002</x:v>
      </x:c>
      <x:c r="B377" s="26" t="str">
        <x:v>31_H6_and_Release_Readiness_Checklist.xlsx</x:v>
      </x:c>
      <x:c r="C377" s="26" t="str">
        <x:v>H6 / QA, defectos y regresión / Control especializado</x:v>
      </x:c>
      <x:c r="D377" s="26" t="str">
        <x:v>QA, defectos y regresión</x:v>
      </x:c>
      <x:c r="E377" s="26" t="str">
        <x:v>No se acepta como PASS ningún test flaky, omitido sin justificación o ejecutado sobre SHA distinto.</x:v>
      </x:c>
      <x:c r="F377" s="26" t="str">
        <x:v>Revisar resultados, retries y metadata.</x:v>
      </x:c>
      <x:c r="G377" s="26" t="str">
        <x:v>H6 readiness control</x:v>
      </x:c>
      <x:c r="H377" s="26" t="str">
        <x:v>Activo</x:v>
      </x:c>
      <x:c r="I377" s="26" t="str">
        <x:v>QA</x:v>
      </x:c>
    </x:row>
    <x:row r="378" ht="30" customHeight="1">
      <x:c r="A378" s="26" t="str">
        <x:v>H6-QA-003</x:v>
      </x:c>
      <x:c r="B378" s="26" t="str">
        <x:v>31_H6_and_Release_Readiness_Checklist.xlsx</x:v>
      </x:c>
      <x:c r="C378" s="26" t="str">
        <x:v>H6 / QA, defectos y regresión / Control especializado</x:v>
      </x:c>
      <x:c r="D378" s="26" t="str">
        <x:v>QA, defectos y regresión</x:v>
      </x:c>
      <x:c r="E378" s="26" t="str">
        <x:v>El Golden Path manual se completa sin herramientas de debug en build externa.</x:v>
      </x:c>
      <x:c r="F378" s="26" t="str">
        <x:v>Ejecutar guion oficial completo.</x:v>
      </x:c>
      <x:c r="G378" s="26" t="str">
        <x:v>H6 readiness control</x:v>
      </x:c>
      <x:c r="H378" s="26" t="str">
        <x:v>Activo</x:v>
      </x:c>
      <x:c r="I378" s="26" t="str">
        <x:v>QA</x:v>
      </x:c>
    </x:row>
    <x:row r="379" ht="30" customHeight="1">
      <x:c r="A379" s="26" t="str">
        <x:v>H6-QA-004</x:v>
      </x:c>
      <x:c r="B379" s="26" t="str">
        <x:v>31_H6_and_Release_Readiness_Checklist.xlsx</x:v>
      </x:c>
      <x:c r="C379" s="26" t="str">
        <x:v>H6 / QA, defectos y regresión / Control especializado</x:v>
      </x:c>
      <x:c r="D379" s="26" t="str">
        <x:v>QA, defectos y regresión</x:v>
      </x:c>
      <x:c r="E379" s="26" t="str">
        <x:v>La campaña persistente de siete días se completa con compras, ventas, guardados y cargas.</x:v>
      </x:c>
      <x:c r="F379" s="26" t="str">
        <x:v>Ejecutar sesión extensa y auditoría económica/inventario.</x:v>
      </x:c>
      <x:c r="G379" s="26" t="str">
        <x:v>H6 readiness control</x:v>
      </x:c>
      <x:c r="H379" s="26" t="str">
        <x:v>Activo</x:v>
      </x:c>
      <x:c r="I379" s="26" t="str">
        <x:v>QA</x:v>
      </x:c>
    </x:row>
    <x:row r="380" ht="30" customHeight="1">
      <x:c r="A380" s="26" t="str">
        <x:v>H6-QA-005</x:v>
      </x:c>
      <x:c r="B380" s="26" t="str">
        <x:v>31_H6_and_Release_Readiness_Checklist.xlsx</x:v>
      </x:c>
      <x:c r="C380" s="26" t="str">
        <x:v>H6 / QA, defectos y regresión / Control especializado</x:v>
      </x:c>
      <x:c r="D380" s="26" t="str">
        <x:v>QA, defectos y regresión</x:v>
      </x:c>
      <x:c r="E380" s="26" t="str">
        <x:v>Se prueban nueva instalación, tres slots, cierre manual/forzado y recuperación soportada.</x:v>
      </x:c>
      <x:c r="F380" s="26" t="str">
        <x:v>Ejecutar escenarios VS-TST correspondientes.</x:v>
      </x:c>
      <x:c r="G380" s="26" t="str">
        <x:v>H6 readiness control</x:v>
      </x:c>
      <x:c r="H380" s="26" t="str">
        <x:v>Activo</x:v>
      </x:c>
      <x:c r="I380" s="26" t="str">
        <x:v>QA</x:v>
      </x:c>
    </x:row>
    <x:row r="381" ht="30" customHeight="1">
      <x:c r="A381" s="26" t="str">
        <x:v>H6-QA-006</x:v>
      </x:c>
      <x:c r="B381" s="26" t="str">
        <x:v>31_H6_and_Release_Readiness_Checklist.xlsx</x:v>
      </x:c>
      <x:c r="C381" s="26" t="str">
        <x:v>H6 / QA, defectos y regresión / Control especializado</x:v>
      </x:c>
      <x:c r="D381" s="26" t="str">
        <x:v>QA, defectos y regresión</x:v>
      </x:c>
      <x:c r="E381" s="26" t="str">
        <x:v>El registro de defectos distingue severidad, prioridad, gate y campo Bloquea H6.</x:v>
      </x:c>
      <x:c r="F381" s="26" t="str">
        <x:v>Auditar defect register.</x:v>
      </x:c>
      <x:c r="G381" s="26" t="str">
        <x:v>H6 readiness control</x:v>
      </x:c>
      <x:c r="H381" s="26" t="str">
        <x:v>Activo</x:v>
      </x:c>
      <x:c r="I381" s="26" t="str">
        <x:v>QA</x:v>
      </x:c>
    </x:row>
    <x:row r="382" ht="30" customHeight="1">
      <x:c r="A382" s="26" t="str">
        <x:v>H6-QA-007</x:v>
      </x:c>
      <x:c r="B382" s="26" t="str">
        <x:v>31_H6_and_Release_Readiness_Checklist.xlsx</x:v>
      </x:c>
      <x:c r="C382" s="26" t="str">
        <x:v>H6 / QA, defectos y regresión / Control especializado</x:v>
      </x:c>
      <x:c r="D382" s="26" t="str">
        <x:v>QA, defectos y regresión</x:v>
      </x:c>
      <x:c r="E382" s="26" t="str">
        <x:v>Existen cero S0 y cero S1 abiertos en el universo del gate.</x:v>
      </x:c>
      <x:c r="F382" s="26" t="str">
        <x:v>Filtrar defectos por severidad y gate.</x:v>
      </x:c>
      <x:c r="G382" s="26" t="str">
        <x:v>H6 readiness control</x:v>
      </x:c>
      <x:c r="H382" s="26" t="str">
        <x:v>Activo</x:v>
      </x:c>
      <x:c r="I382" s="26" t="str">
        <x:v>QA</x:v>
      </x:c>
    </x:row>
    <x:row r="383" ht="30" customHeight="1">
      <x:c r="A383" s="26" t="str">
        <x:v>H6-QA-008</x:v>
      </x:c>
      <x:c r="B383" s="26" t="str">
        <x:v>31_H6_and_Release_Readiness_Checklist.xlsx</x:v>
      </x:c>
      <x:c r="C383" s="26" t="str">
        <x:v>H6 / QA, defectos y regresión / Control especializado</x:v>
      </x:c>
      <x:c r="D383" s="26" t="str">
        <x:v>QA, defectos y regresión</x:v>
      </x:c>
      <x:c r="E383" s="26" t="str">
        <x:v>Todo S2 abierto tiene resolución o excepción formal aprobada.</x:v>
      </x:c>
      <x:c r="F383" s="26" t="str">
        <x:v>Revisar S2 y Exception Register.</x:v>
      </x:c>
      <x:c r="G383" s="26" t="str">
        <x:v>H6 readiness control</x:v>
      </x:c>
      <x:c r="H383" s="26" t="str">
        <x:v>Activo</x:v>
      </x:c>
      <x:c r="I383" s="26" t="str">
        <x:v>QA</x:v>
      </x:c>
    </x:row>
    <x:row r="384" ht="30" customHeight="1">
      <x:c r="A384" s="26" t="str">
        <x:v>H6-QA-009</x:v>
      </x:c>
      <x:c r="B384" s="26" t="str">
        <x:v>31_H6_and_Release_Readiness_Checklist.xlsx</x:v>
      </x:c>
      <x:c r="C384" s="26" t="str">
        <x:v>H6 / QA, defectos y regresión / Control especializado</x:v>
      </x:c>
      <x:c r="D384" s="26" t="str">
        <x:v>QA, defectos y regresión</x:v>
      </x:c>
      <x:c r="E384" s="26" t="str">
        <x:v>Los S3/S4 aceptados no forman un problema sistémico ni contradicen la representatividad.</x:v>
      </x:c>
      <x:c r="F384" s="26" t="str">
        <x:v>Revisión agregada por área y frecuencia.</x:v>
      </x:c>
      <x:c r="G384" s="26" t="str">
        <x:v>H6 readiness control</x:v>
      </x:c>
      <x:c r="H384" s="26" t="str">
        <x:v>Activo</x:v>
      </x:c>
      <x:c r="I384" s="26" t="str">
        <x:v>QA</x:v>
      </x:c>
    </x:row>
    <x:row r="385" ht="30" customHeight="1">
      <x:c r="A385" s="26" t="str">
        <x:v>H6-QA-010</x:v>
      </x:c>
      <x:c r="B385" s="26" t="str">
        <x:v>31_H6_and_Release_Readiness_Checklist.xlsx</x:v>
      </x:c>
      <x:c r="C385" s="26" t="str">
        <x:v>H6 / QA, defectos y regresión / Control especializado</x:v>
      </x:c>
      <x:c r="D385" s="26" t="str">
        <x:v>QA, defectos y regresión</x:v>
      </x:c>
      <x:c r="E385" s="26" t="str">
        <x:v>Cada corrección de S0/S1/S2 incluye prueba de regresión vinculada.</x:v>
      </x:c>
      <x:c r="F385" s="26" t="str">
        <x:v>Cruzar defectos cerrados con Test ID/evidencia.</x:v>
      </x:c>
      <x:c r="G385" s="26" t="str">
        <x:v>H6 readiness control</x:v>
      </x:c>
      <x:c r="H385" s="26" t="str">
        <x:v>Activo</x:v>
      </x:c>
      <x:c r="I385" s="26" t="str">
        <x:v>QA</x:v>
      </x:c>
    </x:row>
    <x:row r="386" ht="30" customHeight="1">
      <x:c r="A386" s="26" t="str">
        <x:v>H6-QA-011</x:v>
      </x:c>
      <x:c r="B386" s="26" t="str">
        <x:v>31_H6_and_Release_Readiness_Checklist.xlsx</x:v>
      </x:c>
      <x:c r="C386" s="26" t="str">
        <x:v>H6 / QA, defectos y regresión / Control especializado</x:v>
      </x:c>
      <x:c r="D386" s="26" t="str">
        <x:v>QA, defectos y regresión</x:v>
      </x:c>
      <x:c r="E386" s="26" t="str">
        <x:v>Player.log se revisa completo y los errores recurrentes están cerrados o exceptuados.</x:v>
      </x:c>
      <x:c r="F386" s="26" t="str">
        <x:v>Analizar log de Golden Path, siete días y soak.</x:v>
      </x:c>
      <x:c r="G386" s="26" t="str">
        <x:v>H6 readiness control</x:v>
      </x:c>
      <x:c r="H386" s="26" t="str">
        <x:v>Activo</x:v>
      </x:c>
      <x:c r="I386" s="26" t="str">
        <x:v>QA</x:v>
      </x:c>
    </x:row>
    <x:row r="387" ht="30" customHeight="1">
      <x:c r="A387" s="26" t="str">
        <x:v>H6-QA-012</x:v>
      </x:c>
      <x:c r="B387" s="26" t="str">
        <x:v>31_H6_and_Release_Readiness_Checklist.xlsx</x:v>
      </x:c>
      <x:c r="C387" s="26" t="str">
        <x:v>H6 / QA, defectos y regresión / Control especializado</x:v>
      </x:c>
      <x:c r="D387" s="26" t="str">
        <x:v>QA, defectos y regresión</x:v>
      </x:c>
      <x:c r="E387" s="26" t="str">
        <x:v>Las ejecuciones registran build, SHA, hardware, idioma, resolución, fecha y ejecutor.</x:v>
      </x:c>
      <x:c r="F387" s="26" t="str">
        <x:v>Auditar test records.</x:v>
      </x:c>
      <x:c r="G387" s="26" t="str">
        <x:v>H6 readiness control</x:v>
      </x:c>
      <x:c r="H387" s="26" t="str">
        <x:v>Activo</x:v>
      </x:c>
      <x:c r="I387" s="26" t="str">
        <x:v>QA</x:v>
      </x:c>
    </x:row>
    <x:row r="388" ht="30" customHeight="1">
      <x:c r="A388" s="26" t="str">
        <x:v>H6-QA-013</x:v>
      </x:c>
      <x:c r="B388" s="26" t="str">
        <x:v>31_H6_and_Release_Readiness_Checklist.xlsx</x:v>
      </x:c>
      <x:c r="C388" s="26" t="str">
        <x:v>H6 / QA, defectos y regresión / Control especializado</x:v>
      </x:c>
      <x:c r="D388" s="26" t="str">
        <x:v>QA, defectos y regresión</x:v>
      </x:c>
      <x:c r="E388" s="26" t="str">
        <x:v>La regresión cubre tanto capacidades automatizadas históricas como integración representativa nueva.</x:v>
      </x:c>
      <x:c r="F388" s="26" t="str">
        <x:v>Comparar baseline test histórica con matriz actual.</x:v>
      </x:c>
      <x:c r="G388" s="26" t="str">
        <x:v>H6 readiness control</x:v>
      </x:c>
      <x:c r="H388" s="26" t="str">
        <x:v>Activo</x:v>
      </x:c>
      <x:c r="I388" s="26" t="str">
        <x:v>QA</x:v>
      </x:c>
    </x:row>
    <x:row r="389" ht="30" customHeight="1">
      <x:c r="A389" s="26" t="str">
        <x:v>H6-QA-014</x:v>
      </x:c>
      <x:c r="B389" s="26" t="str">
        <x:v>31_H6_and_Release_Readiness_Checklist.xlsx</x:v>
      </x:c>
      <x:c r="C389" s="26" t="str">
        <x:v>H6 / QA, defectos y regresión / Control especializado</x:v>
      </x:c>
      <x:c r="D389" s="26" t="str">
        <x:v>QA, defectos y regresión</x:v>
      </x:c>
      <x:c r="E389" s="26" t="str">
        <x:v>Los resultados de QA no mezclan casos, aserciones y controles sin etiquetar la unidad.</x:v>
      </x:c>
      <x:c r="F389" s="26" t="str">
        <x:v>Revisar dashboards e informes.</x:v>
      </x:c>
      <x:c r="G389" s="26" t="str">
        <x:v>H6 readiness control</x:v>
      </x:c>
      <x:c r="H389" s="26" t="str">
        <x:v>Activo</x:v>
      </x:c>
      <x:c r="I389" s="26" t="str">
        <x:v>QA</x:v>
      </x:c>
    </x:row>
    <x:row r="390" ht="30" customHeight="1">
      <x:c r="A390" s="26" t="str">
        <x:v>H6-QA-015</x:v>
      </x:c>
      <x:c r="B390" s="26" t="str">
        <x:v>31_H6_and_Release_Readiness_Checklist.xlsx</x:v>
      </x:c>
      <x:c r="C390" s="26" t="str">
        <x:v>H6 / QA, defectos y regresión / Control especializado</x:v>
      </x:c>
      <x:c r="D390" s="26" t="str">
        <x:v>QA, defectos y regresión</x:v>
      </x:c>
      <x:c r="E390" s="26" t="str">
        <x:v>Se ejecuta una sesión sin conexión y una sesión tras reinicio del sistema.</x:v>
      </x:c>
      <x:c r="F390" s="26" t="str">
        <x:v>Ejecutar candidata offline y tras reboot.</x:v>
      </x:c>
      <x:c r="G390" s="26" t="str">
        <x:v>H6 readiness control</x:v>
      </x:c>
      <x:c r="H390" s="26" t="str">
        <x:v>Activo</x:v>
      </x:c>
      <x:c r="I390" s="26" t="str">
        <x:v>QA</x:v>
      </x:c>
    </x:row>
    <x:row r="391" ht="30" customHeight="1">
      <x:c r="A391" s="26" t="str">
        <x:v>H6-QA-016</x:v>
      </x:c>
      <x:c r="B391" s="26" t="str">
        <x:v>31_H6_and_Release_Readiness_Checklist.xlsx</x:v>
      </x:c>
      <x:c r="C391" s="26" t="str">
        <x:v>H6 / QA, defectos y regresión / Control especializado</x:v>
      </x:c>
      <x:c r="D391" s="26" t="str">
        <x:v>QA, defectos y regresión</x:v>
      </x:c>
      <x:c r="E391" s="26" t="str">
        <x:v>La decisión final se basa en evidencia de la candidata inmutable, no en resultados de builds previas.</x:v>
      </x:c>
      <x:c r="F391" s="26" t="str">
        <x:v>Cruzar todos los registros con Build ID/SHA/checksum.</x:v>
      </x:c>
      <x:c r="G391" s="26" t="str">
        <x:v>H6 readiness control</x:v>
      </x:c>
      <x:c r="H391" s="26" t="str">
        <x:v>Activo</x:v>
      </x:c>
      <x:c r="I391" s="26" t="str">
        <x:v>QA</x:v>
      </x:c>
    </x:row>
    <x:row r="392" ht="30" customHeight="1">
      <x:c r="A392" s="26" t="str">
        <x:v>H6-SAV-001</x:v>
      </x:c>
      <x:c r="B392" s="26" t="str">
        <x:v>31_H6_and_Release_Readiness_Checklist.xlsx</x:v>
      </x:c>
      <x:c r="C392" s="26" t="str">
        <x:v>H6 / Persistencia y recuperación / Control especializado</x:v>
      </x:c>
      <x:c r="D392" s="26" t="str">
        <x:v>Persistencia y recuperación</x:v>
      </x:c>
      <x:c r="E392" s="26" t="str">
        <x:v>El conjunto persistente mínimo de H6 está explícitamente definido y coincide con la experiencia disponible.</x:v>
      </x:c>
      <x:c r="F392" s="26" t="str">
        <x:v>Comparar schema/modelo de datos con acciones del Golden Path.</x:v>
      </x:c>
      <x:c r="G392" s="26" t="str">
        <x:v>H6 readiness control</x:v>
      </x:c>
      <x:c r="H392" s="26" t="str">
        <x:v>Activo</x:v>
      </x:c>
      <x:c r="I392" s="26" t="str">
        <x:v>Engineering</x:v>
      </x:c>
    </x:row>
    <x:row r="393" ht="30" customHeight="1">
      <x:c r="A393" s="26" t="str">
        <x:v>H6-SAV-002</x:v>
      </x:c>
      <x:c r="B393" s="26" t="str">
        <x:v>31_H6_and_Release_Readiness_Checklist.xlsx</x:v>
      </x:c>
      <x:c r="C393" s="26" t="str">
        <x:v>H6 / Persistencia y recuperación / Control especializado</x:v>
      </x:c>
      <x:c r="D393" s="26" t="str">
        <x:v>Persistencia y recuperación</x:v>
      </x:c>
      <x:c r="E393" s="26" t="str">
        <x:v>Guardar y cargar conserva equivalencia de inventario, muebles, pedidos, precios, economía, día y preferencias correspondientes.</x:v>
      </x:c>
      <x:c r="F393" s="26" t="str">
        <x:v>Snapshot/diff antes y después de recarga.</x:v>
      </x:c>
      <x:c r="G393" s="26" t="str">
        <x:v>H6 readiness control</x:v>
      </x:c>
      <x:c r="H393" s="26" t="str">
        <x:v>Activo</x:v>
      </x:c>
      <x:c r="I393" s="26" t="str">
        <x:v>Engineering</x:v>
      </x:c>
    </x:row>
    <x:row r="394" ht="30" customHeight="1">
      <x:c r="A394" s="26" t="str">
        <x:v>H6-SAV-003</x:v>
      </x:c>
      <x:c r="B394" s="26" t="str">
        <x:v>31_H6_and_Release_Readiness_Checklist.xlsx</x:v>
      </x:c>
      <x:c r="C394" s="26" t="str">
        <x:v>H6 / Persistencia y recuperación / Control especializado</x:v>
      </x:c>
      <x:c r="D394" s="26" t="str">
        <x:v>Persistencia y recuperación</x:v>
      </x:c>
      <x:c r="E394" s="26" t="str">
        <x:v>La colocación dinámica incluida persiste posición, rotación, tipo e ID.</x:v>
      </x:c>
      <x:c r="F394" s="26" t="str">
        <x:v>Mover/retirar/colocar, guardar, reiniciar y cargar.</x:v>
      </x:c>
      <x:c r="G394" s="26" t="str">
        <x:v>H6 readiness control</x:v>
      </x:c>
      <x:c r="H394" s="26" t="str">
        <x:v>Activo</x:v>
      </x:c>
      <x:c r="I394" s="26" t="str">
        <x:v>Engineering</x:v>
      </x:c>
    </x:row>
    <x:row r="395" ht="30" customHeight="1">
      <x:c r="A395" s="26" t="str">
        <x:v>H6-SAV-004</x:v>
      </x:c>
      <x:c r="B395" s="26" t="str">
        <x:v>31_H6_and_Release_Readiness_Checklist.xlsx</x:v>
      </x:c>
      <x:c r="C395" s="26" t="str">
        <x:v>H6 / Persistencia y recuperación / Control especializado</x:v>
      </x:c>
      <x:c r="D395" s="26" t="str">
        <x:v>Persistencia y recuperación</x:v>
      </x:c>
      <x:c r="E395" s="26" t="str">
        <x:v>Cargar repetidamente no duplica entidades, pedidos, stock, clientes, movimientos o ingresos.</x:v>
      </x:c>
      <x:c r="F395" s="26" t="str">
        <x:v>Ciclo de cargas repetidas y auditoría de IDs/cantidades.</x:v>
      </x:c>
      <x:c r="G395" s="26" t="str">
        <x:v>H6 readiness control</x:v>
      </x:c>
      <x:c r="H395" s="26" t="str">
        <x:v>Activo</x:v>
      </x:c>
      <x:c r="I395" s="26" t="str">
        <x:v>Engineering</x:v>
      </x:c>
    </x:row>
    <x:row r="396" ht="30" customHeight="1">
      <x:c r="A396" s="26" t="str">
        <x:v>H6-SAV-005</x:v>
      </x:c>
      <x:c r="B396" s="26" t="str">
        <x:v>31_H6_and_Release_Readiness_Checklist.xlsx</x:v>
      </x:c>
      <x:c r="C396" s="26" t="str">
        <x:v>H6 / Persistencia y recuperación / Control especializado</x:v>
      </x:c>
      <x:c r="D396" s="26" t="str">
        <x:v>Persistencia y recuperación</x:v>
      </x:c>
      <x:c r="E396" s="26" t="str">
        <x:v>Los tres slots son independientes y las preferencias globales no contaminan datos de partida.</x:v>
      </x:c>
      <x:c r="F396" s="26" t="str">
        <x:v>Crear estados divergentes y alternar slots.</x:v>
      </x:c>
      <x:c r="G396" s="26" t="str">
        <x:v>H6 readiness control</x:v>
      </x:c>
      <x:c r="H396" s="26" t="str">
        <x:v>Activo</x:v>
      </x:c>
      <x:c r="I396" s="26" t="str">
        <x:v>Engineering</x:v>
      </x:c>
    </x:row>
    <x:row r="397" ht="30" customHeight="1">
      <x:c r="A397" s="26" t="str">
        <x:v>H6-SAV-006</x:v>
      </x:c>
      <x:c r="B397" s="26" t="str">
        <x:v>31_H6_and_Release_Readiness_Checklist.xlsx</x:v>
      </x:c>
      <x:c r="C397" s="26" t="str">
        <x:v>H6 / Persistencia y recuperación / Control especializado</x:v>
      </x:c>
      <x:c r="D397" s="26" t="str">
        <x:v>Persistencia y recuperación</x:v>
      </x:c>
      <x:c r="E397" s="26" t="str">
        <x:v>El versionado de save y la migración soportada están documentados y probados.</x:v>
      </x:c>
      <x:c r="F397" s="26" t="str">
        <x:v>Cargar fixtures de versiones admitidas.</x:v>
      </x:c>
      <x:c r="G397" s="26" t="str">
        <x:v>H6 readiness control</x:v>
      </x:c>
      <x:c r="H397" s="26" t="str">
        <x:v>Activo</x:v>
      </x:c>
      <x:c r="I397" s="26" t="str">
        <x:v>Engineering</x:v>
      </x:c>
    </x:row>
    <x:row r="398" ht="30" customHeight="1">
      <x:c r="A398" s="26" t="str">
        <x:v>H6-SAV-007</x:v>
      </x:c>
      <x:c r="B398" s="26" t="str">
        <x:v>31_H6_and_Release_Readiness_Checklist.xlsx</x:v>
      </x:c>
      <x:c r="C398" s="26" t="str">
        <x:v>H6 / Persistencia y recuperación / Control especializado</x:v>
      </x:c>
      <x:c r="D398" s="26" t="str">
        <x:v>Persistencia y recuperación</x:v>
      </x:c>
      <x:c r="E398" s="26" t="str">
        <x:v>Archivo ausente/corrupto se maneja sin sobrescribir evidencia y con recuperación aprobada.</x:v>
      </x:c>
      <x:c r="F398" s="26" t="str">
        <x:v>Fault injection y restore/backup.</x:v>
      </x:c>
      <x:c r="G398" s="26" t="str">
        <x:v>H6 readiness control</x:v>
      </x:c>
      <x:c r="H398" s="26" t="str">
        <x:v>Activo</x:v>
      </x:c>
      <x:c r="I398" s="26" t="str">
        <x:v>Engineering</x:v>
      </x:c>
    </x:row>
    <x:row r="399" ht="30" customHeight="1">
      <x:c r="A399" s="26" t="str">
        <x:v>H6-SAV-008</x:v>
      </x:c>
      <x:c r="B399" s="26" t="str">
        <x:v>31_H6_and_Release_Readiness_Checklist.xlsx</x:v>
      </x:c>
      <x:c r="C399" s="26" t="str">
        <x:v>H6 / Persistencia y recuperación / Control especializado</x:v>
      </x:c>
      <x:c r="D399" s="26" t="str">
        <x:v>Persistencia y recuperación</x:v>
      </x:c>
      <x:c r="E399" s="26" t="str">
        <x:v>El guardado/autosave no produce estado parcial si falla la escritura.</x:v>
      </x:c>
      <x:c r="F399" s="26" t="str">
        <x:v>Interrumpir escritura en entorno controlado.</x:v>
      </x:c>
      <x:c r="G399" s="26" t="str">
        <x:v>H6 readiness control</x:v>
      </x:c>
      <x:c r="H399" s="26" t="str">
        <x:v>Activo</x:v>
      </x:c>
      <x:c r="I399" s="26" t="str">
        <x:v>Engineering</x:v>
      </x:c>
    </x:row>
    <x:row r="400" ht="30" customHeight="1">
      <x:c r="A400" s="26" t="str">
        <x:v>H6-SAV-009</x:v>
      </x:c>
      <x:c r="B400" s="26" t="str">
        <x:v>31_H6_and_Release_Readiness_Checklist.xlsx</x:v>
      </x:c>
      <x:c r="C400" s="26" t="str">
        <x:v>H6 / Persistencia y recuperación / Control especializado</x:v>
      </x:c>
      <x:c r="D400" s="26" t="str">
        <x:v>Persistencia y recuperación</x:v>
      </x:c>
      <x:c r="E400" s="26" t="str">
        <x:v>Los tiempos de guardar, salir y cargar cumplen el presupuesto o tienen desviación formal.</x:v>
      </x:c>
      <x:c r="F400" s="26" t="str">
        <x:v>Medir en hardware registrado y dataset representativo.</x:v>
      </x:c>
      <x:c r="G400" s="26" t="str">
        <x:v>H6 readiness control</x:v>
      </x:c>
      <x:c r="H400" s="26" t="str">
        <x:v>Activo</x:v>
      </x:c>
      <x:c r="I400" s="26" t="str">
        <x:v>Engineering</x:v>
      </x:c>
    </x:row>
    <x:row r="401" ht="30" customHeight="1">
      <x:c r="A401" s="26" t="str">
        <x:v>H6-SAV-010</x:v>
      </x:c>
      <x:c r="B401" s="26" t="str">
        <x:v>31_H6_and_Release_Readiness_Checklist.xlsx</x:v>
      </x:c>
      <x:c r="C401" s="26" t="str">
        <x:v>H6 / Persistencia y recuperación / Control especializado</x:v>
      </x:c>
      <x:c r="D401" s="26" t="str">
        <x:v>Persistencia y recuperación</x:v>
      </x:c>
      <x:c r="E401" s="26" t="str">
        <x:v>Los logs de persistencia no exponen datos sensibles ni rutas innecesarias en build candidata.</x:v>
      </x:c>
      <x:c r="F401" s="26" t="str">
        <x:v>Revisar Player.log y artefactos.</x:v>
      </x:c>
      <x:c r="G401" s="26" t="str">
        <x:v>H6 readiness control</x:v>
      </x:c>
      <x:c r="H401" s="26" t="str">
        <x:v>Activo</x:v>
      </x:c>
      <x:c r="I401" s="26" t="str">
        <x:v>Engineering</x:v>
      </x:c>
    </x:row>
    <x:row r="402" ht="30" customHeight="1">
      <x:c r="A402" s="26" t="str">
        <x:v>H6-PER-001</x:v>
      </x:c>
      <x:c r="B402" s="26" t="str">
        <x:v>31_H6_and_Release_Readiness_Checklist.xlsx</x:v>
      </x:c>
      <x:c r="C402" s="26" t="str">
        <x:v>H6 / Rendimiento y estabilidad / Control especializado</x:v>
      </x:c>
      <x:c r="D402" s="26" t="str">
        <x:v>Rendimiento y estabilidad</x:v>
      </x:c>
      <x:c r="E402" s="26" t="str">
        <x:v>La candidata se perfila en hardware registrado, build Player y escena representativa equipada.</x:v>
      </x:c>
      <x:c r="F402" s="26" t="str">
        <x:v>Ejecutar protocolo de 30 con metadata completa.</x:v>
      </x:c>
      <x:c r="G402" s="26" t="str">
        <x:v>H6 readiness control</x:v>
      </x:c>
      <x:c r="H402" s="26" t="str">
        <x:v>Activo</x:v>
      </x:c>
      <x:c r="I402" s="26" t="str">
        <x:v>Engineering/QA</x:v>
      </x:c>
    </x:row>
    <x:row r="403" ht="30" customHeight="1">
      <x:c r="A403" s="26" t="str">
        <x:v>H6-PER-002</x:v>
      </x:c>
      <x:c r="B403" s="26" t="str">
        <x:v>31_H6_and_Release_Readiness_Checklist.xlsx</x:v>
      </x:c>
      <x:c r="C403" s="26" t="str">
        <x:v>H6 / Rendimiento y estabilidad / Control especializado</x:v>
      </x:c>
      <x:c r="D403" s="26" t="str">
        <x:v>Rendimiento y estabilidad</x:v>
      </x:c>
      <x:c r="E403" s="26" t="str">
        <x:v>El objetivo provisional de 60 FPS a 1080p se mide con media, percentiles/frame time y desviaciones.</x:v>
      </x:c>
      <x:c r="F403" s="26" t="str">
        <x:v>Capturar métricas en escenarios definidos.</x:v>
      </x:c>
      <x:c r="G403" s="26" t="str">
        <x:v>H6 readiness control</x:v>
      </x:c>
      <x:c r="H403" s="26" t="str">
        <x:v>Activo</x:v>
      </x:c>
      <x:c r="I403" s="26" t="str">
        <x:v>Engineering/QA</x:v>
      </x:c>
    </x:row>
    <x:row r="404" ht="30" customHeight="1">
      <x:c r="A404" s="26" t="str">
        <x:v>H6-PER-003</x:v>
      </x:c>
      <x:c r="B404" s="26" t="str">
        <x:v>31_H6_and_Release_Readiness_Checklist.xlsx</x:v>
      </x:c>
      <x:c r="C404" s="26" t="str">
        <x:v>H6 / Rendimiento y estabilidad / Control especializado</x:v>
      </x:c>
      <x:c r="D404" s="26" t="str">
        <x:v>Rendimiento y estabilidad</x:v>
      </x:c>
      <x:c r="E404" s="26" t="str">
        <x:v>La prueba con hasta 8 clientes no presenta stutter persistente ni bloqueo de simulación.</x:v>
      </x:c>
      <x:c r="F404" s="26" t="str">
        <x:v>Ejecutar escenario de saturación.</x:v>
      </x:c>
      <x:c r="G404" s="26" t="str">
        <x:v>H6 readiness control</x:v>
      </x:c>
      <x:c r="H404" s="26" t="str">
        <x:v>Activo</x:v>
      </x:c>
      <x:c r="I404" s="26" t="str">
        <x:v>Engineering/QA</x:v>
      </x:c>
    </x:row>
    <x:row r="405" ht="30" customHeight="1">
      <x:c r="A405" s="26" t="str">
        <x:v>H6-PER-004</x:v>
      </x:c>
      <x:c r="B405" s="26" t="str">
        <x:v>31_H6_and_Release_Readiness_Checklist.xlsx</x:v>
      </x:c>
      <x:c r="C405" s="26" t="str">
        <x:v>H6 / Rendimiento y estabilidad / Control especializado</x:v>
      </x:c>
      <x:c r="D405" s="26" t="str">
        <x:v>Rendimiento y estabilidad</x:v>
      </x:c>
      <x:c r="E405" s="26" t="str">
        <x:v>El tiempo de carga del slice se mide frente al objetivo histórico &lt;5 s.</x:v>
      </x:c>
      <x:c r="F405" s="26" t="str">
        <x:v>Medir cold/warm load con protocolo repetible.</x:v>
      </x:c>
      <x:c r="G405" s="26" t="str">
        <x:v>H6 readiness control</x:v>
      </x:c>
      <x:c r="H405" s="26" t="str">
        <x:v>Activo</x:v>
      </x:c>
      <x:c r="I405" s="26" t="str">
        <x:v>Engineering/QA</x:v>
      </x:c>
    </x:row>
    <x:row r="406" ht="30" customHeight="1">
      <x:c r="A406" s="26" t="str">
        <x:v>H6-PER-005</x:v>
      </x:c>
      <x:c r="B406" s="26" t="str">
        <x:v>31_H6_and_Release_Readiness_Checklist.xlsx</x:v>
      </x:c>
      <x:c r="C406" s="26" t="str">
        <x:v>H6 / Rendimiento y estabilidad / Control especializado</x:v>
      </x:c>
      <x:c r="D406" s="26" t="str">
        <x:v>Rendimiento y estabilidad</x:v>
      </x:c>
      <x:c r="E406" s="26" t="str">
        <x:v>Guardar/cerrar se mide frente al objetivo histórico &lt;2 s o se documenta desviación.</x:v>
      </x:c>
      <x:c r="F406" s="26" t="str">
        <x:v>Medir múltiples datasets.</x:v>
      </x:c>
      <x:c r="G406" s="26" t="str">
        <x:v>H6 readiness control</x:v>
      </x:c>
      <x:c r="H406" s="26" t="str">
        <x:v>Activo</x:v>
      </x:c>
      <x:c r="I406" s="26" t="str">
        <x:v>Engineering/QA</x:v>
      </x:c>
    </x:row>
    <x:row r="407" ht="30" customHeight="1">
      <x:c r="A407" s="26" t="str">
        <x:v>H6-PER-006</x:v>
      </x:c>
      <x:c r="B407" s="26" t="str">
        <x:v>31_H6_and_Release_Readiness_Checklist.xlsx</x:v>
      </x:c>
      <x:c r="C407" s="26" t="str">
        <x:v>H6 / Rendimiento y estabilidad / Control especializado</x:v>
      </x:c>
      <x:c r="D407" s="26" t="str">
        <x:v>Rendimiento y estabilidad</x:v>
      </x:c>
      <x:c r="E407" s="26" t="str">
        <x:v>Las allocations por frame en estado estable son próximas a cero o están justificadas.</x:v>
      </x:c>
      <x:c r="F407" s="26" t="str">
        <x:v>Profiler Memory/GC durante simulación estable.</x:v>
      </x:c>
      <x:c r="G407" s="26" t="str">
        <x:v>H6 readiness control</x:v>
      </x:c>
      <x:c r="H407" s="26" t="str">
        <x:v>Activo</x:v>
      </x:c>
      <x:c r="I407" s="26" t="str">
        <x:v>Engineering/QA</x:v>
      </x:c>
    </x:row>
    <x:row r="408" ht="30" customHeight="1">
      <x:c r="A408" s="26" t="str">
        <x:v>H6-PER-007</x:v>
      </x:c>
      <x:c r="B408" s="26" t="str">
        <x:v>31_H6_and_Release_Readiness_Checklist.xlsx</x:v>
      </x:c>
      <x:c r="C408" s="26" t="str">
        <x:v>H6 / Rendimiento y estabilidad / Control especializado</x:v>
      </x:c>
      <x:c r="D408" s="26" t="str">
        <x:v>Rendimiento y estabilidad</x:v>
      </x:c>
      <x:c r="E408" s="26" t="str">
        <x:v>No existe crecimiento de memoria grave durante Golden Path, siete días y soak.</x:v>
      </x:c>
      <x:c r="F408" s="26" t="str">
        <x:v>Registrar memoria inicial, picos y final.</x:v>
      </x:c>
      <x:c r="G408" s="26" t="str">
        <x:v>H6 readiness control</x:v>
      </x:c>
      <x:c r="H408" s="26" t="str">
        <x:v>Activo</x:v>
      </x:c>
      <x:c r="I408" s="26" t="str">
        <x:v>Engineering/QA</x:v>
      </x:c>
    </x:row>
    <x:row r="409" ht="30" customHeight="1">
      <x:c r="A409" s="26" t="str">
        <x:v>H6-PER-008</x:v>
      </x:c>
      <x:c r="B409" s="26" t="str">
        <x:v>31_H6_and_Release_Readiness_Checklist.xlsx</x:v>
      </x:c>
      <x:c r="C409" s="26" t="str">
        <x:v>H6 / Rendimiento y estabilidad / Control especializado</x:v>
      </x:c>
      <x:c r="D409" s="26" t="str">
        <x:v>Rendimiento y estabilidad</x:v>
      </x:c>
      <x:c r="E409" s="26" t="str">
        <x:v>No hay degradación acumulativa de FPS, navegación, audio o UI durante sesión extensa.</x:v>
      </x:c>
      <x:c r="F409" s="26" t="str">
        <x:v>Comparar ventanas temporales de soak.</x:v>
      </x:c>
      <x:c r="G409" s="26" t="str">
        <x:v>H6 readiness control</x:v>
      </x:c>
      <x:c r="H409" s="26" t="str">
        <x:v>Activo</x:v>
      </x:c>
      <x:c r="I409" s="26" t="str">
        <x:v>Engineering/QA</x:v>
      </x:c>
    </x:row>
    <x:row r="410" ht="30" customHeight="1">
      <x:c r="A410" s="26" t="str">
        <x:v>H6-PER-009</x:v>
      </x:c>
      <x:c r="B410" s="26" t="str">
        <x:v>31_H6_and_Release_Readiness_Checklist.xlsx</x:v>
      </x:c>
      <x:c r="C410" s="26" t="str">
        <x:v>H6 / Rendimiento y estabilidad / Control especializado</x:v>
      </x:c>
      <x:c r="D410" s="26" t="str">
        <x:v>Rendimiento y estabilidad</x:v>
      </x:c>
      <x:c r="E410" s="26" t="str">
        <x:v>Sombras, SSAO, luces, transparencias y VFX se revisan en el coste real de StoreInitial.</x:v>
      </x:c>
      <x:c r="F410" s="26" t="str">
        <x:v>GPU profiling y pruebas de toggles diagnósticos.</x:v>
      </x:c>
      <x:c r="G410" s="26" t="str">
        <x:v>H6 readiness control</x:v>
      </x:c>
      <x:c r="H410" s="26" t="str">
        <x:v>Activo</x:v>
      </x:c>
      <x:c r="I410" s="26" t="str">
        <x:v>Engineering/QA</x:v>
      </x:c>
    </x:row>
    <x:row r="411" ht="30" customHeight="1">
      <x:c r="A411" s="26" t="str">
        <x:v>H6-PER-010</x:v>
      </x:c>
      <x:c r="B411" s="26" t="str">
        <x:v>31_H6_and_Release_Readiness_Checklist.xlsx</x:v>
      </x:c>
      <x:c r="C411" s="26" t="str">
        <x:v>H6 / Rendimiento y estabilidad / Control especializado</x:v>
      </x:c>
      <x:c r="D411" s="26" t="str">
        <x:v>Rendimiento y estabilidad</x:v>
      </x:c>
      <x:c r="E411" s="26" t="str">
        <x:v>La UI y localización extrema no generan spikes frecuentes de layout o GC.</x:v>
      </x:c>
      <x:c r="F411" s="26" t="str">
        <x:v>Profiler con ES/EN y escalas 80/150 %.</x:v>
      </x:c>
      <x:c r="G411" s="26" t="str">
        <x:v>H6 readiness control</x:v>
      </x:c>
      <x:c r="H411" s="26" t="str">
        <x:v>Activo</x:v>
      </x:c>
      <x:c r="I411" s="26" t="str">
        <x:v>Engineering/QA</x:v>
      </x:c>
    </x:row>
    <x:row r="412" ht="30" customHeight="1">
      <x:c r="A412" s="26" t="str">
        <x:v>H6-PER-011</x:v>
      </x:c>
      <x:c r="B412" s="26" t="str">
        <x:v>31_H6_and_Release_Readiness_Checklist.xlsx</x:v>
      </x:c>
      <x:c r="C412" s="26" t="str">
        <x:v>H6 / Rendimiento y estabilidad / Control especializado</x:v>
      </x:c>
      <x:c r="D412" s="26" t="str">
        <x:v>Rendimiento y estabilidad</x:v>
      </x:c>
      <x:c r="E412" s="26" t="str">
        <x:v>Audio y número de voces permanecen dentro del presupuesto durante saturación.</x:v>
      </x:c>
      <x:c r="F412" s="26" t="str">
        <x:v>Audio Profiler con eventos simultáneos.</x:v>
      </x:c>
      <x:c r="G412" s="26" t="str">
        <x:v>H6 readiness control</x:v>
      </x:c>
      <x:c r="H412" s="26" t="str">
        <x:v>Activo</x:v>
      </x:c>
      <x:c r="I412" s="26" t="str">
        <x:v>Engineering/QA</x:v>
      </x:c>
    </x:row>
    <x:row r="413" ht="30" customHeight="1">
      <x:c r="A413" s="26" t="str">
        <x:v>H6-PER-012</x:v>
      </x:c>
      <x:c r="B413" s="26" t="str">
        <x:v>31_H6_and_Release_Readiness_Checklist.xlsx</x:v>
      </x:c>
      <x:c r="C413" s="26" t="str">
        <x:v>H6 / Rendimiento y estabilidad / Control especializado</x:v>
      </x:c>
      <x:c r="D413" s="26" t="str">
        <x:v>Rendimiento y estabilidad</x:v>
      </x:c>
      <x:c r="E413" s="26" t="str">
        <x:v>La resolución, modo de ventana, VSync y frame cap tienen decisión de producto cerrada para H6.</x:v>
      </x:c>
      <x:c r="F413" s="26" t="str">
        <x:v>Revisar settings y validarlos en build.</x:v>
      </x:c>
      <x:c r="G413" s="26" t="str">
        <x:v>H6 readiness control</x:v>
      </x:c>
      <x:c r="H413" s="26" t="str">
        <x:v>Activo</x:v>
      </x:c>
      <x:c r="I413" s="26" t="str">
        <x:v>Engineering/QA</x:v>
      </x:c>
    </x:row>
    <x:row r="414" ht="30" customHeight="1">
      <x:c r="A414" s="26" t="str">
        <x:v>H6-PER-013</x:v>
      </x:c>
      <x:c r="B414" s="26" t="str">
        <x:v>31_H6_and_Release_Readiness_Checklist.xlsx</x:v>
      </x:c>
      <x:c r="C414" s="26" t="str">
        <x:v>H6 / Rendimiento y estabilidad / Control especializado</x:v>
      </x:c>
      <x:c r="D414" s="26" t="str">
        <x:v>Rendimiento y estabilidad</x:v>
      </x:c>
      <x:c r="E414" s="26" t="str">
        <x:v>Los presets o settings disponibles no permiten una configuración rota o no probada.</x:v>
      </x:c>
      <x:c r="F414" s="26" t="str">
        <x:v>Ejecutar combinaciones soportadas.</x:v>
      </x:c>
      <x:c r="G414" s="26" t="str">
        <x:v>H6 readiness control</x:v>
      </x:c>
      <x:c r="H414" s="26" t="str">
        <x:v>Activo</x:v>
      </x:c>
      <x:c r="I414" s="26" t="str">
        <x:v>Engineering/QA</x:v>
      </x:c>
    </x:row>
    <x:row r="415" ht="30" customHeight="1">
      <x:c r="A415" s="26" t="str">
        <x:v>H6-PER-014</x:v>
      </x:c>
      <x:c r="B415" s="26" t="str">
        <x:v>31_H6_and_Release_Readiness_Checklist.xlsx</x:v>
      </x:c>
      <x:c r="C415" s="26" t="str">
        <x:v>H6 / Rendimiento y estabilidad / Control especializado</x:v>
      </x:c>
      <x:c r="D415" s="26" t="str">
        <x:v>Rendimiento y estabilidad</x:v>
      </x:c>
      <x:c r="E415" s="26" t="str">
        <x:v>Toda desviación del presupuesto incluye escenario, hardware, impacto y plan de mitigación.</x:v>
      </x:c>
      <x:c r="F415" s="26" t="str">
        <x:v>Revisar Performance Exceptions.</x:v>
      </x:c>
      <x:c r="G415" s="26" t="str">
        <x:v>H6 readiness control</x:v>
      </x:c>
      <x:c r="H415" s="26" t="str">
        <x:v>Activo</x:v>
      </x:c>
      <x:c r="I415" s="26" t="str">
        <x:v>Engineering/QA</x:v>
      </x:c>
    </x:row>
    <x:row r="416" ht="30" customHeight="1">
      <x:c r="A416" s="26" t="str">
        <x:v>H6-BLD-001</x:v>
      </x:c>
      <x:c r="B416" s="26" t="str">
        <x:v>31_H6_and_Release_Readiness_Checklist.xlsx</x:v>
      </x:c>
      <x:c r="C416" s="26" t="str">
        <x:v>H6 / Build, versión e integridad / Control especializado</x:v>
      </x:c>
      <x:c r="D416" s="26" t="str">
        <x:v>Build, versión e integridad</x:v>
      </x:c>
      <x:c r="E416" s="26" t="str">
        <x:v>Existe un Build Profile H6 controlado con Bootstrap, MainMenu y StoreInitial, sin TestLab ni escenas no autorizadas.</x:v>
      </x:c>
      <x:c r="F416" s="26" t="str">
        <x:v>Inspeccionar profile y manifest de escenas.</x:v>
      </x:c>
      <x:c r="G416" s="26" t="str">
        <x:v>H6 readiness control</x:v>
      </x:c>
      <x:c r="H416" s="26" t="str">
        <x:v>Activo</x:v>
      </x:c>
      <x:c r="I416" s="26" t="str">
        <x:v>Build/Engineering</x:v>
      </x:c>
    </x:row>
    <x:row r="417" ht="30" customHeight="1">
      <x:c r="A417" s="26" t="str">
        <x:v>H6-BLD-002</x:v>
      </x:c>
      <x:c r="B417" s="26" t="str">
        <x:v>31_H6_and_Release_Readiness_Checklist.xlsx</x:v>
      </x:c>
      <x:c r="C417" s="26" t="str">
        <x:v>H6 / Build, versión e integridad / Control especializado</x:v>
      </x:c>
      <x:c r="D417" s="26" t="str">
        <x:v>Build, versión e integridad</x:v>
      </x:c>
      <x:c r="E417" s="26" t="str">
        <x:v>La candidata Windows x64 se genera desde clean checkout con Unity y paquetes registrados.</x:v>
      </x:c>
      <x:c r="F417" s="26" t="str">
        <x:v>Ejecutar preflight y build reproducible.</x:v>
      </x:c>
      <x:c r="G417" s="26" t="str">
        <x:v>H6 readiness control</x:v>
      </x:c>
      <x:c r="H417" s="26" t="str">
        <x:v>Activo</x:v>
      </x:c>
      <x:c r="I417" s="26" t="str">
        <x:v>Build/Engineering</x:v>
      </x:c>
    </x:row>
    <x:row r="418" ht="30" customHeight="1">
      <x:c r="A418" s="26" t="str">
        <x:v>H6-BLD-003</x:v>
      </x:c>
      <x:c r="B418" s="26" t="str">
        <x:v>31_H6_and_Release_Readiness_Checklist.xlsx</x:v>
      </x:c>
      <x:c r="C418" s="26" t="str">
        <x:v>H6 / Build, versión e integridad / Control especializado</x:v>
      </x:c>
      <x:c r="D418" s="26" t="str">
        <x:v>Build, versión e integridad</x:v>
      </x:c>
      <x:c r="E418" s="26" t="str">
        <x:v>La versión de aplicación, Build ID, Sprint/Gate, SHA y fecha son coherentes en ejecutable y registros.</x:v>
      </x:c>
      <x:c r="F418" s="26" t="str">
        <x:v>Comparar About/log/build record/package.</x:v>
      </x:c>
      <x:c r="G418" s="26" t="str">
        <x:v>H6 readiness control</x:v>
      </x:c>
      <x:c r="H418" s="26" t="str">
        <x:v>Activo</x:v>
      </x:c>
      <x:c r="I418" s="26" t="str">
        <x:v>Build/Engineering</x:v>
      </x:c>
    </x:row>
    <x:row r="419" ht="30" customHeight="1">
      <x:c r="A419" s="26" t="str">
        <x:v>H6-BLD-004</x:v>
      </x:c>
      <x:c r="B419" s="26" t="str">
        <x:v>31_H6_and_Release_Readiness_Checklist.xlsx</x:v>
      </x:c>
      <x:c r="C419" s="26" t="str">
        <x:v>H6 / Build, versión e integridad / Control especializado</x:v>
      </x:c>
      <x:c r="D419" s="26" t="str">
        <x:v>Build, versión e integridad</x:v>
      </x:c>
      <x:c r="E419" s="26" t="str">
        <x:v>El artefacto H6 es inmutable y dispone de checksum SHA-256 verificado.</x:v>
      </x:c>
      <x:c r="F419" s="26" t="str">
        <x:v>Calcular checksum, copiar y recalcular.</x:v>
      </x:c>
      <x:c r="G419" s="26" t="str">
        <x:v>H6 readiness control</x:v>
      </x:c>
      <x:c r="H419" s="26" t="str">
        <x:v>Activo</x:v>
      </x:c>
      <x:c r="I419" s="26" t="str">
        <x:v>Build/Engineering</x:v>
      </x:c>
    </x:row>
    <x:row r="420" ht="30" customHeight="1">
      <x:c r="A420" s="26" t="str">
        <x:v>H6-BLD-005</x:v>
      </x:c>
      <x:c r="B420" s="26" t="str">
        <x:v>31_H6_and_Release_Readiness_Checklist.xlsx</x:v>
      </x:c>
      <x:c r="C420" s="26" t="str">
        <x:v>H6 / Build, versión e integridad / Control especializado</x:v>
      </x:c>
      <x:c r="D420" s="26" t="str">
        <x:v>Build, versión e integridad</x:v>
      </x:c>
      <x:c r="E420" s="26" t="str">
        <x:v>El ejecutable arranca fuera del Editor en una máquina/usuario distinto del entorno de desarrollo cuando sea posible.</x:v>
      </x:c>
      <x:c r="F420" s="26" t="str">
        <x:v>Prueba externa controlada.</x:v>
      </x:c>
      <x:c r="G420" s="26" t="str">
        <x:v>H6 readiness control</x:v>
      </x:c>
      <x:c r="H420" s="26" t="str">
        <x:v>Activo</x:v>
      </x:c>
      <x:c r="I420" s="26" t="str">
        <x:v>Build/Engineering</x:v>
      </x:c>
    </x:row>
    <x:row r="421" ht="30" customHeight="1">
      <x:c r="A421" s="26" t="str">
        <x:v>H6-BLD-006</x:v>
      </x:c>
      <x:c r="B421" s="26" t="str">
        <x:v>31_H6_and_Release_Readiness_Checklist.xlsx</x:v>
      </x:c>
      <x:c r="C421" s="26" t="str">
        <x:v>H6 / Build, versión e integridad / Control especializado</x:v>
      </x:c>
      <x:c r="D421" s="26" t="str">
        <x:v>Build, versión e integridad</x:v>
      </x:c>
      <x:c r="E421" s="26" t="str">
        <x:v>La build no depende de rutas locales, Library previa, assets ignorados o archivos no versionados.</x:v>
      </x:c>
      <x:c r="F421" s="26" t="str">
        <x:v>Clean checkout/build y comparación de manifest.</x:v>
      </x:c>
      <x:c r="G421" s="26" t="str">
        <x:v>H6 readiness control</x:v>
      </x:c>
      <x:c r="H421" s="26" t="str">
        <x:v>Activo</x:v>
      </x:c>
      <x:c r="I421" s="26" t="str">
        <x:v>Build/Engineering</x:v>
      </x:c>
    </x:row>
    <x:row r="422" ht="30" customHeight="1">
      <x:c r="A422" s="26" t="str">
        <x:v>H6-BLD-007</x:v>
      </x:c>
      <x:c r="B422" s="26" t="str">
        <x:v>31_H6_and_Release_Readiness_Checklist.xlsx</x:v>
      </x:c>
      <x:c r="C422" s="26" t="str">
        <x:v>H6 / Build, versión e integridad / Control especializado</x:v>
      </x:c>
      <x:c r="D422" s="26" t="str">
        <x:v>Build, versión e integridad</x:v>
      </x:c>
      <x:c r="E422" s="26" t="str">
        <x:v>El paquete contiene únicamente archivos necesarios y no incluye secretos, drafts, previews o herramientas internas.</x:v>
      </x:c>
      <x:c r="F422" s="26" t="str">
        <x:v>Inventario de paquete y secrets scan.</x:v>
      </x:c>
      <x:c r="G422" s="26" t="str">
        <x:v>H6 readiness control</x:v>
      </x:c>
      <x:c r="H422" s="26" t="str">
        <x:v>Activo</x:v>
      </x:c>
      <x:c r="I422" s="26" t="str">
        <x:v>Build/Engineering</x:v>
      </x:c>
    </x:row>
    <x:row r="423" ht="30" customHeight="1">
      <x:c r="A423" s="26" t="str">
        <x:v>H6-BLD-008</x:v>
      </x:c>
      <x:c r="B423" s="26" t="str">
        <x:v>31_H6_and_Release_Readiness_Checklist.xlsx</x:v>
      </x:c>
      <x:c r="C423" s="26" t="str">
        <x:v>H6 / Build, versión e integridad / Control especializado</x:v>
      </x:c>
      <x:c r="D423" s="26" t="str">
        <x:v>Build, versión e integridad</x:v>
      </x:c>
      <x:c r="E423" s="26" t="str">
        <x:v>Development symbols/logging se incluyen o excluyen según perfil definido y quedan documentados.</x:v>
      </x:c>
      <x:c r="F423" s="26" t="str">
        <x:v>Revisar build settings y contenido del paquete.</x:v>
      </x:c>
      <x:c r="G423" s="26" t="str">
        <x:v>H6 readiness control</x:v>
      </x:c>
      <x:c r="H423" s="26" t="str">
        <x:v>Activo</x:v>
      </x:c>
      <x:c r="I423" s="26" t="str">
        <x:v>Build/Engineering</x:v>
      </x:c>
    </x:row>
    <x:row r="424" ht="30" customHeight="1">
      <x:c r="A424" s="26" t="str">
        <x:v>H6-BLD-009</x:v>
      </x:c>
      <x:c r="B424" s="26" t="str">
        <x:v>31_H6_and_Release_Readiness_Checklist.xlsx</x:v>
      </x:c>
      <x:c r="C424" s="26" t="str">
        <x:v>H6 / Build, versión e integridad / Control especializado</x:v>
      </x:c>
      <x:c r="D424" s="26" t="str">
        <x:v>Build, versión e integridad</x:v>
      </x:c>
      <x:c r="E424" s="26" t="str">
        <x:v>Player.log de arranque, Golden Path y cierre no contiene errores bloqueantes o recurrentes.</x:v>
      </x:c>
      <x:c r="F424" s="26" t="str">
        <x:v>Revisar logs de varias ejecuciones.</x:v>
      </x:c>
      <x:c r="G424" s="26" t="str">
        <x:v>H6 readiness control</x:v>
      </x:c>
      <x:c r="H424" s="26" t="str">
        <x:v>Activo</x:v>
      </x:c>
      <x:c r="I424" s="26" t="str">
        <x:v>Build/Engineering</x:v>
      </x:c>
    </x:row>
    <x:row r="425" ht="30" customHeight="1">
      <x:c r="A425" s="26" t="str">
        <x:v>H6-BLD-010</x:v>
      </x:c>
      <x:c r="B425" s="26" t="str">
        <x:v>31_H6_and_Release_Readiness_Checklist.xlsx</x:v>
      </x:c>
      <x:c r="C425" s="26" t="str">
        <x:v>H6 / Build, versión e integridad / Control especializado</x:v>
      </x:c>
      <x:c r="D425" s="26" t="str">
        <x:v>Build, versión e integridad</x:v>
      </x:c>
      <x:c r="E425" s="26" t="str">
        <x:v>La build funciona offline y sin credenciales de servicios de desarrollo.</x:v>
      </x:c>
      <x:c r="F425" s="26" t="str">
        <x:v>Ejecutar aislada de red y limpiar variables/credenciales.</x:v>
      </x:c>
      <x:c r="G425" s="26" t="str">
        <x:v>H6 readiness control</x:v>
      </x:c>
      <x:c r="H425" s="26" t="str">
        <x:v>Activo</x:v>
      </x:c>
      <x:c r="I425" s="26" t="str">
        <x:v>Build/Engineering</x:v>
      </x:c>
    </x:row>
    <x:row r="426" ht="30" customHeight="1">
      <x:c r="A426" s="26" t="str">
        <x:v>H6-BLD-011</x:v>
      </x:c>
      <x:c r="B426" s="26" t="str">
        <x:v>31_H6_and_Release_Readiness_Checklist.xlsx</x:v>
      </x:c>
      <x:c r="C426" s="26" t="str">
        <x:v>H6 / Build, versión e integridad / Control especializado</x:v>
      </x:c>
      <x:c r="D426" s="26" t="str">
        <x:v>Build, versión e integridad</x:v>
      </x:c>
      <x:c r="E426" s="26" t="str">
        <x:v>Las dependencias y packages coinciden con manifest/lock versionados.</x:v>
      </x:c>
      <x:c r="F426" s="26" t="str">
        <x:v>Comparar Packages y environment manifest.</x:v>
      </x:c>
      <x:c r="G426" s="26" t="str">
        <x:v>H6 readiness control</x:v>
      </x:c>
      <x:c r="H426" s="26" t="str">
        <x:v>Activo</x:v>
      </x:c>
      <x:c r="I426" s="26" t="str">
        <x:v>Build/Engineering</x:v>
      </x:c>
    </x:row>
    <x:row r="427" ht="30" customHeight="1">
      <x:c r="A427" s="26" t="str">
        <x:v>H6-BLD-012</x:v>
      </x:c>
      <x:c r="B427" s="26" t="str">
        <x:v>31_H6_and_Release_Readiness_Checklist.xlsx</x:v>
      </x:c>
      <x:c r="C427" s="26" t="str">
        <x:v>H6 / Build, versión e integridad / Control especializado</x:v>
      </x:c>
      <x:c r="D427" s="26" t="str">
        <x:v>Build, versión e integridad</x:v>
      </x:c>
      <x:c r="E427" s="26" t="str">
        <x:v>No se actualizan Unity, URP o paquetes después del freeze sin reabrir validación.</x:v>
      </x:c>
      <x:c r="F427" s="26" t="str">
        <x:v>Comparar versiones con freeze record.</x:v>
      </x:c>
      <x:c r="G427" s="26" t="str">
        <x:v>H6 readiness control</x:v>
      </x:c>
      <x:c r="H427" s="26" t="str">
        <x:v>Activo</x:v>
      </x:c>
      <x:c r="I427" s="26" t="str">
        <x:v>Build/Engineering</x:v>
      </x:c>
    </x:row>
    <x:row r="428" ht="30" customHeight="1">
      <x:c r="A428" s="26" t="str">
        <x:v>H6-BLD-013</x:v>
      </x:c>
      <x:c r="B428" s="26" t="str">
        <x:v>31_H6_and_Release_Readiness_Checklist.xlsx</x:v>
      </x:c>
      <x:c r="C428" s="26" t="str">
        <x:v>H6 / Build, versión e integridad / Control especializado</x:v>
      </x:c>
      <x:c r="D428" s="26" t="str">
        <x:v>Build, versión e integridad</x:v>
      </x:c>
      <x:c r="E428" s="26" t="str">
        <x:v>El build pipeline conserva logs completos y código de salida fiable.</x:v>
      </x:c>
      <x:c r="F428" s="26" t="str">
        <x:v>Ejecutar éxito y fallo controlado.</x:v>
      </x:c>
      <x:c r="G428" s="26" t="str">
        <x:v>H6 readiness control</x:v>
      </x:c>
      <x:c r="H428" s="26" t="str">
        <x:v>Activo</x:v>
      </x:c>
      <x:c r="I428" s="26" t="str">
        <x:v>Build/Engineering</x:v>
      </x:c>
    </x:row>
    <x:row r="429" ht="30" customHeight="1">
      <x:c r="A429" s="26" t="str">
        <x:v>H6-BLD-014</x:v>
      </x:c>
      <x:c r="B429" s="26" t="str">
        <x:v>31_H6_and_Release_Readiness_Checklist.xlsx</x:v>
      </x:c>
      <x:c r="C429" s="26" t="str">
        <x:v>H6 / Build, versión e integridad / Control especializado</x:v>
      </x:c>
      <x:c r="D429" s="26" t="str">
        <x:v>Build, versión e integridad</x:v>
      </x:c>
      <x:c r="E429" s="26" t="str">
        <x:v>El nombre del paquete y carpetas no realiza claims comerciales no autorizados.</x:v>
      </x:c>
      <x:c r="F429" s="26" t="str">
        <x:v>Revisar naming contra legal/marketing.</x:v>
      </x:c>
      <x:c r="G429" s="26" t="str">
        <x:v>H6 readiness control</x:v>
      </x:c>
      <x:c r="H429" s="26" t="str">
        <x:v>Activo</x:v>
      </x:c>
      <x:c r="I429" s="26" t="str">
        <x:v>Build/Engineering</x:v>
      </x:c>
    </x:row>
    <x:row r="430" ht="30" customHeight="1">
      <x:c r="A430" s="26" t="str">
        <x:v>H6-BLD-015</x:v>
      </x:c>
      <x:c r="B430" s="26" t="str">
        <x:v>31_H6_and_Release_Readiness_Checklist.xlsx</x:v>
      </x:c>
      <x:c r="C430" s="26" t="str">
        <x:v>H6 / Build, versión e integridad / Control especializado</x:v>
      </x:c>
      <x:c r="D430" s="26" t="str">
        <x:v>Build, versión e integridad</x:v>
      </x:c>
      <x:c r="E430" s="26" t="str">
        <x:v>La candidata se archiva con manifest de archivos, tamaños y hashes.</x:v>
      </x:c>
      <x:c r="F430" s="26" t="str">
        <x:v>Generar manifest recursivo y validar.</x:v>
      </x:c>
      <x:c r="G430" s="26" t="str">
        <x:v>H6 readiness control</x:v>
      </x:c>
      <x:c r="H430" s="26" t="str">
        <x:v>Activo</x:v>
      </x:c>
      <x:c r="I430" s="26" t="str">
        <x:v>Build/Engineering</x:v>
      </x:c>
    </x:row>
    <x:row r="431" ht="30" customHeight="1">
      <x:c r="A431" s="26" t="str">
        <x:v>H6-BLD-016</x:v>
      </x:c>
      <x:c r="B431" s="26" t="str">
        <x:v>31_H6_and_Release_Readiness_Checklist.xlsx</x:v>
      </x:c>
      <x:c r="C431" s="26" t="str">
        <x:v>H6 / Build, versión e integridad / Control especializado</x:v>
      </x:c>
      <x:c r="D431" s="26" t="str">
        <x:v>Build, versión e integridad</x:v>
      </x:c>
      <x:c r="E431" s="26" t="str">
        <x:v>Existe una build QA separada de la candidata H6 cuando contiene TestLab, cheats o diagnósticos.</x:v>
      </x:c>
      <x:c r="F431" s="26" t="str">
        <x:v>Comparar profiles y artefactos.</x:v>
      </x:c>
      <x:c r="G431" s="26" t="str">
        <x:v>H6 readiness control</x:v>
      </x:c>
      <x:c r="H431" s="26" t="str">
        <x:v>Activo</x:v>
      </x:c>
      <x:c r="I431" s="26" t="str">
        <x:v>Build/Engineering</x:v>
      </x:c>
    </x:row>
    <x:row r="432" ht="30" customHeight="1">
      <x:c r="A432" s="26" t="str">
        <x:v>H6-SEC-001</x:v>
      </x:c>
      <x:c r="B432" s="26" t="str">
        <x:v>31_H6_and_Release_Readiness_Checklist.xlsx</x:v>
      </x:c>
      <x:c r="C432" s="26" t="str">
        <x:v>H6 / Seguridad y privacidad / Control especializado</x:v>
      </x:c>
      <x:c r="D432" s="26" t="str">
        <x:v>Seguridad y privacidad</x:v>
      </x:c>
      <x:c r="E432" s="26" t="str">
        <x:v>No existen secretos, tokens, credenciales o claves privadas en repositorio, build, logs o evidencias.</x:v>
      </x:c>
      <x:c r="F432" s="26" t="str">
        <x:v>Secrets scan y revisión manual de artefactos.</x:v>
      </x:c>
      <x:c r="G432" s="26" t="str">
        <x:v>H6 readiness control</x:v>
      </x:c>
      <x:c r="H432" s="26" t="str">
        <x:v>Activo</x:v>
      </x:c>
      <x:c r="I432" s="26" t="str">
        <x:v>Security/Engineering</x:v>
      </x:c>
    </x:row>
    <x:row r="433" ht="30" customHeight="1">
      <x:c r="A433" s="26" t="str">
        <x:v>H6-SEC-002</x:v>
      </x:c>
      <x:c r="B433" s="26" t="str">
        <x:v>31_H6_and_Release_Readiness_Checklist.xlsx</x:v>
      </x:c>
      <x:c r="C433" s="26" t="str">
        <x:v>H6 / Seguridad y privacidad / Control especializado</x:v>
      </x:c>
      <x:c r="D433" s="26" t="str">
        <x:v>Seguridad y privacidad</x:v>
      </x:c>
      <x:c r="E433" s="26" t="str">
        <x:v>Las dependencias y packages tienen revisión de vulnerabilidades y procedencia suficiente para H6.</x:v>
      </x:c>
      <x:c r="F433" s="26" t="str">
        <x:v>Inventario y consulta de advisories/lockfile.</x:v>
      </x:c>
      <x:c r="G433" s="26" t="str">
        <x:v>H6 readiness control</x:v>
      </x:c>
      <x:c r="H433" s="26" t="str">
        <x:v>Activo</x:v>
      </x:c>
      <x:c r="I433" s="26" t="str">
        <x:v>Security/Engineering</x:v>
      </x:c>
    </x:row>
    <x:row r="434" ht="30" customHeight="1">
      <x:c r="A434" s="26" t="str">
        <x:v>H6-SEC-003</x:v>
      </x:c>
      <x:c r="B434" s="26" t="str">
        <x:v>31_H6_and_Release_Readiness_Checklist.xlsx</x:v>
      </x:c>
      <x:c r="C434" s="26" t="str">
        <x:v>H6 / Seguridad y privacidad / Control especializado</x:v>
      </x:c>
      <x:c r="D434" s="26" t="str">
        <x:v>Seguridad y privacidad</x:v>
      </x:c>
      <x:c r="E434" s="26" t="str">
        <x:v>Los logs de build y runtime no exponen datos personales, rutas sensibles o credenciales.</x:v>
      </x:c>
      <x:c r="F434" s="26" t="str">
        <x:v>Revisión de logs y fault cases.</x:v>
      </x:c>
      <x:c r="G434" s="26" t="str">
        <x:v>H6 readiness control</x:v>
      </x:c>
      <x:c r="H434" s="26" t="str">
        <x:v>Activo</x:v>
      </x:c>
      <x:c r="I434" s="26" t="str">
        <x:v>Security/Engineering</x:v>
      </x:c>
    </x:row>
    <x:row r="435" ht="30" customHeight="1">
      <x:c r="A435" s="26" t="str">
        <x:v>H6-SEC-004</x:v>
      </x:c>
      <x:c r="B435" s="26" t="str">
        <x:v>31_H6_and_Release_Readiness_Checklist.xlsx</x:v>
      </x:c>
      <x:c r="C435" s="26" t="str">
        <x:v>H6 / Seguridad y privacidad / Control especializado</x:v>
      </x:c>
      <x:c r="D435" s="26" t="str">
        <x:v>Seguridad y privacidad</x:v>
      </x:c>
      <x:c r="E435" s="26" t="str">
        <x:v>La telemetría remota no es necesaria para completar H6 y permanece desactivada/no presente salvo aprobación.</x:v>
      </x:c>
      <x:c r="F435" s="26" t="str">
        <x:v>Inspeccionar tráfico, configuración y código.</x:v>
      </x:c>
      <x:c r="G435" s="26" t="str">
        <x:v>H6 readiness control</x:v>
      </x:c>
      <x:c r="H435" s="26" t="str">
        <x:v>Activo</x:v>
      </x:c>
      <x:c r="I435" s="26" t="str">
        <x:v>Security/Engineering</x:v>
      </x:c>
    </x:row>
    <x:row r="436" ht="30" customHeight="1">
      <x:c r="A436" s="26" t="str">
        <x:v>H6-SEC-005</x:v>
      </x:c>
      <x:c r="B436" s="26" t="str">
        <x:v>31_H6_and_Release_Readiness_Checklist.xlsx</x:v>
      </x:c>
      <x:c r="C436" s="26" t="str">
        <x:v>H6 / Seguridad y privacidad / Control especializado</x:v>
      </x:c>
      <x:c r="D436" s="26" t="str">
        <x:v>Seguridad y privacidad</x:v>
      </x:c>
      <x:c r="E436" s="26" t="str">
        <x:v>Existe inventario de datos tratados por la build y su base/propósito está documentado.</x:v>
      </x:c>
      <x:c r="F436" s="26" t="str">
        <x:v>Cruzar funciones con 26.</x:v>
      </x:c>
      <x:c r="G436" s="26" t="str">
        <x:v>H6 readiness control</x:v>
      </x:c>
      <x:c r="H436" s="26" t="str">
        <x:v>Activo</x:v>
      </x:c>
      <x:c r="I436" s="26" t="str">
        <x:v>Security/Engineering</x:v>
      </x:c>
    </x:row>
    <x:row r="437" ht="30" customHeight="1">
      <x:c r="A437" s="26" t="str">
        <x:v>H6-SEC-006</x:v>
      </x:c>
      <x:c r="B437" s="26" t="str">
        <x:v>31_H6_and_Release_Readiness_Checklist.xlsx</x:v>
      </x:c>
      <x:c r="C437" s="26" t="str">
        <x:v>H6 / Seguridad y privacidad / Control especializado</x:v>
      </x:c>
      <x:c r="D437" s="26" t="str">
        <x:v>Seguridad y privacidad</x:v>
      </x:c>
      <x:c r="E437" s="26" t="str">
        <x:v>Los archivos de save/configuración se almacenan en ubicación controlada y con permisos adecuados.</x:v>
      </x:c>
      <x:c r="F437" s="26" t="str">
        <x:v>Revisar rutas y comportamiento multiusuario.</x:v>
      </x:c>
      <x:c r="G437" s="26" t="str">
        <x:v>H6 readiness control</x:v>
      </x:c>
      <x:c r="H437" s="26" t="str">
        <x:v>Activo</x:v>
      </x:c>
      <x:c r="I437" s="26" t="str">
        <x:v>Security/Engineering</x:v>
      </x:c>
    </x:row>
    <x:row r="438" ht="30" customHeight="1">
      <x:c r="A438" s="26" t="str">
        <x:v>H6-SEC-007</x:v>
      </x:c>
      <x:c r="B438" s="26" t="str">
        <x:v>31_H6_and_Release_Readiness_Checklist.xlsx</x:v>
      </x:c>
      <x:c r="C438" s="26" t="str">
        <x:v>H6 / Seguridad y privacidad / Control especializado</x:v>
      </x:c>
      <x:c r="D438" s="26" t="str">
        <x:v>Seguridad y privacidad</x:v>
      </x:c>
      <x:c r="E438" s="26" t="str">
        <x:v>La build no ejecuta descargas, actualizaciones o conexiones ocultas no declaradas.</x:v>
      </x:c>
      <x:c r="F438" s="26" t="str">
        <x:v>Prueba offline y captura de red.</x:v>
      </x:c>
      <x:c r="G438" s="26" t="str">
        <x:v>H6 readiness control</x:v>
      </x:c>
      <x:c r="H438" s="26" t="str">
        <x:v>Activo</x:v>
      </x:c>
      <x:c r="I438" s="26" t="str">
        <x:v>Security/Engineering</x:v>
      </x:c>
    </x:row>
    <x:row r="439" ht="30" customHeight="1">
      <x:c r="A439" s="26" t="str">
        <x:v>H6-SEC-008</x:v>
      </x:c>
      <x:c r="B439" s="26" t="str">
        <x:v>31_H6_and_Release_Readiness_Checklist.xlsx</x:v>
      </x:c>
      <x:c r="C439" s="26" t="str">
        <x:v>H6 / Seguridad y privacidad / Control especializado</x:v>
      </x:c>
      <x:c r="D439" s="26" t="str">
        <x:v>Seguridad y privacidad</x:v>
      </x:c>
      <x:c r="E439" s="26" t="str">
        <x:v>Backups de repositorio y documentación existen y se ha verificado una restauración básica.</x:v>
      </x:c>
      <x:c r="F439" s="26" t="str">
        <x:v>Restore drill de muestra.</x:v>
      </x:c>
      <x:c r="G439" s="26" t="str">
        <x:v>H6 readiness control</x:v>
      </x:c>
      <x:c r="H439" s="26" t="str">
        <x:v>Activo</x:v>
      </x:c>
      <x:c r="I439" s="26" t="str">
        <x:v>Security/Engineering</x:v>
      </x:c>
    </x:row>
    <x:row r="440" ht="30" customHeight="1">
      <x:c r="A440" s="26" t="str">
        <x:v>H6-SEC-009</x:v>
      </x:c>
      <x:c r="B440" s="26" t="str">
        <x:v>31_H6_and_Release_Readiness_Checklist.xlsx</x:v>
      </x:c>
      <x:c r="C440" s="26" t="str">
        <x:v>H6 / Seguridad y privacidad / Control especializado</x:v>
      </x:c>
      <x:c r="D440" s="26" t="str">
        <x:v>Seguridad y privacidad</x:v>
      </x:c>
      <x:c r="E440" s="26" t="str">
        <x:v>Los accesos a Steam, firma, repositorio y almacenamiento de builds aplican mínimo privilegio.</x:v>
      </x:c>
      <x:c r="F440" s="26" t="str">
        <x:v>Revisión de cuentas y permisos.</x:v>
      </x:c>
      <x:c r="G440" s="26" t="str">
        <x:v>H6 readiness control</x:v>
      </x:c>
      <x:c r="H440" s="26" t="str">
        <x:v>Activo</x:v>
      </x:c>
      <x:c r="I440" s="26" t="str">
        <x:v>Security/Engineering</x:v>
      </x:c>
    </x:row>
    <x:row r="441" ht="30" customHeight="1">
      <x:c r="A441" s="26" t="str">
        <x:v>H6-SEC-010</x:v>
      </x:c>
      <x:c r="B441" s="26" t="str">
        <x:v>31_H6_and_Release_Readiness_Checklist.xlsx</x:v>
      </x:c>
      <x:c r="C441" s="26" t="str">
        <x:v>H6 / Seguridad y privacidad / Control especializado</x:v>
      </x:c>
      <x:c r="D441" s="26" t="str">
        <x:v>Seguridad y privacidad</x:v>
      </x:c>
      <x:c r="E441" s="26" t="str">
        <x:v>Existe contacto y procedimiento para responder a un incidente que afecte la candidata.</x:v>
      </x:c>
      <x:c r="F441" s="26" t="str">
        <x:v>Revisar 27 y realizar tabletop breve.</x:v>
      </x:c>
      <x:c r="G441" s="26" t="str">
        <x:v>H6 readiness control</x:v>
      </x:c>
      <x:c r="H441" s="26" t="str">
        <x:v>Activo</x:v>
      </x:c>
      <x:c r="I441" s="26" t="str">
        <x:v>Security/Engineering</x:v>
      </x:c>
    </x:row>
    <x:row r="442" ht="30" customHeight="1">
      <x:c r="A442" s="26" t="str">
        <x:v>H6-SEC-011</x:v>
      </x:c>
      <x:c r="B442" s="26" t="str">
        <x:v>31_H6_and_Release_Readiness_Checklist.xlsx</x:v>
      </x:c>
      <x:c r="C442" s="26" t="str">
        <x:v>H6 / Seguridad y privacidad / Control especializado</x:v>
      </x:c>
      <x:c r="D442" s="26" t="str">
        <x:v>Seguridad y privacidad</x:v>
      </x:c>
      <x:c r="E442" s="26" t="str">
        <x:v>Los artefactos de crash/debug que puedan contener información sensible se manejan con reglas definidas.</x:v>
      </x:c>
      <x:c r="F442" s="26" t="str">
        <x:v>Revisar flujo de recopilación y almacenamiento.</x:v>
      </x:c>
      <x:c r="G442" s="26" t="str">
        <x:v>H6 readiness control</x:v>
      </x:c>
      <x:c r="H442" s="26" t="str">
        <x:v>Activo</x:v>
      </x:c>
      <x:c r="I442" s="26" t="str">
        <x:v>Security/Engineering</x:v>
      </x:c>
    </x:row>
    <x:row r="443" ht="30" customHeight="1">
      <x:c r="A443" s="26" t="str">
        <x:v>H6-SEC-012</x:v>
      </x:c>
      <x:c r="B443" s="26" t="str">
        <x:v>31_H6_and_Release_Readiness_Checklist.xlsx</x:v>
      </x:c>
      <x:c r="C443" s="26" t="str">
        <x:v>H6 / Seguridad y privacidad / Control especializado</x:v>
      </x:c>
      <x:c r="D443" s="26" t="str">
        <x:v>Seguridad y privacidad</x:v>
      </x:c>
      <x:c r="E443" s="26" t="str">
        <x:v>Cualquier proveedor/herramienta que reciba datos del proyecto está registrado o fuera del flujo H6.</x:v>
      </x:c>
      <x:c r="F443" s="26" t="str">
        <x:v>Auditar herramientas y exportaciones.</x:v>
      </x:c>
      <x:c r="G443" s="26" t="str">
        <x:v>H6 readiness control</x:v>
      </x:c>
      <x:c r="H443" s="26" t="str">
        <x:v>Activo</x:v>
      </x:c>
      <x:c r="I443" s="26" t="str">
        <x:v>Security/Engineering</x:v>
      </x:c>
    </x:row>
    <x:row r="444" ht="30" customHeight="1">
      <x:c r="A444" s="26" t="str">
        <x:v>H6-LEG-001</x:v>
      </x:c>
      <x:c r="B444" s="26" t="str">
        <x:v>31_H6_and_Release_Readiness_Checklist.xlsx</x:v>
      </x:c>
      <x:c r="C444" s="26" t="str">
        <x:v>H6 / Legal, créditos y licencias / Control especializado</x:v>
      </x:c>
      <x:c r="D444" s="26" t="str">
        <x:v>Legal, créditos y licencias</x:v>
      </x:c>
      <x:c r="E444" s="26" t="str">
        <x:v>El nombre de trabajo y el nombre del estudio no se presentan como clearance comercial definitivo sin validación.</x:v>
      </x:c>
      <x:c r="F444" s="26" t="str">
        <x:v>Revisar splash, package, documentos y capturas.</x:v>
      </x:c>
      <x:c r="G444" s="26" t="str">
        <x:v>H6 readiness control</x:v>
      </x:c>
      <x:c r="H444" s="26" t="str">
        <x:v>Activo</x:v>
      </x:c>
      <x:c r="I444" s="26" t="str">
        <x:v>Legal/Production</x:v>
      </x:c>
    </x:row>
    <x:row r="445" ht="30" customHeight="1">
      <x:c r="A445" s="26" t="str">
        <x:v>H6-LEG-002</x:v>
      </x:c>
      <x:c r="B445" s="26" t="str">
        <x:v>31_H6_and_Release_Readiness_Checklist.xlsx</x:v>
      </x:c>
      <x:c r="C445" s="26" t="str">
        <x:v>H6 / Legal, créditos y licencias / Control especializado</x:v>
      </x:c>
      <x:c r="D445" s="26" t="str">
        <x:v>Legal, créditos y licencias</x:v>
      </x:c>
      <x:c r="E445" s="26" t="str">
        <x:v>Cada asset de terceros incluido tiene licencia, fuente, versión, uso permitido y evidencia archivada.</x:v>
      </x:c>
      <x:c r="F445" s="26" t="str">
        <x:v>Cruzar build manifest con 23.</x:v>
      </x:c>
      <x:c r="G445" s="26" t="str">
        <x:v>H6 readiness control</x:v>
      </x:c>
      <x:c r="H445" s="26" t="str">
        <x:v>Activo</x:v>
      </x:c>
      <x:c r="I445" s="26" t="str">
        <x:v>Legal/Production</x:v>
      </x:c>
    </x:row>
    <x:row r="446" ht="30" customHeight="1">
      <x:c r="A446" s="26" t="str">
        <x:v>H6-LEG-003</x:v>
      </x:c>
      <x:c r="B446" s="26" t="str">
        <x:v>31_H6_and_Release_Readiness_Checklist.xlsx</x:v>
      </x:c>
      <x:c r="C446" s="26" t="str">
        <x:v>H6 / Legal, créditos y licencias / Control especializado</x:v>
      </x:c>
      <x:c r="D446" s="26" t="str">
        <x:v>Legal, créditos y licencias</x:v>
      </x:c>
      <x:c r="E446" s="26" t="str">
        <x:v>Las fuentes tipográficas incluidas tienen licencia compatible con distribución.</x:v>
      </x:c>
      <x:c r="F446" s="26" t="str">
        <x:v>Revisar archivo, licencia y embedding.</x:v>
      </x:c>
      <x:c r="G446" s="26" t="str">
        <x:v>H6 readiness control</x:v>
      </x:c>
      <x:c r="H446" s="26" t="str">
        <x:v>Activo</x:v>
      </x:c>
      <x:c r="I446" s="26" t="str">
        <x:v>Legal/Production</x:v>
      </x:c>
    </x:row>
    <x:row r="447" ht="30" customHeight="1">
      <x:c r="A447" s="26" t="str">
        <x:v>H6-LEG-004</x:v>
      </x:c>
      <x:c r="B447" s="26" t="str">
        <x:v>31_H6_and_Release_Readiness_Checklist.xlsx</x:v>
      </x:c>
      <x:c r="C447" s="26" t="str">
        <x:v>H6 / Legal, créditos y licencias / Control especializado</x:v>
      </x:c>
      <x:c r="D447" s="26" t="str">
        <x:v>Legal, créditos y licencias</x:v>
      </x:c>
      <x:c r="E447" s="26" t="str">
        <x:v>Todo audio incluido tiene autorización de distribución y créditos definidos.</x:v>
      </x:c>
      <x:c r="F447" s="26" t="str">
        <x:v>Cruzar audio manifest con 23.</x:v>
      </x:c>
      <x:c r="G447" s="26" t="str">
        <x:v>H6 readiness control</x:v>
      </x:c>
      <x:c r="H447" s="26" t="str">
        <x:v>Activo</x:v>
      </x:c>
      <x:c r="I447" s="26" t="str">
        <x:v>Legal/Production</x:v>
      </x:c>
    </x:row>
    <x:row r="448" ht="30" customHeight="1">
      <x:c r="A448" s="26" t="str">
        <x:v>H6-LEG-005</x:v>
      </x:c>
      <x:c r="B448" s="26" t="str">
        <x:v>31_H6_and_Release_Readiness_Checklist.xlsx</x:v>
      </x:c>
      <x:c r="C448" s="26" t="str">
        <x:v>H6 / Legal, créditos y licencias / Control especializado</x:v>
      </x:c>
      <x:c r="D448" s="26" t="str">
        <x:v>Legal, créditos y licencias</x:v>
      </x:c>
      <x:c r="E448" s="26" t="str">
        <x:v>No existen marcas, logos, nombres de producto o diseños protegidos no autorizados.</x:v>
      </x:c>
      <x:c r="F448" s="26" t="str">
        <x:v>Revisión legal de arte, UI y texto.</x:v>
      </x:c>
      <x:c r="G448" s="26" t="str">
        <x:v>H6 readiness control</x:v>
      </x:c>
      <x:c r="H448" s="26" t="str">
        <x:v>Activo</x:v>
      </x:c>
      <x:c r="I448" s="26" t="str">
        <x:v>Legal/Production</x:v>
      </x:c>
    </x:row>
    <x:row r="449" ht="30" customHeight="1">
      <x:c r="A449" s="26" t="str">
        <x:v>H6-LEG-006</x:v>
      </x:c>
      <x:c r="B449" s="26" t="str">
        <x:v>31_H6_and_Release_Readiness_Checklist.xlsx</x:v>
      </x:c>
      <x:c r="C449" s="26" t="str">
        <x:v>H6 / Legal, créditos y licencias / Control especializado</x:v>
      </x:c>
      <x:c r="D449" s="26" t="str">
        <x:v>Legal, créditos y licencias</x:v>
      </x:c>
      <x:c r="E449" s="26" t="str">
        <x:v>Los notices y atribuciones obligatorios están preparados para el paquete correspondiente.</x:v>
      </x:c>
      <x:c r="F449" s="26" t="str">
        <x:v>Generar notices desde registro de licencias.</x:v>
      </x:c>
      <x:c r="G449" s="26" t="str">
        <x:v>H6 readiness control</x:v>
      </x:c>
      <x:c r="H449" s="26" t="str">
        <x:v>Activo</x:v>
      </x:c>
      <x:c r="I449" s="26" t="str">
        <x:v>Legal/Production</x:v>
      </x:c>
    </x:row>
    <x:row r="450" ht="30" customHeight="1">
      <x:c r="A450" s="26" t="str">
        <x:v>H6-LEG-007</x:v>
      </x:c>
      <x:c r="B450" s="26" t="str">
        <x:v>31_H6_and_Release_Readiness_Checklist.xlsx</x:v>
      </x:c>
      <x:c r="C450" s="26" t="str">
        <x:v>H6 / Legal, créditos y licencias / Control especializado</x:v>
      </x:c>
      <x:c r="D450" s="26" t="str">
        <x:v>Legal, créditos y licencias</x:v>
      </x:c>
      <x:c r="E450" s="26" t="str">
        <x:v>Los créditos del equipo/proveedores respetan nombres autorizados y privacidad.</x:v>
      </x:c>
      <x:c r="F450" s="26" t="str">
        <x:v>Revisión de consentimientos y créditos.</x:v>
      </x:c>
      <x:c r="G450" s="26" t="str">
        <x:v>H6 readiness control</x:v>
      </x:c>
      <x:c r="H450" s="26" t="str">
        <x:v>Activo</x:v>
      </x:c>
      <x:c r="I450" s="26" t="str">
        <x:v>Legal/Production</x:v>
      </x:c>
    </x:row>
    <x:row r="451" ht="30" customHeight="1">
      <x:c r="A451" s="26" t="str">
        <x:v>H6-LEG-008</x:v>
      </x:c>
      <x:c r="B451" s="26" t="str">
        <x:v>31_H6_and_Release_Readiness_Checklist.xlsx</x:v>
      </x:c>
      <x:c r="C451" s="26" t="str">
        <x:v>H6 / Legal, créditos y licencias / Control especializado</x:v>
      </x:c>
      <x:c r="D451" s="26" t="str">
        <x:v>Legal, créditos y licencias</x:v>
      </x:c>
      <x:c r="E451" s="26" t="str">
        <x:v>Las licencias de Unity/packages/SDK usados se han revisado para el uso previsto.</x:v>
      </x:c>
      <x:c r="F451" s="26" t="str">
        <x:v>Inventario de packages y términos aplicables.</x:v>
      </x:c>
      <x:c r="G451" s="26" t="str">
        <x:v>H6 readiness control</x:v>
      </x:c>
      <x:c r="H451" s="26" t="str">
        <x:v>Activo</x:v>
      </x:c>
      <x:c r="I451" s="26" t="str">
        <x:v>Legal/Production</x:v>
      </x:c>
    </x:row>
    <x:row r="452" ht="30" customHeight="1">
      <x:c r="A452" s="26" t="str">
        <x:v>H6-LEG-009</x:v>
      </x:c>
      <x:c r="B452" s="26" t="str">
        <x:v>31_H6_and_Release_Readiness_Checklist.xlsx</x:v>
      </x:c>
      <x:c r="C452" s="26" t="str">
        <x:v>H6 / Legal, créditos y licencias / Control especializado</x:v>
      </x:c>
      <x:c r="D452" s="26" t="str">
        <x:v>Legal, créditos y licencias</x:v>
      </x:c>
      <x:c r="E452" s="26" t="str">
        <x:v>Las capturas, vídeos y evidencias H6 no incorporan contenido externo no autorizado.</x:v>
      </x:c>
      <x:c r="F452" s="26" t="str">
        <x:v>Revisión previa a compartir.</x:v>
      </x:c>
      <x:c r="G452" s="26" t="str">
        <x:v>H6 readiness control</x:v>
      </x:c>
      <x:c r="H452" s="26" t="str">
        <x:v>Activo</x:v>
      </x:c>
      <x:c r="I452" s="26" t="str">
        <x:v>Legal/Production</x:v>
      </x:c>
    </x:row>
    <x:row r="453" ht="30" customHeight="1">
      <x:c r="A453" s="26" t="str">
        <x:v>H6-LEG-010</x:v>
      </x:c>
      <x:c r="B453" s="26" t="str">
        <x:v>31_H6_and_Release_Readiness_Checklist.xlsx</x:v>
      </x:c>
      <x:c r="C453" s="26" t="str">
        <x:v>H6 / Legal, créditos y licencias / Control especializado</x:v>
      </x:c>
      <x:c r="D453" s="26" t="str">
        <x:v>Legal, créditos y licencias</x:v>
      </x:c>
      <x:c r="E453" s="26" t="str">
        <x:v>Los documentos legales históricos no se tratan como prueba suficiente cuando falta el registro vigente.</x:v>
      </x:c>
      <x:c r="F453" s="26" t="str">
        <x:v>Comparar versiones y estado de 23.</x:v>
      </x:c>
      <x:c r="G453" s="26" t="str">
        <x:v>H6 readiness control</x:v>
      </x:c>
      <x:c r="H453" s="26" t="str">
        <x:v>Activo</x:v>
      </x:c>
      <x:c r="I453" s="26" t="str">
        <x:v>Legal/Production</x:v>
      </x:c>
    </x:row>
    <x:row r="454" ht="30" customHeight="1">
      <x:c r="A454" s="26" t="str">
        <x:v>H6-LEG-011</x:v>
      </x:c>
      <x:c r="B454" s="26" t="str">
        <x:v>31_H6_and_Release_Readiness_Checklist.xlsx</x:v>
      </x:c>
      <x:c r="C454" s="26" t="str">
        <x:v>H6 / Legal, créditos y licencias / Control especializado</x:v>
      </x:c>
      <x:c r="D454" s="26" t="str">
        <x:v>Legal, créditos y licencias</x:v>
      </x:c>
      <x:c r="E454" s="26" t="str">
        <x:v>Cualquier excepción de licencia bloqueante impide empaquetar la candidata hasta resolver o retirar el asset.</x:v>
      </x:c>
      <x:c r="F454" s="26" t="str">
        <x:v>Filtrar registro por BLOCKING/UNKNOWN.</x:v>
      </x:c>
      <x:c r="G454" s="26" t="str">
        <x:v>H6 readiness control</x:v>
      </x:c>
      <x:c r="H454" s="26" t="str">
        <x:v>Activo</x:v>
      </x:c>
      <x:c r="I454" s="26" t="str">
        <x:v>Legal/Production</x:v>
      </x:c>
    </x:row>
    <x:row r="455" ht="30" customHeight="1">
      <x:c r="A455" s="26" t="str">
        <x:v>H6-LEG-012</x:v>
      </x:c>
      <x:c r="B455" s="26" t="str">
        <x:v>31_H6_and_Release_Readiness_Checklist.xlsx</x:v>
      </x:c>
      <x:c r="C455" s="26" t="str">
        <x:v>H6 / Legal, créditos y licencias / Control especializado</x:v>
      </x:c>
      <x:c r="D455" s="26" t="str">
        <x:v>Legal, créditos y licencias</x:v>
      </x:c>
      <x:c r="E455" s="26" t="str">
        <x:v>La distribución H6 se limita al público autorizado y no se presenta como demo pública.</x:v>
      </x:c>
      <x:c r="F455" s="26" t="str">
        <x:v>Revisar canal, destinatarios y copy.</x:v>
      </x:c>
      <x:c r="G455" s="26" t="str">
        <x:v>H6 readiness control</x:v>
      </x:c>
      <x:c r="H455" s="26" t="str">
        <x:v>Activo</x:v>
      </x:c>
      <x:c r="I455" s="26" t="str">
        <x:v>Legal/Production</x:v>
      </x:c>
    </x:row>
    <x:row r="456" ht="30" customHeight="1">
      <x:c r="A456" s="26" t="str">
        <x:v>H6-DOC-001</x:v>
      </x:c>
      <x:c r="B456" s="26" t="str">
        <x:v>31_H6_and_Release_Readiness_Checklist.xlsx</x:v>
      </x:c>
      <x:c r="C456" s="26" t="str">
        <x:v>H6 / Documentación y trazabilidad / Control especializado</x:v>
      </x:c>
      <x:c r="D456" s="26" t="str">
        <x:v>Documentación y trazabilidad</x:v>
      </x:c>
      <x:c r="E456" s="26" t="str">
        <x:v>Los documentos 00–30 están inventariados con nombre, versión, estado y autoridad correctos.</x:v>
      </x:c>
      <x:c r="F456" s="26" t="str">
        <x:v>Comparar carpeta documental con Binder/manifest provisional.</x:v>
      </x:c>
      <x:c r="G456" s="26" t="str">
        <x:v>H6 readiness control</x:v>
      </x:c>
      <x:c r="H456" s="26" t="str">
        <x:v>Activo</x:v>
      </x:c>
      <x:c r="I456" s="26" t="str">
        <x:v>Documentation/Production</x:v>
      </x:c>
    </x:row>
    <x:row r="457" ht="30" customHeight="1">
      <x:c r="A457" s="26" t="str">
        <x:v>H6-DOC-002</x:v>
      </x:c>
      <x:c r="B457" s="26" t="str">
        <x:v>31_H6_and_Release_Readiness_Checklist.xlsx</x:v>
      </x:c>
      <x:c r="C457" s="26" t="str">
        <x:v>H6 / Documentación y trazabilidad / Control especializado</x:v>
      </x:c>
      <x:c r="D457" s="26" t="str">
        <x:v>Documentación y trazabilidad</x:v>
      </x:c>
      <x:c r="E457" s="26" t="str">
        <x:v>Los requisitos H6 están vinculados a pruebas, evidencias, defectos y builds mediante IDs estables.</x:v>
      </x:c>
      <x:c r="F457" s="26" t="str">
        <x:v>Auditar muestras y cobertura.</x:v>
      </x:c>
      <x:c r="G457" s="26" t="str">
        <x:v>H6 readiness control</x:v>
      </x:c>
      <x:c r="H457" s="26" t="str">
        <x:v>Activo</x:v>
      </x:c>
      <x:c r="I457" s="26" t="str">
        <x:v>Documentation/Production</x:v>
      </x:c>
    </x:row>
    <x:row r="458" ht="30" customHeight="1">
      <x:c r="A458" s="26" t="str">
        <x:v>H6-DOC-003</x:v>
      </x:c>
      <x:c r="B458" s="26" t="str">
        <x:v>31_H6_and_Release_Readiness_Checklist.xlsx</x:v>
      </x:c>
      <x:c r="C458" s="26" t="str">
        <x:v>H6 / Documentación y trazabilidad / Control especializado</x:v>
      </x:c>
      <x:c r="D458" s="26" t="str">
        <x:v>Documentación y trazabilidad</x:v>
      </x:c>
      <x:c r="E458" s="26" t="str">
        <x:v>Los hashes o campos pendientes no producen PASS automático en dashboards.</x:v>
      </x:c>
      <x:c r="F458" s="26" t="str">
        <x:v>Probar fórmulas con campos vacíos.</x:v>
      </x:c>
      <x:c r="G458" s="26" t="str">
        <x:v>H6 readiness control</x:v>
      </x:c>
      <x:c r="H458" s="26" t="str">
        <x:v>Activo</x:v>
      </x:c>
      <x:c r="I458" s="26" t="str">
        <x:v>Documentation/Production</x:v>
      </x:c>
    </x:row>
    <x:row r="459" ht="30" customHeight="1">
      <x:c r="A459" s="26" t="str">
        <x:v>H6-DOC-004</x:v>
      </x:c>
      <x:c r="B459" s="26" t="str">
        <x:v>31_H6_and_Release_Readiness_Checklist.xlsx</x:v>
      </x:c>
      <x:c r="C459" s="26" t="str">
        <x:v>H6 / Documentación y trazabilidad / Control especializado</x:v>
      </x:c>
      <x:c r="D459" s="26" t="str">
        <x:v>Documentación y trazabilidad</x:v>
      </x:c>
      <x:c r="E459" s="26" t="str">
        <x:v>Los conteos de requisitos, casos, aserciones y controles indican su unidad.</x:v>
      </x:c>
      <x:c r="F459" s="26" t="str">
        <x:v>Revisar 08, 12, 13, 31 e informes.</x:v>
      </x:c>
      <x:c r="G459" s="26" t="str">
        <x:v>H6 readiness control</x:v>
      </x:c>
      <x:c r="H459" s="26" t="str">
        <x:v>Activo</x:v>
      </x:c>
      <x:c r="I459" s="26" t="str">
        <x:v>Documentation/Production</x:v>
      </x:c>
    </x:row>
    <x:row r="460" ht="30" customHeight="1">
      <x:c r="A460" s="26" t="str">
        <x:v>H6-DOC-005</x:v>
      </x:c>
      <x:c r="B460" s="26" t="str">
        <x:v>31_H6_and_Release_Readiness_Checklist.xlsx</x:v>
      </x:c>
      <x:c r="C460" s="26" t="str">
        <x:v>H6 / Documentación y trazabilidad / Control especializado</x:v>
      </x:c>
      <x:c r="D460" s="26" t="str">
        <x:v>Documentación y trazabilidad</x:v>
      </x:c>
      <x:c r="E460" s="26" t="str">
        <x:v>Las referencias de baseline/versiones no apuntan de forma engañosa a v0.6 cuando el documento es consolidado.</x:v>
      </x:c>
      <x:c r="F460" s="26" t="str">
        <x:v>Escaneo de metadata y referencias.</x:v>
      </x:c>
      <x:c r="G460" s="26" t="str">
        <x:v>H6 readiness control</x:v>
      </x:c>
      <x:c r="H460" s="26" t="str">
        <x:v>Activo</x:v>
      </x:c>
      <x:c r="I460" s="26" t="str">
        <x:v>Documentation/Production</x:v>
      </x:c>
    </x:row>
    <x:row r="461" ht="30" customHeight="1">
      <x:c r="A461" s="26" t="str">
        <x:v>H6-DOC-006</x:v>
      </x:c>
      <x:c r="B461" s="26" t="str">
        <x:v>31_H6_and_Release_Readiness_Checklist.xlsx</x:v>
      </x:c>
      <x:c r="C461" s="26" t="str">
        <x:v>H6 / Documentación y trazabilidad / Control especializado</x:v>
      </x:c>
      <x:c r="D461" s="26" t="str">
        <x:v>Documentación y trazabilidad</x:v>
      </x:c>
      <x:c r="E461" s="26" t="str">
        <x:v>Los hallazgos A1/A2 relevantes para H6 están cerrados o transferidos con decisión explícita.</x:v>
      </x:c>
      <x:c r="F461" s="26" t="str">
        <x:v>Revisar hoja de defectos/excepciones y auditoría 16.</x:v>
      </x:c>
      <x:c r="G461" s="26" t="str">
        <x:v>H6 readiness control</x:v>
      </x:c>
      <x:c r="H461" s="26" t="str">
        <x:v>Activo</x:v>
      </x:c>
      <x:c r="I461" s="26" t="str">
        <x:v>Documentation/Production</x:v>
      </x:c>
    </x:row>
    <x:row r="462" ht="30" customHeight="1">
      <x:c r="A462" s="26" t="str">
        <x:v>H6-DOC-007</x:v>
      </x:c>
      <x:c r="B462" s="26" t="str">
        <x:v>31_H6_and_Release_Readiness_Checklist.xlsx</x:v>
      </x:c>
      <x:c r="C462" s="26" t="str">
        <x:v>H6 / Documentación y trazabilidad / Control especializado</x:v>
      </x:c>
      <x:c r="D462" s="26" t="str">
        <x:v>Documentación y trazabilidad</x:v>
      </x:c>
      <x:c r="E462" s="26" t="str">
        <x:v>El paquete de evidencias sigue la estructura definida por 02 y contiene todos los archivos obligatorios.</x:v>
      </x:c>
      <x:c r="F462" s="26" t="str">
        <x:v>Validar carpetas y manifest.</x:v>
      </x:c>
      <x:c r="G462" s="26" t="str">
        <x:v>H6 readiness control</x:v>
      </x:c>
      <x:c r="H462" s="26" t="str">
        <x:v>Activo</x:v>
      </x:c>
      <x:c r="I462" s="26" t="str">
        <x:v>Documentation/Production</x:v>
      </x:c>
    </x:row>
    <x:row r="463" ht="30" customHeight="1">
      <x:c r="A463" s="26" t="str">
        <x:v>H6-DOC-008</x:v>
      </x:c>
      <x:c r="B463" s="26" t="str">
        <x:v>31_H6_and_Release_Readiness_Checklist.xlsx</x:v>
      </x:c>
      <x:c r="C463" s="26" t="str">
        <x:v>H6 / Documentación y trazabilidad / Control especializado</x:v>
      </x:c>
      <x:c r="D463" s="26" t="str">
        <x:v>Documentación y trazabilidad</x:v>
      </x:c>
      <x:c r="E463" s="26" t="str">
        <x:v>Cada evidencia identifica build, SHA, fecha, ejecutor y resultado.</x:v>
      </x:c>
      <x:c r="F463" s="26" t="str">
        <x:v>Auditar register y archivos.</x:v>
      </x:c>
      <x:c r="G463" s="26" t="str">
        <x:v>H6 readiness control</x:v>
      </x:c>
      <x:c r="H463" s="26" t="str">
        <x:v>Activo</x:v>
      </x:c>
      <x:c r="I463" s="26" t="str">
        <x:v>Documentation/Production</x:v>
      </x:c>
    </x:row>
    <x:row r="464" ht="30" customHeight="1">
      <x:c r="A464" s="26" t="str">
        <x:v>H6-DOC-009</x:v>
      </x:c>
      <x:c r="B464" s="26" t="str">
        <x:v>31_H6_and_Release_Readiness_Checklist.xlsx</x:v>
      </x:c>
      <x:c r="C464" s="26" t="str">
        <x:v>H6 / Documentación y trazabilidad / Control especializado</x:v>
      </x:c>
      <x:c r="D464" s="26" t="str">
        <x:v>Documentación y trazabilidad</x:v>
      </x:c>
      <x:c r="E464" s="26" t="str">
        <x:v>Las decisiones históricas conservadas y sustituidas están documentadas sin borrar la genealogía.</x:v>
      </x:c>
      <x:c r="F464" s="26" t="str">
        <x:v>Revisar trazabilidad histórica de 31.</x:v>
      </x:c>
      <x:c r="G464" s="26" t="str">
        <x:v>H6 readiness control</x:v>
      </x:c>
      <x:c r="H464" s="26" t="str">
        <x:v>Activo</x:v>
      </x:c>
      <x:c r="I464" s="26" t="str">
        <x:v>Documentation/Production</x:v>
      </x:c>
    </x:row>
    <x:row r="465" ht="30" customHeight="1">
      <x:c r="A465" s="26" t="str">
        <x:v>H6-DOC-010</x:v>
      </x:c>
      <x:c r="B465" s="26" t="str">
        <x:v>31_H6_and_Release_Readiness_Checklist.xlsx</x:v>
      </x:c>
      <x:c r="C465" s="26" t="str">
        <x:v>H6 / Documentación y trazabilidad / Control especializado</x:v>
      </x:c>
      <x:c r="D465" s="26" t="str">
        <x:v>Documentación y trazabilidad</x:v>
      </x:c>
      <x:c r="E465" s="26" t="str">
        <x:v>El changelog registra cambios desde la baseline previa hasta la candidata.</x:v>
      </x:c>
      <x:c r="F465" s="26" t="str">
        <x:v>Comparar commits y documentos.</x:v>
      </x:c>
      <x:c r="G465" s="26" t="str">
        <x:v>H6 readiness control</x:v>
      </x:c>
      <x:c r="H465" s="26" t="str">
        <x:v>Activo</x:v>
      </x:c>
      <x:c r="I465" s="26" t="str">
        <x:v>Documentation/Production</x:v>
      </x:c>
    </x:row>
    <x:row r="466" ht="30" customHeight="1">
      <x:c r="A466" s="26" t="str">
        <x:v>H6-DOC-011</x:v>
      </x:c>
      <x:c r="B466" s="26" t="str">
        <x:v>31_H6_and_Release_Readiness_Checklist.xlsx</x:v>
      </x:c>
      <x:c r="C466" s="26" t="str">
        <x:v>H6 / Documentación y trazabilidad / Control especializado</x:v>
      </x:c>
      <x:c r="D466" s="26" t="str">
        <x:v>Documentación y trazabilidad</x:v>
      </x:c>
      <x:c r="E466" s="26" t="str">
        <x:v>Existe acta formal de PASS, FAIL o PASS WITH ACCEPTED DEBT con firmas/roles.</x:v>
      </x:c>
      <x:c r="F466" s="26" t="str">
        <x:v>Completar hoja Gate Signoff.</x:v>
      </x:c>
      <x:c r="G466" s="26" t="str">
        <x:v>H6 readiness control</x:v>
      </x:c>
      <x:c r="H466" s="26" t="str">
        <x:v>Activo</x:v>
      </x:c>
      <x:c r="I466" s="26" t="str">
        <x:v>Documentation/Production</x:v>
      </x:c>
    </x:row>
    <x:row r="467" ht="30" customHeight="1">
      <x:c r="A467" s="26" t="str">
        <x:v>H6-DOC-012</x:v>
      </x:c>
      <x:c r="B467" s="26" t="str">
        <x:v>31_H6_and_Release_Readiness_Checklist.xlsx</x:v>
      </x:c>
      <x:c r="C467" s="26" t="str">
        <x:v>H6 / Documentación y trazabilidad / Control especializado</x:v>
      </x:c>
      <x:c r="D467" s="26" t="str">
        <x:v>Documentación y trazabilidad</x:v>
      </x:c>
      <x:c r="E467" s="26" t="str">
        <x:v>La baseline H6 puede congelarse sin incluir drafts, previews o archivos temporales.</x:v>
      </x:c>
      <x:c r="F467" s="26" t="str">
        <x:v>Auditar paquete final.</x:v>
      </x:c>
      <x:c r="G467" s="26" t="str">
        <x:v>H6 readiness control</x:v>
      </x:c>
      <x:c r="H467" s="26" t="str">
        <x:v>Activo</x:v>
      </x:c>
      <x:c r="I467" s="26" t="str">
        <x:v>Documentation/Production</x:v>
      </x:c>
    </x:row>
    <x:row r="468" ht="30" customHeight="1">
      <x:c r="A468" s="26" t="str">
        <x:v>H6-DOC-013</x:v>
      </x:c>
      <x:c r="B468" s="26" t="str">
        <x:v>31_H6_and_Release_Readiness_Checklist.xlsx</x:v>
      </x:c>
      <x:c r="C468" s="26" t="str">
        <x:v>H6 / Documentación y trazabilidad / Control especializado</x:v>
      </x:c>
      <x:c r="D468" s="26" t="str">
        <x:v>Documentación y trazabilidad</x:v>
      </x:c>
      <x:c r="E468" s="26" t="str">
        <x:v>Los documentos 12–16 tienen plan explícito de actualización posterior a 31–34.</x:v>
      </x:c>
      <x:c r="F468" s="26" t="str">
        <x:v>Revisar backlog de consolidación.</x:v>
      </x:c>
      <x:c r="G468" s="26" t="str">
        <x:v>H6 readiness control</x:v>
      </x:c>
      <x:c r="H468" s="26" t="str">
        <x:v>Activo</x:v>
      </x:c>
      <x:c r="I468" s="26" t="str">
        <x:v>Documentation/Production</x:v>
      </x:c>
    </x:row>
    <x:row r="469" ht="30" customHeight="1">
      <x:c r="A469" s="26" t="str">
        <x:v>H6-DOC-014</x:v>
      </x:c>
      <x:c r="B469" s="26" t="str">
        <x:v>31_H6_and_Release_Readiness_Checklist.xlsx</x:v>
      </x:c>
      <x:c r="C469" s="26" t="str">
        <x:v>H6 / Documentación y trazabilidad / Control especializado</x:v>
      </x:c>
      <x:c r="D469" s="26" t="str">
        <x:v>Documentación y trazabilidad</x:v>
      </x:c>
      <x:c r="E469" s="26" t="str">
        <x:v>El paquete H6 conserva checksums y referencias para verificar que la build evaluada es la aprobada.</x:v>
      </x:c>
      <x:c r="F469" s="26" t="str">
        <x:v>Recalcular y cruzar hashes.</x:v>
      </x:c>
      <x:c r="G469" s="26" t="str">
        <x:v>H6 readiness control</x:v>
      </x:c>
      <x:c r="H469" s="26" t="str">
        <x:v>Activo</x:v>
      </x:c>
      <x:c r="I469" s="26" t="str">
        <x:v>Documentation/Production</x:v>
      </x:c>
    </x:row>
    <x:row r="470" ht="30" customHeight="1">
      <x:c r="A470" s="26" t="str">
        <x:v>H6-DEC-001</x:v>
      </x:c>
      <x:c r="B470" s="26" t="str">
        <x:v>31_H6_and_Release_Readiness_Checklist.xlsx</x:v>
      </x:c>
      <x:c r="C470" s="26" t="str">
        <x:v>H6 / Paquete de decisión H6 / Control especializado</x:v>
      </x:c>
      <x:c r="D470" s="26" t="str">
        <x:v>Paquete de decisión H6</x:v>
      </x:c>
      <x:c r="E470" s="26" t="str">
        <x:v>La candidata inmutable incluye Build ID, versión, SHA, checksum y canal.</x:v>
      </x:c>
      <x:c r="F470" s="26" t="str">
        <x:v>Revisar build record y artefacto.</x:v>
      </x:c>
      <x:c r="G470" s="26" t="str">
        <x:v>H6 readiness control</x:v>
      </x:c>
      <x:c r="H470" s="26" t="str">
        <x:v>Activo</x:v>
      </x:c>
      <x:c r="I470" s="26" t="str">
        <x:v>Production</x:v>
      </x:c>
    </x:row>
    <x:row r="471" ht="30" customHeight="1">
      <x:c r="A471" s="26" t="str">
        <x:v>H6-DEC-002</x:v>
      </x:c>
      <x:c r="B471" s="26" t="str">
        <x:v>31_H6_and_Release_Readiness_Checklist.xlsx</x:v>
      </x:c>
      <x:c r="C471" s="26" t="str">
        <x:v>H6 / Paquete de decisión H6 / Control especializado</x:v>
      </x:c>
      <x:c r="D471" s="26" t="str">
        <x:v>Paquete de decisión H6</x:v>
      </x:c>
      <x:c r="E471" s="26" t="str">
        <x:v>Existe manifest de Unity, packages, escenas, profile y archivos distribuidos.</x:v>
      </x:c>
      <x:c r="F471" s="26" t="str">
        <x:v>Comparar manifests con candidato.</x:v>
      </x:c>
      <x:c r="G471" s="26" t="str">
        <x:v>H6 readiness control</x:v>
      </x:c>
      <x:c r="H471" s="26" t="str">
        <x:v>Activo</x:v>
      </x:c>
      <x:c r="I471" s="26" t="str">
        <x:v>Production</x:v>
      </x:c>
    </x:row>
    <x:row r="472" ht="30" customHeight="1">
      <x:c r="A472" s="26" t="str">
        <x:v>H6-DEC-003</x:v>
      </x:c>
      <x:c r="B472" s="26" t="str">
        <x:v>31_H6_and_Release_Readiness_Checklist.xlsx</x:v>
      </x:c>
      <x:c r="C472" s="26" t="str">
        <x:v>H6 / Paquete de decisión H6 / Control especializado</x:v>
      </x:c>
      <x:c r="D472" s="26" t="str">
        <x:v>Paquete de decisión H6</x:v>
      </x:c>
      <x:c r="E472" s="26" t="str">
        <x:v>Se incluyen test reports automatizados y ejecuciones manuales.</x:v>
      </x:c>
      <x:c r="F472" s="26" t="str">
        <x:v>Validar Evidence Register.</x:v>
      </x:c>
      <x:c r="G472" s="26" t="str">
        <x:v>H6 readiness control</x:v>
      </x:c>
      <x:c r="H472" s="26" t="str">
        <x:v>Activo</x:v>
      </x:c>
      <x:c r="I472" s="26" t="str">
        <x:v>Production</x:v>
      </x:c>
    </x:row>
    <x:row r="473" ht="30" customHeight="1">
      <x:c r="A473" s="26" t="str">
        <x:v>H6-DEC-004</x:v>
      </x:c>
      <x:c r="B473" s="26" t="str">
        <x:v>31_H6_and_Release_Readiness_Checklist.xlsx</x:v>
      </x:c>
      <x:c r="C473" s="26" t="str">
        <x:v>H6 / Paquete de decisión H6 / Control especializado</x:v>
      </x:c>
      <x:c r="D473" s="26" t="str">
        <x:v>Paquete de decisión H6</x:v>
      </x:c>
      <x:c r="E473" s="26" t="str">
        <x:v>Se incluyen Golden Path Record y Seven Day Run Record aprobados.</x:v>
      </x:c>
      <x:c r="F473" s="26" t="str">
        <x:v>Revisar firmas y build IDs.</x:v>
      </x:c>
      <x:c r="G473" s="26" t="str">
        <x:v>H6 readiness control</x:v>
      </x:c>
      <x:c r="H473" s="26" t="str">
        <x:v>Activo</x:v>
      </x:c>
      <x:c r="I473" s="26" t="str">
        <x:v>Production</x:v>
      </x:c>
    </x:row>
    <x:row r="474" ht="30" customHeight="1">
      <x:c r="A474" s="26" t="str">
        <x:v>H6-DEC-005</x:v>
      </x:c>
      <x:c r="B474" s="26" t="str">
        <x:v>31_H6_and_Release_Readiness_Checklist.xlsx</x:v>
      </x:c>
      <x:c r="C474" s="26" t="str">
        <x:v>H6 / Paquete de decisión H6 / Control especializado</x:v>
      </x:c>
      <x:c r="D474" s="26" t="str">
        <x:v>Paquete de decisión H6</x:v>
      </x:c>
      <x:c r="E474" s="26" t="str">
        <x:v>Se incluyen Player.log, métricas de rendimiento y soak.</x:v>
      </x:c>
      <x:c r="F474" s="26" t="str">
        <x:v>Validar logs y performance records.</x:v>
      </x:c>
      <x:c r="G474" s="26" t="str">
        <x:v>H6 readiness control</x:v>
      </x:c>
      <x:c r="H474" s="26" t="str">
        <x:v>Activo</x:v>
      </x:c>
      <x:c r="I474" s="26" t="str">
        <x:v>Production</x:v>
      </x:c>
    </x:row>
    <x:row r="475" ht="30" customHeight="1">
      <x:c r="A475" s="26" t="str">
        <x:v>H6-DEC-006</x:v>
      </x:c>
      <x:c r="B475" s="26" t="str">
        <x:v>31_H6_and_Release_Readiness_Checklist.xlsx</x:v>
      </x:c>
      <x:c r="C475" s="26" t="str">
        <x:v>H6 / Paquete de decisión H6 / Control especializado</x:v>
      </x:c>
      <x:c r="D475" s="26" t="str">
        <x:v>Paquete de decisión H6</x:v>
      </x:c>
      <x:c r="E475" s="26" t="str">
        <x:v>Se incluye estado de defectos, deuda aceptada, excepciones y Known Issues.</x:v>
      </x:c>
      <x:c r="F475" s="26" t="str">
        <x:v>Comparar registros y decisión.</x:v>
      </x:c>
      <x:c r="G475" s="26" t="str">
        <x:v>H6 readiness control</x:v>
      </x:c>
      <x:c r="H475" s="26" t="str">
        <x:v>Activo</x:v>
      </x:c>
      <x:c r="I475" s="26" t="str">
        <x:v>Production</x:v>
      </x:c>
    </x:row>
    <x:row r="476" ht="30" customHeight="1">
      <x:c r="A476" s="26" t="str">
        <x:v>H6-DEC-007</x:v>
      </x:c>
      <x:c r="B476" s="26" t="str">
        <x:v>31_H6_and_Release_Readiness_Checklist.xlsx</x:v>
      </x:c>
      <x:c r="C476" s="26" t="str">
        <x:v>H6 / Paquete de decisión H6 / Control especializado</x:v>
      </x:c>
      <x:c r="D476" s="26" t="str">
        <x:v>Paquete de decisión H6</x:v>
      </x:c>
      <x:c r="E476" s="26" t="str">
        <x:v>Se incluye evidencia visual, ES/EN y accesibilidad básica.</x:v>
      </x:c>
      <x:c r="F476" s="26" t="str">
        <x:v>Validar capturas/matrices.</x:v>
      </x:c>
      <x:c r="G476" s="26" t="str">
        <x:v>H6 readiness control</x:v>
      </x:c>
      <x:c r="H476" s="26" t="str">
        <x:v>Activo</x:v>
      </x:c>
      <x:c r="I476" s="26" t="str">
        <x:v>Production</x:v>
      </x:c>
    </x:row>
    <x:row r="477" ht="30" customHeight="1">
      <x:c r="A477" s="26" t="str">
        <x:v>H6-DEC-008</x:v>
      </x:c>
      <x:c r="B477" s="26" t="str">
        <x:v>31_H6_and_Release_Readiness_Checklist.xlsx</x:v>
      </x:c>
      <x:c r="C477" s="26" t="str">
        <x:v>H6 / Paquete de decisión H6 / Control especializado</x:v>
      </x:c>
      <x:c r="D477" s="26" t="str">
        <x:v>Paquete de decisión H6</x:v>
      </x:c>
      <x:c r="E477" s="26" t="str">
        <x:v>Se incluye estado legal, licencias, seguridad y privacidad del candidato.</x:v>
      </x:c>
      <x:c r="F477" s="26" t="str">
        <x:v>Revisar signoffs especializados.</x:v>
      </x:c>
      <x:c r="G477" s="26" t="str">
        <x:v>H6 readiness control</x:v>
      </x:c>
      <x:c r="H477" s="26" t="str">
        <x:v>Activo</x:v>
      </x:c>
      <x:c r="I477" s="26" t="str">
        <x:v>Production</x:v>
      </x:c>
    </x:row>
    <x:row r="478" ht="30" customHeight="1">
      <x:c r="A478" s="26" t="str">
        <x:v>H6-DEC-009</x:v>
      </x:c>
      <x:c r="B478" s="26" t="str">
        <x:v>31_H6_and_Release_Readiness_Checklist.xlsx</x:v>
      </x:c>
      <x:c r="C478" s="26" t="str">
        <x:v>H6 / Paquete de decisión H6 / Control especializado</x:v>
      </x:c>
      <x:c r="D478" s="26" t="str">
        <x:v>Paquete de decisión H6</x:v>
      </x:c>
      <x:c r="E478" s="26" t="str">
        <x:v>Se incluye estado de documentación, trazabilidad y auditoría.</x:v>
      </x:c>
      <x:c r="F478" s="26" t="str">
        <x:v>Validar document inventory y findings.</x:v>
      </x:c>
      <x:c r="G478" s="26" t="str">
        <x:v>H6 readiness control</x:v>
      </x:c>
      <x:c r="H478" s="26" t="str">
        <x:v>Activo</x:v>
      </x:c>
      <x:c r="I478" s="26" t="str">
        <x:v>Production</x:v>
      </x:c>
    </x:row>
    <x:row r="479" ht="30" customHeight="1">
      <x:c r="A479" s="26" t="str">
        <x:v>H6-DEC-010</x:v>
      </x:c>
      <x:c r="B479" s="26" t="str">
        <x:v>31_H6_and_Release_Readiness_Checklist.xlsx</x:v>
      </x:c>
      <x:c r="C479" s="26" t="str">
        <x:v>H6 / Paquete de decisión H6 / Control especializado</x:v>
      </x:c>
      <x:c r="D479" s="26" t="str">
        <x:v>Paquete de decisión H6</x:v>
      </x:c>
      <x:c r="E479" s="26" t="str">
        <x:v>La reunión de decisión registra participantes, discrepancias, resultado y acciones.</x:v>
      </x:c>
      <x:c r="F479" s="26" t="str">
        <x:v>Completar acta.</x:v>
      </x:c>
      <x:c r="G479" s="26" t="str">
        <x:v>H6 readiness control</x:v>
      </x:c>
      <x:c r="H479" s="26" t="str">
        <x:v>Activo</x:v>
      </x:c>
      <x:c r="I479" s="26" t="str">
        <x:v>Production</x:v>
      </x:c>
    </x:row>
    <x:row r="480" ht="30" customHeight="1">
      <x:c r="A480" s="26" t="str">
        <x:v>H6-DEC-011</x:v>
      </x:c>
      <x:c r="B480" s="26" t="str">
        <x:v>31_H6_and_Release_Readiness_Checklist.xlsx</x:v>
      </x:c>
      <x:c r="C480" s="26" t="str">
        <x:v>H6 / Paquete de decisión H6 / Control especializado</x:v>
      </x:c>
      <x:c r="D480" s="26" t="str">
        <x:v>Paquete de decisión H6</x:v>
      </x:c>
      <x:c r="E480" s="26" t="str">
        <x:v>Un resultado FAIL identifica blockers, propietarios y condición de reentrada.</x:v>
      </x:c>
      <x:c r="F480" s="26" t="str">
        <x:v>Revisar acta y risk/dependency log.</x:v>
      </x:c>
      <x:c r="G480" s="26" t="str">
        <x:v>H6 readiness control</x:v>
      </x:c>
      <x:c r="H480" s="26" t="str">
        <x:v>Activo</x:v>
      </x:c>
      <x:c r="I480" s="26" t="str">
        <x:v>Production</x:v>
      </x:c>
    </x:row>
    <x:row r="481" ht="30" customHeight="1">
      <x:c r="A481" s="26" t="str">
        <x:v>H6-DEC-012</x:v>
      </x:c>
      <x:c r="B481" s="26" t="str">
        <x:v>31_H6_and_Release_Readiness_Checklist.xlsx</x:v>
      </x:c>
      <x:c r="C481" s="26" t="str">
        <x:v>H6 / Paquete de decisión H6 / Control especializado</x:v>
      </x:c>
      <x:c r="D481" s="26" t="str">
        <x:v>Paquete de decisión H6</x:v>
      </x:c>
      <x:c r="E481" s="26" t="str">
        <x:v>Un resultado PASS congela la baseline y prohíbe seguir sobre una working copy ambigua.</x:v>
      </x:c>
      <x:c r="F481" s="26" t="str">
        <x:v>Crear tag/baseline y handoff.</x:v>
      </x:c>
      <x:c r="G481" s="26" t="str">
        <x:v>H6 readiness control</x:v>
      </x:c>
      <x:c r="H481" s="26" t="str">
        <x:v>Activo</x:v>
      </x:c>
      <x:c r="I481" s="26" t="str">
        <x:v>Production</x:v>
      </x:c>
    </x:row>
    <x:row r="482" ht="30" customHeight="1">
      <x:c r="A482" s="26" t="str">
        <x:v>REL-GOV-001</x:v>
      </x:c>
      <x:c r="B482" s="26" t="str">
        <x:v>31_H6_and_Release_Readiness_Checklist.xlsx</x:v>
      </x:c>
      <x:c r="C482" s="26" t="str">
        <x:v>Release / Producto, alcance y planificación / Release readiness</x:v>
      </x:c>
      <x:c r="D482" s="26" t="str">
        <x:v>Producto, alcance y planificación</x:v>
      </x:c>
      <x:c r="E482" s="26" t="str">
        <x:v>H6 ha obtenido PASS formal y su baseline está congelada.</x:v>
      </x:c>
      <x:c r="F482" s="26" t="str">
        <x:v>Verificar acta, tag, checksum y paquete H6.</x:v>
      </x:c>
      <x:c r="G482" s="26" t="str">
        <x:v>Release readiness control</x:v>
      </x:c>
      <x:c r="H482" s="26" t="str">
        <x:v>Activo</x:v>
      </x:c>
      <x:c r="I482" s="26" t="str">
        <x:v>Production</x:v>
      </x:c>
    </x:row>
    <x:row r="483" ht="30" customHeight="1">
      <x:c r="A483" s="26" t="str">
        <x:v>REL-GOV-002</x:v>
      </x:c>
      <x:c r="B483" s="26" t="str">
        <x:v>31_H6_and_Release_Readiness_Checklist.xlsx</x:v>
      </x:c>
      <x:c r="C483" s="26" t="str">
        <x:v>Release / Producto, alcance y planificación / Release readiness</x:v>
      </x:c>
      <x:c r="D483" s="26" t="str">
        <x:v>Producto, alcance y planificación</x:v>
      </x:c>
      <x:c r="E483" s="26" t="str">
        <x:v>La fase Steam/release se abre mediante decisión separada de H6.</x:v>
      </x:c>
      <x:c r="F483" s="26" t="str">
        <x:v>Revisar acta de apertura y roadmap.</x:v>
      </x:c>
      <x:c r="G483" s="26" t="str">
        <x:v>Release readiness control</x:v>
      </x:c>
      <x:c r="H483" s="26" t="str">
        <x:v>Activo</x:v>
      </x:c>
      <x:c r="I483" s="26" t="str">
        <x:v>Production</x:v>
      </x:c>
    </x:row>
    <x:row r="484" ht="30" customHeight="1">
      <x:c r="A484" s="26" t="str">
        <x:v>REL-GOV-003</x:v>
      </x:c>
      <x:c r="B484" s="26" t="str">
        <x:v>31_H6_and_Release_Readiness_Checklist.xlsx</x:v>
      </x:c>
      <x:c r="C484" s="26" t="str">
        <x:v>Release / Producto, alcance y planificación / Release readiness</x:v>
      </x:c>
      <x:c r="D484" s="26" t="str">
        <x:v>Producto, alcance y planificación</x:v>
      </x:c>
      <x:c r="E484" s="26" t="str">
        <x:v>El alcance de release está congelado y diferencia must-have, deferred y post-launch.</x:v>
      </x:c>
      <x:c r="F484" s="26" t="str">
        <x:v>Revisar backlog y change control.</x:v>
      </x:c>
      <x:c r="G484" s="26" t="str">
        <x:v>Release readiness control</x:v>
      </x:c>
      <x:c r="H484" s="26" t="str">
        <x:v>Activo</x:v>
      </x:c>
      <x:c r="I484" s="26" t="str">
        <x:v>Production</x:v>
      </x:c>
    </x:row>
    <x:row r="485" ht="30" customHeight="1">
      <x:c r="A485" s="26" t="str">
        <x:v>REL-GOV-004</x:v>
      </x:c>
      <x:c r="B485" s="26" t="str">
        <x:v>31_H6_and_Release_Readiness_Checklist.xlsx</x:v>
      </x:c>
      <x:c r="C485" s="26" t="str">
        <x:v>Release / Producto, alcance y planificación / Release readiness</x:v>
      </x:c>
      <x:c r="D485" s="26" t="str">
        <x:v>Producto, alcance y planificación</x:v>
      </x:c>
      <x:c r="E485" s="26" t="str">
        <x:v>Existe calendario basado en capacidad medida, dependencias y buffers, no en fecha inventada.</x:v>
      </x:c>
      <x:c r="F485" s="26" t="str">
        <x:v>Revisar roadmap y capacidad.</x:v>
      </x:c>
      <x:c r="G485" s="26" t="str">
        <x:v>Release readiness control</x:v>
      </x:c>
      <x:c r="H485" s="26" t="str">
        <x:v>Activo</x:v>
      </x:c>
      <x:c r="I485" s="26" t="str">
        <x:v>Production</x:v>
      </x:c>
    </x:row>
    <x:row r="486" ht="30" customHeight="1">
      <x:c r="A486" s="26" t="str">
        <x:v>REL-GOV-005</x:v>
      </x:c>
      <x:c r="B486" s="26" t="str">
        <x:v>31_H6_and_Release_Readiness_Checklist.xlsx</x:v>
      </x:c>
      <x:c r="C486" s="26" t="str">
        <x:v>Release / Producto, alcance y planificación / Release readiness</x:v>
      </x:c>
      <x:c r="D486" s="26" t="str">
        <x:v>Producto, alcance y planificación</x:v>
      </x:c>
      <x:c r="E486" s="26" t="str">
        <x:v>Cada gate —Coming Soon, demo, Playtest, RC y launch— tiene entrada, salida y propietario.</x:v>
      </x:c>
      <x:c r="F486" s="26" t="str">
        <x:v>Revisar Gate Signoff.</x:v>
      </x:c>
      <x:c r="G486" s="26" t="str">
        <x:v>Release readiness control</x:v>
      </x:c>
      <x:c r="H486" s="26" t="str">
        <x:v>Activo</x:v>
      </x:c>
      <x:c r="I486" s="26" t="str">
        <x:v>Production</x:v>
      </x:c>
    </x:row>
    <x:row r="487" ht="30" customHeight="1">
      <x:c r="A487" s="26" t="str">
        <x:v>REL-GOV-006</x:v>
      </x:c>
      <x:c r="B487" s="26" t="str">
        <x:v>31_H6_and_Release_Readiness_Checklist.xlsx</x:v>
      </x:c>
      <x:c r="C487" s="26" t="str">
        <x:v>Release / Producto, alcance y planificación / Release readiness</x:v>
      </x:c>
      <x:c r="D487" s="26" t="str">
        <x:v>Producto, alcance y planificación</x:v>
      </x:c>
      <x:c r="E487" s="26" t="str">
        <x:v>Las features anunciadas públicamente están implementadas, validadas y planificadas para release.</x:v>
      </x:c>
      <x:c r="F487" s="26" t="str">
        <x:v>Cruzar store copy/marketing con build y roadmap.</x:v>
      </x:c>
      <x:c r="G487" s="26" t="str">
        <x:v>Release readiness control</x:v>
      </x:c>
      <x:c r="H487" s="26" t="str">
        <x:v>Activo</x:v>
      </x:c>
      <x:c r="I487" s="26" t="str">
        <x:v>Production</x:v>
      </x:c>
    </x:row>
    <x:row r="488" ht="30" customHeight="1">
      <x:c r="A488" s="26" t="str">
        <x:v>REL-GOV-007</x:v>
      </x:c>
      <x:c r="B488" s="26" t="str">
        <x:v>31_H6_and_Release_Readiness_Checklist.xlsx</x:v>
      </x:c>
      <x:c r="C488" s="26" t="str">
        <x:v>Release / Producto, alcance y planificación / Release readiness</x:v>
      </x:c>
      <x:c r="D488" s="26" t="str">
        <x:v>Producto, alcance y planificación</x:v>
      </x:c>
      <x:c r="E488" s="26" t="str">
        <x:v>Las funciones diferidas no aparecen como promesas implícitas en screenshots, trailers o FAQ.</x:v>
      </x:c>
      <x:c r="F488" s="26" t="str">
        <x:v>Revisión conjunta marketing/producto.</x:v>
      </x:c>
      <x:c r="G488" s="26" t="str">
        <x:v>Release readiness control</x:v>
      </x:c>
      <x:c r="H488" s="26" t="str">
        <x:v>Activo</x:v>
      </x:c>
      <x:c r="I488" s="26" t="str">
        <x:v>Production</x:v>
      </x:c>
    </x:row>
    <x:row r="489" ht="30" customHeight="1">
      <x:c r="A489" s="26" t="str">
        <x:v>REL-GOV-008</x:v>
      </x:c>
      <x:c r="B489" s="26" t="str">
        <x:v>31_H6_and_Release_Readiness_Checklist.xlsx</x:v>
      </x:c>
      <x:c r="C489" s="26" t="str">
        <x:v>Release / Producto, alcance y planificación / Release readiness</x:v>
      </x:c>
      <x:c r="D489" s="26" t="str">
        <x:v>Producto, alcance y planificación</x:v>
      </x:c>
      <x:c r="E489" s="26" t="str">
        <x:v>Existe un criterio formal de no-go y proceso de retraso/cambio de fecha.</x:v>
      </x:c>
      <x:c r="F489" s="26" t="str">
        <x:v>Revisar release playbook.</x:v>
      </x:c>
      <x:c r="G489" s="26" t="str">
        <x:v>Release readiness control</x:v>
      </x:c>
      <x:c r="H489" s="26" t="str">
        <x:v>Activo</x:v>
      </x:c>
      <x:c r="I489" s="26" t="str">
        <x:v>Production</x:v>
      </x:c>
    </x:row>
    <x:row r="490" ht="30" customHeight="1">
      <x:c r="A490" s="26" t="str">
        <x:v>REL-GOV-009</x:v>
      </x:c>
      <x:c r="B490" s="26" t="str">
        <x:v>31_H6_and_Release_Readiness_Checklist.xlsx</x:v>
      </x:c>
      <x:c r="C490" s="26" t="str">
        <x:v>Release / Producto, alcance y planificación / Release readiness</x:v>
      </x:c>
      <x:c r="D490" s="26" t="str">
        <x:v>Producto, alcance y planificación</x:v>
      </x:c>
      <x:c r="E490" s="26" t="str">
        <x:v>Los propietarios de producto, build, QA, Steam, legal, marketing y soporte están identificados.</x:v>
      </x:c>
      <x:c r="F490" s="26" t="str">
        <x:v>Completar RACI.</x:v>
      </x:c>
      <x:c r="G490" s="26" t="str">
        <x:v>Release readiness control</x:v>
      </x:c>
      <x:c r="H490" s="26" t="str">
        <x:v>Activo</x:v>
      </x:c>
      <x:c r="I490" s="26" t="str">
        <x:v>Production</x:v>
      </x:c>
    </x:row>
    <x:row r="491" ht="30" customHeight="1">
      <x:c r="A491" s="26" t="str">
        <x:v>REL-GOV-010</x:v>
      </x:c>
      <x:c r="B491" s="26" t="str">
        <x:v>31_H6_and_Release_Readiness_Checklist.xlsx</x:v>
      </x:c>
      <x:c r="C491" s="26" t="str">
        <x:v>Release / Producto, alcance y planificación / Release readiness</x:v>
      </x:c>
      <x:c r="D491" s="26" t="str">
        <x:v>Producto, alcance y planificación</x:v>
      </x:c>
      <x:c r="E491" s="26" t="str">
        <x:v>Los riesgos críticos y dependencias externas tienen contingencia y fecha/trigger de revisión.</x:v>
      </x:c>
      <x:c r="F491" s="26" t="str">
        <x:v>Revisar risk/dependency log.</x:v>
      </x:c>
      <x:c r="G491" s="26" t="str">
        <x:v>Release readiness control</x:v>
      </x:c>
      <x:c r="H491" s="26" t="str">
        <x:v>Activo</x:v>
      </x:c>
      <x:c r="I491" s="26" t="str">
        <x:v>Production</x:v>
      </x:c>
    </x:row>
    <x:row r="492" ht="30" customHeight="1">
      <x:c r="A492" s="26" t="str">
        <x:v>REL-STM-001</x:v>
      </x:c>
      <x:c r="B492" s="26" t="str">
        <x:v>31_H6_and_Release_Readiness_Checklist.xlsx</x:v>
      </x:c>
      <x:c r="C492" s="26" t="str">
        <x:v>Release / Steamworks y cuenta / Release readiness</x:v>
      </x:c>
      <x:c r="D492" s="26" t="str">
        <x:v>Steamworks y cuenta</x:v>
      </x:c>
      <x:c r="E492" s="26" t="str">
        <x:v>La cuenta Steamworks, organización y datos fiscales/bancarios están operativos y bajo acceso controlado.</x:v>
      </x:c>
      <x:c r="F492" s="26" t="str">
        <x:v>Revisar, ejecutar y registrar evidencia reproducible.</x:v>
      </x:c>
      <x:c r="G492" s="26" t="str">
        <x:v>Release readiness control</x:v>
      </x:c>
      <x:c r="H492" s="26" t="str">
        <x:v>Activo</x:v>
      </x:c>
      <x:c r="I492" s="26" t="str">
        <x:v>Steam/Engineering</x:v>
      </x:c>
    </x:row>
    <x:row r="493" ht="30" customHeight="1">
      <x:c r="A493" s="26" t="str">
        <x:v>REL-STM-002</x:v>
      </x:c>
      <x:c r="B493" s="26" t="str">
        <x:v>31_H6_and_Release_Readiness_Checklist.xlsx</x:v>
      </x:c>
      <x:c r="C493" s="26" t="str">
        <x:v>Release / Steamworks y cuenta / Release readiness</x:v>
      </x:c>
      <x:c r="D493" s="26" t="str">
        <x:v>Steamworks y cuenta</x:v>
      </x:c>
      <x:c r="E493" s="26" t="str">
        <x:v>El AppID y nombre interno están creados sin publicar un naming no autorizado.</x:v>
      </x:c>
      <x:c r="F493" s="26" t="str">
        <x:v>Revisar, ejecutar y registrar evidencia reproducible.</x:v>
      </x:c>
      <x:c r="G493" s="26" t="str">
        <x:v>Release readiness control</x:v>
      </x:c>
      <x:c r="H493" s="26" t="str">
        <x:v>Activo</x:v>
      </x:c>
      <x:c r="I493" s="26" t="str">
        <x:v>Steam/Engineering</x:v>
      </x:c>
    </x:row>
    <x:row r="494" ht="30" customHeight="1">
      <x:c r="A494" s="26" t="str">
        <x:v>REL-STM-003</x:v>
      </x:c>
      <x:c r="B494" s="26" t="str">
        <x:v>31_H6_and_Release_Readiness_Checklist.xlsx</x:v>
      </x:c>
      <x:c r="C494" s="26" t="str">
        <x:v>Release / Steamworks y cuenta / Release readiness</x:v>
      </x:c>
      <x:c r="D494" s="26" t="str">
        <x:v>Steamworks y cuenta</x:v>
      </x:c>
      <x:c r="E494" s="26" t="str">
        <x:v>Roles y permisos de Steamworks aplican mínimo privilegio y MFA donde esté disponible.</x:v>
      </x:c>
      <x:c r="F494" s="26" t="str">
        <x:v>Revisar, ejecutar y registrar evidencia reproducible.</x:v>
      </x:c>
      <x:c r="G494" s="26" t="str">
        <x:v>Release readiness control</x:v>
      </x:c>
      <x:c r="H494" s="26" t="str">
        <x:v>Activo</x:v>
      </x:c>
      <x:c r="I494" s="26" t="str">
        <x:v>Steam/Engineering</x:v>
      </x:c>
    </x:row>
    <x:row r="495" ht="30" customHeight="1">
      <x:c r="A495" s="26" t="str">
        <x:v>REL-STM-004</x:v>
      </x:c>
      <x:c r="B495" s="26" t="str">
        <x:v>31_H6_and_Release_Readiness_Checklist.xlsx</x:v>
      </x:c>
      <x:c r="C495" s="26" t="str">
        <x:v>Release / Steamworks y cuenta / Release readiness</x:v>
      </x:c>
      <x:c r="D495" s="26" t="str">
        <x:v>Steamworks y cuenta</x:v>
      </x:c>
      <x:c r="E495" s="26" t="str">
        <x:v>Los contactos de Valve y responsables internos están documentados.</x:v>
      </x:c>
      <x:c r="F495" s="26" t="str">
        <x:v>Revisar, ejecutar y registrar evidencia reproducible.</x:v>
      </x:c>
      <x:c r="G495" s="26" t="str">
        <x:v>Release readiness control</x:v>
      </x:c>
      <x:c r="H495" s="26" t="str">
        <x:v>Activo</x:v>
      </x:c>
      <x:c r="I495" s="26" t="str">
        <x:v>Steam/Engineering</x:v>
      </x:c>
    </x:row>
    <x:row r="496" ht="30" customHeight="1">
      <x:c r="A496" s="26" t="str">
        <x:v>REL-STM-005</x:v>
      </x:c>
      <x:c r="B496" s="26" t="str">
        <x:v>31_H6_and_Release_Readiness_Checklist.xlsx</x:v>
      </x:c>
      <x:c r="C496" s="26" t="str">
        <x:v>Release / Steamworks y cuenta / Release readiness</x:v>
      </x:c>
      <x:c r="D496" s="26" t="str">
        <x:v>Steamworks y cuenta</x:v>
      </x:c>
      <x:c r="E496" s="26" t="str">
        <x:v>Los SDK/redistributables necesarios están versionados y sus licencias revisadas.</x:v>
      </x:c>
      <x:c r="F496" s="26" t="str">
        <x:v>Revisar, ejecutar y registrar evidencia reproducible.</x:v>
      </x:c>
      <x:c r="G496" s="26" t="str">
        <x:v>Release readiness control</x:v>
      </x:c>
      <x:c r="H496" s="26" t="str">
        <x:v>Activo</x:v>
      </x:c>
      <x:c r="I496" s="26" t="str">
        <x:v>Steam/Engineering</x:v>
      </x:c>
    </x:row>
    <x:row r="497" ht="30" customHeight="1">
      <x:c r="A497" s="26" t="str">
        <x:v>REL-STM-006</x:v>
      </x:c>
      <x:c r="B497" s="26" t="str">
        <x:v>31_H6_and_Release_Readiness_Checklist.xlsx</x:v>
      </x:c>
      <x:c r="C497" s="26" t="str">
        <x:v>Release / Steamworks y cuenta / Release readiness</x:v>
      </x:c>
      <x:c r="D497" s="26" t="str">
        <x:v>Steamworks y cuenta</x:v>
      </x:c>
      <x:c r="E497" s="26" t="str">
        <x:v>La integración Steamworks está aislada y ofrece fallback/no-op cuando corresponde.</x:v>
      </x:c>
      <x:c r="F497" s="26" t="str">
        <x:v>Revisar, ejecutar y registrar evidencia reproducible.</x:v>
      </x:c>
      <x:c r="G497" s="26" t="str">
        <x:v>Release readiness control</x:v>
      </x:c>
      <x:c r="H497" s="26" t="str">
        <x:v>Activo</x:v>
      </x:c>
      <x:c r="I497" s="26" t="str">
        <x:v>Steam/Engineering</x:v>
      </x:c>
    </x:row>
    <x:row r="498" ht="30" customHeight="1">
      <x:c r="A498" s="26" t="str">
        <x:v>REL-STM-007</x:v>
      </x:c>
      <x:c r="B498" s="26" t="str">
        <x:v>31_H6_and_Release_Readiness_Checklist.xlsx</x:v>
      </x:c>
      <x:c r="C498" s="26" t="str">
        <x:v>Release / Steamworks y cuenta / Release readiness</x:v>
      </x:c>
      <x:c r="D498" s="26" t="str">
        <x:v>Steamworks y cuenta</x:v>
      </x:c>
      <x:c r="E498" s="26" t="str">
        <x:v>La aplicación arranca correctamente desde Steam y directamente según soporte definido.</x:v>
      </x:c>
      <x:c r="F498" s="26" t="str">
        <x:v>Revisar, ejecutar y registrar evidencia reproducible.</x:v>
      </x:c>
      <x:c r="G498" s="26" t="str">
        <x:v>Release readiness control</x:v>
      </x:c>
      <x:c r="H498" s="26" t="str">
        <x:v>Activo</x:v>
      </x:c>
      <x:c r="I498" s="26" t="str">
        <x:v>Steam/Engineering</x:v>
      </x:c>
    </x:row>
    <x:row r="499" ht="30" customHeight="1">
      <x:c r="A499" s="26" t="str">
        <x:v>REL-STM-008</x:v>
      </x:c>
      <x:c r="B499" s="26" t="str">
        <x:v>31_H6_and_Release_Readiness_Checklist.xlsx</x:v>
      </x:c>
      <x:c r="C499" s="26" t="str">
        <x:v>Release / Steamworks y cuenta / Release readiness</x:v>
      </x:c>
      <x:c r="D499" s="26" t="str">
        <x:v>Steamworks y cuenta</x:v>
      </x:c>
      <x:c r="E499" s="26" t="str">
        <x:v>Overlay, achievements, cloud u otras funciones solo se habilitan si están implementadas y probadas.</x:v>
      </x:c>
      <x:c r="F499" s="26" t="str">
        <x:v>Revisar, ejecutar y registrar evidencia reproducible.</x:v>
      </x:c>
      <x:c r="G499" s="26" t="str">
        <x:v>Release readiness control</x:v>
      </x:c>
      <x:c r="H499" s="26" t="str">
        <x:v>Activo</x:v>
      </x:c>
      <x:c r="I499" s="26" t="str">
        <x:v>Steam/Engineering</x:v>
      </x:c>
    </x:row>
    <x:row r="500" ht="30" customHeight="1">
      <x:c r="A500" s="26" t="str">
        <x:v>REL-STM-009</x:v>
      </x:c>
      <x:c r="B500" s="26" t="str">
        <x:v>31_H6_and_Release_Readiness_Checklist.xlsx</x:v>
      </x:c>
      <x:c r="C500" s="26" t="str">
        <x:v>Release / Steamworks y cuenta / Release readiness</x:v>
      </x:c>
      <x:c r="D500" s="26" t="str">
        <x:v>Steamworks y cuenta</x:v>
      </x:c>
      <x:c r="E500" s="26" t="str">
        <x:v>Steam Cloud, si se activa, tiene conflictos, cuota, exclusiones y pruebas de corrupción definidos.</x:v>
      </x:c>
      <x:c r="F500" s="26" t="str">
        <x:v>Revisar, ejecutar y registrar evidencia reproducible.</x:v>
      </x:c>
      <x:c r="G500" s="26" t="str">
        <x:v>Release readiness control</x:v>
      </x:c>
      <x:c r="H500" s="26" t="str">
        <x:v>Activo</x:v>
      </x:c>
      <x:c r="I500" s="26" t="str">
        <x:v>Steam/Engineering</x:v>
      </x:c>
    </x:row>
    <x:row r="501" ht="30" customHeight="1">
      <x:c r="A501" s="26" t="str">
        <x:v>REL-STM-010</x:v>
      </x:c>
      <x:c r="B501" s="26" t="str">
        <x:v>31_H6_and_Release_Readiness_Checklist.xlsx</x:v>
      </x:c>
      <x:c r="C501" s="26" t="str">
        <x:v>Release / Steamworks y cuenta / Release readiness</x:v>
      </x:c>
      <x:c r="D501" s="26" t="str">
        <x:v>Steamworks y cuenta</x:v>
      </x:c>
      <x:c r="E501" s="26" t="str">
        <x:v>Los logros, si existen, no revelan contenido no anunciado y funcionan offline/online según diseño.</x:v>
      </x:c>
      <x:c r="F501" s="26" t="str">
        <x:v>Revisar, ejecutar y registrar evidencia reproducible.</x:v>
      </x:c>
      <x:c r="G501" s="26" t="str">
        <x:v>Release readiness control</x:v>
      </x:c>
      <x:c r="H501" s="26" t="str">
        <x:v>Activo</x:v>
      </x:c>
      <x:c r="I501" s="26" t="str">
        <x:v>Steam/Engineering</x:v>
      </x:c>
    </x:row>
    <x:row r="502" ht="30" customHeight="1">
      <x:c r="A502" s="26" t="str">
        <x:v>REL-STM-011</x:v>
      </x:c>
      <x:c r="B502" s="26" t="str">
        <x:v>31_H6_and_Release_Readiness_Checklist.xlsx</x:v>
      </x:c>
      <x:c r="C502" s="26" t="str">
        <x:v>Release / Steamworks y cuenta / Release readiness</x:v>
      </x:c>
      <x:c r="D502" s="26" t="str">
        <x:v>Steamworks y cuenta</x:v>
      </x:c>
      <x:c r="E502" s="26" t="str">
        <x:v>Los redistributables y requisitos de runtime se instalan correctamente.</x:v>
      </x:c>
      <x:c r="F502" s="26" t="str">
        <x:v>Revisar, ejecutar y registrar evidencia reproducible.</x:v>
      </x:c>
      <x:c r="G502" s="26" t="str">
        <x:v>Release readiness control</x:v>
      </x:c>
      <x:c r="H502" s="26" t="str">
        <x:v>Activo</x:v>
      </x:c>
      <x:c r="I502" s="26" t="str">
        <x:v>Steam/Engineering</x:v>
      </x:c>
    </x:row>
    <x:row r="503" ht="30" customHeight="1">
      <x:c r="A503" s="26" t="str">
        <x:v>REL-STM-012</x:v>
      </x:c>
      <x:c r="B503" s="26" t="str">
        <x:v>31_H6_and_Release_Readiness_Checklist.xlsx</x:v>
      </x:c>
      <x:c r="C503" s="26" t="str">
        <x:v>Release / Steamworks y cuenta / Release readiness</x:v>
      </x:c>
      <x:c r="D503" s="26" t="str">
        <x:v>Steamworks y cuenta</x:v>
      </x:c>
      <x:c r="E503" s="26" t="str">
        <x:v>La configuración de OS soportados y arquitectura coincide con las builds probadas.</x:v>
      </x:c>
      <x:c r="F503" s="26" t="str">
        <x:v>Revisar, ejecutar y registrar evidencia reproducible.</x:v>
      </x:c>
      <x:c r="G503" s="26" t="str">
        <x:v>Release readiness control</x:v>
      </x:c>
      <x:c r="H503" s="26" t="str">
        <x:v>Activo</x:v>
      </x:c>
      <x:c r="I503" s="26" t="str">
        <x:v>Steam/Engineering</x:v>
      </x:c>
    </x:row>
    <x:row r="504" ht="30" customHeight="1">
      <x:c r="A504" s="26" t="str">
        <x:v>REL-STM-013</x:v>
      </x:c>
      <x:c r="B504" s="26" t="str">
        <x:v>31_H6_and_Release_Readiness_Checklist.xlsx</x:v>
      </x:c>
      <x:c r="C504" s="26" t="str">
        <x:v>Release / Steamworks y cuenta / Release readiness</x:v>
      </x:c>
      <x:c r="D504" s="26" t="str">
        <x:v>Steamworks y cuenta</x:v>
      </x:c>
      <x:c r="E504" s="26" t="str">
        <x:v>La integración no introduce una dependencia justo antes del gate sin regresión completa.</x:v>
      </x:c>
      <x:c r="F504" s="26" t="str">
        <x:v>Revisar, ejecutar y registrar evidencia reproducible.</x:v>
      </x:c>
      <x:c r="G504" s="26" t="str">
        <x:v>Release readiness control</x:v>
      </x:c>
      <x:c r="H504" s="26" t="str">
        <x:v>Activo</x:v>
      </x:c>
      <x:c r="I504" s="26" t="str">
        <x:v>Steam/Engineering</x:v>
      </x:c>
    </x:row>
    <x:row r="505" ht="30" customHeight="1">
      <x:c r="A505" s="26" t="str">
        <x:v>REL-STM-014</x:v>
      </x:c>
      <x:c r="B505" s="26" t="str">
        <x:v>31_H6_and_Release_Readiness_Checklist.xlsx</x:v>
      </x:c>
      <x:c r="C505" s="26" t="str">
        <x:v>Release / Steamworks y cuenta / Release readiness</x:v>
      </x:c>
      <x:c r="D505" s="26" t="str">
        <x:v>Steamworks y cuenta</x:v>
      </x:c>
      <x:c r="E505" s="26" t="str">
        <x:v>Los datos/estadísticas Steam usados cumplen privacidad y propósito declarado.</x:v>
      </x:c>
      <x:c r="F505" s="26" t="str">
        <x:v>Revisar, ejecutar y registrar evidencia reproducible.</x:v>
      </x:c>
      <x:c r="G505" s="26" t="str">
        <x:v>Release readiness control</x:v>
      </x:c>
      <x:c r="H505" s="26" t="str">
        <x:v>Activo</x:v>
      </x:c>
      <x:c r="I505" s="26" t="str">
        <x:v>Steam/Engineering</x:v>
      </x:c>
    </x:row>
    <x:row r="506" ht="30" customHeight="1">
      <x:c r="A506" s="26" t="str">
        <x:v>REL-STM-015</x:v>
      </x:c>
      <x:c r="B506" s="26" t="str">
        <x:v>31_H6_and_Release_Readiness_Checklist.xlsx</x:v>
      </x:c>
      <x:c r="C506" s="26" t="str">
        <x:v>Release / Steamworks y cuenta / Release readiness</x:v>
      </x:c>
      <x:c r="D506" s="26" t="str">
        <x:v>Steamworks y cuenta</x:v>
      </x:c>
      <x:c r="E506" s="26" t="str">
        <x:v>No se exponen claves de publisher, depot o credenciales en repositorio/CI.</x:v>
      </x:c>
      <x:c r="F506" s="26" t="str">
        <x:v>Revisar, ejecutar y registrar evidencia reproducible.</x:v>
      </x:c>
      <x:c r="G506" s="26" t="str">
        <x:v>Release readiness control</x:v>
      </x:c>
      <x:c r="H506" s="26" t="str">
        <x:v>Activo</x:v>
      </x:c>
      <x:c r="I506" s="26" t="str">
        <x:v>Steam/Engineering</x:v>
      </x:c>
    </x:row>
    <x:row r="507" ht="30" customHeight="1">
      <x:c r="A507" s="26" t="str">
        <x:v>REL-STORE-001</x:v>
      </x:c>
      <x:c r="B507" s="26" t="str">
        <x:v>31_H6_and_Release_Readiness_Checklist.xlsx</x:v>
      </x:c>
      <x:c r="C507" s="26" t="str">
        <x:v>Release / Página de tienda y contenido público / Release readiness</x:v>
      </x:c>
      <x:c r="D507" s="26" t="str">
        <x:v>Página de tienda y contenido público</x:v>
      </x:c>
      <x:c r="E507" s="26" t="str">
        <x:v>El nombre comercial y del estudio tienen clearance suficiente para publicación.</x:v>
      </x:c>
      <x:c r="F507" s="26" t="str">
        <x:v>Revisar, ejecutar y registrar evidencia reproducible.</x:v>
      </x:c>
      <x:c r="G507" s="26" t="str">
        <x:v>Release readiness control</x:v>
      </x:c>
      <x:c r="H507" s="26" t="str">
        <x:v>Activo</x:v>
      </x:c>
      <x:c r="I507" s="26" t="str">
        <x:v>Marketing/Steam</x:v>
      </x:c>
    </x:row>
    <x:row r="508" ht="30" customHeight="1">
      <x:c r="A508" s="26" t="str">
        <x:v>REL-STORE-002</x:v>
      </x:c>
      <x:c r="B508" s="26" t="str">
        <x:v>31_H6_and_Release_Readiness_Checklist.xlsx</x:v>
      </x:c>
      <x:c r="C508" s="26" t="str">
        <x:v>Release / Página de tienda y contenido público / Release readiness</x:v>
      </x:c>
      <x:c r="D508" s="26" t="str">
        <x:v>Página de tienda y contenido público</x:v>
      </x:c>
      <x:c r="E508" s="26" t="str">
        <x:v>La descripción corta comunica la fantasía y alcance real sin claims no demostrados.</x:v>
      </x:c>
      <x:c r="F508" s="26" t="str">
        <x:v>Revisar, ejecutar y registrar evidencia reproducible.</x:v>
      </x:c>
      <x:c r="G508" s="26" t="str">
        <x:v>Release readiness control</x:v>
      </x:c>
      <x:c r="H508" s="26" t="str">
        <x:v>Activo</x:v>
      </x:c>
      <x:c r="I508" s="26" t="str">
        <x:v>Marketing/Steam</x:v>
      </x:c>
    </x:row>
    <x:row r="509" ht="30" customHeight="1">
      <x:c r="A509" s="26" t="str">
        <x:v>REL-STORE-003</x:v>
      </x:c>
      <x:c r="B509" s="26" t="str">
        <x:v>31_H6_and_Release_Readiness_Checklist.xlsx</x:v>
      </x:c>
      <x:c r="C509" s="26" t="str">
        <x:v>Release / Página de tienda y contenido público / Release readiness</x:v>
      </x:c>
      <x:c r="D509" s="26" t="str">
        <x:v>Página de tienda y contenido público</x:v>
      </x:c>
      <x:c r="E509" s="26" t="str">
        <x:v>La descripción larga, features y FAQ coinciden con la build y roadmap aprobado.</x:v>
      </x:c>
      <x:c r="F509" s="26" t="str">
        <x:v>Revisar, ejecutar y registrar evidencia reproducible.</x:v>
      </x:c>
      <x:c r="G509" s="26" t="str">
        <x:v>Release readiness control</x:v>
      </x:c>
      <x:c r="H509" s="26" t="str">
        <x:v>Activo</x:v>
      </x:c>
      <x:c r="I509" s="26" t="str">
        <x:v>Marketing/Steam</x:v>
      </x:c>
    </x:row>
    <x:row r="510" ht="30" customHeight="1">
      <x:c r="A510" s="26" t="str">
        <x:v>REL-STORE-004</x:v>
      </x:c>
      <x:c r="B510" s="26" t="str">
        <x:v>31_H6_and_Release_Readiness_Checklist.xlsx</x:v>
      </x:c>
      <x:c r="C510" s="26" t="str">
        <x:v>Release / Página de tienda y contenido público / Release readiness</x:v>
      </x:c>
      <x:c r="D510" s="26" t="str">
        <x:v>Página de tienda y contenido público</x:v>
      </x:c>
      <x:c r="E510" s="26" t="str">
        <x:v>Las categorías, tags y géneros no inducen a error sobre el producto.</x:v>
      </x:c>
      <x:c r="F510" s="26" t="str">
        <x:v>Revisar, ejecutar y registrar evidencia reproducible.</x:v>
      </x:c>
      <x:c r="G510" s="26" t="str">
        <x:v>Release readiness control</x:v>
      </x:c>
      <x:c r="H510" s="26" t="str">
        <x:v>Activo</x:v>
      </x:c>
      <x:c r="I510" s="26" t="str">
        <x:v>Marketing/Steam</x:v>
      </x:c>
    </x:row>
    <x:row r="511" ht="30" customHeight="1">
      <x:c r="A511" s="26" t="str">
        <x:v>REL-STORE-005</x:v>
      </x:c>
      <x:c r="B511" s="26" t="str">
        <x:v>31_H6_and_Release_Readiness_Checklist.xlsx</x:v>
      </x:c>
      <x:c r="C511" s="26" t="str">
        <x:v>Release / Página de tienda y contenido público / Release readiness</x:v>
      </x:c>
      <x:c r="D511" s="26" t="str">
        <x:v>Página de tienda y contenido público</x:v>
      </x:c>
      <x:c r="E511" s="26" t="str">
        <x:v>Las cápsulas cumplen tamaños, legibilidad, branding y licencias.</x:v>
      </x:c>
      <x:c r="F511" s="26" t="str">
        <x:v>Revisar, ejecutar y registrar evidencia reproducible.</x:v>
      </x:c>
      <x:c r="G511" s="26" t="str">
        <x:v>Release readiness control</x:v>
      </x:c>
      <x:c r="H511" s="26" t="str">
        <x:v>Activo</x:v>
      </x:c>
      <x:c r="I511" s="26" t="str">
        <x:v>Marketing/Steam</x:v>
      </x:c>
    </x:row>
    <x:row r="512" ht="30" customHeight="1">
      <x:c r="A512" s="26" t="str">
        <x:v>REL-STORE-006</x:v>
      </x:c>
      <x:c r="B512" s="26" t="str">
        <x:v>31_H6_and_Release_Readiness_Checklist.xlsx</x:v>
      </x:c>
      <x:c r="C512" s="26" t="str">
        <x:v>Release / Página de tienda y contenido público / Release readiness</x:v>
      </x:c>
      <x:c r="D512" s="26" t="str">
        <x:v>Página de tienda y contenido público</x:v>
      </x:c>
      <x:c r="E512" s="26" t="str">
        <x:v>Los screenshots provienen de build aprobada, sin debug, placeholders ni contenido no autorizado.</x:v>
      </x:c>
      <x:c r="F512" s="26" t="str">
        <x:v>Revisar, ejecutar y registrar evidencia reproducible.</x:v>
      </x:c>
      <x:c r="G512" s="26" t="str">
        <x:v>Release readiness control</x:v>
      </x:c>
      <x:c r="H512" s="26" t="str">
        <x:v>Activo</x:v>
      </x:c>
      <x:c r="I512" s="26" t="str">
        <x:v>Marketing/Steam</x:v>
      </x:c>
    </x:row>
    <x:row r="513" ht="30" customHeight="1">
      <x:c r="A513" s="26" t="str">
        <x:v>REL-STORE-007</x:v>
      </x:c>
      <x:c r="B513" s="26" t="str">
        <x:v>31_H6_and_Release_Readiness_Checklist.xlsx</x:v>
      </x:c>
      <x:c r="C513" s="26" t="str">
        <x:v>Release / Página de tienda y contenido público / Release readiness</x:v>
      </x:c>
      <x:c r="D513" s="26" t="str">
        <x:v>Página de tienda y contenido público</x:v>
      </x:c>
      <x:c r="E513" s="26" t="str">
        <x:v>El trailer utiliza footage representativo, audio autorizado y disclaimers cuando sean necesarios.</x:v>
      </x:c>
      <x:c r="F513" s="26" t="str">
        <x:v>Revisar, ejecutar y registrar evidencia reproducible.</x:v>
      </x:c>
      <x:c r="G513" s="26" t="str">
        <x:v>Release readiness control</x:v>
      </x:c>
      <x:c r="H513" s="26" t="str">
        <x:v>Activo</x:v>
      </x:c>
      <x:c r="I513" s="26" t="str">
        <x:v>Marketing/Steam</x:v>
      </x:c>
    </x:row>
    <x:row r="514" ht="30" customHeight="1">
      <x:c r="A514" s="26" t="str">
        <x:v>REL-STORE-008</x:v>
      </x:c>
      <x:c r="B514" s="26" t="str">
        <x:v>31_H6_and_Release_Readiness_Checklist.xlsx</x:v>
      </x:c>
      <x:c r="C514" s="26" t="str">
        <x:v>Release / Página de tienda y contenido público / Release readiness</x:v>
      </x:c>
      <x:c r="D514" s="26" t="str">
        <x:v>Página de tienda y contenido público</x:v>
      </x:c>
      <x:c r="E514" s="26" t="str">
        <x:v>Los idiomas declarados coinciden con texto, interfaz, subtítulos y audio realmente soportados.</x:v>
      </x:c>
      <x:c r="F514" s="26" t="str">
        <x:v>Revisar, ejecutar y registrar evidencia reproducible.</x:v>
      </x:c>
      <x:c r="G514" s="26" t="str">
        <x:v>Release readiness control</x:v>
      </x:c>
      <x:c r="H514" s="26" t="str">
        <x:v>Activo</x:v>
      </x:c>
      <x:c r="I514" s="26" t="str">
        <x:v>Marketing/Steam</x:v>
      </x:c>
    </x:row>
    <x:row r="515" ht="30" customHeight="1">
      <x:c r="A515" s="26" t="str">
        <x:v>REL-STORE-009</x:v>
      </x:c>
      <x:c r="B515" s="26" t="str">
        <x:v>31_H6_and_Release_Readiness_Checklist.xlsx</x:v>
      </x:c>
      <x:c r="C515" s="26" t="str">
        <x:v>Release / Página de tienda y contenido público / Release readiness</x:v>
      </x:c>
      <x:c r="D515" s="26" t="str">
        <x:v>Página de tienda y contenido público</x:v>
      </x:c>
      <x:c r="E515" s="26" t="str">
        <x:v>Las características de accesibilidad declaradas en Steam tienen evidencia de extremo a extremo.</x:v>
      </x:c>
      <x:c r="F515" s="26" t="str">
        <x:v>Revisar, ejecutar y registrar evidencia reproducible.</x:v>
      </x:c>
      <x:c r="G515" s="26" t="str">
        <x:v>Release readiness control</x:v>
      </x:c>
      <x:c r="H515" s="26" t="str">
        <x:v>Activo</x:v>
      </x:c>
      <x:c r="I515" s="26" t="str">
        <x:v>Marketing/Steam</x:v>
      </x:c>
    </x:row>
    <x:row r="516" ht="30" customHeight="1">
      <x:c r="A516" s="26" t="str">
        <x:v>REL-STORE-010</x:v>
      </x:c>
      <x:c r="B516" s="26" t="str">
        <x:v>31_H6_and_Release_Readiness_Checklist.xlsx</x:v>
      </x:c>
      <x:c r="C516" s="26" t="str">
        <x:v>Release / Página de tienda y contenido público / Release readiness</x:v>
      </x:c>
      <x:c r="D516" s="26" t="str">
        <x:v>Página de tienda y contenido público</x:v>
      </x:c>
      <x:c r="E516" s="26" t="str">
        <x:v>Los requisitos del sistema se basan en hardware probado y no en estimaciones no verificadas.</x:v>
      </x:c>
      <x:c r="F516" s="26" t="str">
        <x:v>Revisar, ejecutar y registrar evidencia reproducible.</x:v>
      </x:c>
      <x:c r="G516" s="26" t="str">
        <x:v>Release readiness control</x:v>
      </x:c>
      <x:c r="H516" s="26" t="str">
        <x:v>Activo</x:v>
      </x:c>
      <x:c r="I516" s="26" t="str">
        <x:v>Marketing/Steam</x:v>
      </x:c>
    </x:row>
    <x:row r="517" ht="30" customHeight="1">
      <x:c r="A517" s="26" t="str">
        <x:v>REL-STORE-011</x:v>
      </x:c>
      <x:c r="B517" s="26" t="str">
        <x:v>31_H6_and_Release_Readiness_Checklist.xlsx</x:v>
      </x:c>
      <x:c r="C517" s="26" t="str">
        <x:v>Release / Página de tienda y contenido público / Release readiness</x:v>
      </x:c>
      <x:c r="D517" s="26" t="str">
        <x:v>Página de tienda y contenido público</x:v>
      </x:c>
      <x:c r="E517" s="26" t="str">
        <x:v>La clasificación por edades/contenido y cuestionarios se completan con información veraz.</x:v>
      </x:c>
      <x:c r="F517" s="26" t="str">
        <x:v>Revisar, ejecutar y registrar evidencia reproducible.</x:v>
      </x:c>
      <x:c r="G517" s="26" t="str">
        <x:v>Release readiness control</x:v>
      </x:c>
      <x:c r="H517" s="26" t="str">
        <x:v>Activo</x:v>
      </x:c>
      <x:c r="I517" s="26" t="str">
        <x:v>Marketing/Steam</x:v>
      </x:c>
    </x:row>
    <x:row r="518" ht="30" customHeight="1">
      <x:c r="A518" s="26" t="str">
        <x:v>REL-STORE-012</x:v>
      </x:c>
      <x:c r="B518" s="26" t="str">
        <x:v>31_H6_and_Release_Readiness_Checklist.xlsx</x:v>
      </x:c>
      <x:c r="C518" s="26" t="str">
        <x:v>Release / Página de tienda y contenido público / Release readiness</x:v>
      </x:c>
      <x:c r="D518" s="26" t="str">
        <x:v>Página de tienda y contenido público</x:v>
      </x:c>
      <x:c r="E518" s="26" t="str">
        <x:v>Los avisos de terceros, privacidad, soporte y términos están enlazados donde corresponda.</x:v>
      </x:c>
      <x:c r="F518" s="26" t="str">
        <x:v>Revisar, ejecutar y registrar evidencia reproducible.</x:v>
      </x:c>
      <x:c r="G518" s="26" t="str">
        <x:v>Release readiness control</x:v>
      </x:c>
      <x:c r="H518" s="26" t="str">
        <x:v>Activo</x:v>
      </x:c>
      <x:c r="I518" s="26" t="str">
        <x:v>Marketing/Steam</x:v>
      </x:c>
    </x:row>
    <x:row r="519" ht="30" customHeight="1">
      <x:c r="A519" s="26" t="str">
        <x:v>REL-STORE-013</x:v>
      </x:c>
      <x:c r="B519" s="26" t="str">
        <x:v>31_H6_and_Release_Readiness_Checklist.xlsx</x:v>
      </x:c>
      <x:c r="C519" s="26" t="str">
        <x:v>Release / Página de tienda y contenido público / Release readiness</x:v>
      </x:c>
      <x:c r="D519" s="26" t="str">
        <x:v>Página de tienda y contenido público</x:v>
      </x:c>
      <x:c r="E519" s="26" t="str">
        <x:v>La página ha pasado revisión interna de producto, legal, localización, accesibilidad y marketing.</x:v>
      </x:c>
      <x:c r="F519" s="26" t="str">
        <x:v>Revisar, ejecutar y registrar evidencia reproducible.</x:v>
      </x:c>
      <x:c r="G519" s="26" t="str">
        <x:v>Release readiness control</x:v>
      </x:c>
      <x:c r="H519" s="26" t="str">
        <x:v>Activo</x:v>
      </x:c>
      <x:c r="I519" s="26" t="str">
        <x:v>Marketing/Steam</x:v>
      </x:c>
    </x:row>
    <x:row r="520" ht="30" customHeight="1">
      <x:c r="A520" s="26" t="str">
        <x:v>REL-STORE-014</x:v>
      </x:c>
      <x:c r="B520" s="26" t="str">
        <x:v>31_H6_and_Release_Readiness_Checklist.xlsx</x:v>
      </x:c>
      <x:c r="C520" s="26" t="str">
        <x:v>Release / Página de tienda y contenido público / Release readiness</x:v>
      </x:c>
      <x:c r="D520" s="26" t="str">
        <x:v>Página de tienda y contenido público</x:v>
      </x:c>
      <x:c r="E520" s="26" t="str">
        <x:v>Los textos ES/EN de Steam han recibido revisión comercial/nativa y LQA.</x:v>
      </x:c>
      <x:c r="F520" s="26" t="str">
        <x:v>Revisar, ejecutar y registrar evidencia reproducible.</x:v>
      </x:c>
      <x:c r="G520" s="26" t="str">
        <x:v>Release readiness control</x:v>
      </x:c>
      <x:c r="H520" s="26" t="str">
        <x:v>Activo</x:v>
      </x:c>
      <x:c r="I520" s="26" t="str">
        <x:v>Marketing/Steam</x:v>
      </x:c>
    </x:row>
    <x:row r="521" ht="30" customHeight="1">
      <x:c r="A521" s="26" t="str">
        <x:v>REL-STORE-015</x:v>
      </x:c>
      <x:c r="B521" s="26" t="str">
        <x:v>31_H6_and_Release_Readiness_Checklist.xlsx</x:v>
      </x:c>
      <x:c r="C521" s="26" t="str">
        <x:v>Release / Página de tienda y contenido público / Release readiness</x:v>
      </x:c>
      <x:c r="D521" s="26" t="str">
        <x:v>Página de tienda y contenido público</x:v>
      </x:c>
      <x:c r="E521" s="26" t="str">
        <x:v>Las fechas, disponibilidad de demo y calls to action son coherentes en todos los canales.</x:v>
      </x:c>
      <x:c r="F521" s="26" t="str">
        <x:v>Revisar, ejecutar y registrar evidencia reproducible.</x:v>
      </x:c>
      <x:c r="G521" s="26" t="str">
        <x:v>Release readiness control</x:v>
      </x:c>
      <x:c r="H521" s="26" t="str">
        <x:v>Activo</x:v>
      </x:c>
      <x:c r="I521" s="26" t="str">
        <x:v>Marketing/Steam</x:v>
      </x:c>
    </x:row>
    <x:row r="522" ht="30" customHeight="1">
      <x:c r="A522" s="26" t="str">
        <x:v>REL-DEP-001</x:v>
      </x:c>
      <x:c r="B522" s="26" t="str">
        <x:v>31_H6_and_Release_Readiness_Checklist.xlsx</x:v>
      </x:c>
      <x:c r="C522" s="26" t="str">
        <x:v>Release / Depots, ramas y distribución / Release readiness</x:v>
      </x:c>
      <x:c r="D522" s="26" t="str">
        <x:v>Depots, ramas y distribución</x:v>
      </x:c>
      <x:c r="E522" s="26" t="str">
        <x:v>La estructura de depots incluye únicamente archivos necesarios y rutas correctas.</x:v>
      </x:c>
      <x:c r="F522" s="26" t="str">
        <x:v>Revisar, ejecutar y registrar evidencia reproducible.</x:v>
      </x:c>
      <x:c r="G522" s="26" t="str">
        <x:v>Release readiness control</x:v>
      </x:c>
      <x:c r="H522" s="26" t="str">
        <x:v>Activo</x:v>
      </x:c>
      <x:c r="I522" s="26" t="str">
        <x:v>Build/Steam</x:v>
      </x:c>
    </x:row>
    <x:row r="523" ht="30" customHeight="1">
      <x:c r="A523" s="26" t="str">
        <x:v>REL-DEP-002</x:v>
      </x:c>
      <x:c r="B523" s="26" t="str">
        <x:v>31_H6_and_Release_Readiness_Checklist.xlsx</x:v>
      </x:c>
      <x:c r="C523" s="26" t="str">
        <x:v>Release / Depots, ramas y distribución / Release readiness</x:v>
      </x:c>
      <x:c r="D523" s="26" t="str">
        <x:v>Depots, ramas y distribución</x:v>
      </x:c>
      <x:c r="E523" s="26" t="str">
        <x:v>Las ramas default, internal, QA, beta/demo y rollback tienen propósito y permisos definidos.</x:v>
      </x:c>
      <x:c r="F523" s="26" t="str">
        <x:v>Revisar, ejecutar y registrar evidencia reproducible.</x:v>
      </x:c>
      <x:c r="G523" s="26" t="str">
        <x:v>Release readiness control</x:v>
      </x:c>
      <x:c r="H523" s="26" t="str">
        <x:v>Activo</x:v>
      </x:c>
      <x:c r="I523" s="26" t="str">
        <x:v>Build/Steam</x:v>
      </x:c>
    </x:row>
    <x:row r="524" ht="30" customHeight="1">
      <x:c r="A524" s="26" t="str">
        <x:v>REL-DEP-003</x:v>
      </x:c>
      <x:c r="B524" s="26" t="str">
        <x:v>31_H6_and_Release_Readiness_Checklist.xlsx</x:v>
      </x:c>
      <x:c r="C524" s="26" t="str">
        <x:v>Release / Depots, ramas y distribución / Release readiness</x:v>
      </x:c>
      <x:c r="D524" s="26" t="str">
        <x:v>Depots, ramas y distribución</x:v>
      </x:c>
      <x:c r="E524" s="26" t="str">
        <x:v>La build subida a Steam coincide por hash/manifest con la RC aprobada.</x:v>
      </x:c>
      <x:c r="F524" s="26" t="str">
        <x:v>Revisar, ejecutar y registrar evidencia reproducible.</x:v>
      </x:c>
      <x:c r="G524" s="26" t="str">
        <x:v>Release readiness control</x:v>
      </x:c>
      <x:c r="H524" s="26" t="str">
        <x:v>Activo</x:v>
      </x:c>
      <x:c r="I524" s="26" t="str">
        <x:v>Build/Steam</x:v>
      </x:c>
    </x:row>
    <x:row r="525" ht="30" customHeight="1">
      <x:c r="A525" s="26" t="str">
        <x:v>REL-DEP-004</x:v>
      </x:c>
      <x:c r="B525" s="26" t="str">
        <x:v>31_H6_and_Release_Readiness_Checklist.xlsx</x:v>
      </x:c>
      <x:c r="C525" s="26" t="str">
        <x:v>Release / Depots, ramas y distribución / Release readiness</x:v>
      </x:c>
      <x:c r="D525" s="26" t="str">
        <x:v>Depots, ramas y distribución</x:v>
      </x:c>
      <x:c r="E525" s="26" t="str">
        <x:v>Los scripts de upload no contienen credenciales y usan cuentas/entornos controlados.</x:v>
      </x:c>
      <x:c r="F525" s="26" t="str">
        <x:v>Revisar, ejecutar y registrar evidencia reproducible.</x:v>
      </x:c>
      <x:c r="G525" s="26" t="str">
        <x:v>Release readiness control</x:v>
      </x:c>
      <x:c r="H525" s="26" t="str">
        <x:v>Activo</x:v>
      </x:c>
      <x:c r="I525" s="26" t="str">
        <x:v>Build/Steam</x:v>
      </x:c>
    </x:row>
    <x:row r="526" ht="30" customHeight="1">
      <x:c r="A526" s="26" t="str">
        <x:v>REL-DEP-005</x:v>
      </x:c>
      <x:c r="B526" s="26" t="str">
        <x:v>31_H6_and_Release_Readiness_Checklist.xlsx</x:v>
      </x:c>
      <x:c r="C526" s="26" t="str">
        <x:v>Release / Depots, ramas y distribución / Release readiness</x:v>
      </x:c>
      <x:c r="D526" s="26" t="str">
        <x:v>Depots, ramas y distribución</x:v>
      </x:c>
      <x:c r="E526" s="26" t="str">
        <x:v>La instalación limpia, actualización incremental y desinstalación funcionan.</x:v>
      </x:c>
      <x:c r="F526" s="26" t="str">
        <x:v>Revisar, ejecutar y registrar evidencia reproducible.</x:v>
      </x:c>
      <x:c r="G526" s="26" t="str">
        <x:v>Release readiness control</x:v>
      </x:c>
      <x:c r="H526" s="26" t="str">
        <x:v>Activo</x:v>
      </x:c>
      <x:c r="I526" s="26" t="str">
        <x:v>Build/Steam</x:v>
      </x:c>
    </x:row>
    <x:row r="527" ht="30" customHeight="1">
      <x:c r="A527" s="26" t="str">
        <x:v>REL-DEP-006</x:v>
      </x:c>
      <x:c r="B527" s="26" t="str">
        <x:v>31_H6_and_Release_Readiness_Checklist.xlsx</x:v>
      </x:c>
      <x:c r="C527" s="26" t="str">
        <x:v>Release / Depots, ramas y distribución / Release readiness</x:v>
      </x:c>
      <x:c r="D527" s="26" t="str">
        <x:v>Depots, ramas y distribución</x:v>
      </x:c>
      <x:c r="E527" s="26" t="str">
        <x:v>Los saves/configuración permanecen compatibles durante actualización y rollback soportado.</x:v>
      </x:c>
      <x:c r="F527" s="26" t="str">
        <x:v>Revisar, ejecutar y registrar evidencia reproducible.</x:v>
      </x:c>
      <x:c r="G527" s="26" t="str">
        <x:v>Release readiness control</x:v>
      </x:c>
      <x:c r="H527" s="26" t="str">
        <x:v>Activo</x:v>
      </x:c>
      <x:c r="I527" s="26" t="str">
        <x:v>Build/Steam</x:v>
      </x:c>
    </x:row>
    <x:row r="528" ht="30" customHeight="1">
      <x:c r="A528" s="26" t="str">
        <x:v>REL-DEP-007</x:v>
      </x:c>
      <x:c r="B528" s="26" t="str">
        <x:v>31_H6_and_Release_Readiness_Checklist.xlsx</x:v>
      </x:c>
      <x:c r="C528" s="26" t="str">
        <x:v>Release / Depots, ramas y distribución / Release readiness</x:v>
      </x:c>
      <x:c r="D528" s="26" t="str">
        <x:v>Depots, ramas y distribución</x:v>
      </x:c>
      <x:c r="E528" s="26" t="str">
        <x:v>La build no incluye symbols, logs o herramientas internas no autorizadas.</x:v>
      </x:c>
      <x:c r="F528" s="26" t="str">
        <x:v>Revisar, ejecutar y registrar evidencia reproducible.</x:v>
      </x:c>
      <x:c r="G528" s="26" t="str">
        <x:v>Release readiness control</x:v>
      </x:c>
      <x:c r="H528" s="26" t="str">
        <x:v>Activo</x:v>
      </x:c>
      <x:c r="I528" s="26" t="str">
        <x:v>Build/Steam</x:v>
      </x:c>
    </x:row>
    <x:row r="529" ht="30" customHeight="1">
      <x:c r="A529" s="26" t="str">
        <x:v>REL-DEP-008</x:v>
      </x:c>
      <x:c r="B529" s="26" t="str">
        <x:v>31_H6_and_Release_Readiness_Checklist.xlsx</x:v>
      </x:c>
      <x:c r="C529" s="26" t="str">
        <x:v>Release / Depots, ramas y distribución / Release readiness</x:v>
      </x:c>
      <x:c r="D529" s="26" t="str">
        <x:v>Depots, ramas y distribución</x:v>
      </x:c>
      <x:c r="E529" s="26" t="str">
        <x:v>La firma/notarización aplicable y reputación del ejecutable se revisan.</x:v>
      </x:c>
      <x:c r="F529" s="26" t="str">
        <x:v>Revisar, ejecutar y registrar evidencia reproducible.</x:v>
      </x:c>
      <x:c r="G529" s="26" t="str">
        <x:v>Release readiness control</x:v>
      </x:c>
      <x:c r="H529" s="26" t="str">
        <x:v>Activo</x:v>
      </x:c>
      <x:c r="I529" s="26" t="str">
        <x:v>Build/Steam</x:v>
      </x:c>
    </x:row>
    <x:row r="530" ht="30" customHeight="1">
      <x:c r="A530" s="26" t="str">
        <x:v>REL-DEP-009</x:v>
      </x:c>
      <x:c r="B530" s="26" t="str">
        <x:v>31_H6_and_Release_Readiness_Checklist.xlsx</x:v>
      </x:c>
      <x:c r="C530" s="26" t="str">
        <x:v>Release / Depots, ramas y distribución / Release readiness</x:v>
      </x:c>
      <x:c r="D530" s="26" t="str">
        <x:v>Depots, ramas y distribución</x:v>
      </x:c>
      <x:c r="E530" s="26" t="str">
        <x:v>Los antivirus/SmartScreen false positives se evalúan y documentan.</x:v>
      </x:c>
      <x:c r="F530" s="26" t="str">
        <x:v>Revisar, ejecutar y registrar evidencia reproducible.</x:v>
      </x:c>
      <x:c r="G530" s="26" t="str">
        <x:v>Release readiness control</x:v>
      </x:c>
      <x:c r="H530" s="26" t="str">
        <x:v>Activo</x:v>
      </x:c>
      <x:c r="I530" s="26" t="str">
        <x:v>Build/Steam</x:v>
      </x:c>
    </x:row>
    <x:row r="531" ht="30" customHeight="1">
      <x:c r="A531" s="26" t="str">
        <x:v>REL-DEP-010</x:v>
      </x:c>
      <x:c r="B531" s="26" t="str">
        <x:v>31_H6_and_Release_Readiness_Checklist.xlsx</x:v>
      </x:c>
      <x:c r="C531" s="26" t="str">
        <x:v>Release / Depots, ramas y distribución / Release readiness</x:v>
      </x:c>
      <x:c r="D531" s="26" t="str">
        <x:v>Depots, ramas y distribución</x:v>
      </x:c>
      <x:c r="E531" s="26" t="str">
        <x:v>La build arranca desde rutas con espacios, distintos discos y usuarios sin privilegios.</x:v>
      </x:c>
      <x:c r="F531" s="26" t="str">
        <x:v>Revisar, ejecutar y registrar evidencia reproducible.</x:v>
      </x:c>
      <x:c r="G531" s="26" t="str">
        <x:v>Release readiness control</x:v>
      </x:c>
      <x:c r="H531" s="26" t="str">
        <x:v>Activo</x:v>
      </x:c>
      <x:c r="I531" s="26" t="str">
        <x:v>Build/Steam</x:v>
      </x:c>
    </x:row>
    <x:row r="532" ht="30" customHeight="1">
      <x:c r="A532" s="26" t="str">
        <x:v>REL-DEP-011</x:v>
      </x:c>
      <x:c r="B532" s="26" t="str">
        <x:v>31_H6_and_Release_Readiness_Checklist.xlsx</x:v>
      </x:c>
      <x:c r="C532" s="26" t="str">
        <x:v>Release / Depots, ramas y distribución / Release readiness</x:v>
      </x:c>
      <x:c r="D532" s="26" t="str">
        <x:v>Depots, ramas y distribución</x:v>
      </x:c>
      <x:c r="E532" s="26" t="str">
        <x:v>El contenido de demo, Playtest y full game está correctamente separado.</x:v>
      </x:c>
      <x:c r="F532" s="26" t="str">
        <x:v>Revisar, ejecutar y registrar evidencia reproducible.</x:v>
      </x:c>
      <x:c r="G532" s="26" t="str">
        <x:v>Release readiness control</x:v>
      </x:c>
      <x:c r="H532" s="26" t="str">
        <x:v>Activo</x:v>
      </x:c>
      <x:c r="I532" s="26" t="str">
        <x:v>Build/Steam</x:v>
      </x:c>
    </x:row>
    <x:row r="533" ht="30" customHeight="1">
      <x:c r="A533" s="26" t="str">
        <x:v>REL-DEP-012</x:v>
      </x:c>
      <x:c r="B533" s="26" t="str">
        <x:v>31_H6_and_Release_Readiness_Checklist.xlsx</x:v>
      </x:c>
      <x:c r="C533" s="26" t="str">
        <x:v>Release / Depots, ramas y distribución / Release readiness</x:v>
      </x:c>
      <x:c r="D533" s="26" t="str">
        <x:v>Depots, ramas y distribución</x:v>
      </x:c>
      <x:c r="E533" s="26" t="str">
        <x:v>Los paquetes redistributables no duplican ni rompen instalaciones existentes.</x:v>
      </x:c>
      <x:c r="F533" s="26" t="str">
        <x:v>Revisar, ejecutar y registrar evidencia reproducible.</x:v>
      </x:c>
      <x:c r="G533" s="26" t="str">
        <x:v>Release readiness control</x:v>
      </x:c>
      <x:c r="H533" s="26" t="str">
        <x:v>Activo</x:v>
      </x:c>
      <x:c r="I533" s="26" t="str">
        <x:v>Build/Steam</x:v>
      </x:c>
    </x:row>
    <x:row r="534" ht="30" customHeight="1">
      <x:c r="A534" s="26" t="str">
        <x:v>REL-DEP-013</x:v>
      </x:c>
      <x:c r="B534" s="26" t="str">
        <x:v>31_H6_and_Release_Readiness_Checklist.xlsx</x:v>
      </x:c>
      <x:c r="C534" s="26" t="str">
        <x:v>Release / Depots, ramas y distribución / Release readiness</x:v>
      </x:c>
      <x:c r="D534" s="26" t="str">
        <x:v>Depots, ramas y distribución</x:v>
      </x:c>
      <x:c r="E534" s="26" t="str">
        <x:v>Existe una RC primaria y una RC de rollback verificadas.</x:v>
      </x:c>
      <x:c r="F534" s="26" t="str">
        <x:v>Revisar, ejecutar y registrar evidencia reproducible.</x:v>
      </x:c>
      <x:c r="G534" s="26" t="str">
        <x:v>Release readiness control</x:v>
      </x:c>
      <x:c r="H534" s="26" t="str">
        <x:v>Activo</x:v>
      </x:c>
      <x:c r="I534" s="26" t="str">
        <x:v>Build/Steam</x:v>
      </x:c>
    </x:row>
    <x:row r="535" ht="30" customHeight="1">
      <x:c r="A535" s="26" t="str">
        <x:v>REL-DEP-014</x:v>
      </x:c>
      <x:c r="B535" s="26" t="str">
        <x:v>31_H6_and_Release_Readiness_Checklist.xlsx</x:v>
      </x:c>
      <x:c r="C535" s="26" t="str">
        <x:v>Release / Depots, ramas y distribución / Release readiness</x:v>
      </x:c>
      <x:c r="D535" s="26" t="str">
        <x:v>Depots, ramas y distribución</x:v>
      </x:c>
      <x:c r="E535" s="26" t="str">
        <x:v>Los límites de ancho de banda/tamaño y tiempo de descarga se han estimado con datos reales.</x:v>
      </x:c>
      <x:c r="F535" s="26" t="str">
        <x:v>Revisar, ejecutar y registrar evidencia reproducible.</x:v>
      </x:c>
      <x:c r="G535" s="26" t="str">
        <x:v>Release readiness control</x:v>
      </x:c>
      <x:c r="H535" s="26" t="str">
        <x:v>Activo</x:v>
      </x:c>
      <x:c r="I535" s="26" t="str">
        <x:v>Build/Steam</x:v>
      </x:c>
    </x:row>
    <x:row r="536" ht="30" customHeight="1">
      <x:c r="A536" s="26" t="str">
        <x:v>REL-DEP-015</x:v>
      </x:c>
      <x:c r="B536" s="26" t="str">
        <x:v>31_H6_and_Release_Readiness_Checklist.xlsx</x:v>
      </x:c>
      <x:c r="C536" s="26" t="str">
        <x:v>Release / Depots, ramas y distribución / Release readiness</x:v>
      </x:c>
      <x:c r="D536" s="26" t="str">
        <x:v>Depots, ramas y distribución</x:v>
      </x:c>
      <x:c r="E536" s="26" t="str">
        <x:v>El procedimiento de publicación y reversión ha sido ensayado en entorno seguro.</x:v>
      </x:c>
      <x:c r="F536" s="26" t="str">
        <x:v>Revisar, ejecutar y registrar evidencia reproducible.</x:v>
      </x:c>
      <x:c r="G536" s="26" t="str">
        <x:v>Release readiness control</x:v>
      </x:c>
      <x:c r="H536" s="26" t="str">
        <x:v>Activo</x:v>
      </x:c>
      <x:c r="I536" s="26" t="str">
        <x:v>Build/Steam</x:v>
      </x:c>
    </x:row>
    <x:row r="537" ht="30" customHeight="1">
      <x:c r="A537" s="26" t="str">
        <x:v>REL-QA-001</x:v>
      </x:c>
      <x:c r="B537" s="26" t="str">
        <x:v>31_H6_and_Release_Readiness_Checklist.xlsx</x:v>
      </x:c>
      <x:c r="C537" s="26" t="str">
        <x:v>Release / Release Candidate y QA / Release readiness</x:v>
      </x:c>
      <x:c r="D537" s="26" t="str">
        <x:v>Release Candidate y QA</x:v>
      </x:c>
      <x:c r="E537" s="26" t="str">
        <x:v>La RC proviene de un commit/tag congelado y no contiene cambios no validados.</x:v>
      </x:c>
      <x:c r="F537" s="26" t="str">
        <x:v>Revisar, ejecutar y registrar evidencia reproducible.</x:v>
      </x:c>
      <x:c r="G537" s="26" t="str">
        <x:v>Release readiness control</x:v>
      </x:c>
      <x:c r="H537" s="26" t="str">
        <x:v>Activo</x:v>
      </x:c>
      <x:c r="I537" s="26" t="str">
        <x:v>QA</x:v>
      </x:c>
    </x:row>
    <x:row r="538" ht="30" customHeight="1">
      <x:c r="A538" s="26" t="str">
        <x:v>REL-QA-002</x:v>
      </x:c>
      <x:c r="B538" s="26" t="str">
        <x:v>31_H6_and_Release_Readiness_Checklist.xlsx</x:v>
      </x:c>
      <x:c r="C538" s="26" t="str">
        <x:v>Release / Release Candidate y QA / Release readiness</x:v>
      </x:c>
      <x:c r="D538" s="26" t="str">
        <x:v>Release Candidate y QA</x:v>
      </x:c>
      <x:c r="E538" s="26" t="str">
        <x:v>La regresión completa se ejecuta sobre la misma RC subida a Steam.</x:v>
      </x:c>
      <x:c r="F538" s="26" t="str">
        <x:v>Revisar, ejecutar y registrar evidencia reproducible.</x:v>
      </x:c>
      <x:c r="G538" s="26" t="str">
        <x:v>Release readiness control</x:v>
      </x:c>
      <x:c r="H538" s="26" t="str">
        <x:v>Activo</x:v>
      </x:c>
      <x:c r="I538" s="26" t="str">
        <x:v>QA</x:v>
      </x:c>
    </x:row>
    <x:row r="539" ht="30" customHeight="1">
      <x:c r="A539" s="26" t="str">
        <x:v>REL-QA-003</x:v>
      </x:c>
      <x:c r="B539" s="26" t="str">
        <x:v>31_H6_and_Release_Readiness_Checklist.xlsx</x:v>
      </x:c>
      <x:c r="C539" s="26" t="str">
        <x:v>Release / Release Candidate y QA / Release readiness</x:v>
      </x:c>
      <x:c r="D539" s="26" t="str">
        <x:v>Release Candidate y QA</x:v>
      </x:c>
      <x:c r="E539" s="26" t="str">
        <x:v>Cero S0/S1 abiertos y S2 tratados según política de release.</x:v>
      </x:c>
      <x:c r="F539" s="26" t="str">
        <x:v>Revisar, ejecutar y registrar evidencia reproducible.</x:v>
      </x:c>
      <x:c r="G539" s="26" t="str">
        <x:v>Release readiness control</x:v>
      </x:c>
      <x:c r="H539" s="26" t="str">
        <x:v>Activo</x:v>
      </x:c>
      <x:c r="I539" s="26" t="str">
        <x:v>QA</x:v>
      </x:c>
    </x:row>
    <x:row r="540" ht="30" customHeight="1">
      <x:c r="A540" s="26" t="str">
        <x:v>REL-QA-004</x:v>
      </x:c>
      <x:c r="B540" s="26" t="str">
        <x:v>31_H6_and_Release_Readiness_Checklist.xlsx</x:v>
      </x:c>
      <x:c r="C540" s="26" t="str">
        <x:v>Release / Release Candidate y QA / Release readiness</x:v>
      </x:c>
      <x:c r="D540" s="26" t="str">
        <x:v>Release Candidate y QA</x:v>
      </x:c>
      <x:c r="E540" s="26" t="str">
        <x:v>Golden Path, campaña extensa y principales casos negativos pasan en RC.</x:v>
      </x:c>
      <x:c r="F540" s="26" t="str">
        <x:v>Revisar, ejecutar y registrar evidencia reproducible.</x:v>
      </x:c>
      <x:c r="G540" s="26" t="str">
        <x:v>Release readiness control</x:v>
      </x:c>
      <x:c r="H540" s="26" t="str">
        <x:v>Activo</x:v>
      </x:c>
      <x:c r="I540" s="26" t="str">
        <x:v>QA</x:v>
      </x:c>
    </x:row>
    <x:row r="541" ht="30" customHeight="1">
      <x:c r="A541" s="26" t="str">
        <x:v>REL-QA-005</x:v>
      </x:c>
      <x:c r="B541" s="26" t="str">
        <x:v>31_H6_and_Release_Readiness_Checklist.xlsx</x:v>
      </x:c>
      <x:c r="C541" s="26" t="str">
        <x:v>Release / Release Candidate y QA / Release readiness</x:v>
      </x:c>
      <x:c r="D541" s="26" t="str">
        <x:v>Release Candidate y QA</x:v>
      </x:c>
      <x:c r="E541" s="26" t="str">
        <x:v>Instalación limpia, actualización, rollback y compatibilidad de saves pasan.</x:v>
      </x:c>
      <x:c r="F541" s="26" t="str">
        <x:v>Revisar, ejecutar y registrar evidencia reproducible.</x:v>
      </x:c>
      <x:c r="G541" s="26" t="str">
        <x:v>Release readiness control</x:v>
      </x:c>
      <x:c r="H541" s="26" t="str">
        <x:v>Activo</x:v>
      </x:c>
      <x:c r="I541" s="26" t="str">
        <x:v>QA</x:v>
      </x:c>
    </x:row>
    <x:row r="542" ht="30" customHeight="1">
      <x:c r="A542" s="26" t="str">
        <x:v>REL-QA-006</x:v>
      </x:c>
      <x:c r="B542" s="26" t="str">
        <x:v>31_H6_and_Release_Readiness_Checklist.xlsx</x:v>
      </x:c>
      <x:c r="C542" s="26" t="str">
        <x:v>Release / Release Candidate y QA / Release readiness</x:v>
      </x:c>
      <x:c r="D542" s="26" t="str">
        <x:v>Release Candidate y QA</x:v>
      </x:c>
      <x:c r="E542" s="26" t="str">
        <x:v>La matriz ES/EN, resoluciones, escalas y dispositivos soportados pasa.</x:v>
      </x:c>
      <x:c r="F542" s="26" t="str">
        <x:v>Revisar, ejecutar y registrar evidencia reproducible.</x:v>
      </x:c>
      <x:c r="G542" s="26" t="str">
        <x:v>Release readiness control</x:v>
      </x:c>
      <x:c r="H542" s="26" t="str">
        <x:v>Activo</x:v>
      </x:c>
      <x:c r="I542" s="26" t="str">
        <x:v>QA</x:v>
      </x:c>
    </x:row>
    <x:row r="543" ht="30" customHeight="1">
      <x:c r="A543" s="26" t="str">
        <x:v>REL-QA-007</x:v>
      </x:c>
      <x:c r="B543" s="26" t="str">
        <x:v>31_H6_and_Release_Readiness_Checklist.xlsx</x:v>
      </x:c>
      <x:c r="C543" s="26" t="str">
        <x:v>Release / Release Candidate y QA / Release readiness</x:v>
      </x:c>
      <x:c r="D543" s="26" t="str">
        <x:v>Release Candidate y QA</x:v>
      </x:c>
      <x:c r="E543" s="26" t="str">
        <x:v>Se prueban hardware mínimo, recomendado y al menos un perfil adicional.</x:v>
      </x:c>
      <x:c r="F543" s="26" t="str">
        <x:v>Revisar, ejecutar y registrar evidencia reproducible.</x:v>
      </x:c>
      <x:c r="G543" s="26" t="str">
        <x:v>Release readiness control</x:v>
      </x:c>
      <x:c r="H543" s="26" t="str">
        <x:v>Activo</x:v>
      </x:c>
      <x:c r="I543" s="26" t="str">
        <x:v>QA</x:v>
      </x:c>
    </x:row>
    <x:row r="544" ht="30" customHeight="1">
      <x:c r="A544" s="26" t="str">
        <x:v>REL-QA-008</x:v>
      </x:c>
      <x:c r="B544" s="26" t="str">
        <x:v>31_H6_and_Release_Readiness_Checklist.xlsx</x:v>
      </x:c>
      <x:c r="C544" s="26" t="str">
        <x:v>Release / Release Candidate y QA / Release readiness</x:v>
      </x:c>
      <x:c r="D544" s="26" t="str">
        <x:v>Release Candidate y QA</x:v>
      </x:c>
      <x:c r="E544" s="26" t="str">
        <x:v>Player.log/crash dumps de sesiones largas no muestran errores recurrentes bloqueantes.</x:v>
      </x:c>
      <x:c r="F544" s="26" t="str">
        <x:v>Revisar, ejecutar y registrar evidencia reproducible.</x:v>
      </x:c>
      <x:c r="G544" s="26" t="str">
        <x:v>Release readiness control</x:v>
      </x:c>
      <x:c r="H544" s="26" t="str">
        <x:v>Activo</x:v>
      </x:c>
      <x:c r="I544" s="26" t="str">
        <x:v>QA</x:v>
      </x:c>
    </x:row>
    <x:row r="545" ht="30" customHeight="1">
      <x:c r="A545" s="26" t="str">
        <x:v>REL-QA-009</x:v>
      </x:c>
      <x:c r="B545" s="26" t="str">
        <x:v>31_H6_and_Release_Readiness_Checklist.xlsx</x:v>
      </x:c>
      <x:c r="C545" s="26" t="str">
        <x:v>Release / Release Candidate y QA / Release readiness</x:v>
      </x:c>
      <x:c r="D545" s="26" t="str">
        <x:v>Release Candidate y QA</x:v>
      </x:c>
      <x:c r="E545" s="26" t="str">
        <x:v>La RC se prueba offline, online y con Steam en modo offline.</x:v>
      </x:c>
      <x:c r="F545" s="26" t="str">
        <x:v>Revisar, ejecutar y registrar evidencia reproducible.</x:v>
      </x:c>
      <x:c r="G545" s="26" t="str">
        <x:v>Release readiness control</x:v>
      </x:c>
      <x:c r="H545" s="26" t="str">
        <x:v>Activo</x:v>
      </x:c>
      <x:c r="I545" s="26" t="str">
        <x:v>QA</x:v>
      </x:c>
    </x:row>
    <x:row r="546" ht="30" customHeight="1">
      <x:c r="A546" s="26" t="str">
        <x:v>REL-QA-010</x:v>
      </x:c>
      <x:c r="B546" s="26" t="str">
        <x:v>31_H6_and_Release_Readiness_Checklist.xlsx</x:v>
      </x:c>
      <x:c r="C546" s="26" t="str">
        <x:v>Release / Release Candidate y QA / Release readiness</x:v>
      </x:c>
      <x:c r="D546" s="26" t="str">
        <x:v>Release Candidate y QA</x:v>
      </x:c>
      <x:c r="E546" s="26" t="str">
        <x:v>Los known issues públicos son veraces, acotados y no ocultan bloqueantes.</x:v>
      </x:c>
      <x:c r="F546" s="26" t="str">
        <x:v>Revisar, ejecutar y registrar evidencia reproducible.</x:v>
      </x:c>
      <x:c r="G546" s="26" t="str">
        <x:v>Release readiness control</x:v>
      </x:c>
      <x:c r="H546" s="26" t="str">
        <x:v>Activo</x:v>
      </x:c>
      <x:c r="I546" s="26" t="str">
        <x:v>QA</x:v>
      </x:c>
    </x:row>
    <x:row r="547" ht="30" customHeight="1">
      <x:c r="A547" s="26" t="str">
        <x:v>REL-QA-011</x:v>
      </x:c>
      <x:c r="B547" s="26" t="str">
        <x:v>31_H6_and_Release_Readiness_Checklist.xlsx</x:v>
      </x:c>
      <x:c r="C547" s="26" t="str">
        <x:v>Release / Release Candidate y QA / Release readiness</x:v>
      </x:c>
      <x:c r="D547" s="26" t="str">
        <x:v>Release Candidate y QA</x:v>
      </x:c>
      <x:c r="E547" s="26" t="str">
        <x:v>Las excepciones de release tienen owner, mitigación, soporte y trigger.</x:v>
      </x:c>
      <x:c r="F547" s="26" t="str">
        <x:v>Revisar, ejecutar y registrar evidencia reproducible.</x:v>
      </x:c>
      <x:c r="G547" s="26" t="str">
        <x:v>Release readiness control</x:v>
      </x:c>
      <x:c r="H547" s="26" t="str">
        <x:v>Activo</x:v>
      </x:c>
      <x:c r="I547" s="26" t="str">
        <x:v>QA</x:v>
      </x:c>
    </x:row>
    <x:row r="548" ht="30" customHeight="1">
      <x:c r="A548" s="26" t="str">
        <x:v>REL-QA-012</x:v>
      </x:c>
      <x:c r="B548" s="26" t="str">
        <x:v>31_H6_and_Release_Readiness_Checklist.xlsx</x:v>
      </x:c>
      <x:c r="C548" s="26" t="str">
        <x:v>Release / Release Candidate y QA / Release readiness</x:v>
      </x:c>
      <x:c r="D548" s="26" t="str">
        <x:v>Release Candidate y QA</x:v>
      </x:c>
      <x:c r="E548" s="26" t="str">
        <x:v>El smoke test posterior a upload y previo a publicación está definido y ejecutado.</x:v>
      </x:c>
      <x:c r="F548" s="26" t="str">
        <x:v>Revisar, ejecutar y registrar evidencia reproducible.</x:v>
      </x:c>
      <x:c r="G548" s="26" t="str">
        <x:v>Release readiness control</x:v>
      </x:c>
      <x:c r="H548" s="26" t="str">
        <x:v>Activo</x:v>
      </x:c>
      <x:c r="I548" s="26" t="str">
        <x:v>QA</x:v>
      </x:c>
    </x:row>
    <x:row r="549" ht="30" customHeight="1">
      <x:c r="A549" s="26" t="str">
        <x:v>REL-QA-013</x:v>
      </x:c>
      <x:c r="B549" s="26" t="str">
        <x:v>31_H6_and_Release_Readiness_Checklist.xlsx</x:v>
      </x:c>
      <x:c r="C549" s="26" t="str">
        <x:v>Release / Release Candidate y QA / Release readiness</x:v>
      </x:c>
      <x:c r="D549" s="26" t="str">
        <x:v>Release Candidate y QA</x:v>
      </x:c>
      <x:c r="E549" s="26" t="str">
        <x:v>La prueba de primera ejecución cubre settings por defecto y onboarding.</x:v>
      </x:c>
      <x:c r="F549" s="26" t="str">
        <x:v>Revisar, ejecutar y registrar evidencia reproducible.</x:v>
      </x:c>
      <x:c r="G549" s="26" t="str">
        <x:v>Release readiness control</x:v>
      </x:c>
      <x:c r="H549" s="26" t="str">
        <x:v>Activo</x:v>
      </x:c>
      <x:c r="I549" s="26" t="str">
        <x:v>QA</x:v>
      </x:c>
    </x:row>
    <x:row r="550" ht="30" customHeight="1">
      <x:c r="A550" s="26" t="str">
        <x:v>REL-QA-014</x:v>
      </x:c>
      <x:c r="B550" s="26" t="str">
        <x:v>31_H6_and_Release_Readiness_Checklist.xlsx</x:v>
      </x:c>
      <x:c r="C550" s="26" t="str">
        <x:v>Release / Release Candidate y QA / Release readiness</x:v>
      </x:c>
      <x:c r="D550" s="26" t="str">
        <x:v>Release Candidate y QA</x:v>
      </x:c>
      <x:c r="E550" s="26" t="str">
        <x:v>La recopilación de evidencia no modifica la RC ni activa cheats.</x:v>
      </x:c>
      <x:c r="F550" s="26" t="str">
        <x:v>Revisar, ejecutar y registrar evidencia reproducible.</x:v>
      </x:c>
      <x:c r="G550" s="26" t="str">
        <x:v>Release readiness control</x:v>
      </x:c>
      <x:c r="H550" s="26" t="str">
        <x:v>Activo</x:v>
      </x:c>
      <x:c r="I550" s="26" t="str">
        <x:v>QA</x:v>
      </x:c>
    </x:row>
    <x:row r="551" ht="30" customHeight="1">
      <x:c r="A551" s="26" t="str">
        <x:v>REL-QA-015</x:v>
      </x:c>
      <x:c r="B551" s="26" t="str">
        <x:v>31_H6_and_Release_Readiness_Checklist.xlsx</x:v>
      </x:c>
      <x:c r="C551" s="26" t="str">
        <x:v>Release / Release Candidate y QA / Release readiness</x:v>
      </x:c>
      <x:c r="D551" s="26" t="str">
        <x:v>Release Candidate y QA</x:v>
      </x:c>
      <x:c r="E551" s="26" t="str">
        <x:v>Existe acta formal de RC PASS/FAIL y no-go authority.</x:v>
      </x:c>
      <x:c r="F551" s="26" t="str">
        <x:v>Revisar, ejecutar y registrar evidencia reproducible.</x:v>
      </x:c>
      <x:c r="G551" s="26" t="str">
        <x:v>Release readiness control</x:v>
      </x:c>
      <x:c r="H551" s="26" t="str">
        <x:v>Activo</x:v>
      </x:c>
      <x:c r="I551" s="26" t="str">
        <x:v>QA</x:v>
      </x:c>
    </x:row>
    <x:row r="552" ht="30" customHeight="1">
      <x:c r="A552" s="26" t="str">
        <x:v>REL-PER-001</x:v>
      </x:c>
      <x:c r="B552" s="26" t="str">
        <x:v>31_H6_and_Release_Readiness_Checklist.xlsx</x:v>
      </x:c>
      <x:c r="C552" s="26" t="str">
        <x:v>Release / Rendimiento y requisitos del sistema / Release readiness</x:v>
      </x:c>
      <x:c r="D552" s="26" t="str">
        <x:v>Rendimiento y requisitos del sistema</x:v>
      </x:c>
      <x:c r="E552" s="26" t="str">
        <x:v>Los requisitos mínimo/recomendado se derivan de benchmarks reproducibles.</x:v>
      </x:c>
      <x:c r="F552" s="26" t="str">
        <x:v>Revisar, ejecutar y registrar evidencia reproducible.</x:v>
      </x:c>
      <x:c r="G552" s="26" t="str">
        <x:v>Release readiness control</x:v>
      </x:c>
      <x:c r="H552" s="26" t="str">
        <x:v>Activo</x:v>
      </x:c>
      <x:c r="I552" s="26" t="str">
        <x:v>Engineering/QA</x:v>
      </x:c>
    </x:row>
    <x:row r="553" ht="30" customHeight="1">
      <x:c r="A553" s="26" t="str">
        <x:v>REL-PER-002</x:v>
      </x:c>
      <x:c r="B553" s="26" t="str">
        <x:v>31_H6_and_Release_Readiness_Checklist.xlsx</x:v>
      </x:c>
      <x:c r="C553" s="26" t="str">
        <x:v>Release / Rendimiento y requisitos del sistema / Release readiness</x:v>
      </x:c>
      <x:c r="D553" s="26" t="str">
        <x:v>Rendimiento y requisitos del sistema</x:v>
      </x:c>
      <x:c r="E553" s="26" t="str">
        <x:v>La RC cumple objetivos de frame pacing y estabilidad en hardware mínimo aprobado.</x:v>
      </x:c>
      <x:c r="F553" s="26" t="str">
        <x:v>Revisar, ejecutar y registrar evidencia reproducible.</x:v>
      </x:c>
      <x:c r="G553" s="26" t="str">
        <x:v>Release readiness control</x:v>
      </x:c>
      <x:c r="H553" s="26" t="str">
        <x:v>Activo</x:v>
      </x:c>
      <x:c r="I553" s="26" t="str">
        <x:v>Engineering/QA</x:v>
      </x:c>
    </x:row>
    <x:row r="554" ht="30" customHeight="1">
      <x:c r="A554" s="26" t="str">
        <x:v>REL-PER-003</x:v>
      </x:c>
      <x:c r="B554" s="26" t="str">
        <x:v>31_H6_and_Release_Readiness_Checklist.xlsx</x:v>
      </x:c>
      <x:c r="C554" s="26" t="str">
        <x:v>Release / Rendimiento y requisitos del sistema / Release readiness</x:v>
      </x:c>
      <x:c r="D554" s="26" t="str">
        <x:v>Rendimiento y requisitos del sistema</x:v>
      </x:c>
      <x:c r="E554" s="26" t="str">
        <x:v>Las configuraciones gráficas soportadas producen diferencias reales y seguras.</x:v>
      </x:c>
      <x:c r="F554" s="26" t="str">
        <x:v>Revisar, ejecutar y registrar evidencia reproducible.</x:v>
      </x:c>
      <x:c r="G554" s="26" t="str">
        <x:v>Release readiness control</x:v>
      </x:c>
      <x:c r="H554" s="26" t="str">
        <x:v>Activo</x:v>
      </x:c>
      <x:c r="I554" s="26" t="str">
        <x:v>Engineering/QA</x:v>
      </x:c>
    </x:row>
    <x:row r="555" ht="30" customHeight="1">
      <x:c r="A555" s="26" t="str">
        <x:v>REL-PER-004</x:v>
      </x:c>
      <x:c r="B555" s="26" t="str">
        <x:v>31_H6_and_Release_Readiness_Checklist.xlsx</x:v>
      </x:c>
      <x:c r="C555" s="26" t="str">
        <x:v>Release / Rendimiento y requisitos del sistema / Release readiness</x:v>
      </x:c>
      <x:c r="D555" s="26" t="str">
        <x:v>Rendimiento y requisitos del sistema</x:v>
      </x:c>
      <x:c r="E555" s="26" t="str">
        <x:v>Carga, guardado, arranque y cierre se miden en instalación Steam.</x:v>
      </x:c>
      <x:c r="F555" s="26" t="str">
        <x:v>Revisar, ejecutar y registrar evidencia reproducible.</x:v>
      </x:c>
      <x:c r="G555" s="26" t="str">
        <x:v>Release readiness control</x:v>
      </x:c>
      <x:c r="H555" s="26" t="str">
        <x:v>Activo</x:v>
      </x:c>
      <x:c r="I555" s="26" t="str">
        <x:v>Engineering/QA</x:v>
      </x:c>
    </x:row>
    <x:row r="556" ht="30" customHeight="1">
      <x:c r="A556" s="26" t="str">
        <x:v>REL-PER-005</x:v>
      </x:c>
      <x:c r="B556" s="26" t="str">
        <x:v>31_H6_and_Release_Readiness_Checklist.xlsx</x:v>
      </x:c>
      <x:c r="C556" s="26" t="str">
        <x:v>Release / Rendimiento y requisitos del sistema / Release readiness</x:v>
      </x:c>
      <x:c r="D556" s="26" t="str">
        <x:v>Rendimiento y requisitos del sistema</x:v>
      </x:c>
      <x:c r="E556" s="26" t="str">
        <x:v>No existe memory leak o degradación significativa en soak prolongado.</x:v>
      </x:c>
      <x:c r="F556" s="26" t="str">
        <x:v>Revisar, ejecutar y registrar evidencia reproducible.</x:v>
      </x:c>
      <x:c r="G556" s="26" t="str">
        <x:v>Release readiness control</x:v>
      </x:c>
      <x:c r="H556" s="26" t="str">
        <x:v>Activo</x:v>
      </x:c>
      <x:c r="I556" s="26" t="str">
        <x:v>Engineering/QA</x:v>
      </x:c>
    </x:row>
    <x:row r="557" ht="30" customHeight="1">
      <x:c r="A557" s="26" t="str">
        <x:v>REL-PER-006</x:v>
      </x:c>
      <x:c r="B557" s="26" t="str">
        <x:v>31_H6_and_Release_Readiness_Checklist.xlsx</x:v>
      </x:c>
      <x:c r="C557" s="26" t="str">
        <x:v>Release / Rendimiento y requisitos del sistema / Release readiness</x:v>
      </x:c>
      <x:c r="D557" s="26" t="str">
        <x:v>Rendimiento y requisitos del sistema</x:v>
      </x:c>
      <x:c r="E557" s="26" t="str">
        <x:v>La resolución, fullscreen/windowed, VSync y frame cap funcionan en monitores comunes.</x:v>
      </x:c>
      <x:c r="F557" s="26" t="str">
        <x:v>Revisar, ejecutar y registrar evidencia reproducible.</x:v>
      </x:c>
      <x:c r="G557" s="26" t="str">
        <x:v>Release readiness control</x:v>
      </x:c>
      <x:c r="H557" s="26" t="str">
        <x:v>Activo</x:v>
      </x:c>
      <x:c r="I557" s="26" t="str">
        <x:v>Engineering/QA</x:v>
      </x:c>
    </x:row>
    <x:row r="558" ht="30" customHeight="1">
      <x:c r="A558" s="26" t="str">
        <x:v>REL-PER-007</x:v>
      </x:c>
      <x:c r="B558" s="26" t="str">
        <x:v>31_H6_and_Release_Readiness_Checklist.xlsx</x:v>
      </x:c>
      <x:c r="C558" s="26" t="str">
        <x:v>Release / Rendimiento y requisitos del sistema / Release readiness</x:v>
      </x:c>
      <x:c r="D558" s="26" t="str">
        <x:v>Rendimiento y requisitos del sistema</x:v>
      </x:c>
      <x:c r="E558" s="26" t="str">
        <x:v>Alt-tab, cambio de foco, suspensión y reconexión de pantalla/audio son controlados.</x:v>
      </x:c>
      <x:c r="F558" s="26" t="str">
        <x:v>Revisar, ejecutar y registrar evidencia reproducible.</x:v>
      </x:c>
      <x:c r="G558" s="26" t="str">
        <x:v>Release readiness control</x:v>
      </x:c>
      <x:c r="H558" s="26" t="str">
        <x:v>Activo</x:v>
      </x:c>
      <x:c r="I558" s="26" t="str">
        <x:v>Engineering/QA</x:v>
      </x:c>
    </x:row>
    <x:row r="559" ht="30" customHeight="1">
      <x:c r="A559" s="26" t="str">
        <x:v>REL-PER-008</x:v>
      </x:c>
      <x:c r="B559" s="26" t="str">
        <x:v>31_H6_and_Release_Readiness_Checklist.xlsx</x:v>
      </x:c>
      <x:c r="C559" s="26" t="str">
        <x:v>Release / Rendimiento y requisitos del sistema / Release readiness</x:v>
      </x:c>
      <x:c r="D559" s="26" t="str">
        <x:v>Rendimiento y requisitos del sistema</x:v>
      </x:c>
      <x:c r="E559" s="26" t="str">
        <x:v>La RC no depende de overlays/profilers o Development Build.</x:v>
      </x:c>
      <x:c r="F559" s="26" t="str">
        <x:v>Revisar, ejecutar y registrar evidencia reproducible.</x:v>
      </x:c>
      <x:c r="G559" s="26" t="str">
        <x:v>Release readiness control</x:v>
      </x:c>
      <x:c r="H559" s="26" t="str">
        <x:v>Activo</x:v>
      </x:c>
      <x:c r="I559" s="26" t="str">
        <x:v>Engineering/QA</x:v>
      </x:c>
    </x:row>
    <x:row r="560" ht="30" customHeight="1">
      <x:c r="A560" s="26" t="str">
        <x:v>REL-PER-009</x:v>
      </x:c>
      <x:c r="B560" s="26" t="str">
        <x:v>31_H6_and_Release_Readiness_Checklist.xlsx</x:v>
      </x:c>
      <x:c r="C560" s="26" t="str">
        <x:v>Release / Rendimiento y requisitos del sistema / Release readiness</x:v>
      </x:c>
      <x:c r="D560" s="26" t="str">
        <x:v>Rendimiento y requisitos del sistema</x:v>
      </x:c>
      <x:c r="E560" s="26" t="str">
        <x:v>El tamaño del paquete y uso en disco están medidos y comunicados.</x:v>
      </x:c>
      <x:c r="F560" s="26" t="str">
        <x:v>Revisar, ejecutar y registrar evidencia reproducible.</x:v>
      </x:c>
      <x:c r="G560" s="26" t="str">
        <x:v>Release readiness control</x:v>
      </x:c>
      <x:c r="H560" s="26" t="str">
        <x:v>Activo</x:v>
      </x:c>
      <x:c r="I560" s="26" t="str">
        <x:v>Engineering/QA</x:v>
      </x:c>
    </x:row>
    <x:row r="561" ht="30" customHeight="1">
      <x:c r="A561" s="26" t="str">
        <x:v>REL-PER-010</x:v>
      </x:c>
      <x:c r="B561" s="26" t="str">
        <x:v>31_H6_and_Release_Readiness_Checklist.xlsx</x:v>
      </x:c>
      <x:c r="C561" s="26" t="str">
        <x:v>Release / Rendimiento y requisitos del sistema / Release readiness</x:v>
      </x:c>
      <x:c r="D561" s="26" t="str">
        <x:v>Rendimiento y requisitos del sistema</x:v>
      </x:c>
      <x:c r="E561" s="26" t="str">
        <x:v>Los picos de CPU/GPU/memoria de primera carga y shaders están caracterizados.</x:v>
      </x:c>
      <x:c r="F561" s="26" t="str">
        <x:v>Revisar, ejecutar y registrar evidencia reproducible.</x:v>
      </x:c>
      <x:c r="G561" s="26" t="str">
        <x:v>Release readiness control</x:v>
      </x:c>
      <x:c r="H561" s="26" t="str">
        <x:v>Activo</x:v>
      </x:c>
      <x:c r="I561" s="26" t="str">
        <x:v>Engineering/QA</x:v>
      </x:c>
    </x:row>
    <x:row r="562" ht="30" customHeight="1">
      <x:c r="A562" s="26" t="str">
        <x:v>REL-PER-011</x:v>
      </x:c>
      <x:c r="B562" s="26" t="str">
        <x:v>31_H6_and_Release_Readiness_Checklist.xlsx</x:v>
      </x:c>
      <x:c r="C562" s="26" t="str">
        <x:v>Release / Rendimiento y requisitos del sistema / Release readiness</x:v>
      </x:c>
      <x:c r="D562" s="26" t="str">
        <x:v>Rendimiento y requisitos del sistema</x:v>
      </x:c>
      <x:c r="E562" s="26" t="str">
        <x:v>Los problemas conocidos de drivers/hardware tienen mitigación o documentación.</x:v>
      </x:c>
      <x:c r="F562" s="26" t="str">
        <x:v>Revisar, ejecutar y registrar evidencia reproducible.</x:v>
      </x:c>
      <x:c r="G562" s="26" t="str">
        <x:v>Release readiness control</x:v>
      </x:c>
      <x:c r="H562" s="26" t="str">
        <x:v>Activo</x:v>
      </x:c>
      <x:c r="I562" s="26" t="str">
        <x:v>Engineering/QA</x:v>
      </x:c>
    </x:row>
    <x:row r="563" ht="30" customHeight="1">
      <x:c r="A563" s="26" t="str">
        <x:v>REL-PER-012</x:v>
      </x:c>
      <x:c r="B563" s="26" t="str">
        <x:v>31_H6_and_Release_Readiness_Checklist.xlsx</x:v>
      </x:c>
      <x:c r="C563" s="26" t="str">
        <x:v>Release / Rendimiento y requisitos del sistema / Release readiness</x:v>
      </x:c>
      <x:c r="D563" s="26" t="str">
        <x:v>Rendimiento y requisitos del sistema</x:v>
      </x:c>
      <x:c r="E563" s="26" t="str">
        <x:v>Las métricas publicadas o usadas en marketing coinciden con pruebas aprobadas.</x:v>
      </x:c>
      <x:c r="F563" s="26" t="str">
        <x:v>Revisar, ejecutar y registrar evidencia reproducible.</x:v>
      </x:c>
      <x:c r="G563" s="26" t="str">
        <x:v>Release readiness control</x:v>
      </x:c>
      <x:c r="H563" s="26" t="str">
        <x:v>Activo</x:v>
      </x:c>
      <x:c r="I563" s="26" t="str">
        <x:v>Engineering/QA</x:v>
      </x:c>
    </x:row>
    <x:row r="564" ht="30" customHeight="1">
      <x:c r="A564" s="26" t="str">
        <x:v>REL-ACC-001</x:v>
      </x:c>
      <x:c r="B564" s="26" t="str">
        <x:v>31_H6_and_Release_Readiness_Checklist.xlsx</x:v>
      </x:c>
      <x:c r="C564" s="26" t="str">
        <x:v>Release / Accesibilidad e inclusión / Release readiness</x:v>
      </x:c>
      <x:c r="D564" s="26" t="str">
        <x:v>Accesibilidad e inclusión</x:v>
      </x:c>
      <x:c r="E564" s="26" t="str">
        <x:v>Las opciones de accesibilidad incluidas están funcionales en RC y persisten.</x:v>
      </x:c>
      <x:c r="F564" s="26" t="str">
        <x:v>Revisar, ejecutar y registrar evidencia reproducible.</x:v>
      </x:c>
      <x:c r="G564" s="26" t="str">
        <x:v>Release readiness control</x:v>
      </x:c>
      <x:c r="H564" s="26" t="str">
        <x:v>Activo</x:v>
      </x:c>
      <x:c r="I564" s="26" t="str">
        <x:v>Accessibility/UX</x:v>
      </x:c>
    </x:row>
    <x:row r="565" ht="30" customHeight="1">
      <x:c r="A565" s="26" t="str">
        <x:v>REL-ACC-002</x:v>
      </x:c>
      <x:c r="B565" s="26" t="str">
        <x:v>31_H6_and_Release_Readiness_Checklist.xlsx</x:v>
      </x:c>
      <x:c r="C565" s="26" t="str">
        <x:v>Release / Accesibilidad e inclusión / Release readiness</x:v>
      </x:c>
      <x:c r="D565" s="26" t="str">
        <x:v>Accesibilidad e inclusión</x:v>
      </x:c>
      <x:c r="E565" s="26" t="str">
        <x:v>La navegación por dispositivos declarados cubre menús, gameplay y recuperación de errores.</x:v>
      </x:c>
      <x:c r="F565" s="26" t="str">
        <x:v>Revisar, ejecutar y registrar evidencia reproducible.</x:v>
      </x:c>
      <x:c r="G565" s="26" t="str">
        <x:v>Release readiness control</x:v>
      </x:c>
      <x:c r="H565" s="26" t="str">
        <x:v>Activo</x:v>
      </x:c>
      <x:c r="I565" s="26" t="str">
        <x:v>Accessibility/UX</x:v>
      </x:c>
    </x:row>
    <x:row r="566" ht="30" customHeight="1">
      <x:c r="A566" s="26" t="str">
        <x:v>REL-ACC-003</x:v>
      </x:c>
      <x:c r="B566" s="26" t="str">
        <x:v>31_H6_and_Release_Readiness_Checklist.xlsx</x:v>
      </x:c>
      <x:c r="C566" s="26" t="str">
        <x:v>Release / Accesibilidad e inclusión / Release readiness</x:v>
      </x:c>
      <x:c r="D566" s="26" t="str">
        <x:v>Accesibilidad e inclusión</x:v>
      </x:c>
      <x:c r="E566" s="26" t="str">
        <x:v>Escala de UI/texto funciona en idiomas y resoluciones soportadas.</x:v>
      </x:c>
      <x:c r="F566" s="26" t="str">
        <x:v>Revisar, ejecutar y registrar evidencia reproducible.</x:v>
      </x:c>
      <x:c r="G566" s="26" t="str">
        <x:v>Release readiness control</x:v>
      </x:c>
      <x:c r="H566" s="26" t="str">
        <x:v>Activo</x:v>
      </x:c>
      <x:c r="I566" s="26" t="str">
        <x:v>Accessibility/UX</x:v>
      </x:c>
    </x:row>
    <x:row r="567" ht="30" customHeight="1">
      <x:c r="A567" s="26" t="str">
        <x:v>REL-ACC-004</x:v>
      </x:c>
      <x:c r="B567" s="26" t="str">
        <x:v>31_H6_and_Release_Readiness_Checklist.xlsx</x:v>
      </x:c>
      <x:c r="C567" s="26" t="str">
        <x:v>Release / Accesibilidad e inclusión / Release readiness</x:v>
      </x:c>
      <x:c r="D567" s="26" t="str">
        <x:v>Accesibilidad e inclusión</x:v>
      </x:c>
      <x:c r="E567" s="26" t="str">
        <x:v>Reduce motion se consume en todas las superficies declaradas.</x:v>
      </x:c>
      <x:c r="F567" s="26" t="str">
        <x:v>Revisar, ejecutar y registrar evidencia reproducible.</x:v>
      </x:c>
      <x:c r="G567" s="26" t="str">
        <x:v>Release readiness control</x:v>
      </x:c>
      <x:c r="H567" s="26" t="str">
        <x:v>Activo</x:v>
      </x:c>
      <x:c r="I567" s="26" t="str">
        <x:v>Accessibility/UX</x:v>
      </x:c>
    </x:row>
    <x:row r="568" ht="30" customHeight="1">
      <x:c r="A568" s="26" t="str">
        <x:v>REL-ACC-005</x:v>
      </x:c>
      <x:c r="B568" s="26" t="str">
        <x:v>31_H6_and_Release_Readiness_Checklist.xlsx</x:v>
      </x:c>
      <x:c r="C568" s="26" t="str">
        <x:v>Release / Accesibilidad e inclusión / Release readiness</x:v>
      </x:c>
      <x:c r="D568" s="26" t="str">
        <x:v>Accesibilidad e inclusión</x:v>
      </x:c>
      <x:c r="E568" s="26" t="str">
        <x:v>Color no es el único canal para información o acción crítica.</x:v>
      </x:c>
      <x:c r="F568" s="26" t="str">
        <x:v>Revisar, ejecutar y registrar evidencia reproducible.</x:v>
      </x:c>
      <x:c r="G568" s="26" t="str">
        <x:v>Release readiness control</x:v>
      </x:c>
      <x:c r="H568" s="26" t="str">
        <x:v>Activo</x:v>
      </x:c>
      <x:c r="I568" s="26" t="str">
        <x:v>Accessibility/UX</x:v>
      </x:c>
    </x:row>
    <x:row r="569" ht="30" customHeight="1">
      <x:c r="A569" s="26" t="str">
        <x:v>REL-ACC-006</x:v>
      </x:c>
      <x:c r="B569" s="26" t="str">
        <x:v>31_H6_and_Release_Readiness_Checklist.xlsx</x:v>
      </x:c>
      <x:c r="C569" s="26" t="str">
        <x:v>Release / Accesibilidad e inclusión / Release readiness</x:v>
      </x:c>
      <x:c r="D569" s="26" t="str">
        <x:v>Accesibilidad e inclusión</x:v>
      </x:c>
      <x:c r="E569" s="26" t="str">
        <x:v>Los subtítulos/captions, si se declaran, cubren contenido relevante y tienen opciones necesarias.</x:v>
      </x:c>
      <x:c r="F569" s="26" t="str">
        <x:v>Revisar, ejecutar y registrar evidencia reproducible.</x:v>
      </x:c>
      <x:c r="G569" s="26" t="str">
        <x:v>Release readiness control</x:v>
      </x:c>
      <x:c r="H569" s="26" t="str">
        <x:v>Activo</x:v>
      </x:c>
      <x:c r="I569" s="26" t="str">
        <x:v>Accessibility/UX</x:v>
      </x:c>
    </x:row>
    <x:row r="570" ht="30" customHeight="1">
      <x:c r="A570" s="26" t="str">
        <x:v>REL-ACC-007</x:v>
      </x:c>
      <x:c r="B570" s="26" t="str">
        <x:v>31_H6_and_Release_Readiness_Checklist.xlsx</x:v>
      </x:c>
      <x:c r="C570" s="26" t="str">
        <x:v>Release / Accesibilidad e inclusión / Release readiness</x:v>
      </x:c>
      <x:c r="D570" s="26" t="str">
        <x:v>Accesibilidad e inclusión</x:v>
      </x:c>
      <x:c r="E570" s="26" t="str">
        <x:v>El remapeo, si se declara, cubre conflictos, defaults, guardado y recuperación.</x:v>
      </x:c>
      <x:c r="F570" s="26" t="str">
        <x:v>Revisar, ejecutar y registrar evidencia reproducible.</x:v>
      </x:c>
      <x:c r="G570" s="26" t="str">
        <x:v>Release readiness control</x:v>
      </x:c>
      <x:c r="H570" s="26" t="str">
        <x:v>Activo</x:v>
      </x:c>
      <x:c r="I570" s="26" t="str">
        <x:v>Accessibility/UX</x:v>
      </x:c>
    </x:row>
    <x:row r="571" ht="30" customHeight="1">
      <x:c r="A571" s="26" t="str">
        <x:v>REL-ACC-008</x:v>
      </x:c>
      <x:c r="B571" s="26" t="str">
        <x:v>31_H6_and_Release_Readiness_Checklist.xlsx</x:v>
      </x:c>
      <x:c r="C571" s="26" t="str">
        <x:v>Release / Accesibilidad e inclusión / Release readiness</x:v>
      </x:c>
      <x:c r="D571" s="26" t="str">
        <x:v>Accesibilidad e inclusión</x:v>
      </x:c>
      <x:c r="E571" s="26" t="str">
        <x:v>La experiencia completa con mando solo se declara tras pruebas end-to-end.</x:v>
      </x:c>
      <x:c r="F571" s="26" t="str">
        <x:v>Revisar, ejecutar y registrar evidencia reproducible.</x:v>
      </x:c>
      <x:c r="G571" s="26" t="str">
        <x:v>Release readiness control</x:v>
      </x:c>
      <x:c r="H571" s="26" t="str">
        <x:v>Activo</x:v>
      </x:c>
      <x:c r="I571" s="26" t="str">
        <x:v>Accessibility/UX</x:v>
      </x:c>
    </x:row>
    <x:row r="572" ht="30" customHeight="1">
      <x:c r="A572" s="26" t="str">
        <x:v>REL-ACC-009</x:v>
      </x:c>
      <x:c r="B572" s="26" t="str">
        <x:v>31_H6_and_Release_Readiness_Checklist.xlsx</x:v>
      </x:c>
      <x:c r="C572" s="26" t="str">
        <x:v>Release / Accesibilidad e inclusión / Release readiness</x:v>
      </x:c>
      <x:c r="D572" s="26" t="str">
        <x:v>Accesibilidad e inclusión</x:v>
      </x:c>
      <x:c r="E572" s="26" t="str">
        <x:v>Las declaraciones de Steam usan la taxonomía correcta y evidencia asociada.</x:v>
      </x:c>
      <x:c r="F572" s="26" t="str">
        <x:v>Revisar, ejecutar y registrar evidencia reproducible.</x:v>
      </x:c>
      <x:c r="G572" s="26" t="str">
        <x:v>Release readiness control</x:v>
      </x:c>
      <x:c r="H572" s="26" t="str">
        <x:v>Activo</x:v>
      </x:c>
      <x:c r="I572" s="26" t="str">
        <x:v>Accessibility/UX</x:v>
      </x:c>
    </x:row>
    <x:row r="573" ht="30" customHeight="1">
      <x:c r="A573" s="26" t="str">
        <x:v>REL-ACC-010</x:v>
      </x:c>
      <x:c r="B573" s="26" t="str">
        <x:v>31_H6_and_Release_Readiness_Checklist.xlsx</x:v>
      </x:c>
      <x:c r="C573" s="26" t="str">
        <x:v>Release / Accesibilidad e inclusión / Release readiness</x:v>
      </x:c>
      <x:c r="D573" s="26" t="str">
        <x:v>Accesibilidad e inclusión</x:v>
      </x:c>
      <x:c r="E573" s="26" t="str">
        <x:v>Las imágenes públicas relevantes incluyen texto alternativo donde la plataforma lo permita.</x:v>
      </x:c>
      <x:c r="F573" s="26" t="str">
        <x:v>Revisar, ejecutar y registrar evidencia reproducible.</x:v>
      </x:c>
      <x:c r="G573" s="26" t="str">
        <x:v>Release readiness control</x:v>
      </x:c>
      <x:c r="H573" s="26" t="str">
        <x:v>Activo</x:v>
      </x:c>
      <x:c r="I573" s="26" t="str">
        <x:v>Accessibility/UX</x:v>
      </x:c>
    </x:row>
    <x:row r="574" ht="30" customHeight="1">
      <x:c r="A574" s="26" t="str">
        <x:v>REL-ACC-011</x:v>
      </x:c>
      <x:c r="B574" s="26" t="str">
        <x:v>31_H6_and_Release_Readiness_Checklist.xlsx</x:v>
      </x:c>
      <x:c r="C574" s="26" t="str">
        <x:v>Release / Accesibilidad e inclusión / Release readiness</x:v>
      </x:c>
      <x:c r="D574" s="26" t="str">
        <x:v>Accesibilidad e inclusión</x:v>
      </x:c>
      <x:c r="E574" s="26" t="str">
        <x:v>El soporte y FAQ incluyen soluciones para barreras conocidas y recuperación de settings.</x:v>
      </x:c>
      <x:c r="F574" s="26" t="str">
        <x:v>Revisar, ejecutar y registrar evidencia reproducible.</x:v>
      </x:c>
      <x:c r="G574" s="26" t="str">
        <x:v>Release readiness control</x:v>
      </x:c>
      <x:c r="H574" s="26" t="str">
        <x:v>Activo</x:v>
      </x:c>
      <x:c r="I574" s="26" t="str">
        <x:v>Accessibility/UX</x:v>
      </x:c>
    </x:row>
    <x:row r="575" ht="30" customHeight="1">
      <x:c r="A575" s="26" t="str">
        <x:v>REL-ACC-012</x:v>
      </x:c>
      <x:c r="B575" s="26" t="str">
        <x:v>31_H6_and_Release_Readiness_Checklist.xlsx</x:v>
      </x:c>
      <x:c r="C575" s="26" t="str">
        <x:v>Release / Accesibilidad e inclusión / Release readiness</x:v>
      </x:c>
      <x:c r="D575" s="26" t="str">
        <x:v>Accesibilidad e inclusión</x:v>
      </x:c>
      <x:c r="E575" s="26" t="str">
        <x:v>Los playtests incluyen participantes o revisión experta para perfiles prioritarios.</x:v>
      </x:c>
      <x:c r="F575" s="26" t="str">
        <x:v>Revisar, ejecutar y registrar evidencia reproducible.</x:v>
      </x:c>
      <x:c r="G575" s="26" t="str">
        <x:v>Release readiness control</x:v>
      </x:c>
      <x:c r="H575" s="26" t="str">
        <x:v>Activo</x:v>
      </x:c>
      <x:c r="I575" s="26" t="str">
        <x:v>Accessibility/UX</x:v>
      </x:c>
    </x:row>
    <x:row r="576" ht="30" customHeight="1">
      <x:c r="A576" s="26" t="str">
        <x:v>REL-ACC-013</x:v>
      </x:c>
      <x:c r="B576" s="26" t="str">
        <x:v>31_H6_and_Release_Readiness_Checklist.xlsx</x:v>
      </x:c>
      <x:c r="C576" s="26" t="str">
        <x:v>Release / Accesibilidad e inclusión / Release readiness</x:v>
      </x:c>
      <x:c r="D576" s="26" t="str">
        <x:v>Accesibilidad e inclusión</x:v>
      </x:c>
      <x:c r="E576" s="26" t="str">
        <x:v>No se utilizan afirmaciones de conformidad WCAG/XAG sin alcance y evidencia claros.</x:v>
      </x:c>
      <x:c r="F576" s="26" t="str">
        <x:v>Revisar, ejecutar y registrar evidencia reproducible.</x:v>
      </x:c>
      <x:c r="G576" s="26" t="str">
        <x:v>Release readiness control</x:v>
      </x:c>
      <x:c r="H576" s="26" t="str">
        <x:v>Activo</x:v>
      </x:c>
      <x:c r="I576" s="26" t="str">
        <x:v>Accessibility/UX</x:v>
      </x:c>
    </x:row>
    <x:row r="577" ht="30" customHeight="1">
      <x:c r="A577" s="26" t="str">
        <x:v>REL-ACC-014</x:v>
      </x:c>
      <x:c r="B577" s="26" t="str">
        <x:v>31_H6_and_Release_Readiness_Checklist.xlsx</x:v>
      </x:c>
      <x:c r="C577" s="26" t="str">
        <x:v>Release / Accesibilidad e inclusión / Release readiness</x:v>
      </x:c>
      <x:c r="D577" s="26" t="str">
        <x:v>Accesibilidad e inclusión</x:v>
      </x:c>
      <x:c r="E577" s="26" t="str">
        <x:v>Las limitaciones conocidas se documentan con lenguaje respetuoso y preciso.</x:v>
      </x:c>
      <x:c r="F577" s="26" t="str">
        <x:v>Revisar, ejecutar y registrar evidencia reproducible.</x:v>
      </x:c>
      <x:c r="G577" s="26" t="str">
        <x:v>Release readiness control</x:v>
      </x:c>
      <x:c r="H577" s="26" t="str">
        <x:v>Activo</x:v>
      </x:c>
      <x:c r="I577" s="26" t="str">
        <x:v>Accessibility/UX</x:v>
      </x:c>
    </x:row>
    <x:row r="578" ht="30" customHeight="1">
      <x:c r="A578" s="26" t="str">
        <x:v>REL-LOC-001</x:v>
      </x:c>
      <x:c r="B578" s="26" t="str">
        <x:v>31_H6_and_Release_Readiness_Checklist.xlsx</x:v>
      </x:c>
      <x:c r="C578" s="26" t="str">
        <x:v>Release / Localización de producto y tienda / Release readiness</x:v>
      </x:c>
      <x:c r="D578" s="26" t="str">
        <x:v>Localización de producto y tienda</x:v>
      </x:c>
      <x:c r="E578" s="26" t="str">
        <x:v>La build RC contiene traducción completa de todo contenido declarado para ES/EN.</x:v>
      </x:c>
      <x:c r="F578" s="26" t="str">
        <x:v>Revisar, ejecutar y registrar evidencia reproducible.</x:v>
      </x:c>
      <x:c r="G578" s="26" t="str">
        <x:v>Release readiness control</x:v>
      </x:c>
      <x:c r="H578" s="26" t="str">
        <x:v>Activo</x:v>
      </x:c>
      <x:c r="I578" s="26" t="str">
        <x:v>Localization</x:v>
      </x:c>
    </x:row>
    <x:row r="579" ht="30" customHeight="1">
      <x:c r="A579" s="26" t="str">
        <x:v>REL-LOC-002</x:v>
      </x:c>
      <x:c r="B579" s="26" t="str">
        <x:v>31_H6_and_Release_Readiness_Checklist.xlsx</x:v>
      </x:c>
      <x:c r="C579" s="26" t="str">
        <x:v>Release / Localización de producto y tienda / Release readiness</x:v>
      </x:c>
      <x:c r="D579" s="26" t="str">
        <x:v>Localización de producto y tienda</x:v>
      </x:c>
      <x:c r="E579" s="26" t="str">
        <x:v>Los metadatos de Steam, screenshots con texto, trailer y FAQ están localizados donde corresponda.</x:v>
      </x:c>
      <x:c r="F579" s="26" t="str">
        <x:v>Revisar, ejecutar y registrar evidencia reproducible.</x:v>
      </x:c>
      <x:c r="G579" s="26" t="str">
        <x:v>Release readiness control</x:v>
      </x:c>
      <x:c r="H579" s="26" t="str">
        <x:v>Activo</x:v>
      </x:c>
      <x:c r="I579" s="26" t="str">
        <x:v>Localization</x:v>
      </x:c>
    </x:row>
    <x:row r="580" ht="30" customHeight="1">
      <x:c r="A580" s="26" t="str">
        <x:v>REL-LOC-003</x:v>
      </x:c>
      <x:c r="B580" s="26" t="str">
        <x:v>31_H6_and_Release_Readiness_Checklist.xlsx</x:v>
      </x:c>
      <x:c r="C580" s="26" t="str">
        <x:v>Release / Localización de producto y tienda / Release readiness</x:v>
      </x:c>
      <x:c r="D580" s="26" t="str">
        <x:v>Localización de producto y tienda</x:v>
      </x:c>
      <x:c r="E580" s="26" t="str">
        <x:v>La LQA se ejecuta sobre RC en ambos idiomas y configuraciones críticas.</x:v>
      </x:c>
      <x:c r="F580" s="26" t="str">
        <x:v>Revisar, ejecutar y registrar evidencia reproducible.</x:v>
      </x:c>
      <x:c r="G580" s="26" t="str">
        <x:v>Release readiness control</x:v>
      </x:c>
      <x:c r="H580" s="26" t="str">
        <x:v>Activo</x:v>
      </x:c>
      <x:c r="I580" s="26" t="str">
        <x:v>Localization</x:v>
      </x:c>
    </x:row>
    <x:row r="581" ht="30" customHeight="1">
      <x:c r="A581" s="26" t="str">
        <x:v>REL-LOC-004</x:v>
      </x:c>
      <x:c r="B581" s="26" t="str">
        <x:v>31_H6_and_Release_Readiness_Checklist.xlsx</x:v>
      </x:c>
      <x:c r="C581" s="26" t="str">
        <x:v>Release / Localización de producto y tienda / Release readiness</x:v>
      </x:c>
      <x:c r="D581" s="26" t="str">
        <x:v>Localización de producto y tienda</x:v>
      </x:c>
      <x:c r="E581" s="26" t="str">
        <x:v>No existen missing keys, fallbacks visibles o glyphs ausentes en RC.</x:v>
      </x:c>
      <x:c r="F581" s="26" t="str">
        <x:v>Revisar, ejecutar y registrar evidencia reproducible.</x:v>
      </x:c>
      <x:c r="G581" s="26" t="str">
        <x:v>Release readiness control</x:v>
      </x:c>
      <x:c r="H581" s="26" t="str">
        <x:v>Activo</x:v>
      </x:c>
      <x:c r="I581" s="26" t="str">
        <x:v>Localization</x:v>
      </x:c>
    </x:row>
    <x:row r="582" ht="30" customHeight="1">
      <x:c r="A582" s="26" t="str">
        <x:v>REL-LOC-005</x:v>
      </x:c>
      <x:c r="B582" s="26" t="str">
        <x:v>31_H6_and_Release_Readiness_Checklist.xlsx</x:v>
      </x:c>
      <x:c r="C582" s="26" t="str">
        <x:v>Release / Localización de producto y tienda / Release readiness</x:v>
      </x:c>
      <x:c r="D582" s="26" t="str">
        <x:v>Localización de producto y tienda</x:v>
      </x:c>
      <x:c r="E582" s="26" t="str">
        <x:v>Números, moneda, fechas, plurales y variables funcionan en todas las superficies.</x:v>
      </x:c>
      <x:c r="F582" s="26" t="str">
        <x:v>Revisar, ejecutar y registrar evidencia reproducible.</x:v>
      </x:c>
      <x:c r="G582" s="26" t="str">
        <x:v>Release readiness control</x:v>
      </x:c>
      <x:c r="H582" s="26" t="str">
        <x:v>Activo</x:v>
      </x:c>
      <x:c r="I582" s="26" t="str">
        <x:v>Localization</x:v>
      </x:c>
    </x:row>
    <x:row r="583" ht="30" customHeight="1">
      <x:c r="A583" s="26" t="str">
        <x:v>REL-LOC-006</x:v>
      </x:c>
      <x:c r="B583" s="26" t="str">
        <x:v>31_H6_and_Release_Readiness_Checklist.xlsx</x:v>
      </x:c>
      <x:c r="C583" s="26" t="str">
        <x:v>Release / Localización de producto y tienda / Release readiness</x:v>
      </x:c>
      <x:c r="D583" s="26" t="str">
        <x:v>Localización de producto y tienda</x:v>
      </x:c>
      <x:c r="E583" s="26" t="str">
        <x:v>Los textos legales y de privacidad han sido revisados en idiomas publicados.</x:v>
      </x:c>
      <x:c r="F583" s="26" t="str">
        <x:v>Revisar, ejecutar y registrar evidencia reproducible.</x:v>
      </x:c>
      <x:c r="G583" s="26" t="str">
        <x:v>Release readiness control</x:v>
      </x:c>
      <x:c r="H583" s="26" t="str">
        <x:v>Activo</x:v>
      </x:c>
      <x:c r="I583" s="26" t="str">
        <x:v>Localization</x:v>
      </x:c>
    </x:row>
    <x:row r="584" ht="30" customHeight="1">
      <x:c r="A584" s="26" t="str">
        <x:v>REL-LOC-007</x:v>
      </x:c>
      <x:c r="B584" s="26" t="str">
        <x:v>31_H6_and_Release_Readiness_Checklist.xlsx</x:v>
      </x:c>
      <x:c r="C584" s="26" t="str">
        <x:v>Release / Localización de producto y tienda / Release readiness</x:v>
      </x:c>
      <x:c r="D584" s="26" t="str">
        <x:v>Localización de producto y tienda</x:v>
      </x:c>
      <x:c r="E584" s="26" t="str">
        <x:v>El glosario y style guide están congelados para RC.</x:v>
      </x:c>
      <x:c r="F584" s="26" t="str">
        <x:v>Revisar, ejecutar y registrar evidencia reproducible.</x:v>
      </x:c>
      <x:c r="G584" s="26" t="str">
        <x:v>Release readiness control</x:v>
      </x:c>
      <x:c r="H584" s="26" t="str">
        <x:v>Activo</x:v>
      </x:c>
      <x:c r="I584" s="26" t="str">
        <x:v>Localization</x:v>
      </x:c>
    </x:row>
    <x:row r="585" ht="30" customHeight="1">
      <x:c r="A585" s="26" t="str">
        <x:v>REL-LOC-008</x:v>
      </x:c>
      <x:c r="B585" s="26" t="str">
        <x:v>31_H6_and_Release_Readiness_Checklist.xlsx</x:v>
      </x:c>
      <x:c r="C585" s="26" t="str">
        <x:v>Release / Localización de producto y tienda / Release readiness</x:v>
      </x:c>
      <x:c r="D585" s="26" t="str">
        <x:v>Localización de producto y tienda</x:v>
      </x:c>
      <x:c r="E585" s="26" t="str">
        <x:v>Los cambios posteriores al freeze reabren traducción y LQA afectada.</x:v>
      </x:c>
      <x:c r="F585" s="26" t="str">
        <x:v>Revisar, ejecutar y registrar evidencia reproducible.</x:v>
      </x:c>
      <x:c r="G585" s="26" t="str">
        <x:v>Release readiness control</x:v>
      </x:c>
      <x:c r="H585" s="26" t="str">
        <x:v>Activo</x:v>
      </x:c>
      <x:c r="I585" s="26" t="str">
        <x:v>Localization</x:v>
      </x:c>
    </x:row>
    <x:row r="586" ht="30" customHeight="1">
      <x:c r="A586" s="26" t="str">
        <x:v>REL-LOC-009</x:v>
      </x:c>
      <x:c r="B586" s="26" t="str">
        <x:v>31_H6_and_Release_Readiness_Checklist.xlsx</x:v>
      </x:c>
      <x:c r="C586" s="26" t="str">
        <x:v>Release / Localización de producto y tienda / Release readiness</x:v>
      </x:c>
      <x:c r="D586" s="26" t="str">
        <x:v>Localización de producto y tienda</x:v>
      </x:c>
      <x:c r="E586" s="26" t="str">
        <x:v>Los nombres de producto/tienda y términos ficticios son consistentes entre juego y marketing.</x:v>
      </x:c>
      <x:c r="F586" s="26" t="str">
        <x:v>Revisar, ejecutar y registrar evidencia reproducible.</x:v>
      </x:c>
      <x:c r="G586" s="26" t="str">
        <x:v>Release readiness control</x:v>
      </x:c>
      <x:c r="H586" s="26" t="str">
        <x:v>Activo</x:v>
      </x:c>
      <x:c r="I586" s="26" t="str">
        <x:v>Localization</x:v>
      </x:c>
    </x:row>
    <x:row r="587" ht="30" customHeight="1">
      <x:c r="A587" s="26" t="str">
        <x:v>REL-LOC-010</x:v>
      </x:c>
      <x:c r="B587" s="26" t="str">
        <x:v>31_H6_and_Release_Readiness_Checklist.xlsx</x:v>
      </x:c>
      <x:c r="C587" s="26" t="str">
        <x:v>Release / Localización de producto y tienda / Release readiness</x:v>
      </x:c>
      <x:c r="D587" s="26" t="str">
        <x:v>Localización de producto y tienda</x:v>
      </x:c>
      <x:c r="E587" s="26" t="str">
        <x:v>Los créditos de traducción y proveedores están completos.</x:v>
      </x:c>
      <x:c r="F587" s="26" t="str">
        <x:v>Revisar, ejecutar y registrar evidencia reproducible.</x:v>
      </x:c>
      <x:c r="G587" s="26" t="str">
        <x:v>Release readiness control</x:v>
      </x:c>
      <x:c r="H587" s="26" t="str">
        <x:v>Activo</x:v>
      </x:c>
      <x:c r="I587" s="26" t="str">
        <x:v>Localization</x:v>
      </x:c>
    </x:row>
    <x:row r="588" ht="30" customHeight="1">
      <x:c r="A588" s="26" t="str">
        <x:v>REL-LOC-011</x:v>
      </x:c>
      <x:c r="B588" s="26" t="str">
        <x:v>31_H6_and_Release_Readiness_Checklist.xlsx</x:v>
      </x:c>
      <x:c r="C588" s="26" t="str">
        <x:v>Release / Localización de producto y tienda / Release readiness</x:v>
      </x:c>
      <x:c r="D588" s="26" t="str">
        <x:v>Localización de producto y tienda</x:v>
      </x:c>
      <x:c r="E588" s="26" t="str">
        <x:v>La página de Steam no marca idiomas no soportados o soporte de audio inexistente.</x:v>
      </x:c>
      <x:c r="F588" s="26" t="str">
        <x:v>Revisar, ejecutar y registrar evidencia reproducible.</x:v>
      </x:c>
      <x:c r="G588" s="26" t="str">
        <x:v>Release readiness control</x:v>
      </x:c>
      <x:c r="H588" s="26" t="str">
        <x:v>Activo</x:v>
      </x:c>
      <x:c r="I588" s="26" t="str">
        <x:v>Localization</x:v>
      </x:c>
    </x:row>
    <x:row r="589" ht="30" customHeight="1">
      <x:c r="A589" s="26" t="str">
        <x:v>REL-LOC-012</x:v>
      </x:c>
      <x:c r="B589" s="26" t="str">
        <x:v>31_H6_and_Release_Readiness_Checklist.xlsx</x:v>
      </x:c>
      <x:c r="C589" s="26" t="str">
        <x:v>Release / Localización de producto y tienda / Release readiness</x:v>
      </x:c>
      <x:c r="D589" s="26" t="str">
        <x:v>Localización de producto y tienda</x:v>
      </x:c>
      <x:c r="E589" s="26" t="str">
        <x:v>El pipeline permite parchear texto sin romper IDs o saves.</x:v>
      </x:c>
      <x:c r="F589" s="26" t="str">
        <x:v>Revisar, ejecutar y registrar evidencia reproducible.</x:v>
      </x:c>
      <x:c r="G589" s="26" t="str">
        <x:v>Release readiness control</x:v>
      </x:c>
      <x:c r="H589" s="26" t="str">
        <x:v>Activo</x:v>
      </x:c>
      <x:c r="I589" s="26" t="str">
        <x:v>Localization</x:v>
      </x:c>
    </x:row>
    <x:row r="590" ht="30" customHeight="1">
      <x:c r="A590" s="26" t="str">
        <x:v>REL-LEG-001</x:v>
      </x:c>
      <x:c r="B590" s="26" t="str">
        <x:v>31_H6_and_Release_Readiness_Checklist.xlsx</x:v>
      </x:c>
      <x:c r="C590" s="26" t="str">
        <x:v>Release / Legal, privacidad y créditos / Release readiness</x:v>
      </x:c>
      <x:c r="D590" s="26" t="str">
        <x:v>Legal, privacidad y créditos</x:v>
      </x:c>
      <x:c r="E590" s="26" t="str">
        <x:v>Naming, marcas y assets públicos tienen clearance comercial suficiente.</x:v>
      </x:c>
      <x:c r="F590" s="26" t="str">
        <x:v>Revisar, ejecutar y registrar evidencia reproducible.</x:v>
      </x:c>
      <x:c r="G590" s="26" t="str">
        <x:v>Release readiness control</x:v>
      </x:c>
      <x:c r="H590" s="26" t="str">
        <x:v>Activo</x:v>
      </x:c>
      <x:c r="I590" s="26" t="str">
        <x:v>Legal/Privacy</x:v>
      </x:c>
    </x:row>
    <x:row r="591" ht="30" customHeight="1">
      <x:c r="A591" s="26" t="str">
        <x:v>REL-LEG-002</x:v>
      </x:c>
      <x:c r="B591" s="26" t="str">
        <x:v>31_H6_and_Release_Readiness_Checklist.xlsx</x:v>
      </x:c>
      <x:c r="C591" s="26" t="str">
        <x:v>Release / Legal, privacidad y créditos / Release readiness</x:v>
      </x:c>
      <x:c r="D591" s="26" t="str">
        <x:v>Legal, privacidad y créditos</x:v>
      </x:c>
      <x:c r="E591" s="26" t="str">
        <x:v>El registro de licencias cubre cada archivo distribuido de terceros.</x:v>
      </x:c>
      <x:c r="F591" s="26" t="str">
        <x:v>Revisar, ejecutar y registrar evidencia reproducible.</x:v>
      </x:c>
      <x:c r="G591" s="26" t="str">
        <x:v>Release readiness control</x:v>
      </x:c>
      <x:c r="H591" s="26" t="str">
        <x:v>Activo</x:v>
      </x:c>
      <x:c r="I591" s="26" t="str">
        <x:v>Legal/Privacy</x:v>
      </x:c>
    </x:row>
    <x:row r="592" ht="30" customHeight="1">
      <x:c r="A592" s="26" t="str">
        <x:v>REL-LEG-003</x:v>
      </x:c>
      <x:c r="B592" s="26" t="str">
        <x:v>31_H6_and_Release_Readiness_Checklist.xlsx</x:v>
      </x:c>
      <x:c r="C592" s="26" t="str">
        <x:v>Release / Legal, privacidad y créditos / Release readiness</x:v>
      </x:c>
      <x:c r="D592" s="26" t="str">
        <x:v>Legal, privacidad y créditos</x:v>
      </x:c>
      <x:c r="E592" s="26" t="str">
        <x:v>Notices, atribuciones y créditos obligatorios están incluidos y accesibles.</x:v>
      </x:c>
      <x:c r="F592" s="26" t="str">
        <x:v>Revisar, ejecutar y registrar evidencia reproducible.</x:v>
      </x:c>
      <x:c r="G592" s="26" t="str">
        <x:v>Release readiness control</x:v>
      </x:c>
      <x:c r="H592" s="26" t="str">
        <x:v>Activo</x:v>
      </x:c>
      <x:c r="I592" s="26" t="str">
        <x:v>Legal/Privacy</x:v>
      </x:c>
    </x:row>
    <x:row r="593" ht="30" customHeight="1">
      <x:c r="A593" s="26" t="str">
        <x:v>REL-LEG-004</x:v>
      </x:c>
      <x:c r="B593" s="26" t="str">
        <x:v>31_H6_and_Release_Readiness_Checklist.xlsx</x:v>
      </x:c>
      <x:c r="C593" s="26" t="str">
        <x:v>Release / Legal, privacidad y créditos / Release readiness</x:v>
      </x:c>
      <x:c r="D593" s="26" t="str">
        <x:v>Legal, privacidad y créditos</x:v>
      </x:c>
      <x:c r="E593" s="26" t="str">
        <x:v>La política de privacidad publicada coincide con datos y proveedores reales.</x:v>
      </x:c>
      <x:c r="F593" s="26" t="str">
        <x:v>Revisar, ejecutar y registrar evidencia reproducible.</x:v>
      </x:c>
      <x:c r="G593" s="26" t="str">
        <x:v>Release readiness control</x:v>
      </x:c>
      <x:c r="H593" s="26" t="str">
        <x:v>Activo</x:v>
      </x:c>
      <x:c r="I593" s="26" t="str">
        <x:v>Legal/Privacy</x:v>
      </x:c>
    </x:row>
    <x:row r="594" ht="30" customHeight="1">
      <x:c r="A594" s="26" t="str">
        <x:v>REL-LEG-005</x:v>
      </x:c>
      <x:c r="B594" s="26" t="str">
        <x:v>31_H6_and_Release_Readiness_Checklist.xlsx</x:v>
      </x:c>
      <x:c r="C594" s="26" t="str">
        <x:v>Release / Legal, privacidad y créditos / Release readiness</x:v>
      </x:c>
      <x:c r="D594" s="26" t="str">
        <x:v>Legal, privacidad y créditos</x:v>
      </x:c>
      <x:c r="E594" s="26" t="str">
        <x:v>Consentimiento y preferencias de telemetría cumplen el plan aprobado.</x:v>
      </x:c>
      <x:c r="F594" s="26" t="str">
        <x:v>Revisar, ejecutar y registrar evidencia reproducible.</x:v>
      </x:c>
      <x:c r="G594" s="26" t="str">
        <x:v>Release readiness control</x:v>
      </x:c>
      <x:c r="H594" s="26" t="str">
        <x:v>Activo</x:v>
      </x:c>
      <x:c r="I594" s="26" t="str">
        <x:v>Legal/Privacy</x:v>
      </x:c>
    </x:row>
    <x:row r="595" ht="30" customHeight="1">
      <x:c r="A595" s="26" t="str">
        <x:v>REL-LEG-006</x:v>
      </x:c>
      <x:c r="B595" s="26" t="str">
        <x:v>31_H6_and_Release_Readiness_Checklist.xlsx</x:v>
      </x:c>
      <x:c r="C595" s="26" t="str">
        <x:v>Release / Legal, privacidad y créditos / Release readiness</x:v>
      </x:c>
      <x:c r="D595" s="26" t="str">
        <x:v>Legal, privacidad y créditos</x:v>
      </x:c>
      <x:c r="E595" s="26" t="str">
        <x:v>El EULA u otros términos, si se usan, han sido revisados y localizados.</x:v>
      </x:c>
      <x:c r="F595" s="26" t="str">
        <x:v>Revisar, ejecutar y registrar evidencia reproducible.</x:v>
      </x:c>
      <x:c r="G595" s="26" t="str">
        <x:v>Release readiness control</x:v>
      </x:c>
      <x:c r="H595" s="26" t="str">
        <x:v>Activo</x:v>
      </x:c>
      <x:c r="I595" s="26" t="str">
        <x:v>Legal/Privacy</x:v>
      </x:c>
    </x:row>
    <x:row r="596" ht="30" customHeight="1">
      <x:c r="A596" s="26" t="str">
        <x:v>REL-LEG-007</x:v>
      </x:c>
      <x:c r="B596" s="26" t="str">
        <x:v>31_H6_and_Release_Readiness_Checklist.xlsx</x:v>
      </x:c>
      <x:c r="C596" s="26" t="str">
        <x:v>Release / Legal, privacidad y créditos / Release readiness</x:v>
      </x:c>
      <x:c r="D596" s="26" t="str">
        <x:v>Legal, privacidad y créditos</x:v>
      </x:c>
      <x:c r="E596" s="26" t="str">
        <x:v>Las clasificaciones de edad y disclosures de contenido están completados.</x:v>
      </x:c>
      <x:c r="F596" s="26" t="str">
        <x:v>Revisar, ejecutar y registrar evidencia reproducible.</x:v>
      </x:c>
      <x:c r="G596" s="26" t="str">
        <x:v>Release readiness control</x:v>
      </x:c>
      <x:c r="H596" s="26" t="str">
        <x:v>Activo</x:v>
      </x:c>
      <x:c r="I596" s="26" t="str">
        <x:v>Legal/Privacy</x:v>
      </x:c>
    </x:row>
    <x:row r="597" ht="30" customHeight="1">
      <x:c r="A597" s="26" t="str">
        <x:v>REL-LEG-008</x:v>
      </x:c>
      <x:c r="B597" s="26" t="str">
        <x:v>31_H6_and_Release_Readiness_Checklist.xlsx</x:v>
      </x:c>
      <x:c r="C597" s="26" t="str">
        <x:v>Release / Legal, privacidad y créditos / Release readiness</x:v>
      </x:c>
      <x:c r="D597" s="26" t="str">
        <x:v>Legal, privacidad y créditos</x:v>
      </x:c>
      <x:c r="E597" s="26" t="str">
        <x:v>Los derechos de música, audio, fuentes, imágenes y trailer cubren marketing y distribución.</x:v>
      </x:c>
      <x:c r="F597" s="26" t="str">
        <x:v>Revisar, ejecutar y registrar evidencia reproducible.</x:v>
      </x:c>
      <x:c r="G597" s="26" t="str">
        <x:v>Release readiness control</x:v>
      </x:c>
      <x:c r="H597" s="26" t="str">
        <x:v>Activo</x:v>
      </x:c>
      <x:c r="I597" s="26" t="str">
        <x:v>Legal/Privacy</x:v>
      </x:c>
    </x:row>
    <x:row r="598" ht="30" customHeight="1">
      <x:c r="A598" s="26" t="str">
        <x:v>REL-LEG-009</x:v>
      </x:c>
      <x:c r="B598" s="26" t="str">
        <x:v>31_H6_and_Release_Readiness_Checklist.xlsx</x:v>
      </x:c>
      <x:c r="C598" s="26" t="str">
        <x:v>Release / Legal, privacidad y créditos / Release readiness</x:v>
      </x:c>
      <x:c r="D598" s="26" t="str">
        <x:v>Legal, privacidad y créditos</x:v>
      </x:c>
      <x:c r="E598" s="26" t="str">
        <x:v>Los nombres/créditos de colaboradores cuentan con autorización y formato acordado.</x:v>
      </x:c>
      <x:c r="F598" s="26" t="str">
        <x:v>Revisar, ejecutar y registrar evidencia reproducible.</x:v>
      </x:c>
      <x:c r="G598" s="26" t="str">
        <x:v>Release readiness control</x:v>
      </x:c>
      <x:c r="H598" s="26" t="str">
        <x:v>Activo</x:v>
      </x:c>
      <x:c r="I598" s="26" t="str">
        <x:v>Legal/Privacy</x:v>
      </x:c>
    </x:row>
    <x:row r="599" ht="30" customHeight="1">
      <x:c r="A599" s="26" t="str">
        <x:v>REL-LEG-010</x:v>
      </x:c>
      <x:c r="B599" s="26" t="str">
        <x:v>31_H6_and_Release_Readiness_Checklist.xlsx</x:v>
      </x:c>
      <x:c r="C599" s="26" t="str">
        <x:v>Release / Legal, privacidad y créditos / Release readiness</x:v>
      </x:c>
      <x:c r="D599" s="26" t="str">
        <x:v>Legal, privacidad y créditos</x:v>
      </x:c>
      <x:c r="E599" s="26" t="str">
        <x:v>Los proveedores que tratan datos están inventariados y contratados cuando corresponde.</x:v>
      </x:c>
      <x:c r="F599" s="26" t="str">
        <x:v>Revisar, ejecutar y registrar evidencia reproducible.</x:v>
      </x:c>
      <x:c r="G599" s="26" t="str">
        <x:v>Release readiness control</x:v>
      </x:c>
      <x:c r="H599" s="26" t="str">
        <x:v>Activo</x:v>
      </x:c>
      <x:c r="I599" s="26" t="str">
        <x:v>Legal/Privacy</x:v>
      </x:c>
    </x:row>
    <x:row r="600" ht="30" customHeight="1">
      <x:c r="A600" s="26" t="str">
        <x:v>REL-LEG-011</x:v>
      </x:c>
      <x:c r="B600" s="26" t="str">
        <x:v>31_H6_and_Release_Readiness_Checklist.xlsx</x:v>
      </x:c>
      <x:c r="C600" s="26" t="str">
        <x:v>Release / Legal, privacidad y créditos / Release readiness</x:v>
      </x:c>
      <x:c r="D600" s="26" t="str">
        <x:v>Legal, privacidad y créditos</x:v>
      </x:c>
      <x:c r="E600" s="26" t="str">
        <x:v>El proceso de solicitudes de privacidad y eliminación está documentado si aplica.</x:v>
      </x:c>
      <x:c r="F600" s="26" t="str">
        <x:v>Revisar, ejecutar y registrar evidencia reproducible.</x:v>
      </x:c>
      <x:c r="G600" s="26" t="str">
        <x:v>Release readiness control</x:v>
      </x:c>
      <x:c r="H600" s="26" t="str">
        <x:v>Activo</x:v>
      </x:c>
      <x:c r="I600" s="26" t="str">
        <x:v>Legal/Privacy</x:v>
      </x:c>
    </x:row>
    <x:row r="601" ht="30" customHeight="1">
      <x:c r="A601" s="26" t="str">
        <x:v>REL-LEG-012</x:v>
      </x:c>
      <x:c r="B601" s="26" t="str">
        <x:v>31_H6_and_Release_Readiness_Checklist.xlsx</x:v>
      </x:c>
      <x:c r="C601" s="26" t="str">
        <x:v>Release / Legal, privacidad y créditos / Release readiness</x:v>
      </x:c>
      <x:c r="D601" s="26" t="str">
        <x:v>Legal, privacidad y créditos</x:v>
      </x:c>
      <x:c r="E601" s="26" t="str">
        <x:v>Los logs, crash reports y soporte no solicitan datos excesivos.</x:v>
      </x:c>
      <x:c r="F601" s="26" t="str">
        <x:v>Revisar, ejecutar y registrar evidencia reproducible.</x:v>
      </x:c>
      <x:c r="G601" s="26" t="str">
        <x:v>Release readiness control</x:v>
      </x:c>
      <x:c r="H601" s="26" t="str">
        <x:v>Activo</x:v>
      </x:c>
      <x:c r="I601" s="26" t="str">
        <x:v>Legal/Privacy</x:v>
      </x:c>
    </x:row>
    <x:row r="602" ht="30" customHeight="1">
      <x:c r="A602" s="26" t="str">
        <x:v>REL-LEG-013</x:v>
      </x:c>
      <x:c r="B602" s="26" t="str">
        <x:v>31_H6_and_Release_Readiness_Checklist.xlsx</x:v>
      </x:c>
      <x:c r="C602" s="26" t="str">
        <x:v>Release / Legal, privacidad y créditos / Release readiness</x:v>
      </x:c>
      <x:c r="D602" s="26" t="str">
        <x:v>Legal, privacidad y créditos</x:v>
      </x:c>
      <x:c r="E602" s="26" t="str">
        <x:v>La retención de datos y evidencias tiene plazos y responsables.</x:v>
      </x:c>
      <x:c r="F602" s="26" t="str">
        <x:v>Revisar, ejecutar y registrar evidencia reproducible.</x:v>
      </x:c>
      <x:c r="G602" s="26" t="str">
        <x:v>Release readiness control</x:v>
      </x:c>
      <x:c r="H602" s="26" t="str">
        <x:v>Activo</x:v>
      </x:c>
      <x:c r="I602" s="26" t="str">
        <x:v>Legal/Privacy</x:v>
      </x:c>
    </x:row>
    <x:row r="603" ht="30" customHeight="1">
      <x:c r="A603" s="26" t="str">
        <x:v>REL-LEG-014</x:v>
      </x:c>
      <x:c r="B603" s="26" t="str">
        <x:v>31_H6_and_Release_Readiness_Checklist.xlsx</x:v>
      </x:c>
      <x:c r="C603" s="26" t="str">
        <x:v>Release / Legal, privacidad y créditos / Release readiness</x:v>
      </x:c>
      <x:c r="D603" s="26" t="str">
        <x:v>Legal, privacidad y créditos</x:v>
      </x:c>
      <x:c r="E603" s="26" t="str">
        <x:v>No existe contenido generado/obtenido sin procedencia verificable.</x:v>
      </x:c>
      <x:c r="F603" s="26" t="str">
        <x:v>Revisar, ejecutar y registrar evidencia reproducible.</x:v>
      </x:c>
      <x:c r="G603" s="26" t="str">
        <x:v>Release readiness control</x:v>
      </x:c>
      <x:c r="H603" s="26" t="str">
        <x:v>Activo</x:v>
      </x:c>
      <x:c r="I603" s="26" t="str">
        <x:v>Legal/Privacy</x:v>
      </x:c>
    </x:row>
    <x:row r="604" ht="30" customHeight="1">
      <x:c r="A604" s="26" t="str">
        <x:v>REL-LEG-015</x:v>
      </x:c>
      <x:c r="B604" s="26" t="str">
        <x:v>31_H6_and_Release_Readiness_Checklist.xlsx</x:v>
      </x:c>
      <x:c r="C604" s="26" t="str">
        <x:v>Release / Legal, privacidad y créditos / Release readiness</x:v>
      </x:c>
      <x:c r="D604" s="26" t="str">
        <x:v>Legal, privacidad y créditos</x:v>
      </x:c>
      <x:c r="E604" s="26" t="str">
        <x:v>La documentación pública no ofrece garantías o funcionalidades no respaldadas.</x:v>
      </x:c>
      <x:c r="F604" s="26" t="str">
        <x:v>Revisar, ejecutar y registrar evidencia reproducible.</x:v>
      </x:c>
      <x:c r="G604" s="26" t="str">
        <x:v>Release readiness control</x:v>
      </x:c>
      <x:c r="H604" s="26" t="str">
        <x:v>Activo</x:v>
      </x:c>
      <x:c r="I604" s="26" t="str">
        <x:v>Legal/Privacy</x:v>
      </x:c>
    </x:row>
    <x:row r="605" ht="30" customHeight="1">
      <x:c r="A605" s="26" t="str">
        <x:v>REL-SEC-001</x:v>
      </x:c>
      <x:c r="B605" s="26" t="str">
        <x:v>31_H6_and_Release_Readiness_Checklist.xlsx</x:v>
      </x:c>
      <x:c r="C605" s="26" t="str">
        <x:v>Release / Seguridad y respuesta a incidentes / Release readiness</x:v>
      </x:c>
      <x:c r="D605" s="26" t="str">
        <x:v>Seguridad y respuesta a incidentes</x:v>
      </x:c>
      <x:c r="E605" s="26" t="str">
        <x:v>Secrets scan, dependency scan y package audit de la RC están completos.</x:v>
      </x:c>
      <x:c r="F605" s="26" t="str">
        <x:v>Revisar, ejecutar y registrar evidencia reproducible.</x:v>
      </x:c>
      <x:c r="G605" s="26" t="str">
        <x:v>Release readiness control</x:v>
      </x:c>
      <x:c r="H605" s="26" t="str">
        <x:v>Activo</x:v>
      </x:c>
      <x:c r="I605" s="26" t="str">
        <x:v>Security</x:v>
      </x:c>
    </x:row>
    <x:row r="606" ht="30" customHeight="1">
      <x:c r="A606" s="26" t="str">
        <x:v>REL-SEC-002</x:v>
      </x:c>
      <x:c r="B606" s="26" t="str">
        <x:v>31_H6_and_Release_Readiness_Checklist.xlsx</x:v>
      </x:c>
      <x:c r="C606" s="26" t="str">
        <x:v>Release / Seguridad y respuesta a incidentes / Release readiness</x:v>
      </x:c>
      <x:c r="D606" s="26" t="str">
        <x:v>Seguridad y respuesta a incidentes</x:v>
      </x:c>
      <x:c r="E606" s="26" t="str">
        <x:v>Las cuentas críticas tienen MFA/recuperación y propietarios vigentes.</x:v>
      </x:c>
      <x:c r="F606" s="26" t="str">
        <x:v>Revisar, ejecutar y registrar evidencia reproducible.</x:v>
      </x:c>
      <x:c r="G606" s="26" t="str">
        <x:v>Release readiness control</x:v>
      </x:c>
      <x:c r="H606" s="26" t="str">
        <x:v>Activo</x:v>
      </x:c>
      <x:c r="I606" s="26" t="str">
        <x:v>Security</x:v>
      </x:c>
    </x:row>
    <x:row r="607" ht="30" customHeight="1">
      <x:c r="A607" s="26" t="str">
        <x:v>REL-SEC-003</x:v>
      </x:c>
      <x:c r="B607" s="26" t="str">
        <x:v>31_H6_and_Release_Readiness_Checklist.xlsx</x:v>
      </x:c>
      <x:c r="C607" s="26" t="str">
        <x:v>Release / Seguridad y respuesta a incidentes / Release readiness</x:v>
      </x:c>
      <x:c r="D607" s="26" t="str">
        <x:v>Seguridad y respuesta a incidentes</x:v>
      </x:c>
      <x:c r="E607" s="26" t="str">
        <x:v>La CI/upload no imprime secretos ni permite publicar desde ramas no autorizadas.</x:v>
      </x:c>
      <x:c r="F607" s="26" t="str">
        <x:v>Revisar, ejecutar y registrar evidencia reproducible.</x:v>
      </x:c>
      <x:c r="G607" s="26" t="str">
        <x:v>Release readiness control</x:v>
      </x:c>
      <x:c r="H607" s="26" t="str">
        <x:v>Activo</x:v>
      </x:c>
      <x:c r="I607" s="26" t="str">
        <x:v>Security</x:v>
      </x:c>
    </x:row>
    <x:row r="608" ht="30" customHeight="1">
      <x:c r="A608" s="26" t="str">
        <x:v>REL-SEC-004</x:v>
      </x:c>
      <x:c r="B608" s="26" t="str">
        <x:v>31_H6_and_Release_Readiness_Checklist.xlsx</x:v>
      </x:c>
      <x:c r="C608" s="26" t="str">
        <x:v>Release / Seguridad y respuesta a incidentes / Release readiness</x:v>
      </x:c>
      <x:c r="D608" s="26" t="str">
        <x:v>Seguridad y respuesta a incidentes</x:v>
      </x:c>
      <x:c r="E608" s="26" t="str">
        <x:v>El binario y archivos distribuidos no incluyen información interna sensible.</x:v>
      </x:c>
      <x:c r="F608" s="26" t="str">
        <x:v>Revisar, ejecutar y registrar evidencia reproducible.</x:v>
      </x:c>
      <x:c r="G608" s="26" t="str">
        <x:v>Release readiness control</x:v>
      </x:c>
      <x:c r="H608" s="26" t="str">
        <x:v>Activo</x:v>
      </x:c>
      <x:c r="I608" s="26" t="str">
        <x:v>Security</x:v>
      </x:c>
    </x:row>
    <x:row r="609" ht="30" customHeight="1">
      <x:c r="A609" s="26" t="str">
        <x:v>REL-SEC-005</x:v>
      </x:c>
      <x:c r="B609" s="26" t="str">
        <x:v>31_H6_and_Release_Readiness_Checklist.xlsx</x:v>
      </x:c>
      <x:c r="C609" s="26" t="str">
        <x:v>Release / Seguridad y respuesta a incidentes / Release readiness</x:v>
      </x:c>
      <x:c r="D609" s="26" t="str">
        <x:v>Seguridad y respuesta a incidentes</x:v>
      </x:c>
      <x:c r="E609" s="26" t="str">
        <x:v>Existe playbook para vulnerabilidad, cuenta comprometida, build maliciosa o fuga de datos.</x:v>
      </x:c>
      <x:c r="F609" s="26" t="str">
        <x:v>Revisar, ejecutar y registrar evidencia reproducible.</x:v>
      </x:c>
      <x:c r="G609" s="26" t="str">
        <x:v>Release readiness control</x:v>
      </x:c>
      <x:c r="H609" s="26" t="str">
        <x:v>Activo</x:v>
      </x:c>
      <x:c r="I609" s="26" t="str">
        <x:v>Security</x:v>
      </x:c>
    </x:row>
    <x:row r="610" ht="30" customHeight="1">
      <x:c r="A610" s="26" t="str">
        <x:v>REL-SEC-006</x:v>
      </x:c>
      <x:c r="B610" s="26" t="str">
        <x:v>31_H6_and_Release_Readiness_Checklist.xlsx</x:v>
      </x:c>
      <x:c r="C610" s="26" t="str">
        <x:v>Release / Seguridad y respuesta a incidentes / Release readiness</x:v>
      </x:c>
      <x:c r="D610" s="26" t="str">
        <x:v>Seguridad y respuesta a incidentes</x:v>
      </x:c>
      <x:c r="E610" s="26" t="str">
        <x:v>Los contactos y autoridad para retirar/revertir una build están disponibles durante launch.</x:v>
      </x:c>
      <x:c r="F610" s="26" t="str">
        <x:v>Revisar, ejecutar y registrar evidencia reproducible.</x:v>
      </x:c>
      <x:c r="G610" s="26" t="str">
        <x:v>Release readiness control</x:v>
      </x:c>
      <x:c r="H610" s="26" t="str">
        <x:v>Activo</x:v>
      </x:c>
      <x:c r="I610" s="26" t="str">
        <x:v>Security</x:v>
      </x:c>
    </x:row>
    <x:row r="611" ht="30" customHeight="1">
      <x:c r="A611" s="26" t="str">
        <x:v>REL-SEC-007</x:v>
      </x:c>
      <x:c r="B611" s="26" t="str">
        <x:v>31_H6_and_Release_Readiness_Checklist.xlsx</x:v>
      </x:c>
      <x:c r="C611" s="26" t="str">
        <x:v>Release / Seguridad y respuesta a incidentes / Release readiness</x:v>
      </x:c>
      <x:c r="D611" s="26" t="str">
        <x:v>Seguridad y respuesta a incidentes</x:v>
      </x:c>
      <x:c r="E611" s="26" t="str">
        <x:v>Backups de repositorio, Steam config, documentación y builds han sido verificados.</x:v>
      </x:c>
      <x:c r="F611" s="26" t="str">
        <x:v>Revisar, ejecutar y registrar evidencia reproducible.</x:v>
      </x:c>
      <x:c r="G611" s="26" t="str">
        <x:v>Release readiness control</x:v>
      </x:c>
      <x:c r="H611" s="26" t="str">
        <x:v>Activo</x:v>
      </x:c>
      <x:c r="I611" s="26" t="str">
        <x:v>Security</x:v>
      </x:c>
    </x:row>
    <x:row r="612" ht="30" customHeight="1">
      <x:c r="A612" s="26" t="str">
        <x:v>REL-SEC-008</x:v>
      </x:c>
      <x:c r="B612" s="26" t="str">
        <x:v>31_H6_and_Release_Readiness_Checklist.xlsx</x:v>
      </x:c>
      <x:c r="C612" s="26" t="str">
        <x:v>Release / Seguridad y respuesta a incidentes / Release readiness</x:v>
      </x:c>
      <x:c r="D612" s="26" t="str">
        <x:v>Seguridad y respuesta a incidentes</x:v>
      </x:c>
      <x:c r="E612" s="26" t="str">
        <x:v>Las evidencias y builds se almacenan con integridad y acceso restringido.</x:v>
      </x:c>
      <x:c r="F612" s="26" t="str">
        <x:v>Revisar, ejecutar y registrar evidencia reproducible.</x:v>
      </x:c>
      <x:c r="G612" s="26" t="str">
        <x:v>Release readiness control</x:v>
      </x:c>
      <x:c r="H612" s="26" t="str">
        <x:v>Activo</x:v>
      </x:c>
      <x:c r="I612" s="26" t="str">
        <x:v>Security</x:v>
      </x:c>
    </x:row>
    <x:row r="613" ht="30" customHeight="1">
      <x:c r="A613" s="26" t="str">
        <x:v>REL-SEC-009</x:v>
      </x:c>
      <x:c r="B613" s="26" t="str">
        <x:v>31_H6_and_Release_Readiness_Checklist.xlsx</x:v>
      </x:c>
      <x:c r="C613" s="26" t="str">
        <x:v>Release / Seguridad y respuesta a incidentes / Release readiness</x:v>
      </x:c>
      <x:c r="D613" s="26" t="str">
        <x:v>Seguridad y respuesta a incidentes</x:v>
      </x:c>
      <x:c r="E613" s="26" t="str">
        <x:v>La recopilación de crash/telemetría usa transporte y almacenamiento apropiados si se activa.</x:v>
      </x:c>
      <x:c r="F613" s="26" t="str">
        <x:v>Revisar, ejecutar y registrar evidencia reproducible.</x:v>
      </x:c>
      <x:c r="G613" s="26" t="str">
        <x:v>Release readiness control</x:v>
      </x:c>
      <x:c r="H613" s="26" t="str">
        <x:v>Activo</x:v>
      </x:c>
      <x:c r="I613" s="26" t="str">
        <x:v>Security</x:v>
      </x:c>
    </x:row>
    <x:row r="614" ht="30" customHeight="1">
      <x:c r="A614" s="26" t="str">
        <x:v>REL-SEC-010</x:v>
      </x:c>
      <x:c r="B614" s="26" t="str">
        <x:v>31_H6_and_Release_Readiness_Checklist.xlsx</x:v>
      </x:c>
      <x:c r="C614" s="26" t="str">
        <x:v>Release / Seguridad y respuesta a incidentes / Release readiness</x:v>
      </x:c>
      <x:c r="D614" s="26" t="str">
        <x:v>Seguridad y respuesta a incidentes</x:v>
      </x:c>
      <x:c r="E614" s="26" t="str">
        <x:v>Las vulnerabilidades conocidas tienen severidad, mitigación y decisión de release.</x:v>
      </x:c>
      <x:c r="F614" s="26" t="str">
        <x:v>Revisar, ejecutar y registrar evidencia reproducible.</x:v>
      </x:c>
      <x:c r="G614" s="26" t="str">
        <x:v>Release readiness control</x:v>
      </x:c>
      <x:c r="H614" s="26" t="str">
        <x:v>Activo</x:v>
      </x:c>
      <x:c r="I614" s="26" t="str">
        <x:v>Security</x:v>
      </x:c>
    </x:row>
    <x:row r="615" ht="30" customHeight="1">
      <x:c r="A615" s="26" t="str">
        <x:v>REL-SEC-011</x:v>
      </x:c>
      <x:c r="B615" s="26" t="str">
        <x:v>31_H6_and_Release_Readiness_Checklist.xlsx</x:v>
      </x:c>
      <x:c r="C615" s="26" t="str">
        <x:v>Release / Seguridad y respuesta a incidentes / Release readiness</x:v>
      </x:c>
      <x:c r="D615" s="26" t="str">
        <x:v>Seguridad y respuesta a incidentes</x:v>
      </x:c>
      <x:c r="E615" s="26" t="str">
        <x:v>Se ensaya un tabletop de incidente de lanzamiento.</x:v>
      </x:c>
      <x:c r="F615" s="26" t="str">
        <x:v>Revisar, ejecutar y registrar evidencia reproducible.</x:v>
      </x:c>
      <x:c r="G615" s="26" t="str">
        <x:v>Release readiness control</x:v>
      </x:c>
      <x:c r="H615" s="26" t="str">
        <x:v>Activo</x:v>
      </x:c>
      <x:c r="I615" s="26" t="str">
        <x:v>Security</x:v>
      </x:c>
    </x:row>
    <x:row r="616" ht="30" customHeight="1">
      <x:c r="A616" s="26" t="str">
        <x:v>REL-SEC-012</x:v>
      </x:c>
      <x:c r="B616" s="26" t="str">
        <x:v>31_H6_and_Release_Readiness_Checklist.xlsx</x:v>
      </x:c>
      <x:c r="C616" s="26" t="str">
        <x:v>Release / Seguridad y respuesta a incidentes / Release readiness</x:v>
      </x:c>
      <x:c r="D616" s="26" t="str">
        <x:v>Seguridad y respuesta a incidentes</x:v>
      </x:c>
      <x:c r="E616" s="26" t="str">
        <x:v>El canal de reporte de seguridad/soporte está preparado y no promete SLA inexistentes.</x:v>
      </x:c>
      <x:c r="F616" s="26" t="str">
        <x:v>Revisar, ejecutar y registrar evidencia reproducible.</x:v>
      </x:c>
      <x:c r="G616" s="26" t="str">
        <x:v>Release readiness control</x:v>
      </x:c>
      <x:c r="H616" s="26" t="str">
        <x:v>Activo</x:v>
      </x:c>
      <x:c r="I616" s="26" t="str">
        <x:v>Security</x:v>
      </x:c>
    </x:row>
    <x:row r="617" ht="30" customHeight="1">
      <x:c r="A617" s="26" t="str">
        <x:v>REL-MKT-001</x:v>
      </x:c>
      <x:c r="B617" s="26" t="str">
        <x:v>31_H6_and_Release_Readiness_Checklist.xlsx</x:v>
      </x:c>
      <x:c r="C617" s="26" t="str">
        <x:v>Release / Marketing y comunicación / Release readiness</x:v>
      </x:c>
      <x:c r="D617" s="26" t="str">
        <x:v>Marketing y comunicación</x:v>
      </x:c>
      <x:c r="E617" s="26" t="str">
        <x:v>La campaña pública solo se abre tras gates de naming, producto, build, legal y capacidad.</x:v>
      </x:c>
      <x:c r="F617" s="26" t="str">
        <x:v>Revisar, ejecutar y registrar evidencia reproducible.</x:v>
      </x:c>
      <x:c r="G617" s="26" t="str">
        <x:v>Release readiness control</x:v>
      </x:c>
      <x:c r="H617" s="26" t="str">
        <x:v>Activo</x:v>
      </x:c>
      <x:c r="I617" s="26" t="str">
        <x:v>Marketing/Community</x:v>
      </x:c>
    </x:row>
    <x:row r="618" ht="30" customHeight="1">
      <x:c r="A618" s="26" t="str">
        <x:v>REL-MKT-002</x:v>
      </x:c>
      <x:c r="B618" s="26" t="str">
        <x:v>31_H6_and_Release_Readiness_Checklist.xlsx</x:v>
      </x:c>
      <x:c r="C618" s="26" t="str">
        <x:v>Release / Marketing y comunicación / Release readiness</x:v>
      </x:c>
      <x:c r="D618" s="26" t="str">
        <x:v>Marketing y comunicación</x:v>
      </x:c>
      <x:c r="E618" s="26" t="str">
        <x:v>La casa de mensajes y claims se vincula a evidencia del producto.</x:v>
      </x:c>
      <x:c r="F618" s="26" t="str">
        <x:v>Revisar, ejecutar y registrar evidencia reproducible.</x:v>
      </x:c>
      <x:c r="G618" s="26" t="str">
        <x:v>Release readiness control</x:v>
      </x:c>
      <x:c r="H618" s="26" t="str">
        <x:v>Activo</x:v>
      </x:c>
      <x:c r="I618" s="26" t="str">
        <x:v>Marketing/Community</x:v>
      </x:c>
    </x:row>
    <x:row r="619" ht="30" customHeight="1">
      <x:c r="A619" s="26" t="str">
        <x:v>REL-MKT-003</x:v>
      </x:c>
      <x:c r="B619" s="26" t="str">
        <x:v>31_H6_and_Release_Readiness_Checklist.xlsx</x:v>
      </x:c>
      <x:c r="C619" s="26" t="str">
        <x:v>Release / Marketing y comunicación / Release readiness</x:v>
      </x:c>
      <x:c r="D619" s="26" t="str">
        <x:v>Marketing y comunicación</x:v>
      </x:c>
      <x:c r="E619" s="26" t="str">
        <x:v>Key art, cápsulas, screenshots, GIFs y trailer usan assets aprobados y coherentes.</x:v>
      </x:c>
      <x:c r="F619" s="26" t="str">
        <x:v>Revisar, ejecutar y registrar evidencia reproducible.</x:v>
      </x:c>
      <x:c r="G619" s="26" t="str">
        <x:v>Release readiness control</x:v>
      </x:c>
      <x:c r="H619" s="26" t="str">
        <x:v>Activo</x:v>
      </x:c>
      <x:c r="I619" s="26" t="str">
        <x:v>Marketing/Community</x:v>
      </x:c>
    </x:row>
    <x:row r="620" ht="30" customHeight="1">
      <x:c r="A620" s="26" t="str">
        <x:v>REL-MKT-004</x:v>
      </x:c>
      <x:c r="B620" s="26" t="str">
        <x:v>31_H6_and_Release_Readiness_Checklist.xlsx</x:v>
      </x:c>
      <x:c r="C620" s="26" t="str">
        <x:v>Release / Marketing y comunicación / Release readiness</x:v>
      </x:c>
      <x:c r="D620" s="26" t="str">
        <x:v>Marketing y comunicación</x:v>
      </x:c>
      <x:c r="E620" s="26" t="str">
        <x:v>El calendario editorial no compromete tareas críticas de QA/release.</x:v>
      </x:c>
      <x:c r="F620" s="26" t="str">
        <x:v>Revisar, ejecutar y registrar evidencia reproducible.</x:v>
      </x:c>
      <x:c r="G620" s="26" t="str">
        <x:v>Release readiness control</x:v>
      </x:c>
      <x:c r="H620" s="26" t="str">
        <x:v>Activo</x:v>
      </x:c>
      <x:c r="I620" s="26" t="str">
        <x:v>Marketing/Community</x:v>
      </x:c>
    </x:row>
    <x:row r="621" ht="30" customHeight="1">
      <x:c r="A621" s="26" t="str">
        <x:v>REL-MKT-005</x:v>
      </x:c>
      <x:c r="B621" s="26" t="str">
        <x:v>31_H6_and_Release_Readiness_Checklist.xlsx</x:v>
      </x:c>
      <x:c r="C621" s="26" t="str">
        <x:v>Release / Marketing y comunicación / Release readiness</x:v>
      </x:c>
      <x:c r="D621" s="26" t="str">
        <x:v>Marketing y comunicación</x:v>
      </x:c>
      <x:c r="E621" s="26" t="str">
        <x:v>Los canales oficiales, bios y enlaces presentan información consistente.</x:v>
      </x:c>
      <x:c r="F621" s="26" t="str">
        <x:v>Revisar, ejecutar y registrar evidencia reproducible.</x:v>
      </x:c>
      <x:c r="G621" s="26" t="str">
        <x:v>Release readiness control</x:v>
      </x:c>
      <x:c r="H621" s="26" t="str">
        <x:v>Activo</x:v>
      </x:c>
      <x:c r="I621" s="26" t="str">
        <x:v>Marketing/Community</x:v>
      </x:c>
    </x:row>
    <x:row r="622" ht="30" customHeight="1">
      <x:c r="A622" s="26" t="str">
        <x:v>REL-MKT-006</x:v>
      </x:c>
      <x:c r="B622" s="26" t="str">
        <x:v>31_H6_and_Release_Readiness_Checklist.xlsx</x:v>
      </x:c>
      <x:c r="C622" s="26" t="str">
        <x:v>Release / Marketing y comunicación / Release readiness</x:v>
      </x:c>
      <x:c r="D622" s="26" t="str">
        <x:v>Marketing y comunicación</x:v>
      </x:c>
      <x:c r="E622" s="26" t="str">
        <x:v>La press kit contiene logo, descripción, factsheet, media y contacto vigentes.</x:v>
      </x:c>
      <x:c r="F622" s="26" t="str">
        <x:v>Revisar, ejecutar y registrar evidencia reproducible.</x:v>
      </x:c>
      <x:c r="G622" s="26" t="str">
        <x:v>Release readiness control</x:v>
      </x:c>
      <x:c r="H622" s="26" t="str">
        <x:v>Activo</x:v>
      </x:c>
      <x:c r="I622" s="26" t="str">
        <x:v>Marketing/Community</x:v>
      </x:c>
    </x:row>
    <x:row r="623" ht="30" customHeight="1">
      <x:c r="A623" s="26" t="str">
        <x:v>REL-MKT-007</x:v>
      </x:c>
      <x:c r="B623" s="26" t="str">
        <x:v>31_H6_and_Release_Readiness_Checklist.xlsx</x:v>
      </x:c>
      <x:c r="C623" s="26" t="str">
        <x:v>Release / Marketing y comunicación / Release readiness</x:v>
      </x:c>
      <x:c r="D623" s="26" t="str">
        <x:v>Marketing y comunicación</x:v>
      </x:c>
      <x:c r="E623" s="26" t="str">
        <x:v>Las listas de prensa/creadores respetan privacidad y preferencias de contacto.</x:v>
      </x:c>
      <x:c r="F623" s="26" t="str">
        <x:v>Revisar, ejecutar y registrar evidencia reproducible.</x:v>
      </x:c>
      <x:c r="G623" s="26" t="str">
        <x:v>Release readiness control</x:v>
      </x:c>
      <x:c r="H623" s="26" t="str">
        <x:v>Activo</x:v>
      </x:c>
      <x:c r="I623" s="26" t="str">
        <x:v>Marketing/Community</x:v>
      </x:c>
    </x:row>
    <x:row r="624" ht="30" customHeight="1">
      <x:c r="A624" s="26" t="str">
        <x:v>REL-MKT-008</x:v>
      </x:c>
      <x:c r="B624" s="26" t="str">
        <x:v>31_H6_and_Release_Readiness_Checklist.xlsx</x:v>
      </x:c>
      <x:c r="C624" s="26" t="str">
        <x:v>Release / Marketing y comunicación / Release readiness</x:v>
      </x:c>
      <x:c r="D624" s="26" t="str">
        <x:v>Marketing y comunicación</x:v>
      </x:c>
      <x:c r="E624" s="26" t="str">
        <x:v>Los embargos, claves y builds de review tienen control de acceso y tracking.</x:v>
      </x:c>
      <x:c r="F624" s="26" t="str">
        <x:v>Revisar, ejecutar y registrar evidencia reproducible.</x:v>
      </x:c>
      <x:c r="G624" s="26" t="str">
        <x:v>Release readiness control</x:v>
      </x:c>
      <x:c r="H624" s="26" t="str">
        <x:v>Activo</x:v>
      </x:c>
      <x:c r="I624" s="26" t="str">
        <x:v>Marketing/Community</x:v>
      </x:c>
    </x:row>
    <x:row r="625" ht="30" customHeight="1">
      <x:c r="A625" s="26" t="str">
        <x:v>REL-MKT-009</x:v>
      </x:c>
      <x:c r="B625" s="26" t="str">
        <x:v>31_H6_and_Release_Readiness_Checklist.xlsx</x:v>
      </x:c>
      <x:c r="C625" s="26" t="str">
        <x:v>Release / Marketing y comunicación / Release readiness</x:v>
      </x:c>
      <x:c r="D625" s="26" t="str">
        <x:v>Marketing y comunicación</x:v>
      </x:c>
      <x:c r="E625" s="26" t="str">
        <x:v>Los creadores reciben instrucciones y disclaimers coherentes con el estado del juego.</x:v>
      </x:c>
      <x:c r="F625" s="26" t="str">
        <x:v>Revisar, ejecutar y registrar evidencia reproducible.</x:v>
      </x:c>
      <x:c r="G625" s="26" t="str">
        <x:v>Release readiness control</x:v>
      </x:c>
      <x:c r="H625" s="26" t="str">
        <x:v>Activo</x:v>
      </x:c>
      <x:c r="I625" s="26" t="str">
        <x:v>Marketing/Community</x:v>
      </x:c>
    </x:row>
    <x:row r="626" ht="30" customHeight="1">
      <x:c r="A626" s="26" t="str">
        <x:v>REL-MKT-010</x:v>
      </x:c>
      <x:c r="B626" s="26" t="str">
        <x:v>31_H6_and_Release_Readiness_Checklist.xlsx</x:v>
      </x:c>
      <x:c r="C626" s="26" t="str">
        <x:v>Release / Marketing y comunicación / Release readiness</x:v>
      </x:c>
      <x:c r="D626" s="26" t="str">
        <x:v>Marketing y comunicación</x:v>
      </x:c>
      <x:c r="E626" s="26" t="str">
        <x:v>Las métricas de campaña tienen definiciones, fuentes y no incentivan spam.</x:v>
      </x:c>
      <x:c r="F626" s="26" t="str">
        <x:v>Revisar, ejecutar y registrar evidencia reproducible.</x:v>
      </x:c>
      <x:c r="G626" s="26" t="str">
        <x:v>Release readiness control</x:v>
      </x:c>
      <x:c r="H626" s="26" t="str">
        <x:v>Activo</x:v>
      </x:c>
      <x:c r="I626" s="26" t="str">
        <x:v>Marketing/Community</x:v>
      </x:c>
    </x:row>
    <x:row r="627" ht="30" customHeight="1">
      <x:c r="A627" s="26" t="str">
        <x:v>REL-MKT-011</x:v>
      </x:c>
      <x:c r="B627" s="26" t="str">
        <x:v>31_H6_and_Release_Readiness_Checklist.xlsx</x:v>
      </x:c>
      <x:c r="C627" s="26" t="str">
        <x:v>Release / Marketing y comunicación / Release readiness</x:v>
      </x:c>
      <x:c r="D627" s="26" t="str">
        <x:v>Marketing y comunicación</x:v>
      </x:c>
      <x:c r="E627" s="26" t="str">
        <x:v>La comunicación de retrasos, bugs o incidentes tiene plantillas y aprobación.</x:v>
      </x:c>
      <x:c r="F627" s="26" t="str">
        <x:v>Revisar, ejecutar y registrar evidencia reproducible.</x:v>
      </x:c>
      <x:c r="G627" s="26" t="str">
        <x:v>Release readiness control</x:v>
      </x:c>
      <x:c r="H627" s="26" t="str">
        <x:v>Activo</x:v>
      </x:c>
      <x:c r="I627" s="26" t="str">
        <x:v>Marketing/Community</x:v>
      </x:c>
    </x:row>
    <x:row r="628" ht="30" customHeight="1">
      <x:c r="A628" s="26" t="str">
        <x:v>REL-MKT-012</x:v>
      </x:c>
      <x:c r="B628" s="26" t="str">
        <x:v>31_H6_and_Release_Readiness_Checklist.xlsx</x:v>
      </x:c>
      <x:c r="C628" s="26" t="str">
        <x:v>Release / Marketing y comunicación / Release readiness</x:v>
      </x:c>
      <x:c r="D628" s="26" t="str">
        <x:v>Marketing y comunicación</x:v>
      </x:c>
      <x:c r="E628" s="26" t="str">
        <x:v>La comunidad no recibe fechas o features especulativas como compromisos.</x:v>
      </x:c>
      <x:c r="F628" s="26" t="str">
        <x:v>Revisar, ejecutar y registrar evidencia reproducible.</x:v>
      </x:c>
      <x:c r="G628" s="26" t="str">
        <x:v>Release readiness control</x:v>
      </x:c>
      <x:c r="H628" s="26" t="str">
        <x:v>Activo</x:v>
      </x:c>
      <x:c r="I628" s="26" t="str">
        <x:v>Marketing/Community</x:v>
      </x:c>
    </x:row>
    <x:row r="629" ht="30" customHeight="1">
      <x:c r="A629" s="26" t="str">
        <x:v>REL-MKT-013</x:v>
      </x:c>
      <x:c r="B629" s="26" t="str">
        <x:v>31_H6_and_Release_Readiness_Checklist.xlsx</x:v>
      </x:c>
      <x:c r="C629" s="26" t="str">
        <x:v>Release / Marketing y comunicación / Release readiness</x:v>
      </x:c>
      <x:c r="D629" s="26" t="str">
        <x:v>Marketing y comunicación</x:v>
      </x:c>
      <x:c r="E629" s="26" t="str">
        <x:v>Las capturas y vídeos conservan Build ID/procedencia para poder retirar material obsoleto.</x:v>
      </x:c>
      <x:c r="F629" s="26" t="str">
        <x:v>Revisar, ejecutar y registrar evidencia reproducible.</x:v>
      </x:c>
      <x:c r="G629" s="26" t="str">
        <x:v>Release readiness control</x:v>
      </x:c>
      <x:c r="H629" s="26" t="str">
        <x:v>Activo</x:v>
      </x:c>
      <x:c r="I629" s="26" t="str">
        <x:v>Marketing/Community</x:v>
      </x:c>
    </x:row>
    <x:row r="630" ht="30" customHeight="1">
      <x:c r="A630" s="26" t="str">
        <x:v>REL-MKT-014</x:v>
      </x:c>
      <x:c r="B630" s="26" t="str">
        <x:v>31_H6_and_Release_Readiness_Checklist.xlsx</x:v>
      </x:c>
      <x:c r="C630" s="26" t="str">
        <x:v>Release / Marketing y comunicación / Release readiness</x:v>
      </x:c>
      <x:c r="D630" s="26" t="str">
        <x:v>Marketing y comunicación</x:v>
      </x:c>
      <x:c r="E630" s="26" t="str">
        <x:v>Los anuncios de accesibilidad, idiomas y rendimiento pasan revisión especializada.</x:v>
      </x:c>
      <x:c r="F630" s="26" t="str">
        <x:v>Revisar, ejecutar y registrar evidencia reproducible.</x:v>
      </x:c>
      <x:c r="G630" s="26" t="str">
        <x:v>Release readiness control</x:v>
      </x:c>
      <x:c r="H630" s="26" t="str">
        <x:v>Activo</x:v>
      </x:c>
      <x:c r="I630" s="26" t="str">
        <x:v>Marketing/Community</x:v>
      </x:c>
    </x:row>
    <x:row r="631" ht="30" customHeight="1">
      <x:c r="A631" s="26" t="str">
        <x:v>REL-MKT-015</x:v>
      </x:c>
      <x:c r="B631" s="26" t="str">
        <x:v>31_H6_and_Release_Readiness_Checklist.xlsx</x:v>
      </x:c>
      <x:c r="C631" s="26" t="str">
        <x:v>Release / Marketing y comunicación / Release readiness</x:v>
      </x:c>
      <x:c r="D631" s="26" t="str">
        <x:v>Marketing y comunicación</x:v>
      </x:c>
      <x:c r="E631" s="26" t="str">
        <x:v>La página Coming Soon tiene plan de wishlists, actualización y contenido sostenible.</x:v>
      </x:c>
      <x:c r="F631" s="26" t="str">
        <x:v>Revisar, ejecutar y registrar evidencia reproducible.</x:v>
      </x:c>
      <x:c r="G631" s="26" t="str">
        <x:v>Release readiness control</x:v>
      </x:c>
      <x:c r="H631" s="26" t="str">
        <x:v>Activo</x:v>
      </x:c>
      <x:c r="I631" s="26" t="str">
        <x:v>Marketing/Community</x:v>
      </x:c>
    </x:row>
    <x:row r="632" ht="30" customHeight="1">
      <x:c r="A632" s="26" t="str">
        <x:v>REL-MKT-016</x:v>
      </x:c>
      <x:c r="B632" s="26" t="str">
        <x:v>31_H6_and_Release_Readiness_Checklist.xlsx</x:v>
      </x:c>
      <x:c r="C632" s="26" t="str">
        <x:v>Release / Marketing y comunicación / Release readiness</x:v>
      </x:c>
      <x:c r="D632" s="26" t="str">
        <x:v>Marketing y comunicación</x:v>
      </x:c>
      <x:c r="E632" s="26" t="str">
        <x:v>La demo/Playtest, si se publica, tiene objetivo, audiencia, feedback y cierre definidos.</x:v>
      </x:c>
      <x:c r="F632" s="26" t="str">
        <x:v>Revisar, ejecutar y registrar evidencia reproducible.</x:v>
      </x:c>
      <x:c r="G632" s="26" t="str">
        <x:v>Release readiness control</x:v>
      </x:c>
      <x:c r="H632" s="26" t="str">
        <x:v>Activo</x:v>
      </x:c>
      <x:c r="I632" s="26" t="str">
        <x:v>Marketing/Community</x:v>
      </x:c>
    </x:row>
    <x:row r="633" ht="30" customHeight="1">
      <x:c r="A633" s="26" t="str">
        <x:v>REL-MKT-017</x:v>
      </x:c>
      <x:c r="B633" s="26" t="str">
        <x:v>31_H6_and_Release_Readiness_Checklist.xlsx</x:v>
      </x:c>
      <x:c r="C633" s="26" t="str">
        <x:v>Release / Marketing y comunicación / Release readiness</x:v>
      </x:c>
      <x:c r="D633" s="26" t="str">
        <x:v>Marketing y comunicación</x:v>
      </x:c>
      <x:c r="E633" s="26" t="str">
        <x:v>Las comunicaciones cumplen políticas de Steam y derechos de terceros.</x:v>
      </x:c>
      <x:c r="F633" s="26" t="str">
        <x:v>Revisar, ejecutar y registrar evidencia reproducible.</x:v>
      </x:c>
      <x:c r="G633" s="26" t="str">
        <x:v>Release readiness control</x:v>
      </x:c>
      <x:c r="H633" s="26" t="str">
        <x:v>Activo</x:v>
      </x:c>
      <x:c r="I633" s="26" t="str">
        <x:v>Marketing/Community</x:v>
      </x:c>
    </x:row>
    <x:row r="634" ht="30" customHeight="1">
      <x:c r="A634" s="26" t="str">
        <x:v>REL-MKT-018</x:v>
      </x:c>
      <x:c r="B634" s="26" t="str">
        <x:v>31_H6_and_Release_Readiness_Checklist.xlsx</x:v>
      </x:c>
      <x:c r="C634" s="26" t="str">
        <x:v>Release / Marketing y comunicación / Release readiness</x:v>
      </x:c>
      <x:c r="D634" s="26" t="str">
        <x:v>Marketing y comunicación</x:v>
      </x:c>
      <x:c r="E634" s="26" t="str">
        <x:v>Existe criterio para detener promoción si la RC o launch readiness retrocede.</x:v>
      </x:c>
      <x:c r="F634" s="26" t="str">
        <x:v>Revisar, ejecutar y registrar evidencia reproducible.</x:v>
      </x:c>
      <x:c r="G634" s="26" t="str">
        <x:v>Release readiness control</x:v>
      </x:c>
      <x:c r="H634" s="26" t="str">
        <x:v>Activo</x:v>
      </x:c>
      <x:c r="I634" s="26" t="str">
        <x:v>Marketing/Community</x:v>
      </x:c>
    </x:row>
    <x:row r="635" ht="30" customHeight="1">
      <x:c r="A635" s="26" t="str">
        <x:v>REL-SUP-001</x:v>
      </x:c>
      <x:c r="B635" s="26" t="str">
        <x:v>31_H6_and_Release_Readiness_Checklist.xlsx</x:v>
      </x:c>
      <x:c r="C635" s="26" t="str">
        <x:v>Release / Comunidad, soporte y operaciones / Release readiness</x:v>
      </x:c>
      <x:c r="D635" s="26" t="str">
        <x:v>Comunidad, soporte y operaciones</x:v>
      </x:c>
      <x:c r="E635" s="26" t="str">
        <x:v>Los canales de soporte y comunidad tienen propietarios, horarios y expectativas realistas.</x:v>
      </x:c>
      <x:c r="F635" s="26" t="str">
        <x:v>Revisar, ejecutar y registrar evidencia reproducible.</x:v>
      </x:c>
      <x:c r="G635" s="26" t="str">
        <x:v>Release readiness control</x:v>
      </x:c>
      <x:c r="H635" s="26" t="str">
        <x:v>Activo</x:v>
      </x:c>
      <x:c r="I635" s="26" t="str">
        <x:v>Support/Community</x:v>
      </x:c>
    </x:row>
    <x:row r="636" ht="30" customHeight="1">
      <x:c r="A636" s="26" t="str">
        <x:v>REL-SUP-002</x:v>
      </x:c>
      <x:c r="B636" s="26" t="str">
        <x:v>31_H6_and_Release_Readiness_Checklist.xlsx</x:v>
      </x:c>
      <x:c r="C636" s="26" t="str">
        <x:v>Release / Comunidad, soporte y operaciones / Release readiness</x:v>
      </x:c>
      <x:c r="D636" s="26" t="str">
        <x:v>Comunidad, soporte y operaciones</x:v>
      </x:c>
      <x:c r="E636" s="26" t="str">
        <x:v>FAQ y troubleshooting cubren instalación, saves, settings, idioma y problemas conocidos.</x:v>
      </x:c>
      <x:c r="F636" s="26" t="str">
        <x:v>Revisar, ejecutar y registrar evidencia reproducible.</x:v>
      </x:c>
      <x:c r="G636" s="26" t="str">
        <x:v>Release readiness control</x:v>
      </x:c>
      <x:c r="H636" s="26" t="str">
        <x:v>Activo</x:v>
      </x:c>
      <x:c r="I636" s="26" t="str">
        <x:v>Support/Community</x:v>
      </x:c>
    </x:row>
    <x:row r="637" ht="30" customHeight="1">
      <x:c r="A637" s="26" t="str">
        <x:v>REL-SUP-003</x:v>
      </x:c>
      <x:c r="B637" s="26" t="str">
        <x:v>31_H6_and_Release_Readiness_Checklist.xlsx</x:v>
      </x:c>
      <x:c r="C637" s="26" t="str">
        <x:v>Release / Comunidad, soporte y operaciones / Release readiness</x:v>
      </x:c>
      <x:c r="D637" s="26" t="str">
        <x:v>Comunidad, soporte y operaciones</x:v>
      </x:c>
      <x:c r="E637" s="26" t="str">
        <x:v>Existe taxonomía para tickets, bugs, crashes, privacidad y seguridad.</x:v>
      </x:c>
      <x:c r="F637" s="26" t="str">
        <x:v>Revisar, ejecutar y registrar evidencia reproducible.</x:v>
      </x:c>
      <x:c r="G637" s="26" t="str">
        <x:v>Release readiness control</x:v>
      </x:c>
      <x:c r="H637" s="26" t="str">
        <x:v>Activo</x:v>
      </x:c>
      <x:c r="I637" s="26" t="str">
        <x:v>Support/Community</x:v>
      </x:c>
    </x:row>
    <x:row r="638" ht="30" customHeight="1">
      <x:c r="A638" s="26" t="str">
        <x:v>REL-SUP-004</x:v>
      </x:c>
      <x:c r="B638" s="26" t="str">
        <x:v>31_H6_and_Release_Readiness_Checklist.xlsx</x:v>
      </x:c>
      <x:c r="C638" s="26" t="str">
        <x:v>Release / Comunidad, soporte y operaciones / Release readiness</x:v>
      </x:c>
      <x:c r="D638" s="26" t="str">
        <x:v>Comunidad, soporte y operaciones</x:v>
      </x:c>
      <x:c r="E638" s="26" t="str">
        <x:v>Los datos solicitados a usuarios están minimizados y se explican.</x:v>
      </x:c>
      <x:c r="F638" s="26" t="str">
        <x:v>Revisar, ejecutar y registrar evidencia reproducible.</x:v>
      </x:c>
      <x:c r="G638" s="26" t="str">
        <x:v>Release readiness control</x:v>
      </x:c>
      <x:c r="H638" s="26" t="str">
        <x:v>Activo</x:v>
      </x:c>
      <x:c r="I638" s="26" t="str">
        <x:v>Support/Community</x:v>
      </x:c>
    </x:row>
    <x:row r="639" ht="30" customHeight="1">
      <x:c r="A639" s="26" t="str">
        <x:v>REL-SUP-005</x:v>
      </x:c>
      <x:c r="B639" s="26" t="str">
        <x:v>31_H6_and_Release_Readiness_Checklist.xlsx</x:v>
      </x:c>
      <x:c r="C639" s="26" t="str">
        <x:v>Release / Comunidad, soporte y operaciones / Release readiness</x:v>
      </x:c>
      <x:c r="D639" s="26" t="str">
        <x:v>Comunidad, soporte y operaciones</x:v>
      </x:c>
      <x:c r="E639" s="26" t="str">
        <x:v>La moderación tiene reglas, escalado y tratamiento de abuso.</x:v>
      </x:c>
      <x:c r="F639" s="26" t="str">
        <x:v>Revisar, ejecutar y registrar evidencia reproducible.</x:v>
      </x:c>
      <x:c r="G639" s="26" t="str">
        <x:v>Release readiness control</x:v>
      </x:c>
      <x:c r="H639" s="26" t="str">
        <x:v>Activo</x:v>
      </x:c>
      <x:c r="I639" s="26" t="str">
        <x:v>Support/Community</x:v>
      </x:c>
    </x:row>
    <x:row r="640" ht="30" customHeight="1">
      <x:c r="A640" s="26" t="str">
        <x:v>REL-SUP-006</x:v>
      </x:c>
      <x:c r="B640" s="26" t="str">
        <x:v>31_H6_and_Release_Readiness_Checklist.xlsx</x:v>
      </x:c>
      <x:c r="C640" s="26" t="str">
        <x:v>Release / Comunidad, soporte y operaciones / Release readiness</x:v>
      </x:c>
      <x:c r="D640" s="26" t="str">
        <x:v>Comunidad, soporte y operaciones</x:v>
      </x:c>
      <x:c r="E640" s="26" t="str">
        <x:v>Los reportes de bugs se convierten en incidencias reproducibles sin exponer datos personales.</x:v>
      </x:c>
      <x:c r="F640" s="26" t="str">
        <x:v>Revisar, ejecutar y registrar evidencia reproducible.</x:v>
      </x:c>
      <x:c r="G640" s="26" t="str">
        <x:v>Release readiness control</x:v>
      </x:c>
      <x:c r="H640" s="26" t="str">
        <x:v>Activo</x:v>
      </x:c>
      <x:c r="I640" s="26" t="str">
        <x:v>Support/Community</x:v>
      </x:c>
    </x:row>
    <x:row r="641" ht="30" customHeight="1">
      <x:c r="A641" s="26" t="str">
        <x:v>REL-SUP-007</x:v>
      </x:c>
      <x:c r="B641" s="26" t="str">
        <x:v>31_H6_and_Release_Readiness_Checklist.xlsx</x:v>
      </x:c>
      <x:c r="C641" s="26" t="str">
        <x:v>Release / Comunidad, soporte y operaciones / Release readiness</x:v>
      </x:c>
      <x:c r="D641" s="26" t="str">
        <x:v>Comunidad, soporte y operaciones</x:v>
      </x:c>
      <x:c r="E641" s="26" t="str">
        <x:v>El equipo puede comunicar known issues y estado de servicios rápidamente.</x:v>
      </x:c>
      <x:c r="F641" s="26" t="str">
        <x:v>Revisar, ejecutar y registrar evidencia reproducible.</x:v>
      </x:c>
      <x:c r="G641" s="26" t="str">
        <x:v>Release readiness control</x:v>
      </x:c>
      <x:c r="H641" s="26" t="str">
        <x:v>Activo</x:v>
      </x:c>
      <x:c r="I641" s="26" t="str">
        <x:v>Support/Community</x:v>
      </x:c>
    </x:row>
    <x:row r="642" ht="30" customHeight="1">
      <x:c r="A642" s="26" t="str">
        <x:v>REL-SUP-008</x:v>
      </x:c>
      <x:c r="B642" s="26" t="str">
        <x:v>31_H6_and_Release_Readiness_Checklist.xlsx</x:v>
      </x:c>
      <x:c r="C642" s="26" t="str">
        <x:v>Release / Comunidad, soporte y operaciones / Release readiness</x:v>
      </x:c>
      <x:c r="D642" s="26" t="str">
        <x:v>Comunidad, soporte y operaciones</x:v>
      </x:c>
      <x:c r="E642" s="26" t="str">
        <x:v>Las claves de review/Playtest se controlan y revocan cuando corresponde.</x:v>
      </x:c>
      <x:c r="F642" s="26" t="str">
        <x:v>Revisar, ejecutar y registrar evidencia reproducible.</x:v>
      </x:c>
      <x:c r="G642" s="26" t="str">
        <x:v>Release readiness control</x:v>
      </x:c>
      <x:c r="H642" s="26" t="str">
        <x:v>Activo</x:v>
      </x:c>
      <x:c r="I642" s="26" t="str">
        <x:v>Support/Community</x:v>
      </x:c>
    </x:row>
    <x:row r="643" ht="30" customHeight="1">
      <x:c r="A643" s="26" t="str">
        <x:v>REL-SUP-009</x:v>
      </x:c>
      <x:c r="B643" s="26" t="str">
        <x:v>31_H6_and_Release_Readiness_Checklist.xlsx</x:v>
      </x:c>
      <x:c r="C643" s="26" t="str">
        <x:v>Release / Comunidad, soporte y operaciones / Release readiness</x:v>
      </x:c>
      <x:c r="D643" s="26" t="str">
        <x:v>Comunidad, soporte y operaciones</x:v>
      </x:c>
      <x:c r="E643" s="26" t="str">
        <x:v>Existe plan para reseñas negativas, review bombing y crisis sin manipulación.</x:v>
      </x:c>
      <x:c r="F643" s="26" t="str">
        <x:v>Revisar, ejecutar y registrar evidencia reproducible.</x:v>
      </x:c>
      <x:c r="G643" s="26" t="str">
        <x:v>Release readiness control</x:v>
      </x:c>
      <x:c r="H643" s="26" t="str">
        <x:v>Activo</x:v>
      </x:c>
      <x:c r="I643" s="26" t="str">
        <x:v>Support/Community</x:v>
      </x:c>
    </x:row>
    <x:row r="644" ht="30" customHeight="1">
      <x:c r="A644" s="26" t="str">
        <x:v>REL-SUP-010</x:v>
      </x:c>
      <x:c r="B644" s="26" t="str">
        <x:v>31_H6_and_Release_Readiness_Checklist.xlsx</x:v>
      </x:c>
      <x:c r="C644" s="26" t="str">
        <x:v>Release / Comunidad, soporte y operaciones / Release readiness</x:v>
      </x:c>
      <x:c r="D644" s="26" t="str">
        <x:v>Comunidad, soporte y operaciones</x:v>
      </x:c>
      <x:c r="E644" s="26" t="str">
        <x:v>Las solicitudes de accesibilidad/localización se etiquetan y revisan por especialistas.</x:v>
      </x:c>
      <x:c r="F644" s="26" t="str">
        <x:v>Revisar, ejecutar y registrar evidencia reproducible.</x:v>
      </x:c>
      <x:c r="G644" s="26" t="str">
        <x:v>Release readiness control</x:v>
      </x:c>
      <x:c r="H644" s="26" t="str">
        <x:v>Activo</x:v>
      </x:c>
      <x:c r="I644" s="26" t="str">
        <x:v>Support/Community</x:v>
      </x:c>
    </x:row>
    <x:row r="645" ht="30" customHeight="1">
      <x:c r="A645" s="26" t="str">
        <x:v>REL-SUP-011</x:v>
      </x:c>
      <x:c r="B645" s="26" t="str">
        <x:v>31_H6_and_Release_Readiness_Checklist.xlsx</x:v>
      </x:c>
      <x:c r="C645" s="26" t="str">
        <x:v>Release / Comunidad, soporte y operaciones / Release readiness</x:v>
      </x:c>
      <x:c r="D645" s="26" t="str">
        <x:v>Comunidad, soporte y operaciones</x:v>
      </x:c>
      <x:c r="E645" s="26" t="str">
        <x:v>El soporte puede identificar versión/build sin pedir información compleja al usuario.</x:v>
      </x:c>
      <x:c r="F645" s="26" t="str">
        <x:v>Revisar, ejecutar y registrar evidencia reproducible.</x:v>
      </x:c>
      <x:c r="G645" s="26" t="str">
        <x:v>Release readiness control</x:v>
      </x:c>
      <x:c r="H645" s="26" t="str">
        <x:v>Activo</x:v>
      </x:c>
      <x:c r="I645" s="26" t="str">
        <x:v>Support/Community</x:v>
      </x:c>
    </x:row>
    <x:row r="646" ht="30" customHeight="1">
      <x:c r="A646" s="26" t="str">
        <x:v>REL-SUP-012</x:v>
      </x:c>
      <x:c r="B646" s="26" t="str">
        <x:v>31_H6_and_Release_Readiness_Checklist.xlsx</x:v>
      </x:c>
      <x:c r="C646" s="26" t="str">
        <x:v>Release / Comunidad, soporte y operaciones / Release readiness</x:v>
      </x:c>
      <x:c r="D646" s="26" t="str">
        <x:v>Comunidad, soporte y operaciones</x:v>
      </x:c>
      <x:c r="E646" s="26" t="str">
        <x:v>El handoff a post-launch incluye responsables, dashboards y backlog inicial.</x:v>
      </x:c>
      <x:c r="F646" s="26" t="str">
        <x:v>Revisar, ejecutar y registrar evidencia reproducible.</x:v>
      </x:c>
      <x:c r="G646" s="26" t="str">
        <x:v>Release readiness control</x:v>
      </x:c>
      <x:c r="H646" s="26" t="str">
        <x:v>Activo</x:v>
      </x:c>
      <x:c r="I646" s="26" t="str">
        <x:v>Support/Community</x:v>
      </x:c>
    </x:row>
    <x:row r="647" ht="30" customHeight="1">
      <x:c r="A647" s="26" t="str">
        <x:v>REL-TEL-001</x:v>
      </x:c>
      <x:c r="B647" s="26" t="str">
        <x:v>31_H6_and_Release_Readiness_Checklist.xlsx</x:v>
      </x:c>
      <x:c r="C647" s="26" t="str">
        <x:v>Release / Telemetría, crashes y datos / Release readiness</x:v>
      </x:c>
      <x:c r="D647" s="26" t="str">
        <x:v>Telemetría, crashes y datos</x:v>
      </x:c>
      <x:c r="E647" s="26" t="str">
        <x:v>La telemetría es opcional por diseño de release salvo decisión y base documentadas.</x:v>
      </x:c>
      <x:c r="F647" s="26" t="str">
        <x:v>Revisar, ejecutar y registrar evidencia reproducible.</x:v>
      </x:c>
      <x:c r="G647" s="26" t="str">
        <x:v>Release readiness control</x:v>
      </x:c>
      <x:c r="H647" s="26" t="str">
        <x:v>Activo</x:v>
      </x:c>
      <x:c r="I647" s="26" t="str">
        <x:v>Data/Privacy</x:v>
      </x:c>
    </x:row>
    <x:row r="648" ht="30" customHeight="1">
      <x:c r="A648" s="26" t="str">
        <x:v>REL-TEL-002</x:v>
      </x:c>
      <x:c r="B648" s="26" t="str">
        <x:v>31_H6_and_Release_Readiness_Checklist.xlsx</x:v>
      </x:c>
      <x:c r="C648" s="26" t="str">
        <x:v>Release / Telemetría, crashes y datos / Release readiness</x:v>
      </x:c>
      <x:c r="D648" s="26" t="str">
        <x:v>Telemetría, crashes y datos</x:v>
      </x:c>
      <x:c r="E648" s="26" t="str">
        <x:v>Cada evento tiene propósito, campos, retención y owner definidos.</x:v>
      </x:c>
      <x:c r="F648" s="26" t="str">
        <x:v>Revisar, ejecutar y registrar evidencia reproducible.</x:v>
      </x:c>
      <x:c r="G648" s="26" t="str">
        <x:v>Release readiness control</x:v>
      </x:c>
      <x:c r="H648" s="26" t="str">
        <x:v>Activo</x:v>
      </x:c>
      <x:c r="I648" s="26" t="str">
        <x:v>Data/Privacy</x:v>
      </x:c>
    </x:row>
    <x:row r="649" ht="30" customHeight="1">
      <x:c r="A649" s="26" t="str">
        <x:v>REL-TEL-003</x:v>
      </x:c>
      <x:c r="B649" s="26" t="str">
        <x:v>31_H6_and_Release_Readiness_Checklist.xlsx</x:v>
      </x:c>
      <x:c r="C649" s="26" t="str">
        <x:v>Release / Telemetría, crashes y datos / Release readiness</x:v>
      </x:c>
      <x:c r="D649" s="26" t="str">
        <x:v>Telemetría, crashes y datos</x:v>
      </x:c>
      <x:c r="E649" s="26" t="str">
        <x:v>No se recopila texto libre, contenido de save o identificadores innecesarios.</x:v>
      </x:c>
      <x:c r="F649" s="26" t="str">
        <x:v>Revisar, ejecutar y registrar evidencia reproducible.</x:v>
      </x:c>
      <x:c r="G649" s="26" t="str">
        <x:v>Release readiness control</x:v>
      </x:c>
      <x:c r="H649" s="26" t="str">
        <x:v>Activo</x:v>
      </x:c>
      <x:c r="I649" s="26" t="str">
        <x:v>Data/Privacy</x:v>
      </x:c>
    </x:row>
    <x:row r="650" ht="30" customHeight="1">
      <x:c r="A650" s="26" t="str">
        <x:v>REL-TEL-004</x:v>
      </x:c>
      <x:c r="B650" s="26" t="str">
        <x:v>31_H6_and_Release_Readiness_Checklist.xlsx</x:v>
      </x:c>
      <x:c r="C650" s="26" t="str">
        <x:v>Release / Telemetría, crashes y datos / Release readiness</x:v>
      </x:c>
      <x:c r="D650" s="26" t="str">
        <x:v>Telemetría, crashes y datos</x:v>
      </x:c>
      <x:c r="E650" s="26" t="str">
        <x:v>Consentimiento, opt-out y estado offline funcionan cuando son necesarios.</x:v>
      </x:c>
      <x:c r="F650" s="26" t="str">
        <x:v>Revisar, ejecutar y registrar evidencia reproducible.</x:v>
      </x:c>
      <x:c r="G650" s="26" t="str">
        <x:v>Release readiness control</x:v>
      </x:c>
      <x:c r="H650" s="26" t="str">
        <x:v>Activo</x:v>
      </x:c>
      <x:c r="I650" s="26" t="str">
        <x:v>Data/Privacy</x:v>
      </x:c>
    </x:row>
    <x:row r="651" ht="30" customHeight="1">
      <x:c r="A651" s="26" t="str">
        <x:v>REL-TEL-005</x:v>
      </x:c>
      <x:c r="B651" s="26" t="str">
        <x:v>31_H6_and_Release_Readiness_Checklist.xlsx</x:v>
      </x:c>
      <x:c r="C651" s="26" t="str">
        <x:v>Release / Telemetría, crashes y datos / Release readiness</x:v>
      </x:c>
      <x:c r="D651" s="26" t="str">
        <x:v>Telemetría, crashes y datos</x:v>
      </x:c>
      <x:c r="E651" s="26" t="str">
        <x:v>Los crash reports se prueban sin enviar datos sensibles.</x:v>
      </x:c>
      <x:c r="F651" s="26" t="str">
        <x:v>Revisar, ejecutar y registrar evidencia reproducible.</x:v>
      </x:c>
      <x:c r="G651" s="26" t="str">
        <x:v>Release readiness control</x:v>
      </x:c>
      <x:c r="H651" s="26" t="str">
        <x:v>Activo</x:v>
      </x:c>
      <x:c r="I651" s="26" t="str">
        <x:v>Data/Privacy</x:v>
      </x:c>
    </x:row>
    <x:row r="652" ht="30" customHeight="1">
      <x:c r="A652" s="26" t="str">
        <x:v>REL-TEL-006</x:v>
      </x:c>
      <x:c r="B652" s="26" t="str">
        <x:v>31_H6_and_Release_Readiness_Checklist.xlsx</x:v>
      </x:c>
      <x:c r="C652" s="26" t="str">
        <x:v>Release / Telemetría, crashes y datos / Release readiness</x:v>
      </x:c>
      <x:c r="D652" s="26" t="str">
        <x:v>Telemetría, crashes y datos</x:v>
      </x:c>
      <x:c r="E652" s="26" t="str">
        <x:v>Los dashboards distinguen métricas de producto, calidad y marketing.</x:v>
      </x:c>
      <x:c r="F652" s="26" t="str">
        <x:v>Revisar, ejecutar y registrar evidencia reproducible.</x:v>
      </x:c>
      <x:c r="G652" s="26" t="str">
        <x:v>Release readiness control</x:v>
      </x:c>
      <x:c r="H652" s="26" t="str">
        <x:v>Activo</x:v>
      </x:c>
      <x:c r="I652" s="26" t="str">
        <x:v>Data/Privacy</x:v>
      </x:c>
    </x:row>
    <x:row r="653" ht="30" customHeight="1">
      <x:c r="A653" s="26" t="str">
        <x:v>REL-TEL-007</x:v>
      </x:c>
      <x:c r="B653" s="26" t="str">
        <x:v>31_H6_and_Release_Readiness_Checklist.xlsx</x:v>
      </x:c>
      <x:c r="C653" s="26" t="str">
        <x:v>Release / Telemetría, crashes y datos / Release readiness</x:v>
      </x:c>
      <x:c r="D653" s="26" t="str">
        <x:v>Telemetría, crashes y datos</x:v>
      </x:c>
      <x:c r="E653" s="26" t="str">
        <x:v>Las métricas tienen plan de respuesta; no se recopilan datos sin uso operativo.</x:v>
      </x:c>
      <x:c r="F653" s="26" t="str">
        <x:v>Revisar, ejecutar y registrar evidencia reproducible.</x:v>
      </x:c>
      <x:c r="G653" s="26" t="str">
        <x:v>Release readiness control</x:v>
      </x:c>
      <x:c r="H653" s="26" t="str">
        <x:v>Activo</x:v>
      </x:c>
      <x:c r="I653" s="26" t="str">
        <x:v>Data/Privacy</x:v>
      </x:c>
    </x:row>
    <x:row r="654" ht="30" customHeight="1">
      <x:c r="A654" s="26" t="str">
        <x:v>REL-TEL-008</x:v>
      </x:c>
      <x:c r="B654" s="26" t="str">
        <x:v>31_H6_and_Release_Readiness_Checklist.xlsx</x:v>
      </x:c>
      <x:c r="C654" s="26" t="str">
        <x:v>Release / Telemetría, crashes y datos / Release readiness</x:v>
      </x:c>
      <x:c r="D654" s="26" t="str">
        <x:v>Telemetría, crashes y datos</x:v>
      </x:c>
      <x:c r="E654" s="26" t="str">
        <x:v>Los proveedores y regiones de almacenamiento están registrados.</x:v>
      </x:c>
      <x:c r="F654" s="26" t="str">
        <x:v>Revisar, ejecutar y registrar evidencia reproducible.</x:v>
      </x:c>
      <x:c r="G654" s="26" t="str">
        <x:v>Release readiness control</x:v>
      </x:c>
      <x:c r="H654" s="26" t="str">
        <x:v>Activo</x:v>
      </x:c>
      <x:c r="I654" s="26" t="str">
        <x:v>Data/Privacy</x:v>
      </x:c>
    </x:row>
    <x:row r="655" ht="30" customHeight="1">
      <x:c r="A655" s="26" t="str">
        <x:v>REL-TEL-009</x:v>
      </x:c>
      <x:c r="B655" s="26" t="str">
        <x:v>31_H6_and_Release_Readiness_Checklist.xlsx</x:v>
      </x:c>
      <x:c r="C655" s="26" t="str">
        <x:v>Release / Telemetría, crashes y datos / Release readiness</x:v>
      </x:c>
      <x:c r="D655" s="26" t="str">
        <x:v>Telemetría, crashes y datos</x:v>
      </x:c>
      <x:c r="E655" s="26" t="str">
        <x:v>La ausencia de red no bloquea el juego ni produce pérdida de datos.</x:v>
      </x:c>
      <x:c r="F655" s="26" t="str">
        <x:v>Revisar, ejecutar y registrar evidencia reproducible.</x:v>
      </x:c>
      <x:c r="G655" s="26" t="str">
        <x:v>Release readiness control</x:v>
      </x:c>
      <x:c r="H655" s="26" t="str">
        <x:v>Activo</x:v>
      </x:c>
      <x:c r="I655" s="26" t="str">
        <x:v>Data/Privacy</x:v>
      </x:c>
    </x:row>
    <x:row r="656" ht="30" customHeight="1">
      <x:c r="A656" s="26" t="str">
        <x:v>REL-TEL-010</x:v>
      </x:c>
      <x:c r="B656" s="26" t="str">
        <x:v>31_H6_and_Release_Readiness_Checklist.xlsx</x:v>
      </x:c>
      <x:c r="C656" s="26" t="str">
        <x:v>Release / Telemetría, crashes y datos / Release readiness</x:v>
      </x:c>
      <x:c r="D656" s="26" t="str">
        <x:v>Telemetría, crashes y datos</x:v>
      </x:c>
      <x:c r="E656" s="26" t="str">
        <x:v>El apagado o cambio de proveedor tiene procedimiento de exportación/borrado.</x:v>
      </x:c>
      <x:c r="F656" s="26" t="str">
        <x:v>Revisar, ejecutar y registrar evidencia reproducible.</x:v>
      </x:c>
      <x:c r="G656" s="26" t="str">
        <x:v>Release readiness control</x:v>
      </x:c>
      <x:c r="H656" s="26" t="str">
        <x:v>Activo</x:v>
      </x:c>
      <x:c r="I656" s="26" t="str">
        <x:v>Data/Privacy</x:v>
      </x:c>
    </x:row>
    <x:row r="657" ht="30" customHeight="1">
      <x:c r="A657" s="26" t="str">
        <x:v>REL-COM-001</x:v>
      </x:c>
      <x:c r="B657" s="26" t="str">
        <x:v>31_H6_and_Release_Readiness_Checklist.xlsx</x:v>
      </x:c>
      <x:c r="C657" s="26" t="str">
        <x:v>Release / Precio y preparación comercial / Release readiness</x:v>
      </x:c>
      <x:c r="D657" s="26" t="str">
        <x:v>Precio y preparación comercial</x:v>
      </x:c>
      <x:c r="E657" s="26" t="str">
        <x:v>El precio y moneda base se deciden con posicionamiento, alcance y mercado revisados.</x:v>
      </x:c>
      <x:c r="F657" s="26" t="str">
        <x:v>Revisar, ejecutar y registrar evidencia reproducible.</x:v>
      </x:c>
      <x:c r="G657" s="26" t="str">
        <x:v>Release readiness control</x:v>
      </x:c>
      <x:c r="H657" s="26" t="str">
        <x:v>Activo</x:v>
      </x:c>
      <x:c r="I657" s="26" t="str">
        <x:v>Business/Production</x:v>
      </x:c>
    </x:row>
    <x:row r="658" ht="30" customHeight="1">
      <x:c r="A658" s="26" t="str">
        <x:v>REL-COM-002</x:v>
      </x:c>
      <x:c r="B658" s="26" t="str">
        <x:v>31_H6_and_Release_Readiness_Checklist.xlsx</x:v>
      </x:c>
      <x:c r="C658" s="26" t="str">
        <x:v>Release / Precio y preparación comercial / Release readiness</x:v>
      </x:c>
      <x:c r="D658" s="26" t="str">
        <x:v>Precio y preparación comercial</x:v>
      </x:c>
      <x:c r="E658" s="26" t="str">
        <x:v>Descuentos de lanzamiento y calendario respetan políticas de Steam y márgenes.</x:v>
      </x:c>
      <x:c r="F658" s="26" t="str">
        <x:v>Revisar, ejecutar y registrar evidencia reproducible.</x:v>
      </x:c>
      <x:c r="G658" s="26" t="str">
        <x:v>Release readiness control</x:v>
      </x:c>
      <x:c r="H658" s="26" t="str">
        <x:v>Activo</x:v>
      </x:c>
      <x:c r="I658" s="26" t="str">
        <x:v>Business/Production</x:v>
      </x:c>
    </x:row>
    <x:row r="659" ht="30" customHeight="1">
      <x:c r="A659" s="26" t="str">
        <x:v>REL-COM-003</x:v>
      </x:c>
      <x:c r="B659" s="26" t="str">
        <x:v>31_H6_and_Release_Readiness_Checklist.xlsx</x:v>
      </x:c>
      <x:c r="C659" s="26" t="str">
        <x:v>Release / Precio y preparación comercial / Release readiness</x:v>
      </x:c>
      <x:c r="D659" s="26" t="str">
        <x:v>Precio y preparación comercial</x:v>
      </x:c>
      <x:c r="E659" s="26" t="str">
        <x:v>Impuestos, datos fiscales y pagos de Steamworks están configurados.</x:v>
      </x:c>
      <x:c r="F659" s="26" t="str">
        <x:v>Revisar, ejecutar y registrar evidencia reproducible.</x:v>
      </x:c>
      <x:c r="G659" s="26" t="str">
        <x:v>Release readiness control</x:v>
      </x:c>
      <x:c r="H659" s="26" t="str">
        <x:v>Activo</x:v>
      </x:c>
      <x:c r="I659" s="26" t="str">
        <x:v>Business/Production</x:v>
      </x:c>
    </x:row>
    <x:row r="660" ht="30" customHeight="1">
      <x:c r="A660" s="26" t="str">
        <x:v>REL-COM-004</x:v>
      </x:c>
      <x:c r="B660" s="26" t="str">
        <x:v>31_H6_and_Release_Readiness_Checklist.xlsx</x:v>
      </x:c>
      <x:c r="C660" s="26" t="str">
        <x:v>Release / Precio y preparación comercial / Release readiness</x:v>
      </x:c>
      <x:c r="D660" s="26" t="str">
        <x:v>Precio y preparación comercial</x:v>
      </x:c>
      <x:c r="E660" s="26" t="str">
        <x:v>La edición, contenido y derechos vendidos coinciden con la build.</x:v>
      </x:c>
      <x:c r="F660" s="26" t="str">
        <x:v>Revisar, ejecutar y registrar evidencia reproducible.</x:v>
      </x:c>
      <x:c r="G660" s="26" t="str">
        <x:v>Release readiness control</x:v>
      </x:c>
      <x:c r="H660" s="26" t="str">
        <x:v>Activo</x:v>
      </x:c>
      <x:c r="I660" s="26" t="str">
        <x:v>Business/Production</x:v>
      </x:c>
    </x:row>
    <x:row r="661" ht="30" customHeight="1">
      <x:c r="A661" s="26" t="str">
        <x:v>REL-COM-005</x:v>
      </x:c>
      <x:c r="B661" s="26" t="str">
        <x:v>31_H6_and_Release_Readiness_Checklist.xlsx</x:v>
      </x:c>
      <x:c r="C661" s="26" t="str">
        <x:v>Release / Precio y preparación comercial / Release readiness</x:v>
      </x:c>
      <x:c r="D661" s="26" t="str">
        <x:v>Precio y preparación comercial</x:v>
      </x:c>
      <x:c r="E661" s="26" t="str">
        <x:v>La política de claves promocionales tiene límites, tracking y prevención de abuso.</x:v>
      </x:c>
      <x:c r="F661" s="26" t="str">
        <x:v>Revisar, ejecutar y registrar evidencia reproducible.</x:v>
      </x:c>
      <x:c r="G661" s="26" t="str">
        <x:v>Release readiness control</x:v>
      </x:c>
      <x:c r="H661" s="26" t="str">
        <x:v>Activo</x:v>
      </x:c>
      <x:c r="I661" s="26" t="str">
        <x:v>Business/Production</x:v>
      </x:c>
    </x:row>
    <x:row r="662" ht="30" customHeight="1">
      <x:c r="A662" s="26" t="str">
        <x:v>REL-COM-006</x:v>
      </x:c>
      <x:c r="B662" s="26" t="str">
        <x:v>31_H6_and_Release_Readiness_Checklist.xlsx</x:v>
      </x:c>
      <x:c r="C662" s="26" t="str">
        <x:v>Release / Precio y preparación comercial / Release readiness</x:v>
      </x:c>
      <x:c r="D662" s="26" t="str">
        <x:v>Precio y preparación comercial</x:v>
      </x:c>
      <x:c r="E662" s="26" t="str">
        <x:v>Las expectativas de duración, contenido y estado del producto son honestas.</x:v>
      </x:c>
      <x:c r="F662" s="26" t="str">
        <x:v>Revisar, ejecutar y registrar evidencia reproducible.</x:v>
      </x:c>
      <x:c r="G662" s="26" t="str">
        <x:v>Release readiness control</x:v>
      </x:c>
      <x:c r="H662" s="26" t="str">
        <x:v>Activo</x:v>
      </x:c>
      <x:c r="I662" s="26" t="str">
        <x:v>Business/Production</x:v>
      </x:c>
    </x:row>
    <x:row r="663" ht="30" customHeight="1">
      <x:c r="A663" s="26" t="str">
        <x:v>REL-COM-007</x:v>
      </x:c>
      <x:c r="B663" s="26" t="str">
        <x:v>31_H6_and_Release_Readiness_Checklist.xlsx</x:v>
      </x:c>
      <x:c r="C663" s="26" t="str">
        <x:v>Release / Precio y preparación comercial / Release readiness</x:v>
      </x:c>
      <x:c r="D663" s="26" t="str">
        <x:v>Precio y preparación comercial</x:v>
      </x:c>
      <x:c r="E663" s="26" t="str">
        <x:v>Las campañas o bundles no prometen integraciones no cerradas.</x:v>
      </x:c>
      <x:c r="F663" s="26" t="str">
        <x:v>Revisar, ejecutar y registrar evidencia reproducible.</x:v>
      </x:c>
      <x:c r="G663" s="26" t="str">
        <x:v>Release readiness control</x:v>
      </x:c>
      <x:c r="H663" s="26" t="str">
        <x:v>Activo</x:v>
      </x:c>
      <x:c r="I663" s="26" t="str">
        <x:v>Business/Production</x:v>
      </x:c>
    </x:row>
    <x:row r="664" ht="30" customHeight="1">
      <x:c r="A664" s="26" t="str">
        <x:v>REL-COM-008</x:v>
      </x:c>
      <x:c r="B664" s="26" t="str">
        <x:v>31_H6_and_Release_Readiness_Checklist.xlsx</x:v>
      </x:c>
      <x:c r="C664" s="26" t="str">
        <x:v>Release / Precio y preparación comercial / Release readiness</x:v>
      </x:c>
      <x:c r="D664" s="26" t="str">
        <x:v>Precio y preparación comercial</x:v>
      </x:c>
      <x:c r="E664" s="26" t="str">
        <x:v>Existe presupuesto para soporte, localización, arte de tienda y contingencias de launch.</x:v>
      </x:c>
      <x:c r="F664" s="26" t="str">
        <x:v>Revisar, ejecutar y registrar evidencia reproducible.</x:v>
      </x:c>
      <x:c r="G664" s="26" t="str">
        <x:v>Release readiness control</x:v>
      </x:c>
      <x:c r="H664" s="26" t="str">
        <x:v>Activo</x:v>
      </x:c>
      <x:c r="I664" s="26" t="str">
        <x:v>Business/Production</x:v>
      </x:c>
    </x:row>
    <x:row r="665" ht="30" customHeight="1">
      <x:c r="A665" s="26" t="str">
        <x:v>REL-COM-009</x:v>
      </x:c>
      <x:c r="B665" s="26" t="str">
        <x:v>31_H6_and_Release_Readiness_Checklist.xlsx</x:v>
      </x:c>
      <x:c r="C665" s="26" t="str">
        <x:v>Release / Precio y preparación comercial / Release readiness</x:v>
      </x:c>
      <x:c r="D665" s="26" t="str">
        <x:v>Precio y preparación comercial</x:v>
      </x:c>
      <x:c r="E665" s="26" t="str">
        <x:v>Los escenarios de ventas bajos/altos tienen respuesta operativa.</x:v>
      </x:c>
      <x:c r="F665" s="26" t="str">
        <x:v>Revisar, ejecutar y registrar evidencia reproducible.</x:v>
      </x:c>
      <x:c r="G665" s="26" t="str">
        <x:v>Release readiness control</x:v>
      </x:c>
      <x:c r="H665" s="26" t="str">
        <x:v>Activo</x:v>
      </x:c>
      <x:c r="I665" s="26" t="str">
        <x:v>Business/Production</x:v>
      </x:c>
    </x:row>
    <x:row r="666" ht="30" customHeight="1">
      <x:c r="A666" s="26" t="str">
        <x:v>REL-COM-010</x:v>
      </x:c>
      <x:c r="B666" s="26" t="str">
        <x:v>31_H6_and_Release_Readiness_Checklist.xlsx</x:v>
      </x:c>
      <x:c r="C666" s="26" t="str">
        <x:v>Release / Precio y preparación comercial / Release readiness</x:v>
      </x:c>
      <x:c r="D666" s="26" t="str">
        <x:v>Precio y preparación comercial</x:v>
      </x:c>
      <x:c r="E666" s="26" t="str">
        <x:v>La decisión de Early Access, demo o full launch está explícita y justificada.</x:v>
      </x:c>
      <x:c r="F666" s="26" t="str">
        <x:v>Revisar, ejecutar y registrar evidencia reproducible.</x:v>
      </x:c>
      <x:c r="G666" s="26" t="str">
        <x:v>Release readiness control</x:v>
      </x:c>
      <x:c r="H666" s="26" t="str">
        <x:v>Activo</x:v>
      </x:c>
      <x:c r="I666" s="26" t="str">
        <x:v>Business/Production</x:v>
      </x:c>
    </x:row>
    <x:row r="667" ht="30" customHeight="1">
      <x:c r="A667" s="26" t="str">
        <x:v>REL-LIVE-001</x:v>
      </x:c>
      <x:c r="B667" s="26" t="str">
        <x:v>31_H6_and_Release_Readiness_Checklist.xlsx</x:v>
      </x:c>
      <x:c r="C667" s="26" t="str">
        <x:v>Release / Post-lanzamiento, rollback y continuidad / Release readiness</x:v>
      </x:c>
      <x:c r="D667" s="26" t="str">
        <x:v>Post-lanzamiento, rollback y continuidad</x:v>
      </x:c>
      <x:c r="E667" s="26" t="str">
        <x:v>Existe plan de monitorización y triage para las primeras horas/días.</x:v>
      </x:c>
      <x:c r="F667" s="26" t="str">
        <x:v>Revisar, ejecutar y registrar evidencia reproducible.</x:v>
      </x:c>
      <x:c r="G667" s="26" t="str">
        <x:v>Release readiness control</x:v>
      </x:c>
      <x:c r="H667" s="26" t="str">
        <x:v>Activo</x:v>
      </x:c>
      <x:c r="I667" s="26" t="str">
        <x:v>Live Operations/Production</x:v>
      </x:c>
    </x:row>
    <x:row r="668" ht="30" customHeight="1">
      <x:c r="A668" s="26" t="str">
        <x:v>REL-LIVE-002</x:v>
      </x:c>
      <x:c r="B668" s="26" t="str">
        <x:v>31_H6_and_Release_Readiness_Checklist.xlsx</x:v>
      </x:c>
      <x:c r="C668" s="26" t="str">
        <x:v>Release / Post-lanzamiento, rollback y continuidad / Release readiness</x:v>
      </x:c>
      <x:c r="D668" s="26" t="str">
        <x:v>Post-lanzamiento, rollback y continuidad</x:v>
      </x:c>
      <x:c r="E668" s="26" t="str">
        <x:v>La RC de rollback y procedimiento de reversión están probados.</x:v>
      </x:c>
      <x:c r="F668" s="26" t="str">
        <x:v>Revisar, ejecutar y registrar evidencia reproducible.</x:v>
      </x:c>
      <x:c r="G668" s="26" t="str">
        <x:v>Release readiness control</x:v>
      </x:c>
      <x:c r="H668" s="26" t="str">
        <x:v>Activo</x:v>
      </x:c>
      <x:c r="I668" s="26" t="str">
        <x:v>Live Operations/Production</x:v>
      </x:c>
    </x:row>
    <x:row r="669" ht="30" customHeight="1">
      <x:c r="A669" s="26" t="str">
        <x:v>REL-LIVE-003</x:v>
      </x:c>
      <x:c r="B669" s="26" t="str">
        <x:v>31_H6_and_Release_Readiness_Checklist.xlsx</x:v>
      </x:c>
      <x:c r="C669" s="26" t="str">
        <x:v>Release / Post-lanzamiento, rollback y continuidad / Release readiness</x:v>
      </x:c>
      <x:c r="D669" s="26" t="str">
        <x:v>Post-lanzamiento, rollback y continuidad</x:v>
      </x:c>
      <x:c r="E669" s="26" t="str">
        <x:v>Los criterios para hotfix, patch, rollback y comunicación están definidos.</x:v>
      </x:c>
      <x:c r="F669" s="26" t="str">
        <x:v>Revisar, ejecutar y registrar evidencia reproducible.</x:v>
      </x:c>
      <x:c r="G669" s="26" t="str">
        <x:v>Release readiness control</x:v>
      </x:c>
      <x:c r="H669" s="26" t="str">
        <x:v>Activo</x:v>
      </x:c>
      <x:c r="I669" s="26" t="str">
        <x:v>Live Operations/Production</x:v>
      </x:c>
    </x:row>
    <x:row r="670" ht="30" customHeight="1">
      <x:c r="A670" s="26" t="str">
        <x:v>REL-LIVE-004</x:v>
      </x:c>
      <x:c r="B670" s="26" t="str">
        <x:v>31_H6_and_Release_Readiness_Checklist.xlsx</x:v>
      </x:c>
      <x:c r="C670" s="26" t="str">
        <x:v>Release / Post-lanzamiento, rollback y continuidad / Release readiness</x:v>
      </x:c>
      <x:c r="D670" s="26" t="str">
        <x:v>Post-lanzamiento, rollback y continuidad</x:v>
      </x:c>
      <x:c r="E670" s="26" t="str">
        <x:v>El pipeline puede producir un hotfix reproducible sin cambios colaterales.</x:v>
      </x:c>
      <x:c r="F670" s="26" t="str">
        <x:v>Revisar, ejecutar y registrar evidencia reproducible.</x:v>
      </x:c>
      <x:c r="G670" s="26" t="str">
        <x:v>Release readiness control</x:v>
      </x:c>
      <x:c r="H670" s="26" t="str">
        <x:v>Activo</x:v>
      </x:c>
      <x:c r="I670" s="26" t="str">
        <x:v>Live Operations/Production</x:v>
      </x:c>
    </x:row>
    <x:row r="671" ht="30" customHeight="1">
      <x:c r="A671" s="26" t="str">
        <x:v>REL-LIVE-005</x:v>
      </x:c>
      <x:c r="B671" s="26" t="str">
        <x:v>31_H6_and_Release_Readiness_Checklist.xlsx</x:v>
      </x:c>
      <x:c r="C671" s="26" t="str">
        <x:v>Release / Post-lanzamiento, rollback y continuidad / Release readiness</x:v>
      </x:c>
      <x:c r="D671" s="26" t="str">
        <x:v>Post-lanzamiento, rollback y continuidad</x:v>
      </x:c>
      <x:c r="E671" s="26" t="str">
        <x:v>Los saves se respaldan y migran de forma segura entre parches.</x:v>
      </x:c>
      <x:c r="F671" s="26" t="str">
        <x:v>Revisar, ejecutar y registrar evidencia reproducible.</x:v>
      </x:c>
      <x:c r="G671" s="26" t="str">
        <x:v>Release readiness control</x:v>
      </x:c>
      <x:c r="H671" s="26" t="str">
        <x:v>Activo</x:v>
      </x:c>
      <x:c r="I671" s="26" t="str">
        <x:v>Live Operations/Production</x:v>
      </x:c>
    </x:row>
    <x:row r="672" ht="30" customHeight="1">
      <x:c r="A672" s="26" t="str">
        <x:v>REL-LIVE-006</x:v>
      </x:c>
      <x:c r="B672" s="26" t="str">
        <x:v>31_H6_and_Release_Readiness_Checklist.xlsx</x:v>
      </x:c>
      <x:c r="C672" s="26" t="str">
        <x:v>Release / Post-lanzamiento, rollback y continuidad / Release readiness</x:v>
      </x:c>
      <x:c r="D672" s="26" t="str">
        <x:v>Post-lanzamiento, rollback y continuidad</x:v>
      </x:c>
      <x:c r="E672" s="26" t="str">
        <x:v>Los known issues y workaround pueden publicarse rápidamente.</x:v>
      </x:c>
      <x:c r="F672" s="26" t="str">
        <x:v>Revisar, ejecutar y registrar evidencia reproducible.</x:v>
      </x:c>
      <x:c r="G672" s="26" t="str">
        <x:v>Release readiness control</x:v>
      </x:c>
      <x:c r="H672" s="26" t="str">
        <x:v>Activo</x:v>
      </x:c>
      <x:c r="I672" s="26" t="str">
        <x:v>Live Operations/Production</x:v>
      </x:c>
    </x:row>
    <x:row r="673" ht="30" customHeight="1">
      <x:c r="A673" s="26" t="str">
        <x:v>REL-LIVE-007</x:v>
      </x:c>
      <x:c r="B673" s="26" t="str">
        <x:v>31_H6_and_Release_Readiness_Checklist.xlsx</x:v>
      </x:c>
      <x:c r="C673" s="26" t="str">
        <x:v>Release / Post-lanzamiento, rollback y continuidad / Release readiness</x:v>
      </x:c>
      <x:c r="D673" s="26" t="str">
        <x:v>Post-lanzamiento, rollback y continuidad</x:v>
      </x:c>
      <x:c r="E673" s="26" t="str">
        <x:v>Existe rotación/propietario para incidentes de build, pagos, Steam o comunidad.</x:v>
      </x:c>
      <x:c r="F673" s="26" t="str">
        <x:v>Revisar, ejecutar y registrar evidencia reproducible.</x:v>
      </x:c>
      <x:c r="G673" s="26" t="str">
        <x:v>Release readiness control</x:v>
      </x:c>
      <x:c r="H673" s="26" t="str">
        <x:v>Activo</x:v>
      </x:c>
      <x:c r="I673" s="26" t="str">
        <x:v>Live Operations/Production</x:v>
      </x:c>
    </x:row>
    <x:row r="674" ht="30" customHeight="1">
      <x:c r="A674" s="26" t="str">
        <x:v>REL-LIVE-008</x:v>
      </x:c>
      <x:c r="B674" s="26" t="str">
        <x:v>31_H6_and_Release_Readiness_Checklist.xlsx</x:v>
      </x:c>
      <x:c r="C674" s="26" t="str">
        <x:v>Release / Post-lanzamiento, rollback y continuidad / Release readiness</x:v>
      </x:c>
      <x:c r="D674" s="26" t="str">
        <x:v>Post-lanzamiento, rollback y continuidad</x:v>
      </x:c>
      <x:c r="E674" s="26" t="str">
        <x:v>Backups y accesos críticos permiten continuar si una herramienta o cuenta falla.</x:v>
      </x:c>
      <x:c r="F674" s="26" t="str">
        <x:v>Revisar, ejecutar y registrar evidencia reproducible.</x:v>
      </x:c>
      <x:c r="G674" s="26" t="str">
        <x:v>Release readiness control</x:v>
      </x:c>
      <x:c r="H674" s="26" t="str">
        <x:v>Activo</x:v>
      </x:c>
      <x:c r="I674" s="26" t="str">
        <x:v>Live Operations/Production</x:v>
      </x:c>
    </x:row>
    <x:row r="675" ht="30" customHeight="1">
      <x:c r="A675" s="26" t="str">
        <x:v>REL-LIVE-009</x:v>
      </x:c>
      <x:c r="B675" s="26" t="str">
        <x:v>31_H6_and_Release_Readiness_Checklist.xlsx</x:v>
      </x:c>
      <x:c r="C675" s="26" t="str">
        <x:v>Release / Post-lanzamiento, rollback y continuidad / Release readiness</x:v>
      </x:c>
      <x:c r="D675" s="26" t="str">
        <x:v>Post-lanzamiento, rollback y continuidad</x:v>
      </x:c>
      <x:c r="E675" s="26" t="str">
        <x:v>El backlog post-launch separa defectos, feedback, accesibilidad y features.</x:v>
      </x:c>
      <x:c r="F675" s="26" t="str">
        <x:v>Revisar, ejecutar y registrar evidencia reproducible.</x:v>
      </x:c>
      <x:c r="G675" s="26" t="str">
        <x:v>Release readiness control</x:v>
      </x:c>
      <x:c r="H675" s="26" t="str">
        <x:v>Activo</x:v>
      </x:c>
      <x:c r="I675" s="26" t="str">
        <x:v>Live Operations/Production</x:v>
      </x:c>
    </x:row>
    <x:row r="676" ht="30" customHeight="1">
      <x:c r="A676" s="26" t="str">
        <x:v>REL-LIVE-010</x:v>
      </x:c>
      <x:c r="B676" s="26" t="str">
        <x:v>31_H6_and_Release_Readiness_Checklist.xlsx</x:v>
      </x:c>
      <x:c r="C676" s="26" t="str">
        <x:v>Release / Post-lanzamiento, rollback y continuidad / Release readiness</x:v>
      </x:c>
      <x:c r="D676" s="26" t="str">
        <x:v>Post-lanzamiento, rollback y continuidad</x:v>
      </x:c>
      <x:c r="E676" s="26" t="str">
        <x:v>Las métricas y tickets tienen umbrales de escalado.</x:v>
      </x:c>
      <x:c r="F676" s="26" t="str">
        <x:v>Revisar, ejecutar y registrar evidencia reproducible.</x:v>
      </x:c>
      <x:c r="G676" s="26" t="str">
        <x:v>Release readiness control</x:v>
      </x:c>
      <x:c r="H676" s="26" t="str">
        <x:v>Activo</x:v>
      </x:c>
      <x:c r="I676" s="26" t="str">
        <x:v>Live Operations/Production</x:v>
      </x:c>
    </x:row>
    <x:row r="677" ht="30" customHeight="1">
      <x:c r="A677" s="26" t="str">
        <x:v>REL-LIVE-011</x:v>
      </x:c>
      <x:c r="B677" s="26" t="str">
        <x:v>31_H6_and_Release_Readiness_Checklist.xlsx</x:v>
      </x:c>
      <x:c r="C677" s="26" t="str">
        <x:v>Release / Post-lanzamiento, rollback y continuidad / Release readiness</x:v>
      </x:c>
      <x:c r="D677" s="26" t="str">
        <x:v>Post-lanzamiento, rollback y continuidad</x:v>
      </x:c>
      <x:c r="E677" s="26" t="str">
        <x:v>La comunicación de parche incluye cambios, riesgos y known issues.</x:v>
      </x:c>
      <x:c r="F677" s="26" t="str">
        <x:v>Revisar, ejecutar y registrar evidencia reproducible.</x:v>
      </x:c>
      <x:c r="G677" s="26" t="str">
        <x:v>Release readiness control</x:v>
      </x:c>
      <x:c r="H677" s="26" t="str">
        <x:v>Activo</x:v>
      </x:c>
      <x:c r="I677" s="26" t="str">
        <x:v>Live Operations/Production</x:v>
      </x:c>
    </x:row>
    <x:row r="678" ht="30" customHeight="1">
      <x:c r="A678" s="26" t="str">
        <x:v>REL-LIVE-012</x:v>
      </x:c>
      <x:c r="B678" s="26" t="str">
        <x:v>31_H6_and_Release_Readiness_Checklist.xlsx</x:v>
      </x:c>
      <x:c r="C678" s="26" t="str">
        <x:v>Release / Post-lanzamiento, rollback y continuidad / Release readiness</x:v>
      </x:c>
      <x:c r="D678" s="26" t="str">
        <x:v>Post-lanzamiento, rollback y continuidad</x:v>
      </x:c>
      <x:c r="E678" s="26" t="str">
        <x:v>El cierre del periodo de lanzamiento produce retrospectiva y baseline actualizada.</x:v>
      </x:c>
      <x:c r="F678" s="26" t="str">
        <x:v>Revisar, ejecutar y registrar evidencia reproducible.</x:v>
      </x:c>
      <x:c r="G678" s="26" t="str">
        <x:v>Release readiness control</x:v>
      </x:c>
      <x:c r="H678" s="26" t="str">
        <x:v>Activo</x:v>
      </x:c>
      <x:c r="I678" s="26" t="str">
        <x:v>Live Operations/Production</x:v>
      </x:c>
    </x:row>
    <x:row r="679" ht="30" customHeight="1">
      <x:c r="A679" s="26" t="str">
        <x:v>REL-DOC-001</x:v>
      </x:c>
      <x:c r="B679" s="26" t="str">
        <x:v>31_H6_and_Release_Readiness_Checklist.xlsx</x:v>
      </x:c>
      <x:c r="C679" s="26" t="str">
        <x:v>Release / Documentación, baseline y handoff / Release readiness</x:v>
      </x:c>
      <x:c r="D679" s="26" t="str">
        <x:v>Documentación, baseline y handoff</x:v>
      </x:c>
      <x:c r="E679" s="26" t="str">
        <x:v>Los documentos 00–34 están completos o su ausencia está formalmente resuelta antes de baseline final.</x:v>
      </x:c>
      <x:c r="F679" s="26" t="str">
        <x:v>Revisar, ejecutar y registrar evidencia reproducible.</x:v>
      </x:c>
      <x:c r="G679" s="26" t="str">
        <x:v>Release readiness control</x:v>
      </x:c>
      <x:c r="H679" s="26" t="str">
        <x:v>Activo</x:v>
      </x:c>
      <x:c r="I679" s="26" t="str">
        <x:v>Documentation/Production</x:v>
      </x:c>
    </x:row>
    <x:row r="680" ht="30" customHeight="1">
      <x:c r="A680" s="26" t="str">
        <x:v>REL-DOC-002</x:v>
      </x:c>
      <x:c r="B680" s="26" t="str">
        <x:v>31_H6_and_Release_Readiness_Checklist.xlsx</x:v>
      </x:c>
      <x:c r="C680" s="26" t="str">
        <x:v>Release / Documentación, baseline y handoff / Release readiness</x:v>
      </x:c>
      <x:c r="D680" s="26" t="str">
        <x:v>Documentación, baseline y handoff</x:v>
      </x:c>
      <x:c r="E680" s="26" t="str">
        <x:v>12, 13, 14, 15 y 16 están regenerados con el conjunto completo.</x:v>
      </x:c>
      <x:c r="F680" s="26" t="str">
        <x:v>Revisar, ejecutar y registrar evidencia reproducible.</x:v>
      </x:c>
      <x:c r="G680" s="26" t="str">
        <x:v>Release readiness control</x:v>
      </x:c>
      <x:c r="H680" s="26" t="str">
        <x:v>Activo</x:v>
      </x:c>
      <x:c r="I680" s="26" t="str">
        <x:v>Documentation/Production</x:v>
      </x:c>
    </x:row>
    <x:row r="681" ht="30" customHeight="1">
      <x:c r="A681" s="26" t="str">
        <x:v>REL-DOC-003</x:v>
      </x:c>
      <x:c r="B681" s="26" t="str">
        <x:v>31_H6_and_Release_Readiness_Checklist.xlsx</x:v>
      </x:c>
      <x:c r="C681" s="26" t="str">
        <x:v>Release / Documentación, baseline y handoff / Release readiness</x:v>
      </x:c>
      <x:c r="D681" s="26" t="str">
        <x:v>Documentación, baseline y handoff</x:v>
      </x:c>
      <x:c r="E681" s="26" t="str">
        <x:v>31, 32 y registros de builds contienen hashes y referencias cruzadas correctas.</x:v>
      </x:c>
      <x:c r="F681" s="26" t="str">
        <x:v>Revisar, ejecutar y registrar evidencia reproducible.</x:v>
      </x:c>
      <x:c r="G681" s="26" t="str">
        <x:v>Release readiness control</x:v>
      </x:c>
      <x:c r="H681" s="26" t="str">
        <x:v>Activo</x:v>
      </x:c>
      <x:c r="I681" s="26" t="str">
        <x:v>Documentation/Production</x:v>
      </x:c>
    </x:row>
    <x:row r="682" ht="30" customHeight="1">
      <x:c r="A682" s="26" t="str">
        <x:v>REL-DOC-004</x:v>
      </x:c>
      <x:c r="B682" s="26" t="str">
        <x:v>31_H6_and_Release_Readiness_Checklist.xlsx</x:v>
      </x:c>
      <x:c r="C682" s="26" t="str">
        <x:v>Release / Documentación, baseline y handoff / Release readiness</x:v>
      </x:c>
      <x:c r="D682" s="26" t="str">
        <x:v>Documentación, baseline y handoff</x:v>
      </x:c>
      <x:c r="E682" s="26" t="str">
        <x:v>El manifest final incluye nombre, versión, tamaño, hash, autoridad, estado y sustituciones.</x:v>
      </x:c>
      <x:c r="F682" s="26" t="str">
        <x:v>Revisar, ejecutar y registrar evidencia reproducible.</x:v>
      </x:c>
      <x:c r="G682" s="26" t="str">
        <x:v>Release readiness control</x:v>
      </x:c>
      <x:c r="H682" s="26" t="str">
        <x:v>Activo</x:v>
      </x:c>
      <x:c r="I682" s="26" t="str">
        <x:v>Documentation/Production</x:v>
      </x:c>
    </x:row>
    <x:row r="683" ht="30" customHeight="1">
      <x:c r="A683" s="26" t="str">
        <x:v>REL-DOC-005</x:v>
      </x:c>
      <x:c r="B683" s="26" t="str">
        <x:v>31_H6_and_Release_Readiness_Checklist.xlsx</x:v>
      </x:c>
      <x:c r="C683" s="26" t="str">
        <x:v>Release / Documentación, baseline y handoff / Release readiness</x:v>
      </x:c>
      <x:c r="D683" s="26" t="str">
        <x:v>Documentación, baseline y handoff</x:v>
      </x:c>
      <x:c r="E683" s="26" t="str">
        <x:v>El paquete documental y build release tienen checksums verificados.</x:v>
      </x:c>
      <x:c r="F683" s="26" t="str">
        <x:v>Revisar, ejecutar y registrar evidencia reproducible.</x:v>
      </x:c>
      <x:c r="G683" s="26" t="str">
        <x:v>Release readiness control</x:v>
      </x:c>
      <x:c r="H683" s="26" t="str">
        <x:v>Activo</x:v>
      </x:c>
      <x:c r="I683" s="26" t="str">
        <x:v>Documentation/Production</x:v>
      </x:c>
    </x:row>
    <x:row r="684" ht="30" customHeight="1">
      <x:c r="A684" s="26" t="str">
        <x:v>REL-DOC-006</x:v>
      </x:c>
      <x:c r="B684" s="26" t="str">
        <x:v>31_H6_and_Release_Readiness_Checklist.xlsx</x:v>
      </x:c>
      <x:c r="C684" s="26" t="str">
        <x:v>Release / Documentación, baseline y handoff / Release readiness</x:v>
      </x:c>
      <x:c r="D684" s="26" t="str">
        <x:v>Documentación, baseline y handoff</x:v>
      </x:c>
      <x:c r="E684" s="26" t="str">
        <x:v>No entran drafts, previews, archivos temporales ni datos personales no autorizados.</x:v>
      </x:c>
      <x:c r="F684" s="26" t="str">
        <x:v>Revisar, ejecutar y registrar evidencia reproducible.</x:v>
      </x:c>
      <x:c r="G684" s="26" t="str">
        <x:v>Release readiness control</x:v>
      </x:c>
      <x:c r="H684" s="26" t="str">
        <x:v>Activo</x:v>
      </x:c>
      <x:c r="I684" s="26" t="str">
        <x:v>Documentation/Production</x:v>
      </x:c>
    </x:row>
    <x:row r="685" ht="30" customHeight="1">
      <x:c r="A685" s="26" t="str">
        <x:v>REL-DOC-007</x:v>
      </x:c>
      <x:c r="B685" s="26" t="str">
        <x:v>31_H6_and_Release_Readiness_Checklist.xlsx</x:v>
      </x:c>
      <x:c r="C685" s="26" t="str">
        <x:v>Release / Documentación, baseline y handoff / Release readiness</x:v>
      </x:c>
      <x:c r="D685" s="26" t="str">
        <x:v>Documentación, baseline y handoff</x:v>
      </x:c>
      <x:c r="E685" s="26" t="str">
        <x:v>El handoff explica cómo clonar, abrir, construir, probar, publicar, parchear y recuperar.</x:v>
      </x:c>
      <x:c r="F685" s="26" t="str">
        <x:v>Revisar, ejecutar y registrar evidencia reproducible.</x:v>
      </x:c>
      <x:c r="G685" s="26" t="str">
        <x:v>Release readiness control</x:v>
      </x:c>
      <x:c r="H685" s="26" t="str">
        <x:v>Activo</x:v>
      </x:c>
      <x:c r="I685" s="26" t="str">
        <x:v>Documentation/Production</x:v>
      </x:c>
    </x:row>
    <x:row r="686" ht="30" customHeight="1">
      <x:c r="A686" s="26" t="str">
        <x:v>REL-DOC-008</x:v>
      </x:c>
      <x:c r="B686" s="26" t="str">
        <x:v>31_H6_and_Release_Readiness_Checklist.xlsx</x:v>
      </x:c>
      <x:c r="C686" s="26" t="str">
        <x:v>Release / Documentación, baseline y handoff / Release readiness</x:v>
      </x:c>
      <x:c r="D686" s="26" t="str">
        <x:v>Documentación, baseline y handoff</x:v>
      </x:c>
      <x:c r="E686" s="26" t="str">
        <x:v>Las dependencias de herramientas/cuentas y recuperación están documentadas.</x:v>
      </x:c>
      <x:c r="F686" s="26" t="str">
        <x:v>Revisar, ejecutar y registrar evidencia reproducible.</x:v>
      </x:c>
      <x:c r="G686" s="26" t="str">
        <x:v>Release readiness control</x:v>
      </x:c>
      <x:c r="H686" s="26" t="str">
        <x:v>Activo</x:v>
      </x:c>
      <x:c r="I686" s="26" t="str">
        <x:v>Documentation/Production</x:v>
      </x:c>
    </x:row>
    <x:row r="687" ht="30" customHeight="1">
      <x:c r="A687" s="26" t="str">
        <x:v>REL-DOC-009</x:v>
      </x:c>
      <x:c r="B687" s="26" t="str">
        <x:v>31_H6_and_Release_Readiness_Checklist.xlsx</x:v>
      </x:c>
      <x:c r="C687" s="26" t="str">
        <x:v>Release / Documentación, baseline y handoff / Release readiness</x:v>
      </x:c>
      <x:c r="D687" s="26" t="str">
        <x:v>Documentación, baseline y handoff</x:v>
      </x:c>
      <x:c r="E687" s="26" t="str">
        <x:v>El registro de riesgos global y continuidad está aprobado.</x:v>
      </x:c>
      <x:c r="F687" s="26" t="str">
        <x:v>Revisar, ejecutar y registrar evidencia reproducible.</x:v>
      </x:c>
      <x:c r="G687" s="26" t="str">
        <x:v>Release readiness control</x:v>
      </x:c>
      <x:c r="H687" s="26" t="str">
        <x:v>Activo</x:v>
      </x:c>
      <x:c r="I687" s="26" t="str">
        <x:v>Documentation/Production</x:v>
      </x:c>
    </x:row>
    <x:row r="688" ht="30" customHeight="1">
      <x:c r="A688" s="26" t="str">
        <x:v>REL-DOC-010</x:v>
      </x:c>
      <x:c r="B688" s="26" t="str">
        <x:v>31_H6_and_Release_Readiness_Checklist.xlsx</x:v>
      </x:c>
      <x:c r="C688" s="26" t="str">
        <x:v>Release / Documentación, baseline y handoff / Release readiness</x:v>
      </x:c>
      <x:c r="D688" s="26" t="str">
        <x:v>Documentación, baseline y handoff</x:v>
      </x:c>
      <x:c r="E688" s="26" t="str">
        <x:v>La baseline final es inmutable, versionada y vinculada a commit/tag.</x:v>
      </x:c>
      <x:c r="F688" s="26" t="str">
        <x:v>Revisar, ejecutar y registrar evidencia reproducible.</x:v>
      </x:c>
      <x:c r="G688" s="26" t="str">
        <x:v>Release readiness control</x:v>
      </x:c>
      <x:c r="H688" s="26" t="str">
        <x:v>Activo</x:v>
      </x:c>
      <x:c r="I688" s="26" t="str">
        <x:v>Documentation/Production</x:v>
      </x:c>
    </x:row>
    <x:row r="689" ht="30" customHeight="1">
      <x:c r="A689" s="26" t="str">
        <x:v>REL-DOC-011</x:v>
      </x:c>
      <x:c r="B689" s="26" t="str">
        <x:v>31_H6_and_Release_Readiness_Checklist.xlsx</x:v>
      </x:c>
      <x:c r="C689" s="26" t="str">
        <x:v>Release / Documentación, baseline y handoff / Release readiness</x:v>
      </x:c>
      <x:c r="D689" s="26" t="str">
        <x:v>Documentación, baseline y handoff</x:v>
      </x:c>
      <x:c r="E689" s="26" t="str">
        <x:v>Existe informe de validación documental y auditoría global sin A1 abiertos.</x:v>
      </x:c>
      <x:c r="F689" s="26" t="str">
        <x:v>Revisar, ejecutar y registrar evidencia reproducible.</x:v>
      </x:c>
      <x:c r="G689" s="26" t="str">
        <x:v>Release readiness control</x:v>
      </x:c>
      <x:c r="H689" s="26" t="str">
        <x:v>Activo</x:v>
      </x:c>
      <x:c r="I689" s="26" t="str">
        <x:v>Documentation/Production</x:v>
      </x:c>
    </x:row>
    <x:row r="690" ht="30" customHeight="1">
      <x:c r="A690" s="26" t="str">
        <x:v>REL-DOC-012</x:v>
      </x:c>
      <x:c r="B690" s="26" t="str">
        <x:v>31_H6_and_Release_Readiness_Checklist.xlsx</x:v>
      </x:c>
      <x:c r="C690" s="26" t="str">
        <x:v>Release / Documentación, baseline y handoff / Release readiness</x:v>
      </x:c>
      <x:c r="D690" s="26" t="str">
        <x:v>Documentación, baseline y handoff</x:v>
      </x:c>
      <x:c r="E690" s="26" t="str">
        <x:v>El proyecto puede ser retomado por un colaborador sin contexto de chat.</x:v>
      </x:c>
      <x:c r="F690" s="26" t="str">
        <x:v>Revisar, ejecutar y registrar evidencia reproducible.</x:v>
      </x:c>
      <x:c r="G690" s="26" t="str">
        <x:v>Release readiness control</x:v>
      </x:c>
      <x:c r="H690" s="26" t="str">
        <x:v>Activo</x:v>
      </x:c>
      <x:c r="I690" s="26" t="str">
        <x:v>Documentation/Production</x:v>
      </x:c>
    </x:row>
    <x:row r="691" ht="30" customHeight="1">
      <x:c r="A691" s="26" t="str">
        <x:v>CNS-001</x:v>
      </x:c>
      <x:c r="B691" s="26" t="str">
        <x:v>12_Excel_Maestro_de_Produccion.xlsx</x:v>
      </x:c>
      <x:c r="C691" s="26" t="str">
        <x:v>08_Consolidacion_Doc</x:v>
      </x:c>
      <x:c r="D691" s="26" t="str">
        <x:v>Documentation Governance</x:v>
      </x:c>
      <x:c r="E691" s="26" t="str">
        <x:v>Congelar copia candidata 00–34</x:v>
      </x:c>
      <x:c r="F691" s="26" t="str">
        <x:v>Carpeta preconsolidación con 35 archivos y checksums</x:v>
      </x:c>
      <x:c r="G691" s="26" t="str">
        <x:v>Baseline closure requirement</x:v>
      </x:c>
      <x:c r="H691" s="26" t="str">
        <x:v>Activo</x:v>
      </x:c>
      <x:c r="I691" s="26" t="str">
        <x:v>Documentation/Production</x:v>
      </x:c>
    </x:row>
    <x:row r="692" ht="30" customHeight="1">
      <x:c r="A692" s="26" t="str">
        <x:v>CNS-002</x:v>
      </x:c>
      <x:c r="B692" s="26" t="str">
        <x:v>12_Excel_Maestro_de_Produccion.xlsx</x:v>
      </x:c>
      <x:c r="C692" s="26" t="str">
        <x:v>08_Consolidacion_Doc</x:v>
      </x:c>
      <x:c r="D692" s="26" t="str">
        <x:v>Documentation Governance</x:v>
      </x:c>
      <x:c r="E692" s="26" t="str">
        <x:v>Regenerar 12_Excel_Maestro_de_Produccion.xlsx</x:v>
      </x:c>
      <x:c r="F692" s="26" t="str">
        <x:v>Excel maestro 00–34, riesgos, WPs, H6 e historia</x:v>
      </x:c>
      <x:c r="G692" s="26" t="str">
        <x:v>Baseline closure requirement</x:v>
      </x:c>
      <x:c r="H692" s="26" t="str">
        <x:v>Activo</x:v>
      </x:c>
      <x:c r="I692" s="26" t="str">
        <x:v>Production/Documentation</x:v>
      </x:c>
    </x:row>
    <x:row r="693" ht="30" customHeight="1">
      <x:c r="A693" s="26" t="str">
        <x:v>CNS-003</x:v>
      </x:c>
      <x:c r="B693" s="26" t="str">
        <x:v>12_Excel_Maestro_de_Produccion.xlsx</x:v>
      </x:c>
      <x:c r="C693" s="26" t="str">
        <x:v>08_Consolidacion_Doc</x:v>
      </x:c>
      <x:c r="D693" s="26" t="str">
        <x:v>Documentation Governance</x:v>
      </x:c>
      <x:c r="E693" s="26" t="str">
        <x:v>Regenerar 13_Trazabilidad_y_Control_de_Cambios.xlsx</x:v>
      </x:c>
      <x:c r="F693" s="26" t="str">
        <x:v>Linaje, cambios y trazabilidad completos</x:v>
      </x:c>
      <x:c r="G693" s="26" t="str">
        <x:v>Baseline closure requirement</x:v>
      </x:c>
      <x:c r="H693" s="26" t="str">
        <x:v>Activo</x:v>
      </x:c>
      <x:c r="I693" s="26" t="str">
        <x:v>Documentation/Production</x:v>
      </x:c>
    </x:row>
    <x:row r="694" ht="30" customHeight="1">
      <x:c r="A694" s="26" t="str">
        <x:v>CNS-004</x:v>
      </x:c>
      <x:c r="B694" s="26" t="str">
        <x:v>12_Excel_Maestro_de_Produccion.xlsx</x:v>
      </x:c>
      <x:c r="C694" s="26" t="str">
        <x:v>08_Consolidacion_Doc</x:v>
      </x:c>
      <x:c r="D694" s="26" t="str">
        <x:v>Documentation Governance</x:v>
      </x:c>
      <x:c r="E694" s="26" t="str">
        <x:v>Actualizar 14_Project_Binder_Indice_Maestro.md</x:v>
      </x:c>
      <x:c r="F694" s="26" t="str">
        <x:v>Índice 00–34 actualizado</x:v>
      </x:c>
      <x:c r="G694" s="26" t="str">
        <x:v>Baseline closure requirement</x:v>
      </x:c>
      <x:c r="H694" s="26" t="str">
        <x:v>Activo</x:v>
      </x:c>
      <x:c r="I694" s="26" t="str">
        <x:v>Documentation</x:v>
      </x:c>
    </x:row>
    <x:row r="695" ht="30" customHeight="1">
      <x:c r="A695" s="26" t="str">
        <x:v>CNS-005</x:v>
      </x:c>
      <x:c r="B695" s="26" t="str">
        <x:v>12_Excel_Maestro_de_Produccion.xlsx</x:v>
      </x:c>
      <x:c r="C695" s="26" t="str">
        <x:v>08_Consolidacion_Doc</x:v>
      </x:c>
      <x:c r="D695" s="26" t="str">
        <x:v>Documentation Governance</x:v>
      </x:c>
      <x:c r="E695" s="26" t="str">
        <x:v>Actualizar 15_Guia_Maestra.md</x:v>
      </x:c>
      <x:c r="F695" s="26" t="str">
        <x:v>Guía completa de uso y retoma</x:v>
      </x:c>
      <x:c r="G695" s="26" t="str">
        <x:v>Baseline closure requirement</x:v>
      </x:c>
      <x:c r="H695" s="26" t="str">
        <x:v>Activo</x:v>
      </x:c>
      <x:c r="I695" s="26" t="str">
        <x:v>Documentation</x:v>
      </x:c>
    </x:row>
    <x:row r="696" ht="30" customHeight="1">
      <x:c r="A696" s="26" t="str">
        <x:v>CNS-006</x:v>
      </x:c>
      <x:c r="B696" s="26" t="str">
        <x:v>12_Excel_Maestro_de_Produccion.xlsx</x:v>
      </x:c>
      <x:c r="C696" s="26" t="str">
        <x:v>08_Consolidacion_Doc</x:v>
      </x:c>
      <x:c r="D696" s="26" t="str">
        <x:v>Documentation Governance</x:v>
      </x:c>
      <x:c r="E696" s="26" t="str">
        <x:v>Actualizar 21_Initial_Content_Catalog.xlsx</x:v>
      </x:c>
      <x:c r="F696" s="26" t="str">
        <x:v>Referencias y hashes vigentes</x:v>
      </x:c>
      <x:c r="G696" s="26" t="str">
        <x:v>Baseline closure requirement</x:v>
      </x:c>
      <x:c r="H696" s="26" t="str">
        <x:v>Activo</x:v>
      </x:c>
      <x:c r="I696" s="26" t="str">
        <x:v>Content/Documentation</x:v>
      </x:c>
    </x:row>
    <x:row r="697" ht="30" customHeight="1">
      <x:c r="A697" s="26" t="str">
        <x:v>CNS-007</x:v>
      </x:c>
      <x:c r="B697" s="26" t="str">
        <x:v>12_Excel_Maestro_de_Produccion.xlsx</x:v>
      </x:c>
      <x:c r="C697" s="26" t="str">
        <x:v>08_Consolidacion_Doc</x:v>
      </x:c>
      <x:c r="D697" s="26" t="str">
        <x:v>Documentation Governance</x:v>
      </x:c>
      <x:c r="E697" s="26" t="str">
        <x:v>Actualizar 23_Legal_Credits_and_Licenses_Register.xlsx</x:v>
      </x:c>
      <x:c r="F697" s="26" t="str">
        <x:v>Referencias, licencias y hashes vigentes</x:v>
      </x:c>
      <x:c r="G697" s="26" t="str">
        <x:v>Baseline closure requirement</x:v>
      </x:c>
      <x:c r="H697" s="26" t="str">
        <x:v>Activo</x:v>
      </x:c>
      <x:c r="I697" s="26" t="str">
        <x:v>Legal/Documentation</x:v>
      </x:c>
    </x:row>
    <x:row r="698" ht="30" customHeight="1">
      <x:c r="A698" s="26" t="str">
        <x:v>CNS-008</x:v>
      </x:c>
      <x:c r="B698" s="26" t="str">
        <x:v>12_Excel_Maestro_de_Produccion.xlsx</x:v>
      </x:c>
      <x:c r="C698" s="26" t="str">
        <x:v>08_Consolidacion_Doc</x:v>
      </x:c>
      <x:c r="D698" s="26" t="str">
        <x:v>Documentation Governance</x:v>
      </x:c>
      <x:c r="E698" s="26" t="str">
        <x:v>Actualizar 31_H6_and_Release_Readiness_Checklist.xlsx</x:v>
      </x:c>
      <x:c r="F698" s="26" t="str">
        <x:v>Referencias 32–34 y controles de cierre</x:v>
      </x:c>
      <x:c r="G698" s="26" t="str">
        <x:v>Baseline closure requirement</x:v>
      </x:c>
      <x:c r="H698" s="26" t="str">
        <x:v>Activo</x:v>
      </x:c>
      <x:c r="I698" s="26" t="str">
        <x:v>QA/Production</x:v>
      </x:c>
    </x:row>
    <x:row r="699" ht="30" customHeight="1">
      <x:c r="A699" s="26" t="str">
        <x:v>CNS-009</x:v>
      </x:c>
      <x:c r="B699" s="26" t="str">
        <x:v>12_Excel_Maestro_de_Produccion.xlsx</x:v>
      </x:c>
      <x:c r="C699" s="26" t="str">
        <x:v>08_Consolidacion_Doc</x:v>
      </x:c>
      <x:c r="D699" s="26" t="str">
        <x:v>Documentation Governance</x:v>
      </x:c>
      <x:c r="E699" s="26" t="str">
        <x:v>Actualizar 33_Project_Risk_Register_and_Business_Continuity_Plan.xlsx</x:v>
      </x:c>
      <x:c r="F699" s="26" t="str">
        <x:v>Fuentes 00–34 y riesgos de cierre</x:v>
      </x:c>
      <x:c r="G699" s="26" t="str">
        <x:v>Baseline closure requirement</x:v>
      </x:c>
      <x:c r="H699" s="26" t="str">
        <x:v>Activo</x:v>
      </x:c>
      <x:c r="I699" s="26" t="str">
        <x:v>Risk/Continuity</x:v>
      </x:c>
    </x:row>
    <x:row r="700" ht="30" customHeight="1">
      <x:c r="A700" s="26" t="str">
        <x:v>CNS-010</x:v>
      </x:c>
      <x:c r="B700" s="26" t="str">
        <x:v>12_Excel_Maestro_de_Produccion.xlsx</x:v>
      </x:c>
      <x:c r="C700" s="26" t="str">
        <x:v>08_Consolidacion_Doc</x:v>
      </x:c>
      <x:c r="D700" s="26" t="str">
        <x:v>Documentation Governance</x:v>
      </x:c>
      <x:c r="E700" s="26" t="str">
        <x:v>Actualizar 34_Final_Handoff_and_Project_Operations_Manual.md</x:v>
      </x:c>
      <x:c r="F700" s="26" t="str">
        <x:v>Rutas y baseline definitivas</x:v>
      </x:c>
      <x:c r="G700" s="26" t="str">
        <x:v>Baseline closure requirement</x:v>
      </x:c>
      <x:c r="H700" s="26" t="str">
        <x:v>Activo</x:v>
      </x:c>
      <x:c r="I700" s="26" t="str">
        <x:v>Operations/Documentation</x:v>
      </x:c>
    </x:row>
    <x:row r="701" ht="30" customHeight="1">
      <x:c r="A701" s="26" t="str">
        <x:v>CNS-011</x:v>
      </x:c>
      <x:c r="B701" s="26" t="str">
        <x:v>12_Excel_Maestro_de_Produccion.xlsx</x:v>
      </x:c>
      <x:c r="C701" s="26" t="str">
        <x:v>08_Consolidacion_Doc</x:v>
      </x:c>
      <x:c r="D701" s="26" t="str">
        <x:v>Documentation Governance</x:v>
      </x:c>
      <x:c r="E701" s="26" t="str">
        <x:v>Generar 32_Documentation_Baseline_Manifest.xlsx candidato</x:v>
      </x:c>
      <x:c r="F701" s="26" t="str">
        <x:v>Manifiesto candidato con hashes actuales</x:v>
      </x:c>
      <x:c r="G701" s="26" t="str">
        <x:v>Baseline closure requirement</x:v>
      </x:c>
      <x:c r="H701" s="26" t="str">
        <x:v>Activo</x:v>
      </x:c>
      <x:c r="I701" s="26" t="str">
        <x:v>Documentation/Integrity</x:v>
      </x:c>
    </x:row>
    <x:row r="702" ht="30" customHeight="1">
      <x:c r="A702" s="26" t="str">
        <x:v>CNS-012</x:v>
      </x:c>
      <x:c r="B702" s="26" t="str">
        <x:v>12_Excel_Maestro_de_Produccion.xlsx</x:v>
      </x:c>
      <x:c r="C702" s="26" t="str">
        <x:v>08_Consolidacion_Doc</x:v>
      </x:c>
      <x:c r="D702" s="26" t="str">
        <x:v>Documentation Governance</x:v>
      </x:c>
      <x:c r="E702" s="26" t="str">
        <x:v>Regenerar 16_Auditoria_Global_de_Coherencia.md candidata</x:v>
      </x:c>
      <x:c r="F702" s="26" t="str">
        <x:v>Auditoría 00–34 completa</x:v>
      </x:c>
      <x:c r="G702" s="26" t="str">
        <x:v>Baseline closure requirement</x:v>
      </x:c>
      <x:c r="H702" s="26" t="str">
        <x:v>Activo</x:v>
      </x:c>
      <x:c r="I702" s="26" t="str">
        <x:v>Audit/Documentation</x:v>
      </x:c>
    </x:row>
    <x:row r="703" ht="30" customHeight="1">
      <x:c r="A703" s="26" t="str">
        <x:v>CNS-013</x:v>
      </x:c>
      <x:c r="B703" s="26" t="str">
        <x:v>12_Excel_Maestro_de_Produccion.xlsx</x:v>
      </x:c>
      <x:c r="C703" s="26" t="str">
        <x:v>08_Consolidacion_Doc</x:v>
      </x:c>
      <x:c r="D703" s="26" t="str">
        <x:v>Documentation Governance</x:v>
      </x:c>
      <x:c r="E703" s="26" t="str">
        <x:v>Resolver hallazgos de auditoría</x:v>
      </x:c>
      <x:c r="F703" s="26" t="str">
        <x:v>Sin BLOCKER/HIGH abiertos o excepción formal</x:v>
      </x:c>
      <x:c r="G703" s="26" t="str">
        <x:v>Baseline closure requirement</x:v>
      </x:c>
      <x:c r="H703" s="26" t="str">
        <x:v>Activo</x:v>
      </x:c>
      <x:c r="I703" s="26" t="str">
        <x:v>All Owners</x:v>
      </x:c>
    </x:row>
    <x:row r="704" ht="30" customHeight="1">
      <x:c r="A704" s="26" t="str">
        <x:v>CNS-014</x:v>
      </x:c>
      <x:c r="B704" s="26" t="str">
        <x:v>12_Excel_Maestro_de_Produccion.xlsx</x:v>
      </x:c>
      <x:c r="C704" s="26" t="str">
        <x:v>08_Consolidacion_Doc</x:v>
      </x:c>
      <x:c r="D704" s="26" t="str">
        <x:v>Documentation Governance</x:v>
      </x:c>
      <x:c r="E704" s="26" t="str">
        <x:v>Regenerar 16_Auditoria_Global_de_Coherencia.md final</x:v>
      </x:c>
      <x:c r="F704" s="26" t="str">
        <x:v>Auditoría final PASS/PASS WITH EXCEPTIONS</x:v>
      </x:c>
      <x:c r="G704" s="26" t="str">
        <x:v>Baseline closure requirement</x:v>
      </x:c>
      <x:c r="H704" s="26" t="str">
        <x:v>Activo</x:v>
      </x:c>
      <x:c r="I704" s="26" t="str">
        <x:v>Audit/Documentation</x:v>
      </x:c>
    </x:row>
    <x:row r="705" ht="30" customHeight="1">
      <x:c r="A705" s="26" t="str">
        <x:v>CNS-015</x:v>
      </x:c>
      <x:c r="B705" s="26" t="str">
        <x:v>12_Excel_Maestro_de_Produccion.xlsx</x:v>
      </x:c>
      <x:c r="C705" s="26" t="str">
        <x:v>08_Consolidacion_Doc</x:v>
      </x:c>
      <x:c r="D705" s="26" t="str">
        <x:v>Documentation Governance</x:v>
      </x:c>
      <x:c r="E705" s="26" t="str">
        <x:v>Regenerar 32_Documentation_Baseline_Manifest.xlsx definitivo</x:v>
      </x:c>
      <x:c r="F705" s="26" t="str">
        <x:v>Manifiesto definitivo</x:v>
      </x:c>
      <x:c r="G705" s="26" t="str">
        <x:v>Baseline closure requirement</x:v>
      </x:c>
      <x:c r="H705" s="26" t="str">
        <x:v>Activo</x:v>
      </x:c>
      <x:c r="I705" s="26" t="str">
        <x:v>Documentation/Integrity</x:v>
      </x:c>
    </x:row>
    <x:row r="706" ht="30" customHeight="1">
      <x:c r="A706" s="26" t="str">
        <x:v>CNS-016</x:v>
      </x:c>
      <x:c r="B706" s="26" t="str">
        <x:v>12_Excel_Maestro_de_Produccion.xlsx</x:v>
      </x:c>
      <x:c r="C706" s="26" t="str">
        <x:v>08_Consolidacion_Doc</x:v>
      </x:c>
      <x:c r="D706" s="26" t="str">
        <x:v>Documentation Governance</x:v>
      </x:c>
      <x:c r="E706" s="26" t="str">
        <x:v>Generar PACKAGE_MANIFEST.md</x:v>
      </x:c>
      <x:c r="F706" s="26" t="str">
        <x:v>Manifiesto externo de paquete</x:v>
      </x:c>
      <x:c r="G706" s="26" t="str">
        <x:v>Baseline closure requirement</x:v>
      </x:c>
      <x:c r="H706" s="26" t="str">
        <x:v>Activo</x:v>
      </x:c>
      <x:c r="I706" s="26" t="str">
        <x:v>Documentation/Integrity</x:v>
      </x:c>
    </x:row>
    <x:row r="707" ht="30" customHeight="1">
      <x:c r="A707" s="26" t="str">
        <x:v>CNS-017</x:v>
      </x:c>
      <x:c r="B707" s="26" t="str">
        <x:v>12_Excel_Maestro_de_Produccion.xlsx</x:v>
      </x:c>
      <x:c r="C707" s="26" t="str">
        <x:v>08_Consolidacion_Doc</x:v>
      </x:c>
      <x:c r="D707" s="26" t="str">
        <x:v>Documentation Governance</x:v>
      </x:c>
      <x:c r="E707" s="26" t="str">
        <x:v>Generar CHECKSUMS_SHA256.txt</x:v>
      </x:c>
      <x:c r="F707" s="26" t="str">
        <x:v>Checksums de todos los artefactos</x:v>
      </x:c>
      <x:c r="G707" s="26" t="str">
        <x:v>Baseline closure requirement</x:v>
      </x:c>
      <x:c r="H707" s="26" t="str">
        <x:v>Activo</x:v>
      </x:c>
      <x:c r="I707" s="26" t="str">
        <x:v>Integrity</x:v>
      </x:c>
    </x:row>
    <x:row r="708" ht="30" customHeight="1">
      <x:c r="A708" s="26" t="str">
        <x:v>CNS-018</x:v>
      </x:c>
      <x:c r="B708" s="26" t="str">
        <x:v>12_Excel_Maestro_de_Produccion.xlsx</x:v>
      </x:c>
      <x:c r="C708" s="26" t="str">
        <x:v>08_Consolidacion_Doc</x:v>
      </x:c>
      <x:c r="D708" s="26" t="str">
        <x:v>Documentation Governance</x:v>
      </x:c>
      <x:c r="E708" s="26" t="str">
        <x:v>Generar DOCUMENTATION_VALIDATION_REPORT.md</x:v>
      </x:c>
      <x:c r="F708" s="26" t="str">
        <x:v>Informe PASS/PASS WITH EXCEPTIONS</x:v>
      </x:c>
      <x:c r="G708" s="26" t="str">
        <x:v>Baseline closure requirement</x:v>
      </x:c>
      <x:c r="H708" s="26" t="str">
        <x:v>Activo</x:v>
      </x:c>
      <x:c r="I708" s="26" t="str">
        <x:v>QA/Documentation</x:v>
      </x:c>
    </x:row>
    <x:row r="709" ht="30" customHeight="1">
      <x:c r="A709" s="26" t="str">
        <x:v>CNS-019</x:v>
      </x:c>
      <x:c r="B709" s="26" t="str">
        <x:v>12_Excel_Maestro_de_Produccion.xlsx</x:v>
      </x:c>
      <x:c r="C709" s="26" t="str">
        <x:v>08_Consolidacion_Doc</x:v>
      </x:c>
      <x:c r="D709" s="26" t="str">
        <x:v>Documentation Governance</x:v>
      </x:c>
      <x:c r="E709" s="26" t="str">
        <x:v>Crear y verificar ZIP inmutable</x:v>
      </x:c>
      <x:c r="F709" s="26" t="str">
        <x:v>ZIP extraído y verificado</x:v>
      </x:c>
      <x:c r="G709" s="26" t="str">
        <x:v>Baseline closure requirement</x:v>
      </x:c>
      <x:c r="H709" s="26" t="str">
        <x:v>Activo</x:v>
      </x:c>
      <x:c r="I709" s="26" t="str">
        <x:v>Release/Integrity</x:v>
      </x:c>
    </x:row>
    <x:row r="710" ht="30" customHeight="1">
      <x:c r="A710" s="26" t="str">
        <x:v>CNS-020</x:v>
      </x:c>
      <x:c r="B710" s="26" t="str">
        <x:v>12_Excel_Maestro_de_Produccion.xlsx</x:v>
      </x:c>
      <x:c r="C710" s="26" t="str">
        <x:v>08_Consolidacion_Doc</x:v>
      </x:c>
      <x:c r="D710" s="26" t="str">
        <x:v>Documentation Governance</x:v>
      </x:c>
      <x:c r="E710" s="26" t="str">
        <x:v>Asociar baseline a commit y tag Git</x:v>
      </x:c>
      <x:c r="F710" s="26" t="str">
        <x:v>Commit/tag registrados en manifest y handoff</x:v>
      </x:c>
      <x:c r="G710" s="26" t="str">
        <x:v>Baseline closure requirement</x:v>
      </x:c>
      <x:c r="H710" s="26" t="str">
        <x:v>Activo</x:v>
      </x:c>
      <x:c r="I710" s="26" t="str">
        <x:v>Production/Engineering</x:v>
      </x:c>
    </x:row>
    <x:row r="711" ht="30" customHeight="1">
      <x:c r="A711" s="26" t="str">
        <x:v>CNS-021</x:v>
      </x:c>
      <x:c r="B711" s="26" t="str">
        <x:v>12_Excel_Maestro_de_Produccion.xlsx</x:v>
      </x:c>
      <x:c r="C711" s="26" t="str">
        <x:v>08_Consolidacion_Doc</x:v>
      </x:c>
      <x:c r="D711" s="26" t="str">
        <x:v>Documentation Governance</x:v>
      </x:c>
      <x:c r="E711" s="26" t="str">
        <x:v>Ejecutar H6 mediante documento 31</x:v>
      </x:c>
      <x:c r="F711" s="26" t="str">
        <x:v>Controles H6 ejecutados con evidencia</x:v>
      </x:c>
      <x:c r="G711" s="26" t="str">
        <x:v>Baseline closure requirement</x:v>
      </x:c>
      <x:c r="H711" s="26" t="str">
        <x:v>Activo</x:v>
      </x:c>
      <x:c r="I711" s="26" t="str">
        <x:v>Production/QA</x:v>
      </x:c>
    </x:row>
    <x:row r="712" ht="30" customHeight="1">
      <x:c r="A712" s="26" t="str">
        <x:v>CNS-022</x:v>
      </x:c>
      <x:c r="B712" s="26" t="str">
        <x:v>12_Excel_Maestro_de_Produccion.xlsx</x:v>
      </x:c>
      <x:c r="C712" s="26" t="str">
        <x:v>08_Consolidacion_Doc</x:v>
      </x:c>
      <x:c r="D712" s="26" t="str">
        <x:v>Documentation Governance</x:v>
      </x:c>
      <x:c r="E712" s="26" t="str">
        <x:v>Validar continuidad y riesgos mediante documento 33</x:v>
      </x:c>
      <x:c r="F712" s="26" t="str">
        <x:v>Backups, restores, RTO/RPO y riesgos verificados</x:v>
      </x:c>
      <x:c r="G712" s="26" t="str">
        <x:v>Baseline closure requirement</x:v>
      </x:c>
      <x:c r="H712" s="26" t="str">
        <x:v>Activo</x:v>
      </x:c>
      <x:c r="I712" s="26" t="str">
        <x:v>Risk/Continuity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6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0" hidden="0" customWidth="1"/>
  </x:cols>
  <x:sheetData>
    <x:row r="1" ht="28" customHeight="1">
      <x:c r="A1" s="4" t="str">
        <x:v>Matriz de trazabilidad end-to-end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2" customHeight="1">
      <x:c r="A2" s="11" t="str">
        <x:v>Requisito → cambio → decisión → tarea/implementación → prueba/evidencia → build → baseline.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 ht="30" customHeight="1">
      <x:c r="A4" s="19" t="str">
        <x:v>Requirement ID</x:v>
      </x:c>
      <x:c r="B4" s="19" t="str">
        <x:v>Sistema</x:v>
      </x:c>
      <x:c r="C4" s="19" t="str">
        <x:v>Documento</x:v>
      </x:c>
      <x:c r="D4" s="19" t="str">
        <x:v>Requisito</x:v>
      </x:c>
      <x:c r="E4" s="19" t="str">
        <x:v>Cambio</x:v>
      </x:c>
      <x:c r="F4" s="19" t="str">
        <x:v>ADR</x:v>
      </x:c>
      <x:c r="G4" s="19" t="str">
        <x:v>Implementación/Tarea</x:v>
      </x:c>
      <x:c r="H4" s="19" t="str">
        <x:v>Código/Escena/Asset</x:v>
      </x:c>
      <x:c r="I4" s="19" t="str">
        <x:v>Test ID</x:v>
      </x:c>
      <x:c r="J4" s="19" t="str">
        <x:v>Último resultado</x:v>
      </x:c>
      <x:c r="K4" s="19" t="str">
        <x:v>Build ID</x:v>
      </x:c>
      <x:c r="L4" s="19" t="str">
        <x:v>Defecto/Deuda</x:v>
      </x:c>
      <x:c r="M4" s="19" t="str">
        <x:v>Baseline</x:v>
      </x:c>
      <x:c r="N4" s="19" t="str">
        <x:v>Cobertura</x:v>
      </x:c>
      <x:c r="O4" s="19" t="str">
        <x:v>Evidencia</x:v>
      </x:c>
      <x:c r="P4" s="19" t="str">
        <x:v>Owner</x:v>
      </x:c>
      <x:c r="Q4" s="19" t="str">
        <x:v>Notas</x:v>
      </x:c>
    </x:row>
    <x:row r="5" ht="30" customHeight="1">
      <x:c r="A5" s="26" t="str">
        <x:v>VS-APP-001</x:v>
      </x:c>
      <x:c r="B5" s="26" t="str">
        <x:v>APP</x:v>
      </x:c>
      <x:c r="C5" s="26" t="str">
        <x:v>02_Vertical_Slice_Specification.md</x:v>
      </x:c>
      <x:c r="D5" s="26" t="str">
        <x:v>Bootstrap inicia y alcanza menú sin excepción bloqueante.</x:v>
      </x:c>
      <x:c r="E5" s="26" t="str">
        <x:v>CHG-DOC-011</x:v>
      </x:c>
      <x:c r="F5" s="26" t="str">
        <x:v>ADR-0009</x:v>
      </x:c>
      <x:c r="G5" s="26" t="str">
        <x:v>VS-APP-001</x:v>
      </x:c>
      <x:c r="H5" s="26"/>
      <x:c r="I5" s="26" t="str">
        <x:v>TC-VS-APP-001</x:v>
      </x:c>
      <x:c r="J5" s="26" t="str">
        <x:v>Not Run</x:v>
      </x:c>
      <x:c r="K5" s="26" t="str">
        <x:v>BLD-016-PRE</x:v>
      </x:c>
      <x:c r="L5" s="26"/>
      <x:c r="M5" s="26" t="str">
        <x:v>BASE-1.0</x:v>
      </x:c>
      <x:c r="N5" s="26" t="str">
        <x:v>Complete</x:v>
      </x:c>
      <x:c r="O5" s="26"/>
      <x:c r="P5" s="26" t="str">
        <x:v>VRM Games</x:v>
      </x:c>
      <x:c r="Q5" s="26"/>
    </x:row>
    <x:row r="6" ht="30" customHeight="1">
      <x:c r="A6" s="26" t="str">
        <x:v>VS-APP-002</x:v>
      </x:c>
      <x:c r="B6" s="26" t="str">
        <x:v>APP</x:v>
      </x:c>
      <x:c r="C6" s="26" t="str">
        <x:v>02_Vertical_Slice_Specification.md</x:v>
      </x:c>
      <x:c r="D6" s="26" t="str">
        <x:v>Nueva partida crea un slot válido una sola vez.</x:v>
      </x:c>
      <x:c r="E6" s="26" t="str">
        <x:v>CHG-DOC-011</x:v>
      </x:c>
      <x:c r="F6" s="26" t="str">
        <x:v>ADR-0009</x:v>
      </x:c>
      <x:c r="G6" s="26" t="str">
        <x:v>VS-APP-002</x:v>
      </x:c>
      <x:c r="H6" s="26"/>
      <x:c r="I6" s="26" t="str">
        <x:v>TC-VS-APP-002</x:v>
      </x:c>
      <x:c r="J6" s="26" t="str">
        <x:v>Not Run</x:v>
      </x:c>
      <x:c r="K6" s="26" t="str">
        <x:v>BLD-016-PRE</x:v>
      </x:c>
      <x:c r="L6" s="26"/>
      <x:c r="M6" s="26" t="str">
        <x:v>BASE-1.0</x:v>
      </x:c>
      <x:c r="N6" s="26" t="str">
        <x:v>Complete</x:v>
      </x:c>
      <x:c r="O6" s="26"/>
      <x:c r="P6" s="26" t="str">
        <x:v>VRM Games</x:v>
      </x:c>
      <x:c r="Q6" s="26"/>
    </x:row>
    <x:row r="7" ht="30" customHeight="1">
      <x:c r="A7" s="26" t="str">
        <x:v>VS-APP-003</x:v>
      </x:c>
      <x:c r="B7" s="26" t="str">
        <x:v>APP</x:v>
      </x:c>
      <x:c r="C7" s="26" t="str">
        <x:v>02_Vertical_Slice_Specification.md</x:v>
      </x:c>
      <x:c r="D7" s="26" t="str">
        <x:v>Carga de slot entra en la sesión correcta sin duplicar inicialización.</x:v>
      </x:c>
      <x:c r="E7" s="26" t="str">
        <x:v>CHG-DOC-011</x:v>
      </x:c>
      <x:c r="F7" s="26" t="str">
        <x:v>ADR-0009</x:v>
      </x:c>
      <x:c r="G7" s="26" t="str">
        <x:v>VS-APP-003</x:v>
      </x:c>
      <x:c r="H7" s="26"/>
      <x:c r="I7" s="26" t="str">
        <x:v>TC-VS-APP-003</x:v>
      </x:c>
      <x:c r="J7" s="26" t="str">
        <x:v>Not Run</x:v>
      </x:c>
      <x:c r="K7" s="26" t="str">
        <x:v>BLD-016-PRE</x:v>
      </x:c>
      <x:c r="L7" s="26"/>
      <x:c r="M7" s="26" t="str">
        <x:v>BASE-1.0</x:v>
      </x:c>
      <x:c r="N7" s="26" t="str">
        <x:v>Complete</x:v>
      </x:c>
      <x:c r="O7" s="26"/>
      <x:c r="P7" s="26" t="str">
        <x:v>VRM Games</x:v>
      </x:c>
      <x:c r="Q7" s="26"/>
    </x:row>
    <x:row r="8" ht="30" customHeight="1">
      <x:c r="A8" s="26" t="str">
        <x:v>VS-APP-004</x:v>
      </x:c>
      <x:c r="B8" s="26" t="str">
        <x:v>APP</x:v>
      </x:c>
      <x:c r="C8" s="26" t="str">
        <x:v>02_Vertical_Slice_Specification.md</x:v>
      </x:c>
      <x:c r="D8" s="26" t="str">
        <x:v>Volver al menú o salir no pierde un guardado confirmado.</x:v>
      </x:c>
      <x:c r="E8" s="26" t="str">
        <x:v>CHG-DOC-011</x:v>
      </x:c>
      <x:c r="F8" s="26" t="str">
        <x:v>ADR-0009</x:v>
      </x:c>
      <x:c r="G8" s="26" t="str">
        <x:v>VS-APP-004</x:v>
      </x:c>
      <x:c r="H8" s="26"/>
      <x:c r="I8" s="26" t="str">
        <x:v>TC-VS-APP-004</x:v>
      </x:c>
      <x:c r="J8" s="26" t="str">
        <x:v>Not Run</x:v>
      </x:c>
      <x:c r="K8" s="26" t="str">
        <x:v>BLD-016-PRE</x:v>
      </x:c>
      <x:c r="L8" s="26"/>
      <x:c r="M8" s="26" t="str">
        <x:v>BASE-1.0</x:v>
      </x:c>
      <x:c r="N8" s="26" t="str">
        <x:v>Complete</x:v>
      </x:c>
      <x:c r="O8" s="26"/>
      <x:c r="P8" s="26" t="str">
        <x:v>VRM Games</x:v>
      </x:c>
      <x:c r="Q8" s="26"/>
    </x:row>
    <x:row r="9" ht="30" customHeight="1">
      <x:c r="A9" s="26" t="str">
        <x:v>VS-SCN-001</x:v>
      </x:c>
      <x:c r="B9" s="26" t="str">
        <x:v>SCN</x:v>
      </x:c>
      <x:c r="C9" s="26" t="str">
        <x:v>02_Vertical_Slice_Specification.md</x:v>
      </x:c>
      <x:c r="D9" s="26" t="str">
        <x:v>`StoreInitial.unity` carga con referencias obligatorias válidas.</x:v>
      </x:c>
      <x:c r="E9" s="26" t="str">
        <x:v>CHG-STORE-002</x:v>
      </x:c>
      <x:c r="F9" s="26" t="str">
        <x:v>ADR-0035-S16</x:v>
      </x:c>
      <x:c r="G9" s="26" t="str">
        <x:v>VS-SCN-001</x:v>
      </x:c>
      <x:c r="H9" s="26"/>
      <x:c r="I9" s="26" t="str">
        <x:v>TC-VS-SCN-001</x:v>
      </x:c>
      <x:c r="J9" s="26" t="str">
        <x:v>Not Run</x:v>
      </x:c>
      <x:c r="K9" s="26" t="str">
        <x:v>BLD-016-POST</x:v>
      </x:c>
      <x:c r="L9" s="26"/>
      <x:c r="M9" s="26" t="str">
        <x:v>BASE-1.0</x:v>
      </x:c>
      <x:c r="N9" s="26" t="str">
        <x:v>Complete</x:v>
      </x:c>
      <x:c r="O9" s="26"/>
      <x:c r="P9" s="26" t="str">
        <x:v>VRM Games</x:v>
      </x:c>
      <x:c r="Q9" s="26"/>
    </x:row>
    <x:row r="10" ht="30" customHeight="1">
      <x:c r="A10" s="26" t="str">
        <x:v>VS-SCN-002</x:v>
      </x:c>
      <x:c r="B10" s="26" t="str">
        <x:v>SCN</x:v>
      </x:c>
      <x:c r="C10" s="26" t="str">
        <x:v>02_Vertical_Slice_Specification.md</x:v>
      </x:c>
      <x:c r="D10" s="26" t="str">
        <x:v>Arquitectura, puerta, zonas y mobiliario están colocados conforme al layout aprobado.</x:v>
      </x:c>
      <x:c r="E10" s="26" t="str">
        <x:v>CHG-STORE-001</x:v>
      </x:c>
      <x:c r="F10" s="26" t="str">
        <x:v>ADR-0035-S16</x:v>
      </x:c>
      <x:c r="G10" s="26" t="str">
        <x:v>VS-SCN-002</x:v>
      </x:c>
      <x:c r="H10" s="26"/>
      <x:c r="I10" s="26" t="str">
        <x:v>TC-VS-SCN-002</x:v>
      </x:c>
      <x:c r="J10" s="26" t="str">
        <x:v>Not Run</x:v>
      </x:c>
      <x:c r="K10" s="26" t="str">
        <x:v>BLD-016-POST</x:v>
      </x:c>
      <x:c r="L10" s="26"/>
      <x:c r="M10" s="26" t="str">
        <x:v>BASE-1.0</x:v>
      </x:c>
      <x:c r="N10" s="26" t="str">
        <x:v>Complete</x:v>
      </x:c>
      <x:c r="O10" s="26"/>
      <x:c r="P10" s="26" t="str">
        <x:v>VRM Games</x:v>
      </x:c>
      <x:c r="Q10" s="26"/>
    </x:row>
    <x:row r="11" ht="30" customHeight="1">
      <x:c r="A11" s="26" t="str">
        <x:v>VS-SCN-003</x:v>
      </x:c>
      <x:c r="B11" s="26" t="str">
        <x:v>SCN</x:v>
      </x:c>
      <x:c r="C11" s="26" t="str">
        <x:v>02_Vertical_Slice_Specification.md</x:v>
      </x:c>
      <x:c r="D11" s="26" t="str">
        <x:v>No existen placeholders visibles no exceptuados.</x:v>
      </x:c>
      <x:c r="E11" s="26" t="str">
        <x:v>CHG-DOC-011</x:v>
      </x:c>
      <x:c r="F11" s="26" t="str">
        <x:v>ADR-0035-S16</x:v>
      </x:c>
      <x:c r="G11" s="26" t="str">
        <x:v>VS-SCN-003</x:v>
      </x:c>
      <x:c r="H11" s="26"/>
      <x:c r="I11" s="26" t="str">
        <x:v>TC-VS-SCN-003</x:v>
      </x:c>
      <x:c r="J11" s="26" t="str">
        <x:v>Not Run</x:v>
      </x:c>
      <x:c r="K11" s="26" t="str">
        <x:v>BLD-016-POST</x:v>
      </x:c>
      <x:c r="L11" s="26"/>
      <x:c r="M11" s="26" t="str">
        <x:v>BASE-1.0</x:v>
      </x:c>
      <x:c r="N11" s="26" t="str">
        <x:v>Complete</x:v>
      </x:c>
      <x:c r="O11" s="26"/>
      <x:c r="P11" s="26" t="str">
        <x:v>VRM Games</x:v>
      </x:c>
      <x:c r="Q11" s="26"/>
    </x:row>
    <x:row r="12" ht="30" customHeight="1">
      <x:c r="A12" s="26" t="str">
        <x:v>VS-SCN-004</x:v>
      </x:c>
      <x:c r="B12" s="26" t="str">
        <x:v>SCN</x:v>
      </x:c>
      <x:c r="C12" s="26" t="str">
        <x:v>02_Vertical_Slice_Specification.md</x:v>
      </x:c>
      <x:c r="D12" s="26" t="str">
        <x:v>Visuales, colliders, navegación y puntos funcionales no se contradicen.</x:v>
      </x:c>
      <x:c r="E12" s="26" t="str">
        <x:v>CHG-DOC-011</x:v>
      </x:c>
      <x:c r="F12" s="26" t="str">
        <x:v>ADR-0035-S16</x:v>
      </x:c>
      <x:c r="G12" s="26" t="str">
        <x:v>VS-SCN-004</x:v>
      </x:c>
      <x:c r="H12" s="26"/>
      <x:c r="I12" s="26" t="str">
        <x:v>TC-VS-SCN-004</x:v>
      </x:c>
      <x:c r="J12" s="26" t="str">
        <x:v>Not Run</x:v>
      </x:c>
      <x:c r="K12" s="26" t="str">
        <x:v>BLD-016-POST</x:v>
      </x:c>
      <x:c r="L12" s="26"/>
      <x:c r="M12" s="26" t="str">
        <x:v>BASE-1.0</x:v>
      </x:c>
      <x:c r="N12" s="26" t="str">
        <x:v>Complete</x:v>
      </x:c>
      <x:c r="O12" s="26"/>
      <x:c r="P12" s="26" t="str">
        <x:v>VRM Games</x:v>
      </x:c>
      <x:c r="Q12" s="26"/>
    </x:row>
    <x:row r="13" ht="30" customHeight="1">
      <x:c r="A13" s="26" t="str">
        <x:v>VS-INP-001</x:v>
      </x:c>
      <x:c r="B13" s="26" t="str">
        <x:v>INP</x:v>
      </x:c>
      <x:c r="C13" s="26" t="str">
        <x:v>02_Vertical_Slice_Specification.md</x:v>
      </x:c>
      <x:c r="D13" s="26" t="str">
        <x:v>Un evento consumido por UI no dispara movimiento, colocación o interacción de mundo.</x:v>
      </x:c>
      <x:c r="E13" s="26" t="str">
        <x:v>CHG-INPUT-001</x:v>
      </x:c>
      <x:c r="F13" s="26" t="str">
        <x:v>ADR-0066</x:v>
      </x:c>
      <x:c r="G13" s="26" t="str">
        <x:v>VS-INP-001</x:v>
      </x:c>
      <x:c r="H13" s="26"/>
      <x:c r="I13" s="26" t="str">
        <x:v>TC-VS-INP-001</x:v>
      </x:c>
      <x:c r="J13" s="26" t="str">
        <x:v>Not Run</x:v>
      </x:c>
      <x:c r="K13" s="26" t="str">
        <x:v>BLD-016-PRE</x:v>
      </x:c>
      <x:c r="L13" s="26"/>
      <x:c r="M13" s="26" t="str">
        <x:v>BASE-1.0</x:v>
      </x:c>
      <x:c r="N13" s="26" t="str">
        <x:v>Complete</x:v>
      </x:c>
      <x:c r="O13" s="26"/>
      <x:c r="P13" s="26" t="str">
        <x:v>VRM Games</x:v>
      </x:c>
      <x:c r="Q13" s="26"/>
    </x:row>
    <x:row r="14" ht="30" customHeight="1">
      <x:c r="A14" s="26" t="str">
        <x:v>VS-INP-002</x:v>
      </x:c>
      <x:c r="B14" s="26" t="str">
        <x:v>INP</x:v>
      </x:c>
      <x:c r="C14" s="26" t="str">
        <x:v>02_Vertical_Slice_Specification.md</x:v>
      </x:c>
      <x:c r="D14" s="26" t="str">
        <x:v>Clic de mundo produce destino válido o feedback de rechazo.</x:v>
      </x:c>
      <x:c r="E14" s="26" t="str">
        <x:v>CHG-DOC-011</x:v>
      </x:c>
      <x:c r="F14" s="26" t="str">
        <x:v>ADR-0066</x:v>
      </x:c>
      <x:c r="G14" s="26" t="str">
        <x:v>VS-INP-002</x:v>
      </x:c>
      <x:c r="H14" s="26"/>
      <x:c r="I14" s="26" t="str">
        <x:v>TC-VS-INP-002</x:v>
      </x:c>
      <x:c r="J14" s="26" t="str">
        <x:v>Not Run</x:v>
      </x:c>
      <x:c r="K14" s="26" t="str">
        <x:v>BLD-016-PRE</x:v>
      </x:c>
      <x:c r="L14" s="26"/>
      <x:c r="M14" s="26" t="str">
        <x:v>BASE-1.0</x:v>
      </x:c>
      <x:c r="N14" s="26" t="str">
        <x:v>Complete</x:v>
      </x:c>
      <x:c r="O14" s="26"/>
      <x:c r="P14" s="26" t="str">
        <x:v>VRM Games</x:v>
      </x:c>
      <x:c r="Q14" s="26"/>
    </x:row>
    <x:row r="15" ht="30" customHeight="1">
      <x:c r="A15" s="26" t="str">
        <x:v>VS-CAM-001</x:v>
      </x:c>
      <x:c r="B15" s="26" t="str">
        <x:v>CAM</x:v>
      </x:c>
      <x:c r="C15" s="26" t="str">
        <x:v>02_Vertical_Slice_Specification.md</x:v>
      </x:c>
      <x:c r="D15" s="26" t="str">
        <x:v>Órbita y zoom permanecen dentro de límites y no bloquean el flujo.</x:v>
      </x:c>
      <x:c r="E15" s="26" t="str">
        <x:v>CHG-DOC-011</x:v>
      </x:c>
      <x:c r="F15" s="26"/>
      <x:c r="G15" s="26" t="str">
        <x:v>VS-CAM-001</x:v>
      </x:c>
      <x:c r="H15" s="26"/>
      <x:c r="I15" s="26" t="str">
        <x:v>TC-VS-CAM-001</x:v>
      </x:c>
      <x:c r="J15" s="26" t="str">
        <x:v>Not Run</x:v>
      </x:c>
      <x:c r="K15" s="26" t="str">
        <x:v>BLD-016-PRE</x:v>
      </x:c>
      <x:c r="L15" s="26"/>
      <x:c r="M15" s="26" t="str">
        <x:v>BASE-1.0</x:v>
      </x:c>
      <x:c r="N15" s="26" t="str">
        <x:v>Complete</x:v>
      </x:c>
      <x:c r="O15" s="26"/>
      <x:c r="P15" s="26" t="str">
        <x:v>VRM Games</x:v>
      </x:c>
      <x:c r="Q15" s="26"/>
    </x:row>
    <x:row r="16" ht="30" customHeight="1">
      <x:c r="A16" s="26" t="str">
        <x:v>VS-CAM-002</x:v>
      </x:c>
      <x:c r="B16" s="26" t="str">
        <x:v>CAM</x:v>
      </x:c>
      <x:c r="C16" s="26" t="str">
        <x:v>02_Vertical_Slice_Specification.md</x:v>
      </x:c>
      <x:c r="D16" s="26" t="str">
        <x:v>La cámara mantiene legibles entrada, displays, cola y checkout.</x:v>
      </x:c>
      <x:c r="E16" s="26" t="str">
        <x:v>CHG-DOC-011</x:v>
      </x:c>
      <x:c r="F16" s="26"/>
      <x:c r="G16" s="26" t="str">
        <x:v>VS-CAM-002</x:v>
      </x:c>
      <x:c r="H16" s="26"/>
      <x:c r="I16" s="26" t="str">
        <x:v>TC-VS-CAM-002</x:v>
      </x:c>
      <x:c r="J16" s="26" t="str">
        <x:v>Not Run</x:v>
      </x:c>
      <x:c r="K16" s="26" t="str">
        <x:v>BLD-016-PRE</x:v>
      </x:c>
      <x:c r="L16" s="26"/>
      <x:c r="M16" s="26" t="str">
        <x:v>BASE-1.0</x:v>
      </x:c>
      <x:c r="N16" s="26" t="str">
        <x:v>Complete</x:v>
      </x:c>
      <x:c r="O16" s="26"/>
      <x:c r="P16" s="26" t="str">
        <x:v>VRM Games</x:v>
      </x:c>
      <x:c r="Q16" s="26"/>
    </x:row>
    <x:row r="17" ht="30" customHeight="1">
      <x:c r="A17" s="26" t="str">
        <x:v>VS-MOV-001</x:v>
      </x:c>
      <x:c r="B17" s="26" t="str">
        <x:v>MOV</x:v>
      </x:c>
      <x:c r="C17" s="26" t="str">
        <x:v>02_Vertical_Slice_Specification.md</x:v>
      </x:c>
      <x:c r="D17" s="26" t="str">
        <x:v>El jugador alcanza todos los puntos accesibles obligatorios.</x:v>
      </x:c>
      <x:c r="E17" s="26" t="str">
        <x:v>CHG-DOC-011</x:v>
      </x:c>
      <x:c r="F17" s="26"/>
      <x:c r="G17" s="26" t="str">
        <x:v>VS-MOV-001</x:v>
      </x:c>
      <x:c r="H17" s="26"/>
      <x:c r="I17" s="26" t="str">
        <x:v>TC-VS-MOV-001</x:v>
      </x:c>
      <x:c r="J17" s="26" t="str">
        <x:v>Not Run</x:v>
      </x:c>
      <x:c r="K17" s="26" t="str">
        <x:v>BLD-016-PRE</x:v>
      </x:c>
      <x:c r="L17" s="26"/>
      <x:c r="M17" s="26" t="str">
        <x:v>BASE-1.0</x:v>
      </x:c>
      <x:c r="N17" s="26" t="str">
        <x:v>Complete</x:v>
      </x:c>
      <x:c r="O17" s="26"/>
      <x:c r="P17" s="26" t="str">
        <x:v>VRM Games</x:v>
      </x:c>
      <x:c r="Q17" s="26"/>
    </x:row>
    <x:row r="18" ht="30" customHeight="1">
      <x:c r="A18" s="26" t="str">
        <x:v>VS-MOV-002</x:v>
      </x:c>
      <x:c r="B18" s="26" t="str">
        <x:v>MOV</x:v>
      </x:c>
      <x:c r="C18" s="26" t="str">
        <x:v>02_Vertical_Slice_Specification.md</x:v>
      </x:c>
      <x:c r="D18" s="26" t="str">
        <x:v>El jugador no atraviesa arquitectura ni mobiliario.</x:v>
      </x:c>
      <x:c r="E18" s="26" t="str">
        <x:v>CHG-DOC-011</x:v>
      </x:c>
      <x:c r="F18" s="26"/>
      <x:c r="G18" s="26" t="str">
        <x:v>VS-MOV-002</x:v>
      </x:c>
      <x:c r="H18" s="26"/>
      <x:c r="I18" s="26" t="str">
        <x:v>TC-VS-MOV-002</x:v>
      </x:c>
      <x:c r="J18" s="26" t="str">
        <x:v>Not Run</x:v>
      </x:c>
      <x:c r="K18" s="26" t="str">
        <x:v>BLD-016-PRE</x:v>
      </x:c>
      <x:c r="L18" s="26"/>
      <x:c r="M18" s="26" t="str">
        <x:v>BASE-1.0</x:v>
      </x:c>
      <x:c r="N18" s="26" t="str">
        <x:v>Complete</x:v>
      </x:c>
      <x:c r="O18" s="26"/>
      <x:c r="P18" s="26" t="str">
        <x:v>VRM Games</x:v>
      </x:c>
      <x:c r="Q18" s="26"/>
    </x:row>
    <x:row r="19" ht="30" customHeight="1">
      <x:c r="A19" s="26" t="str">
        <x:v>VS-MOV-003</x:v>
      </x:c>
      <x:c r="B19" s="26" t="str">
        <x:v>MOV</x:v>
      </x:c>
      <x:c r="C19" s="26" t="str">
        <x:v>02_Vertical_Slice_Specification.md</x:v>
      </x:c>
      <x:c r="D19" s="26" t="str">
        <x:v>Un destino inaccesible no deja al jugador en estado indefinido.</x:v>
      </x:c>
      <x:c r="E19" s="26" t="str">
        <x:v>CHG-DOC-011</x:v>
      </x:c>
      <x:c r="F19" s="26"/>
      <x:c r="G19" s="26" t="str">
        <x:v>VS-MOV-003</x:v>
      </x:c>
      <x:c r="H19" s="26"/>
      <x:c r="I19" s="26" t="str">
        <x:v>TC-VS-MOV-003</x:v>
      </x:c>
      <x:c r="J19" s="26" t="str">
        <x:v>Not Run</x:v>
      </x:c>
      <x:c r="K19" s="26" t="str">
        <x:v>BLD-016-PRE</x:v>
      </x:c>
      <x:c r="L19" s="26"/>
      <x:c r="M19" s="26" t="str">
        <x:v>BASE-1.0</x:v>
      </x:c>
      <x:c r="N19" s="26" t="str">
        <x:v>Complete</x:v>
      </x:c>
      <x:c r="O19" s="26"/>
      <x:c r="P19" s="26" t="str">
        <x:v>VRM Games</x:v>
      </x:c>
      <x:c r="Q19" s="26"/>
    </x:row>
    <x:row r="20" ht="30" customHeight="1">
      <x:c r="A20" s="26" t="str">
        <x:v>VS-BLD-001</x:v>
      </x:c>
      <x:c r="B20" s="26" t="str">
        <x:v>BLD</x:v>
      </x:c>
      <x:c r="C20" s="26" t="str">
        <x:v>02_Vertical_Slice_Specification.md</x:v>
      </x:c>
      <x:c r="D20" s="26" t="str">
        <x:v>Preview coincide con posición, rotación y huella final.</x:v>
      </x:c>
      <x:c r="E20" s="26" t="str">
        <x:v>CHG-DOC-011</x:v>
      </x:c>
      <x:c r="F20" s="26" t="str">
        <x:v>ADR-0018</x:v>
      </x:c>
      <x:c r="G20" s="26" t="str">
        <x:v>VS-BLD-001</x:v>
      </x:c>
      <x:c r="H20" s="26"/>
      <x:c r="I20" s="26" t="str">
        <x:v>TC-VS-BLD-001</x:v>
      </x:c>
      <x:c r="J20" s="26" t="str">
        <x:v>Not Run</x:v>
      </x:c>
      <x:c r="K20" s="26" t="str">
        <x:v>BLD-016-PRE</x:v>
      </x:c>
      <x:c r="L20" s="26"/>
      <x:c r="M20" s="26" t="str">
        <x:v>BASE-1.0</x:v>
      </x:c>
      <x:c r="N20" s="26" t="str">
        <x:v>Complete</x:v>
      </x:c>
      <x:c r="O20" s="26"/>
      <x:c r="P20" s="26" t="str">
        <x:v>VRM Games</x:v>
      </x:c>
      <x:c r="Q20" s="26"/>
    </x:row>
    <x:row r="21" ht="30" customHeight="1">
      <x:c r="A21" s="26" t="str">
        <x:v>VS-BLD-002</x:v>
      </x:c>
      <x:c r="B21" s="26" t="str">
        <x:v>BLD</x:v>
      </x:c>
      <x:c r="C21" s="26" t="str">
        <x:v>02_Vertical_Slice_Specification.md</x:v>
      </x:c>
      <x:c r="D21" s="26" t="str">
        <x:v>No se confirma colocación fuera de límites o sobre celdas ocupadas.</x:v>
      </x:c>
      <x:c r="E21" s="26" t="str">
        <x:v>CHG-DOC-011</x:v>
      </x:c>
      <x:c r="F21" s="26" t="str">
        <x:v>ADR-0018</x:v>
      </x:c>
      <x:c r="G21" s="26" t="str">
        <x:v>VS-BLD-002</x:v>
      </x:c>
      <x:c r="H21" s="26"/>
      <x:c r="I21" s="26" t="str">
        <x:v>TC-VS-BLD-002</x:v>
      </x:c>
      <x:c r="J21" s="26" t="str">
        <x:v>Not Run</x:v>
      </x:c>
      <x:c r="K21" s="26" t="str">
        <x:v>BLD-016-PRE</x:v>
      </x:c>
      <x:c r="L21" s="26"/>
      <x:c r="M21" s="26" t="str">
        <x:v>BASE-1.0</x:v>
      </x:c>
      <x:c r="N21" s="26" t="str">
        <x:v>Complete</x:v>
      </x:c>
      <x:c r="O21" s="26"/>
      <x:c r="P21" s="26" t="str">
        <x:v>VRM Games</x:v>
      </x:c>
      <x:c r="Q21" s="26"/>
    </x:row>
    <x:row r="22" ht="30" customHeight="1">
      <x:c r="A22" s="26" t="str">
        <x:v>VS-BLD-003</x:v>
      </x:c>
      <x:c r="B22" s="26" t="str">
        <x:v>BLD</x:v>
      </x:c>
      <x:c r="C22" s="26" t="str">
        <x:v>02_Vertical_Slice_Specification.md</x:v>
      </x:c>
      <x:c r="D22" s="26" t="str">
        <x:v>No se bloquean entrada, salida o puntos obligatorios.</x:v>
      </x:c>
      <x:c r="E22" s="26" t="str">
        <x:v>CHG-DOC-011</x:v>
      </x:c>
      <x:c r="F22" s="26" t="str">
        <x:v>ADR-0018</x:v>
      </x:c>
      <x:c r="G22" s="26" t="str">
        <x:v>VS-BLD-003</x:v>
      </x:c>
      <x:c r="H22" s="26"/>
      <x:c r="I22" s="26" t="str">
        <x:v>TC-VS-BLD-003</x:v>
      </x:c>
      <x:c r="J22" s="26" t="str">
        <x:v>Not Run</x:v>
      </x:c>
      <x:c r="K22" s="26" t="str">
        <x:v>BLD-016-PRE</x:v>
      </x:c>
      <x:c r="L22" s="26"/>
      <x:c r="M22" s="26" t="str">
        <x:v>BASE-1.0</x:v>
      </x:c>
      <x:c r="N22" s="26" t="str">
        <x:v>Complete</x:v>
      </x:c>
      <x:c r="O22" s="26"/>
      <x:c r="P22" s="26" t="str">
        <x:v>VRM Games</x:v>
      </x:c>
      <x:c r="Q22" s="26"/>
    </x:row>
    <x:row r="23" ht="30" customHeight="1">
      <x:c r="A23" s="26" t="str">
        <x:v>VS-BLD-004</x:v>
      </x:c>
      <x:c r="B23" s="26" t="str">
        <x:v>BLD</x:v>
      </x:c>
      <x:c r="C23" s="26" t="str">
        <x:v>02_Vertical_Slice_Specification.md</x:v>
      </x:c>
      <x:c r="D23" s="26" t="str">
        <x:v>Fallo de validación no consume dinero ni altera ocupación.</x:v>
      </x:c>
      <x:c r="E23" s="26" t="str">
        <x:v>CHG-DOC-011</x:v>
      </x:c>
      <x:c r="F23" s="26" t="str">
        <x:v>ADR-0018</x:v>
      </x:c>
      <x:c r="G23" s="26" t="str">
        <x:v>VS-BLD-004</x:v>
      </x:c>
      <x:c r="H23" s="26"/>
      <x:c r="I23" s="26" t="str">
        <x:v>TC-VS-BLD-004</x:v>
      </x:c>
      <x:c r="J23" s="26" t="str">
        <x:v>Not Run</x:v>
      </x:c>
      <x:c r="K23" s="26" t="str">
        <x:v>BLD-016-PRE</x:v>
      </x:c>
      <x:c r="L23" s="26"/>
      <x:c r="M23" s="26" t="str">
        <x:v>BASE-1.0</x:v>
      </x:c>
      <x:c r="N23" s="26" t="str">
        <x:v>Complete</x:v>
      </x:c>
      <x:c r="O23" s="26"/>
      <x:c r="P23" s="26" t="str">
        <x:v>VRM Games</x:v>
      </x:c>
      <x:c r="Q23" s="26"/>
    </x:row>
    <x:row r="24" ht="30" customHeight="1">
      <x:c r="A24" s="26" t="str">
        <x:v>VS-BLD-005</x:v>
      </x:c>
      <x:c r="B24" s="26" t="str">
        <x:v>BLD</x:v>
      </x:c>
      <x:c r="C24" s="26" t="str">
        <x:v>02_Vertical_Slice_Specification.md</x:v>
      </x:c>
      <x:c r="D24" s="26" t="str">
        <x:v>Mover o retirar libera exactamente las celdas ocupadas.</x:v>
      </x:c>
      <x:c r="E24" s="26" t="str">
        <x:v>CHG-DOC-011</x:v>
      </x:c>
      <x:c r="F24" s="26" t="str">
        <x:v>ADR-0018</x:v>
      </x:c>
      <x:c r="G24" s="26" t="str">
        <x:v>VS-BLD-005</x:v>
      </x:c>
      <x:c r="H24" s="26"/>
      <x:c r="I24" s="26" t="str">
        <x:v>TC-VS-BLD-005</x:v>
      </x:c>
      <x:c r="J24" s="26" t="str">
        <x:v>Not Run</x:v>
      </x:c>
      <x:c r="K24" s="26" t="str">
        <x:v>BLD-016-PRE</x:v>
      </x:c>
      <x:c r="L24" s="26"/>
      <x:c r="M24" s="26" t="str">
        <x:v>BASE-1.0</x:v>
      </x:c>
      <x:c r="N24" s="26" t="str">
        <x:v>Complete</x:v>
      </x:c>
      <x:c r="O24" s="26"/>
      <x:c r="P24" s="26" t="str">
        <x:v>VRM Games</x:v>
      </x:c>
      <x:c r="Q24" s="26"/>
    </x:row>
    <x:row r="25" ht="30" customHeight="1">
      <x:c r="A25" s="26" t="str">
        <x:v>VS-BLD-006</x:v>
      </x:c>
      <x:c r="B25" s="26" t="str">
        <x:v>BLD</x:v>
      </x:c>
      <x:c r="C25" s="26" t="str">
        <x:v>02_Vertical_Slice_Specification.md</x:v>
      </x:c>
      <x:c r="D25" s="26" t="str">
        <x:v>Posición, rotación, tipo e ID persisten tras recarga.</x:v>
      </x:c>
      <x:c r="E25" s="26" t="str">
        <x:v>CHG-DOC-011</x:v>
      </x:c>
      <x:c r="F25" s="26" t="str">
        <x:v>ADR-0018</x:v>
      </x:c>
      <x:c r="G25" s="26" t="str">
        <x:v>VS-BLD-006</x:v>
      </x:c>
      <x:c r="H25" s="26"/>
      <x:c r="I25" s="26" t="str">
        <x:v>TC-VS-BLD-006</x:v>
      </x:c>
      <x:c r="J25" s="26" t="str">
        <x:v>Not Run</x:v>
      </x:c>
      <x:c r="K25" s="26" t="str">
        <x:v>BLD-016-PRE</x:v>
      </x:c>
      <x:c r="L25" s="26"/>
      <x:c r="M25" s="26" t="str">
        <x:v>BASE-1.0</x:v>
      </x:c>
      <x:c r="N25" s="26" t="str">
        <x:v>Complete</x:v>
      </x:c>
      <x:c r="O25" s="26"/>
      <x:c r="P25" s="26" t="str">
        <x:v>VRM Games</x:v>
      </x:c>
      <x:c r="Q25" s="26"/>
    </x:row>
    <x:row r="26" ht="30" customHeight="1">
      <x:c r="A26" s="26" t="str">
        <x:v>VS-INV-001</x:v>
      </x:c>
      <x:c r="B26" s="26" t="str">
        <x:v>INV</x:v>
      </x:c>
      <x:c r="C26" s="26" t="str">
        <x:v>02_Vertical_Slice_Specification.md</x:v>
      </x:c>
      <x:c r="D26" s="26" t="str">
        <x:v>La suma de ubicaciones coincide con el stock registrado.</x:v>
      </x:c>
      <x:c r="E26" s="26" t="str">
        <x:v>CHG-DOC-011</x:v>
      </x:c>
      <x:c r="F26" s="26" t="str">
        <x:v>ADR-0025</x:v>
      </x:c>
      <x:c r="G26" s="26" t="str">
        <x:v>VS-INV-001</x:v>
      </x:c>
      <x:c r="H26" s="26"/>
      <x:c r="I26" s="26" t="str">
        <x:v>TC-VS-INV-001</x:v>
      </x:c>
      <x:c r="J26" s="26" t="str">
        <x:v>Not Run</x:v>
      </x:c>
      <x:c r="K26" s="26" t="str">
        <x:v>BLD-016-PRE</x:v>
      </x:c>
      <x:c r="L26" s="26"/>
      <x:c r="M26" s="26" t="str">
        <x:v>BASE-1.0</x:v>
      </x:c>
      <x:c r="N26" s="26" t="str">
        <x:v>Complete</x:v>
      </x:c>
      <x:c r="O26" s="26"/>
      <x:c r="P26" s="26" t="str">
        <x:v>VRM Games</x:v>
      </x:c>
      <x:c r="Q26" s="26"/>
    </x:row>
    <x:row r="27" ht="30" customHeight="1">
      <x:c r="A27" s="26" t="str">
        <x:v>VS-INV-002</x:v>
      </x:c>
      <x:c r="B27" s="26" t="str">
        <x:v>INV</x:v>
      </x:c>
      <x:c r="C27" s="26" t="str">
        <x:v>02_Vertical_Slice_Specification.md</x:v>
      </x:c>
      <x:c r="D27" s="26" t="str">
        <x:v>Una unidad solo ocupa una ubicación lógica.</x:v>
      </x:c>
      <x:c r="E27" s="26" t="str">
        <x:v>CHG-DOC-011</x:v>
      </x:c>
      <x:c r="F27" s="26" t="str">
        <x:v>ADR-0025</x:v>
      </x:c>
      <x:c r="G27" s="26" t="str">
        <x:v>VS-INV-002</x:v>
      </x:c>
      <x:c r="H27" s="26"/>
      <x:c r="I27" s="26" t="str">
        <x:v>TC-VS-INV-002</x:v>
      </x:c>
      <x:c r="J27" s="26" t="str">
        <x:v>Not Run</x:v>
      </x:c>
      <x:c r="K27" s="26" t="str">
        <x:v>BLD-016-PRE</x:v>
      </x:c>
      <x:c r="L27" s="26"/>
      <x:c r="M27" s="26" t="str">
        <x:v>BASE-1.0</x:v>
      </x:c>
      <x:c r="N27" s="26" t="str">
        <x:v>Complete</x:v>
      </x:c>
      <x:c r="O27" s="26"/>
      <x:c r="P27" s="26" t="str">
        <x:v>VRM Games</x:v>
      </x:c>
      <x:c r="Q27" s="26"/>
    </x:row>
    <x:row r="28" ht="30" customHeight="1">
      <x:c r="A28" s="26" t="str">
        <x:v>VS-INV-003</x:v>
      </x:c>
      <x:c r="B28" s="26" t="str">
        <x:v>INV</x:v>
      </x:c>
      <x:c r="C28" s="26" t="str">
        <x:v>02_Vertical_Slice_Specification.md</x:v>
      </x:c>
      <x:c r="D28" s="26" t="str">
        <x:v>Transferencia inválida no modifica origen ni destino.</x:v>
      </x:c>
      <x:c r="E28" s="26" t="str">
        <x:v>CHG-DOC-011</x:v>
      </x:c>
      <x:c r="F28" s="26" t="str">
        <x:v>ADR-0025</x:v>
      </x:c>
      <x:c r="G28" s="26" t="str">
        <x:v>VS-INV-003</x:v>
      </x:c>
      <x:c r="H28" s="26"/>
      <x:c r="I28" s="26" t="str">
        <x:v>TC-VS-INV-003</x:v>
      </x:c>
      <x:c r="J28" s="26" t="str">
        <x:v>Not Run</x:v>
      </x:c>
      <x:c r="K28" s="26" t="str">
        <x:v>BLD-016-PRE</x:v>
      </x:c>
      <x:c r="L28" s="26"/>
      <x:c r="M28" s="26" t="str">
        <x:v>BASE-1.0</x:v>
      </x:c>
      <x:c r="N28" s="26" t="str">
        <x:v>Complete</x:v>
      </x:c>
      <x:c r="O28" s="26"/>
      <x:c r="P28" s="26" t="str">
        <x:v>VRM Games</x:v>
      </x:c>
      <x:c r="Q28" s="26"/>
    </x:row>
    <x:row r="29" ht="30" customHeight="1">
      <x:c r="A29" s="26" t="str">
        <x:v>VS-INV-004</x:v>
      </x:c>
      <x:c r="B29" s="26" t="str">
        <x:v>INV</x:v>
      </x:c>
      <x:c r="C29" s="26" t="str">
        <x:v>02_Vertical_Slice_Specification.md</x:v>
      </x:c>
      <x:c r="D29" s="26" t="str">
        <x:v>Transferencia válida conserva cantidad total.</x:v>
      </x:c>
      <x:c r="E29" s="26" t="str">
        <x:v>CHG-INV-001</x:v>
      </x:c>
      <x:c r="F29" s="26" t="str">
        <x:v>ADR-0025</x:v>
      </x:c>
      <x:c r="G29" s="26" t="str">
        <x:v>VS-INV-004</x:v>
      </x:c>
      <x:c r="H29" s="26"/>
      <x:c r="I29" s="26" t="str">
        <x:v>TC-VS-INV-004</x:v>
      </x:c>
      <x:c r="J29" s="26" t="str">
        <x:v>Not Run</x:v>
      </x:c>
      <x:c r="K29" s="26" t="str">
        <x:v>BLD-016-PRE</x:v>
      </x:c>
      <x:c r="L29" s="26"/>
      <x:c r="M29" s="26" t="str">
        <x:v>BASE-1.0</x:v>
      </x:c>
      <x:c r="N29" s="26" t="str">
        <x:v>Complete</x:v>
      </x:c>
      <x:c r="O29" s="26"/>
      <x:c r="P29" s="26" t="str">
        <x:v>VRM Games</x:v>
      </x:c>
      <x:c r="Q29" s="26"/>
    </x:row>
    <x:row r="30" ht="30" customHeight="1">
      <x:c r="A30" s="26" t="str">
        <x:v>VS-INV-005</x:v>
      </x:c>
      <x:c r="B30" s="26" t="str">
        <x:v>INV</x:v>
      </x:c>
      <x:c r="C30" s="26" t="str">
        <x:v>02_Vertical_Slice_Specification.md</x:v>
      </x:c>
      <x:c r="D30" s="26" t="str">
        <x:v>No existen pérdidas o duplicaciones tras siete días.</x:v>
      </x:c>
      <x:c r="E30" s="26" t="str">
        <x:v>CHG-DOC-011</x:v>
      </x:c>
      <x:c r="F30" s="26" t="str">
        <x:v>ADR-0025</x:v>
      </x:c>
      <x:c r="G30" s="26" t="str">
        <x:v>VS-INV-005</x:v>
      </x:c>
      <x:c r="H30" s="26"/>
      <x:c r="I30" s="26" t="str">
        <x:v>TC-VS-INV-005</x:v>
      </x:c>
      <x:c r="J30" s="26" t="str">
        <x:v>Not Run</x:v>
      </x:c>
      <x:c r="K30" s="26" t="str">
        <x:v>BLD-016-PRE</x:v>
      </x:c>
      <x:c r="L30" s="26"/>
      <x:c r="M30" s="26" t="str">
        <x:v>BASE-1.0</x:v>
      </x:c>
      <x:c r="N30" s="26" t="str">
        <x:v>Complete</x:v>
      </x:c>
      <x:c r="O30" s="26"/>
      <x:c r="P30" s="26" t="str">
        <x:v>VRM Games</x:v>
      </x:c>
      <x:c r="Q30" s="26"/>
    </x:row>
    <x:row r="31" ht="30" customHeight="1">
      <x:c r="A31" s="26" t="str">
        <x:v>VS-ORD-001</x:v>
      </x:c>
      <x:c r="B31" s="26" t="str">
        <x:v>ORD</x:v>
      </x:c>
      <x:c r="C31" s="26" t="str">
        <x:v>02_Vertical_Slice_Specification.md</x:v>
      </x:c>
      <x:c r="D31" s="26" t="str">
        <x:v>Pedido inválido se rechaza sin coste.</x:v>
      </x:c>
      <x:c r="E31" s="26" t="str">
        <x:v>CHG-DOC-011</x:v>
      </x:c>
      <x:c r="F31" s="26" t="str">
        <x:v>ADR-0029</x:v>
      </x:c>
      <x:c r="G31" s="26" t="str">
        <x:v>VS-ORD-001</x:v>
      </x:c>
      <x:c r="H31" s="26"/>
      <x:c r="I31" s="26" t="str">
        <x:v>TC-VS-ORD-001</x:v>
      </x:c>
      <x:c r="J31" s="26" t="str">
        <x:v>Not Run</x:v>
      </x:c>
      <x:c r="K31" s="26" t="str">
        <x:v>BLD-016-PRE</x:v>
      </x:c>
      <x:c r="L31" s="26"/>
      <x:c r="M31" s="26" t="str">
        <x:v>BASE-1.0</x:v>
      </x:c>
      <x:c r="N31" s="26" t="str">
        <x:v>Complete</x:v>
      </x:c>
      <x:c r="O31" s="26"/>
      <x:c r="P31" s="26" t="str">
        <x:v>VRM Games</x:v>
      </x:c>
      <x:c r="Q31" s="26"/>
    </x:row>
    <x:row r="32" ht="30" customHeight="1">
      <x:c r="A32" s="26" t="str">
        <x:v>VS-ORD-002</x:v>
      </x:c>
      <x:c r="B32" s="26" t="str">
        <x:v>ORD</x:v>
      </x:c>
      <x:c r="C32" s="26" t="str">
        <x:v>02_Vertical_Slice_Specification.md</x:v>
      </x:c>
      <x:c r="D32" s="26" t="str">
        <x:v>Pedido válido registra proveedor, producto, cantidad, coste e ID.</x:v>
      </x:c>
      <x:c r="E32" s="26" t="str">
        <x:v>CHG-DOC-011</x:v>
      </x:c>
      <x:c r="F32" s="26" t="str">
        <x:v>ADR-0029</x:v>
      </x:c>
      <x:c r="G32" s="26" t="str">
        <x:v>VS-ORD-002</x:v>
      </x:c>
      <x:c r="H32" s="26"/>
      <x:c r="I32" s="26" t="str">
        <x:v>TC-VS-ORD-002</x:v>
      </x:c>
      <x:c r="J32" s="26" t="str">
        <x:v>Not Run</x:v>
      </x:c>
      <x:c r="K32" s="26" t="str">
        <x:v>BLD-016-PRE</x:v>
      </x:c>
      <x:c r="L32" s="26"/>
      <x:c r="M32" s="26" t="str">
        <x:v>BASE-1.0</x:v>
      </x:c>
      <x:c r="N32" s="26" t="str">
        <x:v>Complete</x:v>
      </x:c>
      <x:c r="O32" s="26"/>
      <x:c r="P32" s="26" t="str">
        <x:v>VRM Games</x:v>
      </x:c>
      <x:c r="Q32" s="26"/>
    </x:row>
    <x:row r="33" ht="30" customHeight="1">
      <x:c r="A33" s="26" t="str">
        <x:v>VS-ORD-003</x:v>
      </x:c>
      <x:c r="B33" s="26" t="str">
        <x:v>ORD</x:v>
      </x:c>
      <x:c r="C33" s="26" t="str">
        <x:v>02_Vertical_Slice_Specification.md</x:v>
      </x:c>
      <x:c r="D33" s="26" t="str">
        <x:v>Cada pedido se entrega una sola vez.</x:v>
      </x:c>
      <x:c r="E33" s="26" t="str">
        <x:v>CHG-DOC-011</x:v>
      </x:c>
      <x:c r="F33" s="26" t="str">
        <x:v>ADR-0029</x:v>
      </x:c>
      <x:c r="G33" s="26" t="str">
        <x:v>VS-ORD-003</x:v>
      </x:c>
      <x:c r="H33" s="26"/>
      <x:c r="I33" s="26" t="str">
        <x:v>TC-VS-ORD-003</x:v>
      </x:c>
      <x:c r="J33" s="26" t="str">
        <x:v>Not Run</x:v>
      </x:c>
      <x:c r="K33" s="26" t="str">
        <x:v>BLD-016-PRE</x:v>
      </x:c>
      <x:c r="L33" s="26"/>
      <x:c r="M33" s="26" t="str">
        <x:v>BASE-1.0</x:v>
      </x:c>
      <x:c r="N33" s="26" t="str">
        <x:v>Complete</x:v>
      </x:c>
      <x:c r="O33" s="26"/>
      <x:c r="P33" s="26" t="str">
        <x:v>VRM Games</x:v>
      </x:c>
      <x:c r="Q33" s="26"/>
    </x:row>
    <x:row r="34" ht="30" customHeight="1">
      <x:c r="A34" s="26" t="str">
        <x:v>VS-ORD-004</x:v>
      </x:c>
      <x:c r="B34" s="26" t="str">
        <x:v>ORD</x:v>
      </x:c>
      <x:c r="C34" s="26" t="str">
        <x:v>02_Vertical_Slice_Specification.md</x:v>
      </x:c>
      <x:c r="D34" s="26" t="str">
        <x:v>La entrega contiene exactamente las cantidades confirmadas.</x:v>
      </x:c>
      <x:c r="E34" s="26" t="str">
        <x:v>CHG-DOC-011</x:v>
      </x:c>
      <x:c r="F34" s="26" t="str">
        <x:v>ADR-0029</x:v>
      </x:c>
      <x:c r="G34" s="26" t="str">
        <x:v>VS-ORD-004</x:v>
      </x:c>
      <x:c r="H34" s="26"/>
      <x:c r="I34" s="26" t="str">
        <x:v>TC-VS-ORD-004</x:v>
      </x:c>
      <x:c r="J34" s="26" t="str">
        <x:v>Not Run</x:v>
      </x:c>
      <x:c r="K34" s="26" t="str">
        <x:v>BLD-016-PRE</x:v>
      </x:c>
      <x:c r="L34" s="26"/>
      <x:c r="M34" s="26" t="str">
        <x:v>BASE-1.0</x:v>
      </x:c>
      <x:c r="N34" s="26" t="str">
        <x:v>Complete</x:v>
      </x:c>
      <x:c r="O34" s="26"/>
      <x:c r="P34" s="26" t="str">
        <x:v>VRM Games</x:v>
      </x:c>
      <x:c r="Q34" s="26"/>
    </x:row>
    <x:row r="35" ht="30" customHeight="1">
      <x:c r="A35" s="26" t="str">
        <x:v>VS-ORD-005</x:v>
      </x:c>
      <x:c r="B35" s="26" t="str">
        <x:v>ORD</x:v>
      </x:c>
      <x:c r="C35" s="26" t="str">
        <x:v>02_Vertical_Slice_Specification.md</x:v>
      </x:c>
      <x:c r="D35" s="26" t="str">
        <x:v>Pedido pendiente persiste y reanuda correctamente.</x:v>
      </x:c>
      <x:c r="E35" s="26" t="str">
        <x:v>CHG-DOC-011</x:v>
      </x:c>
      <x:c r="F35" s="26" t="str">
        <x:v>ADR-0029</x:v>
      </x:c>
      <x:c r="G35" s="26" t="str">
        <x:v>VS-ORD-005</x:v>
      </x:c>
      <x:c r="H35" s="26"/>
      <x:c r="I35" s="26" t="str">
        <x:v>TC-VS-ORD-005</x:v>
      </x:c>
      <x:c r="J35" s="26" t="str">
        <x:v>Not Run</x:v>
      </x:c>
      <x:c r="K35" s="26" t="str">
        <x:v>BLD-016-PRE</x:v>
      </x:c>
      <x:c r="L35" s="26"/>
      <x:c r="M35" s="26" t="str">
        <x:v>BASE-1.0</x:v>
      </x:c>
      <x:c r="N35" s="26" t="str">
        <x:v>Complete</x:v>
      </x:c>
      <x:c r="O35" s="26"/>
      <x:c r="P35" s="26" t="str">
        <x:v>VRM Games</x:v>
      </x:c>
      <x:c r="Q35" s="26"/>
    </x:row>
    <x:row r="36" ht="30" customHeight="1">
      <x:c r="A36" s="26" t="str">
        <x:v>VS-DSP-001</x:v>
      </x:c>
      <x:c r="B36" s="26" t="str">
        <x:v>DSP</x:v>
      </x:c>
      <x:c r="C36" s="26" t="str">
        <x:v>02_Vertical_Slice_Specification.md</x:v>
      </x:c>
      <x:c r="D36" s="26" t="str">
        <x:v>Asignación incompatible se rechaza con feedback.</x:v>
      </x:c>
      <x:c r="E36" s="26" t="str">
        <x:v>CHG-DOC-011</x:v>
      </x:c>
      <x:c r="F36" s="26" t="str">
        <x:v>ADR-0032</x:v>
      </x:c>
      <x:c r="G36" s="26" t="str">
        <x:v>VS-DSP-001</x:v>
      </x:c>
      <x:c r="H36" s="26"/>
      <x:c r="I36" s="26" t="str">
        <x:v>TC-VS-DSP-001</x:v>
      </x:c>
      <x:c r="J36" s="26" t="str">
        <x:v>Not Run</x:v>
      </x:c>
      <x:c r="K36" s="26" t="str">
        <x:v>BLD-016-PRE</x:v>
      </x:c>
      <x:c r="L36" s="26"/>
      <x:c r="M36" s="26" t="str">
        <x:v>BASE-1.0</x:v>
      </x:c>
      <x:c r="N36" s="26" t="str">
        <x:v>Complete</x:v>
      </x:c>
      <x:c r="O36" s="26"/>
      <x:c r="P36" s="26" t="str">
        <x:v>VRM Games</x:v>
      </x:c>
      <x:c r="Q36" s="26"/>
    </x:row>
    <x:row r="37" ht="30" customHeight="1">
      <x:c r="A37" s="26" t="str">
        <x:v>VS-DSP-002</x:v>
      </x:c>
      <x:c r="B37" s="26" t="str">
        <x:v>DSP</x:v>
      </x:c>
      <x:c r="C37" s="26" t="str">
        <x:v>02_Vertical_Slice_Specification.md</x:v>
      </x:c>
      <x:c r="D37" s="26" t="str">
        <x:v>Capacidad impide sobrellenado.</x:v>
      </x:c>
      <x:c r="E37" s="26" t="str">
        <x:v>CHG-DOC-011</x:v>
      </x:c>
      <x:c r="F37" s="26" t="str">
        <x:v>ADR-0032</x:v>
      </x:c>
      <x:c r="G37" s="26" t="str">
        <x:v>VS-DSP-002</x:v>
      </x:c>
      <x:c r="H37" s="26"/>
      <x:c r="I37" s="26" t="str">
        <x:v>TC-VS-DSP-002</x:v>
      </x:c>
      <x:c r="J37" s="26" t="str">
        <x:v>Not Run</x:v>
      </x:c>
      <x:c r="K37" s="26" t="str">
        <x:v>BLD-016-PRE</x:v>
      </x:c>
      <x:c r="L37" s="26"/>
      <x:c r="M37" s="26" t="str">
        <x:v>BASE-1.0</x:v>
      </x:c>
      <x:c r="N37" s="26" t="str">
        <x:v>Complete</x:v>
      </x:c>
      <x:c r="O37" s="26"/>
      <x:c r="P37" s="26" t="str">
        <x:v>VRM Games</x:v>
      </x:c>
      <x:c r="Q37" s="26"/>
    </x:row>
    <x:row r="38" ht="30" customHeight="1">
      <x:c r="A38" s="26" t="str">
        <x:v>VS-DSP-003</x:v>
      </x:c>
      <x:c r="B38" s="26" t="str">
        <x:v>DSP</x:v>
      </x:c>
      <x:c r="C38" s="26" t="str">
        <x:v>02_Vertical_Slice_Specification.md</x:v>
      </x:c>
      <x:c r="D38" s="26" t="str">
        <x:v>Reposición consume origen y aumenta destino de forma atómica.</x:v>
      </x:c>
      <x:c r="E38" s="26" t="str">
        <x:v>CHG-DOC-011</x:v>
      </x:c>
      <x:c r="F38" s="26" t="str">
        <x:v>ADR-0032</x:v>
      </x:c>
      <x:c r="G38" s="26" t="str">
        <x:v>VS-DSP-003</x:v>
      </x:c>
      <x:c r="H38" s="26"/>
      <x:c r="I38" s="26" t="str">
        <x:v>TC-VS-DSP-003</x:v>
      </x:c>
      <x:c r="J38" s="26" t="str">
        <x:v>Not Run</x:v>
      </x:c>
      <x:c r="K38" s="26" t="str">
        <x:v>BLD-016-PRE</x:v>
      </x:c>
      <x:c r="L38" s="26"/>
      <x:c r="M38" s="26" t="str">
        <x:v>BASE-1.0</x:v>
      </x:c>
      <x:c r="N38" s="26" t="str">
        <x:v>Complete</x:v>
      </x:c>
      <x:c r="O38" s="26"/>
      <x:c r="P38" s="26" t="str">
        <x:v>VRM Games</x:v>
      </x:c>
      <x:c r="Q38" s="26"/>
    </x:row>
    <x:row r="39" ht="30" customHeight="1">
      <x:c r="A39" s="26" t="str">
        <x:v>VS-DSP-004</x:v>
      </x:c>
      <x:c r="B39" s="26" t="str">
        <x:v>DSP</x:v>
      </x:c>
      <x:c r="C39" s="26" t="str">
        <x:v>02_Vertical_Slice_Specification.md</x:v>
      </x:c>
      <x:c r="D39" s="26" t="str">
        <x:v>Visual de producto coincide con asignación y cantidad representada.</x:v>
      </x:c>
      <x:c r="E39" s="26" t="str">
        <x:v>CHG-DOC-011</x:v>
      </x:c>
      <x:c r="F39" s="26" t="str">
        <x:v>ADR-0032</x:v>
      </x:c>
      <x:c r="G39" s="26" t="str">
        <x:v>VS-DSP-004</x:v>
      </x:c>
      <x:c r="H39" s="26"/>
      <x:c r="I39" s="26" t="str">
        <x:v>TC-VS-DSP-004</x:v>
      </x:c>
      <x:c r="J39" s="26" t="str">
        <x:v>Not Run</x:v>
      </x:c>
      <x:c r="K39" s="26" t="str">
        <x:v>BLD-016-PRE</x:v>
      </x:c>
      <x:c r="L39" s="26"/>
      <x:c r="M39" s="26" t="str">
        <x:v>BASE-1.0</x:v>
      </x:c>
      <x:c r="N39" s="26" t="str">
        <x:v>Complete</x:v>
      </x:c>
      <x:c r="O39" s="26"/>
      <x:c r="P39" s="26" t="str">
        <x:v>VRM Games</x:v>
      </x:c>
      <x:c r="Q39" s="26"/>
    </x:row>
    <x:row r="40" ht="30" customHeight="1">
      <x:c r="A40" s="26" t="str">
        <x:v>VS-DSP-005</x:v>
      </x:c>
      <x:c r="B40" s="26" t="str">
        <x:v>DSP</x:v>
      </x:c>
      <x:c r="C40" s="26" t="str">
        <x:v>02_Vertical_Slice_Specification.md</x:v>
      </x:c>
      <x:c r="D40" s="26" t="str">
        <x:v>Asignación y stock visible persisten.</x:v>
      </x:c>
      <x:c r="E40" s="26" t="str">
        <x:v>CHG-DOC-011</x:v>
      </x:c>
      <x:c r="F40" s="26" t="str">
        <x:v>ADR-0032</x:v>
      </x:c>
      <x:c r="G40" s="26" t="str">
        <x:v>VS-DSP-005</x:v>
      </x:c>
      <x:c r="H40" s="26"/>
      <x:c r="I40" s="26" t="str">
        <x:v>TC-VS-DSP-005</x:v>
      </x:c>
      <x:c r="J40" s="26" t="str">
        <x:v>Not Run</x:v>
      </x:c>
      <x:c r="K40" s="26" t="str">
        <x:v>BLD-016-PRE</x:v>
      </x:c>
      <x:c r="L40" s="26"/>
      <x:c r="M40" s="26" t="str">
        <x:v>BASE-1.0</x:v>
      </x:c>
      <x:c r="N40" s="26" t="str">
        <x:v>Complete</x:v>
      </x:c>
      <x:c r="O40" s="26"/>
      <x:c r="P40" s="26" t="str">
        <x:v>VRM Games</x:v>
      </x:c>
      <x:c r="Q40" s="26"/>
    </x:row>
    <x:row r="41" ht="30" customHeight="1">
      <x:c r="A41" s="26" t="str">
        <x:v>VS-PRC-001</x:v>
      </x:c>
      <x:c r="B41" s="26" t="str">
        <x:v>PRC</x:v>
      </x:c>
      <x:c r="C41" s="26" t="str">
        <x:v>02_Vertical_Slice_Specification.md</x:v>
      </x:c>
      <x:c r="D41" s="26" t="str">
        <x:v>Precio inválido se rechaza.</x:v>
      </x:c>
      <x:c r="E41" s="26" t="str">
        <x:v>CHG-DOC-011</x:v>
      </x:c>
      <x:c r="F41" s="26"/>
      <x:c r="G41" s="26" t="str">
        <x:v>VS-PRC-001</x:v>
      </x:c>
      <x:c r="H41" s="26"/>
      <x:c r="I41" s="26" t="str">
        <x:v>TC-VS-PRC-001</x:v>
      </x:c>
      <x:c r="J41" s="26" t="str">
        <x:v>Not Run</x:v>
      </x:c>
      <x:c r="K41" s="26" t="str">
        <x:v>BLD-016-PRE</x:v>
      </x:c>
      <x:c r="L41" s="26"/>
      <x:c r="M41" s="26" t="str">
        <x:v>BASE-1.0</x:v>
      </x:c>
      <x:c r="N41" s="26" t="str">
        <x:v>Complete</x:v>
      </x:c>
      <x:c r="O41" s="26"/>
      <x:c r="P41" s="26" t="str">
        <x:v>VRM Games</x:v>
      </x:c>
      <x:c r="Q41" s="26"/>
    </x:row>
    <x:row r="42" ht="30" customHeight="1">
      <x:c r="A42" s="26" t="str">
        <x:v>VS-PRC-002</x:v>
      </x:c>
      <x:c r="B42" s="26" t="str">
        <x:v>PRC</x:v>
      </x:c>
      <x:c r="C42" s="26" t="str">
        <x:v>02_Vertical_Slice_Specification.md</x:v>
      </x:c>
      <x:c r="D42" s="26" t="str">
        <x:v>Precio confirmado persiste y se utiliza en la venta.</x:v>
      </x:c>
      <x:c r="E42" s="26" t="str">
        <x:v>CHG-DOC-011</x:v>
      </x:c>
      <x:c r="F42" s="26"/>
      <x:c r="G42" s="26" t="str">
        <x:v>VS-PRC-002</x:v>
      </x:c>
      <x:c r="H42" s="26"/>
      <x:c r="I42" s="26" t="str">
        <x:v>TC-VS-PRC-002</x:v>
      </x:c>
      <x:c r="J42" s="26" t="str">
        <x:v>Not Run</x:v>
      </x:c>
      <x:c r="K42" s="26" t="str">
        <x:v>BLD-016-PRE</x:v>
      </x:c>
      <x:c r="L42" s="26"/>
      <x:c r="M42" s="26" t="str">
        <x:v>BASE-1.0</x:v>
      </x:c>
      <x:c r="N42" s="26" t="str">
        <x:v>Complete</x:v>
      </x:c>
      <x:c r="O42" s="26"/>
      <x:c r="P42" s="26" t="str">
        <x:v>VRM Games</x:v>
      </x:c>
      <x:c r="Q42" s="26"/>
    </x:row>
    <x:row r="43" ht="30" customHeight="1">
      <x:c r="A43" s="26" t="str">
        <x:v>VS-PRC-003</x:v>
      </x:c>
      <x:c r="B43" s="26" t="str">
        <x:v>PRC</x:v>
      </x:c>
      <x:c r="C43" s="26" t="str">
        <x:v>02_Vertical_Slice_Specification.md</x:v>
      </x:c>
      <x:c r="D43" s="26" t="str">
        <x:v>Cambiar precio afecta interés según regla determinista/configurada.</x:v>
      </x:c>
      <x:c r="E43" s="26" t="str">
        <x:v>CHG-DOC-011</x:v>
      </x:c>
      <x:c r="F43" s="26"/>
      <x:c r="G43" s="26" t="str">
        <x:v>VS-PRC-003</x:v>
      </x:c>
      <x:c r="H43" s="26"/>
      <x:c r="I43" s="26" t="str">
        <x:v>TC-VS-PRC-003</x:v>
      </x:c>
      <x:c r="J43" s="26" t="str">
        <x:v>Not Run</x:v>
      </x:c>
      <x:c r="K43" s="26" t="str">
        <x:v>BLD-016-PRE</x:v>
      </x:c>
      <x:c r="L43" s="26"/>
      <x:c r="M43" s="26" t="str">
        <x:v>BASE-1.0</x:v>
      </x:c>
      <x:c r="N43" s="26" t="str">
        <x:v>Complete</x:v>
      </x:c>
      <x:c r="O43" s="26"/>
      <x:c r="P43" s="26" t="str">
        <x:v>VRM Games</x:v>
      </x:c>
      <x:c r="Q43" s="26"/>
    </x:row>
    <x:row r="44" ht="30" customHeight="1">
      <x:c r="A44" s="26" t="str">
        <x:v>VS-CUS-001</x:v>
      </x:c>
      <x:c r="B44" s="26" t="str">
        <x:v>CUS</x:v>
      </x:c>
      <x:c r="C44" s="26" t="str">
        <x:v>02_Vertical_Slice_Specification.md</x:v>
      </x:c>
      <x:c r="D44" s="26" t="str">
        <x:v>Clientes solo aparecen durante estados permitidos.</x:v>
      </x:c>
      <x:c r="E44" s="26" t="str">
        <x:v>CHG-DOC-011</x:v>
      </x:c>
      <x:c r="F44" s="26" t="str">
        <x:v>ADR-0035</x:v>
      </x:c>
      <x:c r="G44" s="26" t="str">
        <x:v>VS-CUS-001</x:v>
      </x:c>
      <x:c r="H44" s="26"/>
      <x:c r="I44" s="26" t="str">
        <x:v>TC-VS-CUS-001</x:v>
      </x:c>
      <x:c r="J44" s="26" t="str">
        <x:v>Not Run</x:v>
      </x:c>
      <x:c r="K44" s="26" t="str">
        <x:v>BLD-016-PRE</x:v>
      </x:c>
      <x:c r="L44" s="26"/>
      <x:c r="M44" s="26" t="str">
        <x:v>BASE-1.0</x:v>
      </x:c>
      <x:c r="N44" s="26" t="str">
        <x:v>Complete</x:v>
      </x:c>
      <x:c r="O44" s="26"/>
      <x:c r="P44" s="26" t="str">
        <x:v>VRM Games</x:v>
      </x:c>
      <x:c r="Q44" s="26"/>
    </x:row>
    <x:row r="45" ht="30" customHeight="1">
      <x:c r="A45" s="26" t="str">
        <x:v>VS-CUS-002</x:v>
      </x:c>
      <x:c r="B45" s="26" t="str">
        <x:v>CUS</x:v>
      </x:c>
      <x:c r="C45" s="26" t="str">
        <x:v>02_Vertical_Slice_Specification.md</x:v>
      </x:c>
      <x:c r="D45" s="26" t="str">
        <x:v>Cliente selecciona objetivo compatible o abandona con causa.</x:v>
      </x:c>
      <x:c r="E45" s="26" t="str">
        <x:v>CHG-DOC-011</x:v>
      </x:c>
      <x:c r="F45" s="26" t="str">
        <x:v>ADR-0035</x:v>
      </x:c>
      <x:c r="G45" s="26" t="str">
        <x:v>VS-CUS-002</x:v>
      </x:c>
      <x:c r="H45" s="26"/>
      <x:c r="I45" s="26" t="str">
        <x:v>TC-VS-CUS-002</x:v>
      </x:c>
      <x:c r="J45" s="26" t="str">
        <x:v>Not Run</x:v>
      </x:c>
      <x:c r="K45" s="26" t="str">
        <x:v>BLD-016-PRE</x:v>
      </x:c>
      <x:c r="L45" s="26"/>
      <x:c r="M45" s="26" t="str">
        <x:v>BASE-1.0</x:v>
      </x:c>
      <x:c r="N45" s="26" t="str">
        <x:v>Complete</x:v>
      </x:c>
      <x:c r="O45" s="26"/>
      <x:c r="P45" s="26" t="str">
        <x:v>VRM Games</x:v>
      </x:c>
      <x:c r="Q45" s="26"/>
    </x:row>
    <x:row r="46" ht="30" customHeight="1">
      <x:c r="A46" s="26" t="str">
        <x:v>VS-CUS-003</x:v>
      </x:c>
      <x:c r="B46" s="26" t="str">
        <x:v>CUS</x:v>
      </x:c>
      <x:c r="C46" s="26" t="str">
        <x:v>02_Vertical_Slice_Specification.md</x:v>
      </x:c>
      <x:c r="D46" s="26" t="str">
        <x:v>Cliente navega sin atravesar obstáculos ni quedar bloqueado indefinidamente.</x:v>
      </x:c>
      <x:c r="E46" s="26" t="str">
        <x:v>CHG-DOC-011</x:v>
      </x:c>
      <x:c r="F46" s="26" t="str">
        <x:v>ADR-0035</x:v>
      </x:c>
      <x:c r="G46" s="26" t="str">
        <x:v>VS-CUS-003</x:v>
      </x:c>
      <x:c r="H46" s="26"/>
      <x:c r="I46" s="26" t="str">
        <x:v>TC-VS-CUS-003</x:v>
      </x:c>
      <x:c r="J46" s="26" t="str">
        <x:v>Not Run</x:v>
      </x:c>
      <x:c r="K46" s="26" t="str">
        <x:v>BLD-016-PRE</x:v>
      </x:c>
      <x:c r="L46" s="26"/>
      <x:c r="M46" s="26" t="str">
        <x:v>BASE-1.0</x:v>
      </x:c>
      <x:c r="N46" s="26" t="str">
        <x:v>Complete</x:v>
      </x:c>
      <x:c r="O46" s="26"/>
      <x:c r="P46" s="26" t="str">
        <x:v>VRM Games</x:v>
      </x:c>
      <x:c r="Q46" s="26"/>
    </x:row>
    <x:row r="47" ht="30" customHeight="1">
      <x:c r="A47" s="26" t="str">
        <x:v>VS-CUS-004</x:v>
      </x:c>
      <x:c r="B47" s="26" t="str">
        <x:v>CUS</x:v>
      </x:c>
      <x:c r="C47" s="26" t="str">
        <x:v>02_Vertical_Slice_Specification.md</x:v>
      </x:c>
      <x:c r="D47" s="26" t="str">
        <x:v>Falta de stock, precio o espera producen reacción legible.</x:v>
      </x:c>
      <x:c r="E47" s="26" t="str">
        <x:v>CHG-DOC-011</x:v>
      </x:c>
      <x:c r="F47" s="26" t="str">
        <x:v>ADR-0035</x:v>
      </x:c>
      <x:c r="G47" s="26" t="str">
        <x:v>VS-CUS-004</x:v>
      </x:c>
      <x:c r="H47" s="26"/>
      <x:c r="I47" s="26" t="str">
        <x:v>TC-VS-CUS-004</x:v>
      </x:c>
      <x:c r="J47" s="26" t="str">
        <x:v>Not Run</x:v>
      </x:c>
      <x:c r="K47" s="26" t="str">
        <x:v>BLD-016-PRE</x:v>
      </x:c>
      <x:c r="L47" s="26"/>
      <x:c r="M47" s="26" t="str">
        <x:v>BASE-1.0</x:v>
      </x:c>
      <x:c r="N47" s="26" t="str">
        <x:v>Complete</x:v>
      </x:c>
      <x:c r="O47" s="26"/>
      <x:c r="P47" s="26" t="str">
        <x:v>VRM Games</x:v>
      </x:c>
      <x:c r="Q47" s="26"/>
    </x:row>
    <x:row r="48" ht="30" customHeight="1">
      <x:c r="A48" s="26" t="str">
        <x:v>VS-RES-001</x:v>
      </x:c>
      <x:c r="B48" s="26" t="str">
        <x:v>RES</x:v>
      </x:c>
      <x:c r="C48" s="26" t="str">
        <x:v>02_Vertical_Slice_Specification.md</x:v>
      </x:c>
      <x:c r="D48" s="26" t="str">
        <x:v>Una unidad no puede reservarse para dos clientes.</x:v>
      </x:c>
      <x:c r="E48" s="26" t="str">
        <x:v>CHG-DOC-011</x:v>
      </x:c>
      <x:c r="F48" s="26" t="str">
        <x:v>ADR-0038</x:v>
      </x:c>
      <x:c r="G48" s="26" t="str">
        <x:v>VS-RES-001</x:v>
      </x:c>
      <x:c r="H48" s="26"/>
      <x:c r="I48" s="26" t="str">
        <x:v>TC-VS-RES-001</x:v>
      </x:c>
      <x:c r="J48" s="26" t="str">
        <x:v>Not Run</x:v>
      </x:c>
      <x:c r="K48" s="26" t="str">
        <x:v>BLD-016-PRE</x:v>
      </x:c>
      <x:c r="L48" s="26"/>
      <x:c r="M48" s="26" t="str">
        <x:v>BASE-1.0</x:v>
      </x:c>
      <x:c r="N48" s="26" t="str">
        <x:v>Complete</x:v>
      </x:c>
      <x:c r="O48" s="26"/>
      <x:c r="P48" s="26" t="str">
        <x:v>VRM Games</x:v>
      </x:c>
      <x:c r="Q48" s="26"/>
    </x:row>
    <x:row r="49" ht="30" customHeight="1">
      <x:c r="A49" s="26" t="str">
        <x:v>VS-RES-002</x:v>
      </x:c>
      <x:c r="B49" s="26" t="str">
        <x:v>RES</x:v>
      </x:c>
      <x:c r="C49" s="26" t="str">
        <x:v>02_Vertical_Slice_Specification.md</x:v>
      </x:c>
      <x:c r="D49" s="26" t="str">
        <x:v>Abandono, fallo o cierre liberan la reserva.</x:v>
      </x:c>
      <x:c r="E49" s="26" t="str">
        <x:v>CHG-DOC-011</x:v>
      </x:c>
      <x:c r="F49" s="26" t="str">
        <x:v>ADR-0038</x:v>
      </x:c>
      <x:c r="G49" s="26" t="str">
        <x:v>VS-RES-002</x:v>
      </x:c>
      <x:c r="H49" s="26"/>
      <x:c r="I49" s="26" t="str">
        <x:v>TC-VS-RES-002</x:v>
      </x:c>
      <x:c r="J49" s="26" t="str">
        <x:v>Not Run</x:v>
      </x:c>
      <x:c r="K49" s="26" t="str">
        <x:v>BLD-016-PRE</x:v>
      </x:c>
      <x:c r="L49" s="26"/>
      <x:c r="M49" s="26" t="str">
        <x:v>BASE-1.0</x:v>
      </x:c>
      <x:c r="N49" s="26" t="str">
        <x:v>Complete</x:v>
      </x:c>
      <x:c r="O49" s="26"/>
      <x:c r="P49" s="26" t="str">
        <x:v>VRM Games</x:v>
      </x:c>
      <x:c r="Q49" s="26"/>
    </x:row>
    <x:row r="50" ht="30" customHeight="1">
      <x:c r="A50" s="26" t="str">
        <x:v>VS-RES-003</x:v>
      </x:c>
      <x:c r="B50" s="26" t="str">
        <x:v>RES</x:v>
      </x:c>
      <x:c r="C50" s="26" t="str">
        <x:v>02_Vertical_Slice_Specification.md</x:v>
      </x:c>
      <x:c r="D50" s="26" t="str">
        <x:v>Venta consume la reserva exactamente una vez.</x:v>
      </x:c>
      <x:c r="E50" s="26" t="str">
        <x:v>CHG-DOC-011</x:v>
      </x:c>
      <x:c r="F50" s="26" t="str">
        <x:v>ADR-0038</x:v>
      </x:c>
      <x:c r="G50" s="26" t="str">
        <x:v>VS-RES-003</x:v>
      </x:c>
      <x:c r="H50" s="26"/>
      <x:c r="I50" s="26" t="str">
        <x:v>TC-VS-RES-003</x:v>
      </x:c>
      <x:c r="J50" s="26" t="str">
        <x:v>Not Run</x:v>
      </x:c>
      <x:c r="K50" s="26" t="str">
        <x:v>BLD-016-PRE</x:v>
      </x:c>
      <x:c r="L50" s="26"/>
      <x:c r="M50" s="26" t="str">
        <x:v>BASE-1.0</x:v>
      </x:c>
      <x:c r="N50" s="26" t="str">
        <x:v>Complete</x:v>
      </x:c>
      <x:c r="O50" s="26"/>
      <x:c r="P50" s="26" t="str">
        <x:v>VRM Games</x:v>
      </x:c>
      <x:c r="Q50" s="26"/>
    </x:row>
    <x:row r="51" ht="30" customHeight="1">
      <x:c r="A51" s="26" t="str">
        <x:v>VS-QUE-001</x:v>
      </x:c>
      <x:c r="B51" s="26" t="str">
        <x:v>QUE</x:v>
      </x:c>
      <x:c r="C51" s="26" t="str">
        <x:v>02_Vertical_Slice_Specification.md</x:v>
      </x:c>
      <x:c r="D51" s="26" t="str">
        <x:v>El orden de atención es determinista.</x:v>
      </x:c>
      <x:c r="E51" s="26" t="str">
        <x:v>CHG-DOC-011</x:v>
      </x:c>
      <x:c r="F51" s="26" t="str">
        <x:v>ADR-0042</x:v>
      </x:c>
      <x:c r="G51" s="26" t="str">
        <x:v>VS-QUE-001</x:v>
      </x:c>
      <x:c r="H51" s="26"/>
      <x:c r="I51" s="26" t="str">
        <x:v>TC-VS-QUE-001</x:v>
      </x:c>
      <x:c r="J51" s="26" t="str">
        <x:v>Not Run</x:v>
      </x:c>
      <x:c r="K51" s="26" t="str">
        <x:v>BLD-016-PRE</x:v>
      </x:c>
      <x:c r="L51" s="26"/>
      <x:c r="M51" s="26" t="str">
        <x:v>BASE-1.0</x:v>
      </x:c>
      <x:c r="N51" s="26" t="str">
        <x:v>Complete</x:v>
      </x:c>
      <x:c r="O51" s="26"/>
      <x:c r="P51" s="26" t="str">
        <x:v>VRM Games</x:v>
      </x:c>
      <x:c r="Q51" s="26"/>
    </x:row>
    <x:row r="52" ht="30" customHeight="1">
      <x:c r="A52" s="26" t="str">
        <x:v>VS-QUE-002</x:v>
      </x:c>
      <x:c r="B52" s="26" t="str">
        <x:v>QUE</x:v>
      </x:c>
      <x:c r="C52" s="26" t="str">
        <x:v>02_Vertical_Slice_Specification.md</x:v>
      </x:c>
      <x:c r="D52" s="26" t="str">
        <x:v>Posiciones se liberan y avanzan correctamente.</x:v>
      </x:c>
      <x:c r="E52" s="26" t="str">
        <x:v>CHG-DOC-011</x:v>
      </x:c>
      <x:c r="F52" s="26" t="str">
        <x:v>ADR-0042</x:v>
      </x:c>
      <x:c r="G52" s="26" t="str">
        <x:v>VS-QUE-002</x:v>
      </x:c>
      <x:c r="H52" s="26"/>
      <x:c r="I52" s="26" t="str">
        <x:v>TC-VS-QUE-002</x:v>
      </x:c>
      <x:c r="J52" s="26" t="str">
        <x:v>Not Run</x:v>
      </x:c>
      <x:c r="K52" s="26" t="str">
        <x:v>BLD-016-PRE</x:v>
      </x:c>
      <x:c r="L52" s="26"/>
      <x:c r="M52" s="26" t="str">
        <x:v>BASE-1.0</x:v>
      </x:c>
      <x:c r="N52" s="26" t="str">
        <x:v>Complete</x:v>
      </x:c>
      <x:c r="O52" s="26"/>
      <x:c r="P52" s="26" t="str">
        <x:v>VRM Games</x:v>
      </x:c>
      <x:c r="Q52" s="26"/>
    </x:row>
    <x:row r="53" ht="30" customHeight="1">
      <x:c r="A53" s="26" t="str">
        <x:v>VS-QUE-003</x:v>
      </x:c>
      <x:c r="B53" s="26" t="str">
        <x:v>QUE</x:v>
      </x:c>
      <x:c r="C53" s="26" t="str">
        <x:v>02_Vertical_Slice_Specification.md</x:v>
      </x:c>
      <x:c r="D53" s="26" t="str">
        <x:v>Saturación no produce bloqueo permanente.</x:v>
      </x:c>
      <x:c r="E53" s="26" t="str">
        <x:v>CHG-DOC-011</x:v>
      </x:c>
      <x:c r="F53" s="26" t="str">
        <x:v>ADR-0042</x:v>
      </x:c>
      <x:c r="G53" s="26" t="str">
        <x:v>VS-QUE-003</x:v>
      </x:c>
      <x:c r="H53" s="26"/>
      <x:c r="I53" s="26" t="str">
        <x:v>TC-VS-QUE-003</x:v>
      </x:c>
      <x:c r="J53" s="26" t="str">
        <x:v>Not Run</x:v>
      </x:c>
      <x:c r="K53" s="26" t="str">
        <x:v>BLD-016-PRE</x:v>
      </x:c>
      <x:c r="L53" s="26"/>
      <x:c r="M53" s="26" t="str">
        <x:v>BASE-1.0</x:v>
      </x:c>
      <x:c r="N53" s="26" t="str">
        <x:v>Complete</x:v>
      </x:c>
      <x:c r="O53" s="26"/>
      <x:c r="P53" s="26" t="str">
        <x:v>VRM Games</x:v>
      </x:c>
      <x:c r="Q53" s="26"/>
    </x:row>
    <x:row r="54" ht="30" customHeight="1">
      <x:c r="A54" s="26" t="str">
        <x:v>VS-CHK-001</x:v>
      </x:c>
      <x:c r="B54" s="26" t="str">
        <x:v>CHK</x:v>
      </x:c>
      <x:c r="C54" s="26" t="str">
        <x:v>02_Vertical_Slice_Specification.md</x:v>
      </x:c>
      <x:c r="D54" s="26" t="str">
        <x:v>Preflight rechaza transacción inválida sin mutación.</x:v>
      </x:c>
      <x:c r="E54" s="26" t="str">
        <x:v>CHG-DOC-011</x:v>
      </x:c>
      <x:c r="F54" s="26" t="str">
        <x:v>ADR-0044;ADR-0045</x:v>
      </x:c>
      <x:c r="G54" s="26" t="str">
        <x:v>VS-CHK-001</x:v>
      </x:c>
      <x:c r="H54" s="26"/>
      <x:c r="I54" s="26" t="str">
        <x:v>TC-VS-CHK-001</x:v>
      </x:c>
      <x:c r="J54" s="26" t="str">
        <x:v>Not Run</x:v>
      </x:c>
      <x:c r="K54" s="26" t="str">
        <x:v>BLD-016-PRE</x:v>
      </x:c>
      <x:c r="L54" s="26"/>
      <x:c r="M54" s="26" t="str">
        <x:v>BASE-1.0</x:v>
      </x:c>
      <x:c r="N54" s="26" t="str">
        <x:v>Complete</x:v>
      </x:c>
      <x:c r="O54" s="26"/>
      <x:c r="P54" s="26" t="str">
        <x:v>VRM Games</x:v>
      </x:c>
      <x:c r="Q54" s="26"/>
    </x:row>
    <x:row r="55" ht="30" customHeight="1">
      <x:c r="A55" s="26" t="str">
        <x:v>VS-CHK-002</x:v>
      </x:c>
      <x:c r="B55" s="26" t="str">
        <x:v>CHK</x:v>
      </x:c>
      <x:c r="C55" s="26" t="str">
        <x:v>02_Vertical_Slice_Specification.md</x:v>
      </x:c>
      <x:c r="D55" s="26" t="str">
        <x:v>Venta válida consume una unidad y registra un ingreso.</x:v>
      </x:c>
      <x:c r="E55" s="26" t="str">
        <x:v>CHG-CHK-001</x:v>
      </x:c>
      <x:c r="F55" s="26" t="str">
        <x:v>ADR-0044;ADR-0045</x:v>
      </x:c>
      <x:c r="G55" s="26" t="str">
        <x:v>VS-CHK-002</x:v>
      </x:c>
      <x:c r="H55" s="26"/>
      <x:c r="I55" s="26" t="str">
        <x:v>TC-VS-CHK-002</x:v>
      </x:c>
      <x:c r="J55" s="26" t="str">
        <x:v>Not Run</x:v>
      </x:c>
      <x:c r="K55" s="26" t="str">
        <x:v>BLD-016-PRE</x:v>
      </x:c>
      <x:c r="L55" s="26"/>
      <x:c r="M55" s="26" t="str">
        <x:v>BASE-1.0</x:v>
      </x:c>
      <x:c r="N55" s="26" t="str">
        <x:v>Complete</x:v>
      </x:c>
      <x:c r="O55" s="26"/>
      <x:c r="P55" s="26" t="str">
        <x:v>VRM Games</x:v>
      </x:c>
      <x:c r="Q55" s="26"/>
    </x:row>
    <x:row r="56" ht="30" customHeight="1">
      <x:c r="A56" s="26" t="str">
        <x:v>VS-CHK-003</x:v>
      </x:c>
      <x:c r="B56" s="26" t="str">
        <x:v>CHK</x:v>
      </x:c>
      <x:c r="C56" s="26" t="str">
        <x:v>02_Vertical_Slice_Specification.md</x:v>
      </x:c>
      <x:c r="D56" s="26" t="str">
        <x:v>La misma venta no puede confirmarse dos veces.</x:v>
      </x:c>
      <x:c r="E56" s="26" t="str">
        <x:v>CHG-DOC-011</x:v>
      </x:c>
      <x:c r="F56" s="26" t="str">
        <x:v>ADR-0044;ADR-0045</x:v>
      </x:c>
      <x:c r="G56" s="26" t="str">
        <x:v>VS-CHK-003</x:v>
      </x:c>
      <x:c r="H56" s="26"/>
      <x:c r="I56" s="26" t="str">
        <x:v>TC-VS-CHK-003</x:v>
      </x:c>
      <x:c r="J56" s="26" t="str">
        <x:v>Not Run</x:v>
      </x:c>
      <x:c r="K56" s="26" t="str">
        <x:v>BLD-016-PRE</x:v>
      </x:c>
      <x:c r="L56" s="26"/>
      <x:c r="M56" s="26" t="str">
        <x:v>BASE-1.0</x:v>
      </x:c>
      <x:c r="N56" s="26" t="str">
        <x:v>Complete</x:v>
      </x:c>
      <x:c r="O56" s="26"/>
      <x:c r="P56" s="26" t="str">
        <x:v>VRM Games</x:v>
      </x:c>
      <x:c r="Q56" s="26"/>
    </x:row>
    <x:row r="57" ht="30" customHeight="1">
      <x:c r="A57" s="26" t="str">
        <x:v>VS-CHK-004</x:v>
      </x:c>
      <x:c r="B57" s="26" t="str">
        <x:v>CHK</x:v>
      </x:c>
      <x:c r="C57" s="26" t="str">
        <x:v>02_Vertical_Slice_Specification.md</x:v>
      </x:c>
      <x:c r="D57" s="26" t="str">
        <x:v>Cliente, reserva, cola y métricas quedan resueltos tras vender.</x:v>
      </x:c>
      <x:c r="E57" s="26" t="str">
        <x:v>CHG-DOC-011</x:v>
      </x:c>
      <x:c r="F57" s="26" t="str">
        <x:v>ADR-0044;ADR-0045</x:v>
      </x:c>
      <x:c r="G57" s="26" t="str">
        <x:v>VS-CHK-004</x:v>
      </x:c>
      <x:c r="H57" s="26"/>
      <x:c r="I57" s="26" t="str">
        <x:v>TC-VS-CHK-004</x:v>
      </x:c>
      <x:c r="J57" s="26" t="str">
        <x:v>Not Run</x:v>
      </x:c>
      <x:c r="K57" s="26" t="str">
        <x:v>BLD-016-PRE</x:v>
      </x:c>
      <x:c r="L57" s="26"/>
      <x:c r="M57" s="26" t="str">
        <x:v>BASE-1.0</x:v>
      </x:c>
      <x:c r="N57" s="26" t="str">
        <x:v>Complete</x:v>
      </x:c>
      <x:c r="O57" s="26"/>
      <x:c r="P57" s="26" t="str">
        <x:v>VRM Games</x:v>
      </x:c>
      <x:c r="Q57" s="26"/>
    </x:row>
    <x:row r="58" ht="30" customHeight="1">
      <x:c r="A58" s="26" t="str">
        <x:v>VS-DAY-001</x:v>
      </x:c>
      <x:c r="B58" s="26" t="str">
        <x:v>DAY</x:v>
      </x:c>
      <x:c r="C58" s="26" t="str">
        <x:v>02_Vertical_Slice_Specification.md</x:v>
      </x:c>
      <x:c r="D58" s="26" t="str">
        <x:v>Transiciones entre estados siguen el orden permitido.</x:v>
      </x:c>
      <x:c r="E58" s="26" t="str">
        <x:v>CHG-DOC-011</x:v>
      </x:c>
      <x:c r="F58" s="26" t="str">
        <x:v>ADR-0046</x:v>
      </x:c>
      <x:c r="G58" s="26" t="str">
        <x:v>VS-DAY-001</x:v>
      </x:c>
      <x:c r="H58" s="26"/>
      <x:c r="I58" s="26" t="str">
        <x:v>TC-VS-DAY-001</x:v>
      </x:c>
      <x:c r="J58" s="26" t="str">
        <x:v>Not Run</x:v>
      </x:c>
      <x:c r="K58" s="26" t="str">
        <x:v>BLD-016-PRE</x:v>
      </x:c>
      <x:c r="L58" s="26"/>
      <x:c r="M58" s="26" t="str">
        <x:v>BASE-1.0</x:v>
      </x:c>
      <x:c r="N58" s="26" t="str">
        <x:v>Complete</x:v>
      </x:c>
      <x:c r="O58" s="26"/>
      <x:c r="P58" s="26" t="str">
        <x:v>VRM Games</x:v>
      </x:c>
      <x:c r="Q58" s="26"/>
    </x:row>
    <x:row r="59" ht="30" customHeight="1">
      <x:c r="A59" s="26" t="str">
        <x:v>VS-DAY-002</x:v>
      </x:c>
      <x:c r="B59" s="26" t="str">
        <x:v>DAY</x:v>
      </x:c>
      <x:c r="C59" s="26" t="str">
        <x:v>02_Vertical_Slice_Specification.md</x:v>
      </x:c>
      <x:c r="D59" s="26" t="str">
        <x:v>Abrir habilita clientes una sola vez.</x:v>
      </x:c>
      <x:c r="E59" s="26" t="str">
        <x:v>CHG-DOC-011</x:v>
      </x:c>
      <x:c r="F59" s="26" t="str">
        <x:v>ADR-0046</x:v>
      </x:c>
      <x:c r="G59" s="26" t="str">
        <x:v>VS-DAY-002</x:v>
      </x:c>
      <x:c r="H59" s="26"/>
      <x:c r="I59" s="26" t="str">
        <x:v>TC-VS-DAY-002</x:v>
      </x:c>
      <x:c r="J59" s="26" t="str">
        <x:v>Not Run</x:v>
      </x:c>
      <x:c r="K59" s="26" t="str">
        <x:v>BLD-016-PRE</x:v>
      </x:c>
      <x:c r="L59" s="26"/>
      <x:c r="M59" s="26" t="str">
        <x:v>BASE-1.0</x:v>
      </x:c>
      <x:c r="N59" s="26" t="str">
        <x:v>Complete</x:v>
      </x:c>
      <x:c r="O59" s="26"/>
      <x:c r="P59" s="26" t="str">
        <x:v>VRM Games</x:v>
      </x:c>
      <x:c r="Q59" s="26"/>
    </x:row>
    <x:row r="60" ht="30" customHeight="1">
      <x:c r="A60" s="26" t="str">
        <x:v>VS-DAY-003</x:v>
      </x:c>
      <x:c r="B60" s="26" t="str">
        <x:v>DAY</x:v>
      </x:c>
      <x:c r="C60" s="26" t="str">
        <x:v>02_Vertical_Slice_Specification.md</x:v>
      </x:c>
      <x:c r="D60" s="26" t="str">
        <x:v>Cerrar impide nuevas entradas y resuelve activos.</x:v>
      </x:c>
      <x:c r="E60" s="26" t="str">
        <x:v>CHG-DOC-011</x:v>
      </x:c>
      <x:c r="F60" s="26" t="str">
        <x:v>ADR-0046</x:v>
      </x:c>
      <x:c r="G60" s="26" t="str">
        <x:v>VS-DAY-003</x:v>
      </x:c>
      <x:c r="H60" s="26"/>
      <x:c r="I60" s="26" t="str">
        <x:v>TC-VS-DAY-003</x:v>
      </x:c>
      <x:c r="J60" s="26" t="str">
        <x:v>Not Run</x:v>
      </x:c>
      <x:c r="K60" s="26" t="str">
        <x:v>BLD-016-PRE</x:v>
      </x:c>
      <x:c r="L60" s="26"/>
      <x:c r="M60" s="26" t="str">
        <x:v>BASE-1.0</x:v>
      </x:c>
      <x:c r="N60" s="26" t="str">
        <x:v>Complete</x:v>
      </x:c>
      <x:c r="O60" s="26"/>
      <x:c r="P60" s="26" t="str">
        <x:v>VRM Games</x:v>
      </x:c>
      <x:c r="Q60" s="26"/>
    </x:row>
    <x:row r="61" ht="30" customHeight="1">
      <x:c r="A61" s="26" t="str">
        <x:v>VS-DAY-004</x:v>
      </x:c>
      <x:c r="B61" s="26" t="str">
        <x:v>DAY</x:v>
      </x:c>
      <x:c r="C61" s="26" t="str">
        <x:v>02_Vertical_Slice_Specification.md</x:v>
      </x:c>
      <x:c r="D61" s="26" t="str">
        <x:v>Resumen y avance se generan una sola vez.</x:v>
      </x:c>
      <x:c r="E61" s="26" t="str">
        <x:v>CHG-DOC-011</x:v>
      </x:c>
      <x:c r="F61" s="26" t="str">
        <x:v>ADR-0046</x:v>
      </x:c>
      <x:c r="G61" s="26" t="str">
        <x:v>VS-DAY-004</x:v>
      </x:c>
      <x:c r="H61" s="26"/>
      <x:c r="I61" s="26" t="str">
        <x:v>TC-VS-DAY-004</x:v>
      </x:c>
      <x:c r="J61" s="26" t="str">
        <x:v>Not Run</x:v>
      </x:c>
      <x:c r="K61" s="26" t="str">
        <x:v>BLD-016-PRE</x:v>
      </x:c>
      <x:c r="L61" s="26"/>
      <x:c r="M61" s="26" t="str">
        <x:v>BASE-1.0</x:v>
      </x:c>
      <x:c r="N61" s="26" t="str">
        <x:v>Complete</x:v>
      </x:c>
      <x:c r="O61" s="26"/>
      <x:c r="P61" s="26" t="str">
        <x:v>VRM Games</x:v>
      </x:c>
      <x:c r="Q61" s="26"/>
    </x:row>
    <x:row r="62" ht="30" customHeight="1">
      <x:c r="A62" s="26" t="str">
        <x:v>VS-ECO-001</x:v>
      </x:c>
      <x:c r="B62" s="26" t="str">
        <x:v>ECO</x:v>
      </x:c>
      <x:c r="C62" s="26" t="str">
        <x:v>02_Vertical_Slice_Specification.md</x:v>
      </x:c>
      <x:c r="D62" s="26" t="str">
        <x:v>Todo cambio de saldo tiene movimiento registrado.</x:v>
      </x:c>
      <x:c r="E62" s="26" t="str">
        <x:v>CHG-DOC-011</x:v>
      </x:c>
      <x:c r="F62" s="26" t="str">
        <x:v>ADR-0051;ADR-0054</x:v>
      </x:c>
      <x:c r="G62" s="26" t="str">
        <x:v>VS-ECO-001</x:v>
      </x:c>
      <x:c r="H62" s="26"/>
      <x:c r="I62" s="26" t="str">
        <x:v>TC-VS-ECO-001</x:v>
      </x:c>
      <x:c r="J62" s="26" t="str">
        <x:v>Not Run</x:v>
      </x:c>
      <x:c r="K62" s="26" t="str">
        <x:v>BLD-016-PRE</x:v>
      </x:c>
      <x:c r="L62" s="26"/>
      <x:c r="M62" s="26" t="str">
        <x:v>BASE-1.0</x:v>
      </x:c>
      <x:c r="N62" s="26" t="str">
        <x:v>Complete</x:v>
      </x:c>
      <x:c r="O62" s="26"/>
      <x:c r="P62" s="26" t="str">
        <x:v>VRM Games</x:v>
      </x:c>
      <x:c r="Q62" s="26"/>
    </x:row>
    <x:row r="63" ht="30" customHeight="1">
      <x:c r="A63" s="26" t="str">
        <x:v>VS-ECO-002</x:v>
      </x:c>
      <x:c r="B63" s="26" t="str">
        <x:v>ECO</x:v>
      </x:c>
      <x:c r="C63" s="26" t="str">
        <x:v>02_Vertical_Slice_Specification.md</x:v>
      </x:c>
      <x:c r="D63" s="26" t="str">
        <x:v>Venta genera un único ingreso con precio correcto.</x:v>
      </x:c>
      <x:c r="E63" s="26" t="str">
        <x:v>CHG-ECO-001</x:v>
      </x:c>
      <x:c r="F63" s="26" t="str">
        <x:v>ADR-0051;ADR-0054</x:v>
      </x:c>
      <x:c r="G63" s="26" t="str">
        <x:v>VS-ECO-002</x:v>
      </x:c>
      <x:c r="H63" s="26"/>
      <x:c r="I63" s="26" t="str">
        <x:v>TC-VS-ECO-002</x:v>
      </x:c>
      <x:c r="J63" s="26" t="str">
        <x:v>Not Run</x:v>
      </x:c>
      <x:c r="K63" s="26" t="str">
        <x:v>BLD-016-PRE</x:v>
      </x:c>
      <x:c r="L63" s="26"/>
      <x:c r="M63" s="26" t="str">
        <x:v>BASE-1.0</x:v>
      </x:c>
      <x:c r="N63" s="26" t="str">
        <x:v>Complete</x:v>
      </x:c>
      <x:c r="O63" s="26"/>
      <x:c r="P63" s="26" t="str">
        <x:v>VRM Games</x:v>
      </x:c>
      <x:c r="Q63" s="26"/>
    </x:row>
    <x:row r="64" ht="30" customHeight="1">
      <x:c r="A64" s="26" t="str">
        <x:v>VS-ECO-003</x:v>
      </x:c>
      <x:c r="B64" s="26" t="str">
        <x:v>ECO</x:v>
      </x:c>
      <x:c r="C64" s="26" t="str">
        <x:v>02_Vertical_Slice_Specification.md</x:v>
      </x:c>
      <x:c r="D64" s="26" t="str">
        <x:v>Pedido rechazado no cambia saldo.</x:v>
      </x:c>
      <x:c r="E64" s="26" t="str">
        <x:v>CHG-DOC-011</x:v>
      </x:c>
      <x:c r="F64" s="26" t="str">
        <x:v>ADR-0051;ADR-0054</x:v>
      </x:c>
      <x:c r="G64" s="26" t="str">
        <x:v>VS-ECO-003</x:v>
      </x:c>
      <x:c r="H64" s="26"/>
      <x:c r="I64" s="26" t="str">
        <x:v>TC-VS-ECO-003</x:v>
      </x:c>
      <x:c r="J64" s="26" t="str">
        <x:v>Not Run</x:v>
      </x:c>
      <x:c r="K64" s="26" t="str">
        <x:v>BLD-016-PRE</x:v>
      </x:c>
      <x:c r="L64" s="26"/>
      <x:c r="M64" s="26" t="str">
        <x:v>BASE-1.0</x:v>
      </x:c>
      <x:c r="N64" s="26" t="str">
        <x:v>Complete</x:v>
      </x:c>
      <x:c r="O64" s="26"/>
      <x:c r="P64" s="26" t="str">
        <x:v>VRM Games</x:v>
      </x:c>
      <x:c r="Q64" s="26"/>
    </x:row>
    <x:row r="65" ht="30" customHeight="1">
      <x:c r="A65" s="26" t="str">
        <x:v>VS-ECO-004</x:v>
      </x:c>
      <x:c r="B65" s="26" t="str">
        <x:v>ECO</x:v>
      </x:c>
      <x:c r="C65" s="26" t="str">
        <x:v>02_Vertical_Slice_Specification.md</x:v>
      </x:c>
      <x:c r="D65" s="26" t="str">
        <x:v>Impuesto solo se aplica a beneficio semanal positivo.</x:v>
      </x:c>
      <x:c r="E65" s="26" t="str">
        <x:v>CHG-DOC-011</x:v>
      </x:c>
      <x:c r="F65" s="26" t="str">
        <x:v>ADR-0051;ADR-0054</x:v>
      </x:c>
      <x:c r="G65" s="26" t="str">
        <x:v>VS-ECO-004</x:v>
      </x:c>
      <x:c r="H65" s="26"/>
      <x:c r="I65" s="26" t="str">
        <x:v>TC-VS-ECO-004</x:v>
      </x:c>
      <x:c r="J65" s="26" t="str">
        <x:v>Not Run</x:v>
      </x:c>
      <x:c r="K65" s="26" t="str">
        <x:v>BLD-016-PRE</x:v>
      </x:c>
      <x:c r="L65" s="26"/>
      <x:c r="M65" s="26" t="str">
        <x:v>BASE-1.0</x:v>
      </x:c>
      <x:c r="N65" s="26" t="str">
        <x:v>Complete</x:v>
      </x:c>
      <x:c r="O65" s="26"/>
      <x:c r="P65" s="26" t="str">
        <x:v>VRM Games</x:v>
      </x:c>
      <x:c r="Q65" s="26"/>
    </x:row>
    <x:row r="66" ht="30" customHeight="1">
      <x:c r="A66" s="26" t="str">
        <x:v>VS-ECO-005</x:v>
      </x:c>
      <x:c r="B66" s="26" t="str">
        <x:v>ECO</x:v>
      </x:c>
      <x:c r="C66" s="26" t="str">
        <x:v>02_Vertical_Slice_Specification.md</x:v>
      </x:c>
      <x:c r="D66" s="26" t="str">
        <x:v>Resumen diario/semanal reconcilia movimientos.</x:v>
      </x:c>
      <x:c r="E66" s="26" t="str">
        <x:v>CHG-DOC-011</x:v>
      </x:c>
      <x:c r="F66" s="26" t="str">
        <x:v>ADR-0051;ADR-0054</x:v>
      </x:c>
      <x:c r="G66" s="26" t="str">
        <x:v>VS-ECO-005</x:v>
      </x:c>
      <x:c r="H66" s="26"/>
      <x:c r="I66" s="26" t="str">
        <x:v>TC-VS-ECO-005</x:v>
      </x:c>
      <x:c r="J66" s="26" t="str">
        <x:v>Not Run</x:v>
      </x:c>
      <x:c r="K66" s="26" t="str">
        <x:v>BLD-016-PRE</x:v>
      </x:c>
      <x:c r="L66" s="26"/>
      <x:c r="M66" s="26" t="str">
        <x:v>BASE-1.0</x:v>
      </x:c>
      <x:c r="N66" s="26" t="str">
        <x:v>Complete</x:v>
      </x:c>
      <x:c r="O66" s="26"/>
      <x:c r="P66" s="26" t="str">
        <x:v>VRM Games</x:v>
      </x:c>
      <x:c r="Q66" s="26"/>
    </x:row>
    <x:row r="67" ht="30" customHeight="1">
      <x:c r="A67" s="26" t="str">
        <x:v>VS-SAV-001</x:v>
      </x:c>
      <x:c r="B67" s="26" t="str">
        <x:v>SAV</x:v>
      </x:c>
      <x:c r="C67" s="26" t="str">
        <x:v>02_Vertical_Slice_Specification.md</x:v>
      </x:c>
      <x:c r="D67" s="26" t="str">
        <x:v>Guardado conserva todos los campos obligatorios.</x:v>
      </x:c>
      <x:c r="E67" s="26" t="str">
        <x:v>CHG-SAVE-001</x:v>
      </x:c>
      <x:c r="F67" s="26" t="str">
        <x:v>ADR-0056;ADR-0057;ADR-0059;ADR-0060</x:v>
      </x:c>
      <x:c r="G67" s="26" t="str">
        <x:v>VS-SAV-001</x:v>
      </x:c>
      <x:c r="H67" s="26"/>
      <x:c r="I67" s="26" t="str">
        <x:v>TC-VS-SAV-001</x:v>
      </x:c>
      <x:c r="J67" s="26" t="str">
        <x:v>Not Run</x:v>
      </x:c>
      <x:c r="K67" s="26" t="str">
        <x:v>BLD-016-PRE</x:v>
      </x:c>
      <x:c r="L67" s="26"/>
      <x:c r="M67" s="26" t="str">
        <x:v>BASE-1.0</x:v>
      </x:c>
      <x:c r="N67" s="26" t="str">
        <x:v>Complete</x:v>
      </x:c>
      <x:c r="O67" s="26"/>
      <x:c r="P67" s="26" t="str">
        <x:v>VRM Games</x:v>
      </x:c>
      <x:c r="Q67" s="26"/>
    </x:row>
    <x:row r="68" ht="30" customHeight="1">
      <x:c r="A68" s="26" t="str">
        <x:v>VS-SAV-002</x:v>
      </x:c>
      <x:c r="B68" s="26" t="str">
        <x:v>SAV</x:v>
      </x:c>
      <x:c r="C68" s="26" t="str">
        <x:v>02_Vertical_Slice_Specification.md</x:v>
      </x:c>
      <x:c r="D68" s="26" t="str">
        <x:v>Carga reconstruye un estado equivalente.</x:v>
      </x:c>
      <x:c r="E68" s="26" t="str">
        <x:v>CHG-SAVE-002</x:v>
      </x:c>
      <x:c r="F68" s="26" t="str">
        <x:v>ADR-0056;ADR-0057;ADR-0059;ADR-0060</x:v>
      </x:c>
      <x:c r="G68" s="26" t="str">
        <x:v>VS-SAV-002</x:v>
      </x:c>
      <x:c r="H68" s="26"/>
      <x:c r="I68" s="26" t="str">
        <x:v>TC-VS-SAV-002</x:v>
      </x:c>
      <x:c r="J68" s="26" t="str">
        <x:v>Not Run</x:v>
      </x:c>
      <x:c r="K68" s="26" t="str">
        <x:v>BLD-016-PRE</x:v>
      </x:c>
      <x:c r="L68" s="26"/>
      <x:c r="M68" s="26" t="str">
        <x:v>BASE-1.0</x:v>
      </x:c>
      <x:c r="N68" s="26" t="str">
        <x:v>Complete</x:v>
      </x:c>
      <x:c r="O68" s="26"/>
      <x:c r="P68" s="26" t="str">
        <x:v>VRM Games</x:v>
      </x:c>
      <x:c r="Q68" s="26"/>
    </x:row>
    <x:row r="69" ht="30" customHeight="1">
      <x:c r="A69" s="26" t="str">
        <x:v>VS-SAV-003</x:v>
      </x:c>
      <x:c r="B69" s="26" t="str">
        <x:v>SAV</x:v>
      </x:c>
      <x:c r="C69" s="26" t="str">
        <x:v>02_Vertical_Slice_Specification.md</x:v>
      </x:c>
      <x:c r="D69" s="26" t="str">
        <x:v>Cargar no duplica pedidos, muebles, stock, clientes o ingresos.</x:v>
      </x:c>
      <x:c r="E69" s="26" t="str">
        <x:v>CHG-SAVE-003</x:v>
      </x:c>
      <x:c r="F69" s="26" t="str">
        <x:v>ADR-0056;ADR-0057;ADR-0059;ADR-0060</x:v>
      </x:c>
      <x:c r="G69" s="26" t="str">
        <x:v>VS-SAV-003</x:v>
      </x:c>
      <x:c r="H69" s="26"/>
      <x:c r="I69" s="26" t="str">
        <x:v>TC-VS-SAV-003</x:v>
      </x:c>
      <x:c r="J69" s="26" t="str">
        <x:v>Not Run</x:v>
      </x:c>
      <x:c r="K69" s="26" t="str">
        <x:v>BLD-016-PRE</x:v>
      </x:c>
      <x:c r="L69" s="26"/>
      <x:c r="M69" s="26" t="str">
        <x:v>BASE-1.0</x:v>
      </x:c>
      <x:c r="N69" s="26" t="str">
        <x:v>Complete</x:v>
      </x:c>
      <x:c r="O69" s="26"/>
      <x:c r="P69" s="26" t="str">
        <x:v>VRM Games</x:v>
      </x:c>
      <x:c r="Q69" s="26"/>
    </x:row>
    <x:row r="70" ht="30" customHeight="1">
      <x:c r="A70" s="26" t="str">
        <x:v>VS-SAV-004</x:v>
      </x:c>
      <x:c r="B70" s="26" t="str">
        <x:v>SAV</x:v>
      </x:c>
      <x:c r="C70" s="26" t="str">
        <x:v>02_Vertical_Slice_Specification.md</x:v>
      </x:c>
      <x:c r="D70" s="26" t="str">
        <x:v>Archivo ausente o corrupto se maneja de forma controlada.</x:v>
      </x:c>
      <x:c r="E70" s="26" t="str">
        <x:v>CHG-DOC-011</x:v>
      </x:c>
      <x:c r="F70" s="26" t="str">
        <x:v>ADR-0056;ADR-0057;ADR-0059;ADR-0060</x:v>
      </x:c>
      <x:c r="G70" s="26" t="str">
        <x:v>VS-SAV-004</x:v>
      </x:c>
      <x:c r="H70" s="26"/>
      <x:c r="I70" s="26" t="str">
        <x:v>TC-VS-SAV-004</x:v>
      </x:c>
      <x:c r="J70" s="26" t="str">
        <x:v>Not Run</x:v>
      </x:c>
      <x:c r="K70" s="26" t="str">
        <x:v>BLD-016-PRE</x:v>
      </x:c>
      <x:c r="L70" s="26"/>
      <x:c r="M70" s="26" t="str">
        <x:v>BASE-1.0</x:v>
      </x:c>
      <x:c r="N70" s="26" t="str">
        <x:v>Complete</x:v>
      </x:c>
      <x:c r="O70" s="26"/>
      <x:c r="P70" s="26" t="str">
        <x:v>VRM Games</x:v>
      </x:c>
      <x:c r="Q70" s="26"/>
    </x:row>
    <x:row r="71" ht="30" customHeight="1">
      <x:c r="A71" s="26" t="str">
        <x:v>VS-SAV-005</x:v>
      </x:c>
      <x:c r="B71" s="26" t="str">
        <x:v>SAV</x:v>
      </x:c>
      <x:c r="C71" s="26" t="str">
        <x:v>02_Vertical_Slice_Specification.md</x:v>
      </x:c>
      <x:c r="D71" s="26" t="str">
        <x:v>Tres slots son independientes.</x:v>
      </x:c>
      <x:c r="E71" s="26" t="str">
        <x:v>CHG-DOC-011</x:v>
      </x:c>
      <x:c r="F71" s="26" t="str">
        <x:v>ADR-0056;ADR-0057;ADR-0059;ADR-0060</x:v>
      </x:c>
      <x:c r="G71" s="26" t="str">
        <x:v>VS-SAV-005</x:v>
      </x:c>
      <x:c r="H71" s="26"/>
      <x:c r="I71" s="26" t="str">
        <x:v>TC-VS-SAV-005</x:v>
      </x:c>
      <x:c r="J71" s="26" t="str">
        <x:v>Not Run</x:v>
      </x:c>
      <x:c r="K71" s="26" t="str">
        <x:v>BLD-016-PRE</x:v>
      </x:c>
      <x:c r="L71" s="26"/>
      <x:c r="M71" s="26" t="str">
        <x:v>BASE-1.0</x:v>
      </x:c>
      <x:c r="N71" s="26" t="str">
        <x:v>Complete</x:v>
      </x:c>
      <x:c r="O71" s="26"/>
      <x:c r="P71" s="26" t="str">
        <x:v>VRM Games</x:v>
      </x:c>
      <x:c r="Q71" s="26"/>
    </x:row>
    <x:row r="72" ht="30" customHeight="1">
      <x:c r="A72" s="26" t="str">
        <x:v>VS-UI-001</x:v>
      </x:c>
      <x:c r="B72" s="26" t="str">
        <x:v>UI</x:v>
      </x:c>
      <x:c r="C72" s="26" t="str">
        <x:v>02_Vertical_Slice_Specification.md</x:v>
      </x:c>
      <x:c r="D72" s="26" t="str">
        <x:v>Golden Path puede completarse sin herramientas de debug.</x:v>
      </x:c>
      <x:c r="E72" s="26" t="str">
        <x:v>CHG-DOC-011</x:v>
      </x:c>
      <x:c r="F72" s="26"/>
      <x:c r="G72" s="26" t="str">
        <x:v>VS-UI-001</x:v>
      </x:c>
      <x:c r="H72" s="26"/>
      <x:c r="I72" s="26" t="str">
        <x:v>TC-VS-UI-001</x:v>
      </x:c>
      <x:c r="J72" s="26" t="str">
        <x:v>Not Run</x:v>
      </x:c>
      <x:c r="K72" s="26" t="str">
        <x:v>BLD-016-PRE</x:v>
      </x:c>
      <x:c r="L72" s="26"/>
      <x:c r="M72" s="26" t="str">
        <x:v>BASE-1.0</x:v>
      </x:c>
      <x:c r="N72" s="26" t="str">
        <x:v>Complete</x:v>
      </x:c>
      <x:c r="O72" s="26"/>
      <x:c r="P72" s="26" t="str">
        <x:v>VRM Games</x:v>
      </x:c>
      <x:c r="Q72" s="26"/>
    </x:row>
    <x:row r="73" ht="30" customHeight="1">
      <x:c r="A73" s="26" t="str">
        <x:v>VS-UI-002</x:v>
      </x:c>
      <x:c r="B73" s="26" t="str">
        <x:v>UI</x:v>
      </x:c>
      <x:c r="C73" s="26" t="str">
        <x:v>02_Vertical_Slice_Specification.md</x:v>
      </x:c>
      <x:c r="D73" s="26" t="str">
        <x:v>Errores y estados inválidos muestran causa comprensible.</x:v>
      </x:c>
      <x:c r="E73" s="26" t="str">
        <x:v>CHG-DOC-011</x:v>
      </x:c>
      <x:c r="F73" s="26"/>
      <x:c r="G73" s="26" t="str">
        <x:v>VS-UI-002</x:v>
      </x:c>
      <x:c r="H73" s="26"/>
      <x:c r="I73" s="26" t="str">
        <x:v>TC-VS-UI-002</x:v>
      </x:c>
      <x:c r="J73" s="26" t="str">
        <x:v>Not Run</x:v>
      </x:c>
      <x:c r="K73" s="26" t="str">
        <x:v>BLD-016-PRE</x:v>
      </x:c>
      <x:c r="L73" s="26"/>
      <x:c r="M73" s="26" t="str">
        <x:v>BASE-1.0</x:v>
      </x:c>
      <x:c r="N73" s="26" t="str">
        <x:v>Complete</x:v>
      </x:c>
      <x:c r="O73" s="26"/>
      <x:c r="P73" s="26" t="str">
        <x:v>VRM Games</x:v>
      </x:c>
      <x:c r="Q73" s="26"/>
    </x:row>
    <x:row r="74" ht="30" customHeight="1">
      <x:c r="A74" s="26" t="str">
        <x:v>VS-UI-003</x:v>
      </x:c>
      <x:c r="B74" s="26" t="str">
        <x:v>UI</x:v>
      </x:c>
      <x:c r="C74" s="26" t="str">
        <x:v>02_Vertical_Slice_Specification.md</x:v>
      </x:c>
      <x:c r="D74" s="26" t="str">
        <x:v>Controles críticos no dependen solo del color.</x:v>
      </x:c>
      <x:c r="E74" s="26" t="str">
        <x:v>CHG-DOC-011</x:v>
      </x:c>
      <x:c r="F74" s="26"/>
      <x:c r="G74" s="26" t="str">
        <x:v>VS-UI-003</x:v>
      </x:c>
      <x:c r="H74" s="26"/>
      <x:c r="I74" s="26" t="str">
        <x:v>TC-VS-UI-003</x:v>
      </x:c>
      <x:c r="J74" s="26" t="str">
        <x:v>Not Run</x:v>
      </x:c>
      <x:c r="K74" s="26" t="str">
        <x:v>BLD-016-PRE</x:v>
      </x:c>
      <x:c r="L74" s="26"/>
      <x:c r="M74" s="26" t="str">
        <x:v>BASE-1.0</x:v>
      </x:c>
      <x:c r="N74" s="26" t="str">
        <x:v>Complete</x:v>
      </x:c>
      <x:c r="O74" s="26"/>
      <x:c r="P74" s="26" t="str">
        <x:v>VRM Games</x:v>
      </x:c>
      <x:c r="Q74" s="26"/>
    </x:row>
    <x:row r="75" ht="30" customHeight="1">
      <x:c r="A75" s="26" t="str">
        <x:v>VS-UI-004</x:v>
      </x:c>
      <x:c r="B75" s="26" t="str">
        <x:v>UI</x:v>
      </x:c>
      <x:c r="C75" s="26" t="str">
        <x:v>02_Vertical_Slice_Specification.md</x:v>
      </x:c>
      <x:c r="D75" s="26" t="str">
        <x:v>Textos incluidos están preparados para ES/EN sin desbordes bloqueantes.</x:v>
      </x:c>
      <x:c r="E75" s="26" t="str">
        <x:v>CHG-DOC-011</x:v>
      </x:c>
      <x:c r="F75" s="26"/>
      <x:c r="G75" s="26" t="str">
        <x:v>VS-UI-004</x:v>
      </x:c>
      <x:c r="H75" s="26"/>
      <x:c r="I75" s="26" t="str">
        <x:v>TC-VS-UI-004</x:v>
      </x:c>
      <x:c r="J75" s="26" t="str">
        <x:v>Not Run</x:v>
      </x:c>
      <x:c r="K75" s="26" t="str">
        <x:v>BLD-016-PRE</x:v>
      </x:c>
      <x:c r="L75" s="26"/>
      <x:c r="M75" s="26" t="str">
        <x:v>BASE-1.0</x:v>
      </x:c>
      <x:c r="N75" s="26" t="str">
        <x:v>Complete</x:v>
      </x:c>
      <x:c r="O75" s="26"/>
      <x:c r="P75" s="26" t="str">
        <x:v>VRM Games</x:v>
      </x:c>
      <x:c r="Q75" s="26"/>
    </x:row>
    <x:row r="76" ht="30" customHeight="1">
      <x:c r="A76" s="26" t="str">
        <x:v>VS-ART-001</x:v>
      </x:c>
      <x:c r="B76" s="26" t="str">
        <x:v>ART</x:v>
      </x:c>
      <x:c r="C76" s="26" t="str">
        <x:v>02_Vertical_Slice_Specification.md</x:v>
      </x:c>
      <x:c r="D76" s="26" t="str">
        <x:v>Escena cumple layout, escala y silueta aprobados.</x:v>
      </x:c>
      <x:c r="E76" s="26" t="str">
        <x:v>CHG-DOC-011</x:v>
      </x:c>
      <x:c r="F76" s="26"/>
      <x:c r="G76" s="26" t="str">
        <x:v>VS-ART-001</x:v>
      </x:c>
      <x:c r="H76" s="26"/>
      <x:c r="I76" s="26" t="str">
        <x:v>TC-VS-ART-001</x:v>
      </x:c>
      <x:c r="J76" s="26" t="str">
        <x:v>Not Run</x:v>
      </x:c>
      <x:c r="K76" s="26" t="str">
        <x:v>BLD-016-POST</x:v>
      </x:c>
      <x:c r="L76" s="26"/>
      <x:c r="M76" s="26" t="str">
        <x:v>BASE-1.0</x:v>
      </x:c>
      <x:c r="N76" s="26" t="str">
        <x:v>Complete</x:v>
      </x:c>
      <x:c r="O76" s="26"/>
      <x:c r="P76" s="26" t="str">
        <x:v>VRM Games</x:v>
      </x:c>
      <x:c r="Q76" s="26"/>
    </x:row>
    <x:row r="77" ht="30" customHeight="1">
      <x:c r="A77" s="26" t="str">
        <x:v>VS-ART-002</x:v>
      </x:c>
      <x:c r="B77" s="26" t="str">
        <x:v>ART</x:v>
      </x:c>
      <x:c r="C77" s="26" t="str">
        <x:v>02_Vertical_Slice_Specification.md</x:v>
      </x:c>
      <x:c r="D77" s="26" t="str">
        <x:v>Iluminación permite leer zonas, productos, clientes y cola.</x:v>
      </x:c>
      <x:c r="E77" s="26" t="str">
        <x:v>CHG-DOC-011</x:v>
      </x:c>
      <x:c r="F77" s="26"/>
      <x:c r="G77" s="26" t="str">
        <x:v>VS-ART-002</x:v>
      </x:c>
      <x:c r="H77" s="26"/>
      <x:c r="I77" s="26" t="str">
        <x:v>TC-VS-ART-002</x:v>
      </x:c>
      <x:c r="J77" s="26" t="str">
        <x:v>Not Run</x:v>
      </x:c>
      <x:c r="K77" s="26" t="str">
        <x:v>BLD-016-POST</x:v>
      </x:c>
      <x:c r="L77" s="26"/>
      <x:c r="M77" s="26" t="str">
        <x:v>BASE-1.0</x:v>
      </x:c>
      <x:c r="N77" s="26" t="str">
        <x:v>Complete</x:v>
      </x:c>
      <x:c r="O77" s="26"/>
      <x:c r="P77" s="26" t="str">
        <x:v>VRM Games</x:v>
      </x:c>
      <x:c r="Q77" s="26"/>
    </x:row>
    <x:row r="78" ht="30" customHeight="1">
      <x:c r="A78" s="26" t="str">
        <x:v>VS-AUD-001</x:v>
      </x:c>
      <x:c r="B78" s="26" t="str">
        <x:v>AUD</x:v>
      </x:c>
      <x:c r="C78" s="26" t="str">
        <x:v>02_Vertical_Slice_Specification.md</x:v>
      </x:c>
      <x:c r="D78" s="26" t="str">
        <x:v>Acciones críticas incluidas tienen feedback sonoro o alternativa aprobada.</x:v>
      </x:c>
      <x:c r="E78" s="26" t="str">
        <x:v>CHG-DOC-011</x:v>
      </x:c>
      <x:c r="F78" s="26"/>
      <x:c r="G78" s="26" t="str">
        <x:v>VS-AUD-001</x:v>
      </x:c>
      <x:c r="H78" s="26"/>
      <x:c r="I78" s="26" t="str">
        <x:v>TC-VS-AUD-001</x:v>
      </x:c>
      <x:c r="J78" s="26" t="str">
        <x:v>Not Run</x:v>
      </x:c>
      <x:c r="K78" s="26" t="str">
        <x:v>BLD-016-POST</x:v>
      </x:c>
      <x:c r="L78" s="26"/>
      <x:c r="M78" s="26" t="str">
        <x:v>BASE-1.0</x:v>
      </x:c>
      <x:c r="N78" s="26" t="str">
        <x:v>Complete</x:v>
      </x:c>
      <x:c r="O78" s="26"/>
      <x:c r="P78" s="26" t="str">
        <x:v>VRM Games</x:v>
      </x:c>
      <x:c r="Q78" s="26"/>
    </x:row>
    <x:row r="79" ht="30" customHeight="1">
      <x:c r="A79" s="26" t="str">
        <x:v>VS-PER-001</x:v>
      </x:c>
      <x:c r="B79" s="26" t="str">
        <x:v>PER</x:v>
      </x:c>
      <x:c r="C79" s="26" t="str">
        <x:v>02_Vertical_Slice_Specification.md</x:v>
      </x:c>
      <x:c r="D79" s="26" t="str">
        <x:v>Prueba objetivo registra 60 FPS/1080p o desviación justificada en perfil documentado.</x:v>
      </x:c>
      <x:c r="E79" s="26" t="str">
        <x:v>CHG-DOC-011</x:v>
      </x:c>
      <x:c r="F79" s="26"/>
      <x:c r="G79" s="26" t="str">
        <x:v>VS-PER-001</x:v>
      </x:c>
      <x:c r="H79" s="26"/>
      <x:c r="I79" s="26" t="str">
        <x:v>TC-VS-PER-001</x:v>
      </x:c>
      <x:c r="J79" s="26" t="str">
        <x:v>Not Run</x:v>
      </x:c>
      <x:c r="K79" s="26" t="str">
        <x:v>BLD-H6</x:v>
      </x:c>
      <x:c r="L79" s="26"/>
      <x:c r="M79" s="26" t="str">
        <x:v>BASE-1.0</x:v>
      </x:c>
      <x:c r="N79" s="26" t="str">
        <x:v>Complete</x:v>
      </x:c>
      <x:c r="O79" s="26"/>
      <x:c r="P79" s="26" t="str">
        <x:v>VRM Games</x:v>
      </x:c>
      <x:c r="Q79" s="26"/>
    </x:row>
    <x:row r="80" ht="30" customHeight="1">
      <x:c r="A80" s="26" t="str">
        <x:v>VS-PER-002</x:v>
      </x:c>
      <x:c r="B80" s="26" t="str">
        <x:v>PER</x:v>
      </x:c>
      <x:c r="C80" s="26" t="str">
        <x:v>02_Vertical_Slice_Specification.md</x:v>
      </x:c>
      <x:c r="D80" s="26" t="str">
        <x:v>No existe degradación acumulativa grave durante la sesión extensa.</x:v>
      </x:c>
      <x:c r="E80" s="26" t="str">
        <x:v>CHG-DOC-011</x:v>
      </x:c>
      <x:c r="F80" s="26"/>
      <x:c r="G80" s="26" t="str">
        <x:v>VS-PER-002</x:v>
      </x:c>
      <x:c r="H80" s="26"/>
      <x:c r="I80" s="26" t="str">
        <x:v>TC-VS-PER-002</x:v>
      </x:c>
      <x:c r="J80" s="26" t="str">
        <x:v>Not Run</x:v>
      </x:c>
      <x:c r="K80" s="26" t="str">
        <x:v>BLD-H6</x:v>
      </x:c>
      <x:c r="L80" s="26"/>
      <x:c r="M80" s="26" t="str">
        <x:v>BASE-1.0</x:v>
      </x:c>
      <x:c r="N80" s="26" t="str">
        <x:v>Complete</x:v>
      </x:c>
      <x:c r="O80" s="26"/>
      <x:c r="P80" s="26" t="str">
        <x:v>VRM Games</x:v>
      </x:c>
      <x:c r="Q80" s="26"/>
    </x:row>
    <x:row r="81" ht="30" customHeight="1">
      <x:c r="A81" s="26" t="str">
        <x:v>VS-QA-001</x:v>
      </x:c>
      <x:c r="B81" s="26" t="str">
        <x:v>QA</x:v>
      </x:c>
      <x:c r="C81" s="26" t="str">
        <x:v>02_Vertical_Slice_Specification.md</x:v>
      </x:c>
      <x:c r="D81" s="26" t="str">
        <x:v>Suite automatizada completa permanece verde.</x:v>
      </x:c>
      <x:c r="E81" s="26" t="str">
        <x:v>CHG-DOC-011</x:v>
      </x:c>
      <x:c r="F81" s="26"/>
      <x:c r="G81" s="26" t="str">
        <x:v>VS-QA-001</x:v>
      </x:c>
      <x:c r="H81" s="26"/>
      <x:c r="I81" s="26" t="str">
        <x:v>SUITE-PLAYMODE</x:v>
      </x:c>
      <x:c r="J81" s="26" t="str">
        <x:v>PASS</x:v>
      </x:c>
      <x:c r="K81" s="26" t="str">
        <x:v>BLD-016-PRE</x:v>
      </x:c>
      <x:c r="L81" s="26"/>
      <x:c r="M81" s="26" t="str">
        <x:v>BASE-1.0</x:v>
      </x:c>
      <x:c r="N81" s="26" t="str">
        <x:v>Complete</x:v>
      </x:c>
      <x:c r="O81" s="26" t="str">
        <x:v>70/70 PASS</x:v>
      </x:c>
      <x:c r="P81" s="26" t="str">
        <x:v>VRM Games</x:v>
      </x:c>
      <x:c r="Q81" s="26"/>
    </x:row>
    <x:row r="82" ht="30" customHeight="1">
      <x:c r="A82" s="26" t="str">
        <x:v>VS-QA-002</x:v>
      </x:c>
      <x:c r="B82" s="26" t="str">
        <x:v>QA</x:v>
      </x:c>
      <x:c r="C82" s="26" t="str">
        <x:v>02_Vertical_Slice_Specification.md</x:v>
      </x:c>
      <x:c r="D82" s="26" t="str">
        <x:v>Golden Path manual obtiene PASS reproducible.</x:v>
      </x:c>
      <x:c r="E82" s="26" t="str">
        <x:v>CHG-DOC-011</x:v>
      </x:c>
      <x:c r="F82" s="26"/>
      <x:c r="G82" s="26" t="str">
        <x:v>VS-QA-002</x:v>
      </x:c>
      <x:c r="H82" s="26"/>
      <x:c r="I82" s="26" t="str">
        <x:v>TC-VS-QA-002</x:v>
      </x:c>
      <x:c r="J82" s="26" t="str">
        <x:v>Not Run</x:v>
      </x:c>
      <x:c r="K82" s="26" t="str">
        <x:v>BLD-H6</x:v>
      </x:c>
      <x:c r="L82" s="26"/>
      <x:c r="M82" s="26" t="str">
        <x:v>BASE-1.0</x:v>
      </x:c>
      <x:c r="N82" s="26" t="str">
        <x:v>Complete</x:v>
      </x:c>
      <x:c r="O82" s="26"/>
      <x:c r="P82" s="26" t="str">
        <x:v>VRM Games</x:v>
      </x:c>
      <x:c r="Q82" s="26"/>
    </x:row>
    <x:row r="83" ht="30" customHeight="1">
      <x:c r="A83" s="26" t="str">
        <x:v>VS-BUILD-001</x:v>
      </x:c>
      <x:c r="B83" s="26" t="str">
        <x:v>BUILD</x:v>
      </x:c>
      <x:c r="C83" s="26" t="str">
        <x:v>02_Vertical_Slice_Specification.md</x:v>
      </x:c>
      <x:c r="D83" s="26" t="str">
        <x:v>Windows x64 Development Build se genera sin error.</x:v>
      </x:c>
      <x:c r="E83" s="26" t="str">
        <x:v>CHG-DOC-011</x:v>
      </x:c>
      <x:c r="F83" s="26"/>
      <x:c r="G83" s="26" t="str">
        <x:v>VS-BUILD-001</x:v>
      </x:c>
      <x:c r="H83" s="26"/>
      <x:c r="I83" s="26" t="str">
        <x:v>TC-VS-BUILD-001</x:v>
      </x:c>
      <x:c r="J83" s="26" t="str">
        <x:v>Not Run</x:v>
      </x:c>
      <x:c r="K83" s="26" t="str">
        <x:v>BLD-H6</x:v>
      </x:c>
      <x:c r="L83" s="26"/>
      <x:c r="M83" s="26" t="str">
        <x:v>BASE-1.0</x:v>
      </x:c>
      <x:c r="N83" s="26" t="str">
        <x:v>Complete</x:v>
      </x:c>
      <x:c r="O83" s="26"/>
      <x:c r="P83" s="26" t="str">
        <x:v>VRM Games</x:v>
      </x:c>
      <x:c r="Q83" s="26"/>
    </x:row>
    <x:row r="84" ht="30" customHeight="1">
      <x:c r="A84" s="26" t="str">
        <x:v>VS-BUILD-002</x:v>
      </x:c>
      <x:c r="B84" s="26" t="str">
        <x:v>BUILD</x:v>
      </x:c>
      <x:c r="C84" s="26" t="str">
        <x:v>02_Vertical_Slice_Specification.md</x:v>
      </x:c>
      <x:c r="D84" s="26" t="str">
        <x:v>Ejecutable arranca y completa Golden Path fuera del Editor.</x:v>
      </x:c>
      <x:c r="E84" s="26" t="str">
        <x:v>CHG-DOC-011</x:v>
      </x:c>
      <x:c r="F84" s="26"/>
      <x:c r="G84" s="26" t="str">
        <x:v>VS-BUILD-002</x:v>
      </x:c>
      <x:c r="H84" s="26"/>
      <x:c r="I84" s="26" t="str">
        <x:v>TC-VS-BUILD-002</x:v>
      </x:c>
      <x:c r="J84" s="26" t="str">
        <x:v>Not Run</x:v>
      </x:c>
      <x:c r="K84" s="26" t="str">
        <x:v>BLD-H6</x:v>
      </x:c>
      <x:c r="L84" s="26"/>
      <x:c r="M84" s="26" t="str">
        <x:v>BASE-1.0</x:v>
      </x:c>
      <x:c r="N84" s="26" t="str">
        <x:v>Complete</x:v>
      </x:c>
      <x:c r="O84" s="26"/>
      <x:c r="P84" s="26" t="str">
        <x:v>VRM Games</x:v>
      </x:c>
      <x:c r="Q84" s="26"/>
    </x:row>
    <x:row r="85" ht="30" customHeight="1">
      <x:c r="A85" s="26" t="str">
        <x:v>VS-BUILD-003</x:v>
      </x:c>
      <x:c r="B85" s="26" t="str">
        <x:v>BUILD</x:v>
      </x:c>
      <x:c r="C85" s="26" t="str">
        <x:v>02_Vertical_Slice_Specification.md</x:v>
      </x:c>
      <x:c r="D85" s="26" t="str">
        <x:v>`Player.log` no contiene errores bloqueantes o recurrentes.</x:v>
      </x:c>
      <x:c r="E85" s="26" t="str">
        <x:v>CHG-DOC-011</x:v>
      </x:c>
      <x:c r="F85" s="26"/>
      <x:c r="G85" s="26" t="str">
        <x:v>VS-BUILD-003</x:v>
      </x:c>
      <x:c r="H85" s="26"/>
      <x:c r="I85" s="26" t="str">
        <x:v>TC-VS-BUILD-003</x:v>
      </x:c>
      <x:c r="J85" s="26" t="str">
        <x:v>Not Run</x:v>
      </x:c>
      <x:c r="K85" s="26" t="str">
        <x:v>BLD-H6</x:v>
      </x:c>
      <x:c r="L85" s="26"/>
      <x:c r="M85" s="26" t="str">
        <x:v>BASE-1.0</x:v>
      </x:c>
      <x:c r="N85" s="26" t="str">
        <x:v>Complete</x:v>
      </x:c>
      <x:c r="O85" s="26"/>
      <x:c r="P85" s="26" t="str">
        <x:v>VRM Games</x:v>
      </x:c>
      <x:c r="Q85" s="26"/>
    </x:row>
    <x:row r="86" ht="30" customHeight="1">
      <x:c r="A86" s="26" t="str">
        <x:v>VS-DOC-001</x:v>
      </x:c>
      <x:c r="B86" s="26" t="str">
        <x:v>DOC</x:v>
      </x:c>
      <x:c r="C86" s="26" t="str">
        <x:v>02_Vertical_Slice_Specification.md</x:v>
      </x:c>
      <x:c r="D86" s="26" t="str">
        <x:v>Resultados, defectos, excepciones y decisiones están trazados.</x:v>
      </x:c>
      <x:c r="E86" s="26" t="str">
        <x:v>CHG-DOC-011</x:v>
      </x:c>
      <x:c r="F86" s="26"/>
      <x:c r="G86" s="26" t="str">
        <x:v>VS-DOC-001</x:v>
      </x:c>
      <x:c r="H86" s="26"/>
      <x:c r="I86" s="26" t="str">
        <x:v>TC-VS-DOC-001</x:v>
      </x:c>
      <x:c r="J86" s="26" t="str">
        <x:v>Not Run</x:v>
      </x:c>
      <x:c r="K86" s="26" t="str">
        <x:v>BLD-016-PRE</x:v>
      </x:c>
      <x:c r="L86" s="26"/>
      <x:c r="M86" s="26" t="str">
        <x:v>BASE-1.0</x:v>
      </x:c>
      <x:c r="N86" s="26" t="str">
        <x:v>Complete</x:v>
      </x:c>
      <x:c r="O86" s="26"/>
      <x:c r="P86" s="26" t="str">
        <x:v>VRM Games</x:v>
      </x:c>
      <x:c r="Q86" s="26"/>
    </x:row>
    <x:row r="87" ht="30" customHeight="1">
      <x:c r="A87" s="26" t="str">
        <x:v>VS-TST-001</x:v>
      </x:c>
      <x:c r="B87" s="26" t="str">
        <x:v>TST</x:v>
      </x:c>
      <x:c r="C87" s="26" t="str">
        <x:v>02_Vertical_Slice_Specification.md</x:v>
      </x:c>
      <x:c r="D87" s="26" t="str">
        <x:v>D</x:v>
      </x:c>
      <x:c r="E87" s="26" t="str">
        <x:v>CHG-DOC-011</x:v>
      </x:c>
      <x:c r="F87" s="26"/>
      <x:c r="G87" s="26" t="str">
        <x:v>S17 scenario</x:v>
      </x:c>
      <x:c r="H87" s="26"/>
      <x:c r="I87" s="26" t="str">
        <x:v>TC-VS-TST-001</x:v>
      </x:c>
      <x:c r="J87" s="26" t="str">
        <x:v>Not Run</x:v>
      </x:c>
      <x:c r="K87" s="26" t="str">
        <x:v>BLD-H6</x:v>
      </x:c>
      <x:c r="L87" s="26"/>
      <x:c r="M87" s="26" t="str">
        <x:v>BASE-1.0</x:v>
      </x:c>
      <x:c r="N87" s="26" t="str">
        <x:v>Complete</x:v>
      </x:c>
      <x:c r="O87" s="26"/>
      <x:c r="P87" s="26" t="str">
        <x:v>VRM Games</x:v>
      </x:c>
      <x:c r="Q87" s="26"/>
    </x:row>
    <x:row r="88" ht="30" customHeight="1">
      <x:c r="A88" s="26" t="str">
        <x:v>VS-TST-002</x:v>
      </x:c>
      <x:c r="B88" s="26" t="str">
        <x:v>TST</x:v>
      </x:c>
      <x:c r="C88" s="26" t="str">
        <x:v>02_Vertical_Slice_Specification.md</x:v>
      </x:c>
      <x:c r="D88" s="26" t="str">
        <x:v>D</x:v>
      </x:c>
      <x:c r="E88" s="26" t="str">
        <x:v>CHG-DOC-011</x:v>
      </x:c>
      <x:c r="F88" s="26"/>
      <x:c r="G88" s="26" t="str">
        <x:v>S17 scenario</x:v>
      </x:c>
      <x:c r="H88" s="26"/>
      <x:c r="I88" s="26" t="str">
        <x:v>TC-VS-TST-002</x:v>
      </x:c>
      <x:c r="J88" s="26" t="str">
        <x:v>Not Run</x:v>
      </x:c>
      <x:c r="K88" s="26" t="str">
        <x:v>BLD-H6</x:v>
      </x:c>
      <x:c r="L88" s="26"/>
      <x:c r="M88" s="26" t="str">
        <x:v>BASE-1.0</x:v>
      </x:c>
      <x:c r="N88" s="26" t="str">
        <x:v>Complete</x:v>
      </x:c>
      <x:c r="O88" s="26"/>
      <x:c r="P88" s="26" t="str">
        <x:v>VRM Games</x:v>
      </x:c>
      <x:c r="Q88" s="26"/>
    </x:row>
    <x:row r="89" ht="30" customHeight="1">
      <x:c r="A89" s="26" t="str">
        <x:v>VS-TST-003</x:v>
      </x:c>
      <x:c r="B89" s="26" t="str">
        <x:v>TST</x:v>
      </x:c>
      <x:c r="C89" s="26" t="str">
        <x:v>02_Vertical_Slice_Specification.md</x:v>
      </x:c>
      <x:c r="D89" s="26" t="str">
        <x:v>D/E</x:v>
      </x:c>
      <x:c r="E89" s="26" t="str">
        <x:v>CHG-DOC-011</x:v>
      </x:c>
      <x:c r="F89" s="26"/>
      <x:c r="G89" s="26" t="str">
        <x:v>S17 scenario</x:v>
      </x:c>
      <x:c r="H89" s="26"/>
      <x:c r="I89" s="26" t="str">
        <x:v>TC-VS-TST-003</x:v>
      </x:c>
      <x:c r="J89" s="26" t="str">
        <x:v>Not Run</x:v>
      </x:c>
      <x:c r="K89" s="26" t="str">
        <x:v>BLD-H6</x:v>
      </x:c>
      <x:c r="L89" s="26"/>
      <x:c r="M89" s="26" t="str">
        <x:v>BASE-1.0</x:v>
      </x:c>
      <x:c r="N89" s="26" t="str">
        <x:v>Complete</x:v>
      </x:c>
      <x:c r="O89" s="26"/>
      <x:c r="P89" s="26" t="str">
        <x:v>VRM Games</x:v>
      </x:c>
      <x:c r="Q89" s="26"/>
    </x:row>
    <x:row r="90" ht="30" customHeight="1">
      <x:c r="A90" s="26" t="str">
        <x:v>VS-TST-004</x:v>
      </x:c>
      <x:c r="B90" s="26" t="str">
        <x:v>TST</x:v>
      </x:c>
      <x:c r="C90" s="26" t="str">
        <x:v>02_Vertical_Slice_Specification.md</x:v>
      </x:c>
      <x:c r="D90" s="26" t="str">
        <x:v>F</x:v>
      </x:c>
      <x:c r="E90" s="26" t="str">
        <x:v>CHG-DOC-011</x:v>
      </x:c>
      <x:c r="F90" s="26"/>
      <x:c r="G90" s="26" t="str">
        <x:v>S17 scenario</x:v>
      </x:c>
      <x:c r="H90" s="26"/>
      <x:c r="I90" s="26" t="str">
        <x:v>TC-VS-TST-004</x:v>
      </x:c>
      <x:c r="J90" s="26" t="str">
        <x:v>Not Run</x:v>
      </x:c>
      <x:c r="K90" s="26" t="str">
        <x:v>BLD-H6</x:v>
      </x:c>
      <x:c r="L90" s="26"/>
      <x:c r="M90" s="26" t="str">
        <x:v>BASE-1.0</x:v>
      </x:c>
      <x:c r="N90" s="26" t="str">
        <x:v>Complete</x:v>
      </x:c>
      <x:c r="O90" s="26"/>
      <x:c r="P90" s="26" t="str">
        <x:v>VRM Games</x:v>
      </x:c>
      <x:c r="Q90" s="26"/>
    </x:row>
    <x:row r="91" ht="30" customHeight="1">
      <x:c r="A91" s="26" t="str">
        <x:v>VS-TST-005</x:v>
      </x:c>
      <x:c r="B91" s="26" t="str">
        <x:v>TST</x:v>
      </x:c>
      <x:c r="C91" s="26" t="str">
        <x:v>02_Vertical_Slice_Specification.md</x:v>
      </x:c>
      <x:c r="D91" s="26" t="str">
        <x:v>C/D</x:v>
      </x:c>
      <x:c r="E91" s="26" t="str">
        <x:v>CHG-DOC-011</x:v>
      </x:c>
      <x:c r="F91" s="26"/>
      <x:c r="G91" s="26" t="str">
        <x:v>S17 scenario</x:v>
      </x:c>
      <x:c r="H91" s="26"/>
      <x:c r="I91" s="26" t="str">
        <x:v>TC-VS-TST-005</x:v>
      </x:c>
      <x:c r="J91" s="26" t="str">
        <x:v>Not Run</x:v>
      </x:c>
      <x:c r="K91" s="26" t="str">
        <x:v>BLD-H6</x:v>
      </x:c>
      <x:c r="L91" s="26"/>
      <x:c r="M91" s="26" t="str">
        <x:v>BASE-1.0</x:v>
      </x:c>
      <x:c r="N91" s="26" t="str">
        <x:v>Complete</x:v>
      </x:c>
      <x:c r="O91" s="26"/>
      <x:c r="P91" s="26" t="str">
        <x:v>VRM Games</x:v>
      </x:c>
      <x:c r="Q91" s="26"/>
    </x:row>
    <x:row r="92" ht="30" customHeight="1">
      <x:c r="A92" s="26" t="str">
        <x:v>VS-TST-006</x:v>
      </x:c>
      <x:c r="B92" s="26" t="str">
        <x:v>TST</x:v>
      </x:c>
      <x:c r="C92" s="26" t="str">
        <x:v>02_Vertical_Slice_Specification.md</x:v>
      </x:c>
      <x:c r="D92" s="26" t="str">
        <x:v>C/D</x:v>
      </x:c>
      <x:c r="E92" s="26" t="str">
        <x:v>CHG-DOC-011</x:v>
      </x:c>
      <x:c r="F92" s="26"/>
      <x:c r="G92" s="26" t="str">
        <x:v>S17 scenario</x:v>
      </x:c>
      <x:c r="H92" s="26"/>
      <x:c r="I92" s="26" t="str">
        <x:v>TC-VS-TST-006</x:v>
      </x:c>
      <x:c r="J92" s="26" t="str">
        <x:v>Not Run</x:v>
      </x:c>
      <x:c r="K92" s="26" t="str">
        <x:v>BLD-H6</x:v>
      </x:c>
      <x:c r="L92" s="26"/>
      <x:c r="M92" s="26" t="str">
        <x:v>BASE-1.0</x:v>
      </x:c>
      <x:c r="N92" s="26" t="str">
        <x:v>Complete</x:v>
      </x:c>
      <x:c r="O92" s="26"/>
      <x:c r="P92" s="26" t="str">
        <x:v>VRM Games</x:v>
      </x:c>
      <x:c r="Q92" s="26"/>
    </x:row>
    <x:row r="93" ht="30" customHeight="1">
      <x:c r="A93" s="26" t="str">
        <x:v>VS-TST-007</x:v>
      </x:c>
      <x:c r="B93" s="26" t="str">
        <x:v>TST</x:v>
      </x:c>
      <x:c r="C93" s="26" t="str">
        <x:v>02_Vertical_Slice_Specification.md</x:v>
      </x:c>
      <x:c r="D93" s="26" t="str">
        <x:v>B/C</x:v>
      </x:c>
      <x:c r="E93" s="26" t="str">
        <x:v>CHG-DOC-011</x:v>
      </x:c>
      <x:c r="F93" s="26"/>
      <x:c r="G93" s="26" t="str">
        <x:v>S17 scenario</x:v>
      </x:c>
      <x:c r="H93" s="26"/>
      <x:c r="I93" s="26" t="str">
        <x:v>TC-VS-TST-007</x:v>
      </x:c>
      <x:c r="J93" s="26" t="str">
        <x:v>Not Run</x:v>
      </x:c>
      <x:c r="K93" s="26" t="str">
        <x:v>BLD-H6</x:v>
      </x:c>
      <x:c r="L93" s="26"/>
      <x:c r="M93" s="26" t="str">
        <x:v>BASE-1.0</x:v>
      </x:c>
      <x:c r="N93" s="26" t="str">
        <x:v>Complete</x:v>
      </x:c>
      <x:c r="O93" s="26"/>
      <x:c r="P93" s="26" t="str">
        <x:v>VRM Games</x:v>
      </x:c>
      <x:c r="Q93" s="26"/>
    </x:row>
    <x:row r="94" ht="30" customHeight="1">
      <x:c r="A94" s="26" t="str">
        <x:v>VS-TST-008</x:v>
      </x:c>
      <x:c r="B94" s="26" t="str">
        <x:v>TST</x:v>
      </x:c>
      <x:c r="C94" s="26" t="str">
        <x:v>02_Vertical_Slice_Specification.md</x:v>
      </x:c>
      <x:c r="D94" s="26" t="str">
        <x:v>B/C</x:v>
      </x:c>
      <x:c r="E94" s="26" t="str">
        <x:v>CHG-DOC-011</x:v>
      </x:c>
      <x:c r="F94" s="26"/>
      <x:c r="G94" s="26" t="str">
        <x:v>S17 scenario</x:v>
      </x:c>
      <x:c r="H94" s="26"/>
      <x:c r="I94" s="26" t="str">
        <x:v>TC-VS-TST-008</x:v>
      </x:c>
      <x:c r="J94" s="26" t="str">
        <x:v>Not Run</x:v>
      </x:c>
      <x:c r="K94" s="26" t="str">
        <x:v>BLD-H6</x:v>
      </x:c>
      <x:c r="L94" s="26"/>
      <x:c r="M94" s="26" t="str">
        <x:v>BASE-1.0</x:v>
      </x:c>
      <x:c r="N94" s="26" t="str">
        <x:v>Complete</x:v>
      </x:c>
      <x:c r="O94" s="26"/>
      <x:c r="P94" s="26" t="str">
        <x:v>VRM Games</x:v>
      </x:c>
      <x:c r="Q94" s="26"/>
    </x:row>
    <x:row r="95" ht="30" customHeight="1">
      <x:c r="A95" s="26" t="str">
        <x:v>VS-TST-009</x:v>
      </x:c>
      <x:c r="B95" s="26" t="str">
        <x:v>TST</x:v>
      </x:c>
      <x:c r="C95" s="26" t="str">
        <x:v>02_Vertical_Slice_Specification.md</x:v>
      </x:c>
      <x:c r="D95" s="26" t="str">
        <x:v>B/C</x:v>
      </x:c>
      <x:c r="E95" s="26" t="str">
        <x:v>CHG-DOC-011</x:v>
      </x:c>
      <x:c r="F95" s="26"/>
      <x:c r="G95" s="26" t="str">
        <x:v>S17 scenario</x:v>
      </x:c>
      <x:c r="H95" s="26"/>
      <x:c r="I95" s="26" t="str">
        <x:v>TC-VS-TST-009</x:v>
      </x:c>
      <x:c r="J95" s="26" t="str">
        <x:v>Not Run</x:v>
      </x:c>
      <x:c r="K95" s="26" t="str">
        <x:v>BLD-H6</x:v>
      </x:c>
      <x:c r="L95" s="26"/>
      <x:c r="M95" s="26" t="str">
        <x:v>BASE-1.0</x:v>
      </x:c>
      <x:c r="N95" s="26" t="str">
        <x:v>Complete</x:v>
      </x:c>
      <x:c r="O95" s="26"/>
      <x:c r="P95" s="26" t="str">
        <x:v>VRM Games</x:v>
      </x:c>
      <x:c r="Q95" s="26"/>
    </x:row>
    <x:row r="96" ht="30" customHeight="1">
      <x:c r="A96" s="26" t="str">
        <x:v>VS-TST-010</x:v>
      </x:c>
      <x:c r="B96" s="26" t="str">
        <x:v>TST</x:v>
      </x:c>
      <x:c r="C96" s="26" t="str">
        <x:v>02_Vertical_Slice_Specification.md</x:v>
      </x:c>
      <x:c r="D96" s="26" t="str">
        <x:v>B/C</x:v>
      </x:c>
      <x:c r="E96" s="26" t="str">
        <x:v>CHG-DOC-011</x:v>
      </x:c>
      <x:c r="F96" s="26"/>
      <x:c r="G96" s="26" t="str">
        <x:v>S17 scenario</x:v>
      </x:c>
      <x:c r="H96" s="26"/>
      <x:c r="I96" s="26" t="str">
        <x:v>TC-VS-TST-010</x:v>
      </x:c>
      <x:c r="J96" s="26" t="str">
        <x:v>Not Run</x:v>
      </x:c>
      <x:c r="K96" s="26" t="str">
        <x:v>BLD-H6</x:v>
      </x:c>
      <x:c r="L96" s="26"/>
      <x:c r="M96" s="26" t="str">
        <x:v>BASE-1.0</x:v>
      </x:c>
      <x:c r="N96" s="26" t="str">
        <x:v>Complete</x:v>
      </x:c>
      <x:c r="O96" s="26"/>
      <x:c r="P96" s="26" t="str">
        <x:v>VRM Games</x:v>
      </x:c>
      <x:c r="Q96" s="26"/>
    </x:row>
    <x:row r="97" ht="30" customHeight="1">
      <x:c r="A97" s="26" t="str">
        <x:v>VS-TST-011</x:v>
      </x:c>
      <x:c r="B97" s="26" t="str">
        <x:v>TST</x:v>
      </x:c>
      <x:c r="C97" s="26" t="str">
        <x:v>02_Vertical_Slice_Specification.md</x:v>
      </x:c>
      <x:c r="D97" s="26" t="str">
        <x:v>A/C</x:v>
      </x:c>
      <x:c r="E97" s="26" t="str">
        <x:v>CHG-DOC-011</x:v>
      </x:c>
      <x:c r="F97" s="26"/>
      <x:c r="G97" s="26" t="str">
        <x:v>S17 scenario</x:v>
      </x:c>
      <x:c r="H97" s="26"/>
      <x:c r="I97" s="26" t="str">
        <x:v>TC-VS-TST-011</x:v>
      </x:c>
      <x:c r="J97" s="26" t="str">
        <x:v>Not Run</x:v>
      </x:c>
      <x:c r="K97" s="26" t="str">
        <x:v>BLD-H6</x:v>
      </x:c>
      <x:c r="L97" s="26"/>
      <x:c r="M97" s="26" t="str">
        <x:v>BASE-1.0</x:v>
      </x:c>
      <x:c r="N97" s="26" t="str">
        <x:v>Complete</x:v>
      </x:c>
      <x:c r="O97" s="26"/>
      <x:c r="P97" s="26" t="str">
        <x:v>VRM Games</x:v>
      </x:c>
      <x:c r="Q97" s="26"/>
    </x:row>
    <x:row r="98" ht="30" customHeight="1">
      <x:c r="A98" s="26" t="str">
        <x:v>VS-TST-012</x:v>
      </x:c>
      <x:c r="B98" s="26" t="str">
        <x:v>TST</x:v>
      </x:c>
      <x:c r="C98" s="26" t="str">
        <x:v>02_Vertical_Slice_Specification.md</x:v>
      </x:c>
      <x:c r="D98" s="26" t="str">
        <x:v>A/C</x:v>
      </x:c>
      <x:c r="E98" s="26" t="str">
        <x:v>CHG-DOC-011</x:v>
      </x:c>
      <x:c r="F98" s="26"/>
      <x:c r="G98" s="26" t="str">
        <x:v>S17 scenario</x:v>
      </x:c>
      <x:c r="H98" s="26"/>
      <x:c r="I98" s="26" t="str">
        <x:v>TC-VS-TST-012</x:v>
      </x:c>
      <x:c r="J98" s="26" t="str">
        <x:v>Not Run</x:v>
      </x:c>
      <x:c r="K98" s="26" t="str">
        <x:v>BLD-H6</x:v>
      </x:c>
      <x:c r="L98" s="26"/>
      <x:c r="M98" s="26" t="str">
        <x:v>BASE-1.0</x:v>
      </x:c>
      <x:c r="N98" s="26" t="str">
        <x:v>Complete</x:v>
      </x:c>
      <x:c r="O98" s="26"/>
      <x:c r="P98" s="26" t="str">
        <x:v>VRM Games</x:v>
      </x:c>
      <x:c r="Q98" s="26"/>
    </x:row>
    <x:row r="99" ht="30" customHeight="1">
      <x:c r="A99" s="26" t="str">
        <x:v>VS-TST-013</x:v>
      </x:c>
      <x:c r="B99" s="26" t="str">
        <x:v>TST</x:v>
      </x:c>
      <x:c r="C99" s="26" t="str">
        <x:v>02_Vertical_Slice_Specification.md</x:v>
      </x:c>
      <x:c r="D99" s="26" t="str">
        <x:v>A/C</x:v>
      </x:c>
      <x:c r="E99" s="26" t="str">
        <x:v>CHG-DOC-011</x:v>
      </x:c>
      <x:c r="F99" s="26"/>
      <x:c r="G99" s="26" t="str">
        <x:v>S17 scenario</x:v>
      </x:c>
      <x:c r="H99" s="26"/>
      <x:c r="I99" s="26" t="str">
        <x:v>TC-VS-TST-013</x:v>
      </x:c>
      <x:c r="J99" s="26" t="str">
        <x:v>Not Run</x:v>
      </x:c>
      <x:c r="K99" s="26" t="str">
        <x:v>BLD-H6</x:v>
      </x:c>
      <x:c r="L99" s="26"/>
      <x:c r="M99" s="26" t="str">
        <x:v>BASE-1.0</x:v>
      </x:c>
      <x:c r="N99" s="26" t="str">
        <x:v>Complete</x:v>
      </x:c>
      <x:c r="O99" s="26"/>
      <x:c r="P99" s="26" t="str">
        <x:v>VRM Games</x:v>
      </x:c>
      <x:c r="Q99" s="26"/>
    </x:row>
    <x:row r="100" ht="30" customHeight="1">
      <x:c r="A100" s="26" t="str">
        <x:v>VS-TST-014</x:v>
      </x:c>
      <x:c r="B100" s="26" t="str">
        <x:v>TST</x:v>
      </x:c>
      <x:c r="C100" s="26" t="str">
        <x:v>02_Vertical_Slice_Specification.md</x:v>
      </x:c>
      <x:c r="D100" s="26" t="str">
        <x:v>A/C</x:v>
      </x:c>
      <x:c r="E100" s="26" t="str">
        <x:v>CHG-DOC-011</x:v>
      </x:c>
      <x:c r="F100" s="26"/>
      <x:c r="G100" s="26" t="str">
        <x:v>S17 scenario</x:v>
      </x:c>
      <x:c r="H100" s="26"/>
      <x:c r="I100" s="26" t="str">
        <x:v>TC-VS-TST-014</x:v>
      </x:c>
      <x:c r="J100" s="26" t="str">
        <x:v>Not Run</x:v>
      </x:c>
      <x:c r="K100" s="26" t="str">
        <x:v>BLD-H6</x:v>
      </x:c>
      <x:c r="L100" s="26"/>
      <x:c r="M100" s="26" t="str">
        <x:v>BASE-1.0</x:v>
      </x:c>
      <x:c r="N100" s="26" t="str">
        <x:v>Complete</x:v>
      </x:c>
      <x:c r="O100" s="26"/>
      <x:c r="P100" s="26" t="str">
        <x:v>VRM Games</x:v>
      </x:c>
      <x:c r="Q100" s="26"/>
    </x:row>
    <x:row r="101" ht="30" customHeight="1">
      <x:c r="A101" s="26" t="str">
        <x:v>VS-TST-015</x:v>
      </x:c>
      <x:c r="B101" s="26" t="str">
        <x:v>TST</x:v>
      </x:c>
      <x:c r="C101" s="26" t="str">
        <x:v>02_Vertical_Slice_Specification.md</x:v>
      </x:c>
      <x:c r="D101" s="26" t="str">
        <x:v>A/C</x:v>
      </x:c>
      <x:c r="E101" s="26" t="str">
        <x:v>CHG-DOC-011</x:v>
      </x:c>
      <x:c r="F101" s="26"/>
      <x:c r="G101" s="26" t="str">
        <x:v>S17 scenario</x:v>
      </x:c>
      <x:c r="H101" s="26"/>
      <x:c r="I101" s="26" t="str">
        <x:v>TC-VS-TST-015</x:v>
      </x:c>
      <x:c r="J101" s="26" t="str">
        <x:v>Not Run</x:v>
      </x:c>
      <x:c r="K101" s="26" t="str">
        <x:v>BLD-H6</x:v>
      </x:c>
      <x:c r="L101" s="26"/>
      <x:c r="M101" s="26" t="str">
        <x:v>BASE-1.0</x:v>
      </x:c>
      <x:c r="N101" s="26" t="str">
        <x:v>Complete</x:v>
      </x:c>
      <x:c r="O101" s="26"/>
      <x:c r="P101" s="26" t="str">
        <x:v>VRM Games</x:v>
      </x:c>
      <x:c r="Q101" s="26"/>
    </x:row>
    <x:row r="102" ht="30" customHeight="1">
      <x:c r="A102" s="26" t="str">
        <x:v>VS-TST-016</x:v>
      </x:c>
      <x:c r="B102" s="26" t="str">
        <x:v>TST</x:v>
      </x:c>
      <x:c r="C102" s="26" t="str">
        <x:v>02_Vertical_Slice_Specification.md</x:v>
      </x:c>
      <x:c r="D102" s="26" t="str">
        <x:v>A/C</x:v>
      </x:c>
      <x:c r="E102" s="26" t="str">
        <x:v>CHG-DOC-011</x:v>
      </x:c>
      <x:c r="F102" s="26"/>
      <x:c r="G102" s="26" t="str">
        <x:v>S17 scenario</x:v>
      </x:c>
      <x:c r="H102" s="26"/>
      <x:c r="I102" s="26" t="str">
        <x:v>TC-VS-TST-016</x:v>
      </x:c>
      <x:c r="J102" s="26" t="str">
        <x:v>Not Run</x:v>
      </x:c>
      <x:c r="K102" s="26" t="str">
        <x:v>BLD-H6</x:v>
      </x:c>
      <x:c r="L102" s="26"/>
      <x:c r="M102" s="26" t="str">
        <x:v>BASE-1.0</x:v>
      </x:c>
      <x:c r="N102" s="26" t="str">
        <x:v>Complete</x:v>
      </x:c>
      <x:c r="O102" s="26"/>
      <x:c r="P102" s="26" t="str">
        <x:v>VRM Games</x:v>
      </x:c>
      <x:c r="Q102" s="26"/>
    </x:row>
    <x:row r="103" ht="30" customHeight="1">
      <x:c r="A103" s="26" t="str">
        <x:v>VS-TST-017</x:v>
      </x:c>
      <x:c r="B103" s="26" t="str">
        <x:v>TST</x:v>
      </x:c>
      <x:c r="C103" s="26" t="str">
        <x:v>02_Vertical_Slice_Specification.md</x:v>
      </x:c>
      <x:c r="D103" s="26" t="str">
        <x:v>A/C</x:v>
      </x:c>
      <x:c r="E103" s="26" t="str">
        <x:v>CHG-DOC-011</x:v>
      </x:c>
      <x:c r="F103" s="26"/>
      <x:c r="G103" s="26" t="str">
        <x:v>S17 scenario</x:v>
      </x:c>
      <x:c r="H103" s="26"/>
      <x:c r="I103" s="26" t="str">
        <x:v>TC-VS-TST-017</x:v>
      </x:c>
      <x:c r="J103" s="26" t="str">
        <x:v>Not Run</x:v>
      </x:c>
      <x:c r="K103" s="26" t="str">
        <x:v>BLD-H6</x:v>
      </x:c>
      <x:c r="L103" s="26"/>
      <x:c r="M103" s="26" t="str">
        <x:v>BASE-1.0</x:v>
      </x:c>
      <x:c r="N103" s="26" t="str">
        <x:v>Complete</x:v>
      </x:c>
      <x:c r="O103" s="26"/>
      <x:c r="P103" s="26" t="str">
        <x:v>VRM Games</x:v>
      </x:c>
      <x:c r="Q103" s="26"/>
    </x:row>
    <x:row r="104" ht="30" customHeight="1">
      <x:c r="A104" s="26" t="str">
        <x:v>VS-TST-018</x:v>
      </x:c>
      <x:c r="B104" s="26" t="str">
        <x:v>TST</x:v>
      </x:c>
      <x:c r="C104" s="26" t="str">
        <x:v>02_Vertical_Slice_Specification.md</x:v>
      </x:c>
      <x:c r="D104" s="26" t="str">
        <x:v>A/C</x:v>
      </x:c>
      <x:c r="E104" s="26" t="str">
        <x:v>CHG-DOC-011</x:v>
      </x:c>
      <x:c r="F104" s="26"/>
      <x:c r="G104" s="26" t="str">
        <x:v>S17 scenario</x:v>
      </x:c>
      <x:c r="H104" s="26"/>
      <x:c r="I104" s="26" t="str">
        <x:v>TC-VS-TST-018</x:v>
      </x:c>
      <x:c r="J104" s="26" t="str">
        <x:v>Not Run</x:v>
      </x:c>
      <x:c r="K104" s="26" t="str">
        <x:v>BLD-H6</x:v>
      </x:c>
      <x:c r="L104" s="26"/>
      <x:c r="M104" s="26" t="str">
        <x:v>BASE-1.0</x:v>
      </x:c>
      <x:c r="N104" s="26" t="str">
        <x:v>Complete</x:v>
      </x:c>
      <x:c r="O104" s="26"/>
      <x:c r="P104" s="26" t="str">
        <x:v>VRM Games</x:v>
      </x:c>
      <x:c r="Q104" s="26"/>
    </x:row>
    <x:row r="105" ht="30" customHeight="1">
      <x:c r="A105" s="26" t="str">
        <x:v>VS-TST-019</x:v>
      </x:c>
      <x:c r="B105" s="26" t="str">
        <x:v>TST</x:v>
      </x:c>
      <x:c r="C105" s="26" t="str">
        <x:v>02_Vertical_Slice_Specification.md</x:v>
      </x:c>
      <x:c r="D105" s="26" t="str">
        <x:v>C/F</x:v>
      </x:c>
      <x:c r="E105" s="26" t="str">
        <x:v>CHG-DOC-011</x:v>
      </x:c>
      <x:c r="F105" s="26"/>
      <x:c r="G105" s="26" t="str">
        <x:v>S17 scenario</x:v>
      </x:c>
      <x:c r="H105" s="26"/>
      <x:c r="I105" s="26" t="str">
        <x:v>TC-VS-TST-019</x:v>
      </x:c>
      <x:c r="J105" s="26" t="str">
        <x:v>Not Run</x:v>
      </x:c>
      <x:c r="K105" s="26" t="str">
        <x:v>BLD-H6</x:v>
      </x:c>
      <x:c r="L105" s="26"/>
      <x:c r="M105" s="26" t="str">
        <x:v>BASE-1.0</x:v>
      </x:c>
      <x:c r="N105" s="26" t="str">
        <x:v>Complete</x:v>
      </x:c>
      <x:c r="O105" s="26"/>
      <x:c r="P105" s="26" t="str">
        <x:v>VRM Games</x:v>
      </x:c>
      <x:c r="Q105" s="26"/>
    </x:row>
    <x:row r="106" ht="30" customHeight="1">
      <x:c r="A106" s="26" t="str">
        <x:v>VS-TST-020</x:v>
      </x:c>
      <x:c r="B106" s="26" t="str">
        <x:v>TST</x:v>
      </x:c>
      <x:c r="C106" s="26" t="str">
        <x:v>02_Vertical_Slice_Specification.md</x:v>
      </x:c>
      <x:c r="D106" s="26" t="str">
        <x:v>C/D</x:v>
      </x:c>
      <x:c r="E106" s="26" t="str">
        <x:v>CHG-DOC-011</x:v>
      </x:c>
      <x:c r="F106" s="26"/>
      <x:c r="G106" s="26" t="str">
        <x:v>S17 scenario</x:v>
      </x:c>
      <x:c r="H106" s="26"/>
      <x:c r="I106" s="26" t="str">
        <x:v>TC-VS-TST-020</x:v>
      </x:c>
      <x:c r="J106" s="26" t="str">
        <x:v>Not Run</x:v>
      </x:c>
      <x:c r="K106" s="26" t="str">
        <x:v>BLD-H6</x:v>
      </x:c>
      <x:c r="L106" s="26"/>
      <x:c r="M106" s="26" t="str">
        <x:v>BASE-1.0</x:v>
      </x:c>
      <x:c r="N106" s="26" t="str">
        <x:v>Complete</x:v>
      </x:c>
      <x:c r="O106" s="26"/>
      <x:c r="P106" s="26" t="str">
        <x:v>VRM Games</x:v>
      </x:c>
      <x:c r="Q106" s="26"/>
    </x:row>
    <x:row r="107" ht="30" customHeight="1">
      <x:c r="A107" s="26" t="str">
        <x:v>VS-TST-021</x:v>
      </x:c>
      <x:c r="B107" s="26" t="str">
        <x:v>TST</x:v>
      </x:c>
      <x:c r="C107" s="26" t="str">
        <x:v>02_Vertical_Slice_Specification.md</x:v>
      </x:c>
      <x:c r="D107" s="26" t="str">
        <x:v>A/C</x:v>
      </x:c>
      <x:c r="E107" s="26" t="str">
        <x:v>CHG-DOC-011</x:v>
      </x:c>
      <x:c r="F107" s="26"/>
      <x:c r="G107" s="26" t="str">
        <x:v>S17 scenario</x:v>
      </x:c>
      <x:c r="H107" s="26"/>
      <x:c r="I107" s="26" t="str">
        <x:v>TC-VS-TST-021</x:v>
      </x:c>
      <x:c r="J107" s="26" t="str">
        <x:v>Not Run</x:v>
      </x:c>
      <x:c r="K107" s="26" t="str">
        <x:v>BLD-H6</x:v>
      </x:c>
      <x:c r="L107" s="26"/>
      <x:c r="M107" s="26" t="str">
        <x:v>BASE-1.0</x:v>
      </x:c>
      <x:c r="N107" s="26" t="str">
        <x:v>Complete</x:v>
      </x:c>
      <x:c r="O107" s="26"/>
      <x:c r="P107" s="26" t="str">
        <x:v>VRM Games</x:v>
      </x:c>
      <x:c r="Q107" s="26"/>
    </x:row>
    <x:row r="108" ht="30" customHeight="1">
      <x:c r="A108" s="26" t="str">
        <x:v>VS-TST-022</x:v>
      </x:c>
      <x:c r="B108" s="26" t="str">
        <x:v>TST</x:v>
      </x:c>
      <x:c r="C108" s="26" t="str">
        <x:v>02_Vertical_Slice_Specification.md</x:v>
      </x:c>
      <x:c r="D108" s="26" t="str">
        <x:v>A/C</x:v>
      </x:c>
      <x:c r="E108" s="26" t="str">
        <x:v>CHG-DOC-011</x:v>
      </x:c>
      <x:c r="F108" s="26"/>
      <x:c r="G108" s="26" t="str">
        <x:v>S17 scenario</x:v>
      </x:c>
      <x:c r="H108" s="26"/>
      <x:c r="I108" s="26" t="str">
        <x:v>TC-VS-TST-022</x:v>
      </x:c>
      <x:c r="J108" s="26" t="str">
        <x:v>Not Run</x:v>
      </x:c>
      <x:c r="K108" s="26" t="str">
        <x:v>BLD-H6</x:v>
      </x:c>
      <x:c r="L108" s="26"/>
      <x:c r="M108" s="26" t="str">
        <x:v>BASE-1.0</x:v>
      </x:c>
      <x:c r="N108" s="26" t="str">
        <x:v>Complete</x:v>
      </x:c>
      <x:c r="O108" s="26"/>
      <x:c r="P108" s="26" t="str">
        <x:v>VRM Games</x:v>
      </x:c>
      <x:c r="Q108" s="26"/>
    </x:row>
    <x:row r="109" ht="30" customHeight="1">
      <x:c r="A109" s="26" t="str">
        <x:v>VS-TST-023</x:v>
      </x:c>
      <x:c r="B109" s="26" t="str">
        <x:v>TST</x:v>
      </x:c>
      <x:c r="C109" s="26" t="str">
        <x:v>02_Vertical_Slice_Specification.md</x:v>
      </x:c>
      <x:c r="D109" s="26" t="str">
        <x:v>C/F</x:v>
      </x:c>
      <x:c r="E109" s="26" t="str">
        <x:v>CHG-DOC-011</x:v>
      </x:c>
      <x:c r="F109" s="26"/>
      <x:c r="G109" s="26" t="str">
        <x:v>S17 scenario</x:v>
      </x:c>
      <x:c r="H109" s="26"/>
      <x:c r="I109" s="26" t="str">
        <x:v>TC-VS-TST-023</x:v>
      </x:c>
      <x:c r="J109" s="26" t="str">
        <x:v>Not Run</x:v>
      </x:c>
      <x:c r="K109" s="26" t="str">
        <x:v>BLD-H6</x:v>
      </x:c>
      <x:c r="L109" s="26"/>
      <x:c r="M109" s="26" t="str">
        <x:v>BASE-1.0</x:v>
      </x:c>
      <x:c r="N109" s="26" t="str">
        <x:v>Complete</x:v>
      </x:c>
      <x:c r="O109" s="26"/>
      <x:c r="P109" s="26" t="str">
        <x:v>VRM Games</x:v>
      </x:c>
      <x:c r="Q109" s="26"/>
    </x:row>
    <x:row r="110" ht="30" customHeight="1">
      <x:c r="A110" s="26" t="str">
        <x:v>VS-TST-024</x:v>
      </x:c>
      <x:c r="B110" s="26" t="str">
        <x:v>TST</x:v>
      </x:c>
      <x:c r="C110" s="26" t="str">
        <x:v>02_Vertical_Slice_Specification.md</x:v>
      </x:c>
      <x:c r="D110" s="26" t="str">
        <x:v>A/C</x:v>
      </x:c>
      <x:c r="E110" s="26" t="str">
        <x:v>CHG-DOC-011</x:v>
      </x:c>
      <x:c r="F110" s="26"/>
      <x:c r="G110" s="26" t="str">
        <x:v>S17 scenario</x:v>
      </x:c>
      <x:c r="H110" s="26"/>
      <x:c r="I110" s="26" t="str">
        <x:v>TC-VS-TST-024</x:v>
      </x:c>
      <x:c r="J110" s="26" t="str">
        <x:v>Not Run</x:v>
      </x:c>
      <x:c r="K110" s="26" t="str">
        <x:v>BLD-H6</x:v>
      </x:c>
      <x:c r="L110" s="26"/>
      <x:c r="M110" s="26" t="str">
        <x:v>BASE-1.0</x:v>
      </x:c>
      <x:c r="N110" s="26" t="str">
        <x:v>Complete</x:v>
      </x:c>
      <x:c r="O110" s="26"/>
      <x:c r="P110" s="26" t="str">
        <x:v>VRM Games</x:v>
      </x:c>
      <x:c r="Q110" s="26"/>
    </x:row>
    <x:row r="111" ht="30" customHeight="1">
      <x:c r="A111" s="26" t="str">
        <x:v>VS-TST-025</x:v>
      </x:c>
      <x:c r="B111" s="26" t="str">
        <x:v>TST</x:v>
      </x:c>
      <x:c r="C111" s="26" t="str">
        <x:v>02_Vertical_Slice_Specification.md</x:v>
      </x:c>
      <x:c r="D111" s="26" t="str">
        <x:v>A/C</x:v>
      </x:c>
      <x:c r="E111" s="26" t="str">
        <x:v>CHG-DOC-011</x:v>
      </x:c>
      <x:c r="F111" s="26"/>
      <x:c r="G111" s="26" t="str">
        <x:v>S17 scenario</x:v>
      </x:c>
      <x:c r="H111" s="26"/>
      <x:c r="I111" s="26" t="str">
        <x:v>TC-VS-TST-025</x:v>
      </x:c>
      <x:c r="J111" s="26" t="str">
        <x:v>Not Run</x:v>
      </x:c>
      <x:c r="K111" s="26" t="str">
        <x:v>BLD-H6</x:v>
      </x:c>
      <x:c r="L111" s="26"/>
      <x:c r="M111" s="26" t="str">
        <x:v>BASE-1.0</x:v>
      </x:c>
      <x:c r="N111" s="26" t="str">
        <x:v>Complete</x:v>
      </x:c>
      <x:c r="O111" s="26"/>
      <x:c r="P111" s="26" t="str">
        <x:v>VRM Games</x:v>
      </x:c>
      <x:c r="Q111" s="26"/>
    </x:row>
    <x:row r="112" ht="30" customHeight="1">
      <x:c r="A112" s="26" t="str">
        <x:v>VS-TST-026</x:v>
      </x:c>
      <x:c r="B112" s="26" t="str">
        <x:v>TST</x:v>
      </x:c>
      <x:c r="C112" s="26" t="str">
        <x:v>02_Vertical_Slice_Specification.md</x:v>
      </x:c>
      <x:c r="D112" s="26" t="str">
        <x:v>A/F</x:v>
      </x:c>
      <x:c r="E112" s="26" t="str">
        <x:v>CHG-DOC-011</x:v>
      </x:c>
      <x:c r="F112" s="26"/>
      <x:c r="G112" s="26" t="str">
        <x:v>S17 scenario</x:v>
      </x:c>
      <x:c r="H112" s="26"/>
      <x:c r="I112" s="26" t="str">
        <x:v>TC-VS-TST-026</x:v>
      </x:c>
      <x:c r="J112" s="26" t="str">
        <x:v>Not Run</x:v>
      </x:c>
      <x:c r="K112" s="26" t="str">
        <x:v>BLD-H6</x:v>
      </x:c>
      <x:c r="L112" s="26"/>
      <x:c r="M112" s="26" t="str">
        <x:v>BASE-1.0</x:v>
      </x:c>
      <x:c r="N112" s="26" t="str">
        <x:v>Complete</x:v>
      </x:c>
      <x:c r="O112" s="26"/>
      <x:c r="P112" s="26" t="str">
        <x:v>VRM Games</x:v>
      </x:c>
      <x:c r="Q112" s="26"/>
    </x:row>
    <x:row r="113" ht="30" customHeight="1">
      <x:c r="A113" s="26" t="str">
        <x:v>VS-TST-027</x:v>
      </x:c>
      <x:c r="B113" s="26" t="str">
        <x:v>TST</x:v>
      </x:c>
      <x:c r="C113" s="26" t="str">
        <x:v>02_Vertical_Slice_Specification.md</x:v>
      </x:c>
      <x:c r="D113" s="26" t="str">
        <x:v>A/F</x:v>
      </x:c>
      <x:c r="E113" s="26" t="str">
        <x:v>CHG-DOC-011</x:v>
      </x:c>
      <x:c r="F113" s="26"/>
      <x:c r="G113" s="26" t="str">
        <x:v>S17 scenario</x:v>
      </x:c>
      <x:c r="H113" s="26"/>
      <x:c r="I113" s="26" t="str">
        <x:v>TC-VS-TST-027</x:v>
      </x:c>
      <x:c r="J113" s="26" t="str">
        <x:v>Not Run</x:v>
      </x:c>
      <x:c r="K113" s="26" t="str">
        <x:v>BLD-H6</x:v>
      </x:c>
      <x:c r="L113" s="26"/>
      <x:c r="M113" s="26" t="str">
        <x:v>BASE-1.0</x:v>
      </x:c>
      <x:c r="N113" s="26" t="str">
        <x:v>Complete</x:v>
      </x:c>
      <x:c r="O113" s="26"/>
      <x:c r="P113" s="26" t="str">
        <x:v>VRM Games</x:v>
      </x:c>
      <x:c r="Q113" s="26"/>
    </x:row>
    <x:row r="114" ht="30" customHeight="1">
      <x:c r="A114" s="26" t="str">
        <x:v>VS-TST-028</x:v>
      </x:c>
      <x:c r="B114" s="26" t="str">
        <x:v>TST</x:v>
      </x:c>
      <x:c r="C114" s="26" t="str">
        <x:v>02_Vertical_Slice_Specification.md</x:v>
      </x:c>
      <x:c r="D114" s="26" t="str">
        <x:v>C/D</x:v>
      </x:c>
      <x:c r="E114" s="26" t="str">
        <x:v>CHG-DOC-011</x:v>
      </x:c>
      <x:c r="F114" s="26"/>
      <x:c r="G114" s="26" t="str">
        <x:v>S17 scenario</x:v>
      </x:c>
      <x:c r="H114" s="26"/>
      <x:c r="I114" s="26" t="str">
        <x:v>TC-VS-TST-028</x:v>
      </x:c>
      <x:c r="J114" s="26" t="str">
        <x:v>Not Run</x:v>
      </x:c>
      <x:c r="K114" s="26" t="str">
        <x:v>BLD-H6</x:v>
      </x:c>
      <x:c r="L114" s="26"/>
      <x:c r="M114" s="26" t="str">
        <x:v>BASE-1.0</x:v>
      </x:c>
      <x:c r="N114" s="26" t="str">
        <x:v>Complete</x:v>
      </x:c>
      <x:c r="O114" s="26"/>
      <x:c r="P114" s="26" t="str">
        <x:v>VRM Games</x:v>
      </x:c>
      <x:c r="Q114" s="26"/>
    </x:row>
    <x:row r="115" ht="30" customHeight="1">
      <x:c r="A115" s="26" t="str">
        <x:v>VS-TST-029</x:v>
      </x:c>
      <x:c r="B115" s="26" t="str">
        <x:v>TST</x:v>
      </x:c>
      <x:c r="C115" s="26" t="str">
        <x:v>02_Vertical_Slice_Specification.md</x:v>
      </x:c>
      <x:c r="D115" s="26" t="str">
        <x:v>C/D</x:v>
      </x:c>
      <x:c r="E115" s="26" t="str">
        <x:v>CHG-DOC-011</x:v>
      </x:c>
      <x:c r="F115" s="26"/>
      <x:c r="G115" s="26" t="str">
        <x:v>S17 scenario</x:v>
      </x:c>
      <x:c r="H115" s="26"/>
      <x:c r="I115" s="26" t="str">
        <x:v>TC-VS-TST-029</x:v>
      </x:c>
      <x:c r="J115" s="26" t="str">
        <x:v>Not Run</x:v>
      </x:c>
      <x:c r="K115" s="26" t="str">
        <x:v>BLD-H6</x:v>
      </x:c>
      <x:c r="L115" s="26"/>
      <x:c r="M115" s="26" t="str">
        <x:v>BASE-1.0</x:v>
      </x:c>
      <x:c r="N115" s="26" t="str">
        <x:v>Complete</x:v>
      </x:c>
      <x:c r="O115" s="26"/>
      <x:c r="P115" s="26" t="str">
        <x:v>VRM Games</x:v>
      </x:c>
      <x:c r="Q115" s="26"/>
    </x:row>
    <x:row r="116" ht="30" customHeight="1">
      <x:c r="A116" s="26" t="str">
        <x:v>VS-TST-030</x:v>
      </x:c>
      <x:c r="B116" s="26" t="str">
        <x:v>TST</x:v>
      </x:c>
      <x:c r="C116" s="26" t="str">
        <x:v>02_Vertical_Slice_Specification.md</x:v>
      </x:c>
      <x:c r="D116" s="26" t="str">
        <x:v>A/D</x:v>
      </x:c>
      <x:c r="E116" s="26" t="str">
        <x:v>CHG-DOC-011</x:v>
      </x:c>
      <x:c r="F116" s="26"/>
      <x:c r="G116" s="26" t="str">
        <x:v>S17 scenario</x:v>
      </x:c>
      <x:c r="H116" s="26"/>
      <x:c r="I116" s="26" t="str">
        <x:v>TC-VS-TST-030</x:v>
      </x:c>
      <x:c r="J116" s="26" t="str">
        <x:v>Not Run</x:v>
      </x:c>
      <x:c r="K116" s="26" t="str">
        <x:v>BLD-H6</x:v>
      </x:c>
      <x:c r="L116" s="26"/>
      <x:c r="M116" s="26" t="str">
        <x:v>BASE-1.0</x:v>
      </x:c>
      <x:c r="N116" s="26" t="str">
        <x:v>Complete</x:v>
      </x:c>
      <x:c r="O116" s="26"/>
      <x:c r="P116" s="26" t="str">
        <x:v>VRM Games</x:v>
      </x:c>
      <x:c r="Q116" s="26"/>
    </x:row>
    <x:row r="117" ht="30" customHeight="1">
      <x:c r="A117" s="26" t="str">
        <x:v>VS-TST-031</x:v>
      </x:c>
      <x:c r="B117" s="26" t="str">
        <x:v>TST</x:v>
      </x:c>
      <x:c r="C117" s="26" t="str">
        <x:v>02_Vertical_Slice_Specification.md</x:v>
      </x:c>
      <x:c r="D117" s="26" t="str">
        <x:v>B/E</x:v>
      </x:c>
      <x:c r="E117" s="26" t="str">
        <x:v>CHG-DOC-011</x:v>
      </x:c>
      <x:c r="F117" s="26"/>
      <x:c r="G117" s="26" t="str">
        <x:v>S17 scenario</x:v>
      </x:c>
      <x:c r="H117" s="26"/>
      <x:c r="I117" s="26" t="str">
        <x:v>TC-VS-TST-031</x:v>
      </x:c>
      <x:c r="J117" s="26" t="str">
        <x:v>Not Run</x:v>
      </x:c>
      <x:c r="K117" s="26" t="str">
        <x:v>BLD-H6</x:v>
      </x:c>
      <x:c r="L117" s="26"/>
      <x:c r="M117" s="26" t="str">
        <x:v>BASE-1.0</x:v>
      </x:c>
      <x:c r="N117" s="26" t="str">
        <x:v>Complete</x:v>
      </x:c>
      <x:c r="O117" s="26"/>
      <x:c r="P117" s="26" t="str">
        <x:v>VRM Games</x:v>
      </x:c>
      <x:c r="Q117" s="26"/>
    </x:row>
    <x:row r="118" ht="30" customHeight="1">
      <x:c r="A118" s="26" t="str">
        <x:v>VS-TST-032</x:v>
      </x:c>
      <x:c r="B118" s="26" t="str">
        <x:v>TST</x:v>
      </x:c>
      <x:c r="C118" s="26" t="str">
        <x:v>02_Vertical_Slice_Specification.md</x:v>
      </x:c>
      <x:c r="D118" s="26" t="str">
        <x:v>C/D</x:v>
      </x:c>
      <x:c r="E118" s="26" t="str">
        <x:v>CHG-DOC-011</x:v>
      </x:c>
      <x:c r="F118" s="26"/>
      <x:c r="G118" s="26" t="str">
        <x:v>S17 scenario</x:v>
      </x:c>
      <x:c r="H118" s="26"/>
      <x:c r="I118" s="26" t="str">
        <x:v>TC-VS-TST-032</x:v>
      </x:c>
      <x:c r="J118" s="26" t="str">
        <x:v>Not Run</x:v>
      </x:c>
      <x:c r="K118" s="26" t="str">
        <x:v>BLD-H6</x:v>
      </x:c>
      <x:c r="L118" s="26"/>
      <x:c r="M118" s="26" t="str">
        <x:v>BASE-1.0</x:v>
      </x:c>
      <x:c r="N118" s="26" t="str">
        <x:v>Complete</x:v>
      </x:c>
      <x:c r="O118" s="26"/>
      <x:c r="P118" s="26" t="str">
        <x:v>VRM Games</x:v>
      </x:c>
      <x:c r="Q118" s="26"/>
    </x:row>
    <x:row r="119" ht="30" customHeight="1">
      <x:c r="A119" s="26" t="str">
        <x:v>VS-TST-033</x:v>
      </x:c>
      <x:c r="B119" s="26" t="str">
        <x:v>TST</x:v>
      </x:c>
      <x:c r="C119" s="26" t="str">
        <x:v>02_Vertical_Slice_Specification.md</x:v>
      </x:c>
      <x:c r="D119" s="26" t="str">
        <x:v>C/E</x:v>
      </x:c>
      <x:c r="E119" s="26" t="str">
        <x:v>CHG-DOC-011</x:v>
      </x:c>
      <x:c r="F119" s="26"/>
      <x:c r="G119" s="26" t="str">
        <x:v>S17 scenario</x:v>
      </x:c>
      <x:c r="H119" s="26"/>
      <x:c r="I119" s="26" t="str">
        <x:v>TC-VS-TST-033</x:v>
      </x:c>
      <x:c r="J119" s="26" t="str">
        <x:v>Not Run</x:v>
      </x:c>
      <x:c r="K119" s="26" t="str">
        <x:v>BLD-H6</x:v>
      </x:c>
      <x:c r="L119" s="26"/>
      <x:c r="M119" s="26" t="str">
        <x:v>BASE-1.0</x:v>
      </x:c>
      <x:c r="N119" s="26" t="str">
        <x:v>Complete</x:v>
      </x:c>
      <x:c r="O119" s="26"/>
      <x:c r="P119" s="26" t="str">
        <x:v>VRM Games</x:v>
      </x:c>
      <x:c r="Q119" s="26"/>
    </x:row>
    <x:row r="120" ht="30" customHeight="1">
      <x:c r="A120" s="26" t="str">
        <x:v>VS-TST-034</x:v>
      </x:c>
      <x:c r="B120" s="26" t="str">
        <x:v>TST</x:v>
      </x:c>
      <x:c r="C120" s="26" t="str">
        <x:v>02_Vertical_Slice_Specification.md</x:v>
      </x:c>
      <x:c r="D120" s="26" t="str">
        <x:v>C/E</x:v>
      </x:c>
      <x:c r="E120" s="26" t="str">
        <x:v>CHG-DOC-011</x:v>
      </x:c>
      <x:c r="F120" s="26"/>
      <x:c r="G120" s="26" t="str">
        <x:v>S17 scenario</x:v>
      </x:c>
      <x:c r="H120" s="26"/>
      <x:c r="I120" s="26" t="str">
        <x:v>TC-VS-TST-034</x:v>
      </x:c>
      <x:c r="J120" s="26" t="str">
        <x:v>Not Run</x:v>
      </x:c>
      <x:c r="K120" s="26" t="str">
        <x:v>BLD-H6</x:v>
      </x:c>
      <x:c r="L120" s="26"/>
      <x:c r="M120" s="26" t="str">
        <x:v>BASE-1.0</x:v>
      </x:c>
      <x:c r="N120" s="26" t="str">
        <x:v>Complete</x:v>
      </x:c>
      <x:c r="O120" s="26"/>
      <x:c r="P120" s="26" t="str">
        <x:v>VRM Games</x:v>
      </x:c>
      <x:c r="Q120" s="26"/>
    </x:row>
    <x:row r="121" ht="30" customHeight="1">
      <x:c r="A121" s="26" t="str">
        <x:v>VS-TST-035</x:v>
      </x:c>
      <x:c r="B121" s="26" t="str">
        <x:v>TST</x:v>
      </x:c>
      <x:c r="C121" s="26" t="str">
        <x:v>02_Vertical_Slice_Specification.md</x:v>
      </x:c>
      <x:c r="D121" s="26" t="str">
        <x:v>C/E</x:v>
      </x:c>
      <x:c r="E121" s="26" t="str">
        <x:v>CHG-DOC-011</x:v>
      </x:c>
      <x:c r="F121" s="26"/>
      <x:c r="G121" s="26" t="str">
        <x:v>S17 scenario</x:v>
      </x:c>
      <x:c r="H121" s="26"/>
      <x:c r="I121" s="26" t="str">
        <x:v>TC-VS-TST-035</x:v>
      </x:c>
      <x:c r="J121" s="26" t="str">
        <x:v>Not Run</x:v>
      </x:c>
      <x:c r="K121" s="26" t="str">
        <x:v>BLD-H6</x:v>
      </x:c>
      <x:c r="L121" s="26"/>
      <x:c r="M121" s="26" t="str">
        <x:v>BASE-1.0</x:v>
      </x:c>
      <x:c r="N121" s="26" t="str">
        <x:v>Complete</x:v>
      </x:c>
      <x:c r="O121" s="26"/>
      <x:c r="P121" s="26" t="str">
        <x:v>VRM Games</x:v>
      </x:c>
      <x:c r="Q121" s="26"/>
    </x:row>
    <x:row r="122" ht="30" customHeight="1">
      <x:c r="A122" s="26" t="str">
        <x:v>VS-TST-036</x:v>
      </x:c>
      <x:c r="B122" s="26" t="str">
        <x:v>TST</x:v>
      </x:c>
      <x:c r="C122" s="26" t="str">
        <x:v>02_Vertical_Slice_Specification.md</x:v>
      </x:c>
      <x:c r="D122" s="26" t="str">
        <x:v>C/E</x:v>
      </x:c>
      <x:c r="E122" s="26" t="str">
        <x:v>CHG-DOC-011</x:v>
      </x:c>
      <x:c r="F122" s="26"/>
      <x:c r="G122" s="26" t="str">
        <x:v>S17 scenario</x:v>
      </x:c>
      <x:c r="H122" s="26"/>
      <x:c r="I122" s="26" t="str">
        <x:v>TC-VS-TST-036</x:v>
      </x:c>
      <x:c r="J122" s="26" t="str">
        <x:v>Not Run</x:v>
      </x:c>
      <x:c r="K122" s="26" t="str">
        <x:v>BLD-H6</x:v>
      </x:c>
      <x:c r="L122" s="26"/>
      <x:c r="M122" s="26" t="str">
        <x:v>BASE-1.0</x:v>
      </x:c>
      <x:c r="N122" s="26" t="str">
        <x:v>Complete</x:v>
      </x:c>
      <x:c r="O122" s="26"/>
      <x:c r="P122" s="26" t="str">
        <x:v>VRM Games</x:v>
      </x:c>
      <x:c r="Q122" s="26"/>
    </x:row>
    <x:row r="123" ht="30" customHeight="1">
      <x:c r="A123" s="26" t="str">
        <x:v>VS-TST-037</x:v>
      </x:c>
      <x:c r="B123" s="26" t="str">
        <x:v>TST</x:v>
      </x:c>
      <x:c r="C123" s="26" t="str">
        <x:v>02_Vertical_Slice_Specification.md</x:v>
      </x:c>
      <x:c r="D123" s="26" t="str">
        <x:v>E/F</x:v>
      </x:c>
      <x:c r="E123" s="26" t="str">
        <x:v>CHG-DOC-011</x:v>
      </x:c>
      <x:c r="F123" s="26"/>
      <x:c r="G123" s="26" t="str">
        <x:v>S17 scenario</x:v>
      </x:c>
      <x:c r="H123" s="26"/>
      <x:c r="I123" s="26" t="str">
        <x:v>TC-VS-TST-037</x:v>
      </x:c>
      <x:c r="J123" s="26" t="str">
        <x:v>Not Run</x:v>
      </x:c>
      <x:c r="K123" s="26" t="str">
        <x:v>BLD-H6</x:v>
      </x:c>
      <x:c r="L123" s="26"/>
      <x:c r="M123" s="26" t="str">
        <x:v>BASE-1.0</x:v>
      </x:c>
      <x:c r="N123" s="26" t="str">
        <x:v>Complete</x:v>
      </x:c>
      <x:c r="O123" s="26"/>
      <x:c r="P123" s="26" t="str">
        <x:v>VRM Games</x:v>
      </x:c>
      <x:c r="Q123" s="26"/>
    </x:row>
    <x:row r="124" ht="30" customHeight="1">
      <x:c r="A124" s="26" t="str">
        <x:v>VS-TST-038</x:v>
      </x:c>
      <x:c r="B124" s="26" t="str">
        <x:v>TST</x:v>
      </x:c>
      <x:c r="C124" s="26" t="str">
        <x:v>02_Vertical_Slice_Specification.md</x:v>
      </x:c>
      <x:c r="D124" s="26" t="str">
        <x:v>E/F</x:v>
      </x:c>
      <x:c r="E124" s="26" t="str">
        <x:v>CHG-DOC-011</x:v>
      </x:c>
      <x:c r="F124" s="26"/>
      <x:c r="G124" s="26" t="str">
        <x:v>S17 scenario</x:v>
      </x:c>
      <x:c r="H124" s="26"/>
      <x:c r="I124" s="26" t="str">
        <x:v>TC-VS-TST-038</x:v>
      </x:c>
      <x:c r="J124" s="26" t="str">
        <x:v>Not Run</x:v>
      </x:c>
      <x:c r="K124" s="26" t="str">
        <x:v>BLD-H6</x:v>
      </x:c>
      <x:c r="L124" s="26"/>
      <x:c r="M124" s="26" t="str">
        <x:v>BASE-1.0</x:v>
      </x:c>
      <x:c r="N124" s="26" t="str">
        <x:v>Complete</x:v>
      </x:c>
      <x:c r="O124" s="26"/>
      <x:c r="P124" s="26" t="str">
        <x:v>VRM Games</x:v>
      </x:c>
      <x:c r="Q124" s="26"/>
    </x:row>
    <x:row r="125" ht="30" customHeight="1">
      <x:c r="A125" s="26" t="str">
        <x:v>VS-TST-039</x:v>
      </x:c>
      <x:c r="B125" s="26" t="str">
        <x:v>TST</x:v>
      </x:c>
      <x:c r="C125" s="26" t="str">
        <x:v>02_Vertical_Slice_Specification.md</x:v>
      </x:c>
      <x:c r="D125" s="26" t="str">
        <x:v>E</x:v>
      </x:c>
      <x:c r="E125" s="26" t="str">
        <x:v>CHG-DOC-011</x:v>
      </x:c>
      <x:c r="F125" s="26"/>
      <x:c r="G125" s="26" t="str">
        <x:v>S17 scenario</x:v>
      </x:c>
      <x:c r="H125" s="26"/>
      <x:c r="I125" s="26" t="str">
        <x:v>TC-VS-TST-039</x:v>
      </x:c>
      <x:c r="J125" s="26" t="str">
        <x:v>Not Run</x:v>
      </x:c>
      <x:c r="K125" s="26" t="str">
        <x:v>BLD-H6</x:v>
      </x:c>
      <x:c r="L125" s="26"/>
      <x:c r="M125" s="26" t="str">
        <x:v>BASE-1.0</x:v>
      </x:c>
      <x:c r="N125" s="26" t="str">
        <x:v>Complete</x:v>
      </x:c>
      <x:c r="O125" s="26"/>
      <x:c r="P125" s="26" t="str">
        <x:v>VRM Games</x:v>
      </x:c>
      <x:c r="Q125" s="26"/>
    </x:row>
    <x:row r="126" ht="30" customHeight="1">
      <x:c r="A126" s="26" t="str">
        <x:v>VS-TST-040</x:v>
      </x:c>
      <x:c r="B126" s="26" t="str">
        <x:v>TST</x:v>
      </x:c>
      <x:c r="C126" s="26" t="str">
        <x:v>02_Vertical_Slice_Specification.md</x:v>
      </x:c>
      <x:c r="D126" s="26" t="str">
        <x:v>A/B/C</x:v>
      </x:c>
      <x:c r="E126" s="26" t="str">
        <x:v>CHG-DOC-011</x:v>
      </x:c>
      <x:c r="F126" s="26"/>
      <x:c r="G126" s="26" t="str">
        <x:v>S17 scenario</x:v>
      </x:c>
      <x:c r="H126" s="26"/>
      <x:c r="I126" s="26" t="str">
        <x:v>TC-VS-TST-040</x:v>
      </x:c>
      <x:c r="J126" s="26" t="str">
        <x:v>Not Run</x:v>
      </x:c>
      <x:c r="K126" s="26" t="str">
        <x:v>BLD-H6</x:v>
      </x:c>
      <x:c r="L126" s="26"/>
      <x:c r="M126" s="26" t="str">
        <x:v>BASE-1.0</x:v>
      </x:c>
      <x:c r="N126" s="26" t="str">
        <x:v>Complete</x:v>
      </x:c>
      <x:c r="O126" s="26"/>
      <x:c r="P126" s="26" t="str">
        <x:v>VRM Games</x:v>
      </x:c>
      <x:c r="Q126" s="26"/>
    </x:row>
    <x:row r="127" ht="30" customHeight="1">
      <x:c r="A127" s="26" t="str">
        <x:v>UX-BOOT-001</x:v>
      </x:c>
      <x:c r="B127" s="26" t="str">
        <x:v>BOOT</x:v>
      </x:c>
      <x:c r="C127" s="26" t="str">
        <x:v>05_UX_Flow.md</x:v>
      </x:c>
      <x:c r="D127" s="26" t="str">
        <x:v>La aplicación entra por Bootstrap.</x:v>
      </x:c>
      <x:c r="E127" s="26" t="str">
        <x:v>CHG-DOC-014</x:v>
      </x:c>
      <x:c r="F127" s="26"/>
      <x:c r="G127" s="26" t="str">
        <x:v>UX-BOOT-001</x:v>
      </x:c>
      <x:c r="H127" s="26"/>
      <x:c r="I127" s="26" t="str">
        <x:v>TC-UX-BOOT-001</x:v>
      </x:c>
      <x:c r="J127" s="26" t="str">
        <x:v>Not Run</x:v>
      </x:c>
      <x:c r="K127" s="26" t="str">
        <x:v>BLD-016-PRE</x:v>
      </x:c>
      <x:c r="L127" s="26"/>
      <x:c r="M127" s="26" t="str">
        <x:v>BASE-1.0</x:v>
      </x:c>
      <x:c r="N127" s="26" t="str">
        <x:v>Complete</x:v>
      </x:c>
      <x:c r="O127" s="26"/>
      <x:c r="P127" s="26" t="str">
        <x:v>VRM Games</x:v>
      </x:c>
      <x:c r="Q127" s="26"/>
    </x:row>
    <x:row r="128" ht="30" customHeight="1">
      <x:c r="A128" s="26" t="str">
        <x:v>UX-BOOT-002</x:v>
      </x:c>
      <x:c r="B128" s="26" t="str">
        <x:v>BOOT</x:v>
      </x:c>
      <x:c r="C128" s="26" t="str">
        <x:v>05_UX_Flow.md</x:v>
      </x:c>
      <x:c r="D128" s="26" t="str">
        <x:v>MainMenu se carga mediante transición controlada.</x:v>
      </x:c>
      <x:c r="E128" s="26" t="str">
        <x:v>CHG-DOC-014</x:v>
      </x:c>
      <x:c r="F128" s="26"/>
      <x:c r="G128" s="26" t="str">
        <x:v>UX-BOOT-002</x:v>
      </x:c>
      <x:c r="H128" s="26"/>
      <x:c r="I128" s="26" t="str">
        <x:v>TC-UX-BOOT-002</x:v>
      </x:c>
      <x:c r="J128" s="26" t="str">
        <x:v>Not Run</x:v>
      </x:c>
      <x:c r="K128" s="26" t="str">
        <x:v>BLD-016-PRE</x:v>
      </x:c>
      <x:c r="L128" s="26"/>
      <x:c r="M128" s="26" t="str">
        <x:v>BASE-1.0</x:v>
      </x:c>
      <x:c r="N128" s="26" t="str">
        <x:v>Complete</x:v>
      </x:c>
      <x:c r="O128" s="26"/>
      <x:c r="P128" s="26" t="str">
        <x:v>VRM Games</x:v>
      </x:c>
      <x:c r="Q128" s="26"/>
    </x:row>
    <x:row r="129" ht="30" customHeight="1">
      <x:c r="A129" s="26" t="str">
        <x:v>UX-BOOT-003</x:v>
      </x:c>
      <x:c r="B129" s="26" t="str">
        <x:v>BOOT</x:v>
      </x:c>
      <x:c r="C129" s="26" t="str">
        <x:v>05_UX_Flow.md</x:v>
      </x:c>
      <x:c r="D129" s="26" t="str">
        <x:v>No existen solicitudes concurrentes de escena.</x:v>
      </x:c>
      <x:c r="E129" s="26" t="str">
        <x:v>CHG-DOC-014</x:v>
      </x:c>
      <x:c r="F129" s="26"/>
      <x:c r="G129" s="26" t="str">
        <x:v>UX-BOOT-003</x:v>
      </x:c>
      <x:c r="H129" s="26"/>
      <x:c r="I129" s="26" t="str">
        <x:v>TC-UX-BOOT-003</x:v>
      </x:c>
      <x:c r="J129" s="26" t="str">
        <x:v>Not Run</x:v>
      </x:c>
      <x:c r="K129" s="26" t="str">
        <x:v>BLD-016-PRE</x:v>
      </x:c>
      <x:c r="L129" s="26"/>
      <x:c r="M129" s="26" t="str">
        <x:v>BASE-1.0</x:v>
      </x:c>
      <x:c r="N129" s="26" t="str">
        <x:v>Complete</x:v>
      </x:c>
      <x:c r="O129" s="26"/>
      <x:c r="P129" s="26" t="str">
        <x:v>VRM Games</x:v>
      </x:c>
      <x:c r="Q129" s="26"/>
    </x:row>
    <x:row r="130" ht="30" customHeight="1">
      <x:c r="A130" s="26" t="str">
        <x:v>UX-BOOT-004</x:v>
      </x:c>
      <x:c r="B130" s="26" t="str">
        <x:v>BOOT</x:v>
      </x:c>
      <x:c r="C130" s="26" t="str">
        <x:v>05_UX_Flow.md</x:v>
      </x:c>
      <x:c r="D130" s="26" t="str">
        <x:v>TestLab no aparece en producción.</x:v>
      </x:c>
      <x:c r="E130" s="26" t="str">
        <x:v>CHG-DOC-014</x:v>
      </x:c>
      <x:c r="F130" s="26"/>
      <x:c r="G130" s="26" t="str">
        <x:v>UX-BOOT-004</x:v>
      </x:c>
      <x:c r="H130" s="26"/>
      <x:c r="I130" s="26" t="str">
        <x:v>TC-UX-BOOT-004</x:v>
      </x:c>
      <x:c r="J130" s="26" t="str">
        <x:v>Not Run</x:v>
      </x:c>
      <x:c r="K130" s="26" t="str">
        <x:v>BLD-016-PRE</x:v>
      </x:c>
      <x:c r="L130" s="26"/>
      <x:c r="M130" s="26" t="str">
        <x:v>BASE-1.0</x:v>
      </x:c>
      <x:c r="N130" s="26" t="str">
        <x:v>Complete</x:v>
      </x:c>
      <x:c r="O130" s="26"/>
      <x:c r="P130" s="26" t="str">
        <x:v>VRM Games</x:v>
      </x:c>
      <x:c r="Q130" s="26"/>
    </x:row>
    <x:row r="131" ht="30" customHeight="1">
      <x:c r="A131" s="26" t="str">
        <x:v>UX-BOOT-005</x:v>
      </x:c>
      <x:c r="B131" s="26" t="str">
        <x:v>BOOT</x:v>
      </x:c>
      <x:c r="C131" s="26" t="str">
        <x:v>05_UX_Flow.md</x:v>
      </x:c>
      <x:c r="D131" s="26" t="str">
        <x:v>Un fallo de carga ofrece recuperación segura.</x:v>
      </x:c>
      <x:c r="E131" s="26" t="str">
        <x:v>CHG-DOC-014</x:v>
      </x:c>
      <x:c r="F131" s="26"/>
      <x:c r="G131" s="26" t="str">
        <x:v>UX-BOOT-005</x:v>
      </x:c>
      <x:c r="H131" s="26"/>
      <x:c r="I131" s="26" t="str">
        <x:v>TC-UX-BOOT-005</x:v>
      </x:c>
      <x:c r="J131" s="26" t="str">
        <x:v>Not Run</x:v>
      </x:c>
      <x:c r="K131" s="26" t="str">
        <x:v>BLD-016-PRE</x:v>
      </x:c>
      <x:c r="L131" s="26"/>
      <x:c r="M131" s="26" t="str">
        <x:v>BASE-1.0</x:v>
      </x:c>
      <x:c r="N131" s="26" t="str">
        <x:v>Complete</x:v>
      </x:c>
      <x:c r="O131" s="26"/>
      <x:c r="P131" s="26" t="str">
        <x:v>VRM Games</x:v>
      </x:c>
      <x:c r="Q131" s="26"/>
    </x:row>
    <x:row r="132" ht="30" customHeight="1">
      <x:c r="A132" s="26" t="str">
        <x:v>UX-BOOT-006</x:v>
      </x:c>
      <x:c r="B132" s="26" t="str">
        <x:v>BOOT</x:v>
      </x:c>
      <x:c r="C132" s="26" t="str">
        <x:v>05_UX_Flow.md</x:v>
      </x:c>
      <x:c r="D132" s="26" t="str">
        <x:v>El clic de cierre de loading no mueve al jugador.</x:v>
      </x:c>
      <x:c r="E132" s="26" t="str">
        <x:v>CHG-DOC-014</x:v>
      </x:c>
      <x:c r="F132" s="26"/>
      <x:c r="G132" s="26" t="str">
        <x:v>UX-BOOT-006</x:v>
      </x:c>
      <x:c r="H132" s="26"/>
      <x:c r="I132" s="26" t="str">
        <x:v>TC-UX-BOOT-006</x:v>
      </x:c>
      <x:c r="J132" s="26" t="str">
        <x:v>Not Run</x:v>
      </x:c>
      <x:c r="K132" s="26" t="str">
        <x:v>BLD-016-PRE</x:v>
      </x:c>
      <x:c r="L132" s="26"/>
      <x:c r="M132" s="26" t="str">
        <x:v>BASE-1.0</x:v>
      </x:c>
      <x:c r="N132" s="26" t="str">
        <x:v>Complete</x:v>
      </x:c>
      <x:c r="O132" s="26"/>
      <x:c r="P132" s="26" t="str">
        <x:v>VRM Games</x:v>
      </x:c>
      <x:c r="Q132" s="26"/>
    </x:row>
    <x:row r="133" ht="30" customHeight="1">
      <x:c r="A133" s="26" t="str">
        <x:v>UX-SLOT-001</x:v>
      </x:c>
      <x:c r="B133" s="26" t="str">
        <x:v>SLOT</x:v>
      </x:c>
      <x:c r="C133" s="26" t="str">
        <x:v>05_UX_Flow.md</x:v>
      </x:c>
      <x:c r="D133" s="26" t="str">
        <x:v>Un slot vacío ofrece nueva partida.</x:v>
      </x:c>
      <x:c r="E133" s="26" t="str">
        <x:v>CHG-DOC-014</x:v>
      </x:c>
      <x:c r="F133" s="26"/>
      <x:c r="G133" s="26" t="str">
        <x:v>UX-SLOT-001</x:v>
      </x:c>
      <x:c r="H133" s="26"/>
      <x:c r="I133" s="26" t="str">
        <x:v>TC-UX-SLOT-001</x:v>
      </x:c>
      <x:c r="J133" s="26" t="str">
        <x:v>Not Run</x:v>
      </x:c>
      <x:c r="K133" s="26" t="str">
        <x:v>BLD-016-PRE</x:v>
      </x:c>
      <x:c r="L133" s="26"/>
      <x:c r="M133" s="26" t="str">
        <x:v>BASE-1.0</x:v>
      </x:c>
      <x:c r="N133" s="26" t="str">
        <x:v>Complete</x:v>
      </x:c>
      <x:c r="O133" s="26"/>
      <x:c r="P133" s="26" t="str">
        <x:v>VRM Games</x:v>
      </x:c>
      <x:c r="Q133" s="26"/>
    </x:row>
    <x:row r="134" ht="30" customHeight="1">
      <x:c r="A134" s="26" t="str">
        <x:v>UX-SLOT-002</x:v>
      </x:c>
      <x:c r="B134" s="26" t="str">
        <x:v>SLOT</x:v>
      </x:c>
      <x:c r="C134" s="26" t="str">
        <x:v>05_UX_Flow.md</x:v>
      </x:c>
      <x:c r="D134" s="26" t="str">
        <x:v>Un slot válido muestra información suficiente.</x:v>
      </x:c>
      <x:c r="E134" s="26" t="str">
        <x:v>CHG-DOC-014</x:v>
      </x:c>
      <x:c r="F134" s="26"/>
      <x:c r="G134" s="26" t="str">
        <x:v>UX-SLOT-002</x:v>
      </x:c>
      <x:c r="H134" s="26"/>
      <x:c r="I134" s="26" t="str">
        <x:v>TC-UX-SLOT-002</x:v>
      </x:c>
      <x:c r="J134" s="26" t="str">
        <x:v>Not Run</x:v>
      </x:c>
      <x:c r="K134" s="26" t="str">
        <x:v>BLD-016-PRE</x:v>
      </x:c>
      <x:c r="L134" s="26"/>
      <x:c r="M134" s="26" t="str">
        <x:v>BASE-1.0</x:v>
      </x:c>
      <x:c r="N134" s="26" t="str">
        <x:v>Complete</x:v>
      </x:c>
      <x:c r="O134" s="26"/>
      <x:c r="P134" s="26" t="str">
        <x:v>VRM Games</x:v>
      </x:c>
      <x:c r="Q134" s="26"/>
    </x:row>
    <x:row r="135" ht="30" customHeight="1">
      <x:c r="A135" s="26" t="str">
        <x:v>UX-SLOT-003</x:v>
      </x:c>
      <x:c r="B135" s="26" t="str">
        <x:v>SLOT</x:v>
      </x:c>
      <x:c r="C135" s="26" t="str">
        <x:v>05_UX_Flow.md</x:v>
      </x:c>
      <x:c r="D135" s="26" t="str">
        <x:v>Reemplazar exige confirmación inequívoca.</x:v>
      </x:c>
      <x:c r="E135" s="26" t="str">
        <x:v>CHG-DOC-014</x:v>
      </x:c>
      <x:c r="F135" s="26"/>
      <x:c r="G135" s="26" t="str">
        <x:v>UX-SLOT-003</x:v>
      </x:c>
      <x:c r="H135" s="26"/>
      <x:c r="I135" s="26" t="str">
        <x:v>TC-UX-SLOT-003</x:v>
      </x:c>
      <x:c r="J135" s="26" t="str">
        <x:v>Not Run</x:v>
      </x:c>
      <x:c r="K135" s="26" t="str">
        <x:v>BLD-016-PRE</x:v>
      </x:c>
      <x:c r="L135" s="26"/>
      <x:c r="M135" s="26" t="str">
        <x:v>BASE-1.0</x:v>
      </x:c>
      <x:c r="N135" s="26" t="str">
        <x:v>Complete</x:v>
      </x:c>
      <x:c r="O135" s="26"/>
      <x:c r="P135" s="26" t="str">
        <x:v>VRM Games</x:v>
      </x:c>
      <x:c r="Q135" s="26"/>
    </x:row>
    <x:row r="136" ht="30" customHeight="1">
      <x:c r="A136" s="26" t="str">
        <x:v>UX-SLOT-004</x:v>
      </x:c>
      <x:c r="B136" s="26" t="str">
        <x:v>SLOT</x:v>
      </x:c>
      <x:c r="C136" s="26" t="str">
        <x:v>05_UX_Flow.md</x:v>
      </x:c>
      <x:c r="D136" s="26" t="str">
        <x:v>Borrar exige confirmación.</x:v>
      </x:c>
      <x:c r="E136" s="26" t="str">
        <x:v>CHG-DOC-014</x:v>
      </x:c>
      <x:c r="F136" s="26"/>
      <x:c r="G136" s="26" t="str">
        <x:v>UX-SLOT-004</x:v>
      </x:c>
      <x:c r="H136" s="26"/>
      <x:c r="I136" s="26" t="str">
        <x:v>TC-UX-SLOT-004</x:v>
      </x:c>
      <x:c r="J136" s="26" t="str">
        <x:v>Not Run</x:v>
      </x:c>
      <x:c r="K136" s="26" t="str">
        <x:v>BLD-016-PRE</x:v>
      </x:c>
      <x:c r="L136" s="26"/>
      <x:c r="M136" s="26" t="str">
        <x:v>BASE-1.0</x:v>
      </x:c>
      <x:c r="N136" s="26" t="str">
        <x:v>Complete</x:v>
      </x:c>
      <x:c r="O136" s="26"/>
      <x:c r="P136" s="26" t="str">
        <x:v>VRM Games</x:v>
      </x:c>
      <x:c r="Q136" s="26"/>
    </x:row>
    <x:row r="137" ht="30" customHeight="1">
      <x:c r="A137" s="26" t="str">
        <x:v>UX-SLOT-005</x:v>
      </x:c>
      <x:c r="B137" s="26" t="str">
        <x:v>SLOT</x:v>
      </x:c>
      <x:c r="C137" s="26" t="str">
        <x:v>05_UX_Flow.md</x:v>
      </x:c>
      <x:c r="D137" s="26" t="str">
        <x:v>El backup se ofrece cuando el primario falla.</x:v>
      </x:c>
      <x:c r="E137" s="26" t="str">
        <x:v>CHG-DOC-014</x:v>
      </x:c>
      <x:c r="F137" s="26"/>
      <x:c r="G137" s="26" t="str">
        <x:v>UX-SLOT-005</x:v>
      </x:c>
      <x:c r="H137" s="26"/>
      <x:c r="I137" s="26" t="str">
        <x:v>TC-UX-SLOT-005</x:v>
      </x:c>
      <x:c r="J137" s="26" t="str">
        <x:v>Not Run</x:v>
      </x:c>
      <x:c r="K137" s="26" t="str">
        <x:v>BLD-016-PRE</x:v>
      </x:c>
      <x:c r="L137" s="26"/>
      <x:c r="M137" s="26" t="str">
        <x:v>BASE-1.0</x:v>
      </x:c>
      <x:c r="N137" s="26" t="str">
        <x:v>Complete</x:v>
      </x:c>
      <x:c r="O137" s="26"/>
      <x:c r="P137" s="26" t="str">
        <x:v>VRM Games</x:v>
      </x:c>
      <x:c r="Q137" s="26"/>
    </x:row>
    <x:row r="138" ht="30" customHeight="1">
      <x:c r="A138" s="26" t="str">
        <x:v>UX-SLOT-006</x:v>
      </x:c>
      <x:c r="B138" s="26" t="str">
        <x:v>SLOT</x:v>
      </x:c>
      <x:c r="C138" s="26" t="str">
        <x:v>05_UX_Flow.md</x:v>
      </x:c>
      <x:c r="D138" s="26" t="str">
        <x:v>Un error no sobrescribe el guardado existente.</x:v>
      </x:c>
      <x:c r="E138" s="26" t="str">
        <x:v>CHG-DOC-014</x:v>
      </x:c>
      <x:c r="F138" s="26"/>
      <x:c r="G138" s="26" t="str">
        <x:v>UX-SLOT-006</x:v>
      </x:c>
      <x:c r="H138" s="26"/>
      <x:c r="I138" s="26" t="str">
        <x:v>TC-UX-SLOT-006</x:v>
      </x:c>
      <x:c r="J138" s="26" t="str">
        <x:v>Not Run</x:v>
      </x:c>
      <x:c r="K138" s="26" t="str">
        <x:v>BLD-016-PRE</x:v>
      </x:c>
      <x:c r="L138" s="26"/>
      <x:c r="M138" s="26" t="str">
        <x:v>BASE-1.0</x:v>
      </x:c>
      <x:c r="N138" s="26" t="str">
        <x:v>Complete</x:v>
      </x:c>
      <x:c r="O138" s="26"/>
      <x:c r="P138" s="26" t="str">
        <x:v>VRM Games</x:v>
      </x:c>
      <x:c r="Q138" s="26"/>
    </x:row>
    <x:row r="139" ht="30" customHeight="1">
      <x:c r="A139" s="26" t="str">
        <x:v>UX-SLOT-007</x:v>
      </x:c>
      <x:c r="B139" s="26" t="str">
        <x:v>SLOT</x:v>
      </x:c>
      <x:c r="C139" s="26" t="str">
        <x:v>05_UX_Flow.md</x:v>
      </x:c>
      <x:c r="D139" s="26" t="str">
        <x:v>La carga no finaliza antes de restaurar escena y estado.</x:v>
      </x:c>
      <x:c r="E139" s="26" t="str">
        <x:v>CHG-DOC-014</x:v>
      </x:c>
      <x:c r="F139" s="26"/>
      <x:c r="G139" s="26" t="str">
        <x:v>UX-SLOT-007</x:v>
      </x:c>
      <x:c r="H139" s="26"/>
      <x:c r="I139" s="26" t="str">
        <x:v>TC-UX-SLOT-007</x:v>
      </x:c>
      <x:c r="J139" s="26" t="str">
        <x:v>Not Run</x:v>
      </x:c>
      <x:c r="K139" s="26" t="str">
        <x:v>BLD-016-PRE</x:v>
      </x:c>
      <x:c r="L139" s="26"/>
      <x:c r="M139" s="26" t="str">
        <x:v>BASE-1.0</x:v>
      </x:c>
      <x:c r="N139" s="26" t="str">
        <x:v>Complete</x:v>
      </x:c>
      <x:c r="O139" s="26"/>
      <x:c r="P139" s="26" t="str">
        <x:v>VRM Games</x:v>
      </x:c>
      <x:c r="Q139" s="26"/>
    </x:row>
    <x:row r="140" ht="30" customHeight="1">
      <x:c r="A140" s="26" t="str">
        <x:v>UX-INP-001</x:v>
      </x:c>
      <x:c r="B140" s="26" t="str">
        <x:v>INP</x:v>
      </x:c>
      <x:c r="C140" s="26" t="str">
        <x:v>05_UX_Flow.md</x:v>
      </x:c>
      <x:c r="D140" s="26" t="str">
        <x:v>UI y mundo no procesan el mismo clic.</x:v>
      </x:c>
      <x:c r="E140" s="26" t="str">
        <x:v>CHG-DOC-014</x:v>
      </x:c>
      <x:c r="F140" s="26" t="str">
        <x:v>ADR-0066</x:v>
      </x:c>
      <x:c r="G140" s="26" t="str">
        <x:v>UX-INP-001</x:v>
      </x:c>
      <x:c r="H140" s="26"/>
      <x:c r="I140" s="26" t="str">
        <x:v>TC-UX-INP-001</x:v>
      </x:c>
      <x:c r="J140" s="26" t="str">
        <x:v>Not Run</x:v>
      </x:c>
      <x:c r="K140" s="26" t="str">
        <x:v>BLD-016-PRE</x:v>
      </x:c>
      <x:c r="L140" s="26"/>
      <x:c r="M140" s="26" t="str">
        <x:v>BASE-1.0</x:v>
      </x:c>
      <x:c r="N140" s="26" t="str">
        <x:v>Complete</x:v>
      </x:c>
      <x:c r="O140" s="26"/>
      <x:c r="P140" s="26" t="str">
        <x:v>VRM Games</x:v>
      </x:c>
      <x:c r="Q140" s="26"/>
    </x:row>
    <x:row r="141" ht="30" customHeight="1">
      <x:c r="A141" s="26" t="str">
        <x:v>UX-INP-002</x:v>
      </x:c>
      <x:c r="B141" s="26" t="str">
        <x:v>INP</x:v>
      </x:c>
      <x:c r="C141" s="26" t="str">
        <x:v>05_UX_Flow.md</x:v>
      </x:c>
      <x:c r="D141" s="26" t="str">
        <x:v>Solo un contexto captura input principal.</x:v>
      </x:c>
      <x:c r="E141" s="26" t="str">
        <x:v>CHG-DOC-014</x:v>
      </x:c>
      <x:c r="F141" s="26" t="str">
        <x:v>ADR-0066</x:v>
      </x:c>
      <x:c r="G141" s="26" t="str">
        <x:v>UX-INP-002</x:v>
      </x:c>
      <x:c r="H141" s="26"/>
      <x:c r="I141" s="26" t="str">
        <x:v>TC-UX-INP-002</x:v>
      </x:c>
      <x:c r="J141" s="26" t="str">
        <x:v>Not Run</x:v>
      </x:c>
      <x:c r="K141" s="26" t="str">
        <x:v>BLD-016-PRE</x:v>
      </x:c>
      <x:c r="L141" s="26"/>
      <x:c r="M141" s="26" t="str">
        <x:v>BASE-1.0</x:v>
      </x:c>
      <x:c r="N141" s="26" t="str">
        <x:v>Complete</x:v>
      </x:c>
      <x:c r="O141" s="26"/>
      <x:c r="P141" s="26" t="str">
        <x:v>VRM Games</x:v>
      </x:c>
      <x:c r="Q141" s="26"/>
    </x:row>
    <x:row r="142" ht="30" customHeight="1">
      <x:c r="A142" s="26" t="str">
        <x:v>UX-INP-003</x:v>
      </x:c>
      <x:c r="B142" s="26" t="str">
        <x:v>INP</x:v>
      </x:c>
      <x:c r="C142" s="26" t="str">
        <x:v>05_UX_Flow.md</x:v>
      </x:c>
      <x:c r="D142" s="26" t="str">
        <x:v>Escape resuelve primero el contexto más profundo.</x:v>
      </x:c>
      <x:c r="E142" s="26" t="str">
        <x:v>CHG-DOC-014</x:v>
      </x:c>
      <x:c r="F142" s="26" t="str">
        <x:v>ADR-0066</x:v>
      </x:c>
      <x:c r="G142" s="26" t="str">
        <x:v>UX-INP-003</x:v>
      </x:c>
      <x:c r="H142" s="26"/>
      <x:c r="I142" s="26" t="str">
        <x:v>TC-UX-INP-003</x:v>
      </x:c>
      <x:c r="J142" s="26" t="str">
        <x:v>Not Run</x:v>
      </x:c>
      <x:c r="K142" s="26" t="str">
        <x:v>BLD-016-PRE</x:v>
      </x:c>
      <x:c r="L142" s="26"/>
      <x:c r="M142" s="26" t="str">
        <x:v>BASE-1.0</x:v>
      </x:c>
      <x:c r="N142" s="26" t="str">
        <x:v>Complete</x:v>
      </x:c>
      <x:c r="O142" s="26"/>
      <x:c r="P142" s="26" t="str">
        <x:v>VRM Games</x:v>
      </x:c>
      <x:c r="Q142" s="26"/>
    </x:row>
    <x:row r="143" ht="30" customHeight="1">
      <x:c r="A143" s="26" t="str">
        <x:v>UX-INP-004</x:v>
      </x:c>
      <x:c r="B143" s="26" t="str">
        <x:v>INP</x:v>
      </x:c>
      <x:c r="C143" s="26" t="str">
        <x:v>05_UX_Flow.md</x:v>
      </x:c>
      <x:c r="D143" s="26" t="str">
        <x:v>Pausa impide mutaciones de gameplay.</x:v>
      </x:c>
      <x:c r="E143" s="26" t="str">
        <x:v>CHG-DOC-014</x:v>
      </x:c>
      <x:c r="F143" s="26" t="str">
        <x:v>ADR-0066</x:v>
      </x:c>
      <x:c r="G143" s="26" t="str">
        <x:v>UX-INP-004</x:v>
      </x:c>
      <x:c r="H143" s="26"/>
      <x:c r="I143" s="26" t="str">
        <x:v>TC-UX-INP-004</x:v>
      </x:c>
      <x:c r="J143" s="26" t="str">
        <x:v>Not Run</x:v>
      </x:c>
      <x:c r="K143" s="26" t="str">
        <x:v>BLD-016-PRE</x:v>
      </x:c>
      <x:c r="L143" s="26"/>
      <x:c r="M143" s="26" t="str">
        <x:v>BASE-1.0</x:v>
      </x:c>
      <x:c r="N143" s="26" t="str">
        <x:v>Complete</x:v>
      </x:c>
      <x:c r="O143" s="26"/>
      <x:c r="P143" s="26" t="str">
        <x:v>VRM Games</x:v>
      </x:c>
      <x:c r="Q143" s="26"/>
    </x:row>
    <x:row r="144" ht="30" customHeight="1">
      <x:c r="A144" s="26" t="str">
        <x:v>UX-INP-005</x:v>
      </x:c>
      <x:c r="B144" s="26" t="str">
        <x:v>INP</x:v>
      </x:c>
      <x:c r="C144" s="26" t="str">
        <x:v>05_UX_Flow.md</x:v>
      </x:c>
      <x:c r="D144" s="26" t="str">
        <x:v>Las instrucciones muestran bindings vigentes.</x:v>
      </x:c>
      <x:c r="E144" s="26" t="str">
        <x:v>CHG-DOC-014</x:v>
      </x:c>
      <x:c r="F144" s="26" t="str">
        <x:v>ADR-0066</x:v>
      </x:c>
      <x:c r="G144" s="26" t="str">
        <x:v>UX-INP-005</x:v>
      </x:c>
      <x:c r="H144" s="26"/>
      <x:c r="I144" s="26" t="str">
        <x:v>TC-UX-INP-005</x:v>
      </x:c>
      <x:c r="J144" s="26" t="str">
        <x:v>Not Run</x:v>
      </x:c>
      <x:c r="K144" s="26" t="str">
        <x:v>BLD-016-PRE</x:v>
      </x:c>
      <x:c r="L144" s="26"/>
      <x:c r="M144" s="26" t="str">
        <x:v>BASE-1.0</x:v>
      </x:c>
      <x:c r="N144" s="26" t="str">
        <x:v>Complete</x:v>
      </x:c>
      <x:c r="O144" s="26"/>
      <x:c r="P144" s="26" t="str">
        <x:v>VRM Games</x:v>
      </x:c>
      <x:c r="Q144" s="26"/>
    </x:row>
    <x:row r="145" ht="30" customHeight="1">
      <x:c r="A145" s="26" t="str">
        <x:v>UX-INP-006</x:v>
      </x:c>
      <x:c r="B145" s="26" t="str">
        <x:v>INP</x:v>
      </x:c>
      <x:c r="C145" s="26" t="str">
        <x:v>05_UX_Flow.md</x:v>
      </x:c>
      <x:c r="D145" s="26" t="str">
        <x:v>La cámara no activa interacciones.</x:v>
      </x:c>
      <x:c r="E145" s="26" t="str">
        <x:v>CHG-DOC-014</x:v>
      </x:c>
      <x:c r="F145" s="26" t="str">
        <x:v>ADR-0066</x:v>
      </x:c>
      <x:c r="G145" s="26" t="str">
        <x:v>UX-INP-006</x:v>
      </x:c>
      <x:c r="H145" s="26"/>
      <x:c r="I145" s="26" t="str">
        <x:v>TC-UX-INP-006</x:v>
      </x:c>
      <x:c r="J145" s="26" t="str">
        <x:v>Not Run</x:v>
      </x:c>
      <x:c r="K145" s="26" t="str">
        <x:v>BLD-016-PRE</x:v>
      </x:c>
      <x:c r="L145" s="26"/>
      <x:c r="M145" s="26" t="str">
        <x:v>BASE-1.0</x:v>
      </x:c>
      <x:c r="N145" s="26" t="str">
        <x:v>Complete</x:v>
      </x:c>
      <x:c r="O145" s="26"/>
      <x:c r="P145" s="26" t="str">
        <x:v>VRM Games</x:v>
      </x:c>
      <x:c r="Q145" s="26"/>
    </x:row>
    <x:row r="146" ht="30" customHeight="1">
      <x:c r="A146" s="26" t="str">
        <x:v>UX-BLD-001</x:v>
      </x:c>
      <x:c r="B146" s="26" t="str">
        <x:v>BLD</x:v>
      </x:c>
      <x:c r="C146" s="26" t="str">
        <x:v>05_UX_Flow.md</x:v>
      </x:c>
      <x:c r="D146" s="26" t="str">
        <x:v>Entrar en BuildMode suprime movimiento.</x:v>
      </x:c>
      <x:c r="E146" s="26" t="str">
        <x:v>CHG-DOC-014</x:v>
      </x:c>
      <x:c r="F146" s="26"/>
      <x:c r="G146" s="26" t="str">
        <x:v>UX-BLD-001</x:v>
      </x:c>
      <x:c r="H146" s="26"/>
      <x:c r="I146" s="26" t="str">
        <x:v>TC-UX-BLD-001</x:v>
      </x:c>
      <x:c r="J146" s="26" t="str">
        <x:v>Not Run</x:v>
      </x:c>
      <x:c r="K146" s="26" t="str">
        <x:v>BLD-016-PRE</x:v>
      </x:c>
      <x:c r="L146" s="26"/>
      <x:c r="M146" s="26" t="str">
        <x:v>BASE-1.0</x:v>
      </x:c>
      <x:c r="N146" s="26" t="str">
        <x:v>Complete</x:v>
      </x:c>
      <x:c r="O146" s="26"/>
      <x:c r="P146" s="26" t="str">
        <x:v>VRM Games</x:v>
      </x:c>
      <x:c r="Q146" s="26"/>
    </x:row>
    <x:row r="147" ht="30" customHeight="1">
      <x:c r="A147" s="26" t="str">
        <x:v>UX-BLD-002</x:v>
      </x:c>
      <x:c r="B147" s="26" t="str">
        <x:v>BLD</x:v>
      </x:c>
      <x:c r="C147" s="26" t="str">
        <x:v>05_UX_Flow.md</x:v>
      </x:c>
      <x:c r="D147" s="26" t="str">
        <x:v>Preview coincide con grid y huella.</x:v>
      </x:c>
      <x:c r="E147" s="26" t="str">
        <x:v>CHG-DOC-014</x:v>
      </x:c>
      <x:c r="F147" s="26"/>
      <x:c r="G147" s="26" t="str">
        <x:v>UX-BLD-002</x:v>
      </x:c>
      <x:c r="H147" s="26"/>
      <x:c r="I147" s="26" t="str">
        <x:v>TC-UX-BLD-002</x:v>
      </x:c>
      <x:c r="J147" s="26" t="str">
        <x:v>Not Run</x:v>
      </x:c>
      <x:c r="K147" s="26" t="str">
        <x:v>BLD-016-PRE</x:v>
      </x:c>
      <x:c r="L147" s="26"/>
      <x:c r="M147" s="26" t="str">
        <x:v>BASE-1.0</x:v>
      </x:c>
      <x:c r="N147" s="26" t="str">
        <x:v>Complete</x:v>
      </x:c>
      <x:c r="O147" s="26"/>
      <x:c r="P147" s="26" t="str">
        <x:v>VRM Games</x:v>
      </x:c>
      <x:c r="Q147" s="26"/>
    </x:row>
    <x:row r="148" ht="30" customHeight="1">
      <x:c r="A148" s="26" t="str">
        <x:v>UX-BLD-003</x:v>
      </x:c>
      <x:c r="B148" s="26" t="str">
        <x:v>BLD</x:v>
      </x:c>
      <x:c r="C148" s="26" t="str">
        <x:v>05_UX_Flow.md</x:v>
      </x:c>
      <x:c r="D148" s="26" t="str">
        <x:v>Q/E rota y revalida.</x:v>
      </x:c>
      <x:c r="E148" s="26" t="str">
        <x:v>CHG-DOC-014</x:v>
      </x:c>
      <x:c r="F148" s="26"/>
      <x:c r="G148" s="26" t="str">
        <x:v>UX-BLD-003</x:v>
      </x:c>
      <x:c r="H148" s="26"/>
      <x:c r="I148" s="26" t="str">
        <x:v>TC-UX-BLD-003</x:v>
      </x:c>
      <x:c r="J148" s="26" t="str">
        <x:v>Not Run</x:v>
      </x:c>
      <x:c r="K148" s="26" t="str">
        <x:v>BLD-016-PRE</x:v>
      </x:c>
      <x:c r="L148" s="26"/>
      <x:c r="M148" s="26" t="str">
        <x:v>BASE-1.0</x:v>
      </x:c>
      <x:c r="N148" s="26" t="str">
        <x:v>Complete</x:v>
      </x:c>
      <x:c r="O148" s="26"/>
      <x:c r="P148" s="26" t="str">
        <x:v>VRM Games</x:v>
      </x:c>
      <x:c r="Q148" s="26"/>
    </x:row>
    <x:row r="149" ht="30" customHeight="1">
      <x:c r="A149" s="26" t="str">
        <x:v>UX-BLD-004</x:v>
      </x:c>
      <x:c r="B149" s="26" t="str">
        <x:v>BLD</x:v>
      </x:c>
      <x:c r="C149" s="26" t="str">
        <x:v>05_UX_Flow.md</x:v>
      </x:c>
      <x:c r="D149" s="26" t="str">
        <x:v>Un placement inválido explica causa.</x:v>
      </x:c>
      <x:c r="E149" s="26" t="str">
        <x:v>CHG-DOC-014</x:v>
      </x:c>
      <x:c r="F149" s="26"/>
      <x:c r="G149" s="26" t="str">
        <x:v>UX-BLD-004</x:v>
      </x:c>
      <x:c r="H149" s="26"/>
      <x:c r="I149" s="26" t="str">
        <x:v>TC-UX-BLD-004</x:v>
      </x:c>
      <x:c r="J149" s="26" t="str">
        <x:v>Not Run</x:v>
      </x:c>
      <x:c r="K149" s="26" t="str">
        <x:v>BLD-016-PRE</x:v>
      </x:c>
      <x:c r="L149" s="26"/>
      <x:c r="M149" s="26" t="str">
        <x:v>BASE-1.0</x:v>
      </x:c>
      <x:c r="N149" s="26" t="str">
        <x:v>Complete</x:v>
      </x:c>
      <x:c r="O149" s="26"/>
      <x:c r="P149" s="26" t="str">
        <x:v>VRM Games</x:v>
      </x:c>
      <x:c r="Q149" s="26"/>
    </x:row>
    <x:row r="150" ht="30" customHeight="1">
      <x:c r="A150" s="26" t="str">
        <x:v>UX-BLD-005</x:v>
      </x:c>
      <x:c r="B150" s="26" t="str">
        <x:v>BLD</x:v>
      </x:c>
      <x:c r="C150" s="26" t="str">
        <x:v>05_UX_Flow.md</x:v>
      </x:c>
      <x:c r="D150" s="26" t="str">
        <x:v>Un placement inválido no cobra ni ocupa.</x:v>
      </x:c>
      <x:c r="E150" s="26" t="str">
        <x:v>CHG-DOC-014</x:v>
      </x:c>
      <x:c r="F150" s="26"/>
      <x:c r="G150" s="26" t="str">
        <x:v>UX-BLD-005</x:v>
      </x:c>
      <x:c r="H150" s="26"/>
      <x:c r="I150" s="26" t="str">
        <x:v>TC-UX-BLD-005</x:v>
      </x:c>
      <x:c r="J150" s="26" t="str">
        <x:v>Not Run</x:v>
      </x:c>
      <x:c r="K150" s="26" t="str">
        <x:v>BLD-016-PRE</x:v>
      </x:c>
      <x:c r="L150" s="26"/>
      <x:c r="M150" s="26" t="str">
        <x:v>BASE-1.0</x:v>
      </x:c>
      <x:c r="N150" s="26" t="str">
        <x:v>Complete</x:v>
      </x:c>
      <x:c r="O150" s="26"/>
      <x:c r="P150" s="26" t="str">
        <x:v>VRM Games</x:v>
      </x:c>
      <x:c r="Q150" s="26"/>
    </x:row>
    <x:row r="151" ht="30" customHeight="1">
      <x:c r="A151" s="26" t="str">
        <x:v>UX-BLD-006</x:v>
      </x:c>
      <x:c r="B151" s="26" t="str">
        <x:v>BLD</x:v>
      </x:c>
      <x:c r="C151" s="26" t="str">
        <x:v>05_UX_Flow.md</x:v>
      </x:c>
      <x:c r="D151" s="26" t="str">
        <x:v>Cancelar movimiento restaura estado anterior.</x:v>
      </x:c>
      <x:c r="E151" s="26" t="str">
        <x:v>CHG-DOC-014</x:v>
      </x:c>
      <x:c r="F151" s="26"/>
      <x:c r="G151" s="26" t="str">
        <x:v>UX-BLD-006</x:v>
      </x:c>
      <x:c r="H151" s="26"/>
      <x:c r="I151" s="26" t="str">
        <x:v>TC-UX-BLD-006</x:v>
      </x:c>
      <x:c r="J151" s="26" t="str">
        <x:v>Not Run</x:v>
      </x:c>
      <x:c r="K151" s="26" t="str">
        <x:v>BLD-016-PRE</x:v>
      </x:c>
      <x:c r="L151" s="26"/>
      <x:c r="M151" s="26" t="str">
        <x:v>BASE-1.0</x:v>
      </x:c>
      <x:c r="N151" s="26" t="str">
        <x:v>Complete</x:v>
      </x:c>
      <x:c r="O151" s="26"/>
      <x:c r="P151" s="26" t="str">
        <x:v>VRM Games</x:v>
      </x:c>
      <x:c r="Q151" s="26"/>
    </x:row>
    <x:row r="152" ht="30" customHeight="1">
      <x:c r="A152" s="26" t="str">
        <x:v>UX-BLD-007</x:v>
      </x:c>
      <x:c r="B152" s="26" t="str">
        <x:v>BLD</x:v>
      </x:c>
      <x:c r="C152" s="26" t="str">
        <x:v>05_UX_Flow.md</x:v>
      </x:c>
      <x:c r="D152" s="26" t="str">
        <x:v>Retirar no destruye stock silenciosamente.</x:v>
      </x:c>
      <x:c r="E152" s="26" t="str">
        <x:v>CHG-DOC-014</x:v>
      </x:c>
      <x:c r="F152" s="26"/>
      <x:c r="G152" s="26" t="str">
        <x:v>UX-BLD-007</x:v>
      </x:c>
      <x:c r="H152" s="26"/>
      <x:c r="I152" s="26" t="str">
        <x:v>TC-UX-BLD-007</x:v>
      </x:c>
      <x:c r="J152" s="26" t="str">
        <x:v>Not Run</x:v>
      </x:c>
      <x:c r="K152" s="26" t="str">
        <x:v>BLD-016-PRE</x:v>
      </x:c>
      <x:c r="L152" s="26"/>
      <x:c r="M152" s="26" t="str">
        <x:v>BASE-1.0</x:v>
      </x:c>
      <x:c r="N152" s="26" t="str">
        <x:v>Complete</x:v>
      </x:c>
      <x:c r="O152" s="26"/>
      <x:c r="P152" s="26" t="str">
        <x:v>VRM Games</x:v>
      </x:c>
      <x:c r="Q152" s="26"/>
    </x:row>
    <x:row r="153" ht="30" customHeight="1">
      <x:c r="A153" s="26" t="str">
        <x:v>UX-BLD-008</x:v>
      </x:c>
      <x:c r="B153" s="26" t="str">
        <x:v>BLD</x:v>
      </x:c>
      <x:c r="C153" s="26" t="str">
        <x:v>05_UX_Flow.md</x:v>
      </x:c>
      <x:c r="D153" s="26" t="str">
        <x:v>El feedback no depende solo del color.</x:v>
      </x:c>
      <x:c r="E153" s="26" t="str">
        <x:v>CHG-DOC-014</x:v>
      </x:c>
      <x:c r="F153" s="26"/>
      <x:c r="G153" s="26" t="str">
        <x:v>UX-BLD-008</x:v>
      </x:c>
      <x:c r="H153" s="26"/>
      <x:c r="I153" s="26" t="str">
        <x:v>TC-UX-BLD-008</x:v>
      </x:c>
      <x:c r="J153" s="26" t="str">
        <x:v>Not Run</x:v>
      </x:c>
      <x:c r="K153" s="26" t="str">
        <x:v>BLD-016-PRE</x:v>
      </x:c>
      <x:c r="L153" s="26"/>
      <x:c r="M153" s="26" t="str">
        <x:v>BASE-1.0</x:v>
      </x:c>
      <x:c r="N153" s="26" t="str">
        <x:v>Complete</x:v>
      </x:c>
      <x:c r="O153" s="26"/>
      <x:c r="P153" s="26" t="str">
        <x:v>VRM Games</x:v>
      </x:c>
      <x:c r="Q153" s="26"/>
    </x:row>
    <x:row r="154" ht="30" customHeight="1">
      <x:c r="A154" s="26" t="str">
        <x:v>UX-BLD-009</x:v>
      </x:c>
      <x:c r="B154" s="26" t="str">
        <x:v>BLD</x:v>
      </x:c>
      <x:c r="C154" s="26" t="str">
        <x:v>05_UX_Flow.md</x:v>
      </x:c>
      <x:c r="D154" s="26" t="str">
        <x:v>Cerrar BuildMode no produce clic de mundo.</x:v>
      </x:c>
      <x:c r="E154" s="26" t="str">
        <x:v>CHG-DOC-014</x:v>
      </x:c>
      <x:c r="F154" s="26"/>
      <x:c r="G154" s="26" t="str">
        <x:v>UX-BLD-009</x:v>
      </x:c>
      <x:c r="H154" s="26"/>
      <x:c r="I154" s="26" t="str">
        <x:v>TC-UX-BLD-009</x:v>
      </x:c>
      <x:c r="J154" s="26" t="str">
        <x:v>Not Run</x:v>
      </x:c>
      <x:c r="K154" s="26" t="str">
        <x:v>BLD-016-PRE</x:v>
      </x:c>
      <x:c r="L154" s="26"/>
      <x:c r="M154" s="26" t="str">
        <x:v>BASE-1.0</x:v>
      </x:c>
      <x:c r="N154" s="26" t="str">
        <x:v>Complete</x:v>
      </x:c>
      <x:c r="O154" s="26"/>
      <x:c r="P154" s="26" t="str">
        <x:v>VRM Games</x:v>
      </x:c>
      <x:c r="Q154" s="26"/>
    </x:row>
    <x:row r="155" ht="30" customHeight="1">
      <x:c r="A155" s="26" t="str">
        <x:v>UX-ORD-001</x:v>
      </x:c>
      <x:c r="B155" s="26" t="str">
        <x:v>ORD</x:v>
      </x:c>
      <x:c r="C155" s="26" t="str">
        <x:v>05_UX_Flow.md</x:v>
      </x:c>
      <x:c r="D155" s="26" t="str">
        <x:v>El pedido muestra total antes de confirmar.</x:v>
      </x:c>
      <x:c r="E155" s="26" t="str">
        <x:v>CHG-DOC-014</x:v>
      </x:c>
      <x:c r="F155" s="26"/>
      <x:c r="G155" s="26" t="str">
        <x:v>UX-ORD-001</x:v>
      </x:c>
      <x:c r="H155" s="26"/>
      <x:c r="I155" s="26" t="str">
        <x:v>TC-UX-ORD-001</x:v>
      </x:c>
      <x:c r="J155" s="26" t="str">
        <x:v>Not Run</x:v>
      </x:c>
      <x:c r="K155" s="26" t="str">
        <x:v>BLD-016-PRE</x:v>
      </x:c>
      <x:c r="L155" s="26"/>
      <x:c r="M155" s="26" t="str">
        <x:v>BASE-1.0</x:v>
      </x:c>
      <x:c r="N155" s="26" t="str">
        <x:v>Complete</x:v>
      </x:c>
      <x:c r="O155" s="26"/>
      <x:c r="P155" s="26" t="str">
        <x:v>VRM Games</x:v>
      </x:c>
      <x:c r="Q155" s="26"/>
    </x:row>
    <x:row r="156" ht="30" customHeight="1">
      <x:c r="A156" s="26" t="str">
        <x:v>UX-ORD-002</x:v>
      </x:c>
      <x:c r="B156" s="26" t="str">
        <x:v>ORD</x:v>
      </x:c>
      <x:c r="C156" s="26" t="str">
        <x:v>05_UX_Flow.md</x:v>
      </x:c>
      <x:c r="D156" s="26" t="str">
        <x:v>Saldo insuficiente se explica.</x:v>
      </x:c>
      <x:c r="E156" s="26" t="str">
        <x:v>CHG-DOC-014</x:v>
      </x:c>
      <x:c r="F156" s="26"/>
      <x:c r="G156" s="26" t="str">
        <x:v>UX-ORD-002</x:v>
      </x:c>
      <x:c r="H156" s="26"/>
      <x:c r="I156" s="26" t="str">
        <x:v>TC-UX-ORD-002</x:v>
      </x:c>
      <x:c r="J156" s="26" t="str">
        <x:v>Not Run</x:v>
      </x:c>
      <x:c r="K156" s="26" t="str">
        <x:v>BLD-016-PRE</x:v>
      </x:c>
      <x:c r="L156" s="26"/>
      <x:c r="M156" s="26" t="str">
        <x:v>BASE-1.0</x:v>
      </x:c>
      <x:c r="N156" s="26" t="str">
        <x:v>Complete</x:v>
      </x:c>
      <x:c r="O156" s="26"/>
      <x:c r="P156" s="26" t="str">
        <x:v>VRM Games</x:v>
      </x:c>
      <x:c r="Q156" s="26"/>
    </x:row>
    <x:row r="157" ht="30" customHeight="1">
      <x:c r="A157" s="26" t="str">
        <x:v>UX-ORD-003</x:v>
      </x:c>
      <x:c r="B157" s="26" t="str">
        <x:v>ORD</x:v>
      </x:c>
      <x:c r="C157" s="26" t="str">
        <x:v>05_UX_Flow.md</x:v>
      </x:c>
      <x:c r="D157" s="26" t="str">
        <x:v>La recepción no puede repetirse.</x:v>
      </x:c>
      <x:c r="E157" s="26" t="str">
        <x:v>CHG-DOC-014</x:v>
      </x:c>
      <x:c r="F157" s="26"/>
      <x:c r="G157" s="26" t="str">
        <x:v>UX-ORD-003</x:v>
      </x:c>
      <x:c r="H157" s="26"/>
      <x:c r="I157" s="26" t="str">
        <x:v>TC-UX-ORD-003</x:v>
      </x:c>
      <x:c r="J157" s="26" t="str">
        <x:v>Not Run</x:v>
      </x:c>
      <x:c r="K157" s="26" t="str">
        <x:v>BLD-016-PRE</x:v>
      </x:c>
      <x:c r="L157" s="26"/>
      <x:c r="M157" s="26" t="str">
        <x:v>BASE-1.0</x:v>
      </x:c>
      <x:c r="N157" s="26" t="str">
        <x:v>Complete</x:v>
      </x:c>
      <x:c r="O157" s="26"/>
      <x:c r="P157" s="26" t="str">
        <x:v>VRM Games</x:v>
      </x:c>
      <x:c r="Q157" s="26"/>
    </x:row>
    <x:row r="158" ht="30" customHeight="1">
      <x:c r="A158" s="26" t="str">
        <x:v>UX-INV-001</x:v>
      </x:c>
      <x:c r="B158" s="26" t="str">
        <x:v>INV</x:v>
      </x:c>
      <x:c r="C158" s="26" t="str">
        <x:v>05_UX_Flow.md</x:v>
      </x:c>
      <x:c r="D158" s="26" t="str">
        <x:v>La UI distingue ubicaciones de stock.</x:v>
      </x:c>
      <x:c r="E158" s="26" t="str">
        <x:v>CHG-DOC-014</x:v>
      </x:c>
      <x:c r="F158" s="26"/>
      <x:c r="G158" s="26" t="str">
        <x:v>UX-INV-001</x:v>
      </x:c>
      <x:c r="H158" s="26"/>
      <x:c r="I158" s="26" t="str">
        <x:v>TC-UX-INV-001</x:v>
      </x:c>
      <x:c r="J158" s="26" t="str">
        <x:v>Not Run</x:v>
      </x:c>
      <x:c r="K158" s="26" t="str">
        <x:v>BLD-016-PRE</x:v>
      </x:c>
      <x:c r="L158" s="26"/>
      <x:c r="M158" s="26" t="str">
        <x:v>BASE-1.0</x:v>
      </x:c>
      <x:c r="N158" s="26" t="str">
        <x:v>Complete</x:v>
      </x:c>
      <x:c r="O158" s="26"/>
      <x:c r="P158" s="26" t="str">
        <x:v>VRM Games</x:v>
      </x:c>
      <x:c r="Q158" s="26"/>
    </x:row>
    <x:row r="159" ht="30" customHeight="1">
      <x:c r="A159" s="26" t="str">
        <x:v>UX-INV-002</x:v>
      </x:c>
      <x:c r="B159" s="26" t="str">
        <x:v>INV</x:v>
      </x:c>
      <x:c r="C159" s="26" t="str">
        <x:v>05_UX_Flow.md</x:v>
      </x:c>
      <x:c r="D159" s="26" t="str">
        <x:v>Transferir valida origen, destino y cantidad.</x:v>
      </x:c>
      <x:c r="E159" s="26" t="str">
        <x:v>CHG-DOC-014</x:v>
      </x:c>
      <x:c r="F159" s="26"/>
      <x:c r="G159" s="26" t="str">
        <x:v>UX-INV-002</x:v>
      </x:c>
      <x:c r="H159" s="26"/>
      <x:c r="I159" s="26" t="str">
        <x:v>TC-UX-INV-002</x:v>
      </x:c>
      <x:c r="J159" s="26" t="str">
        <x:v>Not Run</x:v>
      </x:c>
      <x:c r="K159" s="26" t="str">
        <x:v>BLD-016-PRE</x:v>
      </x:c>
      <x:c r="L159" s="26"/>
      <x:c r="M159" s="26" t="str">
        <x:v>BASE-1.0</x:v>
      </x:c>
      <x:c r="N159" s="26" t="str">
        <x:v>Complete</x:v>
      </x:c>
      <x:c r="O159" s="26"/>
      <x:c r="P159" s="26" t="str">
        <x:v>VRM Games</x:v>
      </x:c>
      <x:c r="Q159" s="26"/>
    </x:row>
    <x:row r="160" ht="30" customHeight="1">
      <x:c r="A160" s="26" t="str">
        <x:v>UX-INV-003</x:v>
      </x:c>
      <x:c r="B160" s="26" t="str">
        <x:v>INV</x:v>
      </x:c>
      <x:c r="C160" s="26" t="str">
        <x:v>05_UX_Flow.md</x:v>
      </x:c>
      <x:c r="D160" s="26" t="str">
        <x:v>Una transferencia falla sin estado parcial.</x:v>
      </x:c>
      <x:c r="E160" s="26" t="str">
        <x:v>CHG-DOC-014</x:v>
      </x:c>
      <x:c r="F160" s="26"/>
      <x:c r="G160" s="26" t="str">
        <x:v>UX-INV-003</x:v>
      </x:c>
      <x:c r="H160" s="26"/>
      <x:c r="I160" s="26" t="str">
        <x:v>TC-UX-INV-003</x:v>
      </x:c>
      <x:c r="J160" s="26" t="str">
        <x:v>Not Run</x:v>
      </x:c>
      <x:c r="K160" s="26" t="str">
        <x:v>BLD-016-PRE</x:v>
      </x:c>
      <x:c r="L160" s="26"/>
      <x:c r="M160" s="26" t="str">
        <x:v>BASE-1.0</x:v>
      </x:c>
      <x:c r="N160" s="26" t="str">
        <x:v>Complete</x:v>
      </x:c>
      <x:c r="O160" s="26"/>
      <x:c r="P160" s="26" t="str">
        <x:v>VRM Games</x:v>
      </x:c>
      <x:c r="Q160" s="26"/>
    </x:row>
    <x:row r="161" ht="30" customHeight="1">
      <x:c r="A161" s="26" t="str">
        <x:v>UX-INV-004</x:v>
      </x:c>
      <x:c r="B161" s="26" t="str">
        <x:v>INV</x:v>
      </x:c>
      <x:c r="C161" s="26" t="str">
        <x:v>05_UX_Flow.md</x:v>
      </x:c>
      <x:c r="D161" s="26" t="str">
        <x:v>Los estados vacíos sugieren siguiente acción.</x:v>
      </x:c>
      <x:c r="E161" s="26" t="str">
        <x:v>CHG-DOC-014</x:v>
      </x:c>
      <x:c r="F161" s="26"/>
      <x:c r="G161" s="26" t="str">
        <x:v>UX-INV-004</x:v>
      </x:c>
      <x:c r="H161" s="26"/>
      <x:c r="I161" s="26" t="str">
        <x:v>TC-UX-INV-004</x:v>
      </x:c>
      <x:c r="J161" s="26" t="str">
        <x:v>Not Run</x:v>
      </x:c>
      <x:c r="K161" s="26" t="str">
        <x:v>BLD-016-PRE</x:v>
      </x:c>
      <x:c r="L161" s="26"/>
      <x:c r="M161" s="26" t="str">
        <x:v>BASE-1.0</x:v>
      </x:c>
      <x:c r="N161" s="26" t="str">
        <x:v>Complete</x:v>
      </x:c>
      <x:c r="O161" s="26"/>
      <x:c r="P161" s="26" t="str">
        <x:v>VRM Games</x:v>
      </x:c>
      <x:c r="Q161" s="26"/>
    </x:row>
    <x:row r="162" ht="30" customHeight="1">
      <x:c r="A162" s="26" t="str">
        <x:v>UX-DSP-001</x:v>
      </x:c>
      <x:c r="B162" s="26" t="str">
        <x:v>DSP</x:v>
      </x:c>
      <x:c r="C162" s="26" t="str">
        <x:v>05_UX_Flow.md</x:v>
      </x:c>
      <x:c r="D162" s="26" t="str">
        <x:v>Asignar producto no crea stock.</x:v>
      </x:c>
      <x:c r="E162" s="26" t="str">
        <x:v>CHG-DOC-014</x:v>
      </x:c>
      <x:c r="F162" s="26"/>
      <x:c r="G162" s="26" t="str">
        <x:v>UX-DSP-001</x:v>
      </x:c>
      <x:c r="H162" s="26"/>
      <x:c r="I162" s="26" t="str">
        <x:v>TC-UX-DSP-001</x:v>
      </x:c>
      <x:c r="J162" s="26" t="str">
        <x:v>Not Run</x:v>
      </x:c>
      <x:c r="K162" s="26" t="str">
        <x:v>BLD-016-PRE</x:v>
      </x:c>
      <x:c r="L162" s="26"/>
      <x:c r="M162" s="26" t="str">
        <x:v>BASE-1.0</x:v>
      </x:c>
      <x:c r="N162" s="26" t="str">
        <x:v>Complete</x:v>
      </x:c>
      <x:c r="O162" s="26"/>
      <x:c r="P162" s="26" t="str">
        <x:v>VRM Games</x:v>
      </x:c>
      <x:c r="Q162" s="26"/>
    </x:row>
    <x:row r="163" ht="30" customHeight="1">
      <x:c r="A163" s="26" t="str">
        <x:v>UX-DSP-002</x:v>
      </x:c>
      <x:c r="B163" s="26" t="str">
        <x:v>DSP</x:v>
      </x:c>
      <x:c r="C163" s="26" t="str">
        <x:v>05_UX_Flow.md</x:v>
      </x:c>
      <x:c r="D163" s="26" t="str">
        <x:v>Reasignar preserva unidades.</x:v>
      </x:c>
      <x:c r="E163" s="26" t="str">
        <x:v>CHG-DOC-014</x:v>
      </x:c>
      <x:c r="F163" s="26"/>
      <x:c r="G163" s="26" t="str">
        <x:v>UX-DSP-002</x:v>
      </x:c>
      <x:c r="H163" s="26"/>
      <x:c r="I163" s="26" t="str">
        <x:v>TC-UX-DSP-002</x:v>
      </x:c>
      <x:c r="J163" s="26" t="str">
        <x:v>Not Run</x:v>
      </x:c>
      <x:c r="K163" s="26" t="str">
        <x:v>BLD-016-PRE</x:v>
      </x:c>
      <x:c r="L163" s="26"/>
      <x:c r="M163" s="26" t="str">
        <x:v>BASE-1.0</x:v>
      </x:c>
      <x:c r="N163" s="26" t="str">
        <x:v>Complete</x:v>
      </x:c>
      <x:c r="O163" s="26"/>
      <x:c r="P163" s="26" t="str">
        <x:v>VRM Games</x:v>
      </x:c>
      <x:c r="Q163" s="26"/>
    </x:row>
    <x:row r="164" ht="30" customHeight="1">
      <x:c r="A164" s="26" t="str">
        <x:v>UX-DSP-003</x:v>
      </x:c>
      <x:c r="B164" s="26" t="str">
        <x:v>DSP</x:v>
      </x:c>
      <x:c r="C164" s="26" t="str">
        <x:v>05_UX_Flow.md</x:v>
      </x:c>
      <x:c r="D164" s="26" t="str">
        <x:v>Reponer actualiza lógica y visual.</x:v>
      </x:c>
      <x:c r="E164" s="26" t="str">
        <x:v>CHG-DOC-014</x:v>
      </x:c>
      <x:c r="F164" s="26"/>
      <x:c r="G164" s="26" t="str">
        <x:v>UX-DSP-003</x:v>
      </x:c>
      <x:c r="H164" s="26"/>
      <x:c r="I164" s="26" t="str">
        <x:v>TC-UX-DSP-003</x:v>
      </x:c>
      <x:c r="J164" s="26" t="str">
        <x:v>Not Run</x:v>
      </x:c>
      <x:c r="K164" s="26" t="str">
        <x:v>BLD-016-PRE</x:v>
      </x:c>
      <x:c r="L164" s="26"/>
      <x:c r="M164" s="26" t="str">
        <x:v>BASE-1.0</x:v>
      </x:c>
      <x:c r="N164" s="26" t="str">
        <x:v>Complete</x:v>
      </x:c>
      <x:c r="O164" s="26"/>
      <x:c r="P164" s="26" t="str">
        <x:v>VRM Games</x:v>
      </x:c>
      <x:c r="Q164" s="26"/>
    </x:row>
    <x:row r="165" ht="30" customHeight="1">
      <x:c r="A165" s="26" t="str">
        <x:v>UX-DAY-001</x:v>
      </x:c>
      <x:c r="B165" s="26" t="str">
        <x:v>DAY</x:v>
      </x:c>
      <x:c r="C165" s="26" t="str">
        <x:v>05_UX_Flow.md</x:v>
      </x:c>
      <x:c r="D165" s="26" t="str">
        <x:v>El estado de jornada siempre es visible.</x:v>
      </x:c>
      <x:c r="E165" s="26" t="str">
        <x:v>CHG-DOC-014</x:v>
      </x:c>
      <x:c r="F165" s="26"/>
      <x:c r="G165" s="26" t="str">
        <x:v>UX-DAY-001</x:v>
      </x:c>
      <x:c r="H165" s="26"/>
      <x:c r="I165" s="26" t="str">
        <x:v>TC-UX-DAY-001</x:v>
      </x:c>
      <x:c r="J165" s="26" t="str">
        <x:v>Not Run</x:v>
      </x:c>
      <x:c r="K165" s="26" t="str">
        <x:v>BLD-016-PRE</x:v>
      </x:c>
      <x:c r="L165" s="26"/>
      <x:c r="M165" s="26" t="str">
        <x:v>BASE-1.0</x:v>
      </x:c>
      <x:c r="N165" s="26" t="str">
        <x:v>Complete</x:v>
      </x:c>
      <x:c r="O165" s="26"/>
      <x:c r="P165" s="26" t="str">
        <x:v>VRM Games</x:v>
      </x:c>
      <x:c r="Q165" s="26"/>
    </x:row>
    <x:row r="166" ht="30" customHeight="1">
      <x:c r="A166" s="26" t="str">
        <x:v>UX-DAY-002</x:v>
      </x:c>
      <x:c r="B166" s="26" t="str">
        <x:v>DAY</x:v>
      </x:c>
      <x:c r="C166" s="26" t="str">
        <x:v>05_UX_Flow.md</x:v>
      </x:c>
      <x:c r="D166" s="26" t="str">
        <x:v>Abrir valida bloqueos críticos.</x:v>
      </x:c>
      <x:c r="E166" s="26" t="str">
        <x:v>CHG-DOC-014</x:v>
      </x:c>
      <x:c r="F166" s="26"/>
      <x:c r="G166" s="26" t="str">
        <x:v>UX-DAY-002</x:v>
      </x:c>
      <x:c r="H166" s="26"/>
      <x:c r="I166" s="26" t="str">
        <x:v>TC-UX-DAY-002</x:v>
      </x:c>
      <x:c r="J166" s="26" t="str">
        <x:v>Not Run</x:v>
      </x:c>
      <x:c r="K166" s="26" t="str">
        <x:v>BLD-016-PRE</x:v>
      </x:c>
      <x:c r="L166" s="26"/>
      <x:c r="M166" s="26" t="str">
        <x:v>BASE-1.0</x:v>
      </x:c>
      <x:c r="N166" s="26" t="str">
        <x:v>Complete</x:v>
      </x:c>
      <x:c r="O166" s="26"/>
      <x:c r="P166" s="26" t="str">
        <x:v>VRM Games</x:v>
      </x:c>
      <x:c r="Q166" s="26"/>
    </x:row>
    <x:row r="167" ht="30" customHeight="1">
      <x:c r="A167" s="26" t="str">
        <x:v>UX-DAY-003</x:v>
      </x:c>
      <x:c r="B167" s="26" t="str">
        <x:v>DAY</x:v>
      </x:c>
      <x:c r="C167" s="26" t="str">
        <x:v>05_UX_Flow.md</x:v>
      </x:c>
      <x:c r="D167" s="26" t="str">
        <x:v>Closing bloquea nuevos clientes.</x:v>
      </x:c>
      <x:c r="E167" s="26" t="str">
        <x:v>CHG-DOC-014</x:v>
      </x:c>
      <x:c r="F167" s="26"/>
      <x:c r="G167" s="26" t="str">
        <x:v>UX-DAY-003</x:v>
      </x:c>
      <x:c r="H167" s="26"/>
      <x:c r="I167" s="26" t="str">
        <x:v>TC-UX-DAY-003</x:v>
      </x:c>
      <x:c r="J167" s="26" t="str">
        <x:v>Not Run</x:v>
      </x:c>
      <x:c r="K167" s="26" t="str">
        <x:v>BLD-016-PRE</x:v>
      </x:c>
      <x:c r="L167" s="26"/>
      <x:c r="M167" s="26" t="str">
        <x:v>BASE-1.0</x:v>
      </x:c>
      <x:c r="N167" s="26" t="str">
        <x:v>Complete</x:v>
      </x:c>
      <x:c r="O167" s="26"/>
      <x:c r="P167" s="26" t="str">
        <x:v>VRM Games</x:v>
      </x:c>
      <x:c r="Q167" s="26"/>
    </x:row>
    <x:row r="168" ht="30" customHeight="1">
      <x:c r="A168" s="26" t="str">
        <x:v>UX-DAY-004</x:v>
      </x:c>
      <x:c r="B168" s="26" t="str">
        <x:v>DAY</x:v>
      </x:c>
      <x:c r="C168" s="26" t="str">
        <x:v>05_UX_Flow.md</x:v>
      </x:c>
      <x:c r="D168" s="26" t="str">
        <x:v>Results espera resolución segura.</x:v>
      </x:c>
      <x:c r="E168" s="26" t="str">
        <x:v>CHG-DOC-014</x:v>
      </x:c>
      <x:c r="F168" s="26"/>
      <x:c r="G168" s="26" t="str">
        <x:v>UX-DAY-004</x:v>
      </x:c>
      <x:c r="H168" s="26"/>
      <x:c r="I168" s="26" t="str">
        <x:v>TC-UX-DAY-004</x:v>
      </x:c>
      <x:c r="J168" s="26" t="str">
        <x:v>Not Run</x:v>
      </x:c>
      <x:c r="K168" s="26" t="str">
        <x:v>BLD-016-PRE</x:v>
      </x:c>
      <x:c r="L168" s="26"/>
      <x:c r="M168" s="26" t="str">
        <x:v>BASE-1.0</x:v>
      </x:c>
      <x:c r="N168" s="26" t="str">
        <x:v>Complete</x:v>
      </x:c>
      <x:c r="O168" s="26"/>
      <x:c r="P168" s="26" t="str">
        <x:v>VRM Games</x:v>
      </x:c>
      <x:c r="Q168" s="26"/>
    </x:row>
    <x:row r="169" ht="30" customHeight="1">
      <x:c r="A169" s="26" t="str">
        <x:v>UX-CUS-001</x:v>
      </x:c>
      <x:c r="B169" s="26" t="str">
        <x:v>CUS</x:v>
      </x:c>
      <x:c r="C169" s="26" t="str">
        <x:v>05_UX_Flow.md</x:v>
      </x:c>
      <x:c r="D169" s="26" t="str">
        <x:v>El cliente comunica intención o problema.</x:v>
      </x:c>
      <x:c r="E169" s="26" t="str">
        <x:v>CHG-DOC-014</x:v>
      </x:c>
      <x:c r="F169" s="26"/>
      <x:c r="G169" s="26" t="str">
        <x:v>UX-CUS-001</x:v>
      </x:c>
      <x:c r="H169" s="26"/>
      <x:c r="I169" s="26" t="str">
        <x:v>TC-UX-CUS-001</x:v>
      </x:c>
      <x:c r="J169" s="26" t="str">
        <x:v>Not Run</x:v>
      </x:c>
      <x:c r="K169" s="26" t="str">
        <x:v>BLD-016-PRE</x:v>
      </x:c>
      <x:c r="L169" s="26"/>
      <x:c r="M169" s="26" t="str">
        <x:v>BASE-1.0</x:v>
      </x:c>
      <x:c r="N169" s="26" t="str">
        <x:v>Complete</x:v>
      </x:c>
      <x:c r="O169" s="26"/>
      <x:c r="P169" s="26" t="str">
        <x:v>VRM Games</x:v>
      </x:c>
      <x:c r="Q169" s="26"/>
    </x:row>
    <x:row r="170" ht="30" customHeight="1">
      <x:c r="A170" s="26" t="str">
        <x:v>UX-CUS-002</x:v>
      </x:c>
      <x:c r="B170" s="26" t="str">
        <x:v>CUS</x:v>
      </x:c>
      <x:c r="C170" s="26" t="str">
        <x:v>05_UX_Flow.md</x:v>
      </x:c>
      <x:c r="D170" s="26" t="str">
        <x:v>La paciencia se anticipa cuando es accionable.</x:v>
      </x:c>
      <x:c r="E170" s="26" t="str">
        <x:v>CHG-DOC-014</x:v>
      </x:c>
      <x:c r="F170" s="26"/>
      <x:c r="G170" s="26" t="str">
        <x:v>UX-CUS-002</x:v>
      </x:c>
      <x:c r="H170" s="26"/>
      <x:c r="I170" s="26" t="str">
        <x:v>TC-UX-CUS-002</x:v>
      </x:c>
      <x:c r="J170" s="26" t="str">
        <x:v>Not Run</x:v>
      </x:c>
      <x:c r="K170" s="26" t="str">
        <x:v>BLD-016-PRE</x:v>
      </x:c>
      <x:c r="L170" s="26"/>
      <x:c r="M170" s="26" t="str">
        <x:v>BASE-1.0</x:v>
      </x:c>
      <x:c r="N170" s="26" t="str">
        <x:v>Complete</x:v>
      </x:c>
      <x:c r="O170" s="26"/>
      <x:c r="P170" s="26" t="str">
        <x:v>VRM Games</x:v>
      </x:c>
      <x:c r="Q170" s="26"/>
    </x:row>
    <x:row r="171" ht="30" customHeight="1">
      <x:c r="A171" s="26" t="str">
        <x:v>UX-CUS-003</x:v>
      </x:c>
      <x:c r="B171" s="26" t="str">
        <x:v>CUS</x:v>
      </x:c>
      <x:c r="C171" s="26" t="str">
        <x:v>05_UX_Flow.md</x:v>
      </x:c>
      <x:c r="D171" s="26" t="str">
        <x:v>Abandono registra causa.</x:v>
      </x:c>
      <x:c r="E171" s="26" t="str">
        <x:v>CHG-DOC-014</x:v>
      </x:c>
      <x:c r="F171" s="26"/>
      <x:c r="G171" s="26" t="str">
        <x:v>UX-CUS-003</x:v>
      </x:c>
      <x:c r="H171" s="26"/>
      <x:c r="I171" s="26" t="str">
        <x:v>TC-UX-CUS-003</x:v>
      </x:c>
      <x:c r="J171" s="26" t="str">
        <x:v>Not Run</x:v>
      </x:c>
      <x:c r="K171" s="26" t="str">
        <x:v>BLD-016-PRE</x:v>
      </x:c>
      <x:c r="L171" s="26"/>
      <x:c r="M171" s="26" t="str">
        <x:v>BASE-1.0</x:v>
      </x:c>
      <x:c r="N171" s="26" t="str">
        <x:v>Complete</x:v>
      </x:c>
      <x:c r="O171" s="26"/>
      <x:c r="P171" s="26" t="str">
        <x:v>VRM Games</x:v>
      </x:c>
      <x:c r="Q171" s="26"/>
    </x:row>
    <x:row r="172" ht="30" customHeight="1">
      <x:c r="A172" s="26" t="str">
        <x:v>UX-CUS-004</x:v>
      </x:c>
      <x:c r="B172" s="26" t="str">
        <x:v>CUS</x:v>
      </x:c>
      <x:c r="C172" s="26" t="str">
        <x:v>05_UX_Flow.md</x:v>
      </x:c>
      <x:c r="D172" s="26" t="str">
        <x:v>Cierre libera reservas.</x:v>
      </x:c>
      <x:c r="E172" s="26" t="str">
        <x:v>CHG-DOC-014</x:v>
      </x:c>
      <x:c r="F172" s="26"/>
      <x:c r="G172" s="26" t="str">
        <x:v>UX-CUS-004</x:v>
      </x:c>
      <x:c r="H172" s="26"/>
      <x:c r="I172" s="26" t="str">
        <x:v>TC-UX-CUS-004</x:v>
      </x:c>
      <x:c r="J172" s="26" t="str">
        <x:v>Not Run</x:v>
      </x:c>
      <x:c r="K172" s="26" t="str">
        <x:v>BLD-016-PRE</x:v>
      </x:c>
      <x:c r="L172" s="26"/>
      <x:c r="M172" s="26" t="str">
        <x:v>BASE-1.0</x:v>
      </x:c>
      <x:c r="N172" s="26" t="str">
        <x:v>Complete</x:v>
      </x:c>
      <x:c r="O172" s="26"/>
      <x:c r="P172" s="26" t="str">
        <x:v>VRM Games</x:v>
      </x:c>
      <x:c r="Q172" s="26"/>
    </x:row>
    <x:row r="173" ht="30" customHeight="1">
      <x:c r="A173" s="26" t="str">
        <x:v>UX-CUS-005</x:v>
      </x:c>
      <x:c r="B173" s="26" t="str">
        <x:v>CUS</x:v>
      </x:c>
      <x:c r="C173" s="26" t="str">
        <x:v>05_UX_Flow.md</x:v>
      </x:c>
      <x:c r="D173" s="26" t="str">
        <x:v>Un cliente bloqueado no impide terminar jornada.</x:v>
      </x:c>
      <x:c r="E173" s="26" t="str">
        <x:v>CHG-DOC-014</x:v>
      </x:c>
      <x:c r="F173" s="26"/>
      <x:c r="G173" s="26" t="str">
        <x:v>UX-CUS-005</x:v>
      </x:c>
      <x:c r="H173" s="26"/>
      <x:c r="I173" s="26" t="str">
        <x:v>TC-UX-CUS-005</x:v>
      </x:c>
      <x:c r="J173" s="26" t="str">
        <x:v>Not Run</x:v>
      </x:c>
      <x:c r="K173" s="26" t="str">
        <x:v>BLD-016-PRE</x:v>
      </x:c>
      <x:c r="L173" s="26"/>
      <x:c r="M173" s="26" t="str">
        <x:v>BASE-1.0</x:v>
      </x:c>
      <x:c r="N173" s="26" t="str">
        <x:v>Complete</x:v>
      </x:c>
      <x:c r="O173" s="26"/>
      <x:c r="P173" s="26" t="str">
        <x:v>VRM Games</x:v>
      </x:c>
      <x:c r="Q173" s="26"/>
    </x:row>
    <x:row r="174" ht="30" customHeight="1">
      <x:c r="A174" s="26" t="str">
        <x:v>UX-CHK-001</x:v>
      </x:c>
      <x:c r="B174" s="26" t="str">
        <x:v>CHK</x:v>
      </x:c>
      <x:c r="C174" s="26" t="str">
        <x:v>05_UX_Flow.md</x:v>
      </x:c>
      <x:c r="D174" s="26" t="str">
        <x:v>Checkout muestra carrito y total.</x:v>
      </x:c>
      <x:c r="E174" s="26" t="str">
        <x:v>CHG-DOC-014</x:v>
      </x:c>
      <x:c r="F174" s="26"/>
      <x:c r="G174" s="26" t="str">
        <x:v>UX-CHK-001</x:v>
      </x:c>
      <x:c r="H174" s="26"/>
      <x:c r="I174" s="26" t="str">
        <x:v>TC-UX-CHK-001</x:v>
      </x:c>
      <x:c r="J174" s="26" t="str">
        <x:v>Not Run</x:v>
      </x:c>
      <x:c r="K174" s="26" t="str">
        <x:v>BLD-016-PRE</x:v>
      </x:c>
      <x:c r="L174" s="26"/>
      <x:c r="M174" s="26" t="str">
        <x:v>BASE-1.0</x:v>
      </x:c>
      <x:c r="N174" s="26" t="str">
        <x:v>Complete</x:v>
      </x:c>
      <x:c r="O174" s="26"/>
      <x:c r="P174" s="26" t="str">
        <x:v>VRM Games</x:v>
      </x:c>
      <x:c r="Q174" s="26"/>
    </x:row>
    <x:row r="175" ht="30" customHeight="1">
      <x:c r="A175" s="26" t="str">
        <x:v>UX-CHK-002</x:v>
      </x:c>
      <x:c r="B175" s="26" t="str">
        <x:v>CHK</x:v>
      </x:c>
      <x:c r="C175" s="26" t="str">
        <x:v>05_UX_Flow.md</x:v>
      </x:c>
      <x:c r="D175" s="26" t="str">
        <x:v>Preflight ocurre antes de mutar.</x:v>
      </x:c>
      <x:c r="E175" s="26" t="str">
        <x:v>CHG-DOC-014</x:v>
      </x:c>
      <x:c r="F175" s="26"/>
      <x:c r="G175" s="26" t="str">
        <x:v>UX-CHK-002</x:v>
      </x:c>
      <x:c r="H175" s="26"/>
      <x:c r="I175" s="26" t="str">
        <x:v>TC-UX-CHK-002</x:v>
      </x:c>
      <x:c r="J175" s="26" t="str">
        <x:v>Not Run</x:v>
      </x:c>
      <x:c r="K175" s="26" t="str">
        <x:v>BLD-016-PRE</x:v>
      </x:c>
      <x:c r="L175" s="26"/>
      <x:c r="M175" s="26" t="str">
        <x:v>BASE-1.0</x:v>
      </x:c>
      <x:c r="N175" s="26" t="str">
        <x:v>Complete</x:v>
      </x:c>
      <x:c r="O175" s="26"/>
      <x:c r="P175" s="26" t="str">
        <x:v>VRM Games</x:v>
      </x:c>
      <x:c r="Q175" s="26"/>
    </x:row>
    <x:row r="176" ht="30" customHeight="1">
      <x:c r="A176" s="26" t="str">
        <x:v>UX-CHK-003</x:v>
      </x:c>
      <x:c r="B176" s="26" t="str">
        <x:v>CHK</x:v>
      </x:c>
      <x:c r="C176" s="26" t="str">
        <x:v>05_UX_Flow.md</x:v>
      </x:c>
      <x:c r="D176" s="26" t="str">
        <x:v>Una venta se confirma una sola vez.</x:v>
      </x:c>
      <x:c r="E176" s="26" t="str">
        <x:v>CHG-DOC-014</x:v>
      </x:c>
      <x:c r="F176" s="26"/>
      <x:c r="G176" s="26" t="str">
        <x:v>UX-CHK-003</x:v>
      </x:c>
      <x:c r="H176" s="26"/>
      <x:c r="I176" s="26" t="str">
        <x:v>TC-UX-CHK-003</x:v>
      </x:c>
      <x:c r="J176" s="26" t="str">
        <x:v>Not Run</x:v>
      </x:c>
      <x:c r="K176" s="26" t="str">
        <x:v>BLD-016-PRE</x:v>
      </x:c>
      <x:c r="L176" s="26"/>
      <x:c r="M176" s="26" t="str">
        <x:v>BASE-1.0</x:v>
      </x:c>
      <x:c r="N176" s="26" t="str">
        <x:v>Complete</x:v>
      </x:c>
      <x:c r="O176" s="26"/>
      <x:c r="P176" s="26" t="str">
        <x:v>VRM Games</x:v>
      </x:c>
      <x:c r="Q176" s="26"/>
    </x:row>
    <x:row r="177" ht="30" customHeight="1">
      <x:c r="A177" s="26" t="str">
        <x:v>UX-CHK-004</x:v>
      </x:c>
      <x:c r="B177" s="26" t="str">
        <x:v>CHK</x:v>
      </x:c>
      <x:c r="C177" s="26" t="str">
        <x:v>05_UX_Flow.md</x:v>
      </x:c>
      <x:c r="D177" s="26" t="str">
        <x:v>Un fallo no mueve dinero ni stock.</x:v>
      </x:c>
      <x:c r="E177" s="26" t="str">
        <x:v>CHG-DOC-014</x:v>
      </x:c>
      <x:c r="F177" s="26"/>
      <x:c r="G177" s="26" t="str">
        <x:v>UX-CHK-004</x:v>
      </x:c>
      <x:c r="H177" s="26"/>
      <x:c r="I177" s="26" t="str">
        <x:v>TC-UX-CHK-004</x:v>
      </x:c>
      <x:c r="J177" s="26" t="str">
        <x:v>Not Run</x:v>
      </x:c>
      <x:c r="K177" s="26" t="str">
        <x:v>BLD-016-PRE</x:v>
      </x:c>
      <x:c r="L177" s="26"/>
      <x:c r="M177" s="26" t="str">
        <x:v>BASE-1.0</x:v>
      </x:c>
      <x:c r="N177" s="26" t="str">
        <x:v>Complete</x:v>
      </x:c>
      <x:c r="O177" s="26"/>
      <x:c r="P177" s="26" t="str">
        <x:v>VRM Games</x:v>
      </x:c>
      <x:c r="Q177" s="26"/>
    </x:row>
    <x:row r="178" ht="30" customHeight="1">
      <x:c r="A178" s="26" t="str">
        <x:v>UX-CHK-005</x:v>
      </x:c>
      <x:c r="B178" s="26" t="str">
        <x:v>CHK</x:v>
      </x:c>
      <x:c r="C178" s="26" t="str">
        <x:v>05_UX_Flow.md</x:v>
      </x:c>
      <x:c r="D178" s="26" t="str">
        <x:v>La cola avanza después de la venta.</x:v>
      </x:c>
      <x:c r="E178" s="26" t="str">
        <x:v>CHG-DOC-014</x:v>
      </x:c>
      <x:c r="F178" s="26"/>
      <x:c r="G178" s="26" t="str">
        <x:v>UX-CHK-005</x:v>
      </x:c>
      <x:c r="H178" s="26"/>
      <x:c r="I178" s="26" t="str">
        <x:v>TC-UX-CHK-005</x:v>
      </x:c>
      <x:c r="J178" s="26" t="str">
        <x:v>Not Run</x:v>
      </x:c>
      <x:c r="K178" s="26" t="str">
        <x:v>BLD-016-PRE</x:v>
      </x:c>
      <x:c r="L178" s="26"/>
      <x:c r="M178" s="26" t="str">
        <x:v>BASE-1.0</x:v>
      </x:c>
      <x:c r="N178" s="26" t="str">
        <x:v>Complete</x:v>
      </x:c>
      <x:c r="O178" s="26"/>
      <x:c r="P178" s="26" t="str">
        <x:v>VRM Games</x:v>
      </x:c>
      <x:c r="Q178" s="26"/>
    </x:row>
    <x:row r="179" ht="30" customHeight="1">
      <x:c r="A179" s="26" t="str">
        <x:v>UX-ECO-001</x:v>
      </x:c>
      <x:c r="B179" s="26" t="str">
        <x:v>ECO</x:v>
      </x:c>
      <x:c r="C179" s="26" t="str">
        <x:v>05_UX_Flow.md</x:v>
      </x:c>
      <x:c r="D179" s="26" t="str">
        <x:v>El saldo se actualiza de forma comprensible.</x:v>
      </x:c>
      <x:c r="E179" s="26" t="str">
        <x:v>CHG-DOC-014</x:v>
      </x:c>
      <x:c r="F179" s="26"/>
      <x:c r="G179" s="26" t="str">
        <x:v>UX-ECO-001</x:v>
      </x:c>
      <x:c r="H179" s="26"/>
      <x:c r="I179" s="26" t="str">
        <x:v>TC-UX-ECO-001</x:v>
      </x:c>
      <x:c r="J179" s="26" t="str">
        <x:v>Not Run</x:v>
      </x:c>
      <x:c r="K179" s="26" t="str">
        <x:v>BLD-016-PRE</x:v>
      </x:c>
      <x:c r="L179" s="26"/>
      <x:c r="M179" s="26" t="str">
        <x:v>BASE-1.0</x:v>
      </x:c>
      <x:c r="N179" s="26" t="str">
        <x:v>Complete</x:v>
      </x:c>
      <x:c r="O179" s="26"/>
      <x:c r="P179" s="26" t="str">
        <x:v>VRM Games</x:v>
      </x:c>
      <x:c r="Q179" s="26"/>
    </x:row>
    <x:row r="180" ht="30" customHeight="1">
      <x:c r="A180" s="26" t="str">
        <x:v>UX-ECO-002</x:v>
      </x:c>
      <x:c r="B180" s="26" t="str">
        <x:v>ECO</x:v>
      </x:c>
      <x:c r="C180" s="26" t="str">
        <x:v>05_UX_Flow.md</x:v>
      </x:c>
      <x:c r="D180" s="26" t="str">
        <x:v>Cada movimiento tiene causa consultable.</x:v>
      </x:c>
      <x:c r="E180" s="26" t="str">
        <x:v>CHG-DOC-014</x:v>
      </x:c>
      <x:c r="F180" s="26"/>
      <x:c r="G180" s="26" t="str">
        <x:v>UX-ECO-002</x:v>
      </x:c>
      <x:c r="H180" s="26"/>
      <x:c r="I180" s="26" t="str">
        <x:v>TC-UX-ECO-002</x:v>
      </x:c>
      <x:c r="J180" s="26" t="str">
        <x:v>Not Run</x:v>
      </x:c>
      <x:c r="K180" s="26" t="str">
        <x:v>BLD-016-PRE</x:v>
      </x:c>
      <x:c r="L180" s="26"/>
      <x:c r="M180" s="26" t="str">
        <x:v>BASE-1.0</x:v>
      </x:c>
      <x:c r="N180" s="26" t="str">
        <x:v>Complete</x:v>
      </x:c>
      <x:c r="O180" s="26"/>
      <x:c r="P180" s="26" t="str">
        <x:v>VRM Games</x:v>
      </x:c>
      <x:c r="Q180" s="26"/>
    </x:row>
    <x:row r="181" ht="30" customHeight="1">
      <x:c r="A181" s="26" t="str">
        <x:v>UX-ECO-003</x:v>
      </x:c>
      <x:c r="B181" s="26" t="str">
        <x:v>ECO</x:v>
      </x:c>
      <x:c r="C181" s="26" t="str">
        <x:v>05_UX_Flow.md</x:v>
      </x:c>
      <x:c r="D181" s="26" t="str">
        <x:v>Results separa ingresos, costes y beneficio.</x:v>
      </x:c>
      <x:c r="E181" s="26" t="str">
        <x:v>CHG-DOC-014</x:v>
      </x:c>
      <x:c r="F181" s="26"/>
      <x:c r="G181" s="26" t="str">
        <x:v>UX-ECO-003</x:v>
      </x:c>
      <x:c r="H181" s="26"/>
      <x:c r="I181" s="26" t="str">
        <x:v>TC-UX-ECO-003</x:v>
      </x:c>
      <x:c r="J181" s="26" t="str">
        <x:v>Not Run</x:v>
      </x:c>
      <x:c r="K181" s="26" t="str">
        <x:v>BLD-016-PRE</x:v>
      </x:c>
      <x:c r="L181" s="26"/>
      <x:c r="M181" s="26" t="str">
        <x:v>BASE-1.0</x:v>
      </x:c>
      <x:c r="N181" s="26" t="str">
        <x:v>Complete</x:v>
      </x:c>
      <x:c r="O181" s="26"/>
      <x:c r="P181" s="26" t="str">
        <x:v>VRM Games</x:v>
      </x:c>
      <x:c r="Q181" s="26"/>
    </x:row>
    <x:row r="182" ht="30" customHeight="1">
      <x:c r="A182" s="26" t="str">
        <x:v>UX-SAV-001</x:v>
      </x:c>
      <x:c r="B182" s="26" t="str">
        <x:v>SAV</x:v>
      </x:c>
      <x:c r="C182" s="26" t="str">
        <x:v>05_UX_Flow.md</x:v>
      </x:c>
      <x:c r="D182" s="26" t="str">
        <x:v>Guardar muestra progreso y resultado real.</x:v>
      </x:c>
      <x:c r="E182" s="26" t="str">
        <x:v>CHG-DOC-014</x:v>
      </x:c>
      <x:c r="F182" s="26"/>
      <x:c r="G182" s="26" t="str">
        <x:v>UX-SAV-001</x:v>
      </x:c>
      <x:c r="H182" s="26"/>
      <x:c r="I182" s="26" t="str">
        <x:v>TC-UX-SAV-001</x:v>
      </x:c>
      <x:c r="J182" s="26" t="str">
        <x:v>Not Run</x:v>
      </x:c>
      <x:c r="K182" s="26" t="str">
        <x:v>BLD-016-PRE</x:v>
      </x:c>
      <x:c r="L182" s="26"/>
      <x:c r="M182" s="26" t="str">
        <x:v>BASE-1.0</x:v>
      </x:c>
      <x:c r="N182" s="26" t="str">
        <x:v>Complete</x:v>
      </x:c>
      <x:c r="O182" s="26"/>
      <x:c r="P182" s="26" t="str">
        <x:v>VRM Games</x:v>
      </x:c>
      <x:c r="Q182" s="26"/>
    </x:row>
    <x:row r="183" ht="30" customHeight="1">
      <x:c r="A183" s="26" t="str">
        <x:v>UX-SAV-002</x:v>
      </x:c>
      <x:c r="B183" s="26" t="str">
        <x:v>SAV</x:v>
      </x:c>
      <x:c r="C183" s="26" t="str">
        <x:v>05_UX_Flow.md</x:v>
      </x:c>
      <x:c r="D183" s="26" t="str">
        <x:v>Un error de guardado permanece visible.</x:v>
      </x:c>
      <x:c r="E183" s="26" t="str">
        <x:v>CHG-DOC-014</x:v>
      </x:c>
      <x:c r="F183" s="26"/>
      <x:c r="G183" s="26" t="str">
        <x:v>UX-SAV-002</x:v>
      </x:c>
      <x:c r="H183" s="26"/>
      <x:c r="I183" s="26" t="str">
        <x:v>TC-UX-SAV-002</x:v>
      </x:c>
      <x:c r="J183" s="26" t="str">
        <x:v>Not Run</x:v>
      </x:c>
      <x:c r="K183" s="26" t="str">
        <x:v>BLD-016-PRE</x:v>
      </x:c>
      <x:c r="L183" s="26"/>
      <x:c r="M183" s="26" t="str">
        <x:v>BASE-1.0</x:v>
      </x:c>
      <x:c r="N183" s="26" t="str">
        <x:v>Complete</x:v>
      </x:c>
      <x:c r="O183" s="26"/>
      <x:c r="P183" s="26" t="str">
        <x:v>VRM Games</x:v>
      </x:c>
      <x:c r="Q183" s="26"/>
    </x:row>
    <x:row r="184" ht="30" customHeight="1">
      <x:c r="A184" s="26" t="str">
        <x:v>UX-SAV-003</x:v>
      </x:c>
      <x:c r="B184" s="26" t="str">
        <x:v>SAV</x:v>
      </x:c>
      <x:c r="C184" s="26" t="str">
        <x:v>05_UX_Flow.md</x:v>
      </x:c>
      <x:c r="D184" s="26" t="str">
        <x:v>Cargar conserva estado relevante.</x:v>
      </x:c>
      <x:c r="E184" s="26" t="str">
        <x:v>CHG-DOC-014</x:v>
      </x:c>
      <x:c r="F184" s="26"/>
      <x:c r="G184" s="26" t="str">
        <x:v>UX-SAV-003</x:v>
      </x:c>
      <x:c r="H184" s="26"/>
      <x:c r="I184" s="26" t="str">
        <x:v>TC-UX-SAV-003</x:v>
      </x:c>
      <x:c r="J184" s="26" t="str">
        <x:v>Not Run</x:v>
      </x:c>
      <x:c r="K184" s="26" t="str">
        <x:v>BLD-016-PRE</x:v>
      </x:c>
      <x:c r="L184" s="26"/>
      <x:c r="M184" s="26" t="str">
        <x:v>BASE-1.0</x:v>
      </x:c>
      <x:c r="N184" s="26" t="str">
        <x:v>Complete</x:v>
      </x:c>
      <x:c r="O184" s="26"/>
      <x:c r="P184" s="26" t="str">
        <x:v>VRM Games</x:v>
      </x:c>
      <x:c r="Q184" s="26"/>
    </x:row>
    <x:row r="185" ht="30" customHeight="1">
      <x:c r="A185" s="26" t="str">
        <x:v>UX-SAV-004</x:v>
      </x:c>
      <x:c r="B185" s="26" t="str">
        <x:v>SAV</x:v>
      </x:c>
      <x:c r="C185" s="26" t="str">
        <x:v>05_UX_Flow.md</x:v>
      </x:c>
      <x:c r="D185" s="26" t="str">
        <x:v>Salir con cambios ofrece opciones claras.</x:v>
      </x:c>
      <x:c r="E185" s="26" t="str">
        <x:v>CHG-DOC-014</x:v>
      </x:c>
      <x:c r="F185" s="26"/>
      <x:c r="G185" s="26" t="str">
        <x:v>UX-SAV-004</x:v>
      </x:c>
      <x:c r="H185" s="26"/>
      <x:c r="I185" s="26" t="str">
        <x:v>TC-UX-SAV-004</x:v>
      </x:c>
      <x:c r="J185" s="26" t="str">
        <x:v>Not Run</x:v>
      </x:c>
      <x:c r="K185" s="26" t="str">
        <x:v>BLD-016-PRE</x:v>
      </x:c>
      <x:c r="L185" s="26"/>
      <x:c r="M185" s="26" t="str">
        <x:v>BASE-1.0</x:v>
      </x:c>
      <x:c r="N185" s="26" t="str">
        <x:v>Complete</x:v>
      </x:c>
      <x:c r="O185" s="26"/>
      <x:c r="P185" s="26" t="str">
        <x:v>VRM Games</x:v>
      </x:c>
      <x:c r="Q185" s="26"/>
    </x:row>
    <x:row r="186" ht="30" customHeight="1">
      <x:c r="A186" s="26" t="str">
        <x:v>UX-ACC-001</x:v>
      </x:c>
      <x:c r="B186" s="26" t="str">
        <x:v>ACC</x:v>
      </x:c>
      <x:c r="C186" s="26" t="str">
        <x:v>05_UX_Flow.md</x:v>
      </x:c>
      <x:c r="D186" s="26" t="str">
        <x:v>Los estados críticos no dependen solo del color.</x:v>
      </x:c>
      <x:c r="E186" s="26" t="str">
        <x:v>CHG-DOC-014</x:v>
      </x:c>
      <x:c r="F186" s="26"/>
      <x:c r="G186" s="26" t="str">
        <x:v>UX-ACC-001</x:v>
      </x:c>
      <x:c r="H186" s="26"/>
      <x:c r="I186" s="26" t="str">
        <x:v>TC-UX-ACC-001</x:v>
      </x:c>
      <x:c r="J186" s="26" t="str">
        <x:v>Not Run</x:v>
      </x:c>
      <x:c r="K186" s="26" t="str">
        <x:v>BLD-H6</x:v>
      </x:c>
      <x:c r="L186" s="26"/>
      <x:c r="M186" s="26" t="str">
        <x:v>BASE-1.0</x:v>
      </x:c>
      <x:c r="N186" s="26" t="str">
        <x:v>Complete</x:v>
      </x:c>
      <x:c r="O186" s="26"/>
      <x:c r="P186" s="26" t="str">
        <x:v>VRM Games</x:v>
      </x:c>
      <x:c r="Q186" s="26"/>
    </x:row>
    <x:row r="187" ht="30" customHeight="1">
      <x:c r="A187" s="26" t="str">
        <x:v>UX-ACC-002</x:v>
      </x:c>
      <x:c r="B187" s="26" t="str">
        <x:v>ACC</x:v>
      </x:c>
      <x:c r="C187" s="26" t="str">
        <x:v>05_UX_Flow.md</x:v>
      </x:c>
      <x:c r="D187" s="26" t="str">
        <x:v>La escala de UI es configurable.</x:v>
      </x:c>
      <x:c r="E187" s="26" t="str">
        <x:v>CHG-DOC-014</x:v>
      </x:c>
      <x:c r="F187" s="26"/>
      <x:c r="G187" s="26" t="str">
        <x:v>UX-ACC-002</x:v>
      </x:c>
      <x:c r="H187" s="26"/>
      <x:c r="I187" s="26" t="str">
        <x:v>TC-UX-ACC-002</x:v>
      </x:c>
      <x:c r="J187" s="26" t="str">
        <x:v>Not Run</x:v>
      </x:c>
      <x:c r="K187" s="26" t="str">
        <x:v>BLD-H6</x:v>
      </x:c>
      <x:c r="L187" s="26"/>
      <x:c r="M187" s="26" t="str">
        <x:v>BASE-1.0</x:v>
      </x:c>
      <x:c r="N187" s="26" t="str">
        <x:v>Complete</x:v>
      </x:c>
      <x:c r="O187" s="26"/>
      <x:c r="P187" s="26" t="str">
        <x:v>VRM Games</x:v>
      </x:c>
      <x:c r="Q187" s="26"/>
    </x:row>
    <x:row r="188" ht="30" customHeight="1">
      <x:c r="A188" s="26" t="str">
        <x:v>UX-ACC-003</x:v>
      </x:c>
      <x:c r="B188" s="26" t="str">
        <x:v>ACC</x:v>
      </x:c>
      <x:c r="C188" s="26" t="str">
        <x:v>05_UX_Flow.md</x:v>
      </x:c>
      <x:c r="D188" s="26" t="str">
        <x:v>La velocidad de cámara es configurable.</x:v>
      </x:c>
      <x:c r="E188" s="26" t="str">
        <x:v>CHG-DOC-014</x:v>
      </x:c>
      <x:c r="F188" s="26"/>
      <x:c r="G188" s="26" t="str">
        <x:v>UX-ACC-003</x:v>
      </x:c>
      <x:c r="H188" s="26"/>
      <x:c r="I188" s="26" t="str">
        <x:v>TC-UX-ACC-003</x:v>
      </x:c>
      <x:c r="J188" s="26" t="str">
        <x:v>Not Run</x:v>
      </x:c>
      <x:c r="K188" s="26" t="str">
        <x:v>BLD-H6</x:v>
      </x:c>
      <x:c r="L188" s="26"/>
      <x:c r="M188" s="26" t="str">
        <x:v>BASE-1.0</x:v>
      </x:c>
      <x:c r="N188" s="26" t="str">
        <x:v>Complete</x:v>
      </x:c>
      <x:c r="O188" s="26"/>
      <x:c r="P188" s="26" t="str">
        <x:v>VRM Games</x:v>
      </x:c>
      <x:c r="Q188" s="26"/>
    </x:row>
    <x:row r="189" ht="30" customHeight="1">
      <x:c r="A189" s="26" t="str">
        <x:v>UX-ACC-004</x:v>
      </x:c>
      <x:c r="B189" s="26" t="str">
        <x:v>ACC</x:v>
      </x:c>
      <x:c r="C189" s="26" t="str">
        <x:v>05_UX_Flow.md</x:v>
      </x:c>
      <x:c r="D189" s="26" t="str">
        <x:v>Los avisos importantes tienen alternativa visual.</x:v>
      </x:c>
      <x:c r="E189" s="26" t="str">
        <x:v>CHG-DOC-014</x:v>
      </x:c>
      <x:c r="F189" s="26"/>
      <x:c r="G189" s="26" t="str">
        <x:v>UX-ACC-004</x:v>
      </x:c>
      <x:c r="H189" s="26"/>
      <x:c r="I189" s="26" t="str">
        <x:v>TC-UX-ACC-004</x:v>
      </x:c>
      <x:c r="J189" s="26" t="str">
        <x:v>Not Run</x:v>
      </x:c>
      <x:c r="K189" s="26" t="str">
        <x:v>BLD-H6</x:v>
      </x:c>
      <x:c r="L189" s="26"/>
      <x:c r="M189" s="26" t="str">
        <x:v>BASE-1.0</x:v>
      </x:c>
      <x:c r="N189" s="26" t="str">
        <x:v>Complete</x:v>
      </x:c>
      <x:c r="O189" s="26"/>
      <x:c r="P189" s="26" t="str">
        <x:v>VRM Games</x:v>
      </x:c>
      <x:c r="Q189" s="26"/>
    </x:row>
    <x:row r="190" ht="30" customHeight="1">
      <x:c r="A190" s="26" t="str">
        <x:v>UX-ACC-005</x:v>
      </x:c>
      <x:c r="B190" s="26" t="str">
        <x:v>ACC</x:v>
      </x:c>
      <x:c r="C190" s="26" t="str">
        <x:v>05_UX_Flow.md</x:v>
      </x:c>
      <x:c r="D190" s="26" t="str">
        <x:v>La lectura puede realizarse con simulación pausada.</x:v>
      </x:c>
      <x:c r="E190" s="26" t="str">
        <x:v>CHG-DOC-014</x:v>
      </x:c>
      <x:c r="F190" s="26"/>
      <x:c r="G190" s="26" t="str">
        <x:v>UX-ACC-005</x:v>
      </x:c>
      <x:c r="H190" s="26"/>
      <x:c r="I190" s="26" t="str">
        <x:v>TC-UX-ACC-005</x:v>
      </x:c>
      <x:c r="J190" s="26" t="str">
        <x:v>Not Run</x:v>
      </x:c>
      <x:c r="K190" s="26" t="str">
        <x:v>BLD-H6</x:v>
      </x:c>
      <x:c r="L190" s="26"/>
      <x:c r="M190" s="26" t="str">
        <x:v>BASE-1.0</x:v>
      </x:c>
      <x:c r="N190" s="26" t="str">
        <x:v>Complete</x:v>
      </x:c>
      <x:c r="O190" s="26"/>
      <x:c r="P190" s="26" t="str">
        <x:v>VRM Games</x:v>
      </x:c>
      <x:c r="Q190" s="26"/>
    </x:row>
    <x:row r="191" ht="30" customHeight="1">
      <x:c r="A191" s="26" t="str">
        <x:v>UX-LOC-001</x:v>
      </x:c>
      <x:c r="B191" s="26" t="str">
        <x:v>LOC</x:v>
      </x:c>
      <x:c r="C191" s="26" t="str">
        <x:v>05_UX_Flow.md</x:v>
      </x:c>
      <x:c r="D191" s="26" t="str">
        <x:v>ES y EN no presentan truncamientos críticos.</x:v>
      </x:c>
      <x:c r="E191" s="26" t="str">
        <x:v>CHG-DOC-014</x:v>
      </x:c>
      <x:c r="F191" s="26"/>
      <x:c r="G191" s="26" t="str">
        <x:v>UX-LOC-001</x:v>
      </x:c>
      <x:c r="H191" s="26"/>
      <x:c r="I191" s="26" t="str">
        <x:v>TC-UX-LOC-001</x:v>
      </x:c>
      <x:c r="J191" s="26" t="str">
        <x:v>Not Run</x:v>
      </x:c>
      <x:c r="K191" s="26" t="str">
        <x:v>BLD-H6</x:v>
      </x:c>
      <x:c r="L191" s="26"/>
      <x:c r="M191" s="26" t="str">
        <x:v>BASE-1.0</x:v>
      </x:c>
      <x:c r="N191" s="26" t="str">
        <x:v>Complete</x:v>
      </x:c>
      <x:c r="O191" s="26"/>
      <x:c r="P191" s="26" t="str">
        <x:v>VRM Games</x:v>
      </x:c>
      <x:c r="Q191" s="26"/>
    </x:row>
    <x:row r="192" ht="30" customHeight="1">
      <x:c r="A192" s="26" t="str">
        <x:v>UX-GP-001</x:v>
      </x:c>
      <x:c r="B192" s="26" t="str">
        <x:v>GP</x:v>
      </x:c>
      <x:c r="C192" s="26" t="str">
        <x:v>05_UX_Flow.md</x:v>
      </x:c>
      <x:c r="D192" s="26" t="str">
        <x:v>El Golden Path se completa sin herramientas de Editor.</x:v>
      </x:c>
      <x:c r="E192" s="26" t="str">
        <x:v>CHG-DOC-014</x:v>
      </x:c>
      <x:c r="F192" s="26"/>
      <x:c r="G192" s="26" t="str">
        <x:v>UX-GP-001</x:v>
      </x:c>
      <x:c r="H192" s="26"/>
      <x:c r="I192" s="26" t="str">
        <x:v>TC-UX-GP-001</x:v>
      </x:c>
      <x:c r="J192" s="26" t="str">
        <x:v>Not Run</x:v>
      </x:c>
      <x:c r="K192" s="26" t="str">
        <x:v>BLD-016-PRE</x:v>
      </x:c>
      <x:c r="L192" s="26"/>
      <x:c r="M192" s="26" t="str">
        <x:v>BASE-1.0</x:v>
      </x:c>
      <x:c r="N192" s="26" t="str">
        <x:v>Complete</x:v>
      </x:c>
      <x:c r="O192" s="26"/>
      <x:c r="P192" s="26" t="str">
        <x:v>VRM Games</x:v>
      </x:c>
      <x:c r="Q192" s="26"/>
    </x:row>
    <x:row r="193" ht="30" customHeight="1">
      <x:c r="A193" s="26" t="str">
        <x:v>UX-GP-002</x:v>
      </x:c>
      <x:c r="B193" s="26" t="str">
        <x:v>GP</x:v>
      </x:c>
      <x:c r="C193" s="26" t="str">
        <x:v>05_UX_Flow.md</x:v>
      </x:c>
      <x:c r="D193" s="26" t="str">
        <x:v>El recorrido se completa en StoreInitial.</x:v>
      </x:c>
      <x:c r="E193" s="26" t="str">
        <x:v>CHG-DOC-014</x:v>
      </x:c>
      <x:c r="F193" s="26"/>
      <x:c r="G193" s="26" t="str">
        <x:v>UX-GP-002</x:v>
      </x:c>
      <x:c r="H193" s="26"/>
      <x:c r="I193" s="26" t="str">
        <x:v>TC-UX-GP-002</x:v>
      </x:c>
      <x:c r="J193" s="26" t="str">
        <x:v>Not Run</x:v>
      </x:c>
      <x:c r="K193" s="26" t="str">
        <x:v>BLD-016-PRE</x:v>
      </x:c>
      <x:c r="L193" s="26"/>
      <x:c r="M193" s="26" t="str">
        <x:v>BASE-1.0</x:v>
      </x:c>
      <x:c r="N193" s="26" t="str">
        <x:v>Complete</x:v>
      </x:c>
      <x:c r="O193" s="26"/>
      <x:c r="P193" s="26" t="str">
        <x:v>VRM Games</x:v>
      </x:c>
      <x:c r="Q193" s="26"/>
    </x:row>
    <x:row r="194" ht="30" customHeight="1">
      <x:c r="A194" s="26" t="str">
        <x:v>UX-GP-003</x:v>
      </x:c>
      <x:c r="B194" s="26" t="str">
        <x:v>GP</x:v>
      </x:c>
      <x:c r="C194" s="26" t="str">
        <x:v>05_UX_Flow.md</x:v>
      </x:c>
      <x:c r="D194" s="26" t="str">
        <x:v>Guardar y cargar conserva equivalencia observable.</x:v>
      </x:c>
      <x:c r="E194" s="26" t="str">
        <x:v>CHG-DOC-014</x:v>
      </x:c>
      <x:c r="F194" s="26"/>
      <x:c r="G194" s="26" t="str">
        <x:v>UX-GP-003</x:v>
      </x:c>
      <x:c r="H194" s="26"/>
      <x:c r="I194" s="26" t="str">
        <x:v>TC-UX-GP-003</x:v>
      </x:c>
      <x:c r="J194" s="26" t="str">
        <x:v>Not Run</x:v>
      </x:c>
      <x:c r="K194" s="26" t="str">
        <x:v>BLD-016-PRE</x:v>
      </x:c>
      <x:c r="L194" s="26"/>
      <x:c r="M194" s="26" t="str">
        <x:v>BASE-1.0</x:v>
      </x:c>
      <x:c r="N194" s="26" t="str">
        <x:v>Complete</x:v>
      </x:c>
      <x:c r="O194" s="26"/>
      <x:c r="P194" s="26" t="str">
        <x:v>VRM Games</x:v>
      </x:c>
      <x:c r="Q194" s="26"/>
    </x:row>
    <x:row r="195" ht="30" customHeight="1">
      <x:c r="A195" s="26" t="str">
        <x:v>UX-GP-004</x:v>
      </x:c>
      <x:c r="B195" s="26" t="str">
        <x:v>GP</x:v>
      </x:c>
      <x:c r="C195" s="26" t="str">
        <x:v>05_UX_Flow.md</x:v>
      </x:c>
      <x:c r="D195" s="26" t="str">
        <x:v>La build Windows x64 reproduce el recorrido.</x:v>
      </x:c>
      <x:c r="E195" s="26" t="str">
        <x:v>CHG-DOC-014</x:v>
      </x:c>
      <x:c r="F195" s="26"/>
      <x:c r="G195" s="26" t="str">
        <x:v>UX-GP-004</x:v>
      </x:c>
      <x:c r="H195" s="26"/>
      <x:c r="I195" s="26" t="str">
        <x:v>TC-UX-GP-004</x:v>
      </x:c>
      <x:c r="J195" s="26" t="str">
        <x:v>Not Run</x:v>
      </x:c>
      <x:c r="K195" s="26" t="str">
        <x:v>BLD-016-PRE</x:v>
      </x:c>
      <x:c r="L195" s="26"/>
      <x:c r="M195" s="26" t="str">
        <x:v>BASE-1.0</x:v>
      </x:c>
      <x:c r="N195" s="26" t="str">
        <x:v>Complete</x:v>
      </x:c>
      <x:c r="O195" s="26"/>
      <x:c r="P195" s="26" t="str">
        <x:v>VRM Games</x:v>
      </x:c>
      <x:c r="Q195" s="26"/>
    </x:row>
    <x:row r="196" ht="30" customHeight="1">
      <x:c r="A196" s="26" t="str">
        <x:v>UX-GP-005</x:v>
      </x:c>
      <x:c r="B196" s="26" t="str">
        <x:v>GP</x:v>
      </x:c>
      <x:c r="C196" s="26" t="str">
        <x:v>05_UX_Flow.md</x:v>
      </x:c>
      <x:c r="D196" s="26" t="str">
        <x:v>Player.log no contiene errores UX bloqueantes.</x:v>
      </x:c>
      <x:c r="E196" s="26" t="str">
        <x:v>CHG-DOC-014</x:v>
      </x:c>
      <x:c r="F196" s="26"/>
      <x:c r="G196" s="26" t="str">
        <x:v>UX-GP-005</x:v>
      </x:c>
      <x:c r="H196" s="26"/>
      <x:c r="I196" s="26" t="str">
        <x:v>TC-UX-GP-005</x:v>
      </x:c>
      <x:c r="J196" s="26" t="str">
        <x:v>Not Run</x:v>
      </x:c>
      <x:c r="K196" s="26" t="str">
        <x:v>BLD-016-PRE</x:v>
      </x:c>
      <x:c r="L196" s="26"/>
      <x:c r="M196" s="26" t="str">
        <x:v>BASE-1.0</x:v>
      </x:c>
      <x:c r="N196" s="26" t="str">
        <x:v>Complete</x:v>
      </x:c>
      <x:c r="O196" s="26"/>
      <x:c r="P196" s="26" t="str">
        <x:v>VRM Games</x:v>
      </x:c>
      <x:c r="Q196" s="26"/>
    </x:row>
    <x:row r="197" ht="30" customHeight="1">
      <x:c r="A197" s="26" t="str">
        <x:v>UX-GP-006</x:v>
      </x:c>
      <x:c r="B197" s="26" t="str">
        <x:v>GP</x:v>
      </x:c>
      <x:c r="C197" s="26" t="str">
        <x:v>05_UX_Flow.md</x:v>
      </x:c>
      <x:c r="D197" s="26" t="str">
        <x:v>No existen defectos S0 o S1 abiertos.</x:v>
      </x:c>
      <x:c r="E197" s="26" t="str">
        <x:v>CHG-DOC-014</x:v>
      </x:c>
      <x:c r="F197" s="26"/>
      <x:c r="G197" s="26" t="str">
        <x:v>UX-GP-006</x:v>
      </x:c>
      <x:c r="H197" s="26"/>
      <x:c r="I197" s="26" t="str">
        <x:v>TC-UX-GP-006</x:v>
      </x:c>
      <x:c r="J197" s="26" t="str">
        <x:v>Not Run</x:v>
      </x:c>
      <x:c r="K197" s="26" t="str">
        <x:v>BLD-016-PRE</x:v>
      </x:c>
      <x:c r="L197" s="26"/>
      <x:c r="M197" s="26" t="str">
        <x:v>BASE-1.0</x:v>
      </x:c>
      <x:c r="N197" s="26" t="str">
        <x:v>Complete</x:v>
      </x:c>
      <x:c r="O197" s="26"/>
      <x:c r="P197" s="26" t="str">
        <x:v>VRM Games</x:v>
      </x:c>
      <x:c r="Q197" s="26"/>
    </x:row>
    <x:row r="198" ht="30" customHeight="1">
      <x:c r="A198" s="26" t="str">
        <x:v>CS-STD-001</x:v>
      </x:c>
      <x:c r="B198" s="26" t="str">
        <x:v>CSharp</x:v>
      </x:c>
      <x:c r="C198" s="26" t="str">
        <x:v>09_CSharp_Coding_Standards.md</x:v>
      </x:c>
      <x:c r="D198" s="26" t="str">
        <x:v>Todo tipo nuevo usa namespace raíz correcto.</x:v>
      </x:c>
      <x:c r="E198" s="26" t="str">
        <x:v>CHG-DOC-018</x:v>
      </x:c>
      <x:c r="F198" s="26" t="str">
        <x:v>ADR-0004</x:v>
      </x:c>
      <x:c r="G198" s="26" t="str">
        <x:v>CS-STD-001</x:v>
      </x:c>
      <x:c r="H198" s="26"/>
      <x:c r="I198" s="26" t="str">
        <x:v>AUD-CS-STD-001</x:v>
      </x:c>
      <x:c r="J198" s="26" t="str">
        <x:v>Not Run</x:v>
      </x:c>
      <x:c r="K198" s="26"/>
      <x:c r="L198" s="26"/>
      <x:c r="M198" s="26" t="str">
        <x:v>BASE-1.0</x:v>
      </x:c>
      <x:c r="N198" s="26" t="str">
        <x:v>Complete</x:v>
      </x:c>
      <x:c r="O198" s="26"/>
      <x:c r="P198" s="26" t="str">
        <x:v>VRM Games</x:v>
      </x:c>
      <x:c r="Q198" s="26"/>
    </x:row>
    <x:row r="199" ht="30" customHeight="1">
      <x:c r="A199" s="26" t="str">
        <x:v>CS-STD-002</x:v>
      </x:c>
      <x:c r="B199" s="26" t="str">
        <x:v>CSharp</x:v>
      </x:c>
      <x:c r="C199" s="26" t="str">
        <x:v>09_CSharp_Coding_Standards.md</x:v>
      </x:c>
      <x:c r="D199" s="26" t="str">
        <x:v>Domain no referencia Unity.</x:v>
      </x:c>
      <x:c r="E199" s="26" t="str">
        <x:v>CHG-DOC-018</x:v>
      </x:c>
      <x:c r="F199" s="26" t="str">
        <x:v>ADR-0004</x:v>
      </x:c>
      <x:c r="G199" s="26" t="str">
        <x:v>CS-STD-002</x:v>
      </x:c>
      <x:c r="H199" s="26"/>
      <x:c r="I199" s="26" t="str">
        <x:v>AUD-CS-STD-002</x:v>
      </x:c>
      <x:c r="J199" s="26" t="str">
        <x:v>Not Run</x:v>
      </x:c>
      <x:c r="K199" s="26"/>
      <x:c r="L199" s="26"/>
      <x:c r="M199" s="26" t="str">
        <x:v>BASE-1.0</x:v>
      </x:c>
      <x:c r="N199" s="26" t="str">
        <x:v>Complete</x:v>
      </x:c>
      <x:c r="O199" s="26"/>
      <x:c r="P199" s="26" t="str">
        <x:v>VRM Games</x:v>
      </x:c>
      <x:c r="Q199" s="26"/>
    </x:row>
    <x:row r="200" ht="30" customHeight="1">
      <x:c r="A200" s="26" t="str">
        <x:v>CS-STD-003</x:v>
      </x:c>
      <x:c r="B200" s="26" t="str">
        <x:v>CSharp</x:v>
      </x:c>
      <x:c r="C200" s="26" t="str">
        <x:v>09_CSharp_Coding_Standards.md</x:v>
      </x:c>
      <x:c r="D200" s="26" t="str">
        <x:v>Application no contiene `MonoBehaviour`.</x:v>
      </x:c>
      <x:c r="E200" s="26" t="str">
        <x:v>CHG-DOC-018</x:v>
      </x:c>
      <x:c r="F200" s="26" t="str">
        <x:v>ADR-0004</x:v>
      </x:c>
      <x:c r="G200" s="26" t="str">
        <x:v>CS-STD-003</x:v>
      </x:c>
      <x:c r="H200" s="26"/>
      <x:c r="I200" s="26" t="str">
        <x:v>AUD-CS-STD-003</x:v>
      </x:c>
      <x:c r="J200" s="26" t="str">
        <x:v>Not Run</x:v>
      </x:c>
      <x:c r="K200" s="26"/>
      <x:c r="L200" s="26"/>
      <x:c r="M200" s="26" t="str">
        <x:v>BASE-1.0</x:v>
      </x:c>
      <x:c r="N200" s="26" t="str">
        <x:v>Complete</x:v>
      </x:c>
      <x:c r="O200" s="26"/>
      <x:c r="P200" s="26" t="str">
        <x:v>VRM Games</x:v>
      </x:c>
      <x:c r="Q200" s="26"/>
    </x:row>
    <x:row r="201" ht="30" customHeight="1">
      <x:c r="A201" s="26" t="str">
        <x:v>CS-STD-004</x:v>
      </x:c>
      <x:c r="B201" s="26" t="str">
        <x:v>CSharp</x:v>
      </x:c>
      <x:c r="C201" s="26" t="str">
        <x:v>09_CSharp_Coding_Standards.md</x:v>
      </x:c>
      <x:c r="D201" s="26" t="str">
        <x:v>Presentation no es autoridad de estado de negocio.</x:v>
      </x:c>
      <x:c r="E201" s="26" t="str">
        <x:v>CHG-DOC-018</x:v>
      </x:c>
      <x:c r="F201" s="26" t="str">
        <x:v>ADR-0004</x:v>
      </x:c>
      <x:c r="G201" s="26" t="str">
        <x:v>CS-STD-004</x:v>
      </x:c>
      <x:c r="H201" s="26"/>
      <x:c r="I201" s="26" t="str">
        <x:v>AUD-CS-STD-004</x:v>
      </x:c>
      <x:c r="J201" s="26" t="str">
        <x:v>Not Run</x:v>
      </x:c>
      <x:c r="K201" s="26"/>
      <x:c r="L201" s="26"/>
      <x:c r="M201" s="26" t="str">
        <x:v>BASE-1.0</x:v>
      </x:c>
      <x:c r="N201" s="26" t="str">
        <x:v>Complete</x:v>
      </x:c>
      <x:c r="O201" s="26"/>
      <x:c r="P201" s="26" t="str">
        <x:v>VRM Games</x:v>
      </x:c>
      <x:c r="Q201" s="26"/>
    </x:row>
    <x:row r="202" ht="30" customHeight="1">
      <x:c r="A202" s="26" t="str">
        <x:v>CS-STD-005</x:v>
      </x:c>
      <x:c r="B202" s="26" t="str">
        <x:v>CSharp</x:v>
      </x:c>
      <x:c r="C202" s="26" t="str">
        <x:v>09_CSharp_Coding_Standards.md</x:v>
      </x:c>
      <x:c r="D202" s="26" t="str">
        <x:v>Toda dependencia estructural es explícita.</x:v>
      </x:c>
      <x:c r="E202" s="26" t="str">
        <x:v>CHG-DOC-018</x:v>
      </x:c>
      <x:c r="F202" s="26" t="str">
        <x:v>ADR-0004</x:v>
      </x:c>
      <x:c r="G202" s="26" t="str">
        <x:v>CS-STD-005</x:v>
      </x:c>
      <x:c r="H202" s="26"/>
      <x:c r="I202" s="26" t="str">
        <x:v>AUD-CS-STD-005</x:v>
      </x:c>
      <x:c r="J202" s="26" t="str">
        <x:v>Not Run</x:v>
      </x:c>
      <x:c r="K202" s="26"/>
      <x:c r="L202" s="26"/>
      <x:c r="M202" s="26" t="str">
        <x:v>BASE-1.0</x:v>
      </x:c>
      <x:c r="N202" s="26" t="str">
        <x:v>Complete</x:v>
      </x:c>
      <x:c r="O202" s="26"/>
      <x:c r="P202" s="26" t="str">
        <x:v>VRM Games</x:v>
      </x:c>
      <x:c r="Q202" s="26"/>
    </x:row>
    <x:row r="203" ht="30" customHeight="1">
      <x:c r="A203" s="26" t="str">
        <x:v>CS-STD-006</x:v>
      </x:c>
      <x:c r="B203" s="26" t="str">
        <x:v>CSharp</x:v>
      </x:c>
      <x:c r="C203" s="26" t="str">
        <x:v>09_CSharp_Coding_Standards.md</x:v>
      </x:c>
      <x:c r="D203" s="26" t="str">
        <x:v>IDs persistentes son estables y no dependen de nombres de escena.</x:v>
      </x:c>
      <x:c r="E203" s="26" t="str">
        <x:v>CHG-DOC-018</x:v>
      </x:c>
      <x:c r="F203" s="26" t="str">
        <x:v>ADR-0004</x:v>
      </x:c>
      <x:c r="G203" s="26" t="str">
        <x:v>CS-STD-006</x:v>
      </x:c>
      <x:c r="H203" s="26"/>
      <x:c r="I203" s="26" t="str">
        <x:v>AUD-CS-STD-006</x:v>
      </x:c>
      <x:c r="J203" s="26" t="str">
        <x:v>Not Run</x:v>
      </x:c>
      <x:c r="K203" s="26"/>
      <x:c r="L203" s="26"/>
      <x:c r="M203" s="26" t="str">
        <x:v>BASE-1.0</x:v>
      </x:c>
      <x:c r="N203" s="26" t="str">
        <x:v>Complete</x:v>
      </x:c>
      <x:c r="O203" s="26"/>
      <x:c r="P203" s="26" t="str">
        <x:v>VRM Games</x:v>
      </x:c>
      <x:c r="Q203" s="26"/>
    </x:row>
    <x:row r="204" ht="30" customHeight="1">
      <x:c r="A204" s="26" t="str">
        <x:v>CS-STD-007</x:v>
      </x:c>
      <x:c r="B204" s="26" t="str">
        <x:v>CSharp</x:v>
      </x:c>
      <x:c r="C204" s="26" t="str">
        <x:v>09_CSharp_Coding_Standards.md</x:v>
      </x:c>
      <x:c r="D204" s="26" t="str">
        <x:v>Operaciones compuestas validan antes de mutar.</x:v>
      </x:c>
      <x:c r="E204" s="26" t="str">
        <x:v>CHG-DOC-018</x:v>
      </x:c>
      <x:c r="F204" s="26" t="str">
        <x:v>ADR-0004</x:v>
      </x:c>
      <x:c r="G204" s="26" t="str">
        <x:v>CS-STD-007</x:v>
      </x:c>
      <x:c r="H204" s="26"/>
      <x:c r="I204" s="26" t="str">
        <x:v>AUD-CS-STD-007</x:v>
      </x:c>
      <x:c r="J204" s="26" t="str">
        <x:v>Not Run</x:v>
      </x:c>
      <x:c r="K204" s="26"/>
      <x:c r="L204" s="26"/>
      <x:c r="M204" s="26" t="str">
        <x:v>BASE-1.0</x:v>
      </x:c>
      <x:c r="N204" s="26" t="str">
        <x:v>Complete</x:v>
      </x:c>
      <x:c r="O204" s="26"/>
      <x:c r="P204" s="26" t="str">
        <x:v>VRM Games</x:v>
      </x:c>
      <x:c r="Q204" s="26"/>
    </x:row>
    <x:row r="205" ht="30" customHeight="1">
      <x:c r="A205" s="26" t="str">
        <x:v>CS-STD-008</x:v>
      </x:c>
      <x:c r="B205" s="26" t="str">
        <x:v>CSharp</x:v>
      </x:c>
      <x:c r="C205" s="26" t="str">
        <x:v>09_CSharp_Coding_Standards.md</x:v>
      </x:c>
      <x:c r="D205" s="26" t="str">
        <x:v>Fallos esperables usan razones tipadas.</x:v>
      </x:c>
      <x:c r="E205" s="26" t="str">
        <x:v>CHG-DOC-018</x:v>
      </x:c>
      <x:c r="F205" s="26" t="str">
        <x:v>ADR-0004</x:v>
      </x:c>
      <x:c r="G205" s="26" t="str">
        <x:v>CS-STD-008</x:v>
      </x:c>
      <x:c r="H205" s="26"/>
      <x:c r="I205" s="26" t="str">
        <x:v>AUD-CS-STD-008</x:v>
      </x:c>
      <x:c r="J205" s="26" t="str">
        <x:v>Not Run</x:v>
      </x:c>
      <x:c r="K205" s="26"/>
      <x:c r="L205" s="26"/>
      <x:c r="M205" s="26" t="str">
        <x:v>BASE-1.0</x:v>
      </x:c>
      <x:c r="N205" s="26" t="str">
        <x:v>Complete</x:v>
      </x:c>
      <x:c r="O205" s="26"/>
      <x:c r="P205" s="26" t="str">
        <x:v>VRM Games</x:v>
      </x:c>
      <x:c r="Q205" s="26"/>
    </x:row>
    <x:row r="206" ht="30" customHeight="1">
      <x:c r="A206" s="26" t="str">
        <x:v>CS-STD-009</x:v>
      </x:c>
      <x:c r="B206" s="26" t="str">
        <x:v>CSharp</x:v>
      </x:c>
      <x:c r="C206" s="26" t="str">
        <x:v>09_CSharp_Coding_Standards.md</x:v>
      </x:c>
      <x:c r="D206" s="26" t="str">
        <x:v>Dinero no usa float/double.</x:v>
      </x:c>
      <x:c r="E206" s="26" t="str">
        <x:v>CHG-DOC-018</x:v>
      </x:c>
      <x:c r="F206" s="26" t="str">
        <x:v>ADR-0004</x:v>
      </x:c>
      <x:c r="G206" s="26" t="str">
        <x:v>CS-STD-009</x:v>
      </x:c>
      <x:c r="H206" s="26"/>
      <x:c r="I206" s="26" t="str">
        <x:v>AUD-CS-STD-009</x:v>
      </x:c>
      <x:c r="J206" s="26" t="str">
        <x:v>Not Run</x:v>
      </x:c>
      <x:c r="K206" s="26"/>
      <x:c r="L206" s="26"/>
      <x:c r="M206" s="26" t="str">
        <x:v>BASE-1.0</x:v>
      </x:c>
      <x:c r="N206" s="26" t="str">
        <x:v>Complete</x:v>
      </x:c>
      <x:c r="O206" s="26"/>
      <x:c r="P206" s="26" t="str">
        <x:v>VRM Games</x:v>
      </x:c>
      <x:c r="Q206" s="26"/>
    </x:row>
    <x:row r="207" ht="30" customHeight="1">
      <x:c r="A207" s="26" t="str">
        <x:v>CS-STD-010</x:v>
      </x:c>
      <x:c r="B207" s="26" t="str">
        <x:v>CSharp</x:v>
      </x:c>
      <x:c r="C207" s="26" t="str">
        <x:v>09_CSharp_Coding_Standards.md</x:v>
      </x:c>
      <x:c r="D207" s="26" t="str">
        <x:v>Colecciones internas no se exponen mutables.</x:v>
      </x:c>
      <x:c r="E207" s="26" t="str">
        <x:v>CHG-DOC-018</x:v>
      </x:c>
      <x:c r="F207" s="26" t="str">
        <x:v>ADR-0004</x:v>
      </x:c>
      <x:c r="G207" s="26" t="str">
        <x:v>CS-STD-010</x:v>
      </x:c>
      <x:c r="H207" s="26"/>
      <x:c r="I207" s="26" t="str">
        <x:v>AUD-CS-STD-010</x:v>
      </x:c>
      <x:c r="J207" s="26" t="str">
        <x:v>Not Run</x:v>
      </x:c>
      <x:c r="K207" s="26"/>
      <x:c r="L207" s="26"/>
      <x:c r="M207" s="26" t="str">
        <x:v>BASE-1.0</x:v>
      </x:c>
      <x:c r="N207" s="26" t="str">
        <x:v>Complete</x:v>
      </x:c>
      <x:c r="O207" s="26"/>
      <x:c r="P207" s="26" t="str">
        <x:v>VRM Games</x:v>
      </x:c>
      <x:c r="Q207" s="26"/>
    </x:row>
    <x:row r="208" ht="30" customHeight="1">
      <x:c r="A208" s="26" t="str">
        <x:v>CS-STD-011</x:v>
      </x:c>
      <x:c r="B208" s="26" t="str">
        <x:v>CSharp</x:v>
      </x:c>
      <x:c r="C208" s="26" t="str">
        <x:v>09_CSharp_Coding_Standards.md</x:v>
      </x:c>
      <x:c r="D208" s="26" t="str">
        <x:v>Suscripciones tienen desuscripción simétrica.</x:v>
      </x:c>
      <x:c r="E208" s="26" t="str">
        <x:v>CHG-DOC-018</x:v>
      </x:c>
      <x:c r="F208" s="26" t="str">
        <x:v>ADR-0004</x:v>
      </x:c>
      <x:c r="G208" s="26" t="str">
        <x:v>CS-STD-011</x:v>
      </x:c>
      <x:c r="H208" s="26"/>
      <x:c r="I208" s="26" t="str">
        <x:v>AUD-CS-STD-011</x:v>
      </x:c>
      <x:c r="J208" s="26" t="str">
        <x:v>Not Run</x:v>
      </x:c>
      <x:c r="K208" s="26"/>
      <x:c r="L208" s="26"/>
      <x:c r="M208" s="26" t="str">
        <x:v>BASE-1.0</x:v>
      </x:c>
      <x:c r="N208" s="26" t="str">
        <x:v>Complete</x:v>
      </x:c>
      <x:c r="O208" s="26"/>
      <x:c r="P208" s="26" t="str">
        <x:v>VRM Games</x:v>
      </x:c>
      <x:c r="Q208" s="26"/>
    </x:row>
    <x:row r="209" ht="30" customHeight="1">
      <x:c r="A209" s="26" t="str">
        <x:v>CS-STD-012</x:v>
      </x:c>
      <x:c r="B209" s="26" t="str">
        <x:v>CSharp</x:v>
      </x:c>
      <x:c r="C209" s="26" t="str">
        <x:v>09_CSharp_Coding_Standards.md</x:v>
      </x:c>
      <x:c r="D209" s="26" t="str">
        <x:v>No hay búsqueda global por frame.</x:v>
      </x:c>
      <x:c r="E209" s="26" t="str">
        <x:v>CHG-DOC-018</x:v>
      </x:c>
      <x:c r="F209" s="26" t="str">
        <x:v>ADR-0004</x:v>
      </x:c>
      <x:c r="G209" s="26" t="str">
        <x:v>CS-STD-012</x:v>
      </x:c>
      <x:c r="H209" s="26"/>
      <x:c r="I209" s="26" t="str">
        <x:v>AUD-CS-STD-012</x:v>
      </x:c>
      <x:c r="J209" s="26" t="str">
        <x:v>Not Run</x:v>
      </x:c>
      <x:c r="K209" s="26"/>
      <x:c r="L209" s="26" t="str">
        <x:v>DEBT-CODE-003</x:v>
      </x:c>
      <x:c r="M209" s="26" t="str">
        <x:v>BASE-1.0</x:v>
      </x:c>
      <x:c r="N209" s="26" t="str">
        <x:v>Complete</x:v>
      </x:c>
      <x:c r="O209" s="26"/>
      <x:c r="P209" s="26" t="str">
        <x:v>VRM Games</x:v>
      </x:c>
      <x:c r="Q209" s="26"/>
    </x:row>
    <x:row r="210" ht="30" customHeight="1">
      <x:c r="A210" s="26" t="str">
        <x:v>CS-STD-013</x:v>
      </x:c>
      <x:c r="B210" s="26" t="str">
        <x:v>CSharp</x:v>
      </x:c>
      <x:c r="C210" s="26" t="str">
        <x:v>09_CSharp_Coding_Standards.md</x:v>
      </x:c>
      <x:c r="D210" s="26" t="str">
        <x:v>`ScriptableObject` no almacena progreso autoritativo.</x:v>
      </x:c>
      <x:c r="E210" s="26" t="str">
        <x:v>CHG-DOC-018</x:v>
      </x:c>
      <x:c r="F210" s="26" t="str">
        <x:v>ADR-0004</x:v>
      </x:c>
      <x:c r="G210" s="26" t="str">
        <x:v>CS-STD-013</x:v>
      </x:c>
      <x:c r="H210" s="26"/>
      <x:c r="I210" s="26" t="str">
        <x:v>AUD-CS-STD-013</x:v>
      </x:c>
      <x:c r="J210" s="26" t="str">
        <x:v>Not Run</x:v>
      </x:c>
      <x:c r="K210" s="26"/>
      <x:c r="L210" s="26"/>
      <x:c r="M210" s="26" t="str">
        <x:v>BASE-1.0</x:v>
      </x:c>
      <x:c r="N210" s="26" t="str">
        <x:v>Complete</x:v>
      </x:c>
      <x:c r="O210" s="26"/>
      <x:c r="P210" s="26" t="str">
        <x:v>VRM Games</x:v>
      </x:c>
      <x:c r="Q210" s="26"/>
    </x:row>
    <x:row r="211" ht="30" customHeight="1">
      <x:c r="A211" s="26" t="str">
        <x:v>CS-STD-014</x:v>
      </x:c>
      <x:c r="B211" s="26" t="str">
        <x:v>CSharp</x:v>
      </x:c>
      <x:c r="C211" s="26" t="str">
        <x:v>09_CSharp_Coding_Standards.md</x:v>
      </x:c>
      <x:c r="D211" s="26" t="str">
        <x:v>Campos persistentes nuevos tienen round trip y migración/default.</x:v>
      </x:c>
      <x:c r="E211" s="26" t="str">
        <x:v>CHG-DOC-018</x:v>
      </x:c>
      <x:c r="F211" s="26" t="str">
        <x:v>ADR-0004</x:v>
      </x:c>
      <x:c r="G211" s="26" t="str">
        <x:v>CS-STD-014</x:v>
      </x:c>
      <x:c r="H211" s="26"/>
      <x:c r="I211" s="26" t="str">
        <x:v>AUD-CS-STD-014</x:v>
      </x:c>
      <x:c r="J211" s="26" t="str">
        <x:v>Not Run</x:v>
      </x:c>
      <x:c r="K211" s="26"/>
      <x:c r="L211" s="26"/>
      <x:c r="M211" s="26" t="str">
        <x:v>BASE-1.0</x:v>
      </x:c>
      <x:c r="N211" s="26" t="str">
        <x:v>Complete</x:v>
      </x:c>
      <x:c r="O211" s="26"/>
      <x:c r="P211" s="26" t="str">
        <x:v>VRM Games</x:v>
      </x:c>
      <x:c r="Q211" s="26"/>
    </x:row>
    <x:row r="212" ht="30" customHeight="1">
      <x:c r="A212" s="26" t="str">
        <x:v>CS-STD-015</x:v>
      </x:c>
      <x:c r="B212" s="26" t="str">
        <x:v>CSharp</x:v>
      </x:c>
      <x:c r="C212" s="26" t="str">
        <x:v>09_CSharp_Coding_Standards.md</x:v>
      </x:c>
      <x:c r="D212" s="26" t="str">
        <x:v>Guardado escribe de forma atómica.</x:v>
      </x:c>
      <x:c r="E212" s="26" t="str">
        <x:v>CHG-DOC-018</x:v>
      </x:c>
      <x:c r="F212" s="26" t="str">
        <x:v>ADR-0004</x:v>
      </x:c>
      <x:c r="G212" s="26" t="str">
        <x:v>CS-STD-015</x:v>
      </x:c>
      <x:c r="H212" s="26"/>
      <x:c r="I212" s="26" t="str">
        <x:v>AUD-CS-STD-015</x:v>
      </x:c>
      <x:c r="J212" s="26" t="str">
        <x:v>Not Run</x:v>
      </x:c>
      <x:c r="K212" s="26"/>
      <x:c r="L212" s="26"/>
      <x:c r="M212" s="26" t="str">
        <x:v>BASE-1.0</x:v>
      </x:c>
      <x:c r="N212" s="26" t="str">
        <x:v>Complete</x:v>
      </x:c>
      <x:c r="O212" s="26"/>
      <x:c r="P212" s="26" t="str">
        <x:v>VRM Games</x:v>
      </x:c>
      <x:c r="Q212" s="26"/>
    </x:row>
    <x:row r="213" ht="30" customHeight="1">
      <x:c r="A213" s="26" t="str">
        <x:v>CS-STD-016</x:v>
      </x:c>
      <x:c r="B213" s="26" t="str">
        <x:v>CSharp</x:v>
      </x:c>
      <x:c r="C213" s="26" t="str">
        <x:v>09_CSharp_Coding_Standards.md</x:v>
      </x:c>
      <x:c r="D213" s="26" t="str">
        <x:v>Tests verifican no mutación en fallo crítico.</x:v>
      </x:c>
      <x:c r="E213" s="26" t="str">
        <x:v>CHG-DOC-018</x:v>
      </x:c>
      <x:c r="F213" s="26" t="str">
        <x:v>ADR-0004</x:v>
      </x:c>
      <x:c r="G213" s="26" t="str">
        <x:v>CS-STD-016</x:v>
      </x:c>
      <x:c r="H213" s="26"/>
      <x:c r="I213" s="26" t="str">
        <x:v>AUD-CS-STD-016</x:v>
      </x:c>
      <x:c r="J213" s="26" t="str">
        <x:v>Not Run</x:v>
      </x:c>
      <x:c r="K213" s="26"/>
      <x:c r="L213" s="26"/>
      <x:c r="M213" s="26" t="str">
        <x:v>BASE-1.0</x:v>
      </x:c>
      <x:c r="N213" s="26" t="str">
        <x:v>Complete</x:v>
      </x:c>
      <x:c r="O213" s="26"/>
      <x:c r="P213" s="26" t="str">
        <x:v>VRM Games</x:v>
      </x:c>
      <x:c r="Q213" s="26"/>
    </x:row>
    <x:row r="214" ht="30" customHeight="1">
      <x:c r="A214" s="26" t="str">
        <x:v>CS-STD-017</x:v>
      </x:c>
      <x:c r="B214" s="26" t="str">
        <x:v>CSharp</x:v>
      </x:c>
      <x:c r="C214" s="26" t="str">
        <x:v>09_CSharp_Coding_Standards.md</x:v>
      </x:c>
      <x:c r="D214" s="26" t="str">
        <x:v>Herramientas de Editor son idempotentes.</x:v>
      </x:c>
      <x:c r="E214" s="26" t="str">
        <x:v>CHG-DOC-018</x:v>
      </x:c>
      <x:c r="F214" s="26" t="str">
        <x:v>ADR-0004</x:v>
      </x:c>
      <x:c r="G214" s="26" t="str">
        <x:v>CS-STD-017</x:v>
      </x:c>
      <x:c r="H214" s="26"/>
      <x:c r="I214" s="26" t="str">
        <x:v>AUD-CS-STD-017</x:v>
      </x:c>
      <x:c r="J214" s="26" t="str">
        <x:v>Not Run</x:v>
      </x:c>
      <x:c r="K214" s="26"/>
      <x:c r="L214" s="26"/>
      <x:c r="M214" s="26" t="str">
        <x:v>BASE-1.0</x:v>
      </x:c>
      <x:c r="N214" s="26" t="str">
        <x:v>Complete</x:v>
      </x:c>
      <x:c r="O214" s="26"/>
      <x:c r="P214" s="26" t="str">
        <x:v>VRM Games</x:v>
      </x:c>
      <x:c r="Q214" s="26"/>
    </x:row>
    <x:row r="215" ht="30" customHeight="1">
      <x:c r="A215" s="26" t="str">
        <x:v>CS-STD-018</x:v>
      </x:c>
      <x:c r="B215" s="26" t="str">
        <x:v>CSharp</x:v>
      </x:c>
      <x:c r="C215" s="26" t="str">
        <x:v>09_CSharp_Coding_Standards.md</x:v>
      </x:c>
      <x:c r="D215" s="26" t="str">
        <x:v>No se introducen warnings nuevos.</x:v>
      </x:c>
      <x:c r="E215" s="26" t="str">
        <x:v>CHG-DOC-018</x:v>
      </x:c>
      <x:c r="F215" s="26" t="str">
        <x:v>ADR-0004</x:v>
      </x:c>
      <x:c r="G215" s="26" t="str">
        <x:v>CS-STD-018</x:v>
      </x:c>
      <x:c r="H215" s="26"/>
      <x:c r="I215" s="26" t="str">
        <x:v>AUD-CS-STD-018</x:v>
      </x:c>
      <x:c r="J215" s="26" t="str">
        <x:v>Not Run</x:v>
      </x:c>
      <x:c r="K215" s="26"/>
      <x:c r="L215" s="26" t="str">
        <x:v>DEBT-CODE-001</x:v>
      </x:c>
      <x:c r="M215" s="26" t="str">
        <x:v>BASE-1.0</x:v>
      </x:c>
      <x:c r="N215" s="26" t="str">
        <x:v>Complete</x:v>
      </x:c>
      <x:c r="O215" s="26"/>
      <x:c r="P215" s="26" t="str">
        <x:v>VRM Games</x:v>
      </x:c>
      <x:c r="Q215" s="26"/>
    </x:row>
    <x:row r="216" ht="30" customHeight="1">
      <x:c r="A216" s="26" t="str">
        <x:v>CS-STD-019</x:v>
      </x:c>
      <x:c r="B216" s="26" t="str">
        <x:v>CSharp</x:v>
      </x:c>
      <x:c r="C216" s="26" t="str">
        <x:v>09_CSharp_Coding_Standards.md</x:v>
      </x:c>
      <x:c r="D216" s="26" t="str">
        <x:v>No existe catch vacío.</x:v>
      </x:c>
      <x:c r="E216" s="26" t="str">
        <x:v>CHG-DOC-018</x:v>
      </x:c>
      <x:c r="F216" s="26" t="str">
        <x:v>ADR-0004</x:v>
      </x:c>
      <x:c r="G216" s="26" t="str">
        <x:v>CS-STD-019</x:v>
      </x:c>
      <x:c r="H216" s="26"/>
      <x:c r="I216" s="26" t="str">
        <x:v>AUD-CS-STD-019</x:v>
      </x:c>
      <x:c r="J216" s="26" t="str">
        <x:v>Not Run</x:v>
      </x:c>
      <x:c r="K216" s="26"/>
      <x:c r="L216" s="26"/>
      <x:c r="M216" s="26" t="str">
        <x:v>BASE-1.0</x:v>
      </x:c>
      <x:c r="N216" s="26" t="str">
        <x:v>Complete</x:v>
      </x:c>
      <x:c r="O216" s="26"/>
      <x:c r="P216" s="26" t="str">
        <x:v>VRM Games</x:v>
      </x:c>
      <x:c r="Q216" s="26"/>
    </x:row>
    <x:row r="217" ht="30" customHeight="1">
      <x:c r="A217" s="26" t="str">
        <x:v>CS-STD-020</x:v>
      </x:c>
      <x:c r="B217" s="26" t="str">
        <x:v>CSharp</x:v>
      </x:c>
      <x:c r="C217" s="26" t="str">
        <x:v>09_CSharp_Coding_Standards.md</x:v>
      </x:c>
      <x:c r="D217" s="26" t="str">
        <x:v>Una contribución cumple Definition of Done C#.</x:v>
      </x:c>
      <x:c r="E217" s="26" t="str">
        <x:v>CHG-DOC-018</x:v>
      </x:c>
      <x:c r="F217" s="26" t="str">
        <x:v>ADR-0004</x:v>
      </x:c>
      <x:c r="G217" s="26" t="str">
        <x:v>CS-STD-020</x:v>
      </x:c>
      <x:c r="H217" s="26"/>
      <x:c r="I217" s="26" t="str">
        <x:v>AUD-CS-STD-020</x:v>
      </x:c>
      <x:c r="J217" s="26" t="str">
        <x:v>Not Run</x:v>
      </x:c>
      <x:c r="K217" s="26"/>
      <x:c r="L217" s="26" t="str">
        <x:v>DEBT-CODE-002</x:v>
      </x:c>
      <x:c r="M217" s="26" t="str">
        <x:v>BASE-1.0</x:v>
      </x:c>
      <x:c r="N217" s="26" t="str">
        <x:v>Complete</x:v>
      </x:c>
      <x:c r="O217" s="26"/>
      <x:c r="P217" s="26" t="str">
        <x:v>VRM Games</x:v>
      </x:c>
      <x:c r="Q217" s="26"/>
    </x:row>
    <x:row r="218" ht="30" customHeight="1">
      <x:c r="A218" s="26" t="str">
        <x:v>SETUP-DEBT-001</x:v>
      </x:c>
      <x:c r="B218" s="26" t="str">
        <x:v>Setup</x:v>
      </x:c>
      <x:c r="C218" s="26" t="str">
        <x:v>10_Unity_Project_Setup_Guide.md</x:v>
      </x:c>
      <x:c r="D218" s="26" t="str">
        <x:v>StoreInitial no está en build</x:v>
      </x:c>
      <x:c r="E218" s="26" t="str">
        <x:v>CHG-DOC-019</x:v>
      </x:c>
      <x:c r="F218" s="26" t="str">
        <x:v>ADR-0001;ADR-0004</x:v>
      </x:c>
      <x:c r="G218" s="26" t="str">
        <x:v>SETUP-DEBT-001</x:v>
      </x:c>
      <x:c r="H218" s="26"/>
      <x:c r="I218" s="26" t="str">
        <x:v>AUD-SETUP-DEBT-001</x:v>
      </x:c>
      <x:c r="J218" s="26" t="str">
        <x:v>Not Run</x:v>
      </x:c>
      <x:c r="K218" s="26"/>
      <x:c r="L218" s="26" t="str">
        <x:v>SETUP-DEBT-001</x:v>
      </x:c>
      <x:c r="M218" s="26" t="str">
        <x:v>BASE-1.0</x:v>
      </x:c>
      <x:c r="N218" s="26" t="str">
        <x:v>Complete</x:v>
      </x:c>
      <x:c r="O218" s="26" t="str">
        <x:v>cerrar Sprint 16 antes de sustituir</x:v>
      </x:c>
      <x:c r="P218" s="26" t="str">
        <x:v>VRM Games</x:v>
      </x:c>
      <x:c r="Q218" s="26"/>
    </x:row>
    <x:row r="219" ht="30" customHeight="1">
      <x:c r="A219" s="26" t="str">
        <x:v>SETUP-DEBT-002</x:v>
      </x:c>
      <x:c r="B219" s="26" t="str">
        <x:v>Setup</x:v>
      </x:c>
      <x:c r="C219" s="26" t="str">
        <x:v>10_Unity_Project_Setup_Guide.md</x:v>
      </x:c>
      <x:c r="D219" s="26" t="str">
        <x:v>doble shell o escena equivocada</x:v>
      </x:c>
      <x:c r="E219" s="26" t="str">
        <x:v>CHG-DOC-019</x:v>
      </x:c>
      <x:c r="F219" s="26" t="str">
        <x:v>ADR-0001;ADR-0004</x:v>
      </x:c>
      <x:c r="G219" s="26" t="str">
        <x:v>SETUP-DEBT-002</x:v>
      </x:c>
      <x:c r="H219" s="26"/>
      <x:c r="I219" s="26" t="str">
        <x:v>AUD-SETUP-DEBT-002</x:v>
      </x:c>
      <x:c r="J219" s="26" t="str">
        <x:v>Not Run</x:v>
      </x:c>
      <x:c r="K219" s="26"/>
      <x:c r="L219" s="26" t="str">
        <x:v>SETUP-DEBT-002</x:v>
      </x:c>
      <x:c r="M219" s="26" t="str">
        <x:v>BASE-1.0</x:v>
      </x:c>
      <x:c r="N219" s="26" t="str">
        <x:v>Complete</x:v>
      </x:c>
      <x:c r="O219" s="26" t="str">
        <x:v>migración controlada</x:v>
      </x:c>
      <x:c r="P219" s="26" t="str">
        <x:v>VRM Games</x:v>
      </x:c>
      <x:c r="Q219" s="26"/>
    </x:row>
    <x:row r="220" ht="30" customHeight="1">
      <x:c r="A220" s="26" t="str">
        <x:v>SETUP-DEBT-003</x:v>
      </x:c>
      <x:c r="B220" s="26" t="str">
        <x:v>Setup</x:v>
      </x:c>
      <x:c r="C220" s="26" t="str">
        <x:v>10_Unity_Project_Setup_Guide.md</x:v>
      </x:c>
      <x:c r="D220" s="26" t="str">
        <x:v>no representa objetivo de validación</x:v>
      </x:c>
      <x:c r="E220" s="26" t="str">
        <x:v>CHG-DOC-019</x:v>
      </x:c>
      <x:c r="F220" s="26" t="str">
        <x:v>ADR-0001;ADR-0004</x:v>
      </x:c>
      <x:c r="G220" s="26" t="str">
        <x:v>SETUP-DEBT-003</x:v>
      </x:c>
      <x:c r="H220" s="26"/>
      <x:c r="I220" s="26" t="str">
        <x:v>AUD-SETUP-DEBT-003</x:v>
      </x:c>
      <x:c r="J220" s="26" t="str">
        <x:v>Not Run</x:v>
      </x:c>
      <x:c r="K220" s="26"/>
      <x:c r="L220" s="26" t="str">
        <x:v>DEBT-RES-001</x:v>
      </x:c>
      <x:c r="M220" s="26" t="str">
        <x:v>BASE-1.0</x:v>
      </x:c>
      <x:c r="N220" s="26" t="str">
        <x:v>Complete</x:v>
      </x:c>
      <x:c r="O220" s="26" t="str">
        <x:v>decidir antes de H6</x:v>
      </x:c>
      <x:c r="P220" s="26" t="str">
        <x:v>VRM Games</x:v>
      </x:c>
      <x:c r="Q220" s="26"/>
    </x:row>
    <x:row r="221" ht="30" customHeight="1">
      <x:c r="A221" s="26" t="str">
        <x:v>SETUP-DEBT-004</x:v>
      </x:c>
      <x:c r="B221" s="26" t="str">
        <x:v>Setup</x:v>
      </x:c>
      <x:c r="C221" s="26" t="str">
        <x:v>10_Unity_Project_Setup_Guide.md</x:v>
      </x:c>
      <x:c r="D221" s="26" t="str">
        <x:v>posible fricción PC</x:v>
      </x:c>
      <x:c r="E221" s="26" t="str">
        <x:v>CHG-DOC-019</x:v>
      </x:c>
      <x:c r="F221" s="26" t="str">
        <x:v>ADR-0001;ADR-0004</x:v>
      </x:c>
      <x:c r="G221" s="26" t="str">
        <x:v>SETUP-DEBT-004</x:v>
      </x:c>
      <x:c r="H221" s="26"/>
      <x:c r="I221" s="26" t="str">
        <x:v>AUD-SETUP-DEBT-004</x:v>
      </x:c>
      <x:c r="J221" s="26" t="str">
        <x:v>Not Run</x:v>
      </x:c>
      <x:c r="K221" s="26"/>
      <x:c r="L221" s="26" t="str">
        <x:v>SETUP-DEBT-004</x:v>
      </x:c>
      <x:c r="M221" s="26" t="str">
        <x:v>BASE-1.0</x:v>
      </x:c>
      <x:c r="N221" s="26" t="str">
        <x:v>Complete</x:v>
      </x:c>
      <x:c r="O221" s="26" t="str">
        <x:v>validar UX</x:v>
      </x:c>
      <x:c r="P221" s="26" t="str">
        <x:v>VRM Games</x:v>
      </x:c>
      <x:c r="Q221" s="26"/>
    </x:row>
    <x:row r="222" ht="30" customHeight="1">
      <x:c r="A222" s="26" t="str">
        <x:v>SETUP-DEBT-005</x:v>
      </x:c>
      <x:c r="B222" s="26" t="str">
        <x:v>Setup</x:v>
      </x:c>
      <x:c r="C222" s="26" t="str">
        <x:v>10_Unity_Project_Setup_Guide.md</x:v>
      </x:c>
      <x:c r="D222" s="26" t="str">
        <x:v>ES/EN no queda demostrado</x:v>
      </x:c>
      <x:c r="E222" s="26" t="str">
        <x:v>CHG-DOC-019</x:v>
      </x:c>
      <x:c r="F222" s="26" t="str">
        <x:v>ADR-0001;ADR-0004</x:v>
      </x:c>
      <x:c r="G222" s="26" t="str">
        <x:v>SETUP-DEBT-005</x:v>
      </x:c>
      <x:c r="H222" s="26"/>
      <x:c r="I222" s="26" t="str">
        <x:v>AUD-SETUP-DEBT-005</x:v>
      </x:c>
      <x:c r="J222" s="26" t="str">
        <x:v>Not Run</x:v>
      </x:c>
      <x:c r="K222" s="26"/>
      <x:c r="L222" s="26" t="str">
        <x:v>DEBT-LOC-001</x:v>
      </x:c>
      <x:c r="M222" s="26" t="str">
        <x:v>BASE-1.0</x:v>
      </x:c>
      <x:c r="N222" s="26" t="str">
        <x:v>Complete</x:v>
      </x:c>
      <x:c r="O222" s="26" t="str">
        <x:v>completar en Sprint 17/H6</x:v>
      </x:c>
      <x:c r="P222" s="26" t="str">
        <x:v>VRM Games</x:v>
      </x:c>
      <x:c r="Q222" s="26"/>
    </x:row>
    <x:row r="223" ht="30" customHeight="1">
      <x:c r="A223" s="26" t="str">
        <x:v>SETUP-DEBT-006</x:v>
      </x:c>
      <x:c r="B223" s="26" t="str">
        <x:v>Setup</x:v>
      </x:c>
      <x:c r="C223" s="26" t="str">
        <x:v>10_Unity_Project_Setup_Guide.md</x:v>
      </x:c>
      <x:c r="D223" s="26" t="str">
        <x:v>no es defecto; limita máscaras nominales</x:v>
      </x:c>
      <x:c r="E223" s="26" t="str">
        <x:v>CHG-DOC-019</x:v>
      </x:c>
      <x:c r="F223" s="26" t="str">
        <x:v>ADR-0001;ADR-0004</x:v>
      </x:c>
      <x:c r="G223" s="26" t="str">
        <x:v>SETUP-DEBT-006</x:v>
      </x:c>
      <x:c r="H223" s="26"/>
      <x:c r="I223" s="26" t="str">
        <x:v>AUD-SETUP-DEBT-006</x:v>
      </x:c>
      <x:c r="J223" s="26" t="str">
        <x:v>Not Run</x:v>
      </x:c>
      <x:c r="K223" s="26"/>
      <x:c r="L223" s="26" t="str">
        <x:v>SETUP-DEBT-006</x:v>
      </x:c>
      <x:c r="M223" s="26" t="str">
        <x:v>BASE-1.0</x:v>
      </x:c>
      <x:c r="N223" s="26" t="str">
        <x:v>Complete</x:v>
      </x:c>
      <x:c r="O223" s="26" t="str">
        <x:v>añadir solo con caso real</x:v>
      </x:c>
      <x:c r="P223" s="26" t="str">
        <x:v>VRM Games</x:v>
      </x:c>
      <x:c r="Q223" s="26"/>
    </x:row>
    <x:row r="224" ht="30" customHeight="1">
      <x:c r="A224" s="26" t="str">
        <x:v>SETUP-DEBT-007</x:v>
      </x:c>
      <x:c r="B224" s="26" t="str">
        <x:v>Setup</x:v>
      </x:c>
      <x:c r="C224" s="26" t="str">
        <x:v>10_Unity_Project_Setup_Guide.md</x:v>
      </x:c>
      <x:c r="D224" s="26" t="str">
        <x:v>estilo no automatizado</x:v>
      </x:c>
      <x:c r="E224" s="26" t="str">
        <x:v>CHG-DOC-019</x:v>
      </x:c>
      <x:c r="F224" s="26" t="str">
        <x:v>ADR-0001;ADR-0004</x:v>
      </x:c>
      <x:c r="G224" s="26" t="str">
        <x:v>SETUP-DEBT-007</x:v>
      </x:c>
      <x:c r="H224" s="26"/>
      <x:c r="I224" s="26" t="str">
        <x:v>AUD-SETUP-DEBT-007</x:v>
      </x:c>
      <x:c r="J224" s="26" t="str">
        <x:v>Not Run</x:v>
      </x:c>
      <x:c r="K224" s="26"/>
      <x:c r="L224" s="26" t="str">
        <x:v>SETUP-DEBT-007</x:v>
      </x:c>
      <x:c r="M224" s="26" t="str">
        <x:v>BASE-1.0</x:v>
      </x:c>
      <x:c r="N224" s="26" t="str">
        <x:v>Complete</x:v>
      </x:c>
      <x:c r="O224" s="26" t="str">
        <x:v>plan gradual de Coding Standards</x:v>
      </x:c>
      <x:c r="P224" s="26" t="str">
        <x:v>VRM Games</x:v>
      </x:c>
      <x:c r="Q224" s="26"/>
    </x:row>
    <x:row r="225" ht="30" customHeight="1">
      <x:c r="A225" s="26" t="str">
        <x:v>SETUP-DEBT-008</x:v>
      </x:c>
      <x:c r="B225" s="26" t="str">
        <x:v>Setup</x:v>
      </x:c>
      <x:c r="C225" s="26" t="str">
        <x:v>10_Unity_Project_Setup_Guide.md</x:v>
      </x:c>
      <x:c r="D225" s="26" t="str">
        <x:v>crecimiento de binarios</x:v>
      </x:c>
      <x:c r="E225" s="26" t="str">
        <x:v>CHG-DOC-019</x:v>
      </x:c>
      <x:c r="F225" s="26" t="str">
        <x:v>ADR-0001;ADR-0004</x:v>
      </x:c>
      <x:c r="G225" s="26" t="str">
        <x:v>SETUP-DEBT-008</x:v>
      </x:c>
      <x:c r="H225" s="26"/>
      <x:c r="I225" s="26" t="str">
        <x:v>AUD-SETUP-DEBT-008</x:v>
      </x:c>
      <x:c r="J225" s="26" t="str">
        <x:v>Not Run</x:v>
      </x:c>
      <x:c r="K225" s="26"/>
      <x:c r="L225" s="26" t="str">
        <x:v>SETUP-DEBT-008</x:v>
      </x:c>
      <x:c r="M225" s="26" t="str">
        <x:v>BASE-1.0</x:v>
      </x:c>
      <x:c r="N225" s="26" t="str">
        <x:v>Complete</x:v>
      </x:c>
      <x:c r="O225" s="26" t="str">
        <x:v>medir y decidir</x:v>
      </x:c>
      <x:c r="P225" s="26" t="str">
        <x:v>VRM Games</x:v>
      </x:c>
      <x:c r="Q225" s="26"/>
    </x:row>
    <x:row r="226" ht="30" customHeight="1">
      <x:c r="A226" s="26" t="str">
        <x:v>SETUP-DEBT-009</x:v>
      </x:c>
      <x:c r="B226" s="26" t="str">
        <x:v>Setup</x:v>
      </x:c>
      <x:c r="C226" s="26" t="str">
        <x:v>10_Unity_Project_Setup_Guide.md</x:v>
      </x:c>
      <x:c r="D226" s="26" t="str">
        <x:v>contrato confuso</x:v>
      </x:c>
      <x:c r="E226" s="26" t="str">
        <x:v>CHG-DOC-019</x:v>
      </x:c>
      <x:c r="F226" s="26" t="str">
        <x:v>ADR-0001;ADR-0004</x:v>
      </x:c>
      <x:c r="G226" s="26" t="str">
        <x:v>SETUP-DEBT-009</x:v>
      </x:c>
      <x:c r="H226" s="26"/>
      <x:c r="I226" s="26" t="str">
        <x:v>AUD-SETUP-DEBT-009</x:v>
      </x:c>
      <x:c r="J226" s="26" t="str">
        <x:v>Not Run</x:v>
      </x:c>
      <x:c r="K226" s="26"/>
      <x:c r="L226" s="26" t="str">
        <x:v>SETUP-DEBT-009</x:v>
      </x:c>
      <x:c r="M226" s="26" t="str">
        <x:v>BASE-1.0</x:v>
      </x:c>
      <x:c r="N226" s="26" t="str">
        <x:v>Complete</x:v>
      </x:c>
      <x:c r="O226" s="26" t="str">
        <x:v>limpiar sin romper IDs usados</x:v>
      </x:c>
      <x:c r="P226" s="26" t="str">
        <x:v>VRM Games</x:v>
      </x:c>
      <x:c r="Q226" s="26"/>
    </x:row>
    <x:row r="227" ht="30" customHeight="1">
      <x:c r="A227" s="26" t="str">
        <x:v>SETUP-DEBT-010</x:v>
      </x:c>
      <x:c r="B227" s="26" t="str">
        <x:v>Setup</x:v>
      </x:c>
      <x:c r="C227" s="26" t="str">
        <x:v>10_Unity_Project_Setup_Guide.md</x:v>
      </x:c>
      <x:c r="D227" s="26" t="str">
        <x:v>no apto para release</x:v>
      </x:c>
      <x:c r="E227" s="26" t="str">
        <x:v>CHG-DOC-019</x:v>
      </x:c>
      <x:c r="F227" s="26" t="str">
        <x:v>ADR-0001;ADR-0004</x:v>
      </x:c>
      <x:c r="G227" s="26" t="str">
        <x:v>SETUP-DEBT-010</x:v>
      </x:c>
      <x:c r="H227" s="26"/>
      <x:c r="I227" s="26" t="str">
        <x:v>AUD-SETUP-DEBT-010</x:v>
      </x:c>
      <x:c r="J227" s="26" t="str">
        <x:v>Not Run</x:v>
      </x:c>
      <x:c r="K227" s="26"/>
      <x:c r="L227" s="26" t="str">
        <x:v>SETUP-DEBT-010</x:v>
      </x:c>
      <x:c r="M227" s="26" t="str">
        <x:v>BASE-1.0</x:v>
      </x:c>
      <x:c r="N227" s="26" t="str">
        <x:v>Complete</x:v>
      </x:c>
      <x:c r="O227" s="26" t="str">
        <x:v>profile de candidato separado</x:v>
      </x:c>
      <x:c r="P227" s="26" t="str">
        <x:v>VRM Games</x:v>
      </x:c>
      <x:c r="Q227" s="26"/>
    </x:row>
    <x:row r="228" ht="30" customHeight="1">
      <x:c r="A228" s="26" t="str">
        <x:v>SETUP-001</x:v>
      </x:c>
      <x:c r="B228" s="26" t="str">
        <x:v>Setup</x:v>
      </x:c>
      <x:c r="C228" s="26" t="str">
        <x:v>10_Unity_Project_Setup_Guide.md</x:v>
      </x:c>
      <x:c r="D228" s="26" t="str">
        <x:v>`ProjectVersion.txt` declara `6000.3.18f1`.</x:v>
      </x:c>
      <x:c r="E228" s="26" t="str">
        <x:v>CHG-DOC-019</x:v>
      </x:c>
      <x:c r="F228" s="26" t="str">
        <x:v>ADR-0001;ADR-0004</x:v>
      </x:c>
      <x:c r="G228" s="26" t="str">
        <x:v>SETUP-001</x:v>
      </x:c>
      <x:c r="H228" s="26"/>
      <x:c r="I228" s="26" t="str">
        <x:v>AUD-SETUP-001</x:v>
      </x:c>
      <x:c r="J228" s="26" t="str">
        <x:v>Baseline PASS</x:v>
      </x:c>
      <x:c r="K228" s="26"/>
      <x:c r="L228" s="26"/>
      <x:c r="M228" s="26" t="str">
        <x:v>BASE-1.0</x:v>
      </x:c>
      <x:c r="N228" s="26" t="str">
        <x:v>Complete</x:v>
      </x:c>
      <x:c r="O228" s="26" t="str">
        <x:v>archivo y About Unity</x:v>
      </x:c>
      <x:c r="P228" s="26" t="str">
        <x:v>VRM Games</x:v>
      </x:c>
      <x:c r="Q228" s="26"/>
    </x:row>
    <x:row r="229" ht="30" customHeight="1">
      <x:c r="A229" s="26" t="str">
        <x:v>SETUP-002</x:v>
      </x:c>
      <x:c r="B229" s="26" t="str">
        <x:v>Setup</x:v>
      </x:c>
      <x:c r="C229" s="26" t="str">
        <x:v>10_Unity_Project_Setup_Guide.md</x:v>
      </x:c>
      <x:c r="D229" s="26" t="str">
        <x:v>Windows Build Support está disponible.</x:v>
      </x:c>
      <x:c r="E229" s="26" t="str">
        <x:v>CHG-DOC-019</x:v>
      </x:c>
      <x:c r="F229" s="26" t="str">
        <x:v>ADR-0001;ADR-0004</x:v>
      </x:c>
      <x:c r="G229" s="26" t="str">
        <x:v>SETUP-002</x:v>
      </x:c>
      <x:c r="H229" s="26"/>
      <x:c r="I229" s="26" t="str">
        <x:v>AUD-SETUP-002</x:v>
      </x:c>
      <x:c r="J229" s="26" t="str">
        <x:v>Baseline PASS</x:v>
      </x:c>
      <x:c r="K229" s="26"/>
      <x:c r="L229" s="26"/>
      <x:c r="M229" s="26" t="str">
        <x:v>BASE-1.0</x:v>
      </x:c>
      <x:c r="N229" s="26" t="str">
        <x:v>Complete</x:v>
      </x:c>
      <x:c r="O229" s="26" t="str">
        <x:v>build externa</x:v>
      </x:c>
      <x:c r="P229" s="26" t="str">
        <x:v>VRM Games</x:v>
      </x:c>
      <x:c r="Q229" s="26"/>
    </x:row>
    <x:row r="230" ht="30" customHeight="1">
      <x:c r="A230" s="26" t="str">
        <x:v>SETUP-003</x:v>
      </x:c>
      <x:c r="B230" s="26" t="str">
        <x:v>Setup</x:v>
      </x:c>
      <x:c r="C230" s="26" t="str">
        <x:v>10_Unity_Project_Setup_Guide.md</x:v>
      </x:c>
      <x:c r="D230" s="26" t="str">
        <x:v>`manifest.json` contiene las siete dependencias directas aprobadas.</x:v>
      </x:c>
      <x:c r="E230" s="26" t="str">
        <x:v>CHG-DOC-019</x:v>
      </x:c>
      <x:c r="F230" s="26" t="str">
        <x:v>ADR-0001;ADR-0004</x:v>
      </x:c>
      <x:c r="G230" s="26" t="str">
        <x:v>SETUP-003</x:v>
      </x:c>
      <x:c r="H230" s="26"/>
      <x:c r="I230" s="26" t="str">
        <x:v>AUD-SETUP-003</x:v>
      </x:c>
      <x:c r="J230" s="26" t="str">
        <x:v>Baseline PASS</x:v>
      </x:c>
      <x:c r="K230" s="26"/>
      <x:c r="L230" s="26"/>
      <x:c r="M230" s="26" t="str">
        <x:v>BASE-1.0</x:v>
      </x:c>
      <x:c r="N230" s="26" t="str">
        <x:v>Complete</x:v>
      </x:c>
      <x:c r="O230" s="26" t="str">
        <x:v>diff/revisión</x:v>
      </x:c>
      <x:c r="P230" s="26" t="str">
        <x:v>VRM Games</x:v>
      </x:c>
      <x:c r="Q230" s="26"/>
    </x:row>
    <x:row r="231" ht="30" customHeight="1">
      <x:c r="A231" s="26" t="str">
        <x:v>SETUP-004</x:v>
      </x:c>
      <x:c r="B231" s="26" t="str">
        <x:v>Setup</x:v>
      </x:c>
      <x:c r="C231" s="26" t="str">
        <x:v>10_Unity_Project_Setup_Guide.md</x:v>
      </x:c>
      <x:c r="D231" s="26" t="str">
        <x:v>`packages-lock.json` resuelve sin Preview.</x:v>
      </x:c>
      <x:c r="E231" s="26" t="str">
        <x:v>CHG-DOC-019</x:v>
      </x:c>
      <x:c r="F231" s="26" t="str">
        <x:v>ADR-0001;ADR-0004</x:v>
      </x:c>
      <x:c r="G231" s="26" t="str">
        <x:v>SETUP-004</x:v>
      </x:c>
      <x:c r="H231" s="26"/>
      <x:c r="I231" s="26" t="str">
        <x:v>AUD-SETUP-004</x:v>
      </x:c>
      <x:c r="J231" s="26" t="str">
        <x:v>Baseline PASS</x:v>
      </x:c>
      <x:c r="K231" s="26"/>
      <x:c r="L231" s="26"/>
      <x:c r="M231" s="26" t="str">
        <x:v>BASE-1.0</x:v>
      </x:c>
      <x:c r="N231" s="26" t="str">
        <x:v>Complete</x:v>
      </x:c>
      <x:c r="O231" s="26" t="str">
        <x:v>Package Manager</x:v>
      </x:c>
      <x:c r="P231" s="26" t="str">
        <x:v>VRM Games</x:v>
      </x:c>
      <x:c r="Q231" s="26"/>
    </x:row>
    <x:row r="232" ht="30" customHeight="1">
      <x:c r="A232" s="26" t="str">
        <x:v>SETUP-005</x:v>
      </x:c>
      <x:c r="B232" s="26" t="str">
        <x:v>Setup</x:v>
      </x:c>
      <x:c r="C232" s="26" t="str">
        <x:v>10_Unity_Project_Setup_Guide.md</x:v>
      </x:c>
      <x:c r="D232" s="26" t="str">
        <x:v>Company, Product, Identifier y Version son correctos.</x:v>
      </x:c>
      <x:c r="E232" s="26" t="str">
        <x:v>CHG-DOC-019</x:v>
      </x:c>
      <x:c r="F232" s="26" t="str">
        <x:v>ADR-0001;ADR-0004</x:v>
      </x:c>
      <x:c r="G232" s="26" t="str">
        <x:v>SETUP-005</x:v>
      </x:c>
      <x:c r="H232" s="26"/>
      <x:c r="I232" s="26" t="str">
        <x:v>AUD-SETUP-005</x:v>
      </x:c>
      <x:c r="J232" s="26" t="str">
        <x:v>Baseline PASS</x:v>
      </x:c>
      <x:c r="K232" s="26"/>
      <x:c r="L232" s="26"/>
      <x:c r="M232" s="26" t="str">
        <x:v>BASE-1.0</x:v>
      </x:c>
      <x:c r="N232" s="26" t="str">
        <x:v>Complete</x:v>
      </x:c>
      <x:c r="O232" s="26" t="str">
        <x:v>Player Settings</x:v>
      </x:c>
      <x:c r="P232" s="26" t="str">
        <x:v>VRM Games</x:v>
      </x:c>
      <x:c r="Q232" s="26"/>
    </x:row>
    <x:row r="233" ht="30" customHeight="1">
      <x:c r="A233" s="26" t="str">
        <x:v>SETUP-006</x:v>
      </x:c>
      <x:c r="B233" s="26" t="str">
        <x:v>Setup</x:v>
      </x:c>
      <x:c r="C233" s="26" t="str">
        <x:v>10_Unity_Project_Setup_Guide.md</x:v>
      </x:c>
      <x:c r="D233" s="26" t="str">
        <x:v>Color Space es Linear.</x:v>
      </x:c>
      <x:c r="E233" s="26" t="str">
        <x:v>CHG-DOC-019</x:v>
      </x:c>
      <x:c r="F233" s="26" t="str">
        <x:v>ADR-0001;ADR-0004</x:v>
      </x:c>
      <x:c r="G233" s="26" t="str">
        <x:v>SETUP-006</x:v>
      </x:c>
      <x:c r="H233" s="26"/>
      <x:c r="I233" s="26" t="str">
        <x:v>AUD-SETUP-006</x:v>
      </x:c>
      <x:c r="J233" s="26" t="str">
        <x:v>Baseline PASS</x:v>
      </x:c>
      <x:c r="K233" s="26"/>
      <x:c r="L233" s="26"/>
      <x:c r="M233" s="26" t="str">
        <x:v>BASE-1.0</x:v>
      </x:c>
      <x:c r="N233" s="26" t="str">
        <x:v>Complete</x:v>
      </x:c>
      <x:c r="O233" s="26" t="str">
        <x:v>Project Settings</x:v>
      </x:c>
      <x:c r="P233" s="26" t="str">
        <x:v>VRM Games</x:v>
      </x:c>
      <x:c r="Q233" s="26"/>
    </x:row>
    <x:row r="234" ht="30" customHeight="1">
      <x:c r="A234" s="26" t="str">
        <x:v>SETUP-007</x:v>
      </x:c>
      <x:c r="B234" s="26" t="str">
        <x:v>Setup</x:v>
      </x:c>
      <x:c r="C234" s="26" t="str">
        <x:v>10_Unity_Project_Setup_Guide.md</x:v>
      </x:c>
      <x:c r="D234" s="26" t="str">
        <x:v>Visible Meta Files está activo.</x:v>
      </x:c>
      <x:c r="E234" s="26" t="str">
        <x:v>CHG-DOC-019</x:v>
      </x:c>
      <x:c r="F234" s="26" t="str">
        <x:v>ADR-0001;ADR-0004</x:v>
      </x:c>
      <x:c r="G234" s="26" t="str">
        <x:v>SETUP-007</x:v>
      </x:c>
      <x:c r="H234" s="26"/>
      <x:c r="I234" s="26" t="str">
        <x:v>AUD-SETUP-007</x:v>
      </x:c>
      <x:c r="J234" s="26" t="str">
        <x:v>Baseline PASS</x:v>
      </x:c>
      <x:c r="K234" s="26"/>
      <x:c r="L234" s="26"/>
      <x:c r="M234" s="26" t="str">
        <x:v>BASE-1.0</x:v>
      </x:c>
      <x:c r="N234" s="26" t="str">
        <x:v>Complete</x:v>
      </x:c>
      <x:c r="O234" s="26" t="str">
        <x:v>Version Control Settings</x:v>
      </x:c>
      <x:c r="P234" s="26" t="str">
        <x:v>VRM Games</x:v>
      </x:c>
      <x:c r="Q234" s="26"/>
    </x:row>
    <x:row r="235" ht="30" customHeight="1">
      <x:c r="A235" s="26" t="str">
        <x:v>SETUP-008</x:v>
      </x:c>
      <x:c r="B235" s="26" t="str">
        <x:v>Setup</x:v>
      </x:c>
      <x:c r="C235" s="26" t="str">
        <x:v>10_Unity_Project_Setup_Guide.md</x:v>
      </x:c>
      <x:c r="D235" s="26" t="str">
        <x:v>Force Text está activo.</x:v>
      </x:c>
      <x:c r="E235" s="26" t="str">
        <x:v>CHG-DOC-019</x:v>
      </x:c>
      <x:c r="F235" s="26" t="str">
        <x:v>ADR-0001;ADR-0004</x:v>
      </x:c>
      <x:c r="G235" s="26" t="str">
        <x:v>SETUP-008</x:v>
      </x:c>
      <x:c r="H235" s="26"/>
      <x:c r="I235" s="26" t="str">
        <x:v>AUD-SETUP-008</x:v>
      </x:c>
      <x:c r="J235" s="26" t="str">
        <x:v>Baseline PASS</x:v>
      </x:c>
      <x:c r="K235" s="26"/>
      <x:c r="L235" s="26"/>
      <x:c r="M235" s="26" t="str">
        <x:v>BASE-1.0</x:v>
      </x:c>
      <x:c r="N235" s="26" t="str">
        <x:v>Complete</x:v>
      </x:c>
      <x:c r="O235" s="26" t="str">
        <x:v>Editor Settings</x:v>
      </x:c>
      <x:c r="P235" s="26" t="str">
        <x:v>VRM Games</x:v>
      </x:c>
      <x:c r="Q235" s="26"/>
    </x:row>
    <x:row r="236" ht="30" customHeight="1">
      <x:c r="A236" s="26" t="str">
        <x:v>SETUP-009</x:v>
      </x:c>
      <x:c r="B236" s="26" t="str">
        <x:v>Setup</x:v>
      </x:c>
      <x:c r="C236" s="26" t="str">
        <x:v>10_Unity_Project_Setup_Guide.md</x:v>
      </x:c>
      <x:c r="D236" s="26" t="str">
        <x:v>Git ignora carpetas generadas.</x:v>
      </x:c>
      <x:c r="E236" s="26" t="str">
        <x:v>CHG-DOC-019</x:v>
      </x:c>
      <x:c r="F236" s="26" t="str">
        <x:v>ADR-0001;ADR-0004</x:v>
      </x:c>
      <x:c r="G236" s="26" t="str">
        <x:v>SETUP-009</x:v>
      </x:c>
      <x:c r="H236" s="26"/>
      <x:c r="I236" s="26" t="str">
        <x:v>AUD-SETUP-009</x:v>
      </x:c>
      <x:c r="J236" s="26" t="str">
        <x:v>Baseline PASS</x:v>
      </x:c>
      <x:c r="K236" s="26"/>
      <x:c r="L236" s="26"/>
      <x:c r="M236" s="26" t="str">
        <x:v>BASE-1.0</x:v>
      </x:c>
      <x:c r="N236" s="26" t="str">
        <x:v>Complete</x:v>
      </x:c>
      <x:c r="O236" s="26" t="str">
        <x:v>status limpio</x:v>
      </x:c>
      <x:c r="P236" s="26" t="str">
        <x:v>VRM Games</x:v>
      </x:c>
      <x:c r="Q236" s="26"/>
    </x:row>
    <x:row r="237" ht="30" customHeight="1">
      <x:c r="A237" s="26" t="str">
        <x:v>SETUP-010</x:v>
      </x:c>
      <x:c r="B237" s="26" t="str">
        <x:v>Setup</x:v>
      </x:c>
      <x:c r="C237" s="26" t="str">
        <x:v>10_Unity_Project_Setup_Guide.md</x:v>
      </x:c>
      <x:c r="D237" s="26" t="str">
        <x:v>`.gitattributes` normaliza texto y clasifica binarios.</x:v>
      </x:c>
      <x:c r="E237" s="26" t="str">
        <x:v>CHG-DOC-019</x:v>
      </x:c>
      <x:c r="F237" s="26" t="str">
        <x:v>ADR-0001;ADR-0004</x:v>
      </x:c>
      <x:c r="G237" s="26" t="str">
        <x:v>SETUP-010</x:v>
      </x:c>
      <x:c r="H237" s="26"/>
      <x:c r="I237" s="26" t="str">
        <x:v>AUD-SETUP-010</x:v>
      </x:c>
      <x:c r="J237" s="26" t="str">
        <x:v>Baseline PASS</x:v>
      </x:c>
      <x:c r="K237" s="26"/>
      <x:c r="L237" s="26"/>
      <x:c r="M237" s="26" t="str">
        <x:v>BASE-1.0</x:v>
      </x:c>
      <x:c r="N237" s="26" t="str">
        <x:v>Complete</x:v>
      </x:c>
      <x:c r="O237" s="26" t="str">
        <x:v>revisión</x:v>
      </x:c>
      <x:c r="P237" s="26" t="str">
        <x:v>VRM Games</x:v>
      </x:c>
      <x:c r="Q237" s="26"/>
    </x:row>
    <x:row r="238" ht="30" customHeight="1">
      <x:c r="A238" s="26" t="str">
        <x:v>SETUP-011</x:v>
      </x:c>
      <x:c r="B238" s="26" t="str">
        <x:v>Setup</x:v>
      </x:c>
      <x:c r="C238" s="26" t="str">
        <x:v>10_Unity_Project_Setup_Guide.md</x:v>
      </x:c>
      <x:c r="D238" s="26" t="str">
        <x:v>los doce asmdefs se descubren.</x:v>
      </x:c>
      <x:c r="E238" s="26" t="str">
        <x:v>CHG-DOC-019</x:v>
      </x:c>
      <x:c r="F238" s="26" t="str">
        <x:v>ADR-0001;ADR-0004</x:v>
      </x:c>
      <x:c r="G238" s="26" t="str">
        <x:v>SETUP-011</x:v>
      </x:c>
      <x:c r="H238" s="26"/>
      <x:c r="I238" s="26" t="str">
        <x:v>AUD-SETUP-011</x:v>
      </x:c>
      <x:c r="J238" s="26" t="str">
        <x:v>Baseline PASS</x:v>
      </x:c>
      <x:c r="K238" s="26"/>
      <x:c r="L238" s="26"/>
      <x:c r="M238" s="26" t="str">
        <x:v>BASE-1.0</x:v>
      </x:c>
      <x:c r="N238" s="26" t="str">
        <x:v>Complete</x:v>
      </x:c>
      <x:c r="O238" s="26" t="str">
        <x:v>Inspector/compilación</x:v>
      </x:c>
      <x:c r="P238" s="26" t="str">
        <x:v>VRM Games</x:v>
      </x:c>
      <x:c r="Q238" s="26"/>
    </x:row>
    <x:row r="239" ht="30" customHeight="1">
      <x:c r="A239" s="26" t="str">
        <x:v>SETUP-012</x:v>
      </x:c>
      <x:c r="B239" s="26" t="str">
        <x:v>Setup</x:v>
      </x:c>
      <x:c r="C239" s="26" t="str">
        <x:v>10_Unity_Project_Setup_Guide.md</x:v>
      </x:c>
      <x:c r="D239" s="26" t="str">
        <x:v>Domain y Application usan No Engine References.</x:v>
      </x:c>
      <x:c r="E239" s="26" t="str">
        <x:v>CHG-DOC-019</x:v>
      </x:c>
      <x:c r="F239" s="26" t="str">
        <x:v>ADR-0001;ADR-0004</x:v>
      </x:c>
      <x:c r="G239" s="26" t="str">
        <x:v>SETUP-012</x:v>
      </x:c>
      <x:c r="H239" s="26"/>
      <x:c r="I239" s="26" t="str">
        <x:v>AUD-SETUP-012</x:v>
      </x:c>
      <x:c r="J239" s="26" t="str">
        <x:v>Baseline PASS</x:v>
      </x:c>
      <x:c r="K239" s="26"/>
      <x:c r="L239" s="26"/>
      <x:c r="M239" s="26" t="str">
        <x:v>BASE-1.0</x:v>
      </x:c>
      <x:c r="N239" s="26" t="str">
        <x:v>Complete</x:v>
      </x:c>
      <x:c r="O239" s="26" t="str">
        <x:v>asmdefs</x:v>
      </x:c>
      <x:c r="P239" s="26" t="str">
        <x:v>VRM Games</x:v>
      </x:c>
      <x:c r="Q239" s="26"/>
    </x:row>
    <x:row r="240" ht="30" customHeight="1">
      <x:c r="A240" s="26" t="str">
        <x:v>SETUP-013</x:v>
      </x:c>
      <x:c r="B240" s="26" t="str">
        <x:v>Setup</x:v>
      </x:c>
      <x:c r="C240" s="26" t="str">
        <x:v>10_Unity_Project_Setup_Guide.md</x:v>
      </x:c>
      <x:c r="D240" s="26" t="str">
        <x:v>Bootstrap es primera escena del profile.</x:v>
      </x:c>
      <x:c r="E240" s="26" t="str">
        <x:v>CHG-DOC-019</x:v>
      </x:c>
      <x:c r="F240" s="26" t="str">
        <x:v>ADR-0001;ADR-0004</x:v>
      </x:c>
      <x:c r="G240" s="26" t="str">
        <x:v>SETUP-013</x:v>
      </x:c>
      <x:c r="H240" s="26"/>
      <x:c r="I240" s="26" t="str">
        <x:v>AUD-SETUP-013</x:v>
      </x:c>
      <x:c r="J240" s="26" t="str">
        <x:v>Baseline PASS</x:v>
      </x:c>
      <x:c r="K240" s="26"/>
      <x:c r="L240" s="26"/>
      <x:c r="M240" s="26" t="str">
        <x:v>BASE-1.0</x:v>
      </x:c>
      <x:c r="N240" s="26" t="str">
        <x:v>Complete</x:v>
      </x:c>
      <x:c r="O240" s="26" t="str">
        <x:v>Build Profile</x:v>
      </x:c>
      <x:c r="P240" s="26" t="str">
        <x:v>VRM Games</x:v>
      </x:c>
      <x:c r="Q240" s="26"/>
    </x:row>
    <x:row r="241" ht="30" customHeight="1">
      <x:c r="A241" s="26" t="str">
        <x:v>SETUP-014</x:v>
      </x:c>
      <x:c r="B241" s="26" t="str">
        <x:v>Setup</x:v>
      </x:c>
      <x:c r="C241" s="26" t="str">
        <x:v>10_Unity_Project_Setup_Guide.md</x:v>
      </x:c>
      <x:c r="D241" s="26" t="str">
        <x:v>StoreInitial conserva GUID propio.</x:v>
      </x:c>
      <x:c r="E241" s="26" t="str">
        <x:v>CHG-DOC-019</x:v>
      </x:c>
      <x:c r="F241" s="26" t="str">
        <x:v>ADR-0001;ADR-0004</x:v>
      </x:c>
      <x:c r="G241" s="26" t="str">
        <x:v>SETUP-014</x:v>
      </x:c>
      <x:c r="H241" s="26"/>
      <x:c r="I241" s="26" t="str">
        <x:v>AUD-SETUP-014</x:v>
      </x:c>
      <x:c r="J241" s="26" t="str">
        <x:v>Baseline PASS</x:v>
      </x:c>
      <x:c r="K241" s="26"/>
      <x:c r="L241" s="26"/>
      <x:c r="M241" s="26" t="str">
        <x:v>BASE-1.0</x:v>
      </x:c>
      <x:c r="N241" s="26" t="str">
        <x:v>Complete</x:v>
      </x:c>
      <x:c r="O241" s="26" t="str">
        <x:v>`.meta`</x:v>
      </x:c>
      <x:c r="P241" s="26" t="str">
        <x:v>VRM Games</x:v>
      </x:c>
      <x:c r="Q241" s="26"/>
    </x:row>
    <x:row r="242" ht="30" customHeight="1">
      <x:c r="A242" s="26" t="str">
        <x:v>SETUP-015</x:v>
      </x:c>
      <x:c r="B242" s="26" t="str">
        <x:v>Setup</x:v>
      </x:c>
      <x:c r="C242" s="26" t="str">
        <x:v>10_Unity_Project_Setup_Guide.md</x:v>
      </x:c>
      <x:c r="D242" s="26" t="str">
        <x:v>RuntimeAssetRegistry y Input Actions se resuelven.</x:v>
      </x:c>
      <x:c r="E242" s="26" t="str">
        <x:v>CHG-DOC-019</x:v>
      </x:c>
      <x:c r="F242" s="26" t="str">
        <x:v>ADR-0001;ADR-0004</x:v>
      </x:c>
      <x:c r="G242" s="26" t="str">
        <x:v>SETUP-015</x:v>
      </x:c>
      <x:c r="H242" s="26"/>
      <x:c r="I242" s="26" t="str">
        <x:v>AUD-SETUP-015</x:v>
      </x:c>
      <x:c r="J242" s="26" t="str">
        <x:v>Baseline PASS</x:v>
      </x:c>
      <x:c r="K242" s="26"/>
      <x:c r="L242" s="26"/>
      <x:c r="M242" s="26" t="str">
        <x:v>BASE-1.0</x:v>
      </x:c>
      <x:c r="N242" s="26" t="str">
        <x:v>Complete</x:v>
      </x:c>
      <x:c r="O242" s="26" t="str">
        <x:v>arranque/tests</x:v>
      </x:c>
      <x:c r="P242" s="26" t="str">
        <x:v>VRM Games</x:v>
      </x:c>
      <x:c r="Q242" s="26"/>
    </x:row>
    <x:row r="243" ht="30" customHeight="1">
      <x:c r="A243" s="26" t="str">
        <x:v>SETUP-016</x:v>
      </x:c>
      <x:c r="B243" s="26" t="str">
        <x:v>Setup</x:v>
      </x:c>
      <x:c r="C243" s="26" t="str">
        <x:v>10_Unity_Project_Setup_Guide.md</x:v>
      </x:c>
      <x:c r="D243" s="26" t="str">
        <x:v>PC_RPAsset está asignado a Standalone.</x:v>
      </x:c>
      <x:c r="E243" s="26" t="str">
        <x:v>CHG-DOC-019</x:v>
      </x:c>
      <x:c r="F243" s="26" t="str">
        <x:v>ADR-0001;ADR-0004</x:v>
      </x:c>
      <x:c r="G243" s="26" t="str">
        <x:v>SETUP-016</x:v>
      </x:c>
      <x:c r="H243" s="26"/>
      <x:c r="I243" s="26" t="str">
        <x:v>AUD-SETUP-016</x:v>
      </x:c>
      <x:c r="J243" s="26" t="str">
        <x:v>Baseline PASS</x:v>
      </x:c>
      <x:c r="K243" s="26"/>
      <x:c r="L243" s="26"/>
      <x:c r="M243" s="26" t="str">
        <x:v>BASE-1.0</x:v>
      </x:c>
      <x:c r="N243" s="26" t="str">
        <x:v>Complete</x:v>
      </x:c>
      <x:c r="O243" s="26" t="str">
        <x:v>Graphics/Quality</x:v>
      </x:c>
      <x:c r="P243" s="26" t="str">
        <x:v>VRM Games</x:v>
      </x:c>
      <x:c r="Q243" s="26"/>
    </x:row>
    <x:row r="244" ht="30" customHeight="1">
      <x:c r="A244" s="26" t="str">
        <x:v>SETUP-017</x:v>
      </x:c>
      <x:c r="B244" s="26" t="str">
        <x:v>Setup</x:v>
      </x:c>
      <x:c r="C244" s="26" t="str">
        <x:v>10_Unity_Project_Setup_Guide.md</x:v>
      </x:c>
      <x:c r="D244" s="26" t="str">
        <x:v>Input System funciona sin propagación UI→mundo.</x:v>
      </x:c>
      <x:c r="E244" s="26" t="str">
        <x:v>CHG-DOC-019</x:v>
      </x:c>
      <x:c r="F244" s="26" t="str">
        <x:v>ADR-0001;ADR-0004</x:v>
      </x:c>
      <x:c r="G244" s="26" t="str">
        <x:v>SETUP-017</x:v>
      </x:c>
      <x:c r="H244" s="26"/>
      <x:c r="I244" s="26" t="str">
        <x:v>AUD-SETUP-017</x:v>
      </x:c>
      <x:c r="J244" s="26" t="str">
        <x:v>Baseline PASS</x:v>
      </x:c>
      <x:c r="K244" s="26"/>
      <x:c r="L244" s="26"/>
      <x:c r="M244" s="26" t="str">
        <x:v>BASE-1.0</x:v>
      </x:c>
      <x:c r="N244" s="26" t="str">
        <x:v>Complete</x:v>
      </x:c>
      <x:c r="O244" s="26" t="str">
        <x:v>PlayMode/manual</x:v>
      </x:c>
      <x:c r="P244" s="26" t="str">
        <x:v>VRM Games</x:v>
      </x:c>
      <x:c r="Q244" s="26"/>
    </x:row>
    <x:row r="245" ht="30" customHeight="1">
      <x:c r="A245" s="26" t="str">
        <x:v>SETUP-018</x:v>
      </x:c>
      <x:c r="B245" s="26" t="str">
        <x:v>Setup</x:v>
      </x:c>
      <x:c r="C245" s="26" t="str">
        <x:v>10_Unity_Project_Setup_Guide.md</x:v>
      </x:c>
      <x:c r="D245" s="26" t="str">
        <x:v>AI Navigation alcanza puntos críticos.</x:v>
      </x:c>
      <x:c r="E245" s="26" t="str">
        <x:v>CHG-DOC-019</x:v>
      </x:c>
      <x:c r="F245" s="26" t="str">
        <x:v>ADR-0001;ADR-0004</x:v>
      </x:c>
      <x:c r="G245" s="26" t="str">
        <x:v>SETUP-018</x:v>
      </x:c>
      <x:c r="H245" s="26"/>
      <x:c r="I245" s="26" t="str">
        <x:v>AUD-SETUP-018</x:v>
      </x:c>
      <x:c r="J245" s="26" t="str">
        <x:v>Baseline PASS</x:v>
      </x:c>
      <x:c r="K245" s="26"/>
      <x:c r="L245" s="26"/>
      <x:c r="M245" s="26" t="str">
        <x:v>BASE-1.0</x:v>
      </x:c>
      <x:c r="N245" s="26" t="str">
        <x:v>Complete</x:v>
      </x:c>
      <x:c r="O245" s="26" t="str">
        <x:v>recorrido</x:v>
      </x:c>
      <x:c r="P245" s="26" t="str">
        <x:v>VRM Games</x:v>
      </x:c>
      <x:c r="Q245" s="26"/>
    </x:row>
    <x:row r="246" ht="30" customHeight="1">
      <x:c r="A246" s="26" t="str">
        <x:v>SETUP-019</x:v>
      </x:c>
      <x:c r="B246" s="26" t="str">
        <x:v>Setup</x:v>
      </x:c>
      <x:c r="C246" s="26" t="str">
        <x:v>10_Unity_Project_Setup_Guide.md</x:v>
      </x:c>
      <x:c r="D246" s="26" t="str">
        <x:v>no hay missing scripts ni materiales rosas.</x:v>
      </x:c>
      <x:c r="E246" s="26" t="str">
        <x:v>CHG-DOC-019</x:v>
      </x:c>
      <x:c r="F246" s="26" t="str">
        <x:v>ADR-0001;ADR-0004</x:v>
      </x:c>
      <x:c r="G246" s="26" t="str">
        <x:v>SETUP-019</x:v>
      </x:c>
      <x:c r="H246" s="26"/>
      <x:c r="I246" s="26" t="str">
        <x:v>AUD-SETUP-019</x:v>
      </x:c>
      <x:c r="J246" s="26" t="str">
        <x:v>Baseline PASS</x:v>
      </x:c>
      <x:c r="K246" s="26"/>
      <x:c r="L246" s="26"/>
      <x:c r="M246" s="26" t="str">
        <x:v>BASE-1.0</x:v>
      </x:c>
      <x:c r="N246" s="26" t="str">
        <x:v>Complete</x:v>
      </x:c>
      <x:c r="O246" s="26" t="str">
        <x:v>revisión escena</x:v>
      </x:c>
      <x:c r="P246" s="26" t="str">
        <x:v>VRM Games</x:v>
      </x:c>
      <x:c r="Q246" s="26"/>
    </x:row>
    <x:row r="247" ht="30" customHeight="1">
      <x:c r="A247" s="26" t="str">
        <x:v>SETUP-020</x:v>
      </x:c>
      <x:c r="B247" s="26" t="str">
        <x:v>Setup</x:v>
      </x:c>
      <x:c r="C247" s="26" t="str">
        <x:v>10_Unity_Project_Setup_Guide.md</x:v>
      </x:c>
      <x:c r="D247" s="26" t="str">
        <x:v>EditMode vigente pasa.</x:v>
      </x:c>
      <x:c r="E247" s="26" t="str">
        <x:v>CHG-DOC-019</x:v>
      </x:c>
      <x:c r="F247" s="26" t="str">
        <x:v>ADR-0001;ADR-0004</x:v>
      </x:c>
      <x:c r="G247" s="26" t="str">
        <x:v>SETUP-020</x:v>
      </x:c>
      <x:c r="H247" s="26"/>
      <x:c r="I247" s="26" t="str">
        <x:v>AUD-SETUP-020</x:v>
      </x:c>
      <x:c r="J247" s="26" t="str">
        <x:v>Baseline PASS</x:v>
      </x:c>
      <x:c r="K247" s="26"/>
      <x:c r="L247" s="26"/>
      <x:c r="M247" s="26" t="str">
        <x:v>BASE-1.0</x:v>
      </x:c>
      <x:c r="N247" s="26" t="str">
        <x:v>Complete</x:v>
      </x:c>
      <x:c r="O247" s="26" t="str">
        <x:v>reporte</x:v>
      </x:c>
      <x:c r="P247" s="26" t="str">
        <x:v>VRM Games</x:v>
      </x:c>
      <x:c r="Q247" s="26"/>
    </x:row>
    <x:row r="248" ht="30" customHeight="1">
      <x:c r="A248" s="26" t="str">
        <x:v>SETUP-021</x:v>
      </x:c>
      <x:c r="B248" s="26" t="str">
        <x:v>Setup</x:v>
      </x:c>
      <x:c r="C248" s="26" t="str">
        <x:v>10_Unity_Project_Setup_Guide.md</x:v>
      </x:c>
      <x:c r="D248" s="26" t="str">
        <x:v>PlayMode vigente pasa.</x:v>
      </x:c>
      <x:c r="E248" s="26" t="str">
        <x:v>CHG-DOC-019</x:v>
      </x:c>
      <x:c r="F248" s="26" t="str">
        <x:v>ADR-0001;ADR-0004</x:v>
      </x:c>
      <x:c r="G248" s="26" t="str">
        <x:v>SETUP-021</x:v>
      </x:c>
      <x:c r="H248" s="26"/>
      <x:c r="I248" s="26" t="str">
        <x:v>AUD-SETUP-021</x:v>
      </x:c>
      <x:c r="J248" s="26" t="str">
        <x:v>Baseline PASS</x:v>
      </x:c>
      <x:c r="K248" s="26"/>
      <x:c r="L248" s="26"/>
      <x:c r="M248" s="26" t="str">
        <x:v>BASE-1.0</x:v>
      </x:c>
      <x:c r="N248" s="26" t="str">
        <x:v>Complete</x:v>
      </x:c>
      <x:c r="O248" s="26" t="str">
        <x:v>reporte</x:v>
      </x:c>
      <x:c r="P248" s="26" t="str">
        <x:v>VRM Games</x:v>
      </x:c>
      <x:c r="Q248" s="26"/>
    </x:row>
    <x:row r="249" ht="30" customHeight="1">
      <x:c r="A249" s="26" t="str">
        <x:v>SETUP-022</x:v>
      </x:c>
      <x:c r="B249" s="26" t="str">
        <x:v>Setup</x:v>
      </x:c>
      <x:c r="C249" s="26" t="str">
        <x:v>10_Unity_Project_Setup_Guide.md</x:v>
      </x:c>
      <x:c r="D249" s="26" t="str">
        <x:v>EXE Windows x64 arranca desde Bootstrap.</x:v>
      </x:c>
      <x:c r="E249" s="26" t="str">
        <x:v>CHG-DOC-019</x:v>
      </x:c>
      <x:c r="F249" s="26" t="str">
        <x:v>ADR-0001;ADR-0004</x:v>
      </x:c>
      <x:c r="G249" s="26" t="str">
        <x:v>SETUP-022</x:v>
      </x:c>
      <x:c r="H249" s="26"/>
      <x:c r="I249" s="26" t="str">
        <x:v>AUD-SETUP-022</x:v>
      </x:c>
      <x:c r="J249" s="26" t="str">
        <x:v>Baseline PASS</x:v>
      </x:c>
      <x:c r="K249" s="26"/>
      <x:c r="L249" s="26"/>
      <x:c r="M249" s="26" t="str">
        <x:v>BASE-1.0</x:v>
      </x:c>
      <x:c r="N249" s="26" t="str">
        <x:v>Complete</x:v>
      </x:c>
      <x:c r="O249" s="26" t="str">
        <x:v>build record</x:v>
      </x:c>
      <x:c r="P249" s="26" t="str">
        <x:v>VRM Games</x:v>
      </x:c>
      <x:c r="Q249" s="26"/>
    </x:row>
    <x:row r="250" ht="30" customHeight="1">
      <x:c r="A250" s="26" t="str">
        <x:v>SETUP-023</x:v>
      </x:c>
      <x:c r="B250" s="26" t="str">
        <x:v>Setup</x:v>
      </x:c>
      <x:c r="C250" s="26" t="str">
        <x:v>10_Unity_Project_Setup_Guide.md</x:v>
      </x:c>
      <x:c r="D250" s="26" t="str">
        <x:v>Player.log no tiene errores bloqueantes.</x:v>
      </x:c>
      <x:c r="E250" s="26" t="str">
        <x:v>CHG-DOC-019</x:v>
      </x:c>
      <x:c r="F250" s="26" t="str">
        <x:v>ADR-0001;ADR-0004</x:v>
      </x:c>
      <x:c r="G250" s="26" t="str">
        <x:v>SETUP-023</x:v>
      </x:c>
      <x:c r="H250" s="26"/>
      <x:c r="I250" s="26" t="str">
        <x:v>AUD-SETUP-023</x:v>
      </x:c>
      <x:c r="J250" s="26" t="str">
        <x:v>Baseline PASS</x:v>
      </x:c>
      <x:c r="K250" s="26"/>
      <x:c r="L250" s="26"/>
      <x:c r="M250" s="26" t="str">
        <x:v>BASE-1.0</x:v>
      </x:c>
      <x:c r="N250" s="26" t="str">
        <x:v>Complete</x:v>
      </x:c>
      <x:c r="O250" s="26" t="str">
        <x:v>log</x:v>
      </x:c>
      <x:c r="P250" s="26" t="str">
        <x:v>VRM Games</x:v>
      </x:c>
      <x:c r="Q250" s="26"/>
    </x:row>
    <x:row r="251" ht="30" customHeight="1">
      <x:c r="A251" s="26" t="str">
        <x:v>SETUP-024</x:v>
      </x:c>
      <x:c r="B251" s="26" t="str">
        <x:v>Setup</x:v>
      </x:c>
      <x:c r="C251" s="26" t="str">
        <x:v>10_Unity_Project_Setup_Guide.md</x:v>
      </x:c>
      <x:c r="D251" s="26" t="str">
        <x:v>Git permanece limpio tras abrir, probar y cerrar.</x:v>
      </x:c>
      <x:c r="E251" s="26" t="str">
        <x:v>CHG-DOC-019</x:v>
      </x:c>
      <x:c r="F251" s="26" t="str">
        <x:v>ADR-0001;ADR-0004</x:v>
      </x:c>
      <x:c r="G251" s="26" t="str">
        <x:v>SETUP-024</x:v>
      </x:c>
      <x:c r="H251" s="26"/>
      <x:c r="I251" s="26" t="str">
        <x:v>AUD-SETUP-024</x:v>
      </x:c>
      <x:c r="J251" s="26" t="str">
        <x:v>Baseline PASS</x:v>
      </x:c>
      <x:c r="K251" s="26"/>
      <x:c r="L251" s="26"/>
      <x:c r="M251" s="26" t="str">
        <x:v>BASE-1.0</x:v>
      </x:c>
      <x:c r="N251" s="26" t="str">
        <x:v>Complete</x:v>
      </x:c>
      <x:c r="O251" s="26" t="str">
        <x:v>status</x:v>
      </x:c>
      <x:c r="P251" s="26" t="str">
        <x:v>VRM Games</x:v>
      </x:c>
      <x:c r="Q251" s="26"/>
    </x:row>
    <x:row r="252" ht="30" customHeight="1">
      <x:c r="A252" s="26" t="str">
        <x:v>SETUP-025</x:v>
      </x:c>
      <x:c r="B252" s="26" t="str">
        <x:v>Setup</x:v>
      </x:c>
      <x:c r="C252" s="26" t="str">
        <x:v>10_Unity_Project_Setup_Guide.md</x:v>
      </x:c>
      <x:c r="D252" s="26" t="str">
        <x:v>el registro de entorno no contiene secretos.</x:v>
      </x:c>
      <x:c r="E252" s="26" t="str">
        <x:v>CHG-DOC-019</x:v>
      </x:c>
      <x:c r="F252" s="26" t="str">
        <x:v>ADR-0001;ADR-0004</x:v>
      </x:c>
      <x:c r="G252" s="26" t="str">
        <x:v>SETUP-025</x:v>
      </x:c>
      <x:c r="H252" s="26"/>
      <x:c r="I252" s="26" t="str">
        <x:v>AUD-SETUP-025</x:v>
      </x:c>
      <x:c r="J252" s="26" t="str">
        <x:v>Baseline PASS</x:v>
      </x:c>
      <x:c r="K252" s="26"/>
      <x:c r="L252" s="26"/>
      <x:c r="M252" s="26" t="str">
        <x:v>BASE-1.0</x:v>
      </x:c>
      <x:c r="N252" s="26" t="str">
        <x:v>Complete</x:v>
      </x:c>
      <x:c r="O252" s="26" t="str">
        <x:v>revisión</x:v>
      </x:c>
      <x:c r="P252" s="26" t="str">
        <x:v>VRM Games</x:v>
      </x:c>
      <x:c r="Q252" s="26"/>
    </x:row>
    <x:row r="253" ht="30" customHeight="1">
      <x:c r="A253" s="26" t="str">
        <x:v>SETUP-026</x:v>
      </x:c>
      <x:c r="B253" s="26" t="str">
        <x:v>Setup</x:v>
      </x:c>
      <x:c r="C253" s="26" t="str">
        <x:v>10_Unity_Project_Setup_Guide.md</x:v>
      </x:c>
      <x:c r="D253" s="26" t="str">
        <x:v>cambios de Unity/paquetes disponen de ADR o registro.</x:v>
      </x:c>
      <x:c r="E253" s="26" t="str">
        <x:v>CHG-DOC-019</x:v>
      </x:c>
      <x:c r="F253" s="26" t="str">
        <x:v>ADR-0001;ADR-0004</x:v>
      </x:c>
      <x:c r="G253" s="26" t="str">
        <x:v>SETUP-026</x:v>
      </x:c>
      <x:c r="H253" s="26"/>
      <x:c r="I253" s="26" t="str">
        <x:v>AUD-SETUP-026</x:v>
      </x:c>
      <x:c r="J253" s="26" t="str">
        <x:v>Baseline PASS</x:v>
      </x:c>
      <x:c r="K253" s="26"/>
      <x:c r="L253" s="26"/>
      <x:c r="M253" s="26" t="str">
        <x:v>BASE-1.0</x:v>
      </x:c>
      <x:c r="N253" s="26" t="str">
        <x:v>Complete</x:v>
      </x:c>
      <x:c r="O253" s="26" t="str">
        <x:v>documentación</x:v>
      </x:c>
      <x:c r="P253" s="26" t="str">
        <x:v>VRM Games</x:v>
      </x:c>
      <x:c r="Q253" s="26"/>
    </x:row>
    <x:row r="254" ht="30" customHeight="1">
      <x:c r="A254" s="26" t="str">
        <x:v>SETUP-027</x:v>
      </x:c>
      <x:c r="B254" s="26" t="str">
        <x:v>Setup</x:v>
      </x:c>
      <x:c r="C254" s="26" t="str">
        <x:v>10_Unity_Project_Setup_Guide.md</x:v>
      </x:c>
      <x:c r="D254" s="26" t="str">
        <x:v>Store no se sustituye antes de validar StoreInitial.</x:v>
      </x:c>
      <x:c r="E254" s="26" t="str">
        <x:v>CHG-DOC-019</x:v>
      </x:c>
      <x:c r="F254" s="26" t="str">
        <x:v>ADR-0001;ADR-0004</x:v>
      </x:c>
      <x:c r="G254" s="26" t="str">
        <x:v>SETUP-027</x:v>
      </x:c>
      <x:c r="H254" s="26"/>
      <x:c r="I254" s="26" t="str">
        <x:v>AUD-SETUP-027</x:v>
      </x:c>
      <x:c r="J254" s="26" t="str">
        <x:v>Baseline PASS</x:v>
      </x:c>
      <x:c r="K254" s="26"/>
      <x:c r="L254" s="26"/>
      <x:c r="M254" s="26" t="str">
        <x:v>BASE-1.0</x:v>
      </x:c>
      <x:c r="N254" s="26" t="str">
        <x:v>Complete</x:v>
      </x:c>
      <x:c r="O254" s="26" t="str">
        <x:v>gate Sprint 16</x:v>
      </x:c>
      <x:c r="P254" s="26" t="str">
        <x:v>VRM Games</x:v>
      </x:c>
      <x:c r="Q254" s="26"/>
    </x:row>
    <x:row r="255" ht="30" customHeight="1">
      <x:c r="A255" s="26" t="str">
        <x:v>SETUP-028</x:v>
      </x:c>
      <x:c r="B255" s="26" t="str">
        <x:v>Setup</x:v>
      </x:c>
      <x:c r="C255" s="26" t="str">
        <x:v>10_Unity_Project_Setup_Guide.md</x:v>
      </x:c>
      <x:c r="D255" s="26" t="str">
        <x:v>Localization ES/EN se valida antes de H6.</x:v>
      </x:c>
      <x:c r="E255" s="26" t="str">
        <x:v>CHG-DOC-019</x:v>
      </x:c>
      <x:c r="F255" s="26" t="str">
        <x:v>ADR-0001;ADR-0004</x:v>
      </x:c>
      <x:c r="G255" s="26" t="str">
        <x:v>SETUP-028</x:v>
      </x:c>
      <x:c r="H255" s="26"/>
      <x:c r="I255" s="26" t="str">
        <x:v>AUD-SETUP-028</x:v>
      </x:c>
      <x:c r="J255" s="26" t="str">
        <x:v>Baseline PASS</x:v>
      </x:c>
      <x:c r="K255" s="26"/>
      <x:c r="L255" s="26"/>
      <x:c r="M255" s="26" t="str">
        <x:v>BASE-1.0</x:v>
      </x:c>
      <x:c r="N255" s="26" t="str">
        <x:v>Complete</x:v>
      </x:c>
      <x:c r="O255" s="26" t="str">
        <x:v>QA matrix</x:v>
      </x:c>
      <x:c r="P255" s="26" t="str">
        <x:v>VRM Games</x:v>
      </x:c>
      <x:c r="Q255" s="26"/>
    </x:row>
    <x:row r="256" ht="30" customHeight="1">
      <x:c r="A256" s="26" t="str">
        <x:v>SETUP-029</x:v>
      </x:c>
      <x:c r="B256" s="26" t="str">
        <x:v>Setup</x:v>
      </x:c>
      <x:c r="C256" s="26" t="str">
        <x:v>10_Unity_Project_Setup_Guide.md</x:v>
      </x:c>
      <x:c r="D256" s="26" t="str">
        <x:v>resolución objetivo y ventana se deciden antes de candidato.</x:v>
      </x:c>
      <x:c r="E256" s="26" t="str">
        <x:v>CHG-DOC-019</x:v>
      </x:c>
      <x:c r="F256" s="26" t="str">
        <x:v>ADR-0001;ADR-0004</x:v>
      </x:c>
      <x:c r="G256" s="26" t="str">
        <x:v>SETUP-029</x:v>
      </x:c>
      <x:c r="H256" s="26"/>
      <x:c r="I256" s="26" t="str">
        <x:v>AUD-SETUP-029</x:v>
      </x:c>
      <x:c r="J256" s="26" t="str">
        <x:v>Baseline PASS</x:v>
      </x:c>
      <x:c r="K256" s="26"/>
      <x:c r="L256" s="26"/>
      <x:c r="M256" s="26" t="str">
        <x:v>BASE-1.0</x:v>
      </x:c>
      <x:c r="N256" s="26" t="str">
        <x:v>Complete</x:v>
      </x:c>
      <x:c r="O256" s="26" t="str">
        <x:v>Player Settings/build</x:v>
      </x:c>
      <x:c r="P256" s="26" t="str">
        <x:v>VRM Games</x:v>
      </x:c>
      <x:c r="Q256" s="26"/>
    </x:row>
    <x:row r="257" ht="30" customHeight="1">
      <x:c r="A257" s="26" t="str">
        <x:v>SETUP-030</x:v>
      </x:c>
      <x:c r="B257" s="26" t="str">
        <x:v>Setup</x:v>
      </x:c>
      <x:c r="C257" s="26" t="str">
        <x:v>10_Unity_Project_Setup_Guide.md</x:v>
      </x:c>
      <x:c r="D257" s="26" t="str">
        <x:v>la guía y baseline reflejan la configuración real.</x:v>
      </x:c>
      <x:c r="E257" s="26" t="str">
        <x:v>CHG-DOC-019</x:v>
      </x:c>
      <x:c r="F257" s="26" t="str">
        <x:v>ADR-0001;ADR-0004</x:v>
      </x:c>
      <x:c r="G257" s="26" t="str">
        <x:v>SETUP-030</x:v>
      </x:c>
      <x:c r="H257" s="26"/>
      <x:c r="I257" s="26" t="str">
        <x:v>AUD-SETUP-030</x:v>
      </x:c>
      <x:c r="J257" s="26" t="str">
        <x:v>Baseline PASS</x:v>
      </x:c>
      <x:c r="K257" s="26"/>
      <x:c r="L257" s="26"/>
      <x:c r="M257" s="26" t="str">
        <x:v>BASE-1.0</x:v>
      </x:c>
      <x:c r="N257" s="26" t="str">
        <x:v>Complete</x:v>
      </x:c>
      <x:c r="O257" s="26" t="str">
        <x:v>trazabilidad</x:v>
      </x:c>
      <x:c r="P257" s="26" t="str">
        <x:v>VRM Games</x:v>
      </x:c>
      <x:c r="Q257" s="26"/>
    </x:row>
    <x:row r="258" ht="30" customHeight="1">
      <x:c r="A258" s="26" t="str">
        <x:v>BUILD-STD-001</x:v>
      </x:c>
      <x:c r="B258" s="26" t="str">
        <x:v>Build</x:v>
      </x:c>
      <x:c r="C258" s="26" t="str">
        <x:v>11_Build_y_Versioning_Guide.md</x:v>
      </x:c>
      <x:c r="D258" s="26" t="str">
        <x:v>Toda build retenida tiene Build ID único.</x:v>
      </x:c>
      <x:c r="E258" s="26" t="str">
        <x:v>CHG-DOC-020</x:v>
      </x:c>
      <x:c r="F258" s="26" t="str">
        <x:v>ADR-0007;ADR-0010</x:v>
      </x:c>
      <x:c r="G258" s="26" t="str">
        <x:v>BUILD-STD-001</x:v>
      </x:c>
      <x:c r="H258" s="26"/>
      <x:c r="I258" s="26" t="str">
        <x:v>AUD-BUILD-STD-001</x:v>
      </x:c>
      <x:c r="J258" s="26" t="str">
        <x:v>Not Run</x:v>
      </x:c>
      <x:c r="K258" s="26" t="str">
        <x:v>BLD-H6</x:v>
      </x:c>
      <x:c r="L258" s="26"/>
      <x:c r="M258" s="26" t="str">
        <x:v>BASE-1.0</x:v>
      </x:c>
      <x:c r="N258" s="26" t="str">
        <x:v>Complete</x:v>
      </x:c>
      <x:c r="O258" s="26" t="str">
        <x:v>Registro, manifest, test o artefacto aplicable</x:v>
      </x:c>
      <x:c r="P258" s="26" t="str">
        <x:v>VRM Games</x:v>
      </x:c>
      <x:c r="Q258" s="26"/>
    </x:row>
    <x:row r="259" ht="30" customHeight="1">
      <x:c r="A259" s="26" t="str">
        <x:v>BUILD-STD-002</x:v>
      </x:c>
      <x:c r="B259" s="26" t="str">
        <x:v>Build</x:v>
      </x:c>
      <x:c r="C259" s="26" t="str">
        <x:v>11_Build_y_Versioning_Guide.md</x:v>
      </x:c>
      <x:c r="D259" s="26" t="str">
        <x:v>Toda build retenida registra versión de aplicación y SHA completo.</x:v>
      </x:c>
      <x:c r="E259" s="26" t="str">
        <x:v>CHG-DOC-020</x:v>
      </x:c>
      <x:c r="F259" s="26" t="str">
        <x:v>ADR-0007;ADR-0010</x:v>
      </x:c>
      <x:c r="G259" s="26" t="str">
        <x:v>BUILD-STD-002</x:v>
      </x:c>
      <x:c r="H259" s="26"/>
      <x:c r="I259" s="26" t="str">
        <x:v>AUD-BUILD-STD-002</x:v>
      </x:c>
      <x:c r="J259" s="26" t="str">
        <x:v>Not Run</x:v>
      </x:c>
      <x:c r="K259" s="26" t="str">
        <x:v>BLD-H6</x:v>
      </x:c>
      <x:c r="L259" s="26"/>
      <x:c r="M259" s="26" t="str">
        <x:v>BASE-1.0</x:v>
      </x:c>
      <x:c r="N259" s="26" t="str">
        <x:v>Complete</x:v>
      </x:c>
      <x:c r="O259" s="26" t="str">
        <x:v>Registro, manifest, test o artefacto aplicable</x:v>
      </x:c>
      <x:c r="P259" s="26" t="str">
        <x:v>VRM Games</x:v>
      </x:c>
      <x:c r="Q259" s="26"/>
    </x:row>
    <x:row r="260" ht="30" customHeight="1">
      <x:c r="A260" s="26" t="str">
        <x:v>BUILD-STD-003</x:v>
      </x:c>
      <x:c r="B260" s="26" t="str">
        <x:v>Build</x:v>
      </x:c>
      <x:c r="C260" s="26" t="str">
        <x:v>11_Build_y_Versioning_Guide.md</x:v>
      </x:c>
      <x:c r="D260" s="26" t="str">
        <x:v>Bootstrap ocupa el índice 0 en toda build jugable.</x:v>
      </x:c>
      <x:c r="E260" s="26" t="str">
        <x:v>CHG-DOC-020</x:v>
      </x:c>
      <x:c r="F260" s="26" t="str">
        <x:v>ADR-0007;ADR-0010</x:v>
      </x:c>
      <x:c r="G260" s="26" t="str">
        <x:v>BUILD-STD-003</x:v>
      </x:c>
      <x:c r="H260" s="26"/>
      <x:c r="I260" s="26" t="str">
        <x:v>AUD-BUILD-STD-003</x:v>
      </x:c>
      <x:c r="J260" s="26" t="str">
        <x:v>Not Run</x:v>
      </x:c>
      <x:c r="K260" s="26" t="str">
        <x:v>BLD-H6</x:v>
      </x:c>
      <x:c r="L260" s="26"/>
      <x:c r="M260" s="26" t="str">
        <x:v>BASE-1.0</x:v>
      </x:c>
      <x:c r="N260" s="26" t="str">
        <x:v>Complete</x:v>
      </x:c>
      <x:c r="O260" s="26" t="str">
        <x:v>Registro, manifest, test o artefacto aplicable</x:v>
      </x:c>
      <x:c r="P260" s="26" t="str">
        <x:v>VRM Games</x:v>
      </x:c>
      <x:c r="Q260" s="26"/>
    </x:row>
    <x:row r="261" ht="30" customHeight="1">
      <x:c r="A261" s="26" t="str">
        <x:v>BUILD-STD-004</x:v>
      </x:c>
      <x:c r="B261" s="26" t="str">
        <x:v>Build</x:v>
      </x:c>
      <x:c r="C261" s="26" t="str">
        <x:v>11_Build_y_Versioning_Guide.md</x:v>
      </x:c>
      <x:c r="D261" s="26" t="str">
        <x:v>Una build distribuida excluye TestLab salvo excepción aprobada.</x:v>
      </x:c>
      <x:c r="E261" s="26" t="str">
        <x:v>CHG-DOC-020</x:v>
      </x:c>
      <x:c r="F261" s="26" t="str">
        <x:v>ADR-0007;ADR-0010</x:v>
      </x:c>
      <x:c r="G261" s="26" t="str">
        <x:v>BUILD-STD-004</x:v>
      </x:c>
      <x:c r="H261" s="26"/>
      <x:c r="I261" s="26" t="str">
        <x:v>AUD-BUILD-STD-004</x:v>
      </x:c>
      <x:c r="J261" s="26" t="str">
        <x:v>Not Run</x:v>
      </x:c>
      <x:c r="K261" s="26" t="str">
        <x:v>BLD-H6</x:v>
      </x:c>
      <x:c r="L261" s="26"/>
      <x:c r="M261" s="26" t="str">
        <x:v>BASE-1.0</x:v>
      </x:c>
      <x:c r="N261" s="26" t="str">
        <x:v>Complete</x:v>
      </x:c>
      <x:c r="O261" s="26" t="str">
        <x:v>Registro, manifest, test o artefacto aplicable</x:v>
      </x:c>
      <x:c r="P261" s="26" t="str">
        <x:v>VRM Games</x:v>
      </x:c>
      <x:c r="Q261" s="26"/>
    </x:row>
    <x:row r="262" ht="30" customHeight="1">
      <x:c r="A262" s="26" t="str">
        <x:v>BUILD-STD-005</x:v>
      </x:c>
      <x:c r="B262" s="26" t="str">
        <x:v>Build</x:v>
      </x:c>
      <x:c r="C262" s="26" t="str">
        <x:v>11_Build_y_Versioning_Guide.md</x:v>
      </x:c>
      <x:c r="D262" s="26" t="str">
        <x:v>StoreInitial sustituye a Store solo después de integración validada.</x:v>
      </x:c>
      <x:c r="E262" s="26" t="str">
        <x:v>CHG-DOC-020</x:v>
      </x:c>
      <x:c r="F262" s="26" t="str">
        <x:v>ADR-0007;ADR-0010</x:v>
      </x:c>
      <x:c r="G262" s="26" t="str">
        <x:v>BUILD-STD-005</x:v>
      </x:c>
      <x:c r="H262" s="26"/>
      <x:c r="I262" s="26" t="str">
        <x:v>AUD-BUILD-STD-005</x:v>
      </x:c>
      <x:c r="J262" s="26" t="str">
        <x:v>Not Run</x:v>
      </x:c>
      <x:c r="K262" s="26" t="str">
        <x:v>BLD-H6</x:v>
      </x:c>
      <x:c r="L262" s="26"/>
      <x:c r="M262" s="26" t="str">
        <x:v>BASE-1.0</x:v>
      </x:c>
      <x:c r="N262" s="26" t="str">
        <x:v>Complete</x:v>
      </x:c>
      <x:c r="O262" s="26" t="str">
        <x:v>Registro, manifest, test o artefacto aplicable</x:v>
      </x:c>
      <x:c r="P262" s="26" t="str">
        <x:v>VRM Games</x:v>
      </x:c>
      <x:c r="Q262" s="26"/>
    </x:row>
    <x:row r="263" ht="30" customHeight="1">
      <x:c r="A263" s="26" t="str">
        <x:v>BUILD-STD-006</x:v>
      </x:c>
      <x:c r="B263" s="26" t="str">
        <x:v>Build</x:v>
      </x:c>
      <x:c r="C263" s="26" t="str">
        <x:v>11_Build_y_Versioning_Guide.md</x:v>
      </x:c>
      <x:c r="D263" s="26" t="str">
        <x:v>No se aprueba candidato con S0 o S1 abierto.</x:v>
      </x:c>
      <x:c r="E263" s="26" t="str">
        <x:v>CHG-DOC-020</x:v>
      </x:c>
      <x:c r="F263" s="26" t="str">
        <x:v>ADR-0007;ADR-0010</x:v>
      </x:c>
      <x:c r="G263" s="26" t="str">
        <x:v>BUILD-STD-006</x:v>
      </x:c>
      <x:c r="H263" s="26"/>
      <x:c r="I263" s="26" t="str">
        <x:v>AUD-BUILD-STD-006</x:v>
      </x:c>
      <x:c r="J263" s="26" t="str">
        <x:v>Not Run</x:v>
      </x:c>
      <x:c r="K263" s="26" t="str">
        <x:v>BLD-H6</x:v>
      </x:c>
      <x:c r="L263" s="26"/>
      <x:c r="M263" s="26" t="str">
        <x:v>BASE-1.0</x:v>
      </x:c>
      <x:c r="N263" s="26" t="str">
        <x:v>Complete</x:v>
      </x:c>
      <x:c r="O263" s="26" t="str">
        <x:v>Registro, manifest, test o artefacto aplicable</x:v>
      </x:c>
      <x:c r="P263" s="26" t="str">
        <x:v>VRM Games</x:v>
      </x:c>
      <x:c r="Q263" s="26"/>
    </x:row>
    <x:row r="264" ht="30" customHeight="1">
      <x:c r="A264" s="26" t="str">
        <x:v>BUILD-STD-007</x:v>
      </x:c>
      <x:c r="B264" s="26" t="str">
        <x:v>Build</x:v>
      </x:c>
      <x:c r="C264" s="26" t="str">
        <x:v>11_Build_y_Versioning_Guide.md</x:v>
      </x:c>
      <x:c r="D264" s="26" t="str">
        <x:v>Todo candidato de hito incluye Player.log revisado.</x:v>
      </x:c>
      <x:c r="E264" s="26" t="str">
        <x:v>CHG-DOC-020</x:v>
      </x:c>
      <x:c r="F264" s="26" t="str">
        <x:v>ADR-0007;ADR-0010</x:v>
      </x:c>
      <x:c r="G264" s="26" t="str">
        <x:v>BUILD-STD-007</x:v>
      </x:c>
      <x:c r="H264" s="26"/>
      <x:c r="I264" s="26" t="str">
        <x:v>AUD-BUILD-STD-007</x:v>
      </x:c>
      <x:c r="J264" s="26" t="str">
        <x:v>Not Run</x:v>
      </x:c>
      <x:c r="K264" s="26" t="str">
        <x:v>BLD-H6</x:v>
      </x:c>
      <x:c r="L264" s="26"/>
      <x:c r="M264" s="26" t="str">
        <x:v>BASE-1.0</x:v>
      </x:c>
      <x:c r="N264" s="26" t="str">
        <x:v>Complete</x:v>
      </x:c>
      <x:c r="O264" s="26" t="str">
        <x:v>Registro, manifest, test o artefacto aplicable</x:v>
      </x:c>
      <x:c r="P264" s="26" t="str">
        <x:v>VRM Games</x:v>
      </x:c>
      <x:c r="Q264" s="26"/>
    </x:row>
    <x:row r="265" ht="30" customHeight="1">
      <x:c r="A265" s="26" t="str">
        <x:v>BUILD-STD-008</x:v>
      </x:c>
      <x:c r="B265" s="26" t="str">
        <x:v>Build</x:v>
      </x:c>
      <x:c r="C265" s="26" t="str">
        <x:v>11_Build_y_Versioning_Guide.md</x:v>
      </x:c>
      <x:c r="D265" s="26" t="str">
        <x:v>Todo candidato de hito incluye paquete y SHA-256.</x:v>
      </x:c>
      <x:c r="E265" s="26" t="str">
        <x:v>CHG-DOC-020</x:v>
      </x:c>
      <x:c r="F265" s="26" t="str">
        <x:v>ADR-0007;ADR-0010</x:v>
      </x:c>
      <x:c r="G265" s="26" t="str">
        <x:v>BUILD-STD-008</x:v>
      </x:c>
      <x:c r="H265" s="26"/>
      <x:c r="I265" s="26" t="str">
        <x:v>AUD-BUILD-STD-008</x:v>
      </x:c>
      <x:c r="J265" s="26" t="str">
        <x:v>Not Run</x:v>
      </x:c>
      <x:c r="K265" s="26" t="str">
        <x:v>BLD-H6</x:v>
      </x:c>
      <x:c r="L265" s="26"/>
      <x:c r="M265" s="26" t="str">
        <x:v>BASE-1.0</x:v>
      </x:c>
      <x:c r="N265" s="26" t="str">
        <x:v>Complete</x:v>
      </x:c>
      <x:c r="O265" s="26" t="str">
        <x:v>Registro, manifest, test o artefacto aplicable</x:v>
      </x:c>
      <x:c r="P265" s="26" t="str">
        <x:v>VRM Games</x:v>
      </x:c>
      <x:c r="Q265" s="26"/>
    </x:row>
    <x:row r="266" ht="30" customHeight="1">
      <x:c r="A266" s="26" t="str">
        <x:v>BUILD-STD-009</x:v>
      </x:c>
      <x:c r="B266" s="26" t="str">
        <x:v>Build</x:v>
      </x:c>
      <x:c r="C266" s="26" t="str">
        <x:v>11_Build_y_Versioning_Guide.md</x:v>
      </x:c>
      <x:c r="D266" s="26" t="str">
        <x:v>Todo cambio de schema incluye compatibilidad, migración o rechazo explícito.</x:v>
      </x:c>
      <x:c r="E266" s="26" t="str">
        <x:v>CHG-DOC-020</x:v>
      </x:c>
      <x:c r="F266" s="26" t="str">
        <x:v>ADR-0007;ADR-0010</x:v>
      </x:c>
      <x:c r="G266" s="26" t="str">
        <x:v>BUILD-STD-009</x:v>
      </x:c>
      <x:c r="H266" s="26"/>
      <x:c r="I266" s="26" t="str">
        <x:v>AUD-BUILD-STD-009</x:v>
      </x:c>
      <x:c r="J266" s="26" t="str">
        <x:v>Not Run</x:v>
      </x:c>
      <x:c r="K266" s="26" t="str">
        <x:v>BLD-H6</x:v>
      </x:c>
      <x:c r="L266" s="26"/>
      <x:c r="M266" s="26" t="str">
        <x:v>BASE-1.0</x:v>
      </x:c>
      <x:c r="N266" s="26" t="str">
        <x:v>Complete</x:v>
      </x:c>
      <x:c r="O266" s="26" t="str">
        <x:v>Registro, manifest, test o artefacto aplicable</x:v>
      </x:c>
      <x:c r="P266" s="26" t="str">
        <x:v>VRM Games</x:v>
      </x:c>
      <x:c r="Q266" s="26"/>
    </x:row>
    <x:row r="267" ht="30" customHeight="1">
      <x:c r="A267" s="26" t="str">
        <x:v>BUILD-STD-010</x:v>
      </x:c>
      <x:c r="B267" s="26" t="str">
        <x:v>Build</x:v>
      </x:c>
      <x:c r="C267" s="26" t="str">
        <x:v>11_Build_y_Versioning_Guide.md</x:v>
      </x:c>
      <x:c r="D267" s="26" t="str">
        <x:v>Una carga de save se valida por equivalencia observable.</x:v>
      </x:c>
      <x:c r="E267" s="26" t="str">
        <x:v>CHG-DOC-020</x:v>
      </x:c>
      <x:c r="F267" s="26" t="str">
        <x:v>ADR-0007;ADR-0010</x:v>
      </x:c>
      <x:c r="G267" s="26" t="str">
        <x:v>BUILD-STD-010</x:v>
      </x:c>
      <x:c r="H267" s="26"/>
      <x:c r="I267" s="26" t="str">
        <x:v>AUD-BUILD-STD-010</x:v>
      </x:c>
      <x:c r="J267" s="26" t="str">
        <x:v>Not Run</x:v>
      </x:c>
      <x:c r="K267" s="26" t="str">
        <x:v>BLD-H6</x:v>
      </x:c>
      <x:c r="L267" s="26"/>
      <x:c r="M267" s="26" t="str">
        <x:v>BASE-1.0</x:v>
      </x:c>
      <x:c r="N267" s="26" t="str">
        <x:v>Complete</x:v>
      </x:c>
      <x:c r="O267" s="26" t="str">
        <x:v>Registro, manifest, test o artefacto aplicable</x:v>
      </x:c>
      <x:c r="P267" s="26" t="str">
        <x:v>VRM Games</x:v>
      </x:c>
      <x:c r="Q267" s="26"/>
    </x:row>
    <x:row r="268" ht="30" customHeight="1">
      <x:c r="A268" s="26" t="str">
        <x:v>BUILD-STD-011</x:v>
      </x:c>
      <x:c r="B268" s="26" t="str">
        <x:v>Build</x:v>
      </x:c>
      <x:c r="C268" s="26" t="str">
        <x:v>11_Build_y_Versioning_Guide.md</x:v>
      </x:c>
      <x:c r="D268" s="26" t="str">
        <x:v>Los IDs de contenido persistido no se reutilizan.</x:v>
      </x:c>
      <x:c r="E268" s="26" t="str">
        <x:v>CHG-DOC-020</x:v>
      </x:c>
      <x:c r="F268" s="26" t="str">
        <x:v>ADR-0007;ADR-0010</x:v>
      </x:c>
      <x:c r="G268" s="26" t="str">
        <x:v>BUILD-STD-011</x:v>
      </x:c>
      <x:c r="H268" s="26"/>
      <x:c r="I268" s="26" t="str">
        <x:v>AUD-BUILD-STD-011</x:v>
      </x:c>
      <x:c r="J268" s="26" t="str">
        <x:v>Not Run</x:v>
      </x:c>
      <x:c r="K268" s="26" t="str">
        <x:v>BLD-H6</x:v>
      </x:c>
      <x:c r="L268" s="26"/>
      <x:c r="M268" s="26" t="str">
        <x:v>BASE-1.0</x:v>
      </x:c>
      <x:c r="N268" s="26" t="str">
        <x:v>Complete</x:v>
      </x:c>
      <x:c r="O268" s="26" t="str">
        <x:v>Registro, manifest, test o artefacto aplicable</x:v>
      </x:c>
      <x:c r="P268" s="26" t="str">
        <x:v>VRM Games</x:v>
      </x:c>
      <x:c r="Q268" s="26"/>
    </x:row>
    <x:row r="269" ht="30" customHeight="1">
      <x:c r="A269" s="26" t="str">
        <x:v>BUILD-STD-012</x:v>
      </x:c>
      <x:c r="B269" s="26" t="str">
        <x:v>Build</x:v>
      </x:c>
      <x:c r="C269" s="26" t="str">
        <x:v>11_Build_y_Versioning_Guide.md</x:v>
      </x:c>
      <x:c r="D269" s="26" t="str">
        <x:v>La versión documental se distingue de la versión de aplicación.</x:v>
      </x:c>
      <x:c r="E269" s="26" t="str">
        <x:v>CHG-DOC-020</x:v>
      </x:c>
      <x:c r="F269" s="26" t="str">
        <x:v>ADR-0007;ADR-0010</x:v>
      </x:c>
      <x:c r="G269" s="26" t="str">
        <x:v>BUILD-STD-012</x:v>
      </x:c>
      <x:c r="H269" s="26"/>
      <x:c r="I269" s="26" t="str">
        <x:v>AUD-BUILD-STD-012</x:v>
      </x:c>
      <x:c r="J269" s="26" t="str">
        <x:v>Not Run</x:v>
      </x:c>
      <x:c r="K269" s="26" t="str">
        <x:v>BLD-H6</x:v>
      </x:c>
      <x:c r="L269" s="26"/>
      <x:c r="M269" s="26" t="str">
        <x:v>BASE-1.0</x:v>
      </x:c>
      <x:c r="N269" s="26" t="str">
        <x:v>Complete</x:v>
      </x:c>
      <x:c r="O269" s="26" t="str">
        <x:v>Registro, manifest, test o artefacto aplicable</x:v>
      </x:c>
      <x:c r="P269" s="26" t="str">
        <x:v>VRM Games</x:v>
      </x:c>
      <x:c r="Q269" s="26"/>
    </x:row>
    <x:row r="270" ht="30" customHeight="1">
      <x:c r="A270" s="26" t="str">
        <x:v>BUILD-STD-013</x:v>
      </x:c>
      <x:c r="B270" s="26" t="str">
        <x:v>Build</x:v>
      </x:c>
      <x:c r="C270" s="26" t="str">
        <x:v>11_Build_y_Versioning_Guide.md</x:v>
      </x:c>
      <x:c r="D270" s="26" t="str">
        <x:v>Un tag representa un gate aprobado, no un intento.</x:v>
      </x:c>
      <x:c r="E270" s="26" t="str">
        <x:v>CHG-DOC-020</x:v>
      </x:c>
      <x:c r="F270" s="26" t="str">
        <x:v>ADR-0007;ADR-0010</x:v>
      </x:c>
      <x:c r="G270" s="26" t="str">
        <x:v>BUILD-STD-013</x:v>
      </x:c>
      <x:c r="H270" s="26"/>
      <x:c r="I270" s="26" t="str">
        <x:v>AUD-BUILD-STD-013</x:v>
      </x:c>
      <x:c r="J270" s="26" t="str">
        <x:v>Not Run</x:v>
      </x:c>
      <x:c r="K270" s="26" t="str">
        <x:v>BLD-H6</x:v>
      </x:c>
      <x:c r="L270" s="26"/>
      <x:c r="M270" s="26" t="str">
        <x:v>BASE-1.0</x:v>
      </x:c>
      <x:c r="N270" s="26" t="str">
        <x:v>Complete</x:v>
      </x:c>
      <x:c r="O270" s="26" t="str">
        <x:v>Registro, manifest, test o artefacto aplicable</x:v>
      </x:c>
      <x:c r="P270" s="26" t="str">
        <x:v>VRM Games</x:v>
      </x:c>
      <x:c r="Q270" s="26"/>
    </x:row>
    <x:row r="271" ht="30" customHeight="1">
      <x:c r="A271" s="26" t="str">
        <x:v>BUILD-STD-014</x:v>
      </x:c>
      <x:c r="B271" s="26" t="str">
        <x:v>Build</x:v>
      </x:c>
      <x:c r="C271" s="26" t="str">
        <x:v>11_Build_y_Versioning_Guide.md</x:v>
      </x:c>
      <x:c r="D271" s="26" t="str">
        <x:v>Una release publicada no se sobrescribe ni mueve.</x:v>
      </x:c>
      <x:c r="E271" s="26" t="str">
        <x:v>CHG-DOC-020</x:v>
      </x:c>
      <x:c r="F271" s="26" t="str">
        <x:v>ADR-0007;ADR-0010</x:v>
      </x:c>
      <x:c r="G271" s="26" t="str">
        <x:v>BUILD-STD-014</x:v>
      </x:c>
      <x:c r="H271" s="26"/>
      <x:c r="I271" s="26" t="str">
        <x:v>AUD-BUILD-STD-014</x:v>
      </x:c>
      <x:c r="J271" s="26" t="str">
        <x:v>Not Run</x:v>
      </x:c>
      <x:c r="K271" s="26" t="str">
        <x:v>BLD-H6</x:v>
      </x:c>
      <x:c r="L271" s="26"/>
      <x:c r="M271" s="26" t="str">
        <x:v>BASE-1.0</x:v>
      </x:c>
      <x:c r="N271" s="26" t="str">
        <x:v>Complete</x:v>
      </x:c>
      <x:c r="O271" s="26" t="str">
        <x:v>Registro, manifest, test o artefacto aplicable</x:v>
      </x:c>
      <x:c r="P271" s="26" t="str">
        <x:v>VRM Games</x:v>
      </x:c>
      <x:c r="Q271" s="26"/>
    </x:row>
    <x:row r="272" ht="30" customHeight="1">
      <x:c r="A272" s="26" t="str">
        <x:v>BUILD-STD-015</x:v>
      </x:c>
      <x:c r="B272" s="26" t="str">
        <x:v>Build</x:v>
      </x:c>
      <x:c r="C272" s="26" t="str">
        <x:v>11_Build_y_Versioning_Guide.md</x:v>
      </x:c>
      <x:c r="D272" s="26" t="str">
        <x:v>Los datos no registrados se declaran como no registrados.</x:v>
      </x:c>
      <x:c r="E272" s="26" t="str">
        <x:v>CHG-DOC-020</x:v>
      </x:c>
      <x:c r="F272" s="26" t="str">
        <x:v>ADR-0007;ADR-0010</x:v>
      </x:c>
      <x:c r="G272" s="26" t="str">
        <x:v>BUILD-STD-015</x:v>
      </x:c>
      <x:c r="H272" s="26"/>
      <x:c r="I272" s="26" t="str">
        <x:v>AUD-BUILD-STD-015</x:v>
      </x:c>
      <x:c r="J272" s="26" t="str">
        <x:v>Not Run</x:v>
      </x:c>
      <x:c r="K272" s="26" t="str">
        <x:v>BLD-H6</x:v>
      </x:c>
      <x:c r="L272" s="26"/>
      <x:c r="M272" s="26" t="str">
        <x:v>BASE-1.0</x:v>
      </x:c>
      <x:c r="N272" s="26" t="str">
        <x:v>Complete</x:v>
      </x:c>
      <x:c r="O272" s="26" t="str">
        <x:v>Registro, manifest, test o artefacto aplicable</x:v>
      </x:c>
      <x:c r="P272" s="26" t="str">
        <x:v>VRM Games</x:v>
      </x:c>
      <x:c r="Q272" s="26"/>
    </x:row>
    <x:row r="273" ht="30" customHeight="1">
      <x:c r="A273" s="26" t="str">
        <x:v>BUILD-STD-016</x:v>
      </x:c>
      <x:c r="B273" s="26" t="str">
        <x:v>Build</x:v>
      </x:c>
      <x:c r="C273" s="26" t="str">
        <x:v>11_Build_y_Versioning_Guide.md</x:v>
      </x:c>
      <x:c r="D273" s="26" t="str">
        <x:v>El artefacto se ejecuta fuera del Editor.</x:v>
      </x:c>
      <x:c r="E273" s="26" t="str">
        <x:v>CHG-DOC-020</x:v>
      </x:c>
      <x:c r="F273" s="26" t="str">
        <x:v>ADR-0007;ADR-0010</x:v>
      </x:c>
      <x:c r="G273" s="26" t="str">
        <x:v>BUILD-STD-016</x:v>
      </x:c>
      <x:c r="H273" s="26"/>
      <x:c r="I273" s="26" t="str">
        <x:v>AUD-BUILD-STD-016</x:v>
      </x:c>
      <x:c r="J273" s="26" t="str">
        <x:v>Not Run</x:v>
      </x:c>
      <x:c r="K273" s="26" t="str">
        <x:v>BLD-H6</x:v>
      </x:c>
      <x:c r="L273" s="26"/>
      <x:c r="M273" s="26" t="str">
        <x:v>BASE-1.0</x:v>
      </x:c>
      <x:c r="N273" s="26" t="str">
        <x:v>Complete</x:v>
      </x:c>
      <x:c r="O273" s="26" t="str">
        <x:v>Registro, manifest, test o artefacto aplicable</x:v>
      </x:c>
      <x:c r="P273" s="26" t="str">
        <x:v>VRM Games</x:v>
      </x:c>
      <x:c r="Q273" s="26"/>
    </x:row>
    <x:row r="274" ht="30" customHeight="1">
      <x:c r="A274" s="26" t="str">
        <x:v>BUILD-STD-017</x:v>
      </x:c>
      <x:c r="B274" s="26" t="str">
        <x:v>Build</x:v>
      </x:c>
      <x:c r="C274" s="26" t="str">
        <x:v>11_Build_y_Versioning_Guide.md</x:v>
      </x:c>
      <x:c r="D274" s="26" t="str">
        <x:v>La lista de escenas se verifica antes de construir.</x:v>
      </x:c>
      <x:c r="E274" s="26" t="str">
        <x:v>CHG-DOC-020</x:v>
      </x:c>
      <x:c r="F274" s="26" t="str">
        <x:v>ADR-0007;ADR-0010</x:v>
      </x:c>
      <x:c r="G274" s="26" t="str">
        <x:v>BUILD-STD-017</x:v>
      </x:c>
      <x:c r="H274" s="26"/>
      <x:c r="I274" s="26" t="str">
        <x:v>AUD-BUILD-STD-017</x:v>
      </x:c>
      <x:c r="J274" s="26" t="str">
        <x:v>Not Run</x:v>
      </x:c>
      <x:c r="K274" s="26" t="str">
        <x:v>BLD-H6</x:v>
      </x:c>
      <x:c r="L274" s="26"/>
      <x:c r="M274" s="26" t="str">
        <x:v>BASE-1.0</x:v>
      </x:c>
      <x:c r="N274" s="26" t="str">
        <x:v>Complete</x:v>
      </x:c>
      <x:c r="O274" s="26" t="str">
        <x:v>Registro, manifest, test o artefacto aplicable</x:v>
      </x:c>
      <x:c r="P274" s="26" t="str">
        <x:v>VRM Games</x:v>
      </x:c>
      <x:c r="Q274" s="26"/>
    </x:row>
    <x:row r="275" ht="30" customHeight="1">
      <x:c r="A275" s="26" t="str">
        <x:v>BUILD-STD-018</x:v>
      </x:c>
      <x:c r="B275" s="26" t="str">
        <x:v>Build</x:v>
      </x:c>
      <x:c r="C275" s="26" t="str">
        <x:v>11_Build_y_Versioning_Guide.md</x:v>
      </x:c>
      <x:c r="D275" s="26" t="str">
        <x:v>La build usa la versión exacta de Unity aprobada.</x:v>
      </x:c>
      <x:c r="E275" s="26" t="str">
        <x:v>CHG-DOC-020</x:v>
      </x:c>
      <x:c r="F275" s="26" t="str">
        <x:v>ADR-0007;ADR-0010</x:v>
      </x:c>
      <x:c r="G275" s="26" t="str">
        <x:v>BUILD-STD-018</x:v>
      </x:c>
      <x:c r="H275" s="26"/>
      <x:c r="I275" s="26" t="str">
        <x:v>AUD-BUILD-STD-018</x:v>
      </x:c>
      <x:c r="J275" s="26" t="str">
        <x:v>Not Run</x:v>
      </x:c>
      <x:c r="K275" s="26" t="str">
        <x:v>BLD-H6</x:v>
      </x:c>
      <x:c r="L275" s="26"/>
      <x:c r="M275" s="26" t="str">
        <x:v>BASE-1.0</x:v>
      </x:c>
      <x:c r="N275" s="26" t="str">
        <x:v>Complete</x:v>
      </x:c>
      <x:c r="O275" s="26" t="str">
        <x:v>Registro, manifest, test o artefacto aplicable</x:v>
      </x:c>
      <x:c r="P275" s="26" t="str">
        <x:v>VRM Games</x:v>
      </x:c>
      <x:c r="Q275" s="26"/>
    </x:row>
    <x:row r="276" ht="30" customHeight="1">
      <x:c r="A276" s="26" t="str">
        <x:v>BUILD-STD-019</x:v>
      </x:c>
      <x:c r="B276" s="26" t="str">
        <x:v>Build</x:v>
      </x:c>
      <x:c r="C276" s="26" t="str">
        <x:v>11_Build_y_Versioning_Guide.md</x:v>
      </x:c>
      <x:c r="D276" s="26" t="str">
        <x:v>Los paquetes se resuelven desde manifest y lock versionados.</x:v>
      </x:c>
      <x:c r="E276" s="26" t="str">
        <x:v>CHG-DOC-020</x:v>
      </x:c>
      <x:c r="F276" s="26" t="str">
        <x:v>ADR-0007;ADR-0010</x:v>
      </x:c>
      <x:c r="G276" s="26" t="str">
        <x:v>BUILD-STD-019</x:v>
      </x:c>
      <x:c r="H276" s="26"/>
      <x:c r="I276" s="26" t="str">
        <x:v>AUD-BUILD-STD-019</x:v>
      </x:c>
      <x:c r="J276" s="26" t="str">
        <x:v>Not Run</x:v>
      </x:c>
      <x:c r="K276" s="26" t="str">
        <x:v>BLD-H6</x:v>
      </x:c>
      <x:c r="L276" s="26"/>
      <x:c r="M276" s="26" t="str">
        <x:v>BASE-1.0</x:v>
      </x:c>
      <x:c r="N276" s="26" t="str">
        <x:v>Complete</x:v>
      </x:c>
      <x:c r="O276" s="26" t="str">
        <x:v>Registro, manifest, test o artefacto aplicable</x:v>
      </x:c>
      <x:c r="P276" s="26" t="str">
        <x:v>VRM Games</x:v>
      </x:c>
      <x:c r="Q276" s="26"/>
    </x:row>
    <x:row r="277" ht="30" customHeight="1">
      <x:c r="A277" s="26" t="str">
        <x:v>BUILD-STD-020</x:v>
      </x:c>
      <x:c r="B277" s="26" t="str">
        <x:v>Build</x:v>
      </x:c>
      <x:c r="C277" s="26" t="str">
        <x:v>11_Build_y_Versioning_Guide.md</x:v>
      </x:c>
      <x:c r="D277" s="26" t="str">
        <x:v>Una build de profiling se identifica y no sustituye una medición final.</x:v>
      </x:c>
      <x:c r="E277" s="26" t="str">
        <x:v>CHG-DOC-020</x:v>
      </x:c>
      <x:c r="F277" s="26" t="str">
        <x:v>ADR-0007;ADR-0010</x:v>
      </x:c>
      <x:c r="G277" s="26" t="str">
        <x:v>BUILD-STD-020</x:v>
      </x:c>
      <x:c r="H277" s="26"/>
      <x:c r="I277" s="26" t="str">
        <x:v>AUD-BUILD-STD-020</x:v>
      </x:c>
      <x:c r="J277" s="26" t="str">
        <x:v>Not Run</x:v>
      </x:c>
      <x:c r="K277" s="26" t="str">
        <x:v>BLD-H6</x:v>
      </x:c>
      <x:c r="L277" s="26"/>
      <x:c r="M277" s="26" t="str">
        <x:v>BASE-1.0</x:v>
      </x:c>
      <x:c r="N277" s="26" t="str">
        <x:v>Complete</x:v>
      </x:c>
      <x:c r="O277" s="26" t="str">
        <x:v>Registro, manifest, test o artefacto aplicable</x:v>
      </x:c>
      <x:c r="P277" s="26" t="str">
        <x:v>VRM Games</x:v>
      </x:c>
      <x:c r="Q277" s="26"/>
    </x:row>
    <x:row r="278" ht="30" customHeight="1">
      <x:c r="A278" s="26" t="str">
        <x:v>BUILD-STD-021</x:v>
      </x:c>
      <x:c r="B278" s="26" t="str">
        <x:v>Build</x:v>
      </x:c>
      <x:c r="C278" s="26" t="str">
        <x:v>11_Build_y_Versioning_Guide.md</x:v>
      </x:c>
      <x:c r="D278" s="26" t="str">
        <x:v>Los secretos no entran en Player, logs, scripts o repositorio.</x:v>
      </x:c>
      <x:c r="E278" s="26" t="str">
        <x:v>CHG-DOC-020</x:v>
      </x:c>
      <x:c r="F278" s="26" t="str">
        <x:v>ADR-0007;ADR-0010</x:v>
      </x:c>
      <x:c r="G278" s="26" t="str">
        <x:v>BUILD-STD-021</x:v>
      </x:c>
      <x:c r="H278" s="26"/>
      <x:c r="I278" s="26" t="str">
        <x:v>AUD-BUILD-STD-021</x:v>
      </x:c>
      <x:c r="J278" s="26" t="str">
        <x:v>Not Run</x:v>
      </x:c>
      <x:c r="K278" s="26" t="str">
        <x:v>BLD-H6</x:v>
      </x:c>
      <x:c r="L278" s="26"/>
      <x:c r="M278" s="26" t="str">
        <x:v>BASE-1.0</x:v>
      </x:c>
      <x:c r="N278" s="26" t="str">
        <x:v>Complete</x:v>
      </x:c>
      <x:c r="O278" s="26" t="str">
        <x:v>Registro, manifest, test o artefacto aplicable</x:v>
      </x:c>
      <x:c r="P278" s="26" t="str">
        <x:v>VRM Games</x:v>
      </x:c>
      <x:c r="Q278" s="26"/>
    </x:row>
    <x:row r="279" ht="30" customHeight="1">
      <x:c r="A279" s="26" t="str">
        <x:v>BUILD-STD-022</x:v>
      </x:c>
      <x:c r="B279" s="26" t="str">
        <x:v>Build</x:v>
      </x:c>
      <x:c r="C279" s="26" t="str">
        <x:v>11_Build_y_Versioning_Guide.md</x:v>
      </x:c>
      <x:c r="D279" s="26" t="str">
        <x:v>El cambio de backend requiere ADR y regresión completa.</x:v>
      </x:c>
      <x:c r="E279" s="26" t="str">
        <x:v>CHG-DOC-020</x:v>
      </x:c>
      <x:c r="F279" s="26" t="str">
        <x:v>ADR-0007;ADR-0010</x:v>
      </x:c>
      <x:c r="G279" s="26" t="str">
        <x:v>BUILD-STD-022</x:v>
      </x:c>
      <x:c r="H279" s="26"/>
      <x:c r="I279" s="26" t="str">
        <x:v>AUD-BUILD-STD-022</x:v>
      </x:c>
      <x:c r="J279" s="26" t="str">
        <x:v>Not Run</x:v>
      </x:c>
      <x:c r="K279" s="26" t="str">
        <x:v>BLD-H6</x:v>
      </x:c>
      <x:c r="L279" s="26"/>
      <x:c r="M279" s="26" t="str">
        <x:v>BASE-1.0</x:v>
      </x:c>
      <x:c r="N279" s="26" t="str">
        <x:v>Complete</x:v>
      </x:c>
      <x:c r="O279" s="26" t="str">
        <x:v>Registro, manifest, test o artefacto aplicable</x:v>
      </x:c>
      <x:c r="P279" s="26" t="str">
        <x:v>VRM Games</x:v>
      </x:c>
      <x:c r="Q279" s="26"/>
    </x:row>
    <x:row r="280" ht="30" customHeight="1">
      <x:c r="A280" s="26" t="str">
        <x:v>BUILD-STD-023</x:v>
      </x:c>
      <x:c r="B280" s="26" t="str">
        <x:v>Build</x:v>
      </x:c>
      <x:c r="C280" s="26" t="str">
        <x:v>11_Build_y_Versioning_Guide.md</x:v>
      </x:c>
      <x:c r="D280" s="26" t="str">
        <x:v>El cambio de Application Identifier requiere plan de saves.</x:v>
      </x:c>
      <x:c r="E280" s="26" t="str">
        <x:v>CHG-DOC-020</x:v>
      </x:c>
      <x:c r="F280" s="26" t="str">
        <x:v>ADR-0007;ADR-0010</x:v>
      </x:c>
      <x:c r="G280" s="26" t="str">
        <x:v>BUILD-STD-023</x:v>
      </x:c>
      <x:c r="H280" s="26"/>
      <x:c r="I280" s="26" t="str">
        <x:v>AUD-BUILD-STD-023</x:v>
      </x:c>
      <x:c r="J280" s="26" t="str">
        <x:v>Not Run</x:v>
      </x:c>
      <x:c r="K280" s="26" t="str">
        <x:v>BLD-H6</x:v>
      </x:c>
      <x:c r="L280" s="26"/>
      <x:c r="M280" s="26" t="str">
        <x:v>BASE-1.0</x:v>
      </x:c>
      <x:c r="N280" s="26" t="str">
        <x:v>Complete</x:v>
      </x:c>
      <x:c r="O280" s="26" t="str">
        <x:v>Registro, manifest, test o artefacto aplicable</x:v>
      </x:c>
      <x:c r="P280" s="26" t="str">
        <x:v>VRM Games</x:v>
      </x:c>
      <x:c r="Q280" s="26"/>
    </x:row>
    <x:row r="281" ht="30" customHeight="1">
      <x:c r="A281" s="26" t="str">
        <x:v>BUILD-STD-024</x:v>
      </x:c>
      <x:c r="B281" s="26" t="str">
        <x:v>Build</x:v>
      </x:c>
      <x:c r="C281" s="26" t="str">
        <x:v>11_Build_y_Versioning_Guide.md</x:v>
      </x:c>
      <x:c r="D281" s="26" t="str">
        <x:v>Un hotfix incluye reproducción y regresión dirigida.</x:v>
      </x:c>
      <x:c r="E281" s="26" t="str">
        <x:v>CHG-DOC-020</x:v>
      </x:c>
      <x:c r="F281" s="26" t="str">
        <x:v>ADR-0007;ADR-0010</x:v>
      </x:c>
      <x:c r="G281" s="26" t="str">
        <x:v>BUILD-STD-024</x:v>
      </x:c>
      <x:c r="H281" s="26"/>
      <x:c r="I281" s="26" t="str">
        <x:v>AUD-BUILD-STD-024</x:v>
      </x:c>
      <x:c r="J281" s="26" t="str">
        <x:v>Not Run</x:v>
      </x:c>
      <x:c r="K281" s="26" t="str">
        <x:v>BLD-H6</x:v>
      </x:c>
      <x:c r="L281" s="26"/>
      <x:c r="M281" s="26" t="str">
        <x:v>BASE-1.0</x:v>
      </x:c>
      <x:c r="N281" s="26" t="str">
        <x:v>Complete</x:v>
      </x:c>
      <x:c r="O281" s="26" t="str">
        <x:v>Registro, manifest, test o artefacto aplicable</x:v>
      </x:c>
      <x:c r="P281" s="26" t="str">
        <x:v>VRM Games</x:v>
      </x:c>
      <x:c r="Q281" s="26"/>
    </x:row>
    <x:row r="282" ht="30" customHeight="1">
      <x:c r="A282" s="26" t="str">
        <x:v>BUILD-STD-025</x:v>
      </x:c>
      <x:c r="B282" s="26" t="str">
        <x:v>Build</x:v>
      </x:c>
      <x:c r="C282" s="26" t="str">
        <x:v>11_Build_y_Versioning_Guide.md</x:v>
      </x:c>
      <x:c r="D282" s="26" t="str">
        <x:v>Un rollback evalúa saves migrados antes de ejecutarse.</x:v>
      </x:c>
      <x:c r="E282" s="26" t="str">
        <x:v>CHG-DOC-020</x:v>
      </x:c>
      <x:c r="F282" s="26" t="str">
        <x:v>ADR-0007;ADR-0010</x:v>
      </x:c>
      <x:c r="G282" s="26" t="str">
        <x:v>BUILD-STD-025</x:v>
      </x:c>
      <x:c r="H282" s="26"/>
      <x:c r="I282" s="26" t="str">
        <x:v>AUD-BUILD-STD-025</x:v>
      </x:c>
      <x:c r="J282" s="26" t="str">
        <x:v>Not Run</x:v>
      </x:c>
      <x:c r="K282" s="26" t="str">
        <x:v>BLD-H6</x:v>
      </x:c>
      <x:c r="L282" s="26"/>
      <x:c r="M282" s="26" t="str">
        <x:v>BASE-1.0</x:v>
      </x:c>
      <x:c r="N282" s="26" t="str">
        <x:v>Complete</x:v>
      </x:c>
      <x:c r="O282" s="26" t="str">
        <x:v>Registro, manifest, test o artefacto aplicable</x:v>
      </x:c>
      <x:c r="P282" s="26" t="str">
        <x:v>VRM Games</x:v>
      </x:c>
      <x:c r="Q282" s="26"/>
    </x:row>
    <x:row r="283" ht="30" customHeight="1">
      <x:c r="A283" s="26" t="str">
        <x:v>BUILD-STD-026</x:v>
      </x:c>
      <x:c r="B283" s="26" t="str">
        <x:v>Build</x:v>
      </x:c>
      <x:c r="C283" s="26" t="str">
        <x:v>11_Build_y_Versioning_Guide.md</x:v>
      </x:c>
      <x:c r="D283" s="26" t="str">
        <x:v>Todo gate H6 incluye Golden Path y campaña persistente.</x:v>
      </x:c>
      <x:c r="E283" s="26" t="str">
        <x:v>CHG-DOC-020</x:v>
      </x:c>
      <x:c r="F283" s="26" t="str">
        <x:v>ADR-0007;ADR-0010</x:v>
      </x:c>
      <x:c r="G283" s="26" t="str">
        <x:v>BUILD-STD-026</x:v>
      </x:c>
      <x:c r="H283" s="26"/>
      <x:c r="I283" s="26" t="str">
        <x:v>AUD-BUILD-STD-026</x:v>
      </x:c>
      <x:c r="J283" s="26" t="str">
        <x:v>Not Run</x:v>
      </x:c>
      <x:c r="K283" s="26" t="str">
        <x:v>BLD-H6</x:v>
      </x:c>
      <x:c r="L283" s="26"/>
      <x:c r="M283" s="26" t="str">
        <x:v>BASE-1.0</x:v>
      </x:c>
      <x:c r="N283" s="26" t="str">
        <x:v>Complete</x:v>
      </x:c>
      <x:c r="O283" s="26" t="str">
        <x:v>Registro, manifest, test o artefacto aplicable</x:v>
      </x:c>
      <x:c r="P283" s="26" t="str">
        <x:v>VRM Games</x:v>
      </x:c>
      <x:c r="Q283" s="26"/>
    </x:row>
    <x:row r="284" ht="30" customHeight="1">
      <x:c r="A284" s="26" t="str">
        <x:v>BUILD-STD-027</x:v>
      </x:c>
      <x:c r="B284" s="26" t="str">
        <x:v>Build</x:v>
      </x:c>
      <x:c r="C284" s="26" t="str">
        <x:v>11_Build_y_Versioning_Guide.md</x:v>
      </x:c>
      <x:c r="D284" s="26" t="str">
        <x:v>El checksum se calcula sobre el paquete definitivo.</x:v>
      </x:c>
      <x:c r="E284" s="26" t="str">
        <x:v>CHG-DOC-020</x:v>
      </x:c>
      <x:c r="F284" s="26" t="str">
        <x:v>ADR-0007;ADR-0010</x:v>
      </x:c>
      <x:c r="G284" s="26" t="str">
        <x:v>BUILD-STD-027</x:v>
      </x:c>
      <x:c r="H284" s="26"/>
      <x:c r="I284" s="26" t="str">
        <x:v>AUD-BUILD-STD-027</x:v>
      </x:c>
      <x:c r="J284" s="26" t="str">
        <x:v>Not Run</x:v>
      </x:c>
      <x:c r="K284" s="26" t="str">
        <x:v>BLD-H6</x:v>
      </x:c>
      <x:c r="L284" s="26"/>
      <x:c r="M284" s="26" t="str">
        <x:v>BASE-1.0</x:v>
      </x:c>
      <x:c r="N284" s="26" t="str">
        <x:v>Complete</x:v>
      </x:c>
      <x:c r="O284" s="26" t="str">
        <x:v>Registro, manifest, test o artefacto aplicable</x:v>
      </x:c>
      <x:c r="P284" s="26" t="str">
        <x:v>VRM Games</x:v>
      </x:c>
      <x:c r="Q284" s="26"/>
    </x:row>
    <x:row r="285" ht="30" customHeight="1">
      <x:c r="A285" s="26" t="str">
        <x:v>BUILD-STD-028</x:v>
      </x:c>
      <x:c r="B285" s="26" t="str">
        <x:v>Build</x:v>
      </x:c>
      <x:c r="C285" s="26" t="str">
        <x:v>11_Build_y_Versioning_Guide.md</x:v>
      </x:c>
      <x:c r="D285" s="26" t="str">
        <x:v>Los known issues se congelan por candidato.</x:v>
      </x:c>
      <x:c r="E285" s="26" t="str">
        <x:v>CHG-DOC-020</x:v>
      </x:c>
      <x:c r="F285" s="26" t="str">
        <x:v>ADR-0007;ADR-0010</x:v>
      </x:c>
      <x:c r="G285" s="26" t="str">
        <x:v>BUILD-STD-028</x:v>
      </x:c>
      <x:c r="H285" s="26"/>
      <x:c r="I285" s="26" t="str">
        <x:v>AUD-BUILD-STD-028</x:v>
      </x:c>
      <x:c r="J285" s="26" t="str">
        <x:v>Not Run</x:v>
      </x:c>
      <x:c r="K285" s="26" t="str">
        <x:v>BLD-H6</x:v>
      </x:c>
      <x:c r="L285" s="26"/>
      <x:c r="M285" s="26" t="str">
        <x:v>BASE-1.0</x:v>
      </x:c>
      <x:c r="N285" s="26" t="str">
        <x:v>Complete</x:v>
      </x:c>
      <x:c r="O285" s="26" t="str">
        <x:v>Registro, manifest, test o artefacto aplicable</x:v>
      </x:c>
      <x:c r="P285" s="26" t="str">
        <x:v>VRM Games</x:v>
      </x:c>
      <x:c r="Q285" s="26"/>
    </x:row>
    <x:row r="286" ht="30" customHeight="1">
      <x:c r="A286" s="26" t="str">
        <x:v>BUILD-STD-029</x:v>
      </x:c>
      <x:c r="B286" s="26" t="str">
        <x:v>Build</x:v>
      </x:c>
      <x:c r="C286" s="26" t="str">
        <x:v>11_Build_y_Versioning_Guide.md</x:v>
      </x:c>
      <x:c r="D286" s="26" t="str">
        <x:v>Un CI futuro falla ante tests o build fallidos.</x:v>
      </x:c>
      <x:c r="E286" s="26" t="str">
        <x:v>CHG-DOC-020</x:v>
      </x:c>
      <x:c r="F286" s="26" t="str">
        <x:v>ADR-0007;ADR-0010</x:v>
      </x:c>
      <x:c r="G286" s="26" t="str">
        <x:v>BUILD-STD-029</x:v>
      </x:c>
      <x:c r="H286" s="26"/>
      <x:c r="I286" s="26" t="str">
        <x:v>AUD-BUILD-STD-029</x:v>
      </x:c>
      <x:c r="J286" s="26" t="str">
        <x:v>Not Run</x:v>
      </x:c>
      <x:c r="K286" s="26" t="str">
        <x:v>BLD-H6</x:v>
      </x:c>
      <x:c r="L286" s="26" t="str">
        <x:v>DEBT-BUILD-002</x:v>
      </x:c>
      <x:c r="M286" s="26" t="str">
        <x:v>BASE-1.0</x:v>
      </x:c>
      <x:c r="N286" s="26" t="str">
        <x:v>Complete</x:v>
      </x:c>
      <x:c r="O286" s="26" t="str">
        <x:v>Registro, manifest, test o artefacto aplicable</x:v>
      </x:c>
      <x:c r="P286" s="26" t="str">
        <x:v>VRM Games</x:v>
      </x:c>
      <x:c r="Q286" s="26"/>
    </x:row>
    <x:row r="287" ht="30" customHeight="1">
      <x:c r="A287" s="26" t="str">
        <x:v>BUILD-STD-030</x:v>
      </x:c>
      <x:c r="B287" s="26" t="str">
        <x:v>Build</x:v>
      </x:c>
      <x:c r="C287" s="26" t="str">
        <x:v>11_Build_y_Versioning_Guide.md</x:v>
      </x:c>
      <x:c r="D287" s="26" t="str">
        <x:v>La automatización no reemplaza la aprobación visual/manual.</x:v>
      </x:c>
      <x:c r="E287" s="26" t="str">
        <x:v>CHG-DOC-020</x:v>
      </x:c>
      <x:c r="F287" s="26" t="str">
        <x:v>ADR-0007;ADR-0010</x:v>
      </x:c>
      <x:c r="G287" s="26" t="str">
        <x:v>BUILD-STD-030</x:v>
      </x:c>
      <x:c r="H287" s="26"/>
      <x:c r="I287" s="26" t="str">
        <x:v>AUD-BUILD-STD-030</x:v>
      </x:c>
      <x:c r="J287" s="26" t="str">
        <x:v>Not Run</x:v>
      </x:c>
      <x:c r="K287" s="26" t="str">
        <x:v>BLD-H6</x:v>
      </x:c>
      <x:c r="L287" s="26"/>
      <x:c r="M287" s="26" t="str">
        <x:v>BASE-1.0</x:v>
      </x:c>
      <x:c r="N287" s="26" t="str">
        <x:v>Complete</x:v>
      </x:c>
      <x:c r="O287" s="26" t="str">
        <x:v>Registro, manifest, test o artefacto aplicable</x:v>
      </x:c>
      <x:c r="P287" s="26" t="str">
        <x:v>VRM Games</x:v>
      </x:c>
      <x:c r="Q287" s="26"/>
    </x:row>
    <x:row r="288" ht="30" customHeight="1">
      <x:c r="A288" s="26" t="str">
        <x:v>GOV-001</x:v>
      </x:c>
      <x:c r="B288" s="26" t="str">
        <x:v>Governance</x:v>
      </x:c>
      <x:c r="C288" s="26" t="str">
        <x:v>06_Production_Roadmap_y_Sprint_Plan.md</x:v>
      </x:c>
      <x:c r="D288" s="26" t="str">
        <x:v>No abrir Sprint 17 antes del cierre de Sprint 16.</x:v>
      </x:c>
      <x:c r="E288" s="26" t="str">
        <x:v>CHG-DOC-010</x:v>
      </x:c>
      <x:c r="F288" s="26"/>
      <x:c r="G288" s="26" t="str">
        <x:v>GOV-001</x:v>
      </x:c>
      <x:c r="H288" s="26"/>
      <x:c r="I288" s="26" t="str">
        <x:v>TC-GOV-001</x:v>
      </x:c>
      <x:c r="J288" s="26" t="str">
        <x:v>Pending</x:v>
      </x:c>
      <x:c r="K288" s="26"/>
      <x:c r="L288" s="26"/>
      <x:c r="M288" s="26" t="str">
        <x:v>BASE-1.0</x:v>
      </x:c>
      <x:c r="N288" s="26" t="str">
        <x:v>Complete</x:v>
      </x:c>
      <x:c r="O288" s="26"/>
      <x:c r="P288" s="26" t="str">
        <x:v>VRM Games</x:v>
      </x:c>
      <x:c r="Q288" s="26"/>
    </x:row>
    <x:row r="289" ht="30" customHeight="1">
      <x:c r="A289" s="26" t="str">
        <x:v>GOV-002</x:v>
      </x:c>
      <x:c r="B289" s="26" t="str">
        <x:v>Governance</x:v>
      </x:c>
      <x:c r="C289" s="26" t="str">
        <x:v>06_Production_Roadmap_y_Sprint_Plan.md</x:v>
      </x:c>
      <x:c r="D289" s="26" t="str">
        <x:v>No aprobar H6 con S0/S1 abiertos.</x:v>
      </x:c>
      <x:c r="E289" s="26" t="str">
        <x:v>CHG-DOC-010</x:v>
      </x:c>
      <x:c r="F289" s="26"/>
      <x:c r="G289" s="26" t="str">
        <x:v>GOV-002</x:v>
      </x:c>
      <x:c r="H289" s="26"/>
      <x:c r="I289" s="26" t="str">
        <x:v>TC-GOV-002</x:v>
      </x:c>
      <x:c r="J289" s="26" t="str">
        <x:v>Pending</x:v>
      </x:c>
      <x:c r="K289" s="26"/>
      <x:c r="L289" s="26"/>
      <x:c r="M289" s="26" t="str">
        <x:v>BASE-1.0</x:v>
      </x:c>
      <x:c r="N289" s="26" t="str">
        <x:v>Complete</x:v>
      </x:c>
      <x:c r="O289" s="26"/>
      <x:c r="P289" s="26" t="str">
        <x:v>VRM Games</x:v>
      </x:c>
      <x:c r="Q289" s="26"/>
    </x:row>
    <x:row r="290" ht="30" customHeight="1">
      <x:c r="A290" s="26" t="str">
        <x:v>GOV-003</x:v>
      </x:c>
      <x:c r="B290" s="26" t="str">
        <x:v>Governance</x:v>
      </x:c>
      <x:c r="C290" s="26" t="str">
        <x:v>07_QA_Testing_Plan.md</x:v>
      </x:c>
      <x:c r="D290" s="26" t="str">
        <x:v>Todo PASS debe asociarse a versión, entorno y evidencia.</x:v>
      </x:c>
      <x:c r="E290" s="26" t="str">
        <x:v>CHG-DOC-010</x:v>
      </x:c>
      <x:c r="F290" s="26"/>
      <x:c r="G290" s="26" t="str">
        <x:v>GOV-003</x:v>
      </x:c>
      <x:c r="H290" s="26"/>
      <x:c r="I290" s="26" t="str">
        <x:v>TC-GOV-003</x:v>
      </x:c>
      <x:c r="J290" s="26" t="str">
        <x:v>Pending</x:v>
      </x:c>
      <x:c r="K290" s="26"/>
      <x:c r="L290" s="26"/>
      <x:c r="M290" s="26" t="str">
        <x:v>BASE-1.0</x:v>
      </x:c>
      <x:c r="N290" s="26" t="str">
        <x:v>Complete</x:v>
      </x:c>
      <x:c r="O290" s="26"/>
      <x:c r="P290" s="26" t="str">
        <x:v>VRM Games</x:v>
      </x:c>
      <x:c r="Q290" s="26"/>
    </x:row>
    <x:row r="291" ht="30" customHeight="1">
      <x:c r="A291" s="26" t="str">
        <x:v>GOV-004</x:v>
      </x:c>
      <x:c r="B291" s="26" t="str">
        <x:v>Governance</x:v>
      </x:c>
      <x:c r="C291" s="26" t="str">
        <x:v>07_QA_Testing_Plan.md</x:v>
      </x:c>
      <x:c r="D291" s="26" t="str">
        <x:v>La build externa debe revisarse mediante Player.log.</x:v>
      </x:c>
      <x:c r="E291" s="26" t="str">
        <x:v>CHG-DOC-010</x:v>
      </x:c>
      <x:c r="F291" s="26"/>
      <x:c r="G291" s="26" t="str">
        <x:v>GOV-004</x:v>
      </x:c>
      <x:c r="H291" s="26"/>
      <x:c r="I291" s="26" t="str">
        <x:v>TC-GOV-004</x:v>
      </x:c>
      <x:c r="J291" s="26" t="str">
        <x:v>Pending</x:v>
      </x:c>
      <x:c r="K291" s="26"/>
      <x:c r="L291" s="26"/>
      <x:c r="M291" s="26" t="str">
        <x:v>BASE-1.0</x:v>
      </x:c>
      <x:c r="N291" s="26" t="str">
        <x:v>Complete</x:v>
      </x:c>
      <x:c r="O291" s="26"/>
      <x:c r="P291" s="26" t="str">
        <x:v>VRM Games</x:v>
      </x:c>
      <x:c r="Q291" s="26"/>
    </x:row>
    <x:row r="292" ht="30" customHeight="1">
      <x:c r="A292" s="26" t="str">
        <x:v>GOV-005</x:v>
      </x:c>
      <x:c r="B292" s="26" t="str">
        <x:v>Governance</x:v>
      </x:c>
      <x:c r="C292" s="26" t="str">
        <x:v>04_Modelo_de_Datos.md</x:v>
      </x:c>
      <x:c r="D292" s="26" t="str">
        <x:v>Las transferencias de inventario conservan unidades y son atómicas.</x:v>
      </x:c>
      <x:c r="E292" s="26" t="str">
        <x:v>CHG-DOC-010</x:v>
      </x:c>
      <x:c r="F292" s="26"/>
      <x:c r="G292" s="26" t="str">
        <x:v>GOV-005</x:v>
      </x:c>
      <x:c r="H292" s="26"/>
      <x:c r="I292" s="26" t="str">
        <x:v>TC-GOV-005</x:v>
      </x:c>
      <x:c r="J292" s="26" t="str">
        <x:v>Pending</x:v>
      </x:c>
      <x:c r="K292" s="26"/>
      <x:c r="L292" s="26"/>
      <x:c r="M292" s="26" t="str">
        <x:v>BASE-1.0</x:v>
      </x:c>
      <x:c r="N292" s="26" t="str">
        <x:v>Complete</x:v>
      </x:c>
      <x:c r="O292" s="26"/>
      <x:c r="P292" s="26" t="str">
        <x:v>VRM Games</x:v>
      </x:c>
      <x:c r="Q292" s="26"/>
    </x:row>
    <x:row r="293" ht="30" customHeight="1">
      <x:c r="A293" s="26" t="str">
        <x:v>GOV-006</x:v>
      </x:c>
      <x:c r="B293" s="26" t="str">
        <x:v>Governance</x:v>
      </x:c>
      <x:c r="C293" s="26" t="str">
        <x:v>04_Modelo_de_Datos.md</x:v>
      </x:c>
      <x:c r="D293" s="26" t="str">
        <x:v>El primario corrupto no destruye un backup válido.</x:v>
      </x:c>
      <x:c r="E293" s="26" t="str">
        <x:v>CHG-DOC-010</x:v>
      </x:c>
      <x:c r="F293" s="26"/>
      <x:c r="G293" s="26" t="str">
        <x:v>GOV-006</x:v>
      </x:c>
      <x:c r="H293" s="26"/>
      <x:c r="I293" s="26" t="str">
        <x:v>TC-GOV-006</x:v>
      </x:c>
      <x:c r="J293" s="26" t="str">
        <x:v>Pending</x:v>
      </x:c>
      <x:c r="K293" s="26"/>
      <x:c r="L293" s="26"/>
      <x:c r="M293" s="26" t="str">
        <x:v>BASE-1.0</x:v>
      </x:c>
      <x:c r="N293" s="26" t="str">
        <x:v>Complete</x:v>
      </x:c>
      <x:c r="O293" s="26"/>
      <x:c r="P293" s="26" t="str">
        <x:v>VRM Games</x:v>
      </x:c>
      <x:c r="Q293" s="26"/>
    </x:row>
    <x:row r="294" ht="30" customHeight="1">
      <x:c r="A294" s="26" t="str">
        <x:v>GOV-007</x:v>
      </x:c>
      <x:c r="B294" s="26" t="str">
        <x:v>Governance</x:v>
      </x:c>
      <x:c r="C294" s="26" t="str">
        <x:v>03_Technical_Design_Document.md</x:v>
      </x:c>
      <x:c r="D294" s="26" t="str">
        <x:v>La UI consume input antes del mundo.</x:v>
      </x:c>
      <x:c r="E294" s="26" t="str">
        <x:v>CHG-DOC-010</x:v>
      </x:c>
      <x:c r="F294" s="26"/>
      <x:c r="G294" s="26" t="str">
        <x:v>GOV-007</x:v>
      </x:c>
      <x:c r="H294" s="26"/>
      <x:c r="I294" s="26" t="str">
        <x:v>TC-GOV-007</x:v>
      </x:c>
      <x:c r="J294" s="26" t="str">
        <x:v>Pending</x:v>
      </x:c>
      <x:c r="K294" s="26"/>
      <x:c r="L294" s="26"/>
      <x:c r="M294" s="26" t="str">
        <x:v>BASE-1.0</x:v>
      </x:c>
      <x:c r="N294" s="26" t="str">
        <x:v>Complete</x:v>
      </x:c>
      <x:c r="O294" s="26"/>
      <x:c r="P294" s="26" t="str">
        <x:v>VRM Games</x:v>
      </x:c>
      <x:c r="Q294" s="26"/>
    </x:row>
    <x:row r="295" ht="30" customHeight="1">
      <x:c r="A295" s="26" t="str">
        <x:v>GOV-008</x:v>
      </x:c>
      <x:c r="B295" s="26" t="str">
        <x:v>Governance</x:v>
      </x:c>
      <x:c r="C295" s="26" t="str">
        <x:v>03_Technical_Design_Document.md</x:v>
      </x:c>
      <x:c r="D295" s="26" t="str">
        <x:v>StoreInitialSceneContext usa referencias explícitas.</x:v>
      </x:c>
      <x:c r="E295" s="26" t="str">
        <x:v>CHG-DOC-010</x:v>
      </x:c>
      <x:c r="F295" s="26"/>
      <x:c r="G295" s="26" t="str">
        <x:v>GOV-008</x:v>
      </x:c>
      <x:c r="H295" s="26"/>
      <x:c r="I295" s="26" t="str">
        <x:v>TC-GOV-008</x:v>
      </x:c>
      <x:c r="J295" s="26" t="str">
        <x:v>Pending</x:v>
      </x:c>
      <x:c r="K295" s="26"/>
      <x:c r="L295" s="26"/>
      <x:c r="M295" s="26" t="str">
        <x:v>BASE-1.0</x:v>
      </x:c>
      <x:c r="N295" s="26" t="str">
        <x:v>Complete</x:v>
      </x:c>
      <x:c r="O295" s="26"/>
      <x:c r="P295" s="26" t="str">
        <x:v>VRM Games</x:v>
      </x:c>
      <x:c r="Q295" s="26"/>
    </x:row>
    <x:row r="296" ht="30" customHeight="1">
      <x:c r="A296" s="26" t="str">
        <x:v>GOV-009</x:v>
      </x:c>
      <x:c r="B296" s="26" t="str">
        <x:v>Governance</x:v>
      </x:c>
      <x:c r="C296" s="26" t="str">
        <x:v>11_Build_y_Versioning_Guide.md</x:v>
      </x:c>
      <x:c r="D296" s="26" t="str">
        <x:v>Cada candidata de hito registra versión, SHA y checksum.</x:v>
      </x:c>
      <x:c r="E296" s="26" t="str">
        <x:v>CHG-DOC-010</x:v>
      </x:c>
      <x:c r="F296" s="26"/>
      <x:c r="G296" s="26" t="str">
        <x:v>GOV-009</x:v>
      </x:c>
      <x:c r="H296" s="26"/>
      <x:c r="I296" s="26" t="str">
        <x:v>TC-GOV-009</x:v>
      </x:c>
      <x:c r="J296" s="26" t="str">
        <x:v>Pending</x:v>
      </x:c>
      <x:c r="K296" s="26"/>
      <x:c r="L296" s="26"/>
      <x:c r="M296" s="26" t="str">
        <x:v>BASE-1.0</x:v>
      </x:c>
      <x:c r="N296" s="26" t="str">
        <x:v>Complete</x:v>
      </x:c>
      <x:c r="O296" s="26"/>
      <x:c r="P296" s="26" t="str">
        <x:v>VRM Games</x:v>
      </x:c>
      <x:c r="Q296" s="26"/>
    </x:row>
    <x:row r="297" ht="30" customHeight="1">
      <x:c r="A297" s="26" t="str">
        <x:v>GOV-010</x:v>
      </x:c>
      <x:c r="B297" s="26" t="str">
        <x:v>Governance</x:v>
      </x:c>
      <x:c r="C297" s="26" t="str">
        <x:v>12_Excel_Maestro_de_Produccion.xlsx</x:v>
      </x:c>
      <x:c r="D297" s="26" t="str">
        <x:v>Implementación y validación se registran por separado.</x:v>
      </x:c>
      <x:c r="E297" s="26" t="str">
        <x:v>CHG-DOC-001</x:v>
      </x:c>
      <x:c r="F297" s="26"/>
      <x:c r="G297" s="26" t="str">
        <x:v>GOV-010</x:v>
      </x:c>
      <x:c r="H297" s="26"/>
      <x:c r="I297" s="26" t="str">
        <x:v>TC-GOV-010</x:v>
      </x:c>
      <x:c r="J297" s="26" t="str">
        <x:v>Pending</x:v>
      </x:c>
      <x:c r="K297" s="26"/>
      <x:c r="L297" s="26"/>
      <x:c r="M297" s="26" t="str">
        <x:v>BASE-1.0</x:v>
      </x:c>
      <x:c r="N297" s="26" t="str">
        <x:v>Complete</x:v>
      </x:c>
      <x:c r="O297" s="26"/>
      <x:c r="P297" s="26" t="str">
        <x:v>VRM Games</x:v>
      </x:c>
      <x:c r="Q297" s="26"/>
    </x:row>
    <x:row r="298" ht="30" customHeight="1">
      <x:c r="A298" s="26" t="str">
        <x:v>H6-GOV-001</x:v>
      </x:c>
      <x:c r="B298" s="26" t="str">
        <x:v>Gobierno y alcance</x:v>
      </x:c>
      <x:c r="C298" s="26" t="str">
        <x:v>31_H6_and_Release_Readiness_Checklist.xlsx</x:v>
      </x:c>
      <x:c r="D298" s="26" t="str">
        <x:v>El alcance H6 está congelado y excluye empleados, investigación, puestos informáticos, online, publishing y plataforma digital.</x:v>
      </x:c>
      <x:c r="E298" s="26" t="str">
        <x:v>CHG-RC1-DOC-31</x:v>
      </x:c>
      <x:c r="F298" s="26"/>
      <x:c r="G298" s="26" t="str">
        <x:v>H6-GOV-001</x:v>
      </x:c>
      <x:c r="H298" s="26"/>
      <x:c r="I298" s="26"/>
      <x:c r="J298" s="26" t="str">
        <x:v>NOT RUN</x:v>
      </x:c>
      <x:c r="K298" s="26"/>
      <x:c r="L298" s="26"/>
      <x:c r="M298" s="26" t="str">
        <x:v>RC1</x:v>
      </x:c>
      <x:c r="N298" s="26" t="str">
        <x:v>Defined / Not Executed</x:v>
      </x:c>
      <x:c r="O298" s="26"/>
      <x:c r="P298" s="26" t="str">
        <x:v>Production</x:v>
      </x:c>
      <x:c r="Q298" s="26" t="str">
        <x:v>H6; reviewer=QA/Production; gate=H6</x:v>
      </x:c>
    </x:row>
    <x:row r="299" ht="30" customHeight="1">
      <x:c r="A299" s="26" t="str">
        <x:v>H6-GOV-002</x:v>
      </x:c>
      <x:c r="B299" s="26" t="str">
        <x:v>Gobierno y alcance</x:v>
      </x:c>
      <x:c r="C299" s="26" t="str">
        <x:v>31_H6_and_Release_Readiness_Checklist.xlsx</x:v>
      </x:c>
      <x:c r="D299" s="26" t="str">
        <x:v>No existen features nuevas introducidas durante estabilización sin aprobación formal de cambio mayor.</x:v>
      </x:c>
      <x:c r="E299" s="26" t="str">
        <x:v>CHG-RC1-DOC-31</x:v>
      </x:c>
      <x:c r="F299" s="26"/>
      <x:c r="G299" s="26" t="str">
        <x:v>H6-GOV-002</x:v>
      </x:c>
      <x:c r="H299" s="26"/>
      <x:c r="I299" s="26"/>
      <x:c r="J299" s="26" t="str">
        <x:v>NOT RUN</x:v>
      </x:c>
      <x:c r="K299" s="26"/>
      <x:c r="L299" s="26"/>
      <x:c r="M299" s="26" t="str">
        <x:v>RC1</x:v>
      </x:c>
      <x:c r="N299" s="26" t="str">
        <x:v>Defined / Not Executed</x:v>
      </x:c>
      <x:c r="O299" s="26"/>
      <x:c r="P299" s="26" t="str">
        <x:v>Production</x:v>
      </x:c>
      <x:c r="Q299" s="26" t="str">
        <x:v>H6; reviewer=QA/Production; gate=H6</x:v>
      </x:c>
    </x:row>
    <x:row r="300" ht="30" customHeight="1">
      <x:c r="A300" s="26" t="str">
        <x:v>H6-GOV-003</x:v>
      </x:c>
      <x:c r="B300" s="26" t="str">
        <x:v>Gobierno y alcance</x:v>
      </x:c>
      <x:c r="C300" s="26" t="str">
        <x:v>31_H6_and_Release_Readiness_Checklist.xlsx</x:v>
      </x:c>
      <x:c r="D300" s="26" t="str">
        <x:v>La escena objetivo, el Golden Path y el contenido mínimo coinciden con la baseline aprobada.</x:v>
      </x:c>
      <x:c r="E300" s="26" t="str">
        <x:v>CHG-RC1-DOC-31</x:v>
      </x:c>
      <x:c r="F300" s="26"/>
      <x:c r="G300" s="26" t="str">
        <x:v>H6-GOV-003</x:v>
      </x:c>
      <x:c r="H300" s="26"/>
      <x:c r="I300" s="26"/>
      <x:c r="J300" s="26" t="str">
        <x:v>NOT RUN</x:v>
      </x:c>
      <x:c r="K300" s="26"/>
      <x:c r="L300" s="26"/>
      <x:c r="M300" s="26" t="str">
        <x:v>RC1</x:v>
      </x:c>
      <x:c r="N300" s="26" t="str">
        <x:v>Defined / Not Executed</x:v>
      </x:c>
      <x:c r="O300" s="26"/>
      <x:c r="P300" s="26" t="str">
        <x:v>Production</x:v>
      </x:c>
      <x:c r="Q300" s="26" t="str">
        <x:v>H6; reviewer=QA/Production; gate=H6</x:v>
      </x:c>
    </x:row>
    <x:row r="301" ht="30" customHeight="1">
      <x:c r="A301" s="26" t="str">
        <x:v>H6-GOV-004</x:v>
      </x:c>
      <x:c r="B301" s="26" t="str">
        <x:v>Gobierno y alcance</x:v>
      </x:c>
      <x:c r="C301" s="26" t="str">
        <x:v>31_H6_and_Release_Readiness_Checklist.xlsx</x:v>
      </x:c>
      <x:c r="D301" s="26" t="str">
        <x:v>Existe un commit candidato único, rama identificada y working copy limpia.</x:v>
      </x:c>
      <x:c r="E301" s="26" t="str">
        <x:v>CHG-RC1-DOC-31</x:v>
      </x:c>
      <x:c r="F301" s="26"/>
      <x:c r="G301" s="26" t="str">
        <x:v>H6-GOV-004</x:v>
      </x:c>
      <x:c r="H301" s="26"/>
      <x:c r="I301" s="26"/>
      <x:c r="J301" s="26" t="str">
        <x:v>NOT RUN</x:v>
      </x:c>
      <x:c r="K301" s="26"/>
      <x:c r="L301" s="26"/>
      <x:c r="M301" s="26" t="str">
        <x:v>RC1</x:v>
      </x:c>
      <x:c r="N301" s="26" t="str">
        <x:v>Defined / Not Executed</x:v>
      </x:c>
      <x:c r="O301" s="26"/>
      <x:c r="P301" s="26" t="str">
        <x:v>Production</x:v>
      </x:c>
      <x:c r="Q301" s="26" t="str">
        <x:v>H6; reviewer=QA/Production; gate=H6</x:v>
      </x:c>
    </x:row>
    <x:row r="302" ht="30" customHeight="1">
      <x:c r="A302" s="26" t="str">
        <x:v>H6-GOV-005</x:v>
      </x:c>
      <x:c r="B302" s="26" t="str">
        <x:v>Gobierno y alcance</x:v>
      </x:c>
      <x:c r="C302" s="26" t="str">
        <x:v>31_H6_and_Release_Readiness_Checklist.xlsx</x:v>
      </x:c>
      <x:c r="D302" s="26" t="str">
        <x:v>Todos los cambios de alcance, invariantes o aceptación tienen ADR o Change ID con impacto analizado.</x:v>
      </x:c>
      <x:c r="E302" s="26" t="str">
        <x:v>CHG-RC1-DOC-31</x:v>
      </x:c>
      <x:c r="F302" s="26"/>
      <x:c r="G302" s="26" t="str">
        <x:v>H6-GOV-005</x:v>
      </x:c>
      <x:c r="H302" s="26"/>
      <x:c r="I302" s="26"/>
      <x:c r="J302" s="26" t="str">
        <x:v>NOT RUN</x:v>
      </x:c>
      <x:c r="K302" s="26"/>
      <x:c r="L302" s="26"/>
      <x:c r="M302" s="26" t="str">
        <x:v>RC1</x:v>
      </x:c>
      <x:c r="N302" s="26" t="str">
        <x:v>Defined / Not Executed</x:v>
      </x:c>
      <x:c r="O302" s="26"/>
      <x:c r="P302" s="26" t="str">
        <x:v>Production</x:v>
      </x:c>
      <x:c r="Q302" s="26" t="str">
        <x:v>H6; reviewer=QA/Production; gate=H6</x:v>
      </x:c>
    </x:row>
    <x:row r="303" ht="30" customHeight="1">
      <x:c r="A303" s="26" t="str">
        <x:v>H6-GOV-006</x:v>
      </x:c>
      <x:c r="B303" s="26" t="str">
        <x:v>Gobierno y alcance</x:v>
      </x:c>
      <x:c r="C303" s="26" t="str">
        <x:v>31_H6_and_Release_Readiness_Checklist.xlsx</x:v>
      </x:c>
      <x:c r="D303" s="26" t="str">
        <x:v>La apertura de H6 no depende de fechas ficticias ni de tareas sin criterios de aceptación.</x:v>
      </x:c>
      <x:c r="E303" s="26" t="str">
        <x:v>CHG-RC1-DOC-31</x:v>
      </x:c>
      <x:c r="F303" s="26"/>
      <x:c r="G303" s="26" t="str">
        <x:v>H6-GOV-006</x:v>
      </x:c>
      <x:c r="H303" s="26"/>
      <x:c r="I303" s="26"/>
      <x:c r="J303" s="26" t="str">
        <x:v>NOT RUN</x:v>
      </x:c>
      <x:c r="K303" s="26"/>
      <x:c r="L303" s="26"/>
      <x:c r="M303" s="26" t="str">
        <x:v>RC1</x:v>
      </x:c>
      <x:c r="N303" s="26" t="str">
        <x:v>Defined / Not Executed</x:v>
      </x:c>
      <x:c r="O303" s="26"/>
      <x:c r="P303" s="26" t="str">
        <x:v>Production</x:v>
      </x:c>
      <x:c r="Q303" s="26" t="str">
        <x:v>H6; reviewer=QA/Production; gate=H6</x:v>
      </x:c>
    </x:row>
    <x:row r="304" ht="30" customHeight="1">
      <x:c r="A304" s="26" t="str">
        <x:v>H6-GOV-007</x:v>
      </x:c>
      <x:c r="B304" s="26" t="str">
        <x:v>Gobierno y alcance</x:v>
      </x:c>
      <x:c r="C304" s="26" t="str">
        <x:v>31_H6_and_Release_Readiness_Checklist.xlsx</x:v>
      </x:c>
      <x:c r="D304" s="26" t="str">
        <x:v>Los términos H6, Sprint 16, Sprint 17, QA build y Steam RC se usan sin equivalencias incorrectas.</x:v>
      </x:c>
      <x:c r="E304" s="26" t="str">
        <x:v>CHG-RC1-DOC-31</x:v>
      </x:c>
      <x:c r="F304" s="26"/>
      <x:c r="G304" s="26" t="str">
        <x:v>H6-GOV-007</x:v>
      </x:c>
      <x:c r="H304" s="26"/>
      <x:c r="I304" s="26"/>
      <x:c r="J304" s="26" t="str">
        <x:v>NOT RUN</x:v>
      </x:c>
      <x:c r="K304" s="26"/>
      <x:c r="L304" s="26"/>
      <x:c r="M304" s="26" t="str">
        <x:v>RC1</x:v>
      </x:c>
      <x:c r="N304" s="26" t="str">
        <x:v>Defined / Not Executed</x:v>
      </x:c>
      <x:c r="O304" s="26"/>
      <x:c r="P304" s="26" t="str">
        <x:v>Production</x:v>
      </x:c>
      <x:c r="Q304" s="26" t="str">
        <x:v>H6; reviewer=QA/Production; gate=H6</x:v>
      </x:c>
    </x:row>
    <x:row r="305" ht="30" customHeight="1">
      <x:c r="A305" s="26" t="str">
        <x:v>H6-GOV-008</x:v>
      </x:c>
      <x:c r="B305" s="26" t="str">
        <x:v>Gobierno y alcance</x:v>
      </x:c>
      <x:c r="C305" s="26" t="str">
        <x:v>31_H6_and_Release_Readiness_Checklist.xlsx</x:v>
      </x:c>
      <x:c r="D305" s="26" t="str">
        <x:v>No se utiliza PASS WITH ACCEPTED DEBT para pérdida de datos, duplicación, build no arrancable, Golden Path roto o S0/S1.</x:v>
      </x:c>
      <x:c r="E305" s="26" t="str">
        <x:v>CHG-RC1-DOC-31</x:v>
      </x:c>
      <x:c r="F305" s="26"/>
      <x:c r="G305" s="26" t="str">
        <x:v>H6-GOV-008</x:v>
      </x:c>
      <x:c r="H305" s="26"/>
      <x:c r="I305" s="26"/>
      <x:c r="J305" s="26" t="str">
        <x:v>NOT RUN</x:v>
      </x:c>
      <x:c r="K305" s="26"/>
      <x:c r="L305" s="26"/>
      <x:c r="M305" s="26" t="str">
        <x:v>RC1</x:v>
      </x:c>
      <x:c r="N305" s="26" t="str">
        <x:v>Defined / Not Executed</x:v>
      </x:c>
      <x:c r="O305" s="26"/>
      <x:c r="P305" s="26" t="str">
        <x:v>Production</x:v>
      </x:c>
      <x:c r="Q305" s="26" t="str">
        <x:v>H6; reviewer=QA/Production; gate=H6</x:v>
      </x:c>
    </x:row>
    <x:row r="306" ht="30" customHeight="1">
      <x:c r="A306" s="26" t="str">
        <x:v>H6-GOV-009</x:v>
      </x:c>
      <x:c r="B306" s="26" t="str">
        <x:v>Gobierno y alcance</x:v>
      </x:c>
      <x:c r="C306" s="26" t="str">
        <x:v>31_H6_and_Release_Readiness_Checklist.xlsx</x:v>
      </x:c>
      <x:c r="D306" s="26" t="str">
        <x:v>El universo de bloqueantes de gate está normalizado y separado del contador general de defectos.</x:v>
      </x:c>
      <x:c r="E306" s="26" t="str">
        <x:v>CHG-RC1-DOC-31</x:v>
      </x:c>
      <x:c r="F306" s="26"/>
      <x:c r="G306" s="26" t="str">
        <x:v>H6-GOV-009</x:v>
      </x:c>
      <x:c r="H306" s="26"/>
      <x:c r="I306" s="26"/>
      <x:c r="J306" s="26" t="str">
        <x:v>NOT RUN</x:v>
      </x:c>
      <x:c r="K306" s="26"/>
      <x:c r="L306" s="26"/>
      <x:c r="M306" s="26" t="str">
        <x:v>RC1</x:v>
      </x:c>
      <x:c r="N306" s="26" t="str">
        <x:v>Defined / Not Executed</x:v>
      </x:c>
      <x:c r="O306" s="26"/>
      <x:c r="P306" s="26" t="str">
        <x:v>Production</x:v>
      </x:c>
      <x:c r="Q306" s="26" t="str">
        <x:v>H6; reviewer=QA/Production; gate=H6</x:v>
      </x:c>
    </x:row>
    <x:row r="307" ht="30" customHeight="1">
      <x:c r="A307" s="26" t="str">
        <x:v>H6-GOV-010</x:v>
      </x:c>
      <x:c r="B307" s="26" t="str">
        <x:v>Gobierno y alcance</x:v>
      </x:c>
      <x:c r="C307" s="26" t="str">
        <x:v>31_H6_and_Release_Readiness_Checklist.xlsx</x:v>
      </x:c>
      <x:c r="D307" s="26" t="str">
        <x:v>El responsable de decisión y los revisores de H6 están identificados antes de ejecutar la candidata.</x:v>
      </x:c>
      <x:c r="E307" s="26" t="str">
        <x:v>CHG-RC1-DOC-31</x:v>
      </x:c>
      <x:c r="F307" s="26"/>
      <x:c r="G307" s="26" t="str">
        <x:v>H6-GOV-010</x:v>
      </x:c>
      <x:c r="H307" s="26"/>
      <x:c r="I307" s="26"/>
      <x:c r="J307" s="26" t="str">
        <x:v>NOT RUN</x:v>
      </x:c>
      <x:c r="K307" s="26"/>
      <x:c r="L307" s="26"/>
      <x:c r="M307" s="26" t="str">
        <x:v>RC1</x:v>
      </x:c>
      <x:c r="N307" s="26" t="str">
        <x:v>Defined / Not Executed</x:v>
      </x:c>
      <x:c r="O307" s="26"/>
      <x:c r="P307" s="26" t="str">
        <x:v>Production</x:v>
      </x:c>
      <x:c r="Q307" s="26" t="str">
        <x:v>H6; reviewer=QA/Production; gate=H6</x:v>
      </x:c>
    </x:row>
    <x:row r="308" ht="30" customHeight="1">
      <x:c r="A308" s="26" t="str">
        <x:v>H6-GOV-011</x:v>
      </x:c>
      <x:c r="B308" s="26" t="str">
        <x:v>Gobierno y alcance</x:v>
      </x:c>
      <x:c r="C308" s="26" t="str">
        <x:v>31_H6_and_Release_Readiness_Checklist.xlsx</x:v>
      </x:c>
      <x:c r="D308" s="26" t="str">
        <x:v>La decisión H6 puede reproducirse meses después sin depender del historial del chat.</x:v>
      </x:c>
      <x:c r="E308" s="26" t="str">
        <x:v>CHG-RC1-DOC-31</x:v>
      </x:c>
      <x:c r="F308" s="26"/>
      <x:c r="G308" s="26" t="str">
        <x:v>H6-GOV-011</x:v>
      </x:c>
      <x:c r="H308" s="26"/>
      <x:c r="I308" s="26"/>
      <x:c r="J308" s="26" t="str">
        <x:v>NOT RUN</x:v>
      </x:c>
      <x:c r="K308" s="26"/>
      <x:c r="L308" s="26"/>
      <x:c r="M308" s="26" t="str">
        <x:v>RC1</x:v>
      </x:c>
      <x:c r="N308" s="26" t="str">
        <x:v>Defined / Not Executed</x:v>
      </x:c>
      <x:c r="O308" s="26"/>
      <x:c r="P308" s="26" t="str">
        <x:v>Production</x:v>
      </x:c>
      <x:c r="Q308" s="26" t="str">
        <x:v>H6; reviewer=QA/Production; gate=H6</x:v>
      </x:c>
    </x:row>
    <x:row r="309" ht="30" customHeight="1">
      <x:c r="A309" s="26" t="str">
        <x:v>H6-GOV-012</x:v>
      </x:c>
      <x:c r="B309" s="26" t="str">
        <x:v>Gobierno y alcance</x:v>
      </x:c>
      <x:c r="C309" s="26" t="str">
        <x:v>31_H6_and_Release_Readiness_Checklist.xlsx</x:v>
      </x:c>
      <x:c r="D309" s="26" t="str">
        <x:v>Cualquier desviación aceptada incluye impacto, mitigación, propietario y trigger de reapertura.</x:v>
      </x:c>
      <x:c r="E309" s="26" t="str">
        <x:v>CHG-RC1-DOC-31</x:v>
      </x:c>
      <x:c r="F309" s="26"/>
      <x:c r="G309" s="26" t="str">
        <x:v>H6-GOV-012</x:v>
      </x:c>
      <x:c r="H309" s="26"/>
      <x:c r="I309" s="26"/>
      <x:c r="J309" s="26" t="str">
        <x:v>NOT RUN</x:v>
      </x:c>
      <x:c r="K309" s="26"/>
      <x:c r="L309" s="26"/>
      <x:c r="M309" s="26" t="str">
        <x:v>RC1</x:v>
      </x:c>
      <x:c r="N309" s="26" t="str">
        <x:v>Defined / Not Executed</x:v>
      </x:c>
      <x:c r="O309" s="26"/>
      <x:c r="P309" s="26" t="str">
        <x:v>Production</x:v>
      </x:c>
      <x:c r="Q309" s="26" t="str">
        <x:v>H6; reviewer=QA/Production; gate=H6</x:v>
      </x:c>
    </x:row>
    <x:row r="310" ht="30" customHeight="1">
      <x:c r="A310" s="26" t="str">
        <x:v>H6-SCN-001</x:v>
      </x:c>
      <x:c r="B310" s="26" t="str">
        <x:v>StoreInitial y representación</x:v>
      </x:c>
      <x:c r="C310" s="26" t="str">
        <x:v>31_H6_and_Release_Readiness_Checklist.xlsx</x:v>
      </x:c>
      <x:c r="D310" s="26" t="str">
        <x:v>StoreInitial.unity es la escena representativa conectada al flujo real de Bootstrap/Main Menu.</x:v>
      </x:c>
      <x:c r="E310" s="26" t="str">
        <x:v>CHG-RC1-DOC-31</x:v>
      </x:c>
      <x:c r="F310" s="26"/>
      <x:c r="G310" s="26" t="str">
        <x:v>H6-SCN-001</x:v>
      </x:c>
      <x:c r="H310" s="26"/>
      <x:c r="I310" s="26"/>
      <x:c r="J310" s="26" t="str">
        <x:v>NOT RUN</x:v>
      </x:c>
      <x:c r="K310" s="26"/>
      <x:c r="L310" s="26"/>
      <x:c r="M310" s="26" t="str">
        <x:v>RC1</x:v>
      </x:c>
      <x:c r="N310" s="26" t="str">
        <x:v>Defined / Not Executed</x:v>
      </x:c>
      <x:c r="O310" s="26"/>
      <x:c r="P310" s="26" t="str">
        <x:v>Art/Level</x:v>
      </x:c>
      <x:c r="Q310" s="26" t="str">
        <x:v>H6; reviewer=Art Direction/QA; gate=Sprint 16 / H6</x:v>
      </x:c>
    </x:row>
    <x:row r="311" ht="30" customHeight="1">
      <x:c r="A311" s="26" t="str">
        <x:v>H6-SCN-002</x:v>
      </x:c>
      <x:c r="B311" s="26" t="str">
        <x:v>StoreInitial y representación</x:v>
      </x:c>
      <x:c r="C311" s="26" t="str">
        <x:v>31_H6_and_Release_Readiness_Checklist.xlsx</x:v>
      </x:c>
      <x:c r="D311" s="26" t="str">
        <x:v>El layout aprobado mantiene entrada, circulación, exposición, checkout, recepción y almacén funcionales.</x:v>
      </x:c>
      <x:c r="E311" s="26" t="str">
        <x:v>CHG-RC1-DOC-31</x:v>
      </x:c>
      <x:c r="F311" s="26"/>
      <x:c r="G311" s="26" t="str">
        <x:v>H6-SCN-002</x:v>
      </x:c>
      <x:c r="H311" s="26"/>
      <x:c r="I311" s="26"/>
      <x:c r="J311" s="26" t="str">
        <x:v>NOT RUN</x:v>
      </x:c>
      <x:c r="K311" s="26"/>
      <x:c r="L311" s="26"/>
      <x:c r="M311" s="26" t="str">
        <x:v>RC1</x:v>
      </x:c>
      <x:c r="N311" s="26" t="str">
        <x:v>Defined / Not Executed</x:v>
      </x:c>
      <x:c r="O311" s="26"/>
      <x:c r="P311" s="26" t="str">
        <x:v>Art/Level</x:v>
      </x:c>
      <x:c r="Q311" s="26" t="str">
        <x:v>H6; reviewer=Art Direction/QA; gate=Sprint 16 / H6</x:v>
      </x:c>
    </x:row>
    <x:row r="312" ht="30" customHeight="1">
      <x:c r="A312" s="26" t="str">
        <x:v>H6-SCN-003</x:v>
      </x:c>
      <x:c r="B312" s="26" t="str">
        <x:v>StoreInitial y representación</x:v>
      </x:c>
      <x:c r="C312" s="26" t="str">
        <x:v>31_H6_and_Release_Readiness_Checklist.xlsx</x:v>
      </x:c>
      <x:c r="D312" s="26" t="str">
        <x:v>La puerta visual, collider, navegación y lógica de entrada/salida coinciden.</x:v>
      </x:c>
      <x:c r="E312" s="26" t="str">
        <x:v>CHG-RC1-DOC-31</x:v>
      </x:c>
      <x:c r="F312" s="26"/>
      <x:c r="G312" s="26" t="str">
        <x:v>H6-SCN-003</x:v>
      </x:c>
      <x:c r="H312" s="26"/>
      <x:c r="I312" s="26"/>
      <x:c r="J312" s="26" t="str">
        <x:v>NOT RUN</x:v>
      </x:c>
      <x:c r="K312" s="26"/>
      <x:c r="L312" s="26"/>
      <x:c r="M312" s="26" t="str">
        <x:v>RC1</x:v>
      </x:c>
      <x:c r="N312" s="26" t="str">
        <x:v>Defined / Not Executed</x:v>
      </x:c>
      <x:c r="O312" s="26"/>
      <x:c r="P312" s="26" t="str">
        <x:v>Art/Level</x:v>
      </x:c>
      <x:c r="Q312" s="26" t="str">
        <x:v>H6; reviewer=Art Direction/QA; gate=Sprint 16 / H6</x:v>
      </x:c>
    </x:row>
    <x:row r="313" ht="30" customHeight="1">
      <x:c r="A313" s="26" t="str">
        <x:v>H6-SCN-004</x:v>
      </x:c>
      <x:c r="B313" s="26" t="str">
        <x:v>StoreInitial y representación</x:v>
      </x:c>
      <x:c r="C313" s="26" t="str">
        <x:v>31_H6_and_Release_Readiness_Checklist.xlsx</x:v>
      </x:c>
      <x:c r="D313" s="26" t="str">
        <x:v>No existen placeholders visibles no exceptuados en cámara normal de juego.</x:v>
      </x:c>
      <x:c r="E313" s="26" t="str">
        <x:v>CHG-RC1-DOC-31</x:v>
      </x:c>
      <x:c r="F313" s="26"/>
      <x:c r="G313" s="26" t="str">
        <x:v>H6-SCN-004</x:v>
      </x:c>
      <x:c r="H313" s="26"/>
      <x:c r="I313" s="26"/>
      <x:c r="J313" s="26" t="str">
        <x:v>NOT RUN</x:v>
      </x:c>
      <x:c r="K313" s="26"/>
      <x:c r="L313" s="26"/>
      <x:c r="M313" s="26" t="str">
        <x:v>RC1</x:v>
      </x:c>
      <x:c r="N313" s="26" t="str">
        <x:v>Defined / Not Executed</x:v>
      </x:c>
      <x:c r="O313" s="26"/>
      <x:c r="P313" s="26" t="str">
        <x:v>Art/Level</x:v>
      </x:c>
      <x:c r="Q313" s="26" t="str">
        <x:v>H6; reviewer=Art Direction/QA; gate=Sprint 16 / H6</x:v>
      </x:c>
    </x:row>
    <x:row r="314" ht="30" customHeight="1">
      <x:c r="A314" s="26" t="str">
        <x:v>H6-SCN-005</x:v>
      </x:c>
      <x:c r="B314" s="26" t="str">
        <x:v>StoreInitial y representación</x:v>
      </x:c>
      <x:c r="C314" s="26" t="str">
        <x:v>31_H6_and_Release_Readiness_Checklist.xlsx</x:v>
      </x:c>
      <x:c r="D314" s="26" t="str">
        <x:v>Los muebles representativos sustituyen blockouts sin alterar huellas, pivotes, colliders ni puntos de interacción.</x:v>
      </x:c>
      <x:c r="E314" s="26" t="str">
        <x:v>CHG-RC1-DOC-31</x:v>
      </x:c>
      <x:c r="F314" s="26"/>
      <x:c r="G314" s="26" t="str">
        <x:v>H6-SCN-005</x:v>
      </x:c>
      <x:c r="H314" s="26"/>
      <x:c r="I314" s="26"/>
      <x:c r="J314" s="26" t="str">
        <x:v>NOT RUN</x:v>
      </x:c>
      <x:c r="K314" s="26"/>
      <x:c r="L314" s="26"/>
      <x:c r="M314" s="26" t="str">
        <x:v>RC1</x:v>
      </x:c>
      <x:c r="N314" s="26" t="str">
        <x:v>Defined / Not Executed</x:v>
      </x:c>
      <x:c r="O314" s="26"/>
      <x:c r="P314" s="26" t="str">
        <x:v>Art/Level</x:v>
      </x:c>
      <x:c r="Q314" s="26" t="str">
        <x:v>H6; reviewer=Art Direction/QA; gate=Sprint 16 / H6</x:v>
      </x:c>
    </x:row>
    <x:row r="315" ht="30" customHeight="1">
      <x:c r="A315" s="26" t="str">
        <x:v>H6-SCN-006</x:v>
      </x:c>
      <x:c r="B315" s="26" t="str">
        <x:v>StoreInitial y representación</x:v>
      </x:c>
      <x:c r="C315" s="26" t="str">
        <x:v>31_H6_and_Release_Readiness_Checklist.xlsx</x:v>
      </x:c>
      <x:c r="D315" s="26" t="str">
        <x:v>Los productos visibles corresponden al catálogo incluido y a su asignación lógica.</x:v>
      </x:c>
      <x:c r="E315" s="26" t="str">
        <x:v>CHG-RC1-DOC-31</x:v>
      </x:c>
      <x:c r="F315" s="26"/>
      <x:c r="G315" s="26" t="str">
        <x:v>H6-SCN-006</x:v>
      </x:c>
      <x:c r="H315" s="26"/>
      <x:c r="I315" s="26"/>
      <x:c r="J315" s="26" t="str">
        <x:v>NOT RUN</x:v>
      </x:c>
      <x:c r="K315" s="26"/>
      <x:c r="L315" s="26"/>
      <x:c r="M315" s="26" t="str">
        <x:v>RC1</x:v>
      </x:c>
      <x:c r="N315" s="26" t="str">
        <x:v>Defined / Not Executed</x:v>
      </x:c>
      <x:c r="O315" s="26"/>
      <x:c r="P315" s="26" t="str">
        <x:v>Art/Level</x:v>
      </x:c>
      <x:c r="Q315" s="26" t="str">
        <x:v>H6; reviewer=Art Direction/QA; gate=Sprint 16 / H6</x:v>
      </x:c>
    </x:row>
    <x:row r="316" ht="30" customHeight="1">
      <x:c r="A316" s="26" t="str">
        <x:v>H6-SCN-007</x:v>
      </x:c>
      <x:c r="B316" s="26" t="str">
        <x:v>StoreInitial y representación</x:v>
      </x:c>
      <x:c r="C316" s="26" t="str">
        <x:v>31_H6_and_Release_Readiness_Checklist.xlsx</x:v>
      </x:c>
      <x:c r="D316" s="26" t="str">
        <x:v>Iluminación y materiales permiten leer rutas, zonas, productos, clientes, cola y checkout.</x:v>
      </x:c>
      <x:c r="E316" s="26" t="str">
        <x:v>CHG-RC1-DOC-31</x:v>
      </x:c>
      <x:c r="F316" s="26"/>
      <x:c r="G316" s="26" t="str">
        <x:v>H6-SCN-007</x:v>
      </x:c>
      <x:c r="H316" s="26"/>
      <x:c r="I316" s="26"/>
      <x:c r="J316" s="26" t="str">
        <x:v>NOT RUN</x:v>
      </x:c>
      <x:c r="K316" s="26"/>
      <x:c r="L316" s="26"/>
      <x:c r="M316" s="26" t="str">
        <x:v>RC1</x:v>
      </x:c>
      <x:c r="N316" s="26" t="str">
        <x:v>Defined / Not Executed</x:v>
      </x:c>
      <x:c r="O316" s="26"/>
      <x:c r="P316" s="26" t="str">
        <x:v>Art/Level</x:v>
      </x:c>
      <x:c r="Q316" s="26" t="str">
        <x:v>H6; reviewer=Art Direction/QA; gate=Sprint 16 / H6</x:v>
      </x:c>
    </x:row>
    <x:row r="317" ht="30" customHeight="1">
      <x:c r="A317" s="26" t="str">
        <x:v>H6-SCN-008</x:v>
      </x:c>
      <x:c r="B317" s="26" t="str">
        <x:v>StoreInitial y representación</x:v>
      </x:c>
      <x:c r="C317" s="26" t="str">
        <x:v>31_H6_and_Release_Readiness_Checklist.xlsx</x:v>
      </x:c>
      <x:c r="D317" s="26" t="str">
        <x:v>Las superficies caminables y NavMesh coinciden con arquitectura y mobiliario final.</x:v>
      </x:c>
      <x:c r="E317" s="26" t="str">
        <x:v>CHG-RC1-DOC-31</x:v>
      </x:c>
      <x:c r="F317" s="26"/>
      <x:c r="G317" s="26" t="str">
        <x:v>H6-SCN-008</x:v>
      </x:c>
      <x:c r="H317" s="26"/>
      <x:c r="I317" s="26"/>
      <x:c r="J317" s="26" t="str">
        <x:v>NOT RUN</x:v>
      </x:c>
      <x:c r="K317" s="26"/>
      <x:c r="L317" s="26"/>
      <x:c r="M317" s="26" t="str">
        <x:v>RC1</x:v>
      </x:c>
      <x:c r="N317" s="26" t="str">
        <x:v>Defined / Not Executed</x:v>
      </x:c>
      <x:c r="O317" s="26"/>
      <x:c r="P317" s="26" t="str">
        <x:v>Art/Level</x:v>
      </x:c>
      <x:c r="Q317" s="26" t="str">
        <x:v>H6; reviewer=Art Direction/QA; gate=Sprint 16 / H6</x:v>
      </x:c>
    </x:row>
    <x:row r="318" ht="30" customHeight="1">
      <x:c r="A318" s="26" t="str">
        <x:v>H6-SCN-009</x:v>
      </x:c>
      <x:c r="B318" s="26" t="str">
        <x:v>StoreInitial y representación</x:v>
      </x:c>
      <x:c r="C318" s="26" t="str">
        <x:v>31_H6_and_Release_Readiness_Checklist.xlsx</x:v>
      </x:c>
      <x:c r="D318" s="26" t="str">
        <x:v>No existen referencias perdidas, Missing Scripts o errores recurrentes al cargar la escena.</x:v>
      </x:c>
      <x:c r="E318" s="26" t="str">
        <x:v>CHG-RC1-DOC-31</x:v>
      </x:c>
      <x:c r="F318" s="26"/>
      <x:c r="G318" s="26" t="str">
        <x:v>H6-SCN-009</x:v>
      </x:c>
      <x:c r="H318" s="26"/>
      <x:c r="I318" s="26"/>
      <x:c r="J318" s="26" t="str">
        <x:v>NOT RUN</x:v>
      </x:c>
      <x:c r="K318" s="26"/>
      <x:c r="L318" s="26"/>
      <x:c r="M318" s="26" t="str">
        <x:v>RC1</x:v>
      </x:c>
      <x:c r="N318" s="26" t="str">
        <x:v>Defined / Not Executed</x:v>
      </x:c>
      <x:c r="O318" s="26"/>
      <x:c r="P318" s="26" t="str">
        <x:v>Art/Level</x:v>
      </x:c>
      <x:c r="Q318" s="26" t="str">
        <x:v>H6; reviewer=Art Direction/QA; gate=Sprint 16 / H6</x:v>
      </x:c>
    </x:row>
    <x:row r="319" ht="30" customHeight="1">
      <x:c r="A319" s="26" t="str">
        <x:v>H6-SCN-010</x:v>
      </x:c>
      <x:c r="B319" s="26" t="str">
        <x:v>StoreInitial y representación</x:v>
      </x:c>
      <x:c r="C319" s="26" t="str">
        <x:v>31_H6_and_Release_Readiness_Checklist.xlsx</x:v>
      </x:c>
      <x:c r="D319" s="26" t="str">
        <x:v>La composición visual conserva la identidad objetivo negra/verde de VRM Games donde corresponde sin imponerla a proveedores o clientes.</x:v>
      </x:c>
      <x:c r="E319" s="26" t="str">
        <x:v>CHG-RC1-DOC-31</x:v>
      </x:c>
      <x:c r="F319" s="26"/>
      <x:c r="G319" s="26" t="str">
        <x:v>H6-SCN-010</x:v>
      </x:c>
      <x:c r="H319" s="26"/>
      <x:c r="I319" s="26"/>
      <x:c r="J319" s="26" t="str">
        <x:v>NOT RUN</x:v>
      </x:c>
      <x:c r="K319" s="26"/>
      <x:c r="L319" s="26"/>
      <x:c r="M319" s="26" t="str">
        <x:v>RC1</x:v>
      </x:c>
      <x:c r="N319" s="26" t="str">
        <x:v>Defined / Not Executed</x:v>
      </x:c>
      <x:c r="O319" s="26"/>
      <x:c r="P319" s="26" t="str">
        <x:v>Art/Level</x:v>
      </x:c>
      <x:c r="Q319" s="26" t="str">
        <x:v>H6; reviewer=Art Direction/QA; gate=Sprint 16 / H6</x:v>
      </x:c>
    </x:row>
    <x:row r="320" ht="30" customHeight="1">
      <x:c r="A320" s="26" t="str">
        <x:v>H6-SCN-011</x:v>
      </x:c>
      <x:c r="B320" s="26" t="str">
        <x:v>StoreInitial y representación</x:v>
      </x:c>
      <x:c r="C320" s="26" t="str">
        <x:v>31_H6_and_Release_Readiness_Checklist.xlsx</x:v>
      </x:c>
      <x:c r="D320" s="26" t="str">
        <x:v>Los elementos de debug, etiquetas de Sprint o mensajes de blockout no aparecen en la candidata H6.</x:v>
      </x:c>
      <x:c r="E320" s="26" t="str">
        <x:v>CHG-RC1-DOC-31</x:v>
      </x:c>
      <x:c r="F320" s="26"/>
      <x:c r="G320" s="26" t="str">
        <x:v>H6-SCN-011</x:v>
      </x:c>
      <x:c r="H320" s="26"/>
      <x:c r="I320" s="26"/>
      <x:c r="J320" s="26" t="str">
        <x:v>NOT RUN</x:v>
      </x:c>
      <x:c r="K320" s="26"/>
      <x:c r="L320" s="26"/>
      <x:c r="M320" s="26" t="str">
        <x:v>RC1</x:v>
      </x:c>
      <x:c r="N320" s="26" t="str">
        <x:v>Defined / Not Executed</x:v>
      </x:c>
      <x:c r="O320" s="26"/>
      <x:c r="P320" s="26" t="str">
        <x:v>Art/Level</x:v>
      </x:c>
      <x:c r="Q320" s="26" t="str">
        <x:v>H6; reviewer=Art Direction/QA; gate=Sprint 16 / H6</x:v>
      </x:c>
    </x:row>
    <x:row r="321" ht="30" customHeight="1">
      <x:c r="A321" s="26" t="str">
        <x:v>H6-SCN-012</x:v>
      </x:c>
      <x:c r="B321" s="26" t="str">
        <x:v>StoreInitial y representación</x:v>
      </x:c>
      <x:c r="C321" s="26" t="str">
        <x:v>31_H6_and_Release_Readiness_Checklist.xlsx</x:v>
      </x:c>
      <x:c r="D321" s="26" t="str">
        <x:v>La escena puede ejecutarse sin herramientas editor-only ni generadores procedurales de shell necesarios para su funcionamiento.</x:v>
      </x:c>
      <x:c r="E321" s="26" t="str">
        <x:v>CHG-RC1-DOC-31</x:v>
      </x:c>
      <x:c r="F321" s="26"/>
      <x:c r="G321" s="26" t="str">
        <x:v>H6-SCN-012</x:v>
      </x:c>
      <x:c r="H321" s="26"/>
      <x:c r="I321" s="26"/>
      <x:c r="J321" s="26" t="str">
        <x:v>NOT RUN</x:v>
      </x:c>
      <x:c r="K321" s="26"/>
      <x:c r="L321" s="26"/>
      <x:c r="M321" s="26" t="str">
        <x:v>RC1</x:v>
      </x:c>
      <x:c r="N321" s="26" t="str">
        <x:v>Defined / Not Executed</x:v>
      </x:c>
      <x:c r="O321" s="26"/>
      <x:c r="P321" s="26" t="str">
        <x:v>Art/Level</x:v>
      </x:c>
      <x:c r="Q321" s="26" t="str">
        <x:v>H6; reviewer=Art Direction/QA; gate=Sprint 16 / H6</x:v>
      </x:c>
    </x:row>
    <x:row r="322" ht="30" customHeight="1">
      <x:c r="A322" s="26" t="str">
        <x:v>H6-SCN-013</x:v>
      </x:c>
      <x:c r="B322" s="26" t="str">
        <x:v>StoreInitial y representación</x:v>
      </x:c>
      <x:c r="C322" s="26" t="str">
        <x:v>31_H6_and_Release_Readiness_Checklist.xlsx</x:v>
      </x:c>
      <x:c r="D322" s="26" t="str">
        <x:v>El contenido mínimo incluido está cerrado y no se usa volumen de contenido para ocultar deuda funcional.</x:v>
      </x:c>
      <x:c r="E322" s="26" t="str">
        <x:v>CHG-RC1-DOC-31</x:v>
      </x:c>
      <x:c r="F322" s="26"/>
      <x:c r="G322" s="26" t="str">
        <x:v>H6-SCN-013</x:v>
      </x:c>
      <x:c r="H322" s="26"/>
      <x:c r="I322" s="26"/>
      <x:c r="J322" s="26" t="str">
        <x:v>NOT RUN</x:v>
      </x:c>
      <x:c r="K322" s="26"/>
      <x:c r="L322" s="26"/>
      <x:c r="M322" s="26" t="str">
        <x:v>RC1</x:v>
      </x:c>
      <x:c r="N322" s="26" t="str">
        <x:v>Defined / Not Executed</x:v>
      </x:c>
      <x:c r="O322" s="26"/>
      <x:c r="P322" s="26" t="str">
        <x:v>Art/Level</x:v>
      </x:c>
      <x:c r="Q322" s="26" t="str">
        <x:v>H6; reviewer=Art Direction/QA; gate=Sprint 16 / H6</x:v>
      </x:c>
    </x:row>
    <x:row r="323" ht="30" customHeight="1">
      <x:c r="A323" s="26" t="str">
        <x:v>H6-SCN-014</x:v>
      </x:c>
      <x:c r="B323" s="26" t="str">
        <x:v>StoreInitial y representación</x:v>
      </x:c>
      <x:c r="C323" s="26" t="str">
        <x:v>31_H6_and_Release_Readiness_Checklist.xlsx</x:v>
      </x:c>
      <x:c r="D323" s="26" t="str">
        <x:v>La escena mantiene escala, silueta y densidad coherentes con el target visual aprobado.</x:v>
      </x:c>
      <x:c r="E323" s="26" t="str">
        <x:v>CHG-RC1-DOC-31</x:v>
      </x:c>
      <x:c r="F323" s="26"/>
      <x:c r="G323" s="26" t="str">
        <x:v>H6-SCN-014</x:v>
      </x:c>
      <x:c r="H323" s="26"/>
      <x:c r="I323" s="26"/>
      <x:c r="J323" s="26" t="str">
        <x:v>NOT RUN</x:v>
      </x:c>
      <x:c r="K323" s="26"/>
      <x:c r="L323" s="26"/>
      <x:c r="M323" s="26" t="str">
        <x:v>RC1</x:v>
      </x:c>
      <x:c r="N323" s="26" t="str">
        <x:v>Defined / Not Executed</x:v>
      </x:c>
      <x:c r="O323" s="26"/>
      <x:c r="P323" s="26" t="str">
        <x:v>Art/Level</x:v>
      </x:c>
      <x:c r="Q323" s="26" t="str">
        <x:v>H6; reviewer=Art Direction/QA; gate=Sprint 16 / H6</x:v>
      </x:c>
    </x:row>
    <x:row r="324" ht="30" customHeight="1">
      <x:c r="A324" s="26" t="str">
        <x:v>H6-SCN-015</x:v>
      </x:c>
      <x:c r="B324" s="26" t="str">
        <x:v>StoreInitial y representación</x:v>
      </x:c>
      <x:c r="C324" s="26" t="str">
        <x:v>31_H6_and_Release_Readiness_Checklist.xlsx</x:v>
      </x:c>
      <x:c r="D324" s="26" t="str">
        <x:v>Todos los puntos funcionales requeridos son accesibles tras configuraciones válidas de mobiliario.</x:v>
      </x:c>
      <x:c r="E324" s="26" t="str">
        <x:v>CHG-RC1-DOC-31</x:v>
      </x:c>
      <x:c r="F324" s="26"/>
      <x:c r="G324" s="26" t="str">
        <x:v>H6-SCN-015</x:v>
      </x:c>
      <x:c r="H324" s="26"/>
      <x:c r="I324" s="26"/>
      <x:c r="J324" s="26" t="str">
        <x:v>NOT RUN</x:v>
      </x:c>
      <x:c r="K324" s="26"/>
      <x:c r="L324" s="26"/>
      <x:c r="M324" s="26" t="str">
        <x:v>RC1</x:v>
      </x:c>
      <x:c r="N324" s="26" t="str">
        <x:v>Defined / Not Executed</x:v>
      </x:c>
      <x:c r="O324" s="26"/>
      <x:c r="P324" s="26" t="str">
        <x:v>Art/Level</x:v>
      </x:c>
      <x:c r="Q324" s="26" t="str">
        <x:v>H6; reviewer=Art Direction/QA; gate=Sprint 16 / H6</x:v>
      </x:c>
    </x:row>
    <x:row r="325" ht="30" customHeight="1">
      <x:c r="A325" s="26" t="str">
        <x:v>H6-SCN-016</x:v>
      </x:c>
      <x:c r="B325" s="26" t="str">
        <x:v>StoreInitial y representación</x:v>
      </x:c>
      <x:c r="C325" s="26" t="str">
        <x:v>31_H6_and_Release_Readiness_Checklist.xlsx</x:v>
      </x:c>
      <x:c r="D325" s="26" t="str">
        <x:v>Las oclusiones de cámara no impiden acciones críticas y existen mitigaciones aprobadas.</x:v>
      </x:c>
      <x:c r="E325" s="26" t="str">
        <x:v>CHG-RC1-DOC-31</x:v>
      </x:c>
      <x:c r="F325" s="26"/>
      <x:c r="G325" s="26" t="str">
        <x:v>H6-SCN-016</x:v>
      </x:c>
      <x:c r="H325" s="26"/>
      <x:c r="I325" s="26"/>
      <x:c r="J325" s="26" t="str">
        <x:v>NOT RUN</x:v>
      </x:c>
      <x:c r="K325" s="26"/>
      <x:c r="L325" s="26"/>
      <x:c r="M325" s="26" t="str">
        <x:v>RC1</x:v>
      </x:c>
      <x:c r="N325" s="26" t="str">
        <x:v>Defined / Not Executed</x:v>
      </x:c>
      <x:c r="O325" s="26"/>
      <x:c r="P325" s="26" t="str">
        <x:v>Art/Level</x:v>
      </x:c>
      <x:c r="Q325" s="26" t="str">
        <x:v>H6; reviewer=Art Direction/QA; gate=Sprint 16 / H6</x:v>
      </x:c>
    </x:row>
    <x:row r="326" ht="30" customHeight="1">
      <x:c r="A326" s="26" t="str">
        <x:v>H6-UXA-001</x:v>
      </x:c>
      <x:c r="B326" s="26" t="str">
        <x:v>UI, input y accesibilidad</x:v>
      </x:c>
      <x:c r="C326" s="26" t="str">
        <x:v>31_H6_and_Release_Readiness_Checklist.xlsx</x:v>
      </x:c>
      <x:c r="D326" s="26" t="str">
        <x:v>Todas las pantallas del Golden Path pueden operarse con ratón y teclado sin propagación de input al mundo.</x:v>
      </x:c>
      <x:c r="E326" s="26" t="str">
        <x:v>CHG-RC1-DOC-31</x:v>
      </x:c>
      <x:c r="F326" s="26"/>
      <x:c r="G326" s="26" t="str">
        <x:v>H6-UXA-001</x:v>
      </x:c>
      <x:c r="H326" s="26"/>
      <x:c r="I326" s="26"/>
      <x:c r="J326" s="26" t="str">
        <x:v>NOT RUN</x:v>
      </x:c>
      <x:c r="K326" s="26"/>
      <x:c r="L326" s="26"/>
      <x:c r="M326" s="26" t="str">
        <x:v>RC1</x:v>
      </x:c>
      <x:c r="N326" s="26" t="str">
        <x:v>Defined / Not Executed</x:v>
      </x:c>
      <x:c r="O326" s="26"/>
      <x:c r="P326" s="26" t="str">
        <x:v>UX/Engineering</x:v>
      </x:c>
      <x:c r="Q326" s="26" t="str">
        <x:v>H6; reviewer=Accessibility/QA; gate=Sprint 17 / H6</x:v>
      </x:c>
    </x:row>
    <x:row r="327" ht="30" customHeight="1">
      <x:c r="A327" s="26" t="str">
        <x:v>H6-UXA-002</x:v>
      </x:c>
      <x:c r="B327" s="26" t="str">
        <x:v>UI, input y accesibilidad</x:v>
      </x:c>
      <x:c r="C327" s="26" t="str">
        <x:v>31_H6_and_Release_Readiness_Checklist.xlsx</x:v>
      </x:c>
      <x:c r="D327" s="26" t="str">
        <x:v>El foco visual es visible, estable y sigue un orden lógico en las superficies que admiten teclado/mando.</x:v>
      </x:c>
      <x:c r="E327" s="26" t="str">
        <x:v>CHG-RC1-DOC-31</x:v>
      </x:c>
      <x:c r="F327" s="26"/>
      <x:c r="G327" s="26" t="str">
        <x:v>H6-UXA-002</x:v>
      </x:c>
      <x:c r="H327" s="26"/>
      <x:c r="I327" s="26"/>
      <x:c r="J327" s="26" t="str">
        <x:v>NOT RUN</x:v>
      </x:c>
      <x:c r="K327" s="26"/>
      <x:c r="L327" s="26"/>
      <x:c r="M327" s="26" t="str">
        <x:v>RC1</x:v>
      </x:c>
      <x:c r="N327" s="26" t="str">
        <x:v>Defined / Not Executed</x:v>
      </x:c>
      <x:c r="O327" s="26"/>
      <x:c r="P327" s="26" t="str">
        <x:v>UX/Engineering</x:v>
      </x:c>
      <x:c r="Q327" s="26" t="str">
        <x:v>H6; reviewer=Accessibility/QA; gate=Sprint 17 / H6</x:v>
      </x:c>
    </x:row>
    <x:row r="328" ht="30" customHeight="1">
      <x:c r="A328" s="26" t="str">
        <x:v>H6-UXA-003</x:v>
      </x:c>
      <x:c r="B328" s="26" t="str">
        <x:v>UI, input y accesibilidad</x:v>
      </x:c>
      <x:c r="C328" s="26" t="str">
        <x:v>31_H6_and_Release_Readiness_Checklist.xlsx</x:v>
      </x:c>
      <x:c r="D328" s="26" t="str">
        <x:v>Escape/Cancelar respeta la jerarquía de cierre y nunca abandona o modifica estado de forma ambigua.</x:v>
      </x:c>
      <x:c r="E328" s="26" t="str">
        <x:v>CHG-RC1-DOC-31</x:v>
      </x:c>
      <x:c r="F328" s="26"/>
      <x:c r="G328" s="26" t="str">
        <x:v>H6-UXA-003</x:v>
      </x:c>
      <x:c r="H328" s="26"/>
      <x:c r="I328" s="26"/>
      <x:c r="J328" s="26" t="str">
        <x:v>NOT RUN</x:v>
      </x:c>
      <x:c r="K328" s="26"/>
      <x:c r="L328" s="26"/>
      <x:c r="M328" s="26" t="str">
        <x:v>RC1</x:v>
      </x:c>
      <x:c r="N328" s="26" t="str">
        <x:v>Defined / Not Executed</x:v>
      </x:c>
      <x:c r="O328" s="26"/>
      <x:c r="P328" s="26" t="str">
        <x:v>UX/Engineering</x:v>
      </x:c>
      <x:c r="Q328" s="26" t="str">
        <x:v>H6; reviewer=Accessibility/QA; gate=Sprint 17 / H6</x:v>
      </x:c>
    </x:row>
    <x:row r="329" ht="30" customHeight="1">
      <x:c r="A329" s="26" t="str">
        <x:v>H6-UXA-004</x:v>
      </x:c>
      <x:c r="B329" s="26" t="str">
        <x:v>UI, input y accesibilidad</x:v>
      </x:c>
      <x:c r="C329" s="26" t="str">
        <x:v>31_H6_and_Release_Readiness_Checklist.xlsx</x:v>
      </x:c>
      <x:c r="D329" s="26" t="str">
        <x:v>La escala de UI entre 80–150 % funciona en las resoluciones H6 sin ocultar acciones críticas.</x:v>
      </x:c>
      <x:c r="E329" s="26" t="str">
        <x:v>CHG-RC1-DOC-31</x:v>
      </x:c>
      <x:c r="F329" s="26"/>
      <x:c r="G329" s="26" t="str">
        <x:v>H6-UXA-004</x:v>
      </x:c>
      <x:c r="H329" s="26"/>
      <x:c r="I329" s="26"/>
      <x:c r="J329" s="26" t="str">
        <x:v>NOT RUN</x:v>
      </x:c>
      <x:c r="K329" s="26"/>
      <x:c r="L329" s="26"/>
      <x:c r="M329" s="26" t="str">
        <x:v>RC1</x:v>
      </x:c>
      <x:c r="N329" s="26" t="str">
        <x:v>Defined / Not Executed</x:v>
      </x:c>
      <x:c r="O329" s="26"/>
      <x:c r="P329" s="26" t="str">
        <x:v>UX/Engineering</x:v>
      </x:c>
      <x:c r="Q329" s="26" t="str">
        <x:v>H6; reviewer=Accessibility/QA; gate=Sprint 17 / H6</x:v>
      </x:c>
    </x:row>
    <x:row r="330" ht="30" customHeight="1">
      <x:c r="A330" s="26" t="str">
        <x:v>H6-UXA-005</x:v>
      </x:c>
      <x:c r="B330" s="26" t="str">
        <x:v>UI, input y accesibilidad</x:v>
      </x:c>
      <x:c r="C330" s="26" t="str">
        <x:v>31_H6_and_Release_Readiness_Checklist.xlsx</x:v>
      </x:c>
      <x:c r="D330" s="26" t="str">
        <x:v>La escala de texto entre 80–150 % no produce desbordes bloqueantes en ES/EN.</x:v>
      </x:c>
      <x:c r="E330" s="26" t="str">
        <x:v>CHG-RC1-DOC-31</x:v>
      </x:c>
      <x:c r="F330" s="26"/>
      <x:c r="G330" s="26" t="str">
        <x:v>H6-UXA-005</x:v>
      </x:c>
      <x:c r="H330" s="26"/>
      <x:c r="I330" s="26"/>
      <x:c r="J330" s="26" t="str">
        <x:v>NOT RUN</x:v>
      </x:c>
      <x:c r="K330" s="26"/>
      <x:c r="L330" s="26"/>
      <x:c r="M330" s="26" t="str">
        <x:v>RC1</x:v>
      </x:c>
      <x:c r="N330" s="26" t="str">
        <x:v>Defined / Not Executed</x:v>
      </x:c>
      <x:c r="O330" s="26"/>
      <x:c r="P330" s="26" t="str">
        <x:v>UX/Engineering</x:v>
      </x:c>
      <x:c r="Q330" s="26" t="str">
        <x:v>H6; reviewer=Accessibility/QA; gate=Sprint 17 / H6</x:v>
      </x:c>
    </x:row>
    <x:row r="331" ht="30" customHeight="1">
      <x:c r="A331" s="26" t="str">
        <x:v>H6-UXA-006</x:v>
      </x:c>
      <x:c r="B331" s="26" t="str">
        <x:v>UI, input y accesibilidad</x:v>
      </x:c>
      <x:c r="C331" s="26" t="str">
        <x:v>31_H6_and_Release_Readiness_Checklist.xlsx</x:v>
      </x:c>
      <x:c r="D331" s="26" t="str">
        <x:v>La preferencia de reducción de movimiento afecta a todas las animaciones/VFX definidos como reducibles.</x:v>
      </x:c>
      <x:c r="E331" s="26" t="str">
        <x:v>CHG-RC1-DOC-31</x:v>
      </x:c>
      <x:c r="F331" s="26"/>
      <x:c r="G331" s="26" t="str">
        <x:v>H6-UXA-006</x:v>
      </x:c>
      <x:c r="H331" s="26"/>
      <x:c r="I331" s="26"/>
      <x:c r="J331" s="26" t="str">
        <x:v>NOT RUN</x:v>
      </x:c>
      <x:c r="K331" s="26"/>
      <x:c r="L331" s="26"/>
      <x:c r="M331" s="26" t="str">
        <x:v>RC1</x:v>
      </x:c>
      <x:c r="N331" s="26" t="str">
        <x:v>Defined / Not Executed</x:v>
      </x:c>
      <x:c r="O331" s="26"/>
      <x:c r="P331" s="26" t="str">
        <x:v>UX/Engineering</x:v>
      </x:c>
      <x:c r="Q331" s="26" t="str">
        <x:v>H6; reviewer=Accessibility/QA; gate=Sprint 17 / H6</x:v>
      </x:c>
    </x:row>
    <x:row r="332" ht="30" customHeight="1">
      <x:c r="A332" s="26" t="str">
        <x:v>H6-UXA-007</x:v>
      </x:c>
      <x:c r="B332" s="26" t="str">
        <x:v>UI, input y accesibilidad</x:v>
      </x:c>
      <x:c r="C332" s="26" t="str">
        <x:v>31_H6_and_Release_Readiness_Checklist.xlsx</x:v>
      </x:c>
      <x:c r="D332" s="26" t="str">
        <x:v>Los controles y señales críticas no dependen únicamente del color.</x:v>
      </x:c>
      <x:c r="E332" s="26" t="str">
        <x:v>CHG-RC1-DOC-31</x:v>
      </x:c>
      <x:c r="F332" s="26"/>
      <x:c r="G332" s="26" t="str">
        <x:v>H6-UXA-007</x:v>
      </x:c>
      <x:c r="H332" s="26"/>
      <x:c r="I332" s="26"/>
      <x:c r="J332" s="26" t="str">
        <x:v>NOT RUN</x:v>
      </x:c>
      <x:c r="K332" s="26"/>
      <x:c r="L332" s="26"/>
      <x:c r="M332" s="26" t="str">
        <x:v>RC1</x:v>
      </x:c>
      <x:c r="N332" s="26" t="str">
        <x:v>Defined / Not Executed</x:v>
      </x:c>
      <x:c r="O332" s="26"/>
      <x:c r="P332" s="26" t="str">
        <x:v>UX/Engineering</x:v>
      </x:c>
      <x:c r="Q332" s="26" t="str">
        <x:v>H6; reviewer=Accessibility/QA; gate=Sprint 17 / H6</x:v>
      </x:c>
    </x:row>
    <x:row r="333" ht="30" customHeight="1">
      <x:c r="A333" s="26" t="str">
        <x:v>H6-UXA-008</x:v>
      </x:c>
      <x:c r="B333" s="26" t="str">
        <x:v>UI, input y accesibilidad</x:v>
      </x:c>
      <x:c r="C333" s="26" t="str">
        <x:v>31_H6_and_Release_Readiness_Checklist.xlsx</x:v>
      </x:c>
      <x:c r="D333" s="26" t="str">
        <x:v>Errores, rechazos y estados inválidos explican causa y siguiente acción posible.</x:v>
      </x:c>
      <x:c r="E333" s="26" t="str">
        <x:v>CHG-RC1-DOC-31</x:v>
      </x:c>
      <x:c r="F333" s="26"/>
      <x:c r="G333" s="26" t="str">
        <x:v>H6-UXA-008</x:v>
      </x:c>
      <x:c r="H333" s="26"/>
      <x:c r="I333" s="26"/>
      <x:c r="J333" s="26" t="str">
        <x:v>NOT RUN</x:v>
      </x:c>
      <x:c r="K333" s="26"/>
      <x:c r="L333" s="26"/>
      <x:c r="M333" s="26" t="str">
        <x:v>RC1</x:v>
      </x:c>
      <x:c r="N333" s="26" t="str">
        <x:v>Defined / Not Executed</x:v>
      </x:c>
      <x:c r="O333" s="26"/>
      <x:c r="P333" s="26" t="str">
        <x:v>UX/Engineering</x:v>
      </x:c>
      <x:c r="Q333" s="26" t="str">
        <x:v>H6; reviewer=Accessibility/QA; gate=Sprint 17 / H6</x:v>
      </x:c>
    </x:row>
    <x:row r="334" ht="30" customHeight="1">
      <x:c r="A334" s="26" t="str">
        <x:v>H6-UXA-009</x:v>
      </x:c>
      <x:c r="B334" s="26" t="str">
        <x:v>UI, input y accesibilidad</x:v>
      </x:c>
      <x:c r="C334" s="26" t="str">
        <x:v>31_H6_and_Release_Readiness_Checklist.xlsx</x:v>
      </x:c>
      <x:c r="D334" s="26" t="str">
        <x:v>Las confirmaciones destructivas configurables se aplican de forma consistente.</x:v>
      </x:c>
      <x:c r="E334" s="26" t="str">
        <x:v>CHG-RC1-DOC-31</x:v>
      </x:c>
      <x:c r="F334" s="26"/>
      <x:c r="G334" s="26" t="str">
        <x:v>H6-UXA-009</x:v>
      </x:c>
      <x:c r="H334" s="26"/>
      <x:c r="I334" s="26"/>
      <x:c r="J334" s="26" t="str">
        <x:v>NOT RUN</x:v>
      </x:c>
      <x:c r="K334" s="26"/>
      <x:c r="L334" s="26"/>
      <x:c r="M334" s="26" t="str">
        <x:v>RC1</x:v>
      </x:c>
      <x:c r="N334" s="26" t="str">
        <x:v>Defined / Not Executed</x:v>
      </x:c>
      <x:c r="O334" s="26"/>
      <x:c r="P334" s="26" t="str">
        <x:v>UX/Engineering</x:v>
      </x:c>
      <x:c r="Q334" s="26" t="str">
        <x:v>H6; reviewer=Accessibility/QA; gate=Sprint 17 / H6</x:v>
      </x:c>
    </x:row>
    <x:row r="335" ht="30" customHeight="1">
      <x:c r="A335" s="26" t="str">
        <x:v>H6-UXA-010</x:v>
      </x:c>
      <x:c r="B335" s="26" t="str">
        <x:v>UI, input y accesibilidad</x:v>
      </x:c>
      <x:c r="C335" s="26" t="str">
        <x:v>31_H6_and_Release_Readiness_Checklist.xlsx</x:v>
      </x:c>
      <x:c r="D335" s="26" t="str">
        <x:v>El tutorial o guía permite completar el Golden Path sin depender de texto de debug.</x:v>
      </x:c>
      <x:c r="E335" s="26" t="str">
        <x:v>CHG-RC1-DOC-31</x:v>
      </x:c>
      <x:c r="F335" s="26"/>
      <x:c r="G335" s="26" t="str">
        <x:v>H6-UXA-010</x:v>
      </x:c>
      <x:c r="H335" s="26"/>
      <x:c r="I335" s="26"/>
      <x:c r="J335" s="26" t="str">
        <x:v>NOT RUN</x:v>
      </x:c>
      <x:c r="K335" s="26"/>
      <x:c r="L335" s="26"/>
      <x:c r="M335" s="26" t="str">
        <x:v>RC1</x:v>
      </x:c>
      <x:c r="N335" s="26" t="str">
        <x:v>Defined / Not Executed</x:v>
      </x:c>
      <x:c r="O335" s="26"/>
      <x:c r="P335" s="26" t="str">
        <x:v>UX/Engineering</x:v>
      </x:c>
      <x:c r="Q335" s="26" t="str">
        <x:v>H6; reviewer=Accessibility/QA; gate=Sprint 17 / H6</x:v>
      </x:c>
    </x:row>
    <x:row r="336" ht="30" customHeight="1">
      <x:c r="A336" s="26" t="str">
        <x:v>H6-UXA-011</x:v>
      </x:c>
      <x:c r="B336" s="26" t="str">
        <x:v>UI, input y accesibilidad</x:v>
      </x:c>
      <x:c r="C336" s="26" t="str">
        <x:v>31_H6_and_Release_Readiness_Checklist.xlsx</x:v>
      </x:c>
      <x:c r="D336" s="26" t="str">
        <x:v>Las opciones globales persisten entre sesiones y slots según su alcance definido.</x:v>
      </x:c>
      <x:c r="E336" s="26" t="str">
        <x:v>CHG-RC1-DOC-31</x:v>
      </x:c>
      <x:c r="F336" s="26"/>
      <x:c r="G336" s="26" t="str">
        <x:v>H6-UXA-011</x:v>
      </x:c>
      <x:c r="H336" s="26"/>
      <x:c r="I336" s="26"/>
      <x:c r="J336" s="26" t="str">
        <x:v>NOT RUN</x:v>
      </x:c>
      <x:c r="K336" s="26"/>
      <x:c r="L336" s="26"/>
      <x:c r="M336" s="26" t="str">
        <x:v>RC1</x:v>
      </x:c>
      <x:c r="N336" s="26" t="str">
        <x:v>Defined / Not Executed</x:v>
      </x:c>
      <x:c r="O336" s="26"/>
      <x:c r="P336" s="26" t="str">
        <x:v>UX/Engineering</x:v>
      </x:c>
      <x:c r="Q336" s="26" t="str">
        <x:v>H6; reviewer=Accessibility/QA; gate=Sprint 17 / H6</x:v>
      </x:c>
    </x:row>
    <x:row r="337" ht="30" customHeight="1">
      <x:c r="A337" s="26" t="str">
        <x:v>H6-UXA-012</x:v>
      </x:c>
      <x:c r="B337" s="26" t="str">
        <x:v>UI, input y accesibilidad</x:v>
      </x:c>
      <x:c r="C337" s="26" t="str">
        <x:v>31_H6_and_Release_Readiness_Checklist.xlsx</x:v>
      </x:c>
      <x:c r="D337" s="26" t="str">
        <x:v>La UI no corta precios, cantidades, IDs visibles o acciones esenciales en 1080p y resolución mínima aprobada.</x:v>
      </x:c>
      <x:c r="E337" s="26" t="str">
        <x:v>CHG-RC1-DOC-31</x:v>
      </x:c>
      <x:c r="F337" s="26"/>
      <x:c r="G337" s="26" t="str">
        <x:v>H6-UXA-012</x:v>
      </x:c>
      <x:c r="H337" s="26"/>
      <x:c r="I337" s="26"/>
      <x:c r="J337" s="26" t="str">
        <x:v>NOT RUN</x:v>
      </x:c>
      <x:c r="K337" s="26"/>
      <x:c r="L337" s="26"/>
      <x:c r="M337" s="26" t="str">
        <x:v>RC1</x:v>
      </x:c>
      <x:c r="N337" s="26" t="str">
        <x:v>Defined / Not Executed</x:v>
      </x:c>
      <x:c r="O337" s="26"/>
      <x:c r="P337" s="26" t="str">
        <x:v>UX/Engineering</x:v>
      </x:c>
      <x:c r="Q337" s="26" t="str">
        <x:v>H6; reviewer=Accessibility/QA; gate=Sprint 17 / H6</x:v>
      </x:c>
    </x:row>
    <x:row r="338" ht="30" customHeight="1">
      <x:c r="A338" s="26" t="str">
        <x:v>H6-UXA-013</x:v>
      </x:c>
      <x:c r="B338" s="26" t="str">
        <x:v>UI, input y accesibilidad</x:v>
      </x:c>
      <x:c r="C338" s="26" t="str">
        <x:v>31_H6_and_Release_Readiness_Checklist.xlsx</x:v>
      </x:c>
      <x:c r="D338" s="26" t="str">
        <x:v>Las alertas y notificaciones tienen duración suficiente o configuración compatible con accesibilidad cognitiva.</x:v>
      </x:c>
      <x:c r="E338" s="26" t="str">
        <x:v>CHG-RC1-DOC-31</x:v>
      </x:c>
      <x:c r="F338" s="26"/>
      <x:c r="G338" s="26" t="str">
        <x:v>H6-UXA-013</x:v>
      </x:c>
      <x:c r="H338" s="26"/>
      <x:c r="I338" s="26"/>
      <x:c r="J338" s="26" t="str">
        <x:v>NOT RUN</x:v>
      </x:c>
      <x:c r="K338" s="26"/>
      <x:c r="L338" s="26"/>
      <x:c r="M338" s="26" t="str">
        <x:v>RC1</x:v>
      </x:c>
      <x:c r="N338" s="26" t="str">
        <x:v>Defined / Not Executed</x:v>
      </x:c>
      <x:c r="O338" s="26"/>
      <x:c r="P338" s="26" t="str">
        <x:v>UX/Engineering</x:v>
      </x:c>
      <x:c r="Q338" s="26" t="str">
        <x:v>H6; reviewer=Accessibility/QA; gate=Sprint 17 / H6</x:v>
      </x:c>
    </x:row>
    <x:row r="339" ht="30" customHeight="1">
      <x:c r="A339" s="26" t="str">
        <x:v>H6-UXA-014</x:v>
      </x:c>
      <x:c r="B339" s="26" t="str">
        <x:v>UI, input y accesibilidad</x:v>
      </x:c>
      <x:c r="C339" s="26" t="str">
        <x:v>31_H6_and_Release_Readiness_Checklist.xlsx</x:v>
      </x:c>
      <x:c r="D339" s="26" t="str">
        <x:v>Las características no implementadas —remapeo completo, narración, subtítulos o mando integral— no se declaran como disponibles.</x:v>
      </x:c>
      <x:c r="E339" s="26" t="str">
        <x:v>CHG-RC1-DOC-31</x:v>
      </x:c>
      <x:c r="F339" s="26"/>
      <x:c r="G339" s="26" t="str">
        <x:v>H6-UXA-014</x:v>
      </x:c>
      <x:c r="H339" s="26"/>
      <x:c r="I339" s="26"/>
      <x:c r="J339" s="26" t="str">
        <x:v>NOT RUN</x:v>
      </x:c>
      <x:c r="K339" s="26"/>
      <x:c r="L339" s="26"/>
      <x:c r="M339" s="26" t="str">
        <x:v>RC1</x:v>
      </x:c>
      <x:c r="N339" s="26" t="str">
        <x:v>Defined / Not Executed</x:v>
      </x:c>
      <x:c r="O339" s="26"/>
      <x:c r="P339" s="26" t="str">
        <x:v>UX/Engineering</x:v>
      </x:c>
      <x:c r="Q339" s="26" t="str">
        <x:v>H6; reviewer=Accessibility/QA; gate=Sprint 17 / H6</x:v>
      </x:c>
    </x:row>
    <x:row r="340" ht="30" customHeight="1">
      <x:c r="A340" s="26" t="str">
        <x:v>H6-LOC-001</x:v>
      </x:c>
      <x:c r="B340" s="26" t="str">
        <x:v>Localización ES/EN</x:v>
      </x:c>
      <x:c r="C340" s="26" t="str">
        <x:v>31_H6_and_Release_Readiness_Checklist.xlsx</x:v>
      </x:c>
      <x:c r="D340" s="26" t="str">
        <x:v>Todas las strings runtime incluidas en H6 usan claves canónicas y no texto hardcodeado salvo excepción aprobada.</x:v>
      </x:c>
      <x:c r="E340" s="26" t="str">
        <x:v>CHG-RC1-DOC-31</x:v>
      </x:c>
      <x:c r="F340" s="26"/>
      <x:c r="G340" s="26" t="str">
        <x:v>H6-LOC-001</x:v>
      </x:c>
      <x:c r="H340" s="26"/>
      <x:c r="I340" s="26"/>
      <x:c r="J340" s="26" t="str">
        <x:v>NOT RUN</x:v>
      </x:c>
      <x:c r="K340" s="26"/>
      <x:c r="L340" s="26"/>
      <x:c r="M340" s="26" t="str">
        <x:v>RC1</x:v>
      </x:c>
      <x:c r="N340" s="26" t="str">
        <x:v>Defined / Not Executed</x:v>
      </x:c>
      <x:c r="O340" s="26"/>
      <x:c r="P340" s="26" t="str">
        <x:v>Localization/UX</x:v>
      </x:c>
      <x:c r="Q340" s="26" t="str">
        <x:v>H6; reviewer=LQA/QA; gate=Sprint 17 / H6</x:v>
      </x:c>
    </x:row>
    <x:row r="341" ht="30" customHeight="1">
      <x:c r="A341" s="26" t="str">
        <x:v>H6-LOC-002</x:v>
      </x:c>
      <x:c r="B341" s="26" t="str">
        <x:v>Localización ES/EN</x:v>
      </x:c>
      <x:c r="C341" s="26" t="str">
        <x:v>31_H6_and_Release_Readiness_Checklist.xlsx</x:v>
      </x:c>
      <x:c r="D341" s="26" t="str">
        <x:v>Las tablas es-ES y en-US contienen todas las entradas referenciadas en el alcance H6.</x:v>
      </x:c>
      <x:c r="E341" s="26" t="str">
        <x:v>CHG-RC1-DOC-31</x:v>
      </x:c>
      <x:c r="F341" s="26"/>
      <x:c r="G341" s="26" t="str">
        <x:v>H6-LOC-002</x:v>
      </x:c>
      <x:c r="H341" s="26"/>
      <x:c r="I341" s="26"/>
      <x:c r="J341" s="26" t="str">
        <x:v>NOT RUN</x:v>
      </x:c>
      <x:c r="K341" s="26"/>
      <x:c r="L341" s="26"/>
      <x:c r="M341" s="26" t="str">
        <x:v>RC1</x:v>
      </x:c>
      <x:c r="N341" s="26" t="str">
        <x:v>Defined / Not Executed</x:v>
      </x:c>
      <x:c r="O341" s="26"/>
      <x:c r="P341" s="26" t="str">
        <x:v>Localization/UX</x:v>
      </x:c>
      <x:c r="Q341" s="26" t="str">
        <x:v>H6; reviewer=LQA/QA; gate=Sprint 17 / H6</x:v>
      </x:c>
    </x:row>
    <x:row r="342" ht="30" customHeight="1">
      <x:c r="A342" s="26" t="str">
        <x:v>H6-LOC-003</x:v>
      </x:c>
      <x:c r="B342" s="26" t="str">
        <x:v>Localización ES/EN</x:v>
      </x:c>
      <x:c r="C342" s="26" t="str">
        <x:v>31_H6_and_Release_Readiness_Checklist.xlsx</x:v>
      </x:c>
      <x:c r="D342" s="26" t="str">
        <x:v>No aparecen claves, tokens, placeholders o fallbacks visibles durante el Golden Path en ambos idiomas.</x:v>
      </x:c>
      <x:c r="E342" s="26" t="str">
        <x:v>CHG-RC1-DOC-31</x:v>
      </x:c>
      <x:c r="F342" s="26"/>
      <x:c r="G342" s="26" t="str">
        <x:v>H6-LOC-003</x:v>
      </x:c>
      <x:c r="H342" s="26"/>
      <x:c r="I342" s="26"/>
      <x:c r="J342" s="26" t="str">
        <x:v>NOT RUN</x:v>
      </x:c>
      <x:c r="K342" s="26"/>
      <x:c r="L342" s="26"/>
      <x:c r="M342" s="26" t="str">
        <x:v>RC1</x:v>
      </x:c>
      <x:c r="N342" s="26" t="str">
        <x:v>Defined / Not Executed</x:v>
      </x:c>
      <x:c r="O342" s="26"/>
      <x:c r="P342" s="26" t="str">
        <x:v>Localization/UX</x:v>
      </x:c>
      <x:c r="Q342" s="26" t="str">
        <x:v>H6; reviewer=LQA/QA; gate=Sprint 17 / H6</x:v>
      </x:c>
    </x:row>
    <x:row r="343" ht="30" customHeight="1">
      <x:c r="A343" s="26" t="str">
        <x:v>H6-LOC-004</x:v>
      </x:c>
      <x:c r="B343" s="26" t="str">
        <x:v>Localización ES/EN</x:v>
      </x:c>
      <x:c r="C343" s="26" t="str">
        <x:v>31_H6_and_Release_Readiness_Checklist.xlsx</x:v>
      </x:c>
      <x:c r="D343" s="26" t="str">
        <x:v>El cambio de idioma es reproducible y persiste según el alcance de preferencias.</x:v>
      </x:c>
      <x:c r="E343" s="26" t="str">
        <x:v>CHG-RC1-DOC-31</x:v>
      </x:c>
      <x:c r="F343" s="26"/>
      <x:c r="G343" s="26" t="str">
        <x:v>H6-LOC-004</x:v>
      </x:c>
      <x:c r="H343" s="26"/>
      <x:c r="I343" s="26"/>
      <x:c r="J343" s="26" t="str">
        <x:v>NOT RUN</x:v>
      </x:c>
      <x:c r="K343" s="26"/>
      <x:c r="L343" s="26"/>
      <x:c r="M343" s="26" t="str">
        <x:v>RC1</x:v>
      </x:c>
      <x:c r="N343" s="26" t="str">
        <x:v>Defined / Not Executed</x:v>
      </x:c>
      <x:c r="O343" s="26"/>
      <x:c r="P343" s="26" t="str">
        <x:v>Localization/UX</x:v>
      </x:c>
      <x:c r="Q343" s="26" t="str">
        <x:v>H6; reviewer=LQA/QA; gate=Sprint 17 / H6</x:v>
      </x:c>
    </x:row>
    <x:row r="344" ht="30" customHeight="1">
      <x:c r="A344" s="26" t="str">
        <x:v>H6-LOC-005</x:v>
      </x:c>
      <x:c r="B344" s="26" t="str">
        <x:v>Localización ES/EN</x:v>
      </x:c>
      <x:c r="C344" s="26" t="str">
        <x:v>31_H6_and_Release_Readiness_Checklist.xlsx</x:v>
      </x:c>
      <x:c r="D344" s="26" t="str">
        <x:v>Moneda, números, porcentajes, fechas y plurales se formatean mediante locale y no concatenación frágil.</x:v>
      </x:c>
      <x:c r="E344" s="26" t="str">
        <x:v>CHG-RC1-DOC-31</x:v>
      </x:c>
      <x:c r="F344" s="26"/>
      <x:c r="G344" s="26" t="str">
        <x:v>H6-LOC-005</x:v>
      </x:c>
      <x:c r="H344" s="26"/>
      <x:c r="I344" s="26"/>
      <x:c r="J344" s="26" t="str">
        <x:v>NOT RUN</x:v>
      </x:c>
      <x:c r="K344" s="26"/>
      <x:c r="L344" s="26"/>
      <x:c r="M344" s="26" t="str">
        <x:v>RC1</x:v>
      </x:c>
      <x:c r="N344" s="26" t="str">
        <x:v>Defined / Not Executed</x:v>
      </x:c>
      <x:c r="O344" s="26"/>
      <x:c r="P344" s="26" t="str">
        <x:v>Localization/UX</x:v>
      </x:c>
      <x:c r="Q344" s="26" t="str">
        <x:v>H6; reviewer=LQA/QA; gate=Sprint 17 / H6</x:v>
      </x:c>
    </x:row>
    <x:row r="345" ht="30" customHeight="1">
      <x:c r="A345" s="26" t="str">
        <x:v>H6-LOC-006</x:v>
      </x:c>
      <x:c r="B345" s="26" t="str">
        <x:v>Localización ES/EN</x:v>
      </x:c>
      <x:c r="C345" s="26" t="str">
        <x:v>31_H6_and_Release_Readiness_Checklist.xlsx</x:v>
      </x:c>
      <x:c r="D345" s="26" t="str">
        <x:v>La fuente final o aprobada contiene todos los glyphs necesarios y tiene fallback controlado.</x:v>
      </x:c>
      <x:c r="E345" s="26" t="str">
        <x:v>CHG-RC1-DOC-31</x:v>
      </x:c>
      <x:c r="F345" s="26"/>
      <x:c r="G345" s="26" t="str">
        <x:v>H6-LOC-006</x:v>
      </x:c>
      <x:c r="H345" s="26"/>
      <x:c r="I345" s="26"/>
      <x:c r="J345" s="26" t="str">
        <x:v>NOT RUN</x:v>
      </x:c>
      <x:c r="K345" s="26"/>
      <x:c r="L345" s="26"/>
      <x:c r="M345" s="26" t="str">
        <x:v>RC1</x:v>
      </x:c>
      <x:c r="N345" s="26" t="str">
        <x:v>Defined / Not Executed</x:v>
      </x:c>
      <x:c r="O345" s="26"/>
      <x:c r="P345" s="26" t="str">
        <x:v>Localization/UX</x:v>
      </x:c>
      <x:c r="Q345" s="26" t="str">
        <x:v>H6; reviewer=LQA/QA; gate=Sprint 17 / H6</x:v>
      </x:c>
    </x:row>
    <x:row r="346" ht="30" customHeight="1">
      <x:c r="A346" s="26" t="str">
        <x:v>H6-LOC-007</x:v>
      </x:c>
      <x:c r="B346" s="26" t="str">
        <x:v>Localización ES/EN</x:v>
      </x:c>
      <x:c r="C346" s="26" t="str">
        <x:v>31_H6_and_Release_Readiness_Checklist.xlsx</x:v>
      </x:c>
      <x:c r="D346" s="26" t="str">
        <x:v>La pseudolocalización no produce desbordes o recortes bloqueantes.</x:v>
      </x:c>
      <x:c r="E346" s="26" t="str">
        <x:v>CHG-RC1-DOC-31</x:v>
      </x:c>
      <x:c r="F346" s="26"/>
      <x:c r="G346" s="26" t="str">
        <x:v>H6-LOC-007</x:v>
      </x:c>
      <x:c r="H346" s="26"/>
      <x:c r="I346" s="26"/>
      <x:c r="J346" s="26" t="str">
        <x:v>NOT RUN</x:v>
      </x:c>
      <x:c r="K346" s="26"/>
      <x:c r="L346" s="26"/>
      <x:c r="M346" s="26" t="str">
        <x:v>RC1</x:v>
      </x:c>
      <x:c r="N346" s="26" t="str">
        <x:v>Defined / Not Executed</x:v>
      </x:c>
      <x:c r="O346" s="26"/>
      <x:c r="P346" s="26" t="str">
        <x:v>Localization/UX</x:v>
      </x:c>
      <x:c r="Q346" s="26" t="str">
        <x:v>H6; reviewer=LQA/QA; gate=Sprint 17 / H6</x:v>
      </x:c>
    </x:row>
    <x:row r="347" ht="30" customHeight="1">
      <x:c r="A347" s="26" t="str">
        <x:v>H6-LOC-008</x:v>
      </x:c>
      <x:c r="B347" s="26" t="str">
        <x:v>Localización ES/EN</x:v>
      </x:c>
      <x:c r="C347" s="26" t="str">
        <x:v>31_H6_and_Release_Readiness_Checklist.xlsx</x:v>
      </x:c>
      <x:c r="D347" s="26" t="str">
        <x:v>Los comentarios de contexto, variables y límites están completos para entradas H6.</x:v>
      </x:c>
      <x:c r="E347" s="26" t="str">
        <x:v>CHG-RC1-DOC-31</x:v>
      </x:c>
      <x:c r="F347" s="26"/>
      <x:c r="G347" s="26" t="str">
        <x:v>H6-LOC-008</x:v>
      </x:c>
      <x:c r="H347" s="26"/>
      <x:c r="I347" s="26"/>
      <x:c r="J347" s="26" t="str">
        <x:v>NOT RUN</x:v>
      </x:c>
      <x:c r="K347" s="26"/>
      <x:c r="L347" s="26"/>
      <x:c r="M347" s="26" t="str">
        <x:v>RC1</x:v>
      </x:c>
      <x:c r="N347" s="26" t="str">
        <x:v>Defined / Not Executed</x:v>
      </x:c>
      <x:c r="O347" s="26"/>
      <x:c r="P347" s="26" t="str">
        <x:v>Localization/UX</x:v>
      </x:c>
      <x:c r="Q347" s="26" t="str">
        <x:v>H6; reviewer=LQA/QA; gate=Sprint 17 / H6</x:v>
      </x:c>
    </x:row>
    <x:row r="348" ht="30" customHeight="1">
      <x:c r="A348" s="26" t="str">
        <x:v>H6-LOC-009</x:v>
      </x:c>
      <x:c r="B348" s="26" t="str">
        <x:v>Localización ES/EN</x:v>
      </x:c>
      <x:c r="C348" s="26" t="str">
        <x:v>31_H6_and_Release_Readiness_Checklist.xlsx</x:v>
      </x:c>
      <x:c r="D348" s="26" t="str">
        <x:v>El glosario de términos de juego está aprobado y aplicado de forma consistente en ES/EN.</x:v>
      </x:c>
      <x:c r="E348" s="26" t="str">
        <x:v>CHG-RC1-DOC-31</x:v>
      </x:c>
      <x:c r="F348" s="26"/>
      <x:c r="G348" s="26" t="str">
        <x:v>H6-LOC-009</x:v>
      </x:c>
      <x:c r="H348" s="26"/>
      <x:c r="I348" s="26"/>
      <x:c r="J348" s="26" t="str">
        <x:v>NOT RUN</x:v>
      </x:c>
      <x:c r="K348" s="26"/>
      <x:c r="L348" s="26"/>
      <x:c r="M348" s="26" t="str">
        <x:v>RC1</x:v>
      </x:c>
      <x:c r="N348" s="26" t="str">
        <x:v>Defined / Not Executed</x:v>
      </x:c>
      <x:c r="O348" s="26"/>
      <x:c r="P348" s="26" t="str">
        <x:v>Localization/UX</x:v>
      </x:c>
      <x:c r="Q348" s="26" t="str">
        <x:v>H6; reviewer=LQA/QA; gate=Sprint 17 / H6</x:v>
      </x:c>
    </x:row>
    <x:row r="349" ht="30" customHeight="1">
      <x:c r="A349" s="26" t="str">
        <x:v>H6-LOC-010</x:v>
      </x:c>
      <x:c r="B349" s="26" t="str">
        <x:v>Localización ES/EN</x:v>
      </x:c>
      <x:c r="C349" s="26" t="str">
        <x:v>31_H6_and_Release_Readiness_Checklist.xlsx</x:v>
      </x:c>
      <x:c r="D349" s="26" t="str">
        <x:v>No existen strings de Sprint, phase, debug o instrucciones internas en la build H6.</x:v>
      </x:c>
      <x:c r="E349" s="26" t="str">
        <x:v>CHG-RC1-DOC-31</x:v>
      </x:c>
      <x:c r="F349" s="26"/>
      <x:c r="G349" s="26" t="str">
        <x:v>H6-LOC-010</x:v>
      </x:c>
      <x:c r="H349" s="26"/>
      <x:c r="I349" s="26"/>
      <x:c r="J349" s="26" t="str">
        <x:v>NOT RUN</x:v>
      </x:c>
      <x:c r="K349" s="26"/>
      <x:c r="L349" s="26"/>
      <x:c r="M349" s="26" t="str">
        <x:v>RC1</x:v>
      </x:c>
      <x:c r="N349" s="26" t="str">
        <x:v>Defined / Not Executed</x:v>
      </x:c>
      <x:c r="O349" s="26"/>
      <x:c r="P349" s="26" t="str">
        <x:v>Localization/UX</x:v>
      </x:c>
      <x:c r="Q349" s="26" t="str">
        <x:v>H6; reviewer=LQA/QA; gate=Sprint 17 / H6</x:v>
      </x:c>
    </x:row>
    <x:row r="350" ht="30" customHeight="1">
      <x:c r="A350" s="26" t="str">
        <x:v>H6-LOC-011</x:v>
      </x:c>
      <x:c r="B350" s="26" t="str">
        <x:v>Localización ES/EN</x:v>
      </x:c>
      <x:c r="C350" s="26" t="str">
        <x:v>31_H6_and_Release_Readiness_Checklist.xlsx</x:v>
      </x:c>
      <x:c r="D350" s="26" t="str">
        <x:v>Los archivos de localización, Shared Data, .meta y dependencias están versionados y sobreviven a clean checkout.</x:v>
      </x:c>
      <x:c r="E350" s="26" t="str">
        <x:v>CHG-RC1-DOC-31</x:v>
      </x:c>
      <x:c r="F350" s="26"/>
      <x:c r="G350" s="26" t="str">
        <x:v>H6-LOC-011</x:v>
      </x:c>
      <x:c r="H350" s="26"/>
      <x:c r="I350" s="26"/>
      <x:c r="J350" s="26" t="str">
        <x:v>NOT RUN</x:v>
      </x:c>
      <x:c r="K350" s="26"/>
      <x:c r="L350" s="26"/>
      <x:c r="M350" s="26" t="str">
        <x:v>RC1</x:v>
      </x:c>
      <x:c r="N350" s="26" t="str">
        <x:v>Defined / Not Executed</x:v>
      </x:c>
      <x:c r="O350" s="26"/>
      <x:c r="P350" s="26" t="str">
        <x:v>Localization/UX</x:v>
      </x:c>
      <x:c r="Q350" s="26" t="str">
        <x:v>H6; reviewer=LQA/QA; gate=Sprint 17 / H6</x:v>
      </x:c>
    </x:row>
    <x:row r="351" ht="30" customHeight="1">
      <x:c r="A351" s="26" t="str">
        <x:v>H6-LOC-012</x:v>
      </x:c>
      <x:c r="B351" s="26" t="str">
        <x:v>Localización ES/EN</x:v>
      </x:c>
      <x:c r="C351" s="26" t="str">
        <x:v>31_H6_and_Release_Readiness_Checklist.xlsx</x:v>
      </x:c>
      <x:c r="D351" s="26" t="str">
        <x:v>Player.log no contiene missing table, missing entry, glyph o format exception recurrentes.</x:v>
      </x:c>
      <x:c r="E351" s="26" t="str">
        <x:v>CHG-RC1-DOC-31</x:v>
      </x:c>
      <x:c r="F351" s="26"/>
      <x:c r="G351" s="26" t="str">
        <x:v>H6-LOC-012</x:v>
      </x:c>
      <x:c r="H351" s="26"/>
      <x:c r="I351" s="26"/>
      <x:c r="J351" s="26" t="str">
        <x:v>NOT RUN</x:v>
      </x:c>
      <x:c r="K351" s="26"/>
      <x:c r="L351" s="26"/>
      <x:c r="M351" s="26" t="str">
        <x:v>RC1</x:v>
      </x:c>
      <x:c r="N351" s="26" t="str">
        <x:v>Defined / Not Executed</x:v>
      </x:c>
      <x:c r="O351" s="26"/>
      <x:c r="P351" s="26" t="str">
        <x:v>Localization/UX</x:v>
      </x:c>
      <x:c r="Q351" s="26" t="str">
        <x:v>H6; reviewer=LQA/QA; gate=Sprint 17 / H6</x:v>
      </x:c>
    </x:row>
    <x:row r="352" ht="30" customHeight="1">
      <x:c r="A352" s="26" t="str">
        <x:v>H6-LOC-013</x:v>
      </x:c>
      <x:c r="B352" s="26" t="str">
        <x:v>Localización ES/EN</x:v>
      </x:c>
      <x:c r="C352" s="26" t="str">
        <x:v>31_H6_and_Release_Readiness_Checklist.xlsx</x:v>
      </x:c>
      <x:c r="D352" s="26" t="str">
        <x:v>La localización H6 funciona sin conexión de red.</x:v>
      </x:c>
      <x:c r="E352" s="26" t="str">
        <x:v>CHG-RC1-DOC-31</x:v>
      </x:c>
      <x:c r="F352" s="26"/>
      <x:c r="G352" s="26" t="str">
        <x:v>H6-LOC-013</x:v>
      </x:c>
      <x:c r="H352" s="26"/>
      <x:c r="I352" s="26"/>
      <x:c r="J352" s="26" t="str">
        <x:v>NOT RUN</x:v>
      </x:c>
      <x:c r="K352" s="26"/>
      <x:c r="L352" s="26"/>
      <x:c r="M352" s="26" t="str">
        <x:v>RC1</x:v>
      </x:c>
      <x:c r="N352" s="26" t="str">
        <x:v>Defined / Not Executed</x:v>
      </x:c>
      <x:c r="O352" s="26"/>
      <x:c r="P352" s="26" t="str">
        <x:v>Localization/UX</x:v>
      </x:c>
      <x:c r="Q352" s="26" t="str">
        <x:v>H6; reviewer=LQA/QA; gate=Sprint 17 / H6</x:v>
      </x:c>
    </x:row>
    <x:row r="353" ht="30" customHeight="1">
      <x:c r="A353" s="26" t="str">
        <x:v>H6-LOC-014</x:v>
      </x:c>
      <x:c r="B353" s="26" t="str">
        <x:v>Localización ES/EN</x:v>
      </x:c>
      <x:c r="C353" s="26" t="str">
        <x:v>31_H6_and_Release_Readiness_Checklist.xlsx</x:v>
      </x:c>
      <x:c r="D353" s="26" t="str">
        <x:v>Los créditos de traducción y proveedores están preparados sin exponer datos personales no autorizados.</x:v>
      </x:c>
      <x:c r="E353" s="26" t="str">
        <x:v>CHG-RC1-DOC-31</x:v>
      </x:c>
      <x:c r="F353" s="26"/>
      <x:c r="G353" s="26" t="str">
        <x:v>H6-LOC-014</x:v>
      </x:c>
      <x:c r="H353" s="26"/>
      <x:c r="I353" s="26"/>
      <x:c r="J353" s="26" t="str">
        <x:v>NOT RUN</x:v>
      </x:c>
      <x:c r="K353" s="26"/>
      <x:c r="L353" s="26"/>
      <x:c r="M353" s="26" t="str">
        <x:v>RC1</x:v>
      </x:c>
      <x:c r="N353" s="26" t="str">
        <x:v>Defined / Not Executed</x:v>
      </x:c>
      <x:c r="O353" s="26"/>
      <x:c r="P353" s="26" t="str">
        <x:v>Localization/UX</x:v>
      </x:c>
      <x:c r="Q353" s="26" t="str">
        <x:v>H6; reviewer=LQA/QA; gate=Sprint 17 / H6</x:v>
      </x:c>
    </x:row>
    <x:row r="354" ht="30" customHeight="1">
      <x:c r="A354" s="26" t="str">
        <x:v>H6-ART-001</x:v>
      </x:c>
      <x:c r="B354" s="26" t="str">
        <x:v>Arte y presentación</x:v>
      </x:c>
      <x:c r="C354" s="26" t="str">
        <x:v>31_H6_and_Release_Readiness_Checklist.xlsx</x:v>
      </x:c>
      <x:c r="D354" s="26" t="str">
        <x:v>La dirección visual de la candidata coincide con el target aprobado para Tier E/StoreInitial.</x:v>
      </x:c>
      <x:c r="E354" s="26" t="str">
        <x:v>CHG-RC1-DOC-31</x:v>
      </x:c>
      <x:c r="F354" s="26"/>
      <x:c r="G354" s="26" t="str">
        <x:v>H6-ART-001</x:v>
      </x:c>
      <x:c r="H354" s="26"/>
      <x:c r="I354" s="26"/>
      <x:c r="J354" s="26" t="str">
        <x:v>NOT RUN</x:v>
      </x:c>
      <x:c r="K354" s="26"/>
      <x:c r="L354" s="26"/>
      <x:c r="M354" s="26" t="str">
        <x:v>RC1</x:v>
      </x:c>
      <x:c r="N354" s="26" t="str">
        <x:v>Defined / Not Executed</x:v>
      </x:c>
      <x:c r="O354" s="26"/>
      <x:c r="P354" s="26" t="str">
        <x:v>Art</x:v>
      </x:c>
      <x:c r="Q354" s="26" t="str">
        <x:v>H6; reviewer=Art Direction/Legal/QA; gate=Sprint 16 / H6</x:v>
      </x:c>
    </x:row>
    <x:row r="355" ht="30" customHeight="1">
      <x:c r="A355" s="26" t="str">
        <x:v>H6-ART-002</x:v>
      </x:c>
      <x:c r="B355" s="26" t="str">
        <x:v>Arte y presentación</x:v>
      </x:c>
      <x:c r="C355" s="26" t="str">
        <x:v>31_H6_and_Release_Readiness_Checklist.xlsx</x:v>
      </x:c>
      <x:c r="D355" s="26" t="str">
        <x:v>Los assets incluidos tienen escala, pivote, orientación, naming y prefab correctos.</x:v>
      </x:c>
      <x:c r="E355" s="26" t="str">
        <x:v>CHG-RC1-DOC-31</x:v>
      </x:c>
      <x:c r="F355" s="26"/>
      <x:c r="G355" s="26" t="str">
        <x:v>H6-ART-002</x:v>
      </x:c>
      <x:c r="H355" s="26"/>
      <x:c r="I355" s="26"/>
      <x:c r="J355" s="26" t="str">
        <x:v>NOT RUN</x:v>
      </x:c>
      <x:c r="K355" s="26"/>
      <x:c r="L355" s="26"/>
      <x:c r="M355" s="26" t="str">
        <x:v>RC1</x:v>
      </x:c>
      <x:c r="N355" s="26" t="str">
        <x:v>Defined / Not Executed</x:v>
      </x:c>
      <x:c r="O355" s="26"/>
      <x:c r="P355" s="26" t="str">
        <x:v>Art</x:v>
      </x:c>
      <x:c r="Q355" s="26" t="str">
        <x:v>H6; reviewer=Art Direction/Legal/QA; gate=Sprint 16 / H6</x:v>
      </x:c>
    </x:row>
    <x:row r="356" ht="30" customHeight="1">
      <x:c r="A356" s="26" t="str">
        <x:v>H6-ART-003</x:v>
      </x:c>
      <x:c r="B356" s="26" t="str">
        <x:v>Arte y presentación</x:v>
      </x:c>
      <x:c r="C356" s="26" t="str">
        <x:v>31_H6_and_Release_Readiness_Checklist.xlsx</x:v>
      </x:c>
      <x:c r="D356" s="26" t="str">
        <x:v>No existen materiales rosas, texturas ausentes, UV rotas o normals invertidas visibles.</x:v>
      </x:c>
      <x:c r="E356" s="26" t="str">
        <x:v>CHG-RC1-DOC-31</x:v>
      </x:c>
      <x:c r="F356" s="26"/>
      <x:c r="G356" s="26" t="str">
        <x:v>H6-ART-003</x:v>
      </x:c>
      <x:c r="H356" s="26"/>
      <x:c r="I356" s="26"/>
      <x:c r="J356" s="26" t="str">
        <x:v>NOT RUN</x:v>
      </x:c>
      <x:c r="K356" s="26"/>
      <x:c r="L356" s="26"/>
      <x:c r="M356" s="26" t="str">
        <x:v>RC1</x:v>
      </x:c>
      <x:c r="N356" s="26" t="str">
        <x:v>Defined / Not Executed</x:v>
      </x:c>
      <x:c r="O356" s="26"/>
      <x:c r="P356" s="26" t="str">
        <x:v>Art</x:v>
      </x:c>
      <x:c r="Q356" s="26" t="str">
        <x:v>H6; reviewer=Art Direction/Legal/QA; gate=Sprint 16 / H6</x:v>
      </x:c>
    </x:row>
    <x:row r="357" ht="30" customHeight="1">
      <x:c r="A357" s="26" t="str">
        <x:v>H6-ART-004</x:v>
      </x:c>
      <x:c r="B357" s="26" t="str">
        <x:v>Arte y presentación</x:v>
      </x:c>
      <x:c r="C357" s="26" t="str">
        <x:v>31_H6_and_Release_Readiness_Checklist.xlsx</x:v>
      </x:c>
      <x:c r="D357" s="26" t="str">
        <x:v>Las texturas y materiales respetan presupuestos y no introducen degradación severa.</x:v>
      </x:c>
      <x:c r="E357" s="26" t="str">
        <x:v>CHG-RC1-DOC-31</x:v>
      </x:c>
      <x:c r="F357" s="26"/>
      <x:c r="G357" s="26" t="str">
        <x:v>H6-ART-004</x:v>
      </x:c>
      <x:c r="H357" s="26"/>
      <x:c r="I357" s="26"/>
      <x:c r="J357" s="26" t="str">
        <x:v>NOT RUN</x:v>
      </x:c>
      <x:c r="K357" s="26"/>
      <x:c r="L357" s="26"/>
      <x:c r="M357" s="26" t="str">
        <x:v>RC1</x:v>
      </x:c>
      <x:c r="N357" s="26" t="str">
        <x:v>Defined / Not Executed</x:v>
      </x:c>
      <x:c r="O357" s="26"/>
      <x:c r="P357" s="26" t="str">
        <x:v>Art</x:v>
      </x:c>
      <x:c r="Q357" s="26" t="str">
        <x:v>H6; reviewer=Art Direction/Legal/QA; gate=Sprint 16 / H6</x:v>
      </x:c>
    </x:row>
    <x:row r="358" ht="30" customHeight="1">
      <x:c r="A358" s="26" t="str">
        <x:v>H6-ART-005</x:v>
      </x:c>
      <x:c r="B358" s="26" t="str">
        <x:v>Arte y presentación</x:v>
      </x:c>
      <x:c r="C358" s="26" t="str">
        <x:v>31_H6_and_Release_Readiness_Checklist.xlsx</x:v>
      </x:c>
      <x:c r="D358" s="26" t="str">
        <x:v>Los LOD/culling aprobados no producen popping que impida leer productos o clientes.</x:v>
      </x:c>
      <x:c r="E358" s="26" t="str">
        <x:v>CHG-RC1-DOC-31</x:v>
      </x:c>
      <x:c r="F358" s="26"/>
      <x:c r="G358" s="26" t="str">
        <x:v>H6-ART-005</x:v>
      </x:c>
      <x:c r="H358" s="26"/>
      <x:c r="I358" s="26"/>
      <x:c r="J358" s="26" t="str">
        <x:v>NOT RUN</x:v>
      </x:c>
      <x:c r="K358" s="26"/>
      <x:c r="L358" s="26"/>
      <x:c r="M358" s="26" t="str">
        <x:v>RC1</x:v>
      </x:c>
      <x:c r="N358" s="26" t="str">
        <x:v>Defined / Not Executed</x:v>
      </x:c>
      <x:c r="O358" s="26"/>
      <x:c r="P358" s="26" t="str">
        <x:v>Art</x:v>
      </x:c>
      <x:c r="Q358" s="26" t="str">
        <x:v>H6; reviewer=Art Direction/Legal/QA; gate=Sprint 16 / H6</x:v>
      </x:c>
    </x:row>
    <x:row r="359" ht="30" customHeight="1">
      <x:c r="A359" s="26" t="str">
        <x:v>H6-ART-006</x:v>
      </x:c>
      <x:c r="B359" s="26" t="str">
        <x:v>Arte y presentación</x:v>
      </x:c>
      <x:c r="C359" s="26" t="str">
        <x:v>31_H6_and_Release_Readiness_Checklist.xlsx</x:v>
      </x:c>
      <x:c r="D359" s="26" t="str">
        <x:v>VFX y partículas no generan flashes, obstrucción o movimiento incompatible con preferencias.</x:v>
      </x:c>
      <x:c r="E359" s="26" t="str">
        <x:v>CHG-RC1-DOC-31</x:v>
      </x:c>
      <x:c r="F359" s="26"/>
      <x:c r="G359" s="26" t="str">
        <x:v>H6-ART-006</x:v>
      </x:c>
      <x:c r="H359" s="26"/>
      <x:c r="I359" s="26"/>
      <x:c r="J359" s="26" t="str">
        <x:v>NOT RUN</x:v>
      </x:c>
      <x:c r="K359" s="26"/>
      <x:c r="L359" s="26"/>
      <x:c r="M359" s="26" t="str">
        <x:v>RC1</x:v>
      </x:c>
      <x:c r="N359" s="26" t="str">
        <x:v>Defined / Not Executed</x:v>
      </x:c>
      <x:c r="O359" s="26"/>
      <x:c r="P359" s="26" t="str">
        <x:v>Art</x:v>
      </x:c>
      <x:c r="Q359" s="26" t="str">
        <x:v>H6; reviewer=Art Direction/Legal/QA; gate=Sprint 16 / H6</x:v>
      </x:c>
    </x:row>
    <x:row r="360" ht="30" customHeight="1">
      <x:c r="A360" s="26" t="str">
        <x:v>H6-ART-007</x:v>
      </x:c>
      <x:c r="B360" s="26" t="str">
        <x:v>Arte y presentación</x:v>
      </x:c>
      <x:c r="C360" s="26" t="str">
        <x:v>31_H6_and_Release_Readiness_Checklist.xlsx</x:v>
      </x:c>
      <x:c r="D360" s="26" t="str">
        <x:v>La UI utiliza sprites, iconos y estados coherentes con la guía visual.</x:v>
      </x:c>
      <x:c r="E360" s="26" t="str">
        <x:v>CHG-RC1-DOC-31</x:v>
      </x:c>
      <x:c r="F360" s="26"/>
      <x:c r="G360" s="26" t="str">
        <x:v>H6-ART-007</x:v>
      </x:c>
      <x:c r="H360" s="26"/>
      <x:c r="I360" s="26"/>
      <x:c r="J360" s="26" t="str">
        <x:v>NOT RUN</x:v>
      </x:c>
      <x:c r="K360" s="26"/>
      <x:c r="L360" s="26"/>
      <x:c r="M360" s="26" t="str">
        <x:v>RC1</x:v>
      </x:c>
      <x:c r="N360" s="26" t="str">
        <x:v>Defined / Not Executed</x:v>
      </x:c>
      <x:c r="O360" s="26"/>
      <x:c r="P360" s="26" t="str">
        <x:v>Art</x:v>
      </x:c>
      <x:c r="Q360" s="26" t="str">
        <x:v>H6; reviewer=Art Direction/Legal/QA; gate=Sprint 16 / H6</x:v>
      </x:c>
    </x:row>
    <x:row r="361" ht="30" customHeight="1">
      <x:c r="A361" s="26" t="str">
        <x:v>H6-ART-008</x:v>
      </x:c>
      <x:c r="B361" s="26" t="str">
        <x:v>Arte y presentación</x:v>
      </x:c>
      <x:c r="C361" s="26" t="str">
        <x:v>31_H6_and_Release_Readiness_Checklist.xlsx</x:v>
      </x:c>
      <x:c r="D361" s="26" t="str">
        <x:v>Las capturas de evidencia se obtienen de la build candidata sin overlays de debug.</x:v>
      </x:c>
      <x:c r="E361" s="26" t="str">
        <x:v>CHG-RC1-DOC-31</x:v>
      </x:c>
      <x:c r="F361" s="26"/>
      <x:c r="G361" s="26" t="str">
        <x:v>H6-ART-008</x:v>
      </x:c>
      <x:c r="H361" s="26"/>
      <x:c r="I361" s="26"/>
      <x:c r="J361" s="26" t="str">
        <x:v>NOT RUN</x:v>
      </x:c>
      <x:c r="K361" s="26"/>
      <x:c r="L361" s="26"/>
      <x:c r="M361" s="26" t="str">
        <x:v>RC1</x:v>
      </x:c>
      <x:c r="N361" s="26" t="str">
        <x:v>Defined / Not Executed</x:v>
      </x:c>
      <x:c r="O361" s="26"/>
      <x:c r="P361" s="26" t="str">
        <x:v>Art</x:v>
      </x:c>
      <x:c r="Q361" s="26" t="str">
        <x:v>H6; reviewer=Art Direction/Legal/QA; gate=Sprint 16 / H6</x:v>
      </x:c>
    </x:row>
    <x:row r="362" ht="30" customHeight="1">
      <x:c r="A362" s="26" t="str">
        <x:v>H6-ART-009</x:v>
      </x:c>
      <x:c r="B362" s="26" t="str">
        <x:v>Arte y presentación</x:v>
      </x:c>
      <x:c r="C362" s="26" t="str">
        <x:v>31_H6_and_Release_Readiness_Checklist.xlsx</x:v>
      </x:c>
      <x:c r="D362" s="26" t="str">
        <x:v>Los personajes/clientes/proveedores mantienen diversidad y claridad sin estereotipos dañinos.</x:v>
      </x:c>
      <x:c r="E362" s="26" t="str">
        <x:v>CHG-RC1-DOC-31</x:v>
      </x:c>
      <x:c r="F362" s="26"/>
      <x:c r="G362" s="26" t="str">
        <x:v>H6-ART-009</x:v>
      </x:c>
      <x:c r="H362" s="26"/>
      <x:c r="I362" s="26"/>
      <x:c r="J362" s="26" t="str">
        <x:v>NOT RUN</x:v>
      </x:c>
      <x:c r="K362" s="26"/>
      <x:c r="L362" s="26"/>
      <x:c r="M362" s="26" t="str">
        <x:v>RC1</x:v>
      </x:c>
      <x:c r="N362" s="26" t="str">
        <x:v>Defined / Not Executed</x:v>
      </x:c>
      <x:c r="O362" s="26"/>
      <x:c r="P362" s="26" t="str">
        <x:v>Art</x:v>
      </x:c>
      <x:c r="Q362" s="26" t="str">
        <x:v>H6; reviewer=Art Direction/Legal/QA; gate=Sprint 16 / H6</x:v>
      </x:c>
    </x:row>
    <x:row r="363" ht="30" customHeight="1">
      <x:c r="A363" s="26" t="str">
        <x:v>H6-ART-010</x:v>
      </x:c>
      <x:c r="B363" s="26" t="str">
        <x:v>Arte y presentación</x:v>
      </x:c>
      <x:c r="C363" s="26" t="str">
        <x:v>31_H6_and_Release_Readiness_Checklist.xlsx</x:v>
      </x:c>
      <x:c r="D363" s="26" t="str">
        <x:v>La densidad visual no oculta feedback crítico ni puntos de interacción.</x:v>
      </x:c>
      <x:c r="E363" s="26" t="str">
        <x:v>CHG-RC1-DOC-31</x:v>
      </x:c>
      <x:c r="F363" s="26"/>
      <x:c r="G363" s="26" t="str">
        <x:v>H6-ART-010</x:v>
      </x:c>
      <x:c r="H363" s="26"/>
      <x:c r="I363" s="26"/>
      <x:c r="J363" s="26" t="str">
        <x:v>NOT RUN</x:v>
      </x:c>
      <x:c r="K363" s="26"/>
      <x:c r="L363" s="26"/>
      <x:c r="M363" s="26" t="str">
        <x:v>RC1</x:v>
      </x:c>
      <x:c r="N363" s="26" t="str">
        <x:v>Defined / Not Executed</x:v>
      </x:c>
      <x:c r="O363" s="26"/>
      <x:c r="P363" s="26" t="str">
        <x:v>Art</x:v>
      </x:c>
      <x:c r="Q363" s="26" t="str">
        <x:v>H6; reviewer=Art Direction/Legal/QA; gate=Sprint 16 / H6</x:v>
      </x:c>
    </x:row>
    <x:row r="364" ht="30" customHeight="1">
      <x:c r="A364" s="26" t="str">
        <x:v>H6-ART-011</x:v>
      </x:c>
      <x:c r="B364" s="26" t="str">
        <x:v>Arte y presentación</x:v>
      </x:c>
      <x:c r="C364" s="26" t="str">
        <x:v>31_H6_and_Release_Readiness_Checklist.xlsx</x:v>
      </x:c>
      <x:c r="D364" s="26" t="str">
        <x:v>Los assets de terceros usados en H6 están vinculados a una licencia/procedencia registrada.</x:v>
      </x:c>
      <x:c r="E364" s="26" t="str">
        <x:v>CHG-RC1-DOC-31</x:v>
      </x:c>
      <x:c r="F364" s="26"/>
      <x:c r="G364" s="26" t="str">
        <x:v>H6-ART-011</x:v>
      </x:c>
      <x:c r="H364" s="26"/>
      <x:c r="I364" s="26"/>
      <x:c r="J364" s="26" t="str">
        <x:v>NOT RUN</x:v>
      </x:c>
      <x:c r="K364" s="26"/>
      <x:c r="L364" s="26"/>
      <x:c r="M364" s="26" t="str">
        <x:v>RC1</x:v>
      </x:c>
      <x:c r="N364" s="26" t="str">
        <x:v>Defined / Not Executed</x:v>
      </x:c>
      <x:c r="O364" s="26"/>
      <x:c r="P364" s="26" t="str">
        <x:v>Art</x:v>
      </x:c>
      <x:c r="Q364" s="26" t="str">
        <x:v>H6; reviewer=Art Direction/Legal/QA; gate=Sprint 16 / H6</x:v>
      </x:c>
    </x:row>
    <x:row r="365" ht="30" customHeight="1">
      <x:c r="A365" s="26" t="str">
        <x:v>H6-ART-012</x:v>
      </x:c>
      <x:c r="B365" s="26" t="str">
        <x:v>Arte y presentación</x:v>
      </x:c>
      <x:c r="C365" s="26" t="str">
        <x:v>31_H6_and_Release_Readiness_Checklist.xlsx</x:v>
      </x:c>
      <x:c r="D365" s="26" t="str">
        <x:v>No se reutilizan marcas reales, logos o trade dress no autorizados.</x:v>
      </x:c>
      <x:c r="E365" s="26" t="str">
        <x:v>CHG-RC1-DOC-31</x:v>
      </x:c>
      <x:c r="F365" s="26"/>
      <x:c r="G365" s="26" t="str">
        <x:v>H6-ART-012</x:v>
      </x:c>
      <x:c r="H365" s="26"/>
      <x:c r="I365" s="26"/>
      <x:c r="J365" s="26" t="str">
        <x:v>NOT RUN</x:v>
      </x:c>
      <x:c r="K365" s="26"/>
      <x:c r="L365" s="26"/>
      <x:c r="M365" s="26" t="str">
        <x:v>RC1</x:v>
      </x:c>
      <x:c r="N365" s="26" t="str">
        <x:v>Defined / Not Executed</x:v>
      </x:c>
      <x:c r="O365" s="26"/>
      <x:c r="P365" s="26" t="str">
        <x:v>Art</x:v>
      </x:c>
      <x:c r="Q365" s="26" t="str">
        <x:v>H6; reviewer=Art Direction/Legal/QA; gate=Sprint 16 / H6</x:v>
      </x:c>
    </x:row>
    <x:row r="366" ht="30" customHeight="1">
      <x:c r="A366" s="26" t="str">
        <x:v>H6-AUD-001</x:v>
      </x:c>
      <x:c r="B366" s="26" t="str">
        <x:v>Audio</x:v>
      </x:c>
      <x:c r="C366" s="26" t="str">
        <x:v>31_H6_and_Release_Readiness_Checklist.xlsx</x:v>
      </x:c>
      <x:c r="D366" s="26" t="str">
        <x:v>Las acciones críticas incluidas tienen feedback sonoro o alternativa visual aprobada.</x:v>
      </x:c>
      <x:c r="E366" s="26" t="str">
        <x:v>CHG-RC1-DOC-31</x:v>
      </x:c>
      <x:c r="F366" s="26"/>
      <x:c r="G366" s="26" t="str">
        <x:v>H6-AUD-001</x:v>
      </x:c>
      <x:c r="H366" s="26"/>
      <x:c r="I366" s="26"/>
      <x:c r="J366" s="26" t="str">
        <x:v>NOT RUN</x:v>
      </x:c>
      <x:c r="K366" s="26"/>
      <x:c r="L366" s="26"/>
      <x:c r="M366" s="26" t="str">
        <x:v>RC1</x:v>
      </x:c>
      <x:c r="N366" s="26" t="str">
        <x:v>Defined / Not Executed</x:v>
      </x:c>
      <x:c r="O366" s="26"/>
      <x:c r="P366" s="26" t="str">
        <x:v>Audio</x:v>
      </x:c>
      <x:c r="Q366" s="26" t="str">
        <x:v>H6; reviewer=QA/Legal; gate=H6</x:v>
      </x:c>
    </x:row>
    <x:row r="367" ht="30" customHeight="1">
      <x:c r="A367" s="26" t="str">
        <x:v>H6-AUD-002</x:v>
      </x:c>
      <x:c r="B367" s="26" t="str">
        <x:v>Audio</x:v>
      </x:c>
      <x:c r="C367" s="26" t="str">
        <x:v>31_H6_and_Release_Readiness_Checklist.xlsx</x:v>
      </x:c>
      <x:c r="D367" s="26" t="str">
        <x:v>Los buses/canales de volumen funcionan y persisten.</x:v>
      </x:c>
      <x:c r="E367" s="26" t="str">
        <x:v>CHG-RC1-DOC-31</x:v>
      </x:c>
      <x:c r="F367" s="26"/>
      <x:c r="G367" s="26" t="str">
        <x:v>H6-AUD-002</x:v>
      </x:c>
      <x:c r="H367" s="26"/>
      <x:c r="I367" s="26"/>
      <x:c r="J367" s="26" t="str">
        <x:v>NOT RUN</x:v>
      </x:c>
      <x:c r="K367" s="26"/>
      <x:c r="L367" s="26"/>
      <x:c r="M367" s="26" t="str">
        <x:v>RC1</x:v>
      </x:c>
      <x:c r="N367" s="26" t="str">
        <x:v>Defined / Not Executed</x:v>
      </x:c>
      <x:c r="O367" s="26"/>
      <x:c r="P367" s="26" t="str">
        <x:v>Audio</x:v>
      </x:c>
      <x:c r="Q367" s="26" t="str">
        <x:v>H6; reviewer=QA/Legal; gate=H6</x:v>
      </x:c>
    </x:row>
    <x:row r="368" ht="30" customHeight="1">
      <x:c r="A368" s="26" t="str">
        <x:v>H6-AUD-003</x:v>
      </x:c>
      <x:c r="B368" s="26" t="str">
        <x:v>Audio</x:v>
      </x:c>
      <x:c r="C368" s="26" t="str">
        <x:v>31_H6_and_Release_Readiness_Checklist.xlsx</x:v>
      </x:c>
      <x:c r="D368" s="26" t="str">
        <x:v>No existen clips ausentes, referencias rotas o errores de reproducción recurrentes.</x:v>
      </x:c>
      <x:c r="E368" s="26" t="str">
        <x:v>CHG-RC1-DOC-31</x:v>
      </x:c>
      <x:c r="F368" s="26"/>
      <x:c r="G368" s="26" t="str">
        <x:v>H6-AUD-003</x:v>
      </x:c>
      <x:c r="H368" s="26"/>
      <x:c r="I368" s="26"/>
      <x:c r="J368" s="26" t="str">
        <x:v>NOT RUN</x:v>
      </x:c>
      <x:c r="K368" s="26"/>
      <x:c r="L368" s="26"/>
      <x:c r="M368" s="26" t="str">
        <x:v>RC1</x:v>
      </x:c>
      <x:c r="N368" s="26" t="str">
        <x:v>Defined / Not Executed</x:v>
      </x:c>
      <x:c r="O368" s="26"/>
      <x:c r="P368" s="26" t="str">
        <x:v>Audio</x:v>
      </x:c>
      <x:c r="Q368" s="26" t="str">
        <x:v>H6; reviewer=QA/Legal; gate=H6</x:v>
      </x:c>
    </x:row>
    <x:row r="369" ht="30" customHeight="1">
      <x:c r="A369" s="26" t="str">
        <x:v>H6-AUD-004</x:v>
      </x:c>
      <x:c r="B369" s="26" t="str">
        <x:v>Audio</x:v>
      </x:c>
      <x:c r="C369" s="26" t="str">
        <x:v>31_H6_and_Release_Readiness_Checklist.xlsx</x:v>
      </x:c>
      <x:c r="D369" s="26" t="str">
        <x:v>Los clips no presentan clipping, ruido, loops defectuosos o variación de loudness extrema.</x:v>
      </x:c>
      <x:c r="E369" s="26" t="str">
        <x:v>CHG-RC1-DOC-31</x:v>
      </x:c>
      <x:c r="F369" s="26"/>
      <x:c r="G369" s="26" t="str">
        <x:v>H6-AUD-004</x:v>
      </x:c>
      <x:c r="H369" s="26"/>
      <x:c r="I369" s="26"/>
      <x:c r="J369" s="26" t="str">
        <x:v>NOT RUN</x:v>
      </x:c>
      <x:c r="K369" s="26"/>
      <x:c r="L369" s="26"/>
      <x:c r="M369" s="26" t="str">
        <x:v>RC1</x:v>
      </x:c>
      <x:c r="N369" s="26" t="str">
        <x:v>Defined / Not Executed</x:v>
      </x:c>
      <x:c r="O369" s="26"/>
      <x:c r="P369" s="26" t="str">
        <x:v>Audio</x:v>
      </x:c>
      <x:c r="Q369" s="26" t="str">
        <x:v>H6; reviewer=QA/Legal; gate=H6</x:v>
      </x:c>
    </x:row>
    <x:row r="370" ht="30" customHeight="1">
      <x:c r="A370" s="26" t="str">
        <x:v>H6-AUD-005</x:v>
      </x:c>
      <x:c r="B370" s="26" t="str">
        <x:v>Audio</x:v>
      </x:c>
      <x:c r="C370" s="26" t="str">
        <x:v>31_H6_and_Release_Readiness_Checklist.xlsx</x:v>
      </x:c>
      <x:c r="D370" s="26" t="str">
        <x:v>La simultaneidad de clientes y acciones no supera límites de voces ni degrada el rendimiento.</x:v>
      </x:c>
      <x:c r="E370" s="26" t="str">
        <x:v>CHG-RC1-DOC-31</x:v>
      </x:c>
      <x:c r="F370" s="26"/>
      <x:c r="G370" s="26" t="str">
        <x:v>H6-AUD-005</x:v>
      </x:c>
      <x:c r="H370" s="26"/>
      <x:c r="I370" s="26"/>
      <x:c r="J370" s="26" t="str">
        <x:v>NOT RUN</x:v>
      </x:c>
      <x:c r="K370" s="26"/>
      <x:c r="L370" s="26"/>
      <x:c r="M370" s="26" t="str">
        <x:v>RC1</x:v>
      </x:c>
      <x:c r="N370" s="26" t="str">
        <x:v>Defined / Not Executed</x:v>
      </x:c>
      <x:c r="O370" s="26"/>
      <x:c r="P370" s="26" t="str">
        <x:v>Audio</x:v>
      </x:c>
      <x:c r="Q370" s="26" t="str">
        <x:v>H6; reviewer=QA/Legal; gate=H6</x:v>
      </x:c>
    </x:row>
    <x:row r="371" ht="30" customHeight="1">
      <x:c r="A371" s="26" t="str">
        <x:v>H6-AUD-006</x:v>
      </x:c>
      <x:c r="B371" s="26" t="str">
        <x:v>Audio</x:v>
      </x:c>
      <x:c r="C371" s="26" t="str">
        <x:v>31_H6_and_Release_Readiness_Checklist.xlsx</x:v>
      </x:c>
      <x:c r="D371" s="26" t="str">
        <x:v>Las licencias, autores y condiciones de cada clip están registradas.</x:v>
      </x:c>
      <x:c r="E371" s="26" t="str">
        <x:v>CHG-RC1-DOC-31</x:v>
      </x:c>
      <x:c r="F371" s="26"/>
      <x:c r="G371" s="26" t="str">
        <x:v>H6-AUD-006</x:v>
      </x:c>
      <x:c r="H371" s="26"/>
      <x:c r="I371" s="26"/>
      <x:c r="J371" s="26" t="str">
        <x:v>NOT RUN</x:v>
      </x:c>
      <x:c r="K371" s="26"/>
      <x:c r="L371" s="26"/>
      <x:c r="M371" s="26" t="str">
        <x:v>RC1</x:v>
      </x:c>
      <x:c r="N371" s="26" t="str">
        <x:v>Defined / Not Executed</x:v>
      </x:c>
      <x:c r="O371" s="26"/>
      <x:c r="P371" s="26" t="str">
        <x:v>Audio</x:v>
      </x:c>
      <x:c r="Q371" s="26" t="str">
        <x:v>H6; reviewer=QA/Legal; gate=H6</x:v>
      </x:c>
    </x:row>
    <x:row r="372" ht="30" customHeight="1">
      <x:c r="A372" s="26" t="str">
        <x:v>H6-AUD-007</x:v>
      </x:c>
      <x:c r="B372" s="26" t="str">
        <x:v>Audio</x:v>
      </x:c>
      <x:c r="C372" s="26" t="str">
        <x:v>31_H6_and_Release_Readiness_Checklist.xlsx</x:v>
      </x:c>
      <x:c r="D372" s="26" t="str">
        <x:v>No se incluyen pistas o stems temporales no autorizados en el paquete H6.</x:v>
      </x:c>
      <x:c r="E372" s="26" t="str">
        <x:v>CHG-RC1-DOC-31</x:v>
      </x:c>
      <x:c r="F372" s="26"/>
      <x:c r="G372" s="26" t="str">
        <x:v>H6-AUD-007</x:v>
      </x:c>
      <x:c r="H372" s="26"/>
      <x:c r="I372" s="26"/>
      <x:c r="J372" s="26" t="str">
        <x:v>NOT RUN</x:v>
      </x:c>
      <x:c r="K372" s="26"/>
      <x:c r="L372" s="26"/>
      <x:c r="M372" s="26" t="str">
        <x:v>RC1</x:v>
      </x:c>
      <x:c r="N372" s="26" t="str">
        <x:v>Defined / Not Executed</x:v>
      </x:c>
      <x:c r="O372" s="26"/>
      <x:c r="P372" s="26" t="str">
        <x:v>Audio</x:v>
      </x:c>
      <x:c r="Q372" s="26" t="str">
        <x:v>H6; reviewer=QA/Legal; gate=H6</x:v>
      </x:c>
    </x:row>
    <x:row r="373" ht="30" customHeight="1">
      <x:c r="A373" s="26" t="str">
        <x:v>H6-AUD-008</x:v>
      </x:c>
      <x:c r="B373" s="26" t="str">
        <x:v>Audio</x:v>
      </x:c>
      <x:c r="C373" s="26" t="str">
        <x:v>31_H6_and_Release_Readiness_Checklist.xlsx</x:v>
      </x:c>
      <x:c r="D373" s="26" t="str">
        <x:v>La ausencia de subtítulos/captions para contenido no verbal no se comunica como característica disponible.</x:v>
      </x:c>
      <x:c r="E373" s="26" t="str">
        <x:v>CHG-RC1-DOC-31</x:v>
      </x:c>
      <x:c r="F373" s="26"/>
      <x:c r="G373" s="26" t="str">
        <x:v>H6-AUD-008</x:v>
      </x:c>
      <x:c r="H373" s="26"/>
      <x:c r="I373" s="26"/>
      <x:c r="J373" s="26" t="str">
        <x:v>NOT RUN</x:v>
      </x:c>
      <x:c r="K373" s="26"/>
      <x:c r="L373" s="26"/>
      <x:c r="M373" s="26" t="str">
        <x:v>RC1</x:v>
      </x:c>
      <x:c r="N373" s="26" t="str">
        <x:v>Defined / Not Executed</x:v>
      </x:c>
      <x:c r="O373" s="26"/>
      <x:c r="P373" s="26" t="str">
        <x:v>Audio</x:v>
      </x:c>
      <x:c r="Q373" s="26" t="str">
        <x:v>H6; reviewer=QA/Legal; gate=H6</x:v>
      </x:c>
    </x:row>
    <x:row r="374" ht="30" customHeight="1">
      <x:c r="A374" s="26" t="str">
        <x:v>H6-AUD-009</x:v>
      </x:c>
      <x:c r="B374" s="26" t="str">
        <x:v>Audio</x:v>
      </x:c>
      <x:c r="C374" s="26" t="str">
        <x:v>31_H6_and_Release_Readiness_Checklist.xlsx</x:v>
      </x:c>
      <x:c r="D374" s="26" t="str">
        <x:v>Los sonidos repetitivos de operaciones no generan fatiga severa durante siete días.</x:v>
      </x:c>
      <x:c r="E374" s="26" t="str">
        <x:v>CHG-RC1-DOC-31</x:v>
      </x:c>
      <x:c r="F374" s="26"/>
      <x:c r="G374" s="26" t="str">
        <x:v>H6-AUD-009</x:v>
      </x:c>
      <x:c r="H374" s="26"/>
      <x:c r="I374" s="26"/>
      <x:c r="J374" s="26" t="str">
        <x:v>NOT RUN</x:v>
      </x:c>
      <x:c r="K374" s="26"/>
      <x:c r="L374" s="26"/>
      <x:c r="M374" s="26" t="str">
        <x:v>RC1</x:v>
      </x:c>
      <x:c r="N374" s="26" t="str">
        <x:v>Defined / Not Executed</x:v>
      </x:c>
      <x:c r="O374" s="26"/>
      <x:c r="P374" s="26" t="str">
        <x:v>Audio</x:v>
      </x:c>
      <x:c r="Q374" s="26" t="str">
        <x:v>H6; reviewer=QA/Legal; gate=H6</x:v>
      </x:c>
    </x:row>
    <x:row r="375" ht="30" customHeight="1">
      <x:c r="A375" s="26" t="str">
        <x:v>H6-AUD-010</x:v>
      </x:c>
      <x:c r="B375" s="26" t="str">
        <x:v>Audio</x:v>
      </x:c>
      <x:c r="C375" s="26" t="str">
        <x:v>31_H6_and_Release_Readiness_Checklist.xlsx</x:v>
      </x:c>
      <x:c r="D375" s="26" t="str">
        <x:v>El comportamiento offline y tras cambio de dispositivo de audio es controlado.</x:v>
      </x:c>
      <x:c r="E375" s="26" t="str">
        <x:v>CHG-RC1-DOC-31</x:v>
      </x:c>
      <x:c r="F375" s="26"/>
      <x:c r="G375" s="26" t="str">
        <x:v>H6-AUD-010</x:v>
      </x:c>
      <x:c r="H375" s="26"/>
      <x:c r="I375" s="26"/>
      <x:c r="J375" s="26" t="str">
        <x:v>NOT RUN</x:v>
      </x:c>
      <x:c r="K375" s="26"/>
      <x:c r="L375" s="26"/>
      <x:c r="M375" s="26" t="str">
        <x:v>RC1</x:v>
      </x:c>
      <x:c r="N375" s="26" t="str">
        <x:v>Defined / Not Executed</x:v>
      </x:c>
      <x:c r="O375" s="26"/>
      <x:c r="P375" s="26" t="str">
        <x:v>Audio</x:v>
      </x:c>
      <x:c r="Q375" s="26" t="str">
        <x:v>H6; reviewer=QA/Legal; gate=H6</x:v>
      </x:c>
    </x:row>
    <x:row r="376" ht="30" customHeight="1">
      <x:c r="A376" s="26" t="str">
        <x:v>H6-QA-001</x:v>
      </x:c>
      <x:c r="B376" s="26" t="str">
        <x:v>QA, defectos y regresión</x:v>
      </x:c>
      <x:c r="C376" s="26" t="str">
        <x:v>31_H6_and_Release_Readiness_Checklist.xlsx</x:v>
      </x:c>
      <x:c r="D376" s="26" t="str">
        <x:v>La suite automatizada completa se ejecuta en el commit candidato y termina verde.</x:v>
      </x:c>
      <x:c r="E376" s="26" t="str">
        <x:v>CHG-RC1-DOC-31</x:v>
      </x:c>
      <x:c r="F376" s="26"/>
      <x:c r="G376" s="26" t="str">
        <x:v>H6-QA-001</x:v>
      </x:c>
      <x:c r="H376" s="26"/>
      <x:c r="I376" s="26"/>
      <x:c r="J376" s="26" t="str">
        <x:v>NOT RUN</x:v>
      </x:c>
      <x:c r="K376" s="26"/>
      <x:c r="L376" s="26"/>
      <x:c r="M376" s="26" t="str">
        <x:v>RC1</x:v>
      </x:c>
      <x:c r="N376" s="26" t="str">
        <x:v>Defined / Not Executed</x:v>
      </x:c>
      <x:c r="O376" s="26"/>
      <x:c r="P376" s="26" t="str">
        <x:v>QA</x:v>
      </x:c>
      <x:c r="Q376" s="26" t="str">
        <x:v>H6; reviewer=Production/Engineering; gate=H6</x:v>
      </x:c>
    </x:row>
    <x:row r="377" ht="30" customHeight="1">
      <x:c r="A377" s="26" t="str">
        <x:v>H6-QA-002</x:v>
      </x:c>
      <x:c r="B377" s="26" t="str">
        <x:v>QA, defectos y regresión</x:v>
      </x:c>
      <x:c r="C377" s="26" t="str">
        <x:v>31_H6_and_Release_Readiness_Checklist.xlsx</x:v>
      </x:c>
      <x:c r="D377" s="26" t="str">
        <x:v>No se acepta como PASS ningún test flaky, omitido sin justificación o ejecutado sobre SHA distinto.</x:v>
      </x:c>
      <x:c r="E377" s="26" t="str">
        <x:v>CHG-RC1-DOC-31</x:v>
      </x:c>
      <x:c r="F377" s="26"/>
      <x:c r="G377" s="26" t="str">
        <x:v>H6-QA-002</x:v>
      </x:c>
      <x:c r="H377" s="26"/>
      <x:c r="I377" s="26"/>
      <x:c r="J377" s="26" t="str">
        <x:v>NOT RUN</x:v>
      </x:c>
      <x:c r="K377" s="26"/>
      <x:c r="L377" s="26"/>
      <x:c r="M377" s="26" t="str">
        <x:v>RC1</x:v>
      </x:c>
      <x:c r="N377" s="26" t="str">
        <x:v>Defined / Not Executed</x:v>
      </x:c>
      <x:c r="O377" s="26"/>
      <x:c r="P377" s="26" t="str">
        <x:v>QA</x:v>
      </x:c>
      <x:c r="Q377" s="26" t="str">
        <x:v>H6; reviewer=Production/Engineering; gate=H6</x:v>
      </x:c>
    </x:row>
    <x:row r="378" ht="30" customHeight="1">
      <x:c r="A378" s="26" t="str">
        <x:v>H6-QA-003</x:v>
      </x:c>
      <x:c r="B378" s="26" t="str">
        <x:v>QA, defectos y regresión</x:v>
      </x:c>
      <x:c r="C378" s="26" t="str">
        <x:v>31_H6_and_Release_Readiness_Checklist.xlsx</x:v>
      </x:c>
      <x:c r="D378" s="26" t="str">
        <x:v>El Golden Path manual se completa sin herramientas de debug en build externa.</x:v>
      </x:c>
      <x:c r="E378" s="26" t="str">
        <x:v>CHG-RC1-DOC-31</x:v>
      </x:c>
      <x:c r="F378" s="26"/>
      <x:c r="G378" s="26" t="str">
        <x:v>H6-QA-003</x:v>
      </x:c>
      <x:c r="H378" s="26"/>
      <x:c r="I378" s="26"/>
      <x:c r="J378" s="26" t="str">
        <x:v>NOT RUN</x:v>
      </x:c>
      <x:c r="K378" s="26"/>
      <x:c r="L378" s="26"/>
      <x:c r="M378" s="26" t="str">
        <x:v>RC1</x:v>
      </x:c>
      <x:c r="N378" s="26" t="str">
        <x:v>Defined / Not Executed</x:v>
      </x:c>
      <x:c r="O378" s="26"/>
      <x:c r="P378" s="26" t="str">
        <x:v>QA</x:v>
      </x:c>
      <x:c r="Q378" s="26" t="str">
        <x:v>H6; reviewer=Production/Engineering; gate=H6</x:v>
      </x:c>
    </x:row>
    <x:row r="379" ht="30" customHeight="1">
      <x:c r="A379" s="26" t="str">
        <x:v>H6-QA-004</x:v>
      </x:c>
      <x:c r="B379" s="26" t="str">
        <x:v>QA, defectos y regresión</x:v>
      </x:c>
      <x:c r="C379" s="26" t="str">
        <x:v>31_H6_and_Release_Readiness_Checklist.xlsx</x:v>
      </x:c>
      <x:c r="D379" s="26" t="str">
        <x:v>La campaña persistente de siete días se completa con compras, ventas, guardados y cargas.</x:v>
      </x:c>
      <x:c r="E379" s="26" t="str">
        <x:v>CHG-RC1-DOC-31</x:v>
      </x:c>
      <x:c r="F379" s="26"/>
      <x:c r="G379" s="26" t="str">
        <x:v>H6-QA-004</x:v>
      </x:c>
      <x:c r="H379" s="26"/>
      <x:c r="I379" s="26"/>
      <x:c r="J379" s="26" t="str">
        <x:v>NOT RUN</x:v>
      </x:c>
      <x:c r="K379" s="26"/>
      <x:c r="L379" s="26"/>
      <x:c r="M379" s="26" t="str">
        <x:v>RC1</x:v>
      </x:c>
      <x:c r="N379" s="26" t="str">
        <x:v>Defined / Not Executed</x:v>
      </x:c>
      <x:c r="O379" s="26"/>
      <x:c r="P379" s="26" t="str">
        <x:v>QA</x:v>
      </x:c>
      <x:c r="Q379" s="26" t="str">
        <x:v>H6; reviewer=Production/Engineering; gate=H6</x:v>
      </x:c>
    </x:row>
    <x:row r="380" ht="30" customHeight="1">
      <x:c r="A380" s="26" t="str">
        <x:v>H6-QA-005</x:v>
      </x:c>
      <x:c r="B380" s="26" t="str">
        <x:v>QA, defectos y regresión</x:v>
      </x:c>
      <x:c r="C380" s="26" t="str">
        <x:v>31_H6_and_Release_Readiness_Checklist.xlsx</x:v>
      </x:c>
      <x:c r="D380" s="26" t="str">
        <x:v>Se prueban nueva instalación, tres slots, cierre manual/forzado y recuperación soportada.</x:v>
      </x:c>
      <x:c r="E380" s="26" t="str">
        <x:v>CHG-RC1-DOC-31</x:v>
      </x:c>
      <x:c r="F380" s="26"/>
      <x:c r="G380" s="26" t="str">
        <x:v>H6-QA-005</x:v>
      </x:c>
      <x:c r="H380" s="26"/>
      <x:c r="I380" s="26"/>
      <x:c r="J380" s="26" t="str">
        <x:v>NOT RUN</x:v>
      </x:c>
      <x:c r="K380" s="26"/>
      <x:c r="L380" s="26"/>
      <x:c r="M380" s="26" t="str">
        <x:v>RC1</x:v>
      </x:c>
      <x:c r="N380" s="26" t="str">
        <x:v>Defined / Not Executed</x:v>
      </x:c>
      <x:c r="O380" s="26"/>
      <x:c r="P380" s="26" t="str">
        <x:v>QA</x:v>
      </x:c>
      <x:c r="Q380" s="26" t="str">
        <x:v>H6; reviewer=Production/Engineering; gate=H6</x:v>
      </x:c>
    </x:row>
    <x:row r="381" ht="30" customHeight="1">
      <x:c r="A381" s="26" t="str">
        <x:v>H6-QA-006</x:v>
      </x:c>
      <x:c r="B381" s="26" t="str">
        <x:v>QA, defectos y regresión</x:v>
      </x:c>
      <x:c r="C381" s="26" t="str">
        <x:v>31_H6_and_Release_Readiness_Checklist.xlsx</x:v>
      </x:c>
      <x:c r="D381" s="26" t="str">
        <x:v>El registro de defectos distingue severidad, prioridad, gate y campo Bloquea H6.</x:v>
      </x:c>
      <x:c r="E381" s="26" t="str">
        <x:v>CHG-RC1-DOC-31</x:v>
      </x:c>
      <x:c r="F381" s="26"/>
      <x:c r="G381" s="26" t="str">
        <x:v>H6-QA-006</x:v>
      </x:c>
      <x:c r="H381" s="26"/>
      <x:c r="I381" s="26"/>
      <x:c r="J381" s="26" t="str">
        <x:v>NOT RUN</x:v>
      </x:c>
      <x:c r="K381" s="26"/>
      <x:c r="L381" s="26"/>
      <x:c r="M381" s="26" t="str">
        <x:v>RC1</x:v>
      </x:c>
      <x:c r="N381" s="26" t="str">
        <x:v>Defined / Not Executed</x:v>
      </x:c>
      <x:c r="O381" s="26"/>
      <x:c r="P381" s="26" t="str">
        <x:v>QA</x:v>
      </x:c>
      <x:c r="Q381" s="26" t="str">
        <x:v>H6; reviewer=Production/Engineering; gate=H6</x:v>
      </x:c>
    </x:row>
    <x:row r="382" ht="30" customHeight="1">
      <x:c r="A382" s="26" t="str">
        <x:v>H6-QA-007</x:v>
      </x:c>
      <x:c r="B382" s="26" t="str">
        <x:v>QA, defectos y regresión</x:v>
      </x:c>
      <x:c r="C382" s="26" t="str">
        <x:v>31_H6_and_Release_Readiness_Checklist.xlsx</x:v>
      </x:c>
      <x:c r="D382" s="26" t="str">
        <x:v>Existen cero S0 y cero S1 abiertos en el universo del gate.</x:v>
      </x:c>
      <x:c r="E382" s="26" t="str">
        <x:v>CHG-RC1-DOC-31</x:v>
      </x:c>
      <x:c r="F382" s="26"/>
      <x:c r="G382" s="26" t="str">
        <x:v>H6-QA-007</x:v>
      </x:c>
      <x:c r="H382" s="26"/>
      <x:c r="I382" s="26"/>
      <x:c r="J382" s="26" t="str">
        <x:v>NOT RUN</x:v>
      </x:c>
      <x:c r="K382" s="26"/>
      <x:c r="L382" s="26"/>
      <x:c r="M382" s="26" t="str">
        <x:v>RC1</x:v>
      </x:c>
      <x:c r="N382" s="26" t="str">
        <x:v>Defined / Not Executed</x:v>
      </x:c>
      <x:c r="O382" s="26"/>
      <x:c r="P382" s="26" t="str">
        <x:v>QA</x:v>
      </x:c>
      <x:c r="Q382" s="26" t="str">
        <x:v>H6; reviewer=Production/Engineering; gate=H6</x:v>
      </x:c>
    </x:row>
    <x:row r="383" ht="30" customHeight="1">
      <x:c r="A383" s="26" t="str">
        <x:v>H6-QA-008</x:v>
      </x:c>
      <x:c r="B383" s="26" t="str">
        <x:v>QA, defectos y regresión</x:v>
      </x:c>
      <x:c r="C383" s="26" t="str">
        <x:v>31_H6_and_Release_Readiness_Checklist.xlsx</x:v>
      </x:c>
      <x:c r="D383" s="26" t="str">
        <x:v>Todo S2 abierto tiene resolución o excepción formal aprobada.</x:v>
      </x:c>
      <x:c r="E383" s="26" t="str">
        <x:v>CHG-RC1-DOC-31</x:v>
      </x:c>
      <x:c r="F383" s="26"/>
      <x:c r="G383" s="26" t="str">
        <x:v>H6-QA-008</x:v>
      </x:c>
      <x:c r="H383" s="26"/>
      <x:c r="I383" s="26"/>
      <x:c r="J383" s="26" t="str">
        <x:v>NOT RUN</x:v>
      </x:c>
      <x:c r="K383" s="26"/>
      <x:c r="L383" s="26"/>
      <x:c r="M383" s="26" t="str">
        <x:v>RC1</x:v>
      </x:c>
      <x:c r="N383" s="26" t="str">
        <x:v>Defined / Not Executed</x:v>
      </x:c>
      <x:c r="O383" s="26"/>
      <x:c r="P383" s="26" t="str">
        <x:v>QA</x:v>
      </x:c>
      <x:c r="Q383" s="26" t="str">
        <x:v>H6; reviewer=Production/Engineering; gate=H6</x:v>
      </x:c>
    </x:row>
    <x:row r="384" ht="30" customHeight="1">
      <x:c r="A384" s="26" t="str">
        <x:v>H6-QA-009</x:v>
      </x:c>
      <x:c r="B384" s="26" t="str">
        <x:v>QA, defectos y regresión</x:v>
      </x:c>
      <x:c r="C384" s="26" t="str">
        <x:v>31_H6_and_Release_Readiness_Checklist.xlsx</x:v>
      </x:c>
      <x:c r="D384" s="26" t="str">
        <x:v>Los S3/S4 aceptados no forman un problema sistémico ni contradicen la representatividad.</x:v>
      </x:c>
      <x:c r="E384" s="26" t="str">
        <x:v>CHG-RC1-DOC-31</x:v>
      </x:c>
      <x:c r="F384" s="26"/>
      <x:c r="G384" s="26" t="str">
        <x:v>H6-QA-009</x:v>
      </x:c>
      <x:c r="H384" s="26"/>
      <x:c r="I384" s="26"/>
      <x:c r="J384" s="26" t="str">
        <x:v>NOT RUN</x:v>
      </x:c>
      <x:c r="K384" s="26"/>
      <x:c r="L384" s="26"/>
      <x:c r="M384" s="26" t="str">
        <x:v>RC1</x:v>
      </x:c>
      <x:c r="N384" s="26" t="str">
        <x:v>Defined / Not Executed</x:v>
      </x:c>
      <x:c r="O384" s="26"/>
      <x:c r="P384" s="26" t="str">
        <x:v>QA</x:v>
      </x:c>
      <x:c r="Q384" s="26" t="str">
        <x:v>H6; reviewer=Production/Engineering; gate=H6</x:v>
      </x:c>
    </x:row>
    <x:row r="385" ht="30" customHeight="1">
      <x:c r="A385" s="26" t="str">
        <x:v>H6-QA-010</x:v>
      </x:c>
      <x:c r="B385" s="26" t="str">
        <x:v>QA, defectos y regresión</x:v>
      </x:c>
      <x:c r="C385" s="26" t="str">
        <x:v>31_H6_and_Release_Readiness_Checklist.xlsx</x:v>
      </x:c>
      <x:c r="D385" s="26" t="str">
        <x:v>Cada corrección de S0/S1/S2 incluye prueba de regresión vinculada.</x:v>
      </x:c>
      <x:c r="E385" s="26" t="str">
        <x:v>CHG-RC1-DOC-31</x:v>
      </x:c>
      <x:c r="F385" s="26"/>
      <x:c r="G385" s="26" t="str">
        <x:v>H6-QA-010</x:v>
      </x:c>
      <x:c r="H385" s="26"/>
      <x:c r="I385" s="26"/>
      <x:c r="J385" s="26" t="str">
        <x:v>NOT RUN</x:v>
      </x:c>
      <x:c r="K385" s="26"/>
      <x:c r="L385" s="26"/>
      <x:c r="M385" s="26" t="str">
        <x:v>RC1</x:v>
      </x:c>
      <x:c r="N385" s="26" t="str">
        <x:v>Defined / Not Executed</x:v>
      </x:c>
      <x:c r="O385" s="26"/>
      <x:c r="P385" s="26" t="str">
        <x:v>QA</x:v>
      </x:c>
      <x:c r="Q385" s="26" t="str">
        <x:v>H6; reviewer=Production/Engineering; gate=H6</x:v>
      </x:c>
    </x:row>
    <x:row r="386" ht="30" customHeight="1">
      <x:c r="A386" s="26" t="str">
        <x:v>H6-QA-011</x:v>
      </x:c>
      <x:c r="B386" s="26" t="str">
        <x:v>QA, defectos y regresión</x:v>
      </x:c>
      <x:c r="C386" s="26" t="str">
        <x:v>31_H6_and_Release_Readiness_Checklist.xlsx</x:v>
      </x:c>
      <x:c r="D386" s="26" t="str">
        <x:v>Player.log se revisa completo y los errores recurrentes están cerrados o exceptuados.</x:v>
      </x:c>
      <x:c r="E386" s="26" t="str">
        <x:v>CHG-RC1-DOC-31</x:v>
      </x:c>
      <x:c r="F386" s="26"/>
      <x:c r="G386" s="26" t="str">
        <x:v>H6-QA-011</x:v>
      </x:c>
      <x:c r="H386" s="26"/>
      <x:c r="I386" s="26"/>
      <x:c r="J386" s="26" t="str">
        <x:v>NOT RUN</x:v>
      </x:c>
      <x:c r="K386" s="26"/>
      <x:c r="L386" s="26"/>
      <x:c r="M386" s="26" t="str">
        <x:v>RC1</x:v>
      </x:c>
      <x:c r="N386" s="26" t="str">
        <x:v>Defined / Not Executed</x:v>
      </x:c>
      <x:c r="O386" s="26"/>
      <x:c r="P386" s="26" t="str">
        <x:v>QA</x:v>
      </x:c>
      <x:c r="Q386" s="26" t="str">
        <x:v>H6; reviewer=Production/Engineering; gate=H6</x:v>
      </x:c>
    </x:row>
    <x:row r="387" ht="30" customHeight="1">
      <x:c r="A387" s="26" t="str">
        <x:v>H6-QA-012</x:v>
      </x:c>
      <x:c r="B387" s="26" t="str">
        <x:v>QA, defectos y regresión</x:v>
      </x:c>
      <x:c r="C387" s="26" t="str">
        <x:v>31_H6_and_Release_Readiness_Checklist.xlsx</x:v>
      </x:c>
      <x:c r="D387" s="26" t="str">
        <x:v>Las ejecuciones registran build, SHA, hardware, idioma, resolución, fecha y ejecutor.</x:v>
      </x:c>
      <x:c r="E387" s="26" t="str">
        <x:v>CHG-RC1-DOC-31</x:v>
      </x:c>
      <x:c r="F387" s="26"/>
      <x:c r="G387" s="26" t="str">
        <x:v>H6-QA-012</x:v>
      </x:c>
      <x:c r="H387" s="26"/>
      <x:c r="I387" s="26"/>
      <x:c r="J387" s="26" t="str">
        <x:v>NOT RUN</x:v>
      </x:c>
      <x:c r="K387" s="26"/>
      <x:c r="L387" s="26"/>
      <x:c r="M387" s="26" t="str">
        <x:v>RC1</x:v>
      </x:c>
      <x:c r="N387" s="26" t="str">
        <x:v>Defined / Not Executed</x:v>
      </x:c>
      <x:c r="O387" s="26"/>
      <x:c r="P387" s="26" t="str">
        <x:v>QA</x:v>
      </x:c>
      <x:c r="Q387" s="26" t="str">
        <x:v>H6; reviewer=Production/Engineering; gate=H6</x:v>
      </x:c>
    </x:row>
    <x:row r="388" ht="30" customHeight="1">
      <x:c r="A388" s="26" t="str">
        <x:v>H6-QA-013</x:v>
      </x:c>
      <x:c r="B388" s="26" t="str">
        <x:v>QA, defectos y regresión</x:v>
      </x:c>
      <x:c r="C388" s="26" t="str">
        <x:v>31_H6_and_Release_Readiness_Checklist.xlsx</x:v>
      </x:c>
      <x:c r="D388" s="26" t="str">
        <x:v>La regresión cubre tanto capacidades automatizadas históricas como integración representativa nueva.</x:v>
      </x:c>
      <x:c r="E388" s="26" t="str">
        <x:v>CHG-RC1-DOC-31</x:v>
      </x:c>
      <x:c r="F388" s="26"/>
      <x:c r="G388" s="26" t="str">
        <x:v>H6-QA-013</x:v>
      </x:c>
      <x:c r="H388" s="26"/>
      <x:c r="I388" s="26"/>
      <x:c r="J388" s="26" t="str">
        <x:v>NOT RUN</x:v>
      </x:c>
      <x:c r="K388" s="26"/>
      <x:c r="L388" s="26"/>
      <x:c r="M388" s="26" t="str">
        <x:v>RC1</x:v>
      </x:c>
      <x:c r="N388" s="26" t="str">
        <x:v>Defined / Not Executed</x:v>
      </x:c>
      <x:c r="O388" s="26"/>
      <x:c r="P388" s="26" t="str">
        <x:v>QA</x:v>
      </x:c>
      <x:c r="Q388" s="26" t="str">
        <x:v>H6; reviewer=Production/Engineering; gate=H6</x:v>
      </x:c>
    </x:row>
    <x:row r="389" ht="30" customHeight="1">
      <x:c r="A389" s="26" t="str">
        <x:v>H6-QA-014</x:v>
      </x:c>
      <x:c r="B389" s="26" t="str">
        <x:v>QA, defectos y regresión</x:v>
      </x:c>
      <x:c r="C389" s="26" t="str">
        <x:v>31_H6_and_Release_Readiness_Checklist.xlsx</x:v>
      </x:c>
      <x:c r="D389" s="26" t="str">
        <x:v>Los resultados de QA no mezclan casos, aserciones y controles sin etiquetar la unidad.</x:v>
      </x:c>
      <x:c r="E389" s="26" t="str">
        <x:v>CHG-RC1-DOC-31</x:v>
      </x:c>
      <x:c r="F389" s="26"/>
      <x:c r="G389" s="26" t="str">
        <x:v>H6-QA-014</x:v>
      </x:c>
      <x:c r="H389" s="26"/>
      <x:c r="I389" s="26"/>
      <x:c r="J389" s="26" t="str">
        <x:v>NOT RUN</x:v>
      </x:c>
      <x:c r="K389" s="26"/>
      <x:c r="L389" s="26"/>
      <x:c r="M389" s="26" t="str">
        <x:v>RC1</x:v>
      </x:c>
      <x:c r="N389" s="26" t="str">
        <x:v>Defined / Not Executed</x:v>
      </x:c>
      <x:c r="O389" s="26"/>
      <x:c r="P389" s="26" t="str">
        <x:v>QA</x:v>
      </x:c>
      <x:c r="Q389" s="26" t="str">
        <x:v>H6; reviewer=Production/Engineering; gate=H6</x:v>
      </x:c>
    </x:row>
    <x:row r="390" ht="30" customHeight="1">
      <x:c r="A390" s="26" t="str">
        <x:v>H6-QA-015</x:v>
      </x:c>
      <x:c r="B390" s="26" t="str">
        <x:v>QA, defectos y regresión</x:v>
      </x:c>
      <x:c r="C390" s="26" t="str">
        <x:v>31_H6_and_Release_Readiness_Checklist.xlsx</x:v>
      </x:c>
      <x:c r="D390" s="26" t="str">
        <x:v>Se ejecuta una sesión sin conexión y una sesión tras reinicio del sistema.</x:v>
      </x:c>
      <x:c r="E390" s="26" t="str">
        <x:v>CHG-RC1-DOC-31</x:v>
      </x:c>
      <x:c r="F390" s="26"/>
      <x:c r="G390" s="26" t="str">
        <x:v>H6-QA-015</x:v>
      </x:c>
      <x:c r="H390" s="26"/>
      <x:c r="I390" s="26"/>
      <x:c r="J390" s="26" t="str">
        <x:v>NOT RUN</x:v>
      </x:c>
      <x:c r="K390" s="26"/>
      <x:c r="L390" s="26"/>
      <x:c r="M390" s="26" t="str">
        <x:v>RC1</x:v>
      </x:c>
      <x:c r="N390" s="26" t="str">
        <x:v>Defined / Not Executed</x:v>
      </x:c>
      <x:c r="O390" s="26"/>
      <x:c r="P390" s="26" t="str">
        <x:v>QA</x:v>
      </x:c>
      <x:c r="Q390" s="26" t="str">
        <x:v>H6; reviewer=Production/Engineering; gate=H6</x:v>
      </x:c>
    </x:row>
    <x:row r="391" ht="30" customHeight="1">
      <x:c r="A391" s="26" t="str">
        <x:v>H6-QA-016</x:v>
      </x:c>
      <x:c r="B391" s="26" t="str">
        <x:v>QA, defectos y regresión</x:v>
      </x:c>
      <x:c r="C391" s="26" t="str">
        <x:v>31_H6_and_Release_Readiness_Checklist.xlsx</x:v>
      </x:c>
      <x:c r="D391" s="26" t="str">
        <x:v>La decisión final se basa en evidencia de la candidata inmutable, no en resultados de builds previas.</x:v>
      </x:c>
      <x:c r="E391" s="26" t="str">
        <x:v>CHG-RC1-DOC-31</x:v>
      </x:c>
      <x:c r="F391" s="26"/>
      <x:c r="G391" s="26" t="str">
        <x:v>H6-QA-016</x:v>
      </x:c>
      <x:c r="H391" s="26"/>
      <x:c r="I391" s="26"/>
      <x:c r="J391" s="26" t="str">
        <x:v>NOT RUN</x:v>
      </x:c>
      <x:c r="K391" s="26"/>
      <x:c r="L391" s="26"/>
      <x:c r="M391" s="26" t="str">
        <x:v>RC1</x:v>
      </x:c>
      <x:c r="N391" s="26" t="str">
        <x:v>Defined / Not Executed</x:v>
      </x:c>
      <x:c r="O391" s="26"/>
      <x:c r="P391" s="26" t="str">
        <x:v>QA</x:v>
      </x:c>
      <x:c r="Q391" s="26" t="str">
        <x:v>H6; reviewer=Production/Engineering; gate=H6</x:v>
      </x:c>
    </x:row>
    <x:row r="392" ht="30" customHeight="1">
      <x:c r="A392" s="26" t="str">
        <x:v>H6-SAV-001</x:v>
      </x:c>
      <x:c r="B392" s="26" t="str">
        <x:v>Persistencia y recuperación</x:v>
      </x:c>
      <x:c r="C392" s="26" t="str">
        <x:v>31_H6_and_Release_Readiness_Checklist.xlsx</x:v>
      </x:c>
      <x:c r="D392" s="26" t="str">
        <x:v>El conjunto persistente mínimo de H6 está explícitamente definido y coincide con la experiencia disponible.</x:v>
      </x:c>
      <x:c r="E392" s="26" t="str">
        <x:v>CHG-RC1-DOC-31</x:v>
      </x:c>
      <x:c r="F392" s="26"/>
      <x:c r="G392" s="26" t="str">
        <x:v>H6-SAV-001</x:v>
      </x:c>
      <x:c r="H392" s="26"/>
      <x:c r="I392" s="26"/>
      <x:c r="J392" s="26" t="str">
        <x:v>NOT RUN</x:v>
      </x:c>
      <x:c r="K392" s="26"/>
      <x:c r="L392" s="26"/>
      <x:c r="M392" s="26" t="str">
        <x:v>RC1</x:v>
      </x:c>
      <x:c r="N392" s="26" t="str">
        <x:v>Defined / Not Executed</x:v>
      </x:c>
      <x:c r="O392" s="26"/>
      <x:c r="P392" s="26" t="str">
        <x:v>Engineering</x:v>
      </x:c>
      <x:c r="Q392" s="26" t="str">
        <x:v>H6; reviewer=QA/Architecture; gate=H6</x:v>
      </x:c>
    </x:row>
    <x:row r="393" ht="30" customHeight="1">
      <x:c r="A393" s="26" t="str">
        <x:v>H6-SAV-002</x:v>
      </x:c>
      <x:c r="B393" s="26" t="str">
        <x:v>Persistencia y recuperación</x:v>
      </x:c>
      <x:c r="C393" s="26" t="str">
        <x:v>31_H6_and_Release_Readiness_Checklist.xlsx</x:v>
      </x:c>
      <x:c r="D393" s="26" t="str">
        <x:v>Guardar y cargar conserva equivalencia de inventario, muebles, pedidos, precios, economía, día y preferencias correspondientes.</x:v>
      </x:c>
      <x:c r="E393" s="26" t="str">
        <x:v>CHG-RC1-DOC-31</x:v>
      </x:c>
      <x:c r="F393" s="26"/>
      <x:c r="G393" s="26" t="str">
        <x:v>H6-SAV-002</x:v>
      </x:c>
      <x:c r="H393" s="26"/>
      <x:c r="I393" s="26"/>
      <x:c r="J393" s="26" t="str">
        <x:v>NOT RUN</x:v>
      </x:c>
      <x:c r="K393" s="26"/>
      <x:c r="L393" s="26"/>
      <x:c r="M393" s="26" t="str">
        <x:v>RC1</x:v>
      </x:c>
      <x:c r="N393" s="26" t="str">
        <x:v>Defined / Not Executed</x:v>
      </x:c>
      <x:c r="O393" s="26"/>
      <x:c r="P393" s="26" t="str">
        <x:v>Engineering</x:v>
      </x:c>
      <x:c r="Q393" s="26" t="str">
        <x:v>H6; reviewer=QA/Architecture; gate=H6</x:v>
      </x:c>
    </x:row>
    <x:row r="394" ht="30" customHeight="1">
      <x:c r="A394" s="26" t="str">
        <x:v>H6-SAV-003</x:v>
      </x:c>
      <x:c r="B394" s="26" t="str">
        <x:v>Persistencia y recuperación</x:v>
      </x:c>
      <x:c r="C394" s="26" t="str">
        <x:v>31_H6_and_Release_Readiness_Checklist.xlsx</x:v>
      </x:c>
      <x:c r="D394" s="26" t="str">
        <x:v>La colocación dinámica incluida persiste posición, rotación, tipo e ID.</x:v>
      </x:c>
      <x:c r="E394" s="26" t="str">
        <x:v>CHG-RC1-DOC-31</x:v>
      </x:c>
      <x:c r="F394" s="26"/>
      <x:c r="G394" s="26" t="str">
        <x:v>H6-SAV-003</x:v>
      </x:c>
      <x:c r="H394" s="26"/>
      <x:c r="I394" s="26"/>
      <x:c r="J394" s="26" t="str">
        <x:v>NOT RUN</x:v>
      </x:c>
      <x:c r="K394" s="26"/>
      <x:c r="L394" s="26"/>
      <x:c r="M394" s="26" t="str">
        <x:v>RC1</x:v>
      </x:c>
      <x:c r="N394" s="26" t="str">
        <x:v>Defined / Not Executed</x:v>
      </x:c>
      <x:c r="O394" s="26"/>
      <x:c r="P394" s="26" t="str">
        <x:v>Engineering</x:v>
      </x:c>
      <x:c r="Q394" s="26" t="str">
        <x:v>H6; reviewer=QA/Architecture; gate=H6</x:v>
      </x:c>
    </x:row>
    <x:row r="395" ht="30" customHeight="1">
      <x:c r="A395" s="26" t="str">
        <x:v>H6-SAV-004</x:v>
      </x:c>
      <x:c r="B395" s="26" t="str">
        <x:v>Persistencia y recuperación</x:v>
      </x:c>
      <x:c r="C395" s="26" t="str">
        <x:v>31_H6_and_Release_Readiness_Checklist.xlsx</x:v>
      </x:c>
      <x:c r="D395" s="26" t="str">
        <x:v>Cargar repetidamente no duplica entidades, pedidos, stock, clientes, movimientos o ingresos.</x:v>
      </x:c>
      <x:c r="E395" s="26" t="str">
        <x:v>CHG-RC1-DOC-31</x:v>
      </x:c>
      <x:c r="F395" s="26"/>
      <x:c r="G395" s="26" t="str">
        <x:v>H6-SAV-004</x:v>
      </x:c>
      <x:c r="H395" s="26"/>
      <x:c r="I395" s="26"/>
      <x:c r="J395" s="26" t="str">
        <x:v>NOT RUN</x:v>
      </x:c>
      <x:c r="K395" s="26"/>
      <x:c r="L395" s="26"/>
      <x:c r="M395" s="26" t="str">
        <x:v>RC1</x:v>
      </x:c>
      <x:c r="N395" s="26" t="str">
        <x:v>Defined / Not Executed</x:v>
      </x:c>
      <x:c r="O395" s="26"/>
      <x:c r="P395" s="26" t="str">
        <x:v>Engineering</x:v>
      </x:c>
      <x:c r="Q395" s="26" t="str">
        <x:v>H6; reviewer=QA/Architecture; gate=H6</x:v>
      </x:c>
    </x:row>
    <x:row r="396" ht="30" customHeight="1">
      <x:c r="A396" s="26" t="str">
        <x:v>H6-SAV-005</x:v>
      </x:c>
      <x:c r="B396" s="26" t="str">
        <x:v>Persistencia y recuperación</x:v>
      </x:c>
      <x:c r="C396" s="26" t="str">
        <x:v>31_H6_and_Release_Readiness_Checklist.xlsx</x:v>
      </x:c>
      <x:c r="D396" s="26" t="str">
        <x:v>Los tres slots son independientes y las preferencias globales no contaminan datos de partida.</x:v>
      </x:c>
      <x:c r="E396" s="26" t="str">
        <x:v>CHG-RC1-DOC-31</x:v>
      </x:c>
      <x:c r="F396" s="26"/>
      <x:c r="G396" s="26" t="str">
        <x:v>H6-SAV-005</x:v>
      </x:c>
      <x:c r="H396" s="26"/>
      <x:c r="I396" s="26"/>
      <x:c r="J396" s="26" t="str">
        <x:v>NOT RUN</x:v>
      </x:c>
      <x:c r="K396" s="26"/>
      <x:c r="L396" s="26"/>
      <x:c r="M396" s="26" t="str">
        <x:v>RC1</x:v>
      </x:c>
      <x:c r="N396" s="26" t="str">
        <x:v>Defined / Not Executed</x:v>
      </x:c>
      <x:c r="O396" s="26"/>
      <x:c r="P396" s="26" t="str">
        <x:v>Engineering</x:v>
      </x:c>
      <x:c r="Q396" s="26" t="str">
        <x:v>H6; reviewer=QA/Architecture; gate=H6</x:v>
      </x:c>
    </x:row>
    <x:row r="397" ht="30" customHeight="1">
      <x:c r="A397" s="26" t="str">
        <x:v>H6-SAV-006</x:v>
      </x:c>
      <x:c r="B397" s="26" t="str">
        <x:v>Persistencia y recuperación</x:v>
      </x:c>
      <x:c r="C397" s="26" t="str">
        <x:v>31_H6_and_Release_Readiness_Checklist.xlsx</x:v>
      </x:c>
      <x:c r="D397" s="26" t="str">
        <x:v>El versionado de save y la migración soportada están documentados y probados.</x:v>
      </x:c>
      <x:c r="E397" s="26" t="str">
        <x:v>CHG-RC1-DOC-31</x:v>
      </x:c>
      <x:c r="F397" s="26"/>
      <x:c r="G397" s="26" t="str">
        <x:v>H6-SAV-006</x:v>
      </x:c>
      <x:c r="H397" s="26"/>
      <x:c r="I397" s="26"/>
      <x:c r="J397" s="26" t="str">
        <x:v>NOT RUN</x:v>
      </x:c>
      <x:c r="K397" s="26"/>
      <x:c r="L397" s="26"/>
      <x:c r="M397" s="26" t="str">
        <x:v>RC1</x:v>
      </x:c>
      <x:c r="N397" s="26" t="str">
        <x:v>Defined / Not Executed</x:v>
      </x:c>
      <x:c r="O397" s="26"/>
      <x:c r="P397" s="26" t="str">
        <x:v>Engineering</x:v>
      </x:c>
      <x:c r="Q397" s="26" t="str">
        <x:v>H6; reviewer=QA/Architecture; gate=H6</x:v>
      </x:c>
    </x:row>
    <x:row r="398" ht="30" customHeight="1">
      <x:c r="A398" s="26" t="str">
        <x:v>H6-SAV-007</x:v>
      </x:c>
      <x:c r="B398" s="26" t="str">
        <x:v>Persistencia y recuperación</x:v>
      </x:c>
      <x:c r="C398" s="26" t="str">
        <x:v>31_H6_and_Release_Readiness_Checklist.xlsx</x:v>
      </x:c>
      <x:c r="D398" s="26" t="str">
        <x:v>Archivo ausente/corrupto se maneja sin sobrescribir evidencia y con recuperación aprobada.</x:v>
      </x:c>
      <x:c r="E398" s="26" t="str">
        <x:v>CHG-RC1-DOC-31</x:v>
      </x:c>
      <x:c r="F398" s="26"/>
      <x:c r="G398" s="26" t="str">
        <x:v>H6-SAV-007</x:v>
      </x:c>
      <x:c r="H398" s="26"/>
      <x:c r="I398" s="26"/>
      <x:c r="J398" s="26" t="str">
        <x:v>NOT RUN</x:v>
      </x:c>
      <x:c r="K398" s="26"/>
      <x:c r="L398" s="26"/>
      <x:c r="M398" s="26" t="str">
        <x:v>RC1</x:v>
      </x:c>
      <x:c r="N398" s="26" t="str">
        <x:v>Defined / Not Executed</x:v>
      </x:c>
      <x:c r="O398" s="26"/>
      <x:c r="P398" s="26" t="str">
        <x:v>Engineering</x:v>
      </x:c>
      <x:c r="Q398" s="26" t="str">
        <x:v>H6; reviewer=QA/Architecture; gate=H6</x:v>
      </x:c>
    </x:row>
    <x:row r="399" ht="30" customHeight="1">
      <x:c r="A399" s="26" t="str">
        <x:v>H6-SAV-008</x:v>
      </x:c>
      <x:c r="B399" s="26" t="str">
        <x:v>Persistencia y recuperación</x:v>
      </x:c>
      <x:c r="C399" s="26" t="str">
        <x:v>31_H6_and_Release_Readiness_Checklist.xlsx</x:v>
      </x:c>
      <x:c r="D399" s="26" t="str">
        <x:v>El guardado/autosave no produce estado parcial si falla la escritura.</x:v>
      </x:c>
      <x:c r="E399" s="26" t="str">
        <x:v>CHG-RC1-DOC-31</x:v>
      </x:c>
      <x:c r="F399" s="26"/>
      <x:c r="G399" s="26" t="str">
        <x:v>H6-SAV-008</x:v>
      </x:c>
      <x:c r="H399" s="26"/>
      <x:c r="I399" s="26"/>
      <x:c r="J399" s="26" t="str">
        <x:v>NOT RUN</x:v>
      </x:c>
      <x:c r="K399" s="26"/>
      <x:c r="L399" s="26"/>
      <x:c r="M399" s="26" t="str">
        <x:v>RC1</x:v>
      </x:c>
      <x:c r="N399" s="26" t="str">
        <x:v>Defined / Not Executed</x:v>
      </x:c>
      <x:c r="O399" s="26"/>
      <x:c r="P399" s="26" t="str">
        <x:v>Engineering</x:v>
      </x:c>
      <x:c r="Q399" s="26" t="str">
        <x:v>H6; reviewer=QA/Architecture; gate=H6</x:v>
      </x:c>
    </x:row>
    <x:row r="400" ht="30" customHeight="1">
      <x:c r="A400" s="26" t="str">
        <x:v>H6-SAV-009</x:v>
      </x:c>
      <x:c r="B400" s="26" t="str">
        <x:v>Persistencia y recuperación</x:v>
      </x:c>
      <x:c r="C400" s="26" t="str">
        <x:v>31_H6_and_Release_Readiness_Checklist.xlsx</x:v>
      </x:c>
      <x:c r="D400" s="26" t="str">
        <x:v>Los tiempos de guardar, salir y cargar cumplen el presupuesto o tienen desviación formal.</x:v>
      </x:c>
      <x:c r="E400" s="26" t="str">
        <x:v>CHG-RC1-DOC-31</x:v>
      </x:c>
      <x:c r="F400" s="26"/>
      <x:c r="G400" s="26" t="str">
        <x:v>H6-SAV-009</x:v>
      </x:c>
      <x:c r="H400" s="26"/>
      <x:c r="I400" s="26"/>
      <x:c r="J400" s="26" t="str">
        <x:v>NOT RUN</x:v>
      </x:c>
      <x:c r="K400" s="26"/>
      <x:c r="L400" s="26"/>
      <x:c r="M400" s="26" t="str">
        <x:v>RC1</x:v>
      </x:c>
      <x:c r="N400" s="26" t="str">
        <x:v>Defined / Not Executed</x:v>
      </x:c>
      <x:c r="O400" s="26"/>
      <x:c r="P400" s="26" t="str">
        <x:v>Engineering</x:v>
      </x:c>
      <x:c r="Q400" s="26" t="str">
        <x:v>H6; reviewer=QA/Architecture; gate=H6</x:v>
      </x:c>
    </x:row>
    <x:row r="401" ht="30" customHeight="1">
      <x:c r="A401" s="26" t="str">
        <x:v>H6-SAV-010</x:v>
      </x:c>
      <x:c r="B401" s="26" t="str">
        <x:v>Persistencia y recuperación</x:v>
      </x:c>
      <x:c r="C401" s="26" t="str">
        <x:v>31_H6_and_Release_Readiness_Checklist.xlsx</x:v>
      </x:c>
      <x:c r="D401" s="26" t="str">
        <x:v>Los logs de persistencia no exponen datos sensibles ni rutas innecesarias en build candidata.</x:v>
      </x:c>
      <x:c r="E401" s="26" t="str">
        <x:v>CHG-RC1-DOC-31</x:v>
      </x:c>
      <x:c r="F401" s="26"/>
      <x:c r="G401" s="26" t="str">
        <x:v>H6-SAV-010</x:v>
      </x:c>
      <x:c r="H401" s="26"/>
      <x:c r="I401" s="26"/>
      <x:c r="J401" s="26" t="str">
        <x:v>NOT RUN</x:v>
      </x:c>
      <x:c r="K401" s="26"/>
      <x:c r="L401" s="26"/>
      <x:c r="M401" s="26" t="str">
        <x:v>RC1</x:v>
      </x:c>
      <x:c r="N401" s="26" t="str">
        <x:v>Defined / Not Executed</x:v>
      </x:c>
      <x:c r="O401" s="26"/>
      <x:c r="P401" s="26" t="str">
        <x:v>Engineering</x:v>
      </x:c>
      <x:c r="Q401" s="26" t="str">
        <x:v>H6; reviewer=QA/Architecture; gate=H6</x:v>
      </x:c>
    </x:row>
    <x:row r="402" ht="30" customHeight="1">
      <x:c r="A402" s="26" t="str">
        <x:v>H6-PER-001</x:v>
      </x:c>
      <x:c r="B402" s="26" t="str">
        <x:v>Rendimiento y estabilidad</x:v>
      </x:c>
      <x:c r="C402" s="26" t="str">
        <x:v>31_H6_and_Release_Readiness_Checklist.xlsx</x:v>
      </x:c>
      <x:c r="D402" s="26" t="str">
        <x:v>La candidata se perfila en hardware registrado, build Player y escena representativa equipada.</x:v>
      </x:c>
      <x:c r="E402" s="26" t="str">
        <x:v>CHG-RC1-DOC-31</x:v>
      </x:c>
      <x:c r="F402" s="26"/>
      <x:c r="G402" s="26" t="str">
        <x:v>H6-PER-001</x:v>
      </x:c>
      <x:c r="H402" s="26"/>
      <x:c r="I402" s="26"/>
      <x:c r="J402" s="26" t="str">
        <x:v>NOT RUN</x:v>
      </x:c>
      <x:c r="K402" s="26"/>
      <x:c r="L402" s="26"/>
      <x:c r="M402" s="26" t="str">
        <x:v>RC1</x:v>
      </x:c>
      <x:c r="N402" s="26" t="str">
        <x:v>Defined / Not Executed</x:v>
      </x:c>
      <x:c r="O402" s="26"/>
      <x:c r="P402" s="26" t="str">
        <x:v>Engineering/QA</x:v>
      </x:c>
      <x:c r="Q402" s="26" t="str">
        <x:v>H6; reviewer=Technical Direction; gate=Sprint 17 / H6</x:v>
      </x:c>
    </x:row>
    <x:row r="403" ht="30" customHeight="1">
      <x:c r="A403" s="26" t="str">
        <x:v>H6-PER-002</x:v>
      </x:c>
      <x:c r="B403" s="26" t="str">
        <x:v>Rendimiento y estabilidad</x:v>
      </x:c>
      <x:c r="C403" s="26" t="str">
        <x:v>31_H6_and_Release_Readiness_Checklist.xlsx</x:v>
      </x:c>
      <x:c r="D403" s="26" t="str">
        <x:v>El objetivo provisional de 60 FPS a 1080p se mide con media, percentiles/frame time y desviaciones.</x:v>
      </x:c>
      <x:c r="E403" s="26" t="str">
        <x:v>CHG-RC1-DOC-31</x:v>
      </x:c>
      <x:c r="F403" s="26"/>
      <x:c r="G403" s="26" t="str">
        <x:v>H6-PER-002</x:v>
      </x:c>
      <x:c r="H403" s="26"/>
      <x:c r="I403" s="26"/>
      <x:c r="J403" s="26" t="str">
        <x:v>NOT RUN</x:v>
      </x:c>
      <x:c r="K403" s="26"/>
      <x:c r="L403" s="26"/>
      <x:c r="M403" s="26" t="str">
        <x:v>RC1</x:v>
      </x:c>
      <x:c r="N403" s="26" t="str">
        <x:v>Defined / Not Executed</x:v>
      </x:c>
      <x:c r="O403" s="26"/>
      <x:c r="P403" s="26" t="str">
        <x:v>Engineering/QA</x:v>
      </x:c>
      <x:c r="Q403" s="26" t="str">
        <x:v>H6; reviewer=Technical Direction; gate=Sprint 17 / H6</x:v>
      </x:c>
    </x:row>
    <x:row r="404" ht="30" customHeight="1">
      <x:c r="A404" s="26" t="str">
        <x:v>H6-PER-003</x:v>
      </x:c>
      <x:c r="B404" s="26" t="str">
        <x:v>Rendimiento y estabilidad</x:v>
      </x:c>
      <x:c r="C404" s="26" t="str">
        <x:v>31_H6_and_Release_Readiness_Checklist.xlsx</x:v>
      </x:c>
      <x:c r="D404" s="26" t="str">
        <x:v>La prueba con hasta 8 clientes no presenta stutter persistente ni bloqueo de simulación.</x:v>
      </x:c>
      <x:c r="E404" s="26" t="str">
        <x:v>CHG-RC1-DOC-31</x:v>
      </x:c>
      <x:c r="F404" s="26"/>
      <x:c r="G404" s="26" t="str">
        <x:v>H6-PER-003</x:v>
      </x:c>
      <x:c r="H404" s="26"/>
      <x:c r="I404" s="26"/>
      <x:c r="J404" s="26" t="str">
        <x:v>NOT RUN</x:v>
      </x:c>
      <x:c r="K404" s="26"/>
      <x:c r="L404" s="26"/>
      <x:c r="M404" s="26" t="str">
        <x:v>RC1</x:v>
      </x:c>
      <x:c r="N404" s="26" t="str">
        <x:v>Defined / Not Executed</x:v>
      </x:c>
      <x:c r="O404" s="26"/>
      <x:c r="P404" s="26" t="str">
        <x:v>Engineering/QA</x:v>
      </x:c>
      <x:c r="Q404" s="26" t="str">
        <x:v>H6; reviewer=Technical Direction; gate=Sprint 17 / H6</x:v>
      </x:c>
    </x:row>
    <x:row r="405" ht="30" customHeight="1">
      <x:c r="A405" s="26" t="str">
        <x:v>H6-PER-004</x:v>
      </x:c>
      <x:c r="B405" s="26" t="str">
        <x:v>Rendimiento y estabilidad</x:v>
      </x:c>
      <x:c r="C405" s="26" t="str">
        <x:v>31_H6_and_Release_Readiness_Checklist.xlsx</x:v>
      </x:c>
      <x:c r="D405" s="26" t="str">
        <x:v>El tiempo de carga del slice se mide frente al objetivo histórico &lt;5 s.</x:v>
      </x:c>
      <x:c r="E405" s="26" t="str">
        <x:v>CHG-RC1-DOC-31</x:v>
      </x:c>
      <x:c r="F405" s="26"/>
      <x:c r="G405" s="26" t="str">
        <x:v>H6-PER-004</x:v>
      </x:c>
      <x:c r="H405" s="26"/>
      <x:c r="I405" s="26"/>
      <x:c r="J405" s="26" t="str">
        <x:v>NOT RUN</x:v>
      </x:c>
      <x:c r="K405" s="26"/>
      <x:c r="L405" s="26"/>
      <x:c r="M405" s="26" t="str">
        <x:v>RC1</x:v>
      </x:c>
      <x:c r="N405" s="26" t="str">
        <x:v>Defined / Not Executed</x:v>
      </x:c>
      <x:c r="O405" s="26"/>
      <x:c r="P405" s="26" t="str">
        <x:v>Engineering/QA</x:v>
      </x:c>
      <x:c r="Q405" s="26" t="str">
        <x:v>H6; reviewer=Technical Direction; gate=Sprint 17 / H6</x:v>
      </x:c>
    </x:row>
    <x:row r="406" ht="30" customHeight="1">
      <x:c r="A406" s="26" t="str">
        <x:v>H6-PER-005</x:v>
      </x:c>
      <x:c r="B406" s="26" t="str">
        <x:v>Rendimiento y estabilidad</x:v>
      </x:c>
      <x:c r="C406" s="26" t="str">
        <x:v>31_H6_and_Release_Readiness_Checklist.xlsx</x:v>
      </x:c>
      <x:c r="D406" s="26" t="str">
        <x:v>Guardar/cerrar se mide frente al objetivo histórico &lt;2 s o se documenta desviación.</x:v>
      </x:c>
      <x:c r="E406" s="26" t="str">
        <x:v>CHG-RC1-DOC-31</x:v>
      </x:c>
      <x:c r="F406" s="26"/>
      <x:c r="G406" s="26" t="str">
        <x:v>H6-PER-005</x:v>
      </x:c>
      <x:c r="H406" s="26"/>
      <x:c r="I406" s="26"/>
      <x:c r="J406" s="26" t="str">
        <x:v>NOT RUN</x:v>
      </x:c>
      <x:c r="K406" s="26"/>
      <x:c r="L406" s="26"/>
      <x:c r="M406" s="26" t="str">
        <x:v>RC1</x:v>
      </x:c>
      <x:c r="N406" s="26" t="str">
        <x:v>Defined / Not Executed</x:v>
      </x:c>
      <x:c r="O406" s="26"/>
      <x:c r="P406" s="26" t="str">
        <x:v>Engineering/QA</x:v>
      </x:c>
      <x:c r="Q406" s="26" t="str">
        <x:v>H6; reviewer=Technical Direction; gate=Sprint 17 / H6</x:v>
      </x:c>
    </x:row>
    <x:row r="407" ht="30" customHeight="1">
      <x:c r="A407" s="26" t="str">
        <x:v>H6-PER-006</x:v>
      </x:c>
      <x:c r="B407" s="26" t="str">
        <x:v>Rendimiento y estabilidad</x:v>
      </x:c>
      <x:c r="C407" s="26" t="str">
        <x:v>31_H6_and_Release_Readiness_Checklist.xlsx</x:v>
      </x:c>
      <x:c r="D407" s="26" t="str">
        <x:v>Las allocations por frame en estado estable son próximas a cero o están justificadas.</x:v>
      </x:c>
      <x:c r="E407" s="26" t="str">
        <x:v>CHG-RC1-DOC-31</x:v>
      </x:c>
      <x:c r="F407" s="26"/>
      <x:c r="G407" s="26" t="str">
        <x:v>H6-PER-006</x:v>
      </x:c>
      <x:c r="H407" s="26"/>
      <x:c r="I407" s="26"/>
      <x:c r="J407" s="26" t="str">
        <x:v>NOT RUN</x:v>
      </x:c>
      <x:c r="K407" s="26"/>
      <x:c r="L407" s="26"/>
      <x:c r="M407" s="26" t="str">
        <x:v>RC1</x:v>
      </x:c>
      <x:c r="N407" s="26" t="str">
        <x:v>Defined / Not Executed</x:v>
      </x:c>
      <x:c r="O407" s="26"/>
      <x:c r="P407" s="26" t="str">
        <x:v>Engineering/QA</x:v>
      </x:c>
      <x:c r="Q407" s="26" t="str">
        <x:v>H6; reviewer=Technical Direction; gate=Sprint 17 / H6</x:v>
      </x:c>
    </x:row>
    <x:row r="408" ht="30" customHeight="1">
      <x:c r="A408" s="26" t="str">
        <x:v>H6-PER-007</x:v>
      </x:c>
      <x:c r="B408" s="26" t="str">
        <x:v>Rendimiento y estabilidad</x:v>
      </x:c>
      <x:c r="C408" s="26" t="str">
        <x:v>31_H6_and_Release_Readiness_Checklist.xlsx</x:v>
      </x:c>
      <x:c r="D408" s="26" t="str">
        <x:v>No existe crecimiento de memoria grave durante Golden Path, siete días y soak.</x:v>
      </x:c>
      <x:c r="E408" s="26" t="str">
        <x:v>CHG-RC1-DOC-31</x:v>
      </x:c>
      <x:c r="F408" s="26"/>
      <x:c r="G408" s="26" t="str">
        <x:v>H6-PER-007</x:v>
      </x:c>
      <x:c r="H408" s="26"/>
      <x:c r="I408" s="26"/>
      <x:c r="J408" s="26" t="str">
        <x:v>NOT RUN</x:v>
      </x:c>
      <x:c r="K408" s="26"/>
      <x:c r="L408" s="26"/>
      <x:c r="M408" s="26" t="str">
        <x:v>RC1</x:v>
      </x:c>
      <x:c r="N408" s="26" t="str">
        <x:v>Defined / Not Executed</x:v>
      </x:c>
      <x:c r="O408" s="26"/>
      <x:c r="P408" s="26" t="str">
        <x:v>Engineering/QA</x:v>
      </x:c>
      <x:c r="Q408" s="26" t="str">
        <x:v>H6; reviewer=Technical Direction; gate=Sprint 17 / H6</x:v>
      </x:c>
    </x:row>
    <x:row r="409" ht="30" customHeight="1">
      <x:c r="A409" s="26" t="str">
        <x:v>H6-PER-008</x:v>
      </x:c>
      <x:c r="B409" s="26" t="str">
        <x:v>Rendimiento y estabilidad</x:v>
      </x:c>
      <x:c r="C409" s="26" t="str">
        <x:v>31_H6_and_Release_Readiness_Checklist.xlsx</x:v>
      </x:c>
      <x:c r="D409" s="26" t="str">
        <x:v>No hay degradación acumulativa de FPS, navegación, audio o UI durante sesión extensa.</x:v>
      </x:c>
      <x:c r="E409" s="26" t="str">
        <x:v>CHG-RC1-DOC-31</x:v>
      </x:c>
      <x:c r="F409" s="26"/>
      <x:c r="G409" s="26" t="str">
        <x:v>H6-PER-008</x:v>
      </x:c>
      <x:c r="H409" s="26"/>
      <x:c r="I409" s="26"/>
      <x:c r="J409" s="26" t="str">
        <x:v>NOT RUN</x:v>
      </x:c>
      <x:c r="K409" s="26"/>
      <x:c r="L409" s="26"/>
      <x:c r="M409" s="26" t="str">
        <x:v>RC1</x:v>
      </x:c>
      <x:c r="N409" s="26" t="str">
        <x:v>Defined / Not Executed</x:v>
      </x:c>
      <x:c r="O409" s="26"/>
      <x:c r="P409" s="26" t="str">
        <x:v>Engineering/QA</x:v>
      </x:c>
      <x:c r="Q409" s="26" t="str">
        <x:v>H6; reviewer=Technical Direction; gate=Sprint 17 / H6</x:v>
      </x:c>
    </x:row>
    <x:row r="410" ht="30" customHeight="1">
      <x:c r="A410" s="26" t="str">
        <x:v>H6-PER-009</x:v>
      </x:c>
      <x:c r="B410" s="26" t="str">
        <x:v>Rendimiento y estabilidad</x:v>
      </x:c>
      <x:c r="C410" s="26" t="str">
        <x:v>31_H6_and_Release_Readiness_Checklist.xlsx</x:v>
      </x:c>
      <x:c r="D410" s="26" t="str">
        <x:v>Sombras, SSAO, luces, transparencias y VFX se revisan en el coste real de StoreInitial.</x:v>
      </x:c>
      <x:c r="E410" s="26" t="str">
        <x:v>CHG-RC1-DOC-31</x:v>
      </x:c>
      <x:c r="F410" s="26"/>
      <x:c r="G410" s="26" t="str">
        <x:v>H6-PER-009</x:v>
      </x:c>
      <x:c r="H410" s="26"/>
      <x:c r="I410" s="26"/>
      <x:c r="J410" s="26" t="str">
        <x:v>NOT RUN</x:v>
      </x:c>
      <x:c r="K410" s="26"/>
      <x:c r="L410" s="26"/>
      <x:c r="M410" s="26" t="str">
        <x:v>RC1</x:v>
      </x:c>
      <x:c r="N410" s="26" t="str">
        <x:v>Defined / Not Executed</x:v>
      </x:c>
      <x:c r="O410" s="26"/>
      <x:c r="P410" s="26" t="str">
        <x:v>Engineering/QA</x:v>
      </x:c>
      <x:c r="Q410" s="26" t="str">
        <x:v>H6; reviewer=Technical Direction; gate=Sprint 17 / H6</x:v>
      </x:c>
    </x:row>
    <x:row r="411" ht="30" customHeight="1">
      <x:c r="A411" s="26" t="str">
        <x:v>H6-PER-010</x:v>
      </x:c>
      <x:c r="B411" s="26" t="str">
        <x:v>Rendimiento y estabilidad</x:v>
      </x:c>
      <x:c r="C411" s="26" t="str">
        <x:v>31_H6_and_Release_Readiness_Checklist.xlsx</x:v>
      </x:c>
      <x:c r="D411" s="26" t="str">
        <x:v>La UI y localización extrema no generan spikes frecuentes de layout o GC.</x:v>
      </x:c>
      <x:c r="E411" s="26" t="str">
        <x:v>CHG-RC1-DOC-31</x:v>
      </x:c>
      <x:c r="F411" s="26"/>
      <x:c r="G411" s="26" t="str">
        <x:v>H6-PER-010</x:v>
      </x:c>
      <x:c r="H411" s="26"/>
      <x:c r="I411" s="26"/>
      <x:c r="J411" s="26" t="str">
        <x:v>NOT RUN</x:v>
      </x:c>
      <x:c r="K411" s="26"/>
      <x:c r="L411" s="26"/>
      <x:c r="M411" s="26" t="str">
        <x:v>RC1</x:v>
      </x:c>
      <x:c r="N411" s="26" t="str">
        <x:v>Defined / Not Executed</x:v>
      </x:c>
      <x:c r="O411" s="26"/>
      <x:c r="P411" s="26" t="str">
        <x:v>Engineering/QA</x:v>
      </x:c>
      <x:c r="Q411" s="26" t="str">
        <x:v>H6; reviewer=Technical Direction; gate=Sprint 17 / H6</x:v>
      </x:c>
    </x:row>
    <x:row r="412" ht="30" customHeight="1">
      <x:c r="A412" s="26" t="str">
        <x:v>H6-PER-011</x:v>
      </x:c>
      <x:c r="B412" s="26" t="str">
        <x:v>Rendimiento y estabilidad</x:v>
      </x:c>
      <x:c r="C412" s="26" t="str">
        <x:v>31_H6_and_Release_Readiness_Checklist.xlsx</x:v>
      </x:c>
      <x:c r="D412" s="26" t="str">
        <x:v>Audio y número de voces permanecen dentro del presupuesto durante saturación.</x:v>
      </x:c>
      <x:c r="E412" s="26" t="str">
        <x:v>CHG-RC1-DOC-31</x:v>
      </x:c>
      <x:c r="F412" s="26"/>
      <x:c r="G412" s="26" t="str">
        <x:v>H6-PER-011</x:v>
      </x:c>
      <x:c r="H412" s="26"/>
      <x:c r="I412" s="26"/>
      <x:c r="J412" s="26" t="str">
        <x:v>NOT RUN</x:v>
      </x:c>
      <x:c r="K412" s="26"/>
      <x:c r="L412" s="26"/>
      <x:c r="M412" s="26" t="str">
        <x:v>RC1</x:v>
      </x:c>
      <x:c r="N412" s="26" t="str">
        <x:v>Defined / Not Executed</x:v>
      </x:c>
      <x:c r="O412" s="26"/>
      <x:c r="P412" s="26" t="str">
        <x:v>Engineering/QA</x:v>
      </x:c>
      <x:c r="Q412" s="26" t="str">
        <x:v>H6; reviewer=Technical Direction; gate=Sprint 17 / H6</x:v>
      </x:c>
    </x:row>
    <x:row r="413" ht="30" customHeight="1">
      <x:c r="A413" s="26" t="str">
        <x:v>H6-PER-012</x:v>
      </x:c>
      <x:c r="B413" s="26" t="str">
        <x:v>Rendimiento y estabilidad</x:v>
      </x:c>
      <x:c r="C413" s="26" t="str">
        <x:v>31_H6_and_Release_Readiness_Checklist.xlsx</x:v>
      </x:c>
      <x:c r="D413" s="26" t="str">
        <x:v>La resolución, modo de ventana, VSync y frame cap tienen decisión de producto cerrada para H6.</x:v>
      </x:c>
      <x:c r="E413" s="26" t="str">
        <x:v>CHG-RC1-DOC-31</x:v>
      </x:c>
      <x:c r="F413" s="26"/>
      <x:c r="G413" s="26" t="str">
        <x:v>H6-PER-012</x:v>
      </x:c>
      <x:c r="H413" s="26"/>
      <x:c r="I413" s="26"/>
      <x:c r="J413" s="26" t="str">
        <x:v>NOT RUN</x:v>
      </x:c>
      <x:c r="K413" s="26"/>
      <x:c r="L413" s="26"/>
      <x:c r="M413" s="26" t="str">
        <x:v>RC1</x:v>
      </x:c>
      <x:c r="N413" s="26" t="str">
        <x:v>Defined / Not Executed</x:v>
      </x:c>
      <x:c r="O413" s="26"/>
      <x:c r="P413" s="26" t="str">
        <x:v>Engineering/QA</x:v>
      </x:c>
      <x:c r="Q413" s="26" t="str">
        <x:v>H6; reviewer=Technical Direction; gate=Sprint 17 / H6</x:v>
      </x:c>
    </x:row>
    <x:row r="414" ht="30" customHeight="1">
      <x:c r="A414" s="26" t="str">
        <x:v>H6-PER-013</x:v>
      </x:c>
      <x:c r="B414" s="26" t="str">
        <x:v>Rendimiento y estabilidad</x:v>
      </x:c>
      <x:c r="C414" s="26" t="str">
        <x:v>31_H6_and_Release_Readiness_Checklist.xlsx</x:v>
      </x:c>
      <x:c r="D414" s="26" t="str">
        <x:v>Los presets o settings disponibles no permiten una configuración rota o no probada.</x:v>
      </x:c>
      <x:c r="E414" s="26" t="str">
        <x:v>CHG-RC1-DOC-31</x:v>
      </x:c>
      <x:c r="F414" s="26"/>
      <x:c r="G414" s="26" t="str">
        <x:v>H6-PER-013</x:v>
      </x:c>
      <x:c r="H414" s="26"/>
      <x:c r="I414" s="26"/>
      <x:c r="J414" s="26" t="str">
        <x:v>NOT RUN</x:v>
      </x:c>
      <x:c r="K414" s="26"/>
      <x:c r="L414" s="26"/>
      <x:c r="M414" s="26" t="str">
        <x:v>RC1</x:v>
      </x:c>
      <x:c r="N414" s="26" t="str">
        <x:v>Defined / Not Executed</x:v>
      </x:c>
      <x:c r="O414" s="26"/>
      <x:c r="P414" s="26" t="str">
        <x:v>Engineering/QA</x:v>
      </x:c>
      <x:c r="Q414" s="26" t="str">
        <x:v>H6; reviewer=Technical Direction; gate=Sprint 17 / H6</x:v>
      </x:c>
    </x:row>
    <x:row r="415" ht="30" customHeight="1">
      <x:c r="A415" s="26" t="str">
        <x:v>H6-PER-014</x:v>
      </x:c>
      <x:c r="B415" s="26" t="str">
        <x:v>Rendimiento y estabilidad</x:v>
      </x:c>
      <x:c r="C415" s="26" t="str">
        <x:v>31_H6_and_Release_Readiness_Checklist.xlsx</x:v>
      </x:c>
      <x:c r="D415" s="26" t="str">
        <x:v>Toda desviación del presupuesto incluye escenario, hardware, impacto y plan de mitigación.</x:v>
      </x:c>
      <x:c r="E415" s="26" t="str">
        <x:v>CHG-RC1-DOC-31</x:v>
      </x:c>
      <x:c r="F415" s="26"/>
      <x:c r="G415" s="26" t="str">
        <x:v>H6-PER-014</x:v>
      </x:c>
      <x:c r="H415" s="26"/>
      <x:c r="I415" s="26"/>
      <x:c r="J415" s="26" t="str">
        <x:v>NOT RUN</x:v>
      </x:c>
      <x:c r="K415" s="26"/>
      <x:c r="L415" s="26"/>
      <x:c r="M415" s="26" t="str">
        <x:v>RC1</x:v>
      </x:c>
      <x:c r="N415" s="26" t="str">
        <x:v>Defined / Not Executed</x:v>
      </x:c>
      <x:c r="O415" s="26"/>
      <x:c r="P415" s="26" t="str">
        <x:v>Engineering/QA</x:v>
      </x:c>
      <x:c r="Q415" s="26" t="str">
        <x:v>H6; reviewer=Technical Direction; gate=Sprint 17 / H6</x:v>
      </x:c>
    </x:row>
    <x:row r="416" ht="30" customHeight="1">
      <x:c r="A416" s="26" t="str">
        <x:v>H6-BLD-001</x:v>
      </x:c>
      <x:c r="B416" s="26" t="str">
        <x:v>Build, versión e integridad</x:v>
      </x:c>
      <x:c r="C416" s="26" t="str">
        <x:v>31_H6_and_Release_Readiness_Checklist.xlsx</x:v>
      </x:c>
      <x:c r="D416" s="26" t="str">
        <x:v>Existe un Build Profile H6 controlado con Bootstrap, MainMenu y StoreInitial, sin TestLab ni escenas no autorizadas.</x:v>
      </x:c>
      <x:c r="E416" s="26" t="str">
        <x:v>CHG-RC1-DOC-31</x:v>
      </x:c>
      <x:c r="F416" s="26"/>
      <x:c r="G416" s="26" t="str">
        <x:v>H6-BLD-001</x:v>
      </x:c>
      <x:c r="H416" s="26"/>
      <x:c r="I416" s="26"/>
      <x:c r="J416" s="26" t="str">
        <x:v>NOT RUN</x:v>
      </x:c>
      <x:c r="K416" s="26"/>
      <x:c r="L416" s="26"/>
      <x:c r="M416" s="26" t="str">
        <x:v>RC1</x:v>
      </x:c>
      <x:c r="N416" s="26" t="str">
        <x:v>Defined / Not Executed</x:v>
      </x:c>
      <x:c r="O416" s="26"/>
      <x:c r="P416" s="26" t="str">
        <x:v>Build/Engineering</x:v>
      </x:c>
      <x:c r="Q416" s="26" t="str">
        <x:v>H6; reviewer=QA/Security/Production; gate=H6</x:v>
      </x:c>
    </x:row>
    <x:row r="417" ht="30" customHeight="1">
      <x:c r="A417" s="26" t="str">
        <x:v>H6-BLD-002</x:v>
      </x:c>
      <x:c r="B417" s="26" t="str">
        <x:v>Build, versión e integridad</x:v>
      </x:c>
      <x:c r="C417" s="26" t="str">
        <x:v>31_H6_and_Release_Readiness_Checklist.xlsx</x:v>
      </x:c>
      <x:c r="D417" s="26" t="str">
        <x:v>La candidata Windows x64 se genera desde clean checkout con Unity y paquetes registrados.</x:v>
      </x:c>
      <x:c r="E417" s="26" t="str">
        <x:v>CHG-RC1-DOC-31</x:v>
      </x:c>
      <x:c r="F417" s="26"/>
      <x:c r="G417" s="26" t="str">
        <x:v>H6-BLD-002</x:v>
      </x:c>
      <x:c r="H417" s="26"/>
      <x:c r="I417" s="26"/>
      <x:c r="J417" s="26" t="str">
        <x:v>NOT RUN</x:v>
      </x:c>
      <x:c r="K417" s="26"/>
      <x:c r="L417" s="26"/>
      <x:c r="M417" s="26" t="str">
        <x:v>RC1</x:v>
      </x:c>
      <x:c r="N417" s="26" t="str">
        <x:v>Defined / Not Executed</x:v>
      </x:c>
      <x:c r="O417" s="26"/>
      <x:c r="P417" s="26" t="str">
        <x:v>Build/Engineering</x:v>
      </x:c>
      <x:c r="Q417" s="26" t="str">
        <x:v>H6; reviewer=QA/Security/Production; gate=H6</x:v>
      </x:c>
    </x:row>
    <x:row r="418" ht="30" customHeight="1">
      <x:c r="A418" s="26" t="str">
        <x:v>H6-BLD-003</x:v>
      </x:c>
      <x:c r="B418" s="26" t="str">
        <x:v>Build, versión e integridad</x:v>
      </x:c>
      <x:c r="C418" s="26" t="str">
        <x:v>31_H6_and_Release_Readiness_Checklist.xlsx</x:v>
      </x:c>
      <x:c r="D418" s="26" t="str">
        <x:v>La versión de aplicación, Build ID, Sprint/Gate, SHA y fecha son coherentes en ejecutable y registros.</x:v>
      </x:c>
      <x:c r="E418" s="26" t="str">
        <x:v>CHG-RC1-DOC-31</x:v>
      </x:c>
      <x:c r="F418" s="26"/>
      <x:c r="G418" s="26" t="str">
        <x:v>H6-BLD-003</x:v>
      </x:c>
      <x:c r="H418" s="26"/>
      <x:c r="I418" s="26"/>
      <x:c r="J418" s="26" t="str">
        <x:v>NOT RUN</x:v>
      </x:c>
      <x:c r="K418" s="26"/>
      <x:c r="L418" s="26"/>
      <x:c r="M418" s="26" t="str">
        <x:v>RC1</x:v>
      </x:c>
      <x:c r="N418" s="26" t="str">
        <x:v>Defined / Not Executed</x:v>
      </x:c>
      <x:c r="O418" s="26"/>
      <x:c r="P418" s="26" t="str">
        <x:v>Build/Engineering</x:v>
      </x:c>
      <x:c r="Q418" s="26" t="str">
        <x:v>H6; reviewer=QA/Security/Production; gate=H6</x:v>
      </x:c>
    </x:row>
    <x:row r="419" ht="30" customHeight="1">
      <x:c r="A419" s="26" t="str">
        <x:v>H6-BLD-004</x:v>
      </x:c>
      <x:c r="B419" s="26" t="str">
        <x:v>Build, versión e integridad</x:v>
      </x:c>
      <x:c r="C419" s="26" t="str">
        <x:v>31_H6_and_Release_Readiness_Checklist.xlsx</x:v>
      </x:c>
      <x:c r="D419" s="26" t="str">
        <x:v>El artefacto H6 es inmutable y dispone de checksum SHA-256 verificado.</x:v>
      </x:c>
      <x:c r="E419" s="26" t="str">
        <x:v>CHG-RC1-DOC-31</x:v>
      </x:c>
      <x:c r="F419" s="26"/>
      <x:c r="G419" s="26" t="str">
        <x:v>H6-BLD-004</x:v>
      </x:c>
      <x:c r="H419" s="26"/>
      <x:c r="I419" s="26"/>
      <x:c r="J419" s="26" t="str">
        <x:v>NOT RUN</x:v>
      </x:c>
      <x:c r="K419" s="26"/>
      <x:c r="L419" s="26"/>
      <x:c r="M419" s="26" t="str">
        <x:v>RC1</x:v>
      </x:c>
      <x:c r="N419" s="26" t="str">
        <x:v>Defined / Not Executed</x:v>
      </x:c>
      <x:c r="O419" s="26"/>
      <x:c r="P419" s="26" t="str">
        <x:v>Build/Engineering</x:v>
      </x:c>
      <x:c r="Q419" s="26" t="str">
        <x:v>H6; reviewer=QA/Security/Production; gate=H6</x:v>
      </x:c>
    </x:row>
    <x:row r="420" ht="30" customHeight="1">
      <x:c r="A420" s="26" t="str">
        <x:v>H6-BLD-005</x:v>
      </x:c>
      <x:c r="B420" s="26" t="str">
        <x:v>Build, versión e integridad</x:v>
      </x:c>
      <x:c r="C420" s="26" t="str">
        <x:v>31_H6_and_Release_Readiness_Checklist.xlsx</x:v>
      </x:c>
      <x:c r="D420" s="26" t="str">
        <x:v>El ejecutable arranca fuera del Editor en una máquina/usuario distinto del entorno de desarrollo cuando sea posible.</x:v>
      </x:c>
      <x:c r="E420" s="26" t="str">
        <x:v>CHG-RC1-DOC-31</x:v>
      </x:c>
      <x:c r="F420" s="26"/>
      <x:c r="G420" s="26" t="str">
        <x:v>H6-BLD-005</x:v>
      </x:c>
      <x:c r="H420" s="26"/>
      <x:c r="I420" s="26"/>
      <x:c r="J420" s="26" t="str">
        <x:v>NOT RUN</x:v>
      </x:c>
      <x:c r="K420" s="26"/>
      <x:c r="L420" s="26"/>
      <x:c r="M420" s="26" t="str">
        <x:v>RC1</x:v>
      </x:c>
      <x:c r="N420" s="26" t="str">
        <x:v>Defined / Not Executed</x:v>
      </x:c>
      <x:c r="O420" s="26"/>
      <x:c r="P420" s="26" t="str">
        <x:v>Build/Engineering</x:v>
      </x:c>
      <x:c r="Q420" s="26" t="str">
        <x:v>H6; reviewer=QA/Security/Production; gate=H6</x:v>
      </x:c>
    </x:row>
    <x:row r="421" ht="30" customHeight="1">
      <x:c r="A421" s="26" t="str">
        <x:v>H6-BLD-006</x:v>
      </x:c>
      <x:c r="B421" s="26" t="str">
        <x:v>Build, versión e integridad</x:v>
      </x:c>
      <x:c r="C421" s="26" t="str">
        <x:v>31_H6_and_Release_Readiness_Checklist.xlsx</x:v>
      </x:c>
      <x:c r="D421" s="26" t="str">
        <x:v>La build no depende de rutas locales, Library previa, assets ignorados o archivos no versionados.</x:v>
      </x:c>
      <x:c r="E421" s="26" t="str">
        <x:v>CHG-RC1-DOC-31</x:v>
      </x:c>
      <x:c r="F421" s="26"/>
      <x:c r="G421" s="26" t="str">
        <x:v>H6-BLD-006</x:v>
      </x:c>
      <x:c r="H421" s="26"/>
      <x:c r="I421" s="26"/>
      <x:c r="J421" s="26" t="str">
        <x:v>NOT RUN</x:v>
      </x:c>
      <x:c r="K421" s="26"/>
      <x:c r="L421" s="26"/>
      <x:c r="M421" s="26" t="str">
        <x:v>RC1</x:v>
      </x:c>
      <x:c r="N421" s="26" t="str">
        <x:v>Defined / Not Executed</x:v>
      </x:c>
      <x:c r="O421" s="26"/>
      <x:c r="P421" s="26" t="str">
        <x:v>Build/Engineering</x:v>
      </x:c>
      <x:c r="Q421" s="26" t="str">
        <x:v>H6; reviewer=QA/Security/Production; gate=H6</x:v>
      </x:c>
    </x:row>
    <x:row r="422" ht="30" customHeight="1">
      <x:c r="A422" s="26" t="str">
        <x:v>H6-BLD-007</x:v>
      </x:c>
      <x:c r="B422" s="26" t="str">
        <x:v>Build, versión e integridad</x:v>
      </x:c>
      <x:c r="C422" s="26" t="str">
        <x:v>31_H6_and_Release_Readiness_Checklist.xlsx</x:v>
      </x:c>
      <x:c r="D422" s="26" t="str">
        <x:v>El paquete contiene únicamente archivos necesarios y no incluye secretos, drafts, previews o herramientas internas.</x:v>
      </x:c>
      <x:c r="E422" s="26" t="str">
        <x:v>CHG-RC1-DOC-31</x:v>
      </x:c>
      <x:c r="F422" s="26"/>
      <x:c r="G422" s="26" t="str">
        <x:v>H6-BLD-007</x:v>
      </x:c>
      <x:c r="H422" s="26"/>
      <x:c r="I422" s="26"/>
      <x:c r="J422" s="26" t="str">
        <x:v>NOT RUN</x:v>
      </x:c>
      <x:c r="K422" s="26"/>
      <x:c r="L422" s="26"/>
      <x:c r="M422" s="26" t="str">
        <x:v>RC1</x:v>
      </x:c>
      <x:c r="N422" s="26" t="str">
        <x:v>Defined / Not Executed</x:v>
      </x:c>
      <x:c r="O422" s="26"/>
      <x:c r="P422" s="26" t="str">
        <x:v>Build/Engineering</x:v>
      </x:c>
      <x:c r="Q422" s="26" t="str">
        <x:v>H6; reviewer=QA/Security/Production; gate=H6</x:v>
      </x:c>
    </x:row>
    <x:row r="423" ht="30" customHeight="1">
      <x:c r="A423" s="26" t="str">
        <x:v>H6-BLD-008</x:v>
      </x:c>
      <x:c r="B423" s="26" t="str">
        <x:v>Build, versión e integridad</x:v>
      </x:c>
      <x:c r="C423" s="26" t="str">
        <x:v>31_H6_and_Release_Readiness_Checklist.xlsx</x:v>
      </x:c>
      <x:c r="D423" s="26" t="str">
        <x:v>Development symbols/logging se incluyen o excluyen según perfil definido y quedan documentados.</x:v>
      </x:c>
      <x:c r="E423" s="26" t="str">
        <x:v>CHG-RC1-DOC-31</x:v>
      </x:c>
      <x:c r="F423" s="26"/>
      <x:c r="G423" s="26" t="str">
        <x:v>H6-BLD-008</x:v>
      </x:c>
      <x:c r="H423" s="26"/>
      <x:c r="I423" s="26"/>
      <x:c r="J423" s="26" t="str">
        <x:v>NOT RUN</x:v>
      </x:c>
      <x:c r="K423" s="26"/>
      <x:c r="L423" s="26"/>
      <x:c r="M423" s="26" t="str">
        <x:v>RC1</x:v>
      </x:c>
      <x:c r="N423" s="26" t="str">
        <x:v>Defined / Not Executed</x:v>
      </x:c>
      <x:c r="O423" s="26"/>
      <x:c r="P423" s="26" t="str">
        <x:v>Build/Engineering</x:v>
      </x:c>
      <x:c r="Q423" s="26" t="str">
        <x:v>H6; reviewer=QA/Security/Production; gate=H6</x:v>
      </x:c>
    </x:row>
    <x:row r="424" ht="30" customHeight="1">
      <x:c r="A424" s="26" t="str">
        <x:v>H6-BLD-009</x:v>
      </x:c>
      <x:c r="B424" s="26" t="str">
        <x:v>Build, versión e integridad</x:v>
      </x:c>
      <x:c r="C424" s="26" t="str">
        <x:v>31_H6_and_Release_Readiness_Checklist.xlsx</x:v>
      </x:c>
      <x:c r="D424" s="26" t="str">
        <x:v>Player.log de arranque, Golden Path y cierre no contiene errores bloqueantes o recurrentes.</x:v>
      </x:c>
      <x:c r="E424" s="26" t="str">
        <x:v>CHG-RC1-DOC-31</x:v>
      </x:c>
      <x:c r="F424" s="26"/>
      <x:c r="G424" s="26" t="str">
        <x:v>H6-BLD-009</x:v>
      </x:c>
      <x:c r="H424" s="26"/>
      <x:c r="I424" s="26"/>
      <x:c r="J424" s="26" t="str">
        <x:v>NOT RUN</x:v>
      </x:c>
      <x:c r="K424" s="26"/>
      <x:c r="L424" s="26"/>
      <x:c r="M424" s="26" t="str">
        <x:v>RC1</x:v>
      </x:c>
      <x:c r="N424" s="26" t="str">
        <x:v>Defined / Not Executed</x:v>
      </x:c>
      <x:c r="O424" s="26"/>
      <x:c r="P424" s="26" t="str">
        <x:v>Build/Engineering</x:v>
      </x:c>
      <x:c r="Q424" s="26" t="str">
        <x:v>H6; reviewer=QA/Security/Production; gate=H6</x:v>
      </x:c>
    </x:row>
    <x:row r="425" ht="30" customHeight="1">
      <x:c r="A425" s="26" t="str">
        <x:v>H6-BLD-010</x:v>
      </x:c>
      <x:c r="B425" s="26" t="str">
        <x:v>Build, versión e integridad</x:v>
      </x:c>
      <x:c r="C425" s="26" t="str">
        <x:v>31_H6_and_Release_Readiness_Checklist.xlsx</x:v>
      </x:c>
      <x:c r="D425" s="26" t="str">
        <x:v>La build funciona offline y sin credenciales de servicios de desarrollo.</x:v>
      </x:c>
      <x:c r="E425" s="26" t="str">
        <x:v>CHG-RC1-DOC-31</x:v>
      </x:c>
      <x:c r="F425" s="26"/>
      <x:c r="G425" s="26" t="str">
        <x:v>H6-BLD-010</x:v>
      </x:c>
      <x:c r="H425" s="26"/>
      <x:c r="I425" s="26"/>
      <x:c r="J425" s="26" t="str">
        <x:v>NOT RUN</x:v>
      </x:c>
      <x:c r="K425" s="26"/>
      <x:c r="L425" s="26"/>
      <x:c r="M425" s="26" t="str">
        <x:v>RC1</x:v>
      </x:c>
      <x:c r="N425" s="26" t="str">
        <x:v>Defined / Not Executed</x:v>
      </x:c>
      <x:c r="O425" s="26"/>
      <x:c r="P425" s="26" t="str">
        <x:v>Build/Engineering</x:v>
      </x:c>
      <x:c r="Q425" s="26" t="str">
        <x:v>H6; reviewer=QA/Security/Production; gate=H6</x:v>
      </x:c>
    </x:row>
    <x:row r="426" ht="30" customHeight="1">
      <x:c r="A426" s="26" t="str">
        <x:v>H6-BLD-011</x:v>
      </x:c>
      <x:c r="B426" s="26" t="str">
        <x:v>Build, versión e integridad</x:v>
      </x:c>
      <x:c r="C426" s="26" t="str">
        <x:v>31_H6_and_Release_Readiness_Checklist.xlsx</x:v>
      </x:c>
      <x:c r="D426" s="26" t="str">
        <x:v>Las dependencias y packages coinciden con manifest/lock versionados.</x:v>
      </x:c>
      <x:c r="E426" s="26" t="str">
        <x:v>CHG-RC1-DOC-31</x:v>
      </x:c>
      <x:c r="F426" s="26"/>
      <x:c r="G426" s="26" t="str">
        <x:v>H6-BLD-011</x:v>
      </x:c>
      <x:c r="H426" s="26"/>
      <x:c r="I426" s="26"/>
      <x:c r="J426" s="26" t="str">
        <x:v>NOT RUN</x:v>
      </x:c>
      <x:c r="K426" s="26"/>
      <x:c r="L426" s="26"/>
      <x:c r="M426" s="26" t="str">
        <x:v>RC1</x:v>
      </x:c>
      <x:c r="N426" s="26" t="str">
        <x:v>Defined / Not Executed</x:v>
      </x:c>
      <x:c r="O426" s="26"/>
      <x:c r="P426" s="26" t="str">
        <x:v>Build/Engineering</x:v>
      </x:c>
      <x:c r="Q426" s="26" t="str">
        <x:v>H6; reviewer=QA/Security/Production; gate=H6</x:v>
      </x:c>
    </x:row>
    <x:row r="427" ht="30" customHeight="1">
      <x:c r="A427" s="26" t="str">
        <x:v>H6-BLD-012</x:v>
      </x:c>
      <x:c r="B427" s="26" t="str">
        <x:v>Build, versión e integridad</x:v>
      </x:c>
      <x:c r="C427" s="26" t="str">
        <x:v>31_H6_and_Release_Readiness_Checklist.xlsx</x:v>
      </x:c>
      <x:c r="D427" s="26" t="str">
        <x:v>No se actualizan Unity, URP o paquetes después del freeze sin reabrir validación.</x:v>
      </x:c>
      <x:c r="E427" s="26" t="str">
        <x:v>CHG-RC1-DOC-31</x:v>
      </x:c>
      <x:c r="F427" s="26"/>
      <x:c r="G427" s="26" t="str">
        <x:v>H6-BLD-012</x:v>
      </x:c>
      <x:c r="H427" s="26"/>
      <x:c r="I427" s="26"/>
      <x:c r="J427" s="26" t="str">
        <x:v>NOT RUN</x:v>
      </x:c>
      <x:c r="K427" s="26"/>
      <x:c r="L427" s="26"/>
      <x:c r="M427" s="26" t="str">
        <x:v>RC1</x:v>
      </x:c>
      <x:c r="N427" s="26" t="str">
        <x:v>Defined / Not Executed</x:v>
      </x:c>
      <x:c r="O427" s="26"/>
      <x:c r="P427" s="26" t="str">
        <x:v>Build/Engineering</x:v>
      </x:c>
      <x:c r="Q427" s="26" t="str">
        <x:v>H6; reviewer=QA/Security/Production; gate=H6</x:v>
      </x:c>
    </x:row>
    <x:row r="428" ht="30" customHeight="1">
      <x:c r="A428" s="26" t="str">
        <x:v>H6-BLD-013</x:v>
      </x:c>
      <x:c r="B428" s="26" t="str">
        <x:v>Build, versión e integridad</x:v>
      </x:c>
      <x:c r="C428" s="26" t="str">
        <x:v>31_H6_and_Release_Readiness_Checklist.xlsx</x:v>
      </x:c>
      <x:c r="D428" s="26" t="str">
        <x:v>El build pipeline conserva logs completos y código de salida fiable.</x:v>
      </x:c>
      <x:c r="E428" s="26" t="str">
        <x:v>CHG-RC1-DOC-31</x:v>
      </x:c>
      <x:c r="F428" s="26"/>
      <x:c r="G428" s="26" t="str">
        <x:v>H6-BLD-013</x:v>
      </x:c>
      <x:c r="H428" s="26"/>
      <x:c r="I428" s="26"/>
      <x:c r="J428" s="26" t="str">
        <x:v>NOT RUN</x:v>
      </x:c>
      <x:c r="K428" s="26"/>
      <x:c r="L428" s="26"/>
      <x:c r="M428" s="26" t="str">
        <x:v>RC1</x:v>
      </x:c>
      <x:c r="N428" s="26" t="str">
        <x:v>Defined / Not Executed</x:v>
      </x:c>
      <x:c r="O428" s="26"/>
      <x:c r="P428" s="26" t="str">
        <x:v>Build/Engineering</x:v>
      </x:c>
      <x:c r="Q428" s="26" t="str">
        <x:v>H6; reviewer=QA/Security/Production; gate=H6</x:v>
      </x:c>
    </x:row>
    <x:row r="429" ht="30" customHeight="1">
      <x:c r="A429" s="26" t="str">
        <x:v>H6-BLD-014</x:v>
      </x:c>
      <x:c r="B429" s="26" t="str">
        <x:v>Build, versión e integridad</x:v>
      </x:c>
      <x:c r="C429" s="26" t="str">
        <x:v>31_H6_and_Release_Readiness_Checklist.xlsx</x:v>
      </x:c>
      <x:c r="D429" s="26" t="str">
        <x:v>El nombre del paquete y carpetas no realiza claims comerciales no autorizados.</x:v>
      </x:c>
      <x:c r="E429" s="26" t="str">
        <x:v>CHG-RC1-DOC-31</x:v>
      </x:c>
      <x:c r="F429" s="26"/>
      <x:c r="G429" s="26" t="str">
        <x:v>H6-BLD-014</x:v>
      </x:c>
      <x:c r="H429" s="26"/>
      <x:c r="I429" s="26"/>
      <x:c r="J429" s="26" t="str">
        <x:v>NOT RUN</x:v>
      </x:c>
      <x:c r="K429" s="26"/>
      <x:c r="L429" s="26"/>
      <x:c r="M429" s="26" t="str">
        <x:v>RC1</x:v>
      </x:c>
      <x:c r="N429" s="26" t="str">
        <x:v>Defined / Not Executed</x:v>
      </x:c>
      <x:c r="O429" s="26"/>
      <x:c r="P429" s="26" t="str">
        <x:v>Build/Engineering</x:v>
      </x:c>
      <x:c r="Q429" s="26" t="str">
        <x:v>H6; reviewer=QA/Security/Production; gate=H6</x:v>
      </x:c>
    </x:row>
    <x:row r="430" ht="30" customHeight="1">
      <x:c r="A430" s="26" t="str">
        <x:v>H6-BLD-015</x:v>
      </x:c>
      <x:c r="B430" s="26" t="str">
        <x:v>Build, versión e integridad</x:v>
      </x:c>
      <x:c r="C430" s="26" t="str">
        <x:v>31_H6_and_Release_Readiness_Checklist.xlsx</x:v>
      </x:c>
      <x:c r="D430" s="26" t="str">
        <x:v>La candidata se archiva con manifest de archivos, tamaños y hashes.</x:v>
      </x:c>
      <x:c r="E430" s="26" t="str">
        <x:v>CHG-RC1-DOC-31</x:v>
      </x:c>
      <x:c r="F430" s="26"/>
      <x:c r="G430" s="26" t="str">
        <x:v>H6-BLD-015</x:v>
      </x:c>
      <x:c r="H430" s="26"/>
      <x:c r="I430" s="26"/>
      <x:c r="J430" s="26" t="str">
        <x:v>NOT RUN</x:v>
      </x:c>
      <x:c r="K430" s="26"/>
      <x:c r="L430" s="26"/>
      <x:c r="M430" s="26" t="str">
        <x:v>RC1</x:v>
      </x:c>
      <x:c r="N430" s="26" t="str">
        <x:v>Defined / Not Executed</x:v>
      </x:c>
      <x:c r="O430" s="26"/>
      <x:c r="P430" s="26" t="str">
        <x:v>Build/Engineering</x:v>
      </x:c>
      <x:c r="Q430" s="26" t="str">
        <x:v>H6; reviewer=QA/Security/Production; gate=H6</x:v>
      </x:c>
    </x:row>
    <x:row r="431" ht="30" customHeight="1">
      <x:c r="A431" s="26" t="str">
        <x:v>H6-BLD-016</x:v>
      </x:c>
      <x:c r="B431" s="26" t="str">
        <x:v>Build, versión e integridad</x:v>
      </x:c>
      <x:c r="C431" s="26" t="str">
        <x:v>31_H6_and_Release_Readiness_Checklist.xlsx</x:v>
      </x:c>
      <x:c r="D431" s="26" t="str">
        <x:v>Existe una build QA separada de la candidata H6 cuando contiene TestLab, cheats o diagnósticos.</x:v>
      </x:c>
      <x:c r="E431" s="26" t="str">
        <x:v>CHG-RC1-DOC-31</x:v>
      </x:c>
      <x:c r="F431" s="26"/>
      <x:c r="G431" s="26" t="str">
        <x:v>H6-BLD-016</x:v>
      </x:c>
      <x:c r="H431" s="26"/>
      <x:c r="I431" s="26"/>
      <x:c r="J431" s="26" t="str">
        <x:v>NOT RUN</x:v>
      </x:c>
      <x:c r="K431" s="26"/>
      <x:c r="L431" s="26"/>
      <x:c r="M431" s="26" t="str">
        <x:v>RC1</x:v>
      </x:c>
      <x:c r="N431" s="26" t="str">
        <x:v>Defined / Not Executed</x:v>
      </x:c>
      <x:c r="O431" s="26"/>
      <x:c r="P431" s="26" t="str">
        <x:v>Build/Engineering</x:v>
      </x:c>
      <x:c r="Q431" s="26" t="str">
        <x:v>H6; reviewer=QA/Security/Production; gate=H6</x:v>
      </x:c>
    </x:row>
    <x:row r="432" ht="30" customHeight="1">
      <x:c r="A432" s="26" t="str">
        <x:v>H6-SEC-001</x:v>
      </x:c>
      <x:c r="B432" s="26" t="str">
        <x:v>Seguridad y privacidad</x:v>
      </x:c>
      <x:c r="C432" s="26" t="str">
        <x:v>31_H6_and_Release_Readiness_Checklist.xlsx</x:v>
      </x:c>
      <x:c r="D432" s="26" t="str">
        <x:v>No existen secretos, tokens, credenciales o claves privadas en repositorio, build, logs o evidencias.</x:v>
      </x:c>
      <x:c r="E432" s="26" t="str">
        <x:v>CHG-RC1-DOC-31</x:v>
      </x:c>
      <x:c r="F432" s="26"/>
      <x:c r="G432" s="26" t="str">
        <x:v>H6-SEC-001</x:v>
      </x:c>
      <x:c r="H432" s="26"/>
      <x:c r="I432" s="26"/>
      <x:c r="J432" s="26" t="str">
        <x:v>NOT RUN</x:v>
      </x:c>
      <x:c r="K432" s="26"/>
      <x:c r="L432" s="26"/>
      <x:c r="M432" s="26" t="str">
        <x:v>RC1</x:v>
      </x:c>
      <x:c r="N432" s="26" t="str">
        <x:v>Defined / Not Executed</x:v>
      </x:c>
      <x:c r="O432" s="26"/>
      <x:c r="P432" s="26" t="str">
        <x:v>Security/Engineering</x:v>
      </x:c>
      <x:c r="Q432" s="26" t="str">
        <x:v>H6; reviewer=Privacy/Production; gate=H6</x:v>
      </x:c>
    </x:row>
    <x:row r="433" ht="30" customHeight="1">
      <x:c r="A433" s="26" t="str">
        <x:v>H6-SEC-002</x:v>
      </x:c>
      <x:c r="B433" s="26" t="str">
        <x:v>Seguridad y privacidad</x:v>
      </x:c>
      <x:c r="C433" s="26" t="str">
        <x:v>31_H6_and_Release_Readiness_Checklist.xlsx</x:v>
      </x:c>
      <x:c r="D433" s="26" t="str">
        <x:v>Las dependencias y packages tienen revisión de vulnerabilidades y procedencia suficiente para H6.</x:v>
      </x:c>
      <x:c r="E433" s="26" t="str">
        <x:v>CHG-RC1-DOC-31</x:v>
      </x:c>
      <x:c r="F433" s="26"/>
      <x:c r="G433" s="26" t="str">
        <x:v>H6-SEC-002</x:v>
      </x:c>
      <x:c r="H433" s="26"/>
      <x:c r="I433" s="26"/>
      <x:c r="J433" s="26" t="str">
        <x:v>NOT RUN</x:v>
      </x:c>
      <x:c r="K433" s="26"/>
      <x:c r="L433" s="26"/>
      <x:c r="M433" s="26" t="str">
        <x:v>RC1</x:v>
      </x:c>
      <x:c r="N433" s="26" t="str">
        <x:v>Defined / Not Executed</x:v>
      </x:c>
      <x:c r="O433" s="26"/>
      <x:c r="P433" s="26" t="str">
        <x:v>Security/Engineering</x:v>
      </x:c>
      <x:c r="Q433" s="26" t="str">
        <x:v>H6; reviewer=Privacy/Production; gate=H6</x:v>
      </x:c>
    </x:row>
    <x:row r="434" ht="30" customHeight="1">
      <x:c r="A434" s="26" t="str">
        <x:v>H6-SEC-003</x:v>
      </x:c>
      <x:c r="B434" s="26" t="str">
        <x:v>Seguridad y privacidad</x:v>
      </x:c>
      <x:c r="C434" s="26" t="str">
        <x:v>31_H6_and_Release_Readiness_Checklist.xlsx</x:v>
      </x:c>
      <x:c r="D434" s="26" t="str">
        <x:v>Los logs de build y runtime no exponen datos personales, rutas sensibles o credenciales.</x:v>
      </x:c>
      <x:c r="E434" s="26" t="str">
        <x:v>CHG-RC1-DOC-31</x:v>
      </x:c>
      <x:c r="F434" s="26"/>
      <x:c r="G434" s="26" t="str">
        <x:v>H6-SEC-003</x:v>
      </x:c>
      <x:c r="H434" s="26"/>
      <x:c r="I434" s="26"/>
      <x:c r="J434" s="26" t="str">
        <x:v>NOT RUN</x:v>
      </x:c>
      <x:c r="K434" s="26"/>
      <x:c r="L434" s="26"/>
      <x:c r="M434" s="26" t="str">
        <x:v>RC1</x:v>
      </x:c>
      <x:c r="N434" s="26" t="str">
        <x:v>Defined / Not Executed</x:v>
      </x:c>
      <x:c r="O434" s="26"/>
      <x:c r="P434" s="26" t="str">
        <x:v>Security/Engineering</x:v>
      </x:c>
      <x:c r="Q434" s="26" t="str">
        <x:v>H6; reviewer=Privacy/Production; gate=H6</x:v>
      </x:c>
    </x:row>
    <x:row r="435" ht="30" customHeight="1">
      <x:c r="A435" s="26" t="str">
        <x:v>H6-SEC-004</x:v>
      </x:c>
      <x:c r="B435" s="26" t="str">
        <x:v>Seguridad y privacidad</x:v>
      </x:c>
      <x:c r="C435" s="26" t="str">
        <x:v>31_H6_and_Release_Readiness_Checklist.xlsx</x:v>
      </x:c>
      <x:c r="D435" s="26" t="str">
        <x:v>La telemetría remota no es necesaria para completar H6 y permanece desactivada/no presente salvo aprobación.</x:v>
      </x:c>
      <x:c r="E435" s="26" t="str">
        <x:v>CHG-RC1-DOC-31</x:v>
      </x:c>
      <x:c r="F435" s="26"/>
      <x:c r="G435" s="26" t="str">
        <x:v>H6-SEC-004</x:v>
      </x:c>
      <x:c r="H435" s="26"/>
      <x:c r="I435" s="26"/>
      <x:c r="J435" s="26" t="str">
        <x:v>NOT RUN</x:v>
      </x:c>
      <x:c r="K435" s="26"/>
      <x:c r="L435" s="26"/>
      <x:c r="M435" s="26" t="str">
        <x:v>RC1</x:v>
      </x:c>
      <x:c r="N435" s="26" t="str">
        <x:v>Defined / Not Executed</x:v>
      </x:c>
      <x:c r="O435" s="26"/>
      <x:c r="P435" s="26" t="str">
        <x:v>Security/Engineering</x:v>
      </x:c>
      <x:c r="Q435" s="26" t="str">
        <x:v>H6; reviewer=Privacy/Production; gate=H6</x:v>
      </x:c>
    </x:row>
    <x:row r="436" ht="30" customHeight="1">
      <x:c r="A436" s="26" t="str">
        <x:v>H6-SEC-005</x:v>
      </x:c>
      <x:c r="B436" s="26" t="str">
        <x:v>Seguridad y privacidad</x:v>
      </x:c>
      <x:c r="C436" s="26" t="str">
        <x:v>31_H6_and_Release_Readiness_Checklist.xlsx</x:v>
      </x:c>
      <x:c r="D436" s="26" t="str">
        <x:v>Existe inventario de datos tratados por la build y su base/propósito está documentado.</x:v>
      </x:c>
      <x:c r="E436" s="26" t="str">
        <x:v>CHG-RC1-DOC-31</x:v>
      </x:c>
      <x:c r="F436" s="26"/>
      <x:c r="G436" s="26" t="str">
        <x:v>H6-SEC-005</x:v>
      </x:c>
      <x:c r="H436" s="26"/>
      <x:c r="I436" s="26"/>
      <x:c r="J436" s="26" t="str">
        <x:v>NOT RUN</x:v>
      </x:c>
      <x:c r="K436" s="26"/>
      <x:c r="L436" s="26"/>
      <x:c r="M436" s="26" t="str">
        <x:v>RC1</x:v>
      </x:c>
      <x:c r="N436" s="26" t="str">
        <x:v>Defined / Not Executed</x:v>
      </x:c>
      <x:c r="O436" s="26"/>
      <x:c r="P436" s="26" t="str">
        <x:v>Security/Engineering</x:v>
      </x:c>
      <x:c r="Q436" s="26" t="str">
        <x:v>H6; reviewer=Privacy/Production; gate=H6</x:v>
      </x:c>
    </x:row>
    <x:row r="437" ht="30" customHeight="1">
      <x:c r="A437" s="26" t="str">
        <x:v>H6-SEC-006</x:v>
      </x:c>
      <x:c r="B437" s="26" t="str">
        <x:v>Seguridad y privacidad</x:v>
      </x:c>
      <x:c r="C437" s="26" t="str">
        <x:v>31_H6_and_Release_Readiness_Checklist.xlsx</x:v>
      </x:c>
      <x:c r="D437" s="26" t="str">
        <x:v>Los archivos de save/configuración se almacenan en ubicación controlada y con permisos adecuados.</x:v>
      </x:c>
      <x:c r="E437" s="26" t="str">
        <x:v>CHG-RC1-DOC-31</x:v>
      </x:c>
      <x:c r="F437" s="26"/>
      <x:c r="G437" s="26" t="str">
        <x:v>H6-SEC-006</x:v>
      </x:c>
      <x:c r="H437" s="26"/>
      <x:c r="I437" s="26"/>
      <x:c r="J437" s="26" t="str">
        <x:v>NOT RUN</x:v>
      </x:c>
      <x:c r="K437" s="26"/>
      <x:c r="L437" s="26"/>
      <x:c r="M437" s="26" t="str">
        <x:v>RC1</x:v>
      </x:c>
      <x:c r="N437" s="26" t="str">
        <x:v>Defined / Not Executed</x:v>
      </x:c>
      <x:c r="O437" s="26"/>
      <x:c r="P437" s="26" t="str">
        <x:v>Security/Engineering</x:v>
      </x:c>
      <x:c r="Q437" s="26" t="str">
        <x:v>H6; reviewer=Privacy/Production; gate=H6</x:v>
      </x:c>
    </x:row>
    <x:row r="438" ht="30" customHeight="1">
      <x:c r="A438" s="26" t="str">
        <x:v>H6-SEC-007</x:v>
      </x:c>
      <x:c r="B438" s="26" t="str">
        <x:v>Seguridad y privacidad</x:v>
      </x:c>
      <x:c r="C438" s="26" t="str">
        <x:v>31_H6_and_Release_Readiness_Checklist.xlsx</x:v>
      </x:c>
      <x:c r="D438" s="26" t="str">
        <x:v>La build no ejecuta descargas, actualizaciones o conexiones ocultas no declaradas.</x:v>
      </x:c>
      <x:c r="E438" s="26" t="str">
        <x:v>CHG-RC1-DOC-31</x:v>
      </x:c>
      <x:c r="F438" s="26"/>
      <x:c r="G438" s="26" t="str">
        <x:v>H6-SEC-007</x:v>
      </x:c>
      <x:c r="H438" s="26"/>
      <x:c r="I438" s="26"/>
      <x:c r="J438" s="26" t="str">
        <x:v>NOT RUN</x:v>
      </x:c>
      <x:c r="K438" s="26"/>
      <x:c r="L438" s="26"/>
      <x:c r="M438" s="26" t="str">
        <x:v>RC1</x:v>
      </x:c>
      <x:c r="N438" s="26" t="str">
        <x:v>Defined / Not Executed</x:v>
      </x:c>
      <x:c r="O438" s="26"/>
      <x:c r="P438" s="26" t="str">
        <x:v>Security/Engineering</x:v>
      </x:c>
      <x:c r="Q438" s="26" t="str">
        <x:v>H6; reviewer=Privacy/Production; gate=H6</x:v>
      </x:c>
    </x:row>
    <x:row r="439" ht="30" customHeight="1">
      <x:c r="A439" s="26" t="str">
        <x:v>H6-SEC-008</x:v>
      </x:c>
      <x:c r="B439" s="26" t="str">
        <x:v>Seguridad y privacidad</x:v>
      </x:c>
      <x:c r="C439" s="26" t="str">
        <x:v>31_H6_and_Release_Readiness_Checklist.xlsx</x:v>
      </x:c>
      <x:c r="D439" s="26" t="str">
        <x:v>Backups de repositorio y documentación existen y se ha verificado una restauración básica.</x:v>
      </x:c>
      <x:c r="E439" s="26" t="str">
        <x:v>CHG-RC1-DOC-31</x:v>
      </x:c>
      <x:c r="F439" s="26"/>
      <x:c r="G439" s="26" t="str">
        <x:v>H6-SEC-008</x:v>
      </x:c>
      <x:c r="H439" s="26"/>
      <x:c r="I439" s="26"/>
      <x:c r="J439" s="26" t="str">
        <x:v>NOT RUN</x:v>
      </x:c>
      <x:c r="K439" s="26"/>
      <x:c r="L439" s="26"/>
      <x:c r="M439" s="26" t="str">
        <x:v>RC1</x:v>
      </x:c>
      <x:c r="N439" s="26" t="str">
        <x:v>Defined / Not Executed</x:v>
      </x:c>
      <x:c r="O439" s="26"/>
      <x:c r="P439" s="26" t="str">
        <x:v>Security/Engineering</x:v>
      </x:c>
      <x:c r="Q439" s="26" t="str">
        <x:v>H6; reviewer=Privacy/Production; gate=H6</x:v>
      </x:c>
    </x:row>
    <x:row r="440" ht="30" customHeight="1">
      <x:c r="A440" s="26" t="str">
        <x:v>H6-SEC-009</x:v>
      </x:c>
      <x:c r="B440" s="26" t="str">
        <x:v>Seguridad y privacidad</x:v>
      </x:c>
      <x:c r="C440" s="26" t="str">
        <x:v>31_H6_and_Release_Readiness_Checklist.xlsx</x:v>
      </x:c>
      <x:c r="D440" s="26" t="str">
        <x:v>Los accesos a Steam, firma, repositorio y almacenamiento de builds aplican mínimo privilegio.</x:v>
      </x:c>
      <x:c r="E440" s="26" t="str">
        <x:v>CHG-RC1-DOC-31</x:v>
      </x:c>
      <x:c r="F440" s="26"/>
      <x:c r="G440" s="26" t="str">
        <x:v>H6-SEC-009</x:v>
      </x:c>
      <x:c r="H440" s="26"/>
      <x:c r="I440" s="26"/>
      <x:c r="J440" s="26" t="str">
        <x:v>NOT RUN</x:v>
      </x:c>
      <x:c r="K440" s="26"/>
      <x:c r="L440" s="26"/>
      <x:c r="M440" s="26" t="str">
        <x:v>RC1</x:v>
      </x:c>
      <x:c r="N440" s="26" t="str">
        <x:v>Defined / Not Executed</x:v>
      </x:c>
      <x:c r="O440" s="26"/>
      <x:c r="P440" s="26" t="str">
        <x:v>Security/Engineering</x:v>
      </x:c>
      <x:c r="Q440" s="26" t="str">
        <x:v>H6; reviewer=Privacy/Production; gate=H6</x:v>
      </x:c>
    </x:row>
    <x:row r="441" ht="30" customHeight="1">
      <x:c r="A441" s="26" t="str">
        <x:v>H6-SEC-010</x:v>
      </x:c>
      <x:c r="B441" s="26" t="str">
        <x:v>Seguridad y privacidad</x:v>
      </x:c>
      <x:c r="C441" s="26" t="str">
        <x:v>31_H6_and_Release_Readiness_Checklist.xlsx</x:v>
      </x:c>
      <x:c r="D441" s="26" t="str">
        <x:v>Existe contacto y procedimiento para responder a un incidente que afecte la candidata.</x:v>
      </x:c>
      <x:c r="E441" s="26" t="str">
        <x:v>CHG-RC1-DOC-31</x:v>
      </x:c>
      <x:c r="F441" s="26"/>
      <x:c r="G441" s="26" t="str">
        <x:v>H6-SEC-010</x:v>
      </x:c>
      <x:c r="H441" s="26"/>
      <x:c r="I441" s="26"/>
      <x:c r="J441" s="26" t="str">
        <x:v>NOT RUN</x:v>
      </x:c>
      <x:c r="K441" s="26"/>
      <x:c r="L441" s="26"/>
      <x:c r="M441" s="26" t="str">
        <x:v>RC1</x:v>
      </x:c>
      <x:c r="N441" s="26" t="str">
        <x:v>Defined / Not Executed</x:v>
      </x:c>
      <x:c r="O441" s="26"/>
      <x:c r="P441" s="26" t="str">
        <x:v>Security/Engineering</x:v>
      </x:c>
      <x:c r="Q441" s="26" t="str">
        <x:v>H6; reviewer=Privacy/Production; gate=H6</x:v>
      </x:c>
    </x:row>
    <x:row r="442" ht="30" customHeight="1">
      <x:c r="A442" s="26" t="str">
        <x:v>H6-SEC-011</x:v>
      </x:c>
      <x:c r="B442" s="26" t="str">
        <x:v>Seguridad y privacidad</x:v>
      </x:c>
      <x:c r="C442" s="26" t="str">
        <x:v>31_H6_and_Release_Readiness_Checklist.xlsx</x:v>
      </x:c>
      <x:c r="D442" s="26" t="str">
        <x:v>Los artefactos de crash/debug que puedan contener información sensible se manejan con reglas definidas.</x:v>
      </x:c>
      <x:c r="E442" s="26" t="str">
        <x:v>CHG-RC1-DOC-31</x:v>
      </x:c>
      <x:c r="F442" s="26"/>
      <x:c r="G442" s="26" t="str">
        <x:v>H6-SEC-011</x:v>
      </x:c>
      <x:c r="H442" s="26"/>
      <x:c r="I442" s="26"/>
      <x:c r="J442" s="26" t="str">
        <x:v>NOT RUN</x:v>
      </x:c>
      <x:c r="K442" s="26"/>
      <x:c r="L442" s="26"/>
      <x:c r="M442" s="26" t="str">
        <x:v>RC1</x:v>
      </x:c>
      <x:c r="N442" s="26" t="str">
        <x:v>Defined / Not Executed</x:v>
      </x:c>
      <x:c r="O442" s="26"/>
      <x:c r="P442" s="26" t="str">
        <x:v>Security/Engineering</x:v>
      </x:c>
      <x:c r="Q442" s="26" t="str">
        <x:v>H6; reviewer=Privacy/Production; gate=H6</x:v>
      </x:c>
    </x:row>
    <x:row r="443" ht="30" customHeight="1">
      <x:c r="A443" s="26" t="str">
        <x:v>H6-SEC-012</x:v>
      </x:c>
      <x:c r="B443" s="26" t="str">
        <x:v>Seguridad y privacidad</x:v>
      </x:c>
      <x:c r="C443" s="26" t="str">
        <x:v>31_H6_and_Release_Readiness_Checklist.xlsx</x:v>
      </x:c>
      <x:c r="D443" s="26" t="str">
        <x:v>Cualquier proveedor/herramienta que reciba datos del proyecto está registrado o fuera del flujo H6.</x:v>
      </x:c>
      <x:c r="E443" s="26" t="str">
        <x:v>CHG-RC1-DOC-31</x:v>
      </x:c>
      <x:c r="F443" s="26"/>
      <x:c r="G443" s="26" t="str">
        <x:v>H6-SEC-012</x:v>
      </x:c>
      <x:c r="H443" s="26"/>
      <x:c r="I443" s="26"/>
      <x:c r="J443" s="26" t="str">
        <x:v>NOT RUN</x:v>
      </x:c>
      <x:c r="K443" s="26"/>
      <x:c r="L443" s="26"/>
      <x:c r="M443" s="26" t="str">
        <x:v>RC1</x:v>
      </x:c>
      <x:c r="N443" s="26" t="str">
        <x:v>Defined / Not Executed</x:v>
      </x:c>
      <x:c r="O443" s="26"/>
      <x:c r="P443" s="26" t="str">
        <x:v>Security/Engineering</x:v>
      </x:c>
      <x:c r="Q443" s="26" t="str">
        <x:v>H6; reviewer=Privacy/Production; gate=H6</x:v>
      </x:c>
    </x:row>
    <x:row r="444" ht="30" customHeight="1">
      <x:c r="A444" s="26" t="str">
        <x:v>H6-LEG-001</x:v>
      </x:c>
      <x:c r="B444" s="26" t="str">
        <x:v>Legal, créditos y licencias</x:v>
      </x:c>
      <x:c r="C444" s="26" t="str">
        <x:v>31_H6_and_Release_Readiness_Checklist.xlsx</x:v>
      </x:c>
      <x:c r="D444" s="26" t="str">
        <x:v>El nombre de trabajo y el nombre del estudio no se presentan como clearance comercial definitivo sin validación.</x:v>
      </x:c>
      <x:c r="E444" s="26" t="str">
        <x:v>CHG-RC1-DOC-31</x:v>
      </x:c>
      <x:c r="F444" s="26"/>
      <x:c r="G444" s="26" t="str">
        <x:v>H6-LEG-001</x:v>
      </x:c>
      <x:c r="H444" s="26"/>
      <x:c r="I444" s="26"/>
      <x:c r="J444" s="26" t="str">
        <x:v>NOT RUN</x:v>
      </x:c>
      <x:c r="K444" s="26"/>
      <x:c r="L444" s="26"/>
      <x:c r="M444" s="26" t="str">
        <x:v>RC1</x:v>
      </x:c>
      <x:c r="N444" s="26" t="str">
        <x:v>Defined / Not Executed</x:v>
      </x:c>
      <x:c r="O444" s="26"/>
      <x:c r="P444" s="26" t="str">
        <x:v>Legal/Production</x:v>
      </x:c>
      <x:c r="Q444" s="26" t="str">
        <x:v>H6; reviewer=Production/Security; gate=H6</x:v>
      </x:c>
    </x:row>
    <x:row r="445" ht="30" customHeight="1">
      <x:c r="A445" s="26" t="str">
        <x:v>H6-LEG-002</x:v>
      </x:c>
      <x:c r="B445" s="26" t="str">
        <x:v>Legal, créditos y licencias</x:v>
      </x:c>
      <x:c r="C445" s="26" t="str">
        <x:v>31_H6_and_Release_Readiness_Checklist.xlsx</x:v>
      </x:c>
      <x:c r="D445" s="26" t="str">
        <x:v>Cada asset de terceros incluido tiene licencia, fuente, versión, uso permitido y evidencia archivada.</x:v>
      </x:c>
      <x:c r="E445" s="26" t="str">
        <x:v>CHG-RC1-DOC-31</x:v>
      </x:c>
      <x:c r="F445" s="26"/>
      <x:c r="G445" s="26" t="str">
        <x:v>H6-LEG-002</x:v>
      </x:c>
      <x:c r="H445" s="26"/>
      <x:c r="I445" s="26"/>
      <x:c r="J445" s="26" t="str">
        <x:v>NOT RUN</x:v>
      </x:c>
      <x:c r="K445" s="26"/>
      <x:c r="L445" s="26"/>
      <x:c r="M445" s="26" t="str">
        <x:v>RC1</x:v>
      </x:c>
      <x:c r="N445" s="26" t="str">
        <x:v>Defined / Not Executed</x:v>
      </x:c>
      <x:c r="O445" s="26"/>
      <x:c r="P445" s="26" t="str">
        <x:v>Legal/Production</x:v>
      </x:c>
      <x:c r="Q445" s="26" t="str">
        <x:v>H6; reviewer=Production/Security; gate=H6</x:v>
      </x:c>
    </x:row>
    <x:row r="446" ht="30" customHeight="1">
      <x:c r="A446" s="26" t="str">
        <x:v>H6-LEG-003</x:v>
      </x:c>
      <x:c r="B446" s="26" t="str">
        <x:v>Legal, créditos y licencias</x:v>
      </x:c>
      <x:c r="C446" s="26" t="str">
        <x:v>31_H6_and_Release_Readiness_Checklist.xlsx</x:v>
      </x:c>
      <x:c r="D446" s="26" t="str">
        <x:v>Las fuentes tipográficas incluidas tienen licencia compatible con distribución.</x:v>
      </x:c>
      <x:c r="E446" s="26" t="str">
        <x:v>CHG-RC1-DOC-31</x:v>
      </x:c>
      <x:c r="F446" s="26"/>
      <x:c r="G446" s="26" t="str">
        <x:v>H6-LEG-003</x:v>
      </x:c>
      <x:c r="H446" s="26"/>
      <x:c r="I446" s="26"/>
      <x:c r="J446" s="26" t="str">
        <x:v>NOT RUN</x:v>
      </x:c>
      <x:c r="K446" s="26"/>
      <x:c r="L446" s="26"/>
      <x:c r="M446" s="26" t="str">
        <x:v>RC1</x:v>
      </x:c>
      <x:c r="N446" s="26" t="str">
        <x:v>Defined / Not Executed</x:v>
      </x:c>
      <x:c r="O446" s="26"/>
      <x:c r="P446" s="26" t="str">
        <x:v>Legal/Production</x:v>
      </x:c>
      <x:c r="Q446" s="26" t="str">
        <x:v>H6; reviewer=Production/Security; gate=H6</x:v>
      </x:c>
    </x:row>
    <x:row r="447" ht="30" customHeight="1">
      <x:c r="A447" s="26" t="str">
        <x:v>H6-LEG-004</x:v>
      </x:c>
      <x:c r="B447" s="26" t="str">
        <x:v>Legal, créditos y licencias</x:v>
      </x:c>
      <x:c r="C447" s="26" t="str">
        <x:v>31_H6_and_Release_Readiness_Checklist.xlsx</x:v>
      </x:c>
      <x:c r="D447" s="26" t="str">
        <x:v>Todo audio incluido tiene autorización de distribución y créditos definidos.</x:v>
      </x:c>
      <x:c r="E447" s="26" t="str">
        <x:v>CHG-RC1-DOC-31</x:v>
      </x:c>
      <x:c r="F447" s="26"/>
      <x:c r="G447" s="26" t="str">
        <x:v>H6-LEG-004</x:v>
      </x:c>
      <x:c r="H447" s="26"/>
      <x:c r="I447" s="26"/>
      <x:c r="J447" s="26" t="str">
        <x:v>NOT RUN</x:v>
      </x:c>
      <x:c r="K447" s="26"/>
      <x:c r="L447" s="26"/>
      <x:c r="M447" s="26" t="str">
        <x:v>RC1</x:v>
      </x:c>
      <x:c r="N447" s="26" t="str">
        <x:v>Defined / Not Executed</x:v>
      </x:c>
      <x:c r="O447" s="26"/>
      <x:c r="P447" s="26" t="str">
        <x:v>Legal/Production</x:v>
      </x:c>
      <x:c r="Q447" s="26" t="str">
        <x:v>H6; reviewer=Production/Security; gate=H6</x:v>
      </x:c>
    </x:row>
    <x:row r="448" ht="30" customHeight="1">
      <x:c r="A448" s="26" t="str">
        <x:v>H6-LEG-005</x:v>
      </x:c>
      <x:c r="B448" s="26" t="str">
        <x:v>Legal, créditos y licencias</x:v>
      </x:c>
      <x:c r="C448" s="26" t="str">
        <x:v>31_H6_and_Release_Readiness_Checklist.xlsx</x:v>
      </x:c>
      <x:c r="D448" s="26" t="str">
        <x:v>No existen marcas, logos, nombres de producto o diseños protegidos no autorizados.</x:v>
      </x:c>
      <x:c r="E448" s="26" t="str">
        <x:v>CHG-RC1-DOC-31</x:v>
      </x:c>
      <x:c r="F448" s="26"/>
      <x:c r="G448" s="26" t="str">
        <x:v>H6-LEG-005</x:v>
      </x:c>
      <x:c r="H448" s="26"/>
      <x:c r="I448" s="26"/>
      <x:c r="J448" s="26" t="str">
        <x:v>NOT RUN</x:v>
      </x:c>
      <x:c r="K448" s="26"/>
      <x:c r="L448" s="26"/>
      <x:c r="M448" s="26" t="str">
        <x:v>RC1</x:v>
      </x:c>
      <x:c r="N448" s="26" t="str">
        <x:v>Defined / Not Executed</x:v>
      </x:c>
      <x:c r="O448" s="26"/>
      <x:c r="P448" s="26" t="str">
        <x:v>Legal/Production</x:v>
      </x:c>
      <x:c r="Q448" s="26" t="str">
        <x:v>H6; reviewer=Production/Security; gate=H6</x:v>
      </x:c>
    </x:row>
    <x:row r="449" ht="30" customHeight="1">
      <x:c r="A449" s="26" t="str">
        <x:v>H6-LEG-006</x:v>
      </x:c>
      <x:c r="B449" s="26" t="str">
        <x:v>Legal, créditos y licencias</x:v>
      </x:c>
      <x:c r="C449" s="26" t="str">
        <x:v>31_H6_and_Release_Readiness_Checklist.xlsx</x:v>
      </x:c>
      <x:c r="D449" s="26" t="str">
        <x:v>Los notices y atribuciones obligatorios están preparados para el paquete correspondiente.</x:v>
      </x:c>
      <x:c r="E449" s="26" t="str">
        <x:v>CHG-RC1-DOC-31</x:v>
      </x:c>
      <x:c r="F449" s="26"/>
      <x:c r="G449" s="26" t="str">
        <x:v>H6-LEG-006</x:v>
      </x:c>
      <x:c r="H449" s="26"/>
      <x:c r="I449" s="26"/>
      <x:c r="J449" s="26" t="str">
        <x:v>NOT RUN</x:v>
      </x:c>
      <x:c r="K449" s="26"/>
      <x:c r="L449" s="26"/>
      <x:c r="M449" s="26" t="str">
        <x:v>RC1</x:v>
      </x:c>
      <x:c r="N449" s="26" t="str">
        <x:v>Defined / Not Executed</x:v>
      </x:c>
      <x:c r="O449" s="26"/>
      <x:c r="P449" s="26" t="str">
        <x:v>Legal/Production</x:v>
      </x:c>
      <x:c r="Q449" s="26" t="str">
        <x:v>H6; reviewer=Production/Security; gate=H6</x:v>
      </x:c>
    </x:row>
    <x:row r="450" ht="30" customHeight="1">
      <x:c r="A450" s="26" t="str">
        <x:v>H6-LEG-007</x:v>
      </x:c>
      <x:c r="B450" s="26" t="str">
        <x:v>Legal, créditos y licencias</x:v>
      </x:c>
      <x:c r="C450" s="26" t="str">
        <x:v>31_H6_and_Release_Readiness_Checklist.xlsx</x:v>
      </x:c>
      <x:c r="D450" s="26" t="str">
        <x:v>Los créditos del equipo/proveedores respetan nombres autorizados y privacidad.</x:v>
      </x:c>
      <x:c r="E450" s="26" t="str">
        <x:v>CHG-RC1-DOC-31</x:v>
      </x:c>
      <x:c r="F450" s="26"/>
      <x:c r="G450" s="26" t="str">
        <x:v>H6-LEG-007</x:v>
      </x:c>
      <x:c r="H450" s="26"/>
      <x:c r="I450" s="26"/>
      <x:c r="J450" s="26" t="str">
        <x:v>NOT RUN</x:v>
      </x:c>
      <x:c r="K450" s="26"/>
      <x:c r="L450" s="26"/>
      <x:c r="M450" s="26" t="str">
        <x:v>RC1</x:v>
      </x:c>
      <x:c r="N450" s="26" t="str">
        <x:v>Defined / Not Executed</x:v>
      </x:c>
      <x:c r="O450" s="26"/>
      <x:c r="P450" s="26" t="str">
        <x:v>Legal/Production</x:v>
      </x:c>
      <x:c r="Q450" s="26" t="str">
        <x:v>H6; reviewer=Production/Security; gate=H6</x:v>
      </x:c>
    </x:row>
    <x:row r="451" ht="30" customHeight="1">
      <x:c r="A451" s="26" t="str">
        <x:v>H6-LEG-008</x:v>
      </x:c>
      <x:c r="B451" s="26" t="str">
        <x:v>Legal, créditos y licencias</x:v>
      </x:c>
      <x:c r="C451" s="26" t="str">
        <x:v>31_H6_and_Release_Readiness_Checklist.xlsx</x:v>
      </x:c>
      <x:c r="D451" s="26" t="str">
        <x:v>Las licencias de Unity/packages/SDK usados se han revisado para el uso previsto.</x:v>
      </x:c>
      <x:c r="E451" s="26" t="str">
        <x:v>CHG-RC1-DOC-31</x:v>
      </x:c>
      <x:c r="F451" s="26"/>
      <x:c r="G451" s="26" t="str">
        <x:v>H6-LEG-008</x:v>
      </x:c>
      <x:c r="H451" s="26"/>
      <x:c r="I451" s="26"/>
      <x:c r="J451" s="26" t="str">
        <x:v>NOT RUN</x:v>
      </x:c>
      <x:c r="K451" s="26"/>
      <x:c r="L451" s="26"/>
      <x:c r="M451" s="26" t="str">
        <x:v>RC1</x:v>
      </x:c>
      <x:c r="N451" s="26" t="str">
        <x:v>Defined / Not Executed</x:v>
      </x:c>
      <x:c r="O451" s="26"/>
      <x:c r="P451" s="26" t="str">
        <x:v>Legal/Production</x:v>
      </x:c>
      <x:c r="Q451" s="26" t="str">
        <x:v>H6; reviewer=Production/Security; gate=H6</x:v>
      </x:c>
    </x:row>
    <x:row r="452" ht="30" customHeight="1">
      <x:c r="A452" s="26" t="str">
        <x:v>H6-LEG-009</x:v>
      </x:c>
      <x:c r="B452" s="26" t="str">
        <x:v>Legal, créditos y licencias</x:v>
      </x:c>
      <x:c r="C452" s="26" t="str">
        <x:v>31_H6_and_Release_Readiness_Checklist.xlsx</x:v>
      </x:c>
      <x:c r="D452" s="26" t="str">
        <x:v>Las capturas, vídeos y evidencias H6 no incorporan contenido externo no autorizado.</x:v>
      </x:c>
      <x:c r="E452" s="26" t="str">
        <x:v>CHG-RC1-DOC-31</x:v>
      </x:c>
      <x:c r="F452" s="26"/>
      <x:c r="G452" s="26" t="str">
        <x:v>H6-LEG-009</x:v>
      </x:c>
      <x:c r="H452" s="26"/>
      <x:c r="I452" s="26"/>
      <x:c r="J452" s="26" t="str">
        <x:v>NOT RUN</x:v>
      </x:c>
      <x:c r="K452" s="26"/>
      <x:c r="L452" s="26"/>
      <x:c r="M452" s="26" t="str">
        <x:v>RC1</x:v>
      </x:c>
      <x:c r="N452" s="26" t="str">
        <x:v>Defined / Not Executed</x:v>
      </x:c>
      <x:c r="O452" s="26"/>
      <x:c r="P452" s="26" t="str">
        <x:v>Legal/Production</x:v>
      </x:c>
      <x:c r="Q452" s="26" t="str">
        <x:v>H6; reviewer=Production/Security; gate=H6</x:v>
      </x:c>
    </x:row>
    <x:row r="453" ht="30" customHeight="1">
      <x:c r="A453" s="26" t="str">
        <x:v>H6-LEG-010</x:v>
      </x:c>
      <x:c r="B453" s="26" t="str">
        <x:v>Legal, créditos y licencias</x:v>
      </x:c>
      <x:c r="C453" s="26" t="str">
        <x:v>31_H6_and_Release_Readiness_Checklist.xlsx</x:v>
      </x:c>
      <x:c r="D453" s="26" t="str">
        <x:v>Los documentos legales históricos no se tratan como prueba suficiente cuando falta el registro vigente.</x:v>
      </x:c>
      <x:c r="E453" s="26" t="str">
        <x:v>CHG-RC1-DOC-31</x:v>
      </x:c>
      <x:c r="F453" s="26"/>
      <x:c r="G453" s="26" t="str">
        <x:v>H6-LEG-010</x:v>
      </x:c>
      <x:c r="H453" s="26"/>
      <x:c r="I453" s="26"/>
      <x:c r="J453" s="26" t="str">
        <x:v>NOT RUN</x:v>
      </x:c>
      <x:c r="K453" s="26"/>
      <x:c r="L453" s="26"/>
      <x:c r="M453" s="26" t="str">
        <x:v>RC1</x:v>
      </x:c>
      <x:c r="N453" s="26" t="str">
        <x:v>Defined / Not Executed</x:v>
      </x:c>
      <x:c r="O453" s="26"/>
      <x:c r="P453" s="26" t="str">
        <x:v>Legal/Production</x:v>
      </x:c>
      <x:c r="Q453" s="26" t="str">
        <x:v>H6; reviewer=Production/Security; gate=H6</x:v>
      </x:c>
    </x:row>
    <x:row r="454" ht="30" customHeight="1">
      <x:c r="A454" s="26" t="str">
        <x:v>H6-LEG-011</x:v>
      </x:c>
      <x:c r="B454" s="26" t="str">
        <x:v>Legal, créditos y licencias</x:v>
      </x:c>
      <x:c r="C454" s="26" t="str">
        <x:v>31_H6_and_Release_Readiness_Checklist.xlsx</x:v>
      </x:c>
      <x:c r="D454" s="26" t="str">
        <x:v>Cualquier excepción de licencia bloqueante impide empaquetar la candidata hasta resolver o retirar el asset.</x:v>
      </x:c>
      <x:c r="E454" s="26" t="str">
        <x:v>CHG-RC1-DOC-31</x:v>
      </x:c>
      <x:c r="F454" s="26"/>
      <x:c r="G454" s="26" t="str">
        <x:v>H6-LEG-011</x:v>
      </x:c>
      <x:c r="H454" s="26"/>
      <x:c r="I454" s="26"/>
      <x:c r="J454" s="26" t="str">
        <x:v>NOT RUN</x:v>
      </x:c>
      <x:c r="K454" s="26"/>
      <x:c r="L454" s="26"/>
      <x:c r="M454" s="26" t="str">
        <x:v>RC1</x:v>
      </x:c>
      <x:c r="N454" s="26" t="str">
        <x:v>Defined / Not Executed</x:v>
      </x:c>
      <x:c r="O454" s="26"/>
      <x:c r="P454" s="26" t="str">
        <x:v>Legal/Production</x:v>
      </x:c>
      <x:c r="Q454" s="26" t="str">
        <x:v>H6; reviewer=Production/Security; gate=H6</x:v>
      </x:c>
    </x:row>
    <x:row r="455" ht="30" customHeight="1">
      <x:c r="A455" s="26" t="str">
        <x:v>H6-LEG-012</x:v>
      </x:c>
      <x:c r="B455" s="26" t="str">
        <x:v>Legal, créditos y licencias</x:v>
      </x:c>
      <x:c r="C455" s="26" t="str">
        <x:v>31_H6_and_Release_Readiness_Checklist.xlsx</x:v>
      </x:c>
      <x:c r="D455" s="26" t="str">
        <x:v>La distribución H6 se limita al público autorizado y no se presenta como demo pública.</x:v>
      </x:c>
      <x:c r="E455" s="26" t="str">
        <x:v>CHG-RC1-DOC-31</x:v>
      </x:c>
      <x:c r="F455" s="26"/>
      <x:c r="G455" s="26" t="str">
        <x:v>H6-LEG-012</x:v>
      </x:c>
      <x:c r="H455" s="26"/>
      <x:c r="I455" s="26"/>
      <x:c r="J455" s="26" t="str">
        <x:v>NOT RUN</x:v>
      </x:c>
      <x:c r="K455" s="26"/>
      <x:c r="L455" s="26"/>
      <x:c r="M455" s="26" t="str">
        <x:v>RC1</x:v>
      </x:c>
      <x:c r="N455" s="26" t="str">
        <x:v>Defined / Not Executed</x:v>
      </x:c>
      <x:c r="O455" s="26"/>
      <x:c r="P455" s="26" t="str">
        <x:v>Legal/Production</x:v>
      </x:c>
      <x:c r="Q455" s="26" t="str">
        <x:v>H6; reviewer=Production/Security; gate=H6</x:v>
      </x:c>
    </x:row>
    <x:row r="456" ht="30" customHeight="1">
      <x:c r="A456" s="26" t="str">
        <x:v>H6-DOC-001</x:v>
      </x:c>
      <x:c r="B456" s="26" t="str">
        <x:v>Documentación y trazabilidad</x:v>
      </x:c>
      <x:c r="C456" s="26" t="str">
        <x:v>31_H6_and_Release_Readiness_Checklist.xlsx</x:v>
      </x:c>
      <x:c r="D456" s="26" t="str">
        <x:v>Los documentos 00–30 están inventariados con nombre, versión, estado y autoridad correctos.</x:v>
      </x:c>
      <x:c r="E456" s="26" t="str">
        <x:v>CHG-RC1-DOC-31</x:v>
      </x:c>
      <x:c r="F456" s="26"/>
      <x:c r="G456" s="26" t="str">
        <x:v>H6-DOC-001</x:v>
      </x:c>
      <x:c r="H456" s="26"/>
      <x:c r="I456" s="26"/>
      <x:c r="J456" s="26" t="str">
        <x:v>NOT RUN</x:v>
      </x:c>
      <x:c r="K456" s="26"/>
      <x:c r="L456" s="26"/>
      <x:c r="M456" s="26" t="str">
        <x:v>RC1</x:v>
      </x:c>
      <x:c r="N456" s="26" t="str">
        <x:v>Defined / Not Executed</x:v>
      </x:c>
      <x:c r="O456" s="26"/>
      <x:c r="P456" s="26" t="str">
        <x:v>Documentation/Production</x:v>
      </x:c>
      <x:c r="Q456" s="26" t="str">
        <x:v>H6; reviewer=QA/Production; gate=H6</x:v>
      </x:c>
    </x:row>
    <x:row r="457" ht="30" customHeight="1">
      <x:c r="A457" s="26" t="str">
        <x:v>H6-DOC-002</x:v>
      </x:c>
      <x:c r="B457" s="26" t="str">
        <x:v>Documentación y trazabilidad</x:v>
      </x:c>
      <x:c r="C457" s="26" t="str">
        <x:v>31_H6_and_Release_Readiness_Checklist.xlsx</x:v>
      </x:c>
      <x:c r="D457" s="26" t="str">
        <x:v>Los requisitos H6 están vinculados a pruebas, evidencias, defectos y builds mediante IDs estables.</x:v>
      </x:c>
      <x:c r="E457" s="26" t="str">
        <x:v>CHG-RC1-DOC-31</x:v>
      </x:c>
      <x:c r="F457" s="26"/>
      <x:c r="G457" s="26" t="str">
        <x:v>H6-DOC-002</x:v>
      </x:c>
      <x:c r="H457" s="26"/>
      <x:c r="I457" s="26"/>
      <x:c r="J457" s="26" t="str">
        <x:v>NOT RUN</x:v>
      </x:c>
      <x:c r="K457" s="26"/>
      <x:c r="L457" s="26"/>
      <x:c r="M457" s="26" t="str">
        <x:v>RC1</x:v>
      </x:c>
      <x:c r="N457" s="26" t="str">
        <x:v>Defined / Not Executed</x:v>
      </x:c>
      <x:c r="O457" s="26"/>
      <x:c r="P457" s="26" t="str">
        <x:v>Documentation/Production</x:v>
      </x:c>
      <x:c r="Q457" s="26" t="str">
        <x:v>H6; reviewer=QA/Production; gate=H6</x:v>
      </x:c>
    </x:row>
    <x:row r="458" ht="30" customHeight="1">
      <x:c r="A458" s="26" t="str">
        <x:v>H6-DOC-003</x:v>
      </x:c>
      <x:c r="B458" s="26" t="str">
        <x:v>Documentación y trazabilidad</x:v>
      </x:c>
      <x:c r="C458" s="26" t="str">
        <x:v>31_H6_and_Release_Readiness_Checklist.xlsx</x:v>
      </x:c>
      <x:c r="D458" s="26" t="str">
        <x:v>Los hashes o campos pendientes no producen PASS automático en dashboards.</x:v>
      </x:c>
      <x:c r="E458" s="26" t="str">
        <x:v>CHG-RC1-DOC-31</x:v>
      </x:c>
      <x:c r="F458" s="26"/>
      <x:c r="G458" s="26" t="str">
        <x:v>H6-DOC-003</x:v>
      </x:c>
      <x:c r="H458" s="26"/>
      <x:c r="I458" s="26"/>
      <x:c r="J458" s="26" t="str">
        <x:v>NOT RUN</x:v>
      </x:c>
      <x:c r="K458" s="26"/>
      <x:c r="L458" s="26"/>
      <x:c r="M458" s="26" t="str">
        <x:v>RC1</x:v>
      </x:c>
      <x:c r="N458" s="26" t="str">
        <x:v>Defined / Not Executed</x:v>
      </x:c>
      <x:c r="O458" s="26"/>
      <x:c r="P458" s="26" t="str">
        <x:v>Documentation/Production</x:v>
      </x:c>
      <x:c r="Q458" s="26" t="str">
        <x:v>H6; reviewer=QA/Production; gate=H6</x:v>
      </x:c>
    </x:row>
    <x:row r="459" ht="30" customHeight="1">
      <x:c r="A459" s="26" t="str">
        <x:v>H6-DOC-004</x:v>
      </x:c>
      <x:c r="B459" s="26" t="str">
        <x:v>Documentación y trazabilidad</x:v>
      </x:c>
      <x:c r="C459" s="26" t="str">
        <x:v>31_H6_and_Release_Readiness_Checklist.xlsx</x:v>
      </x:c>
      <x:c r="D459" s="26" t="str">
        <x:v>Los conteos de requisitos, casos, aserciones y controles indican su unidad.</x:v>
      </x:c>
      <x:c r="E459" s="26" t="str">
        <x:v>CHG-RC1-DOC-31</x:v>
      </x:c>
      <x:c r="F459" s="26"/>
      <x:c r="G459" s="26" t="str">
        <x:v>H6-DOC-004</x:v>
      </x:c>
      <x:c r="H459" s="26"/>
      <x:c r="I459" s="26"/>
      <x:c r="J459" s="26" t="str">
        <x:v>NOT RUN</x:v>
      </x:c>
      <x:c r="K459" s="26"/>
      <x:c r="L459" s="26"/>
      <x:c r="M459" s="26" t="str">
        <x:v>RC1</x:v>
      </x:c>
      <x:c r="N459" s="26" t="str">
        <x:v>Defined / Not Executed</x:v>
      </x:c>
      <x:c r="O459" s="26"/>
      <x:c r="P459" s="26" t="str">
        <x:v>Documentation/Production</x:v>
      </x:c>
      <x:c r="Q459" s="26" t="str">
        <x:v>H6; reviewer=QA/Production; gate=H6</x:v>
      </x:c>
    </x:row>
    <x:row r="460" ht="30" customHeight="1">
      <x:c r="A460" s="26" t="str">
        <x:v>H6-DOC-005</x:v>
      </x:c>
      <x:c r="B460" s="26" t="str">
        <x:v>Documentación y trazabilidad</x:v>
      </x:c>
      <x:c r="C460" s="26" t="str">
        <x:v>31_H6_and_Release_Readiness_Checklist.xlsx</x:v>
      </x:c>
      <x:c r="D460" s="26" t="str">
        <x:v>Las referencias de baseline/versiones no apuntan de forma engañosa a v0.6 cuando el documento es consolidado.</x:v>
      </x:c>
      <x:c r="E460" s="26" t="str">
        <x:v>CHG-RC1-DOC-31</x:v>
      </x:c>
      <x:c r="F460" s="26"/>
      <x:c r="G460" s="26" t="str">
        <x:v>H6-DOC-005</x:v>
      </x:c>
      <x:c r="H460" s="26"/>
      <x:c r="I460" s="26"/>
      <x:c r="J460" s="26" t="str">
        <x:v>NOT RUN</x:v>
      </x:c>
      <x:c r="K460" s="26"/>
      <x:c r="L460" s="26"/>
      <x:c r="M460" s="26" t="str">
        <x:v>RC1</x:v>
      </x:c>
      <x:c r="N460" s="26" t="str">
        <x:v>Defined / Not Executed</x:v>
      </x:c>
      <x:c r="O460" s="26"/>
      <x:c r="P460" s="26" t="str">
        <x:v>Documentation/Production</x:v>
      </x:c>
      <x:c r="Q460" s="26" t="str">
        <x:v>H6; reviewer=QA/Production; gate=H6</x:v>
      </x:c>
    </x:row>
    <x:row r="461" ht="30" customHeight="1">
      <x:c r="A461" s="26" t="str">
        <x:v>H6-DOC-006</x:v>
      </x:c>
      <x:c r="B461" s="26" t="str">
        <x:v>Documentación y trazabilidad</x:v>
      </x:c>
      <x:c r="C461" s="26" t="str">
        <x:v>31_H6_and_Release_Readiness_Checklist.xlsx</x:v>
      </x:c>
      <x:c r="D461" s="26" t="str">
        <x:v>Los hallazgos A1/A2 relevantes para H6 están cerrados o transferidos con decisión explícita.</x:v>
      </x:c>
      <x:c r="E461" s="26" t="str">
        <x:v>CHG-RC1-DOC-31</x:v>
      </x:c>
      <x:c r="F461" s="26"/>
      <x:c r="G461" s="26" t="str">
        <x:v>H6-DOC-006</x:v>
      </x:c>
      <x:c r="H461" s="26"/>
      <x:c r="I461" s="26"/>
      <x:c r="J461" s="26" t="str">
        <x:v>NOT RUN</x:v>
      </x:c>
      <x:c r="K461" s="26"/>
      <x:c r="L461" s="26"/>
      <x:c r="M461" s="26" t="str">
        <x:v>RC1</x:v>
      </x:c>
      <x:c r="N461" s="26" t="str">
        <x:v>Defined / Not Executed</x:v>
      </x:c>
      <x:c r="O461" s="26"/>
      <x:c r="P461" s="26" t="str">
        <x:v>Documentation/Production</x:v>
      </x:c>
      <x:c r="Q461" s="26" t="str">
        <x:v>H6; reviewer=QA/Production; gate=H6</x:v>
      </x:c>
    </x:row>
    <x:row r="462" ht="30" customHeight="1">
      <x:c r="A462" s="26" t="str">
        <x:v>H6-DOC-007</x:v>
      </x:c>
      <x:c r="B462" s="26" t="str">
        <x:v>Documentación y trazabilidad</x:v>
      </x:c>
      <x:c r="C462" s="26" t="str">
        <x:v>31_H6_and_Release_Readiness_Checklist.xlsx</x:v>
      </x:c>
      <x:c r="D462" s="26" t="str">
        <x:v>El paquete de evidencias sigue la estructura definida por 02 y contiene todos los archivos obligatorios.</x:v>
      </x:c>
      <x:c r="E462" s="26" t="str">
        <x:v>CHG-RC1-DOC-31</x:v>
      </x:c>
      <x:c r="F462" s="26"/>
      <x:c r="G462" s="26" t="str">
        <x:v>H6-DOC-007</x:v>
      </x:c>
      <x:c r="H462" s="26"/>
      <x:c r="I462" s="26"/>
      <x:c r="J462" s="26" t="str">
        <x:v>NOT RUN</x:v>
      </x:c>
      <x:c r="K462" s="26"/>
      <x:c r="L462" s="26"/>
      <x:c r="M462" s="26" t="str">
        <x:v>RC1</x:v>
      </x:c>
      <x:c r="N462" s="26" t="str">
        <x:v>Defined / Not Executed</x:v>
      </x:c>
      <x:c r="O462" s="26"/>
      <x:c r="P462" s="26" t="str">
        <x:v>Documentation/Production</x:v>
      </x:c>
      <x:c r="Q462" s="26" t="str">
        <x:v>H6; reviewer=QA/Production; gate=H6</x:v>
      </x:c>
    </x:row>
    <x:row r="463" ht="30" customHeight="1">
      <x:c r="A463" s="26" t="str">
        <x:v>H6-DOC-008</x:v>
      </x:c>
      <x:c r="B463" s="26" t="str">
        <x:v>Documentación y trazabilidad</x:v>
      </x:c>
      <x:c r="C463" s="26" t="str">
        <x:v>31_H6_and_Release_Readiness_Checklist.xlsx</x:v>
      </x:c>
      <x:c r="D463" s="26" t="str">
        <x:v>Cada evidencia identifica build, SHA, fecha, ejecutor y resultado.</x:v>
      </x:c>
      <x:c r="E463" s="26" t="str">
        <x:v>CHG-RC1-DOC-31</x:v>
      </x:c>
      <x:c r="F463" s="26"/>
      <x:c r="G463" s="26" t="str">
        <x:v>H6-DOC-008</x:v>
      </x:c>
      <x:c r="H463" s="26"/>
      <x:c r="I463" s="26"/>
      <x:c r="J463" s="26" t="str">
        <x:v>NOT RUN</x:v>
      </x:c>
      <x:c r="K463" s="26"/>
      <x:c r="L463" s="26"/>
      <x:c r="M463" s="26" t="str">
        <x:v>RC1</x:v>
      </x:c>
      <x:c r="N463" s="26" t="str">
        <x:v>Defined / Not Executed</x:v>
      </x:c>
      <x:c r="O463" s="26"/>
      <x:c r="P463" s="26" t="str">
        <x:v>Documentation/Production</x:v>
      </x:c>
      <x:c r="Q463" s="26" t="str">
        <x:v>H6; reviewer=QA/Production; gate=H6</x:v>
      </x:c>
    </x:row>
    <x:row r="464" ht="30" customHeight="1">
      <x:c r="A464" s="26" t="str">
        <x:v>H6-DOC-009</x:v>
      </x:c>
      <x:c r="B464" s="26" t="str">
        <x:v>Documentación y trazabilidad</x:v>
      </x:c>
      <x:c r="C464" s="26" t="str">
        <x:v>31_H6_and_Release_Readiness_Checklist.xlsx</x:v>
      </x:c>
      <x:c r="D464" s="26" t="str">
        <x:v>Las decisiones históricas conservadas y sustituidas están documentadas sin borrar la genealogía.</x:v>
      </x:c>
      <x:c r="E464" s="26" t="str">
        <x:v>CHG-RC1-DOC-31</x:v>
      </x:c>
      <x:c r="F464" s="26"/>
      <x:c r="G464" s="26" t="str">
        <x:v>H6-DOC-009</x:v>
      </x:c>
      <x:c r="H464" s="26"/>
      <x:c r="I464" s="26"/>
      <x:c r="J464" s="26" t="str">
        <x:v>NOT RUN</x:v>
      </x:c>
      <x:c r="K464" s="26"/>
      <x:c r="L464" s="26"/>
      <x:c r="M464" s="26" t="str">
        <x:v>RC1</x:v>
      </x:c>
      <x:c r="N464" s="26" t="str">
        <x:v>Defined / Not Executed</x:v>
      </x:c>
      <x:c r="O464" s="26"/>
      <x:c r="P464" s="26" t="str">
        <x:v>Documentation/Production</x:v>
      </x:c>
      <x:c r="Q464" s="26" t="str">
        <x:v>H6; reviewer=QA/Production; gate=H6</x:v>
      </x:c>
    </x:row>
    <x:row r="465" ht="30" customHeight="1">
      <x:c r="A465" s="26" t="str">
        <x:v>H6-DOC-010</x:v>
      </x:c>
      <x:c r="B465" s="26" t="str">
        <x:v>Documentación y trazabilidad</x:v>
      </x:c>
      <x:c r="C465" s="26" t="str">
        <x:v>31_H6_and_Release_Readiness_Checklist.xlsx</x:v>
      </x:c>
      <x:c r="D465" s="26" t="str">
        <x:v>El changelog registra cambios desde la baseline previa hasta la candidata.</x:v>
      </x:c>
      <x:c r="E465" s="26" t="str">
        <x:v>CHG-RC1-DOC-31</x:v>
      </x:c>
      <x:c r="F465" s="26"/>
      <x:c r="G465" s="26" t="str">
        <x:v>H6-DOC-010</x:v>
      </x:c>
      <x:c r="H465" s="26"/>
      <x:c r="I465" s="26"/>
      <x:c r="J465" s="26" t="str">
        <x:v>NOT RUN</x:v>
      </x:c>
      <x:c r="K465" s="26"/>
      <x:c r="L465" s="26"/>
      <x:c r="M465" s="26" t="str">
        <x:v>RC1</x:v>
      </x:c>
      <x:c r="N465" s="26" t="str">
        <x:v>Defined / Not Executed</x:v>
      </x:c>
      <x:c r="O465" s="26"/>
      <x:c r="P465" s="26" t="str">
        <x:v>Documentation/Production</x:v>
      </x:c>
      <x:c r="Q465" s="26" t="str">
        <x:v>H6; reviewer=QA/Production; gate=H6</x:v>
      </x:c>
    </x:row>
    <x:row r="466" ht="30" customHeight="1">
      <x:c r="A466" s="26" t="str">
        <x:v>H6-DOC-011</x:v>
      </x:c>
      <x:c r="B466" s="26" t="str">
        <x:v>Documentación y trazabilidad</x:v>
      </x:c>
      <x:c r="C466" s="26" t="str">
        <x:v>31_H6_and_Release_Readiness_Checklist.xlsx</x:v>
      </x:c>
      <x:c r="D466" s="26" t="str">
        <x:v>Existe acta formal de PASS, FAIL o PASS WITH ACCEPTED DEBT con firmas/roles.</x:v>
      </x:c>
      <x:c r="E466" s="26" t="str">
        <x:v>CHG-RC1-DOC-31</x:v>
      </x:c>
      <x:c r="F466" s="26"/>
      <x:c r="G466" s="26" t="str">
        <x:v>H6-DOC-011</x:v>
      </x:c>
      <x:c r="H466" s="26"/>
      <x:c r="I466" s="26"/>
      <x:c r="J466" s="26" t="str">
        <x:v>NOT RUN</x:v>
      </x:c>
      <x:c r="K466" s="26"/>
      <x:c r="L466" s="26"/>
      <x:c r="M466" s="26" t="str">
        <x:v>RC1</x:v>
      </x:c>
      <x:c r="N466" s="26" t="str">
        <x:v>Defined / Not Executed</x:v>
      </x:c>
      <x:c r="O466" s="26"/>
      <x:c r="P466" s="26" t="str">
        <x:v>Documentation/Production</x:v>
      </x:c>
      <x:c r="Q466" s="26" t="str">
        <x:v>H6; reviewer=QA/Production; gate=H6</x:v>
      </x:c>
    </x:row>
    <x:row r="467" ht="30" customHeight="1">
      <x:c r="A467" s="26" t="str">
        <x:v>H6-DOC-012</x:v>
      </x:c>
      <x:c r="B467" s="26" t="str">
        <x:v>Documentación y trazabilidad</x:v>
      </x:c>
      <x:c r="C467" s="26" t="str">
        <x:v>31_H6_and_Release_Readiness_Checklist.xlsx</x:v>
      </x:c>
      <x:c r="D467" s="26" t="str">
        <x:v>La baseline H6 puede congelarse sin incluir drafts, previews o archivos temporales.</x:v>
      </x:c>
      <x:c r="E467" s="26" t="str">
        <x:v>CHG-RC1-DOC-31</x:v>
      </x:c>
      <x:c r="F467" s="26"/>
      <x:c r="G467" s="26" t="str">
        <x:v>H6-DOC-012</x:v>
      </x:c>
      <x:c r="H467" s="26"/>
      <x:c r="I467" s="26"/>
      <x:c r="J467" s="26" t="str">
        <x:v>NOT RUN</x:v>
      </x:c>
      <x:c r="K467" s="26"/>
      <x:c r="L467" s="26"/>
      <x:c r="M467" s="26" t="str">
        <x:v>RC1</x:v>
      </x:c>
      <x:c r="N467" s="26" t="str">
        <x:v>Defined / Not Executed</x:v>
      </x:c>
      <x:c r="O467" s="26"/>
      <x:c r="P467" s="26" t="str">
        <x:v>Documentation/Production</x:v>
      </x:c>
      <x:c r="Q467" s="26" t="str">
        <x:v>H6; reviewer=QA/Production; gate=H6</x:v>
      </x:c>
    </x:row>
    <x:row r="468" ht="30" customHeight="1">
      <x:c r="A468" s="26" t="str">
        <x:v>H6-DOC-013</x:v>
      </x:c>
      <x:c r="B468" s="26" t="str">
        <x:v>Documentación y trazabilidad</x:v>
      </x:c>
      <x:c r="C468" s="26" t="str">
        <x:v>31_H6_and_Release_Readiness_Checklist.xlsx</x:v>
      </x:c>
      <x:c r="D468" s="26" t="str">
        <x:v>Los documentos 12–16 tienen plan explícito de actualización posterior a 31–34.</x:v>
      </x:c>
      <x:c r="E468" s="26" t="str">
        <x:v>CHG-RC1-DOC-31</x:v>
      </x:c>
      <x:c r="F468" s="26"/>
      <x:c r="G468" s="26" t="str">
        <x:v>H6-DOC-013</x:v>
      </x:c>
      <x:c r="H468" s="26"/>
      <x:c r="I468" s="26"/>
      <x:c r="J468" s="26" t="str">
        <x:v>NOT RUN</x:v>
      </x:c>
      <x:c r="K468" s="26"/>
      <x:c r="L468" s="26"/>
      <x:c r="M468" s="26" t="str">
        <x:v>RC1</x:v>
      </x:c>
      <x:c r="N468" s="26" t="str">
        <x:v>Defined / Not Executed</x:v>
      </x:c>
      <x:c r="O468" s="26"/>
      <x:c r="P468" s="26" t="str">
        <x:v>Documentation/Production</x:v>
      </x:c>
      <x:c r="Q468" s="26" t="str">
        <x:v>H6; reviewer=QA/Production; gate=H6</x:v>
      </x:c>
    </x:row>
    <x:row r="469" ht="30" customHeight="1">
      <x:c r="A469" s="26" t="str">
        <x:v>H6-DOC-014</x:v>
      </x:c>
      <x:c r="B469" s="26" t="str">
        <x:v>Documentación y trazabilidad</x:v>
      </x:c>
      <x:c r="C469" s="26" t="str">
        <x:v>31_H6_and_Release_Readiness_Checklist.xlsx</x:v>
      </x:c>
      <x:c r="D469" s="26" t="str">
        <x:v>El paquete H6 conserva checksums y referencias para verificar que la build evaluada es la aprobada.</x:v>
      </x:c>
      <x:c r="E469" s="26" t="str">
        <x:v>CHG-RC1-DOC-31</x:v>
      </x:c>
      <x:c r="F469" s="26"/>
      <x:c r="G469" s="26" t="str">
        <x:v>H6-DOC-014</x:v>
      </x:c>
      <x:c r="H469" s="26"/>
      <x:c r="I469" s="26"/>
      <x:c r="J469" s="26" t="str">
        <x:v>NOT RUN</x:v>
      </x:c>
      <x:c r="K469" s="26"/>
      <x:c r="L469" s="26"/>
      <x:c r="M469" s="26" t="str">
        <x:v>RC1</x:v>
      </x:c>
      <x:c r="N469" s="26" t="str">
        <x:v>Defined / Not Executed</x:v>
      </x:c>
      <x:c r="O469" s="26"/>
      <x:c r="P469" s="26" t="str">
        <x:v>Documentation/Production</x:v>
      </x:c>
      <x:c r="Q469" s="26" t="str">
        <x:v>H6; reviewer=QA/Production; gate=H6</x:v>
      </x:c>
    </x:row>
    <x:row r="470" ht="30" customHeight="1">
      <x:c r="A470" s="26" t="str">
        <x:v>H6-DEC-001</x:v>
      </x:c>
      <x:c r="B470" s="26" t="str">
        <x:v>Paquete de decisión H6</x:v>
      </x:c>
      <x:c r="C470" s="26" t="str">
        <x:v>31_H6_and_Release_Readiness_Checklist.xlsx</x:v>
      </x:c>
      <x:c r="D470" s="26" t="str">
        <x:v>La candidata inmutable incluye Build ID, versión, SHA, checksum y canal.</x:v>
      </x:c>
      <x:c r="E470" s="26" t="str">
        <x:v>CHG-RC1-DOC-31</x:v>
      </x:c>
      <x:c r="F470" s="26"/>
      <x:c r="G470" s="26" t="str">
        <x:v>H6-DEC-001</x:v>
      </x:c>
      <x:c r="H470" s="26"/>
      <x:c r="I470" s="26"/>
      <x:c r="J470" s="26" t="str">
        <x:v>NOT RUN</x:v>
      </x:c>
      <x:c r="K470" s="26"/>
      <x:c r="L470" s="26"/>
      <x:c r="M470" s="26" t="str">
        <x:v>RC1</x:v>
      </x:c>
      <x:c r="N470" s="26" t="str">
        <x:v>Defined / Not Executed</x:v>
      </x:c>
      <x:c r="O470" s="26"/>
      <x:c r="P470" s="26" t="str">
        <x:v>Production</x:v>
      </x:c>
      <x:c r="Q470" s="26" t="str">
        <x:v>H6; reviewer=All Discipline Leads; gate=H6</x:v>
      </x:c>
    </x:row>
    <x:row r="471" ht="30" customHeight="1">
      <x:c r="A471" s="26" t="str">
        <x:v>H6-DEC-002</x:v>
      </x:c>
      <x:c r="B471" s="26" t="str">
        <x:v>Paquete de decisión H6</x:v>
      </x:c>
      <x:c r="C471" s="26" t="str">
        <x:v>31_H6_and_Release_Readiness_Checklist.xlsx</x:v>
      </x:c>
      <x:c r="D471" s="26" t="str">
        <x:v>Existe manifest de Unity, packages, escenas, profile y archivos distribuidos.</x:v>
      </x:c>
      <x:c r="E471" s="26" t="str">
        <x:v>CHG-RC1-DOC-31</x:v>
      </x:c>
      <x:c r="F471" s="26"/>
      <x:c r="G471" s="26" t="str">
        <x:v>H6-DEC-002</x:v>
      </x:c>
      <x:c r="H471" s="26"/>
      <x:c r="I471" s="26"/>
      <x:c r="J471" s="26" t="str">
        <x:v>NOT RUN</x:v>
      </x:c>
      <x:c r="K471" s="26"/>
      <x:c r="L471" s="26"/>
      <x:c r="M471" s="26" t="str">
        <x:v>RC1</x:v>
      </x:c>
      <x:c r="N471" s="26" t="str">
        <x:v>Defined / Not Executed</x:v>
      </x:c>
      <x:c r="O471" s="26"/>
      <x:c r="P471" s="26" t="str">
        <x:v>Production</x:v>
      </x:c>
      <x:c r="Q471" s="26" t="str">
        <x:v>H6; reviewer=All Discipline Leads; gate=H6</x:v>
      </x:c>
    </x:row>
    <x:row r="472" ht="30" customHeight="1">
      <x:c r="A472" s="26" t="str">
        <x:v>H6-DEC-003</x:v>
      </x:c>
      <x:c r="B472" s="26" t="str">
        <x:v>Paquete de decisión H6</x:v>
      </x:c>
      <x:c r="C472" s="26" t="str">
        <x:v>31_H6_and_Release_Readiness_Checklist.xlsx</x:v>
      </x:c>
      <x:c r="D472" s="26" t="str">
        <x:v>Se incluyen test reports automatizados y ejecuciones manuales.</x:v>
      </x:c>
      <x:c r="E472" s="26" t="str">
        <x:v>CHG-RC1-DOC-31</x:v>
      </x:c>
      <x:c r="F472" s="26"/>
      <x:c r="G472" s="26" t="str">
        <x:v>H6-DEC-003</x:v>
      </x:c>
      <x:c r="H472" s="26"/>
      <x:c r="I472" s="26"/>
      <x:c r="J472" s="26" t="str">
        <x:v>NOT RUN</x:v>
      </x:c>
      <x:c r="K472" s="26"/>
      <x:c r="L472" s="26"/>
      <x:c r="M472" s="26" t="str">
        <x:v>RC1</x:v>
      </x:c>
      <x:c r="N472" s="26" t="str">
        <x:v>Defined / Not Executed</x:v>
      </x:c>
      <x:c r="O472" s="26"/>
      <x:c r="P472" s="26" t="str">
        <x:v>Production</x:v>
      </x:c>
      <x:c r="Q472" s="26" t="str">
        <x:v>H6; reviewer=All Discipline Leads; gate=H6</x:v>
      </x:c>
    </x:row>
    <x:row r="473" ht="30" customHeight="1">
      <x:c r="A473" s="26" t="str">
        <x:v>H6-DEC-004</x:v>
      </x:c>
      <x:c r="B473" s="26" t="str">
        <x:v>Paquete de decisión H6</x:v>
      </x:c>
      <x:c r="C473" s="26" t="str">
        <x:v>31_H6_and_Release_Readiness_Checklist.xlsx</x:v>
      </x:c>
      <x:c r="D473" s="26" t="str">
        <x:v>Se incluyen Golden Path Record y Seven Day Run Record aprobados.</x:v>
      </x:c>
      <x:c r="E473" s="26" t="str">
        <x:v>CHG-RC1-DOC-31</x:v>
      </x:c>
      <x:c r="F473" s="26"/>
      <x:c r="G473" s="26" t="str">
        <x:v>H6-DEC-004</x:v>
      </x:c>
      <x:c r="H473" s="26"/>
      <x:c r="I473" s="26"/>
      <x:c r="J473" s="26" t="str">
        <x:v>NOT RUN</x:v>
      </x:c>
      <x:c r="K473" s="26"/>
      <x:c r="L473" s="26"/>
      <x:c r="M473" s="26" t="str">
        <x:v>RC1</x:v>
      </x:c>
      <x:c r="N473" s="26" t="str">
        <x:v>Defined / Not Executed</x:v>
      </x:c>
      <x:c r="O473" s="26"/>
      <x:c r="P473" s="26" t="str">
        <x:v>Production</x:v>
      </x:c>
      <x:c r="Q473" s="26" t="str">
        <x:v>H6; reviewer=All Discipline Leads; gate=H6</x:v>
      </x:c>
    </x:row>
    <x:row r="474" ht="30" customHeight="1">
      <x:c r="A474" s="26" t="str">
        <x:v>H6-DEC-005</x:v>
      </x:c>
      <x:c r="B474" s="26" t="str">
        <x:v>Paquete de decisión H6</x:v>
      </x:c>
      <x:c r="C474" s="26" t="str">
        <x:v>31_H6_and_Release_Readiness_Checklist.xlsx</x:v>
      </x:c>
      <x:c r="D474" s="26" t="str">
        <x:v>Se incluyen Player.log, métricas de rendimiento y soak.</x:v>
      </x:c>
      <x:c r="E474" s="26" t="str">
        <x:v>CHG-RC1-DOC-31</x:v>
      </x:c>
      <x:c r="F474" s="26"/>
      <x:c r="G474" s="26" t="str">
        <x:v>H6-DEC-005</x:v>
      </x:c>
      <x:c r="H474" s="26"/>
      <x:c r="I474" s="26"/>
      <x:c r="J474" s="26" t="str">
        <x:v>NOT RUN</x:v>
      </x:c>
      <x:c r="K474" s="26"/>
      <x:c r="L474" s="26"/>
      <x:c r="M474" s="26" t="str">
        <x:v>RC1</x:v>
      </x:c>
      <x:c r="N474" s="26" t="str">
        <x:v>Defined / Not Executed</x:v>
      </x:c>
      <x:c r="O474" s="26"/>
      <x:c r="P474" s="26" t="str">
        <x:v>Production</x:v>
      </x:c>
      <x:c r="Q474" s="26" t="str">
        <x:v>H6; reviewer=All Discipline Leads; gate=H6</x:v>
      </x:c>
    </x:row>
    <x:row r="475" ht="30" customHeight="1">
      <x:c r="A475" s="26" t="str">
        <x:v>H6-DEC-006</x:v>
      </x:c>
      <x:c r="B475" s="26" t="str">
        <x:v>Paquete de decisión H6</x:v>
      </x:c>
      <x:c r="C475" s="26" t="str">
        <x:v>31_H6_and_Release_Readiness_Checklist.xlsx</x:v>
      </x:c>
      <x:c r="D475" s="26" t="str">
        <x:v>Se incluye estado de defectos, deuda aceptada, excepciones y Known Issues.</x:v>
      </x:c>
      <x:c r="E475" s="26" t="str">
        <x:v>CHG-RC1-DOC-31</x:v>
      </x:c>
      <x:c r="F475" s="26"/>
      <x:c r="G475" s="26" t="str">
        <x:v>H6-DEC-006</x:v>
      </x:c>
      <x:c r="H475" s="26"/>
      <x:c r="I475" s="26"/>
      <x:c r="J475" s="26" t="str">
        <x:v>NOT RUN</x:v>
      </x:c>
      <x:c r="K475" s="26"/>
      <x:c r="L475" s="26"/>
      <x:c r="M475" s="26" t="str">
        <x:v>RC1</x:v>
      </x:c>
      <x:c r="N475" s="26" t="str">
        <x:v>Defined / Not Executed</x:v>
      </x:c>
      <x:c r="O475" s="26"/>
      <x:c r="P475" s="26" t="str">
        <x:v>Production</x:v>
      </x:c>
      <x:c r="Q475" s="26" t="str">
        <x:v>H6; reviewer=All Discipline Leads; gate=H6</x:v>
      </x:c>
    </x:row>
    <x:row r="476" ht="30" customHeight="1">
      <x:c r="A476" s="26" t="str">
        <x:v>H6-DEC-007</x:v>
      </x:c>
      <x:c r="B476" s="26" t="str">
        <x:v>Paquete de decisión H6</x:v>
      </x:c>
      <x:c r="C476" s="26" t="str">
        <x:v>31_H6_and_Release_Readiness_Checklist.xlsx</x:v>
      </x:c>
      <x:c r="D476" s="26" t="str">
        <x:v>Se incluye evidencia visual, ES/EN y accesibilidad básica.</x:v>
      </x:c>
      <x:c r="E476" s="26" t="str">
        <x:v>CHG-RC1-DOC-31</x:v>
      </x:c>
      <x:c r="F476" s="26"/>
      <x:c r="G476" s="26" t="str">
        <x:v>H6-DEC-007</x:v>
      </x:c>
      <x:c r="H476" s="26"/>
      <x:c r="I476" s="26"/>
      <x:c r="J476" s="26" t="str">
        <x:v>NOT RUN</x:v>
      </x:c>
      <x:c r="K476" s="26"/>
      <x:c r="L476" s="26"/>
      <x:c r="M476" s="26" t="str">
        <x:v>RC1</x:v>
      </x:c>
      <x:c r="N476" s="26" t="str">
        <x:v>Defined / Not Executed</x:v>
      </x:c>
      <x:c r="O476" s="26"/>
      <x:c r="P476" s="26" t="str">
        <x:v>Production</x:v>
      </x:c>
      <x:c r="Q476" s="26" t="str">
        <x:v>H6; reviewer=All Discipline Leads; gate=H6</x:v>
      </x:c>
    </x:row>
    <x:row r="477" ht="30" customHeight="1">
      <x:c r="A477" s="26" t="str">
        <x:v>H6-DEC-008</x:v>
      </x:c>
      <x:c r="B477" s="26" t="str">
        <x:v>Paquete de decisión H6</x:v>
      </x:c>
      <x:c r="C477" s="26" t="str">
        <x:v>31_H6_and_Release_Readiness_Checklist.xlsx</x:v>
      </x:c>
      <x:c r="D477" s="26" t="str">
        <x:v>Se incluye estado legal, licencias, seguridad y privacidad del candidato.</x:v>
      </x:c>
      <x:c r="E477" s="26" t="str">
        <x:v>CHG-RC1-DOC-31</x:v>
      </x:c>
      <x:c r="F477" s="26"/>
      <x:c r="G477" s="26" t="str">
        <x:v>H6-DEC-008</x:v>
      </x:c>
      <x:c r="H477" s="26"/>
      <x:c r="I477" s="26"/>
      <x:c r="J477" s="26" t="str">
        <x:v>NOT RUN</x:v>
      </x:c>
      <x:c r="K477" s="26"/>
      <x:c r="L477" s="26"/>
      <x:c r="M477" s="26" t="str">
        <x:v>RC1</x:v>
      </x:c>
      <x:c r="N477" s="26" t="str">
        <x:v>Defined / Not Executed</x:v>
      </x:c>
      <x:c r="O477" s="26"/>
      <x:c r="P477" s="26" t="str">
        <x:v>Production</x:v>
      </x:c>
      <x:c r="Q477" s="26" t="str">
        <x:v>H6; reviewer=All Discipline Leads; gate=H6</x:v>
      </x:c>
    </x:row>
    <x:row r="478" ht="30" customHeight="1">
      <x:c r="A478" s="26" t="str">
        <x:v>H6-DEC-009</x:v>
      </x:c>
      <x:c r="B478" s="26" t="str">
        <x:v>Paquete de decisión H6</x:v>
      </x:c>
      <x:c r="C478" s="26" t="str">
        <x:v>31_H6_and_Release_Readiness_Checklist.xlsx</x:v>
      </x:c>
      <x:c r="D478" s="26" t="str">
        <x:v>Se incluye estado de documentación, trazabilidad y auditoría.</x:v>
      </x:c>
      <x:c r="E478" s="26" t="str">
        <x:v>CHG-RC1-DOC-31</x:v>
      </x:c>
      <x:c r="F478" s="26"/>
      <x:c r="G478" s="26" t="str">
        <x:v>H6-DEC-009</x:v>
      </x:c>
      <x:c r="H478" s="26"/>
      <x:c r="I478" s="26"/>
      <x:c r="J478" s="26" t="str">
        <x:v>NOT RUN</x:v>
      </x:c>
      <x:c r="K478" s="26"/>
      <x:c r="L478" s="26"/>
      <x:c r="M478" s="26" t="str">
        <x:v>RC1</x:v>
      </x:c>
      <x:c r="N478" s="26" t="str">
        <x:v>Defined / Not Executed</x:v>
      </x:c>
      <x:c r="O478" s="26"/>
      <x:c r="P478" s="26" t="str">
        <x:v>Production</x:v>
      </x:c>
      <x:c r="Q478" s="26" t="str">
        <x:v>H6; reviewer=All Discipline Leads; gate=H6</x:v>
      </x:c>
    </x:row>
    <x:row r="479" ht="30" customHeight="1">
      <x:c r="A479" s="26" t="str">
        <x:v>H6-DEC-010</x:v>
      </x:c>
      <x:c r="B479" s="26" t="str">
        <x:v>Paquete de decisión H6</x:v>
      </x:c>
      <x:c r="C479" s="26" t="str">
        <x:v>31_H6_and_Release_Readiness_Checklist.xlsx</x:v>
      </x:c>
      <x:c r="D479" s="26" t="str">
        <x:v>La reunión de decisión registra participantes, discrepancias, resultado y acciones.</x:v>
      </x:c>
      <x:c r="E479" s="26" t="str">
        <x:v>CHG-RC1-DOC-31</x:v>
      </x:c>
      <x:c r="F479" s="26"/>
      <x:c r="G479" s="26" t="str">
        <x:v>H6-DEC-010</x:v>
      </x:c>
      <x:c r="H479" s="26"/>
      <x:c r="I479" s="26"/>
      <x:c r="J479" s="26" t="str">
        <x:v>NOT RUN</x:v>
      </x:c>
      <x:c r="K479" s="26"/>
      <x:c r="L479" s="26"/>
      <x:c r="M479" s="26" t="str">
        <x:v>RC1</x:v>
      </x:c>
      <x:c r="N479" s="26" t="str">
        <x:v>Defined / Not Executed</x:v>
      </x:c>
      <x:c r="O479" s="26"/>
      <x:c r="P479" s="26" t="str">
        <x:v>Production</x:v>
      </x:c>
      <x:c r="Q479" s="26" t="str">
        <x:v>H6; reviewer=All Discipline Leads; gate=H6</x:v>
      </x:c>
    </x:row>
    <x:row r="480" ht="30" customHeight="1">
      <x:c r="A480" s="26" t="str">
        <x:v>H6-DEC-011</x:v>
      </x:c>
      <x:c r="B480" s="26" t="str">
        <x:v>Paquete de decisión H6</x:v>
      </x:c>
      <x:c r="C480" s="26" t="str">
        <x:v>31_H6_and_Release_Readiness_Checklist.xlsx</x:v>
      </x:c>
      <x:c r="D480" s="26" t="str">
        <x:v>Un resultado FAIL identifica blockers, propietarios y condición de reentrada.</x:v>
      </x:c>
      <x:c r="E480" s="26" t="str">
        <x:v>CHG-RC1-DOC-31</x:v>
      </x:c>
      <x:c r="F480" s="26"/>
      <x:c r="G480" s="26" t="str">
        <x:v>H6-DEC-011</x:v>
      </x:c>
      <x:c r="H480" s="26"/>
      <x:c r="I480" s="26"/>
      <x:c r="J480" s="26" t="str">
        <x:v>NOT RUN</x:v>
      </x:c>
      <x:c r="K480" s="26"/>
      <x:c r="L480" s="26"/>
      <x:c r="M480" s="26" t="str">
        <x:v>RC1</x:v>
      </x:c>
      <x:c r="N480" s="26" t="str">
        <x:v>Defined / Not Executed</x:v>
      </x:c>
      <x:c r="O480" s="26"/>
      <x:c r="P480" s="26" t="str">
        <x:v>Production</x:v>
      </x:c>
      <x:c r="Q480" s="26" t="str">
        <x:v>H6; reviewer=All Discipline Leads; gate=H6</x:v>
      </x:c>
    </x:row>
    <x:row r="481" ht="30" customHeight="1">
      <x:c r="A481" s="26" t="str">
        <x:v>H6-DEC-012</x:v>
      </x:c>
      <x:c r="B481" s="26" t="str">
        <x:v>Paquete de decisión H6</x:v>
      </x:c>
      <x:c r="C481" s="26" t="str">
        <x:v>31_H6_and_Release_Readiness_Checklist.xlsx</x:v>
      </x:c>
      <x:c r="D481" s="26" t="str">
        <x:v>Un resultado PASS congela la baseline y prohíbe seguir sobre una working copy ambigua.</x:v>
      </x:c>
      <x:c r="E481" s="26" t="str">
        <x:v>CHG-RC1-DOC-31</x:v>
      </x:c>
      <x:c r="F481" s="26"/>
      <x:c r="G481" s="26" t="str">
        <x:v>H6-DEC-012</x:v>
      </x:c>
      <x:c r="H481" s="26"/>
      <x:c r="I481" s="26"/>
      <x:c r="J481" s="26" t="str">
        <x:v>NOT RUN</x:v>
      </x:c>
      <x:c r="K481" s="26"/>
      <x:c r="L481" s="26"/>
      <x:c r="M481" s="26" t="str">
        <x:v>RC1</x:v>
      </x:c>
      <x:c r="N481" s="26" t="str">
        <x:v>Defined / Not Executed</x:v>
      </x:c>
      <x:c r="O481" s="26"/>
      <x:c r="P481" s="26" t="str">
        <x:v>Production</x:v>
      </x:c>
      <x:c r="Q481" s="26" t="str">
        <x:v>H6; reviewer=All Discipline Leads; gate=H6</x:v>
      </x:c>
    </x:row>
    <x:row r="482" ht="30" customHeight="1">
      <x:c r="A482" s="26" t="str">
        <x:v>REL-GOV-001</x:v>
      </x:c>
      <x:c r="B482" s="26" t="str">
        <x:v>Producto, alcance y planificación</x:v>
      </x:c>
      <x:c r="C482" s="26" t="str">
        <x:v>31_H6_and_Release_Readiness_Checklist.xlsx</x:v>
      </x:c>
      <x:c r="D482" s="26" t="str">
        <x:v>H6 ha obtenido PASS formal y su baseline está congelada.</x:v>
      </x:c>
      <x:c r="E482" s="26" t="str">
        <x:v>CHG-RC1-DOC-31</x:v>
      </x:c>
      <x:c r="F482" s="26"/>
      <x:c r="G482" s="26" t="str">
        <x:v>REL-GOV-001</x:v>
      </x:c>
      <x:c r="H482" s="26"/>
      <x:c r="I482" s="26"/>
      <x:c r="J482" s="26" t="str">
        <x:v>NOT RUN</x:v>
      </x:c>
      <x:c r="K482" s="26"/>
      <x:c r="L482" s="26"/>
      <x:c r="M482" s="26" t="str">
        <x:v>RC1</x:v>
      </x:c>
      <x:c r="N482" s="26" t="str">
        <x:v>Defined / Not Executed</x:v>
      </x:c>
      <x:c r="O482" s="26"/>
      <x:c r="P482" s="26" t="str">
        <x:v>Production</x:v>
      </x:c>
      <x:c r="Q482" s="26" t="str">
        <x:v>Release; reviewer=Production/QA; gate=Release</x:v>
      </x:c>
    </x:row>
    <x:row r="483" ht="30" customHeight="1">
      <x:c r="A483" s="26" t="str">
        <x:v>REL-GOV-002</x:v>
      </x:c>
      <x:c r="B483" s="26" t="str">
        <x:v>Producto, alcance y planificación</x:v>
      </x:c>
      <x:c r="C483" s="26" t="str">
        <x:v>31_H6_and_Release_Readiness_Checklist.xlsx</x:v>
      </x:c>
      <x:c r="D483" s="26" t="str">
        <x:v>La fase Steam/release se abre mediante decisión separada de H6.</x:v>
      </x:c>
      <x:c r="E483" s="26" t="str">
        <x:v>CHG-RC1-DOC-31</x:v>
      </x:c>
      <x:c r="F483" s="26"/>
      <x:c r="G483" s="26" t="str">
        <x:v>REL-GOV-002</x:v>
      </x:c>
      <x:c r="H483" s="26"/>
      <x:c r="I483" s="26"/>
      <x:c r="J483" s="26" t="str">
        <x:v>NOT RUN</x:v>
      </x:c>
      <x:c r="K483" s="26"/>
      <x:c r="L483" s="26"/>
      <x:c r="M483" s="26" t="str">
        <x:v>RC1</x:v>
      </x:c>
      <x:c r="N483" s="26" t="str">
        <x:v>Defined / Not Executed</x:v>
      </x:c>
      <x:c r="O483" s="26"/>
      <x:c r="P483" s="26" t="str">
        <x:v>Production</x:v>
      </x:c>
      <x:c r="Q483" s="26" t="str">
        <x:v>Release; reviewer=Production/QA; gate=Release</x:v>
      </x:c>
    </x:row>
    <x:row r="484" ht="30" customHeight="1">
      <x:c r="A484" s="26" t="str">
        <x:v>REL-GOV-003</x:v>
      </x:c>
      <x:c r="B484" s="26" t="str">
        <x:v>Producto, alcance y planificación</x:v>
      </x:c>
      <x:c r="C484" s="26" t="str">
        <x:v>31_H6_and_Release_Readiness_Checklist.xlsx</x:v>
      </x:c>
      <x:c r="D484" s="26" t="str">
        <x:v>El alcance de release está congelado y diferencia must-have, deferred y post-launch.</x:v>
      </x:c>
      <x:c r="E484" s="26" t="str">
        <x:v>CHG-RC1-DOC-31</x:v>
      </x:c>
      <x:c r="F484" s="26"/>
      <x:c r="G484" s="26" t="str">
        <x:v>REL-GOV-003</x:v>
      </x:c>
      <x:c r="H484" s="26"/>
      <x:c r="I484" s="26"/>
      <x:c r="J484" s="26" t="str">
        <x:v>NOT RUN</x:v>
      </x:c>
      <x:c r="K484" s="26"/>
      <x:c r="L484" s="26"/>
      <x:c r="M484" s="26" t="str">
        <x:v>RC1</x:v>
      </x:c>
      <x:c r="N484" s="26" t="str">
        <x:v>Defined / Not Executed</x:v>
      </x:c>
      <x:c r="O484" s="26"/>
      <x:c r="P484" s="26" t="str">
        <x:v>Production</x:v>
      </x:c>
      <x:c r="Q484" s="26" t="str">
        <x:v>Release; reviewer=Production/QA; gate=Release</x:v>
      </x:c>
    </x:row>
    <x:row r="485" ht="30" customHeight="1">
      <x:c r="A485" s="26" t="str">
        <x:v>REL-GOV-004</x:v>
      </x:c>
      <x:c r="B485" s="26" t="str">
        <x:v>Producto, alcance y planificación</x:v>
      </x:c>
      <x:c r="C485" s="26" t="str">
        <x:v>31_H6_and_Release_Readiness_Checklist.xlsx</x:v>
      </x:c>
      <x:c r="D485" s="26" t="str">
        <x:v>Existe calendario basado en capacidad medida, dependencias y buffers, no en fecha inventada.</x:v>
      </x:c>
      <x:c r="E485" s="26" t="str">
        <x:v>CHG-RC1-DOC-31</x:v>
      </x:c>
      <x:c r="F485" s="26"/>
      <x:c r="G485" s="26" t="str">
        <x:v>REL-GOV-004</x:v>
      </x:c>
      <x:c r="H485" s="26"/>
      <x:c r="I485" s="26"/>
      <x:c r="J485" s="26" t="str">
        <x:v>NOT RUN</x:v>
      </x:c>
      <x:c r="K485" s="26"/>
      <x:c r="L485" s="26"/>
      <x:c r="M485" s="26" t="str">
        <x:v>RC1</x:v>
      </x:c>
      <x:c r="N485" s="26" t="str">
        <x:v>Defined / Not Executed</x:v>
      </x:c>
      <x:c r="O485" s="26"/>
      <x:c r="P485" s="26" t="str">
        <x:v>Production</x:v>
      </x:c>
      <x:c r="Q485" s="26" t="str">
        <x:v>Release; reviewer=Production/QA; gate=Release</x:v>
      </x:c>
    </x:row>
    <x:row r="486" ht="30" customHeight="1">
      <x:c r="A486" s="26" t="str">
        <x:v>REL-GOV-005</x:v>
      </x:c>
      <x:c r="B486" s="26" t="str">
        <x:v>Producto, alcance y planificación</x:v>
      </x:c>
      <x:c r="C486" s="26" t="str">
        <x:v>31_H6_and_Release_Readiness_Checklist.xlsx</x:v>
      </x:c>
      <x:c r="D486" s="26" t="str">
        <x:v>Cada gate —Coming Soon, demo, Playtest, RC y launch— tiene entrada, salida y propietario.</x:v>
      </x:c>
      <x:c r="E486" s="26" t="str">
        <x:v>CHG-RC1-DOC-31</x:v>
      </x:c>
      <x:c r="F486" s="26"/>
      <x:c r="G486" s="26" t="str">
        <x:v>REL-GOV-005</x:v>
      </x:c>
      <x:c r="H486" s="26"/>
      <x:c r="I486" s="26"/>
      <x:c r="J486" s="26" t="str">
        <x:v>NOT RUN</x:v>
      </x:c>
      <x:c r="K486" s="26"/>
      <x:c r="L486" s="26"/>
      <x:c r="M486" s="26" t="str">
        <x:v>RC1</x:v>
      </x:c>
      <x:c r="N486" s="26" t="str">
        <x:v>Defined / Not Executed</x:v>
      </x:c>
      <x:c r="O486" s="26"/>
      <x:c r="P486" s="26" t="str">
        <x:v>Production</x:v>
      </x:c>
      <x:c r="Q486" s="26" t="str">
        <x:v>Release; reviewer=Production/QA; gate=Release</x:v>
      </x:c>
    </x:row>
    <x:row r="487" ht="30" customHeight="1">
      <x:c r="A487" s="26" t="str">
        <x:v>REL-GOV-006</x:v>
      </x:c>
      <x:c r="B487" s="26" t="str">
        <x:v>Producto, alcance y planificación</x:v>
      </x:c>
      <x:c r="C487" s="26" t="str">
        <x:v>31_H6_and_Release_Readiness_Checklist.xlsx</x:v>
      </x:c>
      <x:c r="D487" s="26" t="str">
        <x:v>Las features anunciadas públicamente están implementadas, validadas y planificadas para release.</x:v>
      </x:c>
      <x:c r="E487" s="26" t="str">
        <x:v>CHG-RC1-DOC-31</x:v>
      </x:c>
      <x:c r="F487" s="26"/>
      <x:c r="G487" s="26" t="str">
        <x:v>REL-GOV-006</x:v>
      </x:c>
      <x:c r="H487" s="26"/>
      <x:c r="I487" s="26"/>
      <x:c r="J487" s="26" t="str">
        <x:v>NOT RUN</x:v>
      </x:c>
      <x:c r="K487" s="26"/>
      <x:c r="L487" s="26"/>
      <x:c r="M487" s="26" t="str">
        <x:v>RC1</x:v>
      </x:c>
      <x:c r="N487" s="26" t="str">
        <x:v>Defined / Not Executed</x:v>
      </x:c>
      <x:c r="O487" s="26"/>
      <x:c r="P487" s="26" t="str">
        <x:v>Production</x:v>
      </x:c>
      <x:c r="Q487" s="26" t="str">
        <x:v>Release; reviewer=Production/QA; gate=Release</x:v>
      </x:c>
    </x:row>
    <x:row r="488" ht="30" customHeight="1">
      <x:c r="A488" s="26" t="str">
        <x:v>REL-GOV-007</x:v>
      </x:c>
      <x:c r="B488" s="26" t="str">
        <x:v>Producto, alcance y planificación</x:v>
      </x:c>
      <x:c r="C488" s="26" t="str">
        <x:v>31_H6_and_Release_Readiness_Checklist.xlsx</x:v>
      </x:c>
      <x:c r="D488" s="26" t="str">
        <x:v>Las funciones diferidas no aparecen como promesas implícitas en screenshots, trailers o FAQ.</x:v>
      </x:c>
      <x:c r="E488" s="26" t="str">
        <x:v>CHG-RC1-DOC-31</x:v>
      </x:c>
      <x:c r="F488" s="26"/>
      <x:c r="G488" s="26" t="str">
        <x:v>REL-GOV-007</x:v>
      </x:c>
      <x:c r="H488" s="26"/>
      <x:c r="I488" s="26"/>
      <x:c r="J488" s="26" t="str">
        <x:v>NOT RUN</x:v>
      </x:c>
      <x:c r="K488" s="26"/>
      <x:c r="L488" s="26"/>
      <x:c r="M488" s="26" t="str">
        <x:v>RC1</x:v>
      </x:c>
      <x:c r="N488" s="26" t="str">
        <x:v>Defined / Not Executed</x:v>
      </x:c>
      <x:c r="O488" s="26"/>
      <x:c r="P488" s="26" t="str">
        <x:v>Production</x:v>
      </x:c>
      <x:c r="Q488" s="26" t="str">
        <x:v>Release; reviewer=Production/QA; gate=Release</x:v>
      </x:c>
    </x:row>
    <x:row r="489" ht="30" customHeight="1">
      <x:c r="A489" s="26" t="str">
        <x:v>REL-GOV-008</x:v>
      </x:c>
      <x:c r="B489" s="26" t="str">
        <x:v>Producto, alcance y planificación</x:v>
      </x:c>
      <x:c r="C489" s="26" t="str">
        <x:v>31_H6_and_Release_Readiness_Checklist.xlsx</x:v>
      </x:c>
      <x:c r="D489" s="26" t="str">
        <x:v>Existe un criterio formal de no-go y proceso de retraso/cambio de fecha.</x:v>
      </x:c>
      <x:c r="E489" s="26" t="str">
        <x:v>CHG-RC1-DOC-31</x:v>
      </x:c>
      <x:c r="F489" s="26"/>
      <x:c r="G489" s="26" t="str">
        <x:v>REL-GOV-008</x:v>
      </x:c>
      <x:c r="H489" s="26"/>
      <x:c r="I489" s="26"/>
      <x:c r="J489" s="26" t="str">
        <x:v>NOT RUN</x:v>
      </x:c>
      <x:c r="K489" s="26"/>
      <x:c r="L489" s="26"/>
      <x:c r="M489" s="26" t="str">
        <x:v>RC1</x:v>
      </x:c>
      <x:c r="N489" s="26" t="str">
        <x:v>Defined / Not Executed</x:v>
      </x:c>
      <x:c r="O489" s="26"/>
      <x:c r="P489" s="26" t="str">
        <x:v>Production</x:v>
      </x:c>
      <x:c r="Q489" s="26" t="str">
        <x:v>Release; reviewer=Production/QA; gate=Release</x:v>
      </x:c>
    </x:row>
    <x:row r="490" ht="30" customHeight="1">
      <x:c r="A490" s="26" t="str">
        <x:v>REL-GOV-009</x:v>
      </x:c>
      <x:c r="B490" s="26" t="str">
        <x:v>Producto, alcance y planificación</x:v>
      </x:c>
      <x:c r="C490" s="26" t="str">
        <x:v>31_H6_and_Release_Readiness_Checklist.xlsx</x:v>
      </x:c>
      <x:c r="D490" s="26" t="str">
        <x:v>Los propietarios de producto, build, QA, Steam, legal, marketing y soporte están identificados.</x:v>
      </x:c>
      <x:c r="E490" s="26" t="str">
        <x:v>CHG-RC1-DOC-31</x:v>
      </x:c>
      <x:c r="F490" s="26"/>
      <x:c r="G490" s="26" t="str">
        <x:v>REL-GOV-009</x:v>
      </x:c>
      <x:c r="H490" s="26"/>
      <x:c r="I490" s="26"/>
      <x:c r="J490" s="26" t="str">
        <x:v>NOT RUN</x:v>
      </x:c>
      <x:c r="K490" s="26"/>
      <x:c r="L490" s="26"/>
      <x:c r="M490" s="26" t="str">
        <x:v>RC1</x:v>
      </x:c>
      <x:c r="N490" s="26" t="str">
        <x:v>Defined / Not Executed</x:v>
      </x:c>
      <x:c r="O490" s="26"/>
      <x:c r="P490" s="26" t="str">
        <x:v>Production</x:v>
      </x:c>
      <x:c r="Q490" s="26" t="str">
        <x:v>Release; reviewer=Production/QA; gate=Release</x:v>
      </x:c>
    </x:row>
    <x:row r="491" ht="30" customHeight="1">
      <x:c r="A491" s="26" t="str">
        <x:v>REL-GOV-010</x:v>
      </x:c>
      <x:c r="B491" s="26" t="str">
        <x:v>Producto, alcance y planificación</x:v>
      </x:c>
      <x:c r="C491" s="26" t="str">
        <x:v>31_H6_and_Release_Readiness_Checklist.xlsx</x:v>
      </x:c>
      <x:c r="D491" s="26" t="str">
        <x:v>Los riesgos críticos y dependencias externas tienen contingencia y fecha/trigger de revisión.</x:v>
      </x:c>
      <x:c r="E491" s="26" t="str">
        <x:v>CHG-RC1-DOC-31</x:v>
      </x:c>
      <x:c r="F491" s="26"/>
      <x:c r="G491" s="26" t="str">
        <x:v>REL-GOV-010</x:v>
      </x:c>
      <x:c r="H491" s="26"/>
      <x:c r="I491" s="26"/>
      <x:c r="J491" s="26" t="str">
        <x:v>NOT RUN</x:v>
      </x:c>
      <x:c r="K491" s="26"/>
      <x:c r="L491" s="26"/>
      <x:c r="M491" s="26" t="str">
        <x:v>RC1</x:v>
      </x:c>
      <x:c r="N491" s="26" t="str">
        <x:v>Defined / Not Executed</x:v>
      </x:c>
      <x:c r="O491" s="26"/>
      <x:c r="P491" s="26" t="str">
        <x:v>Production</x:v>
      </x:c>
      <x:c r="Q491" s="26" t="str">
        <x:v>Release; reviewer=Production/QA; gate=Release</x:v>
      </x:c>
    </x:row>
    <x:row r="492" ht="30" customHeight="1">
      <x:c r="A492" s="26" t="str">
        <x:v>REL-STM-001</x:v>
      </x:c>
      <x:c r="B492" s="26" t="str">
        <x:v>Steamworks y cuenta</x:v>
      </x:c>
      <x:c r="C492" s="26" t="str">
        <x:v>31_H6_and_Release_Readiness_Checklist.xlsx</x:v>
      </x:c>
      <x:c r="D492" s="26" t="str">
        <x:v>La cuenta Steamworks, organización y datos fiscales/bancarios están operativos y bajo acceso controlado.</x:v>
      </x:c>
      <x:c r="E492" s="26" t="str">
        <x:v>CHG-RC1-DOC-31</x:v>
      </x:c>
      <x:c r="F492" s="26"/>
      <x:c r="G492" s="26" t="str">
        <x:v>REL-STM-001</x:v>
      </x:c>
      <x:c r="H492" s="26"/>
      <x:c r="I492" s="26"/>
      <x:c r="J492" s="26" t="str">
        <x:v>NOT RUN</x:v>
      </x:c>
      <x:c r="K492" s="26"/>
      <x:c r="L492" s="26"/>
      <x:c r="M492" s="26" t="str">
        <x:v>RC1</x:v>
      </x:c>
      <x:c r="N492" s="26" t="str">
        <x:v>Defined / Not Executed</x:v>
      </x:c>
      <x:c r="O492" s="26"/>
      <x:c r="P492" s="26" t="str">
        <x:v>Steam/Engineering</x:v>
      </x:c>
      <x:c r="Q492" s="26" t="str">
        <x:v>Release; reviewer=Security/Production; gate=Release</x:v>
      </x:c>
    </x:row>
    <x:row r="493" ht="30" customHeight="1">
      <x:c r="A493" s="26" t="str">
        <x:v>REL-STM-002</x:v>
      </x:c>
      <x:c r="B493" s="26" t="str">
        <x:v>Steamworks y cuenta</x:v>
      </x:c>
      <x:c r="C493" s="26" t="str">
        <x:v>31_H6_and_Release_Readiness_Checklist.xlsx</x:v>
      </x:c>
      <x:c r="D493" s="26" t="str">
        <x:v>El AppID y nombre interno están creados sin publicar un naming no autorizado.</x:v>
      </x:c>
      <x:c r="E493" s="26" t="str">
        <x:v>CHG-RC1-DOC-31</x:v>
      </x:c>
      <x:c r="F493" s="26"/>
      <x:c r="G493" s="26" t="str">
        <x:v>REL-STM-002</x:v>
      </x:c>
      <x:c r="H493" s="26"/>
      <x:c r="I493" s="26"/>
      <x:c r="J493" s="26" t="str">
        <x:v>NOT RUN</x:v>
      </x:c>
      <x:c r="K493" s="26"/>
      <x:c r="L493" s="26"/>
      <x:c r="M493" s="26" t="str">
        <x:v>RC1</x:v>
      </x:c>
      <x:c r="N493" s="26" t="str">
        <x:v>Defined / Not Executed</x:v>
      </x:c>
      <x:c r="O493" s="26"/>
      <x:c r="P493" s="26" t="str">
        <x:v>Steam/Engineering</x:v>
      </x:c>
      <x:c r="Q493" s="26" t="str">
        <x:v>Release; reviewer=Security/Production; gate=Release</x:v>
      </x:c>
    </x:row>
    <x:row r="494" ht="30" customHeight="1">
      <x:c r="A494" s="26" t="str">
        <x:v>REL-STM-003</x:v>
      </x:c>
      <x:c r="B494" s="26" t="str">
        <x:v>Steamworks y cuenta</x:v>
      </x:c>
      <x:c r="C494" s="26" t="str">
        <x:v>31_H6_and_Release_Readiness_Checklist.xlsx</x:v>
      </x:c>
      <x:c r="D494" s="26" t="str">
        <x:v>Roles y permisos de Steamworks aplican mínimo privilegio y MFA donde esté disponible.</x:v>
      </x:c>
      <x:c r="E494" s="26" t="str">
        <x:v>CHG-RC1-DOC-31</x:v>
      </x:c>
      <x:c r="F494" s="26"/>
      <x:c r="G494" s="26" t="str">
        <x:v>REL-STM-003</x:v>
      </x:c>
      <x:c r="H494" s="26"/>
      <x:c r="I494" s="26"/>
      <x:c r="J494" s="26" t="str">
        <x:v>NOT RUN</x:v>
      </x:c>
      <x:c r="K494" s="26"/>
      <x:c r="L494" s="26"/>
      <x:c r="M494" s="26" t="str">
        <x:v>RC1</x:v>
      </x:c>
      <x:c r="N494" s="26" t="str">
        <x:v>Defined / Not Executed</x:v>
      </x:c>
      <x:c r="O494" s="26"/>
      <x:c r="P494" s="26" t="str">
        <x:v>Steam/Engineering</x:v>
      </x:c>
      <x:c r="Q494" s="26" t="str">
        <x:v>Release; reviewer=Security/Production; gate=Release</x:v>
      </x:c>
    </x:row>
    <x:row r="495" ht="30" customHeight="1">
      <x:c r="A495" s="26" t="str">
        <x:v>REL-STM-004</x:v>
      </x:c>
      <x:c r="B495" s="26" t="str">
        <x:v>Steamworks y cuenta</x:v>
      </x:c>
      <x:c r="C495" s="26" t="str">
        <x:v>31_H6_and_Release_Readiness_Checklist.xlsx</x:v>
      </x:c>
      <x:c r="D495" s="26" t="str">
        <x:v>Los contactos de Valve y responsables internos están documentados.</x:v>
      </x:c>
      <x:c r="E495" s="26" t="str">
        <x:v>CHG-RC1-DOC-31</x:v>
      </x:c>
      <x:c r="F495" s="26"/>
      <x:c r="G495" s="26" t="str">
        <x:v>REL-STM-004</x:v>
      </x:c>
      <x:c r="H495" s="26"/>
      <x:c r="I495" s="26"/>
      <x:c r="J495" s="26" t="str">
        <x:v>NOT RUN</x:v>
      </x:c>
      <x:c r="K495" s="26"/>
      <x:c r="L495" s="26"/>
      <x:c r="M495" s="26" t="str">
        <x:v>RC1</x:v>
      </x:c>
      <x:c r="N495" s="26" t="str">
        <x:v>Defined / Not Executed</x:v>
      </x:c>
      <x:c r="O495" s="26"/>
      <x:c r="P495" s="26" t="str">
        <x:v>Steam/Engineering</x:v>
      </x:c>
      <x:c r="Q495" s="26" t="str">
        <x:v>Release; reviewer=Security/Production; gate=Release</x:v>
      </x:c>
    </x:row>
    <x:row r="496" ht="30" customHeight="1">
      <x:c r="A496" s="26" t="str">
        <x:v>REL-STM-005</x:v>
      </x:c>
      <x:c r="B496" s="26" t="str">
        <x:v>Steamworks y cuenta</x:v>
      </x:c>
      <x:c r="C496" s="26" t="str">
        <x:v>31_H6_and_Release_Readiness_Checklist.xlsx</x:v>
      </x:c>
      <x:c r="D496" s="26" t="str">
        <x:v>Los SDK/redistributables necesarios están versionados y sus licencias revisadas.</x:v>
      </x:c>
      <x:c r="E496" s="26" t="str">
        <x:v>CHG-RC1-DOC-31</x:v>
      </x:c>
      <x:c r="F496" s="26"/>
      <x:c r="G496" s="26" t="str">
        <x:v>REL-STM-005</x:v>
      </x:c>
      <x:c r="H496" s="26"/>
      <x:c r="I496" s="26"/>
      <x:c r="J496" s="26" t="str">
        <x:v>NOT RUN</x:v>
      </x:c>
      <x:c r="K496" s="26"/>
      <x:c r="L496" s="26"/>
      <x:c r="M496" s="26" t="str">
        <x:v>RC1</x:v>
      </x:c>
      <x:c r="N496" s="26" t="str">
        <x:v>Defined / Not Executed</x:v>
      </x:c>
      <x:c r="O496" s="26"/>
      <x:c r="P496" s="26" t="str">
        <x:v>Steam/Engineering</x:v>
      </x:c>
      <x:c r="Q496" s="26" t="str">
        <x:v>Release; reviewer=Security/Production; gate=Release</x:v>
      </x:c>
    </x:row>
    <x:row r="497" ht="30" customHeight="1">
      <x:c r="A497" s="26" t="str">
        <x:v>REL-STM-006</x:v>
      </x:c>
      <x:c r="B497" s="26" t="str">
        <x:v>Steamworks y cuenta</x:v>
      </x:c>
      <x:c r="C497" s="26" t="str">
        <x:v>31_H6_and_Release_Readiness_Checklist.xlsx</x:v>
      </x:c>
      <x:c r="D497" s="26" t="str">
        <x:v>La integración Steamworks está aislada y ofrece fallback/no-op cuando corresponde.</x:v>
      </x:c>
      <x:c r="E497" s="26" t="str">
        <x:v>CHG-RC1-DOC-31</x:v>
      </x:c>
      <x:c r="F497" s="26"/>
      <x:c r="G497" s="26" t="str">
        <x:v>REL-STM-006</x:v>
      </x:c>
      <x:c r="H497" s="26"/>
      <x:c r="I497" s="26"/>
      <x:c r="J497" s="26" t="str">
        <x:v>NOT RUN</x:v>
      </x:c>
      <x:c r="K497" s="26"/>
      <x:c r="L497" s="26"/>
      <x:c r="M497" s="26" t="str">
        <x:v>RC1</x:v>
      </x:c>
      <x:c r="N497" s="26" t="str">
        <x:v>Defined / Not Executed</x:v>
      </x:c>
      <x:c r="O497" s="26"/>
      <x:c r="P497" s="26" t="str">
        <x:v>Steam/Engineering</x:v>
      </x:c>
      <x:c r="Q497" s="26" t="str">
        <x:v>Release; reviewer=Security/Production; gate=Release</x:v>
      </x:c>
    </x:row>
    <x:row r="498" ht="30" customHeight="1">
      <x:c r="A498" s="26" t="str">
        <x:v>REL-STM-007</x:v>
      </x:c>
      <x:c r="B498" s="26" t="str">
        <x:v>Steamworks y cuenta</x:v>
      </x:c>
      <x:c r="C498" s="26" t="str">
        <x:v>31_H6_and_Release_Readiness_Checklist.xlsx</x:v>
      </x:c>
      <x:c r="D498" s="26" t="str">
        <x:v>La aplicación arranca correctamente desde Steam y directamente según soporte definido.</x:v>
      </x:c>
      <x:c r="E498" s="26" t="str">
        <x:v>CHG-RC1-DOC-31</x:v>
      </x:c>
      <x:c r="F498" s="26"/>
      <x:c r="G498" s="26" t="str">
        <x:v>REL-STM-007</x:v>
      </x:c>
      <x:c r="H498" s="26"/>
      <x:c r="I498" s="26"/>
      <x:c r="J498" s="26" t="str">
        <x:v>NOT RUN</x:v>
      </x:c>
      <x:c r="K498" s="26"/>
      <x:c r="L498" s="26"/>
      <x:c r="M498" s="26" t="str">
        <x:v>RC1</x:v>
      </x:c>
      <x:c r="N498" s="26" t="str">
        <x:v>Defined / Not Executed</x:v>
      </x:c>
      <x:c r="O498" s="26"/>
      <x:c r="P498" s="26" t="str">
        <x:v>Steam/Engineering</x:v>
      </x:c>
      <x:c r="Q498" s="26" t="str">
        <x:v>Release; reviewer=Security/Production; gate=Release</x:v>
      </x:c>
    </x:row>
    <x:row r="499" ht="30" customHeight="1">
      <x:c r="A499" s="26" t="str">
        <x:v>REL-STM-008</x:v>
      </x:c>
      <x:c r="B499" s="26" t="str">
        <x:v>Steamworks y cuenta</x:v>
      </x:c>
      <x:c r="C499" s="26" t="str">
        <x:v>31_H6_and_Release_Readiness_Checklist.xlsx</x:v>
      </x:c>
      <x:c r="D499" s="26" t="str">
        <x:v>Overlay, achievements, cloud u otras funciones solo se habilitan si están implementadas y probadas.</x:v>
      </x:c>
      <x:c r="E499" s="26" t="str">
        <x:v>CHG-RC1-DOC-31</x:v>
      </x:c>
      <x:c r="F499" s="26"/>
      <x:c r="G499" s="26" t="str">
        <x:v>REL-STM-008</x:v>
      </x:c>
      <x:c r="H499" s="26"/>
      <x:c r="I499" s="26"/>
      <x:c r="J499" s="26" t="str">
        <x:v>NOT RUN</x:v>
      </x:c>
      <x:c r="K499" s="26"/>
      <x:c r="L499" s="26"/>
      <x:c r="M499" s="26" t="str">
        <x:v>RC1</x:v>
      </x:c>
      <x:c r="N499" s="26" t="str">
        <x:v>Defined / Not Executed</x:v>
      </x:c>
      <x:c r="O499" s="26"/>
      <x:c r="P499" s="26" t="str">
        <x:v>Steam/Engineering</x:v>
      </x:c>
      <x:c r="Q499" s="26" t="str">
        <x:v>Release; reviewer=Security/Production; gate=Release</x:v>
      </x:c>
    </x:row>
    <x:row r="500" ht="30" customHeight="1">
      <x:c r="A500" s="26" t="str">
        <x:v>REL-STM-009</x:v>
      </x:c>
      <x:c r="B500" s="26" t="str">
        <x:v>Steamworks y cuenta</x:v>
      </x:c>
      <x:c r="C500" s="26" t="str">
        <x:v>31_H6_and_Release_Readiness_Checklist.xlsx</x:v>
      </x:c>
      <x:c r="D500" s="26" t="str">
        <x:v>Steam Cloud, si se activa, tiene conflictos, cuota, exclusiones y pruebas de corrupción definidos.</x:v>
      </x:c>
      <x:c r="E500" s="26" t="str">
        <x:v>CHG-RC1-DOC-31</x:v>
      </x:c>
      <x:c r="F500" s="26"/>
      <x:c r="G500" s="26" t="str">
        <x:v>REL-STM-009</x:v>
      </x:c>
      <x:c r="H500" s="26"/>
      <x:c r="I500" s="26"/>
      <x:c r="J500" s="26" t="str">
        <x:v>NOT RUN</x:v>
      </x:c>
      <x:c r="K500" s="26"/>
      <x:c r="L500" s="26"/>
      <x:c r="M500" s="26" t="str">
        <x:v>RC1</x:v>
      </x:c>
      <x:c r="N500" s="26" t="str">
        <x:v>Defined / Not Executed</x:v>
      </x:c>
      <x:c r="O500" s="26"/>
      <x:c r="P500" s="26" t="str">
        <x:v>Steam/Engineering</x:v>
      </x:c>
      <x:c r="Q500" s="26" t="str">
        <x:v>Release; reviewer=Security/Production; gate=Release</x:v>
      </x:c>
    </x:row>
    <x:row r="501" ht="30" customHeight="1">
      <x:c r="A501" s="26" t="str">
        <x:v>REL-STM-010</x:v>
      </x:c>
      <x:c r="B501" s="26" t="str">
        <x:v>Steamworks y cuenta</x:v>
      </x:c>
      <x:c r="C501" s="26" t="str">
        <x:v>31_H6_and_Release_Readiness_Checklist.xlsx</x:v>
      </x:c>
      <x:c r="D501" s="26" t="str">
        <x:v>Los logros, si existen, no revelan contenido no anunciado y funcionan offline/online según diseño.</x:v>
      </x:c>
      <x:c r="E501" s="26" t="str">
        <x:v>CHG-RC1-DOC-31</x:v>
      </x:c>
      <x:c r="F501" s="26"/>
      <x:c r="G501" s="26" t="str">
        <x:v>REL-STM-010</x:v>
      </x:c>
      <x:c r="H501" s="26"/>
      <x:c r="I501" s="26"/>
      <x:c r="J501" s="26" t="str">
        <x:v>NOT RUN</x:v>
      </x:c>
      <x:c r="K501" s="26"/>
      <x:c r="L501" s="26"/>
      <x:c r="M501" s="26" t="str">
        <x:v>RC1</x:v>
      </x:c>
      <x:c r="N501" s="26" t="str">
        <x:v>Defined / Not Executed</x:v>
      </x:c>
      <x:c r="O501" s="26"/>
      <x:c r="P501" s="26" t="str">
        <x:v>Steam/Engineering</x:v>
      </x:c>
      <x:c r="Q501" s="26" t="str">
        <x:v>Release; reviewer=Security/Production; gate=Release</x:v>
      </x:c>
    </x:row>
    <x:row r="502" ht="30" customHeight="1">
      <x:c r="A502" s="26" t="str">
        <x:v>REL-STM-011</x:v>
      </x:c>
      <x:c r="B502" s="26" t="str">
        <x:v>Steamworks y cuenta</x:v>
      </x:c>
      <x:c r="C502" s="26" t="str">
        <x:v>31_H6_and_Release_Readiness_Checklist.xlsx</x:v>
      </x:c>
      <x:c r="D502" s="26" t="str">
        <x:v>Los redistributables y requisitos de runtime se instalan correctamente.</x:v>
      </x:c>
      <x:c r="E502" s="26" t="str">
        <x:v>CHG-RC1-DOC-31</x:v>
      </x:c>
      <x:c r="F502" s="26"/>
      <x:c r="G502" s="26" t="str">
        <x:v>REL-STM-011</x:v>
      </x:c>
      <x:c r="H502" s="26"/>
      <x:c r="I502" s="26"/>
      <x:c r="J502" s="26" t="str">
        <x:v>NOT RUN</x:v>
      </x:c>
      <x:c r="K502" s="26"/>
      <x:c r="L502" s="26"/>
      <x:c r="M502" s="26" t="str">
        <x:v>RC1</x:v>
      </x:c>
      <x:c r="N502" s="26" t="str">
        <x:v>Defined / Not Executed</x:v>
      </x:c>
      <x:c r="O502" s="26"/>
      <x:c r="P502" s="26" t="str">
        <x:v>Steam/Engineering</x:v>
      </x:c>
      <x:c r="Q502" s="26" t="str">
        <x:v>Release; reviewer=Security/Production; gate=Release</x:v>
      </x:c>
    </x:row>
    <x:row r="503" ht="30" customHeight="1">
      <x:c r="A503" s="26" t="str">
        <x:v>REL-STM-012</x:v>
      </x:c>
      <x:c r="B503" s="26" t="str">
        <x:v>Steamworks y cuenta</x:v>
      </x:c>
      <x:c r="C503" s="26" t="str">
        <x:v>31_H6_and_Release_Readiness_Checklist.xlsx</x:v>
      </x:c>
      <x:c r="D503" s="26" t="str">
        <x:v>La configuración de OS soportados y arquitectura coincide con las builds probadas.</x:v>
      </x:c>
      <x:c r="E503" s="26" t="str">
        <x:v>CHG-RC1-DOC-31</x:v>
      </x:c>
      <x:c r="F503" s="26"/>
      <x:c r="G503" s="26" t="str">
        <x:v>REL-STM-012</x:v>
      </x:c>
      <x:c r="H503" s="26"/>
      <x:c r="I503" s="26"/>
      <x:c r="J503" s="26" t="str">
        <x:v>NOT RUN</x:v>
      </x:c>
      <x:c r="K503" s="26"/>
      <x:c r="L503" s="26"/>
      <x:c r="M503" s="26" t="str">
        <x:v>RC1</x:v>
      </x:c>
      <x:c r="N503" s="26" t="str">
        <x:v>Defined / Not Executed</x:v>
      </x:c>
      <x:c r="O503" s="26"/>
      <x:c r="P503" s="26" t="str">
        <x:v>Steam/Engineering</x:v>
      </x:c>
      <x:c r="Q503" s="26" t="str">
        <x:v>Release; reviewer=Security/Production; gate=Release</x:v>
      </x:c>
    </x:row>
    <x:row r="504" ht="30" customHeight="1">
      <x:c r="A504" s="26" t="str">
        <x:v>REL-STM-013</x:v>
      </x:c>
      <x:c r="B504" s="26" t="str">
        <x:v>Steamworks y cuenta</x:v>
      </x:c>
      <x:c r="C504" s="26" t="str">
        <x:v>31_H6_and_Release_Readiness_Checklist.xlsx</x:v>
      </x:c>
      <x:c r="D504" s="26" t="str">
        <x:v>La integración no introduce una dependencia justo antes del gate sin regresión completa.</x:v>
      </x:c>
      <x:c r="E504" s="26" t="str">
        <x:v>CHG-RC1-DOC-31</x:v>
      </x:c>
      <x:c r="F504" s="26"/>
      <x:c r="G504" s="26" t="str">
        <x:v>REL-STM-013</x:v>
      </x:c>
      <x:c r="H504" s="26"/>
      <x:c r="I504" s="26"/>
      <x:c r="J504" s="26" t="str">
        <x:v>NOT RUN</x:v>
      </x:c>
      <x:c r="K504" s="26"/>
      <x:c r="L504" s="26"/>
      <x:c r="M504" s="26" t="str">
        <x:v>RC1</x:v>
      </x:c>
      <x:c r="N504" s="26" t="str">
        <x:v>Defined / Not Executed</x:v>
      </x:c>
      <x:c r="O504" s="26"/>
      <x:c r="P504" s="26" t="str">
        <x:v>Steam/Engineering</x:v>
      </x:c>
      <x:c r="Q504" s="26" t="str">
        <x:v>Release; reviewer=Security/Production; gate=Release</x:v>
      </x:c>
    </x:row>
    <x:row r="505" ht="30" customHeight="1">
      <x:c r="A505" s="26" t="str">
        <x:v>REL-STM-014</x:v>
      </x:c>
      <x:c r="B505" s="26" t="str">
        <x:v>Steamworks y cuenta</x:v>
      </x:c>
      <x:c r="C505" s="26" t="str">
        <x:v>31_H6_and_Release_Readiness_Checklist.xlsx</x:v>
      </x:c>
      <x:c r="D505" s="26" t="str">
        <x:v>Los datos/estadísticas Steam usados cumplen privacidad y propósito declarado.</x:v>
      </x:c>
      <x:c r="E505" s="26" t="str">
        <x:v>CHG-RC1-DOC-31</x:v>
      </x:c>
      <x:c r="F505" s="26"/>
      <x:c r="G505" s="26" t="str">
        <x:v>REL-STM-014</x:v>
      </x:c>
      <x:c r="H505" s="26"/>
      <x:c r="I505" s="26"/>
      <x:c r="J505" s="26" t="str">
        <x:v>NOT RUN</x:v>
      </x:c>
      <x:c r="K505" s="26"/>
      <x:c r="L505" s="26"/>
      <x:c r="M505" s="26" t="str">
        <x:v>RC1</x:v>
      </x:c>
      <x:c r="N505" s="26" t="str">
        <x:v>Defined / Not Executed</x:v>
      </x:c>
      <x:c r="O505" s="26"/>
      <x:c r="P505" s="26" t="str">
        <x:v>Steam/Engineering</x:v>
      </x:c>
      <x:c r="Q505" s="26" t="str">
        <x:v>Release; reviewer=Security/Production; gate=Release</x:v>
      </x:c>
    </x:row>
    <x:row r="506" ht="30" customHeight="1">
      <x:c r="A506" s="26" t="str">
        <x:v>REL-STM-015</x:v>
      </x:c>
      <x:c r="B506" s="26" t="str">
        <x:v>Steamworks y cuenta</x:v>
      </x:c>
      <x:c r="C506" s="26" t="str">
        <x:v>31_H6_and_Release_Readiness_Checklist.xlsx</x:v>
      </x:c>
      <x:c r="D506" s="26" t="str">
        <x:v>No se exponen claves de publisher, depot o credenciales en repositorio/CI.</x:v>
      </x:c>
      <x:c r="E506" s="26" t="str">
        <x:v>CHG-RC1-DOC-31</x:v>
      </x:c>
      <x:c r="F506" s="26"/>
      <x:c r="G506" s="26" t="str">
        <x:v>REL-STM-015</x:v>
      </x:c>
      <x:c r="H506" s="26"/>
      <x:c r="I506" s="26"/>
      <x:c r="J506" s="26" t="str">
        <x:v>NOT RUN</x:v>
      </x:c>
      <x:c r="K506" s="26"/>
      <x:c r="L506" s="26"/>
      <x:c r="M506" s="26" t="str">
        <x:v>RC1</x:v>
      </x:c>
      <x:c r="N506" s="26" t="str">
        <x:v>Defined / Not Executed</x:v>
      </x:c>
      <x:c r="O506" s="26"/>
      <x:c r="P506" s="26" t="str">
        <x:v>Steam/Engineering</x:v>
      </x:c>
      <x:c r="Q506" s="26" t="str">
        <x:v>Release; reviewer=Security/Production; gate=Release</x:v>
      </x:c>
    </x:row>
    <x:row r="507" ht="30" customHeight="1">
      <x:c r="A507" s="26" t="str">
        <x:v>REL-STORE-001</x:v>
      </x:c>
      <x:c r="B507" s="26" t="str">
        <x:v>Página de tienda y contenido público</x:v>
      </x:c>
      <x:c r="C507" s="26" t="str">
        <x:v>31_H6_and_Release_Readiness_Checklist.xlsx</x:v>
      </x:c>
      <x:c r="D507" s="26" t="str">
        <x:v>El nombre comercial y del estudio tienen clearance suficiente para publicación.</x:v>
      </x:c>
      <x:c r="E507" s="26" t="str">
        <x:v>CHG-RC1-DOC-31</x:v>
      </x:c>
      <x:c r="F507" s="26"/>
      <x:c r="G507" s="26" t="str">
        <x:v>REL-STORE-001</x:v>
      </x:c>
      <x:c r="H507" s="26"/>
      <x:c r="I507" s="26"/>
      <x:c r="J507" s="26" t="str">
        <x:v>NOT RUN</x:v>
      </x:c>
      <x:c r="K507" s="26"/>
      <x:c r="L507" s="26"/>
      <x:c r="M507" s="26" t="str">
        <x:v>RC1</x:v>
      </x:c>
      <x:c r="N507" s="26" t="str">
        <x:v>Defined / Not Executed</x:v>
      </x:c>
      <x:c r="O507" s="26"/>
      <x:c r="P507" s="26" t="str">
        <x:v>Marketing/Steam</x:v>
      </x:c>
      <x:c r="Q507" s="26" t="str">
        <x:v>Release; reviewer=Product/Legal/LQA; gate=Release</x:v>
      </x:c>
    </x:row>
    <x:row r="508" ht="30" customHeight="1">
      <x:c r="A508" s="26" t="str">
        <x:v>REL-STORE-002</x:v>
      </x:c>
      <x:c r="B508" s="26" t="str">
        <x:v>Página de tienda y contenido público</x:v>
      </x:c>
      <x:c r="C508" s="26" t="str">
        <x:v>31_H6_and_Release_Readiness_Checklist.xlsx</x:v>
      </x:c>
      <x:c r="D508" s="26" t="str">
        <x:v>La descripción corta comunica la fantasía y alcance real sin claims no demostrados.</x:v>
      </x:c>
      <x:c r="E508" s="26" t="str">
        <x:v>CHG-RC1-DOC-31</x:v>
      </x:c>
      <x:c r="F508" s="26"/>
      <x:c r="G508" s="26" t="str">
        <x:v>REL-STORE-002</x:v>
      </x:c>
      <x:c r="H508" s="26"/>
      <x:c r="I508" s="26"/>
      <x:c r="J508" s="26" t="str">
        <x:v>NOT RUN</x:v>
      </x:c>
      <x:c r="K508" s="26"/>
      <x:c r="L508" s="26"/>
      <x:c r="M508" s="26" t="str">
        <x:v>RC1</x:v>
      </x:c>
      <x:c r="N508" s="26" t="str">
        <x:v>Defined / Not Executed</x:v>
      </x:c>
      <x:c r="O508" s="26"/>
      <x:c r="P508" s="26" t="str">
        <x:v>Marketing/Steam</x:v>
      </x:c>
      <x:c r="Q508" s="26" t="str">
        <x:v>Release; reviewer=Product/Legal/LQA; gate=Release</x:v>
      </x:c>
    </x:row>
    <x:row r="509" ht="30" customHeight="1">
      <x:c r="A509" s="26" t="str">
        <x:v>REL-STORE-003</x:v>
      </x:c>
      <x:c r="B509" s="26" t="str">
        <x:v>Página de tienda y contenido público</x:v>
      </x:c>
      <x:c r="C509" s="26" t="str">
        <x:v>31_H6_and_Release_Readiness_Checklist.xlsx</x:v>
      </x:c>
      <x:c r="D509" s="26" t="str">
        <x:v>La descripción larga, features y FAQ coinciden con la build y roadmap aprobado.</x:v>
      </x:c>
      <x:c r="E509" s="26" t="str">
        <x:v>CHG-RC1-DOC-31</x:v>
      </x:c>
      <x:c r="F509" s="26"/>
      <x:c r="G509" s="26" t="str">
        <x:v>REL-STORE-003</x:v>
      </x:c>
      <x:c r="H509" s="26"/>
      <x:c r="I509" s="26"/>
      <x:c r="J509" s="26" t="str">
        <x:v>NOT RUN</x:v>
      </x:c>
      <x:c r="K509" s="26"/>
      <x:c r="L509" s="26"/>
      <x:c r="M509" s="26" t="str">
        <x:v>RC1</x:v>
      </x:c>
      <x:c r="N509" s="26" t="str">
        <x:v>Defined / Not Executed</x:v>
      </x:c>
      <x:c r="O509" s="26"/>
      <x:c r="P509" s="26" t="str">
        <x:v>Marketing/Steam</x:v>
      </x:c>
      <x:c r="Q509" s="26" t="str">
        <x:v>Release; reviewer=Product/Legal/LQA; gate=Release</x:v>
      </x:c>
    </x:row>
    <x:row r="510" ht="30" customHeight="1">
      <x:c r="A510" s="26" t="str">
        <x:v>REL-STORE-004</x:v>
      </x:c>
      <x:c r="B510" s="26" t="str">
        <x:v>Página de tienda y contenido público</x:v>
      </x:c>
      <x:c r="C510" s="26" t="str">
        <x:v>31_H6_and_Release_Readiness_Checklist.xlsx</x:v>
      </x:c>
      <x:c r="D510" s="26" t="str">
        <x:v>Las categorías, tags y géneros no inducen a error sobre el producto.</x:v>
      </x:c>
      <x:c r="E510" s="26" t="str">
        <x:v>CHG-RC1-DOC-31</x:v>
      </x:c>
      <x:c r="F510" s="26"/>
      <x:c r="G510" s="26" t="str">
        <x:v>REL-STORE-004</x:v>
      </x:c>
      <x:c r="H510" s="26"/>
      <x:c r="I510" s="26"/>
      <x:c r="J510" s="26" t="str">
        <x:v>NOT RUN</x:v>
      </x:c>
      <x:c r="K510" s="26"/>
      <x:c r="L510" s="26"/>
      <x:c r="M510" s="26" t="str">
        <x:v>RC1</x:v>
      </x:c>
      <x:c r="N510" s="26" t="str">
        <x:v>Defined / Not Executed</x:v>
      </x:c>
      <x:c r="O510" s="26"/>
      <x:c r="P510" s="26" t="str">
        <x:v>Marketing/Steam</x:v>
      </x:c>
      <x:c r="Q510" s="26" t="str">
        <x:v>Release; reviewer=Product/Legal/LQA; gate=Release</x:v>
      </x:c>
    </x:row>
    <x:row r="511" ht="30" customHeight="1">
      <x:c r="A511" s="26" t="str">
        <x:v>REL-STORE-005</x:v>
      </x:c>
      <x:c r="B511" s="26" t="str">
        <x:v>Página de tienda y contenido público</x:v>
      </x:c>
      <x:c r="C511" s="26" t="str">
        <x:v>31_H6_and_Release_Readiness_Checklist.xlsx</x:v>
      </x:c>
      <x:c r="D511" s="26" t="str">
        <x:v>Las cápsulas cumplen tamaños, legibilidad, branding y licencias.</x:v>
      </x:c>
      <x:c r="E511" s="26" t="str">
        <x:v>CHG-RC1-DOC-31</x:v>
      </x:c>
      <x:c r="F511" s="26"/>
      <x:c r="G511" s="26" t="str">
        <x:v>REL-STORE-005</x:v>
      </x:c>
      <x:c r="H511" s="26"/>
      <x:c r="I511" s="26"/>
      <x:c r="J511" s="26" t="str">
        <x:v>NOT RUN</x:v>
      </x:c>
      <x:c r="K511" s="26"/>
      <x:c r="L511" s="26"/>
      <x:c r="M511" s="26" t="str">
        <x:v>RC1</x:v>
      </x:c>
      <x:c r="N511" s="26" t="str">
        <x:v>Defined / Not Executed</x:v>
      </x:c>
      <x:c r="O511" s="26"/>
      <x:c r="P511" s="26" t="str">
        <x:v>Marketing/Steam</x:v>
      </x:c>
      <x:c r="Q511" s="26" t="str">
        <x:v>Release; reviewer=Product/Legal/LQA; gate=Release</x:v>
      </x:c>
    </x:row>
    <x:row r="512" ht="30" customHeight="1">
      <x:c r="A512" s="26" t="str">
        <x:v>REL-STORE-006</x:v>
      </x:c>
      <x:c r="B512" s="26" t="str">
        <x:v>Página de tienda y contenido público</x:v>
      </x:c>
      <x:c r="C512" s="26" t="str">
        <x:v>31_H6_and_Release_Readiness_Checklist.xlsx</x:v>
      </x:c>
      <x:c r="D512" s="26" t="str">
        <x:v>Los screenshots provienen de build aprobada, sin debug, placeholders ni contenido no autorizado.</x:v>
      </x:c>
      <x:c r="E512" s="26" t="str">
        <x:v>CHG-RC1-DOC-31</x:v>
      </x:c>
      <x:c r="F512" s="26"/>
      <x:c r="G512" s="26" t="str">
        <x:v>REL-STORE-006</x:v>
      </x:c>
      <x:c r="H512" s="26"/>
      <x:c r="I512" s="26"/>
      <x:c r="J512" s="26" t="str">
        <x:v>NOT RUN</x:v>
      </x:c>
      <x:c r="K512" s="26"/>
      <x:c r="L512" s="26"/>
      <x:c r="M512" s="26" t="str">
        <x:v>RC1</x:v>
      </x:c>
      <x:c r="N512" s="26" t="str">
        <x:v>Defined / Not Executed</x:v>
      </x:c>
      <x:c r="O512" s="26"/>
      <x:c r="P512" s="26" t="str">
        <x:v>Marketing/Steam</x:v>
      </x:c>
      <x:c r="Q512" s="26" t="str">
        <x:v>Release; reviewer=Product/Legal/LQA; gate=Release</x:v>
      </x:c>
    </x:row>
    <x:row r="513" ht="30" customHeight="1">
      <x:c r="A513" s="26" t="str">
        <x:v>REL-STORE-007</x:v>
      </x:c>
      <x:c r="B513" s="26" t="str">
        <x:v>Página de tienda y contenido público</x:v>
      </x:c>
      <x:c r="C513" s="26" t="str">
        <x:v>31_H6_and_Release_Readiness_Checklist.xlsx</x:v>
      </x:c>
      <x:c r="D513" s="26" t="str">
        <x:v>El trailer utiliza footage representativo, audio autorizado y disclaimers cuando sean necesarios.</x:v>
      </x:c>
      <x:c r="E513" s="26" t="str">
        <x:v>CHG-RC1-DOC-31</x:v>
      </x:c>
      <x:c r="F513" s="26"/>
      <x:c r="G513" s="26" t="str">
        <x:v>REL-STORE-007</x:v>
      </x:c>
      <x:c r="H513" s="26"/>
      <x:c r="I513" s="26"/>
      <x:c r="J513" s="26" t="str">
        <x:v>NOT RUN</x:v>
      </x:c>
      <x:c r="K513" s="26"/>
      <x:c r="L513" s="26"/>
      <x:c r="M513" s="26" t="str">
        <x:v>RC1</x:v>
      </x:c>
      <x:c r="N513" s="26" t="str">
        <x:v>Defined / Not Executed</x:v>
      </x:c>
      <x:c r="O513" s="26"/>
      <x:c r="P513" s="26" t="str">
        <x:v>Marketing/Steam</x:v>
      </x:c>
      <x:c r="Q513" s="26" t="str">
        <x:v>Release; reviewer=Product/Legal/LQA; gate=Release</x:v>
      </x:c>
    </x:row>
    <x:row r="514" ht="30" customHeight="1">
      <x:c r="A514" s="26" t="str">
        <x:v>REL-STORE-008</x:v>
      </x:c>
      <x:c r="B514" s="26" t="str">
        <x:v>Página de tienda y contenido público</x:v>
      </x:c>
      <x:c r="C514" s="26" t="str">
        <x:v>31_H6_and_Release_Readiness_Checklist.xlsx</x:v>
      </x:c>
      <x:c r="D514" s="26" t="str">
        <x:v>Los idiomas declarados coinciden con texto, interfaz, subtítulos y audio realmente soportados.</x:v>
      </x:c>
      <x:c r="E514" s="26" t="str">
        <x:v>CHG-RC1-DOC-31</x:v>
      </x:c>
      <x:c r="F514" s="26"/>
      <x:c r="G514" s="26" t="str">
        <x:v>REL-STORE-008</x:v>
      </x:c>
      <x:c r="H514" s="26"/>
      <x:c r="I514" s="26"/>
      <x:c r="J514" s="26" t="str">
        <x:v>NOT RUN</x:v>
      </x:c>
      <x:c r="K514" s="26"/>
      <x:c r="L514" s="26"/>
      <x:c r="M514" s="26" t="str">
        <x:v>RC1</x:v>
      </x:c>
      <x:c r="N514" s="26" t="str">
        <x:v>Defined / Not Executed</x:v>
      </x:c>
      <x:c r="O514" s="26"/>
      <x:c r="P514" s="26" t="str">
        <x:v>Marketing/Steam</x:v>
      </x:c>
      <x:c r="Q514" s="26" t="str">
        <x:v>Release; reviewer=Product/Legal/LQA; gate=Release</x:v>
      </x:c>
    </x:row>
    <x:row r="515" ht="30" customHeight="1">
      <x:c r="A515" s="26" t="str">
        <x:v>REL-STORE-009</x:v>
      </x:c>
      <x:c r="B515" s="26" t="str">
        <x:v>Página de tienda y contenido público</x:v>
      </x:c>
      <x:c r="C515" s="26" t="str">
        <x:v>31_H6_and_Release_Readiness_Checklist.xlsx</x:v>
      </x:c>
      <x:c r="D515" s="26" t="str">
        <x:v>Las características de accesibilidad declaradas en Steam tienen evidencia de extremo a extremo.</x:v>
      </x:c>
      <x:c r="E515" s="26" t="str">
        <x:v>CHG-RC1-DOC-31</x:v>
      </x:c>
      <x:c r="F515" s="26"/>
      <x:c r="G515" s="26" t="str">
        <x:v>REL-STORE-009</x:v>
      </x:c>
      <x:c r="H515" s="26"/>
      <x:c r="I515" s="26"/>
      <x:c r="J515" s="26" t="str">
        <x:v>NOT RUN</x:v>
      </x:c>
      <x:c r="K515" s="26"/>
      <x:c r="L515" s="26"/>
      <x:c r="M515" s="26" t="str">
        <x:v>RC1</x:v>
      </x:c>
      <x:c r="N515" s="26" t="str">
        <x:v>Defined / Not Executed</x:v>
      </x:c>
      <x:c r="O515" s="26"/>
      <x:c r="P515" s="26" t="str">
        <x:v>Marketing/Steam</x:v>
      </x:c>
      <x:c r="Q515" s="26" t="str">
        <x:v>Release; reviewer=Product/Legal/LQA; gate=Release</x:v>
      </x:c>
    </x:row>
    <x:row r="516" ht="30" customHeight="1">
      <x:c r="A516" s="26" t="str">
        <x:v>REL-STORE-010</x:v>
      </x:c>
      <x:c r="B516" s="26" t="str">
        <x:v>Página de tienda y contenido público</x:v>
      </x:c>
      <x:c r="C516" s="26" t="str">
        <x:v>31_H6_and_Release_Readiness_Checklist.xlsx</x:v>
      </x:c>
      <x:c r="D516" s="26" t="str">
        <x:v>Los requisitos del sistema se basan en hardware probado y no en estimaciones no verificadas.</x:v>
      </x:c>
      <x:c r="E516" s="26" t="str">
        <x:v>CHG-RC1-DOC-31</x:v>
      </x:c>
      <x:c r="F516" s="26"/>
      <x:c r="G516" s="26" t="str">
        <x:v>REL-STORE-010</x:v>
      </x:c>
      <x:c r="H516" s="26"/>
      <x:c r="I516" s="26"/>
      <x:c r="J516" s="26" t="str">
        <x:v>NOT RUN</x:v>
      </x:c>
      <x:c r="K516" s="26"/>
      <x:c r="L516" s="26"/>
      <x:c r="M516" s="26" t="str">
        <x:v>RC1</x:v>
      </x:c>
      <x:c r="N516" s="26" t="str">
        <x:v>Defined / Not Executed</x:v>
      </x:c>
      <x:c r="O516" s="26"/>
      <x:c r="P516" s="26" t="str">
        <x:v>Marketing/Steam</x:v>
      </x:c>
      <x:c r="Q516" s="26" t="str">
        <x:v>Release; reviewer=Product/Legal/LQA; gate=Release</x:v>
      </x:c>
    </x:row>
    <x:row r="517" ht="30" customHeight="1">
      <x:c r="A517" s="26" t="str">
        <x:v>REL-STORE-011</x:v>
      </x:c>
      <x:c r="B517" s="26" t="str">
        <x:v>Página de tienda y contenido público</x:v>
      </x:c>
      <x:c r="C517" s="26" t="str">
        <x:v>31_H6_and_Release_Readiness_Checklist.xlsx</x:v>
      </x:c>
      <x:c r="D517" s="26" t="str">
        <x:v>La clasificación por edades/contenido y cuestionarios se completan con información veraz.</x:v>
      </x:c>
      <x:c r="E517" s="26" t="str">
        <x:v>CHG-RC1-DOC-31</x:v>
      </x:c>
      <x:c r="F517" s="26"/>
      <x:c r="G517" s="26" t="str">
        <x:v>REL-STORE-011</x:v>
      </x:c>
      <x:c r="H517" s="26"/>
      <x:c r="I517" s="26"/>
      <x:c r="J517" s="26" t="str">
        <x:v>NOT RUN</x:v>
      </x:c>
      <x:c r="K517" s="26"/>
      <x:c r="L517" s="26"/>
      <x:c r="M517" s="26" t="str">
        <x:v>RC1</x:v>
      </x:c>
      <x:c r="N517" s="26" t="str">
        <x:v>Defined / Not Executed</x:v>
      </x:c>
      <x:c r="O517" s="26"/>
      <x:c r="P517" s="26" t="str">
        <x:v>Marketing/Steam</x:v>
      </x:c>
      <x:c r="Q517" s="26" t="str">
        <x:v>Release; reviewer=Product/Legal/LQA; gate=Release</x:v>
      </x:c>
    </x:row>
    <x:row r="518" ht="30" customHeight="1">
      <x:c r="A518" s="26" t="str">
        <x:v>REL-STORE-012</x:v>
      </x:c>
      <x:c r="B518" s="26" t="str">
        <x:v>Página de tienda y contenido público</x:v>
      </x:c>
      <x:c r="C518" s="26" t="str">
        <x:v>31_H6_and_Release_Readiness_Checklist.xlsx</x:v>
      </x:c>
      <x:c r="D518" s="26" t="str">
        <x:v>Los avisos de terceros, privacidad, soporte y términos están enlazados donde corresponda.</x:v>
      </x:c>
      <x:c r="E518" s="26" t="str">
        <x:v>CHG-RC1-DOC-31</x:v>
      </x:c>
      <x:c r="F518" s="26"/>
      <x:c r="G518" s="26" t="str">
        <x:v>REL-STORE-012</x:v>
      </x:c>
      <x:c r="H518" s="26"/>
      <x:c r="I518" s="26"/>
      <x:c r="J518" s="26" t="str">
        <x:v>NOT RUN</x:v>
      </x:c>
      <x:c r="K518" s="26"/>
      <x:c r="L518" s="26"/>
      <x:c r="M518" s="26" t="str">
        <x:v>RC1</x:v>
      </x:c>
      <x:c r="N518" s="26" t="str">
        <x:v>Defined / Not Executed</x:v>
      </x:c>
      <x:c r="O518" s="26"/>
      <x:c r="P518" s="26" t="str">
        <x:v>Marketing/Steam</x:v>
      </x:c>
      <x:c r="Q518" s="26" t="str">
        <x:v>Release; reviewer=Product/Legal/LQA; gate=Release</x:v>
      </x:c>
    </x:row>
    <x:row r="519" ht="30" customHeight="1">
      <x:c r="A519" s="26" t="str">
        <x:v>REL-STORE-013</x:v>
      </x:c>
      <x:c r="B519" s="26" t="str">
        <x:v>Página de tienda y contenido público</x:v>
      </x:c>
      <x:c r="C519" s="26" t="str">
        <x:v>31_H6_and_Release_Readiness_Checklist.xlsx</x:v>
      </x:c>
      <x:c r="D519" s="26" t="str">
        <x:v>La página ha pasado revisión interna de producto, legal, localización, accesibilidad y marketing.</x:v>
      </x:c>
      <x:c r="E519" s="26" t="str">
        <x:v>CHG-RC1-DOC-31</x:v>
      </x:c>
      <x:c r="F519" s="26"/>
      <x:c r="G519" s="26" t="str">
        <x:v>REL-STORE-013</x:v>
      </x:c>
      <x:c r="H519" s="26"/>
      <x:c r="I519" s="26"/>
      <x:c r="J519" s="26" t="str">
        <x:v>NOT RUN</x:v>
      </x:c>
      <x:c r="K519" s="26"/>
      <x:c r="L519" s="26"/>
      <x:c r="M519" s="26" t="str">
        <x:v>RC1</x:v>
      </x:c>
      <x:c r="N519" s="26" t="str">
        <x:v>Defined / Not Executed</x:v>
      </x:c>
      <x:c r="O519" s="26"/>
      <x:c r="P519" s="26" t="str">
        <x:v>Marketing/Steam</x:v>
      </x:c>
      <x:c r="Q519" s="26" t="str">
        <x:v>Release; reviewer=Product/Legal/LQA; gate=Release</x:v>
      </x:c>
    </x:row>
    <x:row r="520" ht="30" customHeight="1">
      <x:c r="A520" s="26" t="str">
        <x:v>REL-STORE-014</x:v>
      </x:c>
      <x:c r="B520" s="26" t="str">
        <x:v>Página de tienda y contenido público</x:v>
      </x:c>
      <x:c r="C520" s="26" t="str">
        <x:v>31_H6_and_Release_Readiness_Checklist.xlsx</x:v>
      </x:c>
      <x:c r="D520" s="26" t="str">
        <x:v>Los textos ES/EN de Steam han recibido revisión comercial/nativa y LQA.</x:v>
      </x:c>
      <x:c r="E520" s="26" t="str">
        <x:v>CHG-RC1-DOC-31</x:v>
      </x:c>
      <x:c r="F520" s="26"/>
      <x:c r="G520" s="26" t="str">
        <x:v>REL-STORE-014</x:v>
      </x:c>
      <x:c r="H520" s="26"/>
      <x:c r="I520" s="26"/>
      <x:c r="J520" s="26" t="str">
        <x:v>NOT RUN</x:v>
      </x:c>
      <x:c r="K520" s="26"/>
      <x:c r="L520" s="26"/>
      <x:c r="M520" s="26" t="str">
        <x:v>RC1</x:v>
      </x:c>
      <x:c r="N520" s="26" t="str">
        <x:v>Defined / Not Executed</x:v>
      </x:c>
      <x:c r="O520" s="26"/>
      <x:c r="P520" s="26" t="str">
        <x:v>Marketing/Steam</x:v>
      </x:c>
      <x:c r="Q520" s="26" t="str">
        <x:v>Release; reviewer=Product/Legal/LQA; gate=Release</x:v>
      </x:c>
    </x:row>
    <x:row r="521" ht="30" customHeight="1">
      <x:c r="A521" s="26" t="str">
        <x:v>REL-STORE-015</x:v>
      </x:c>
      <x:c r="B521" s="26" t="str">
        <x:v>Página de tienda y contenido público</x:v>
      </x:c>
      <x:c r="C521" s="26" t="str">
        <x:v>31_H6_and_Release_Readiness_Checklist.xlsx</x:v>
      </x:c>
      <x:c r="D521" s="26" t="str">
        <x:v>Las fechas, disponibilidad de demo y calls to action son coherentes en todos los canales.</x:v>
      </x:c>
      <x:c r="E521" s="26" t="str">
        <x:v>CHG-RC1-DOC-31</x:v>
      </x:c>
      <x:c r="F521" s="26"/>
      <x:c r="G521" s="26" t="str">
        <x:v>REL-STORE-015</x:v>
      </x:c>
      <x:c r="H521" s="26"/>
      <x:c r="I521" s="26"/>
      <x:c r="J521" s="26" t="str">
        <x:v>NOT RUN</x:v>
      </x:c>
      <x:c r="K521" s="26"/>
      <x:c r="L521" s="26"/>
      <x:c r="M521" s="26" t="str">
        <x:v>RC1</x:v>
      </x:c>
      <x:c r="N521" s="26" t="str">
        <x:v>Defined / Not Executed</x:v>
      </x:c>
      <x:c r="O521" s="26"/>
      <x:c r="P521" s="26" t="str">
        <x:v>Marketing/Steam</x:v>
      </x:c>
      <x:c r="Q521" s="26" t="str">
        <x:v>Release; reviewer=Product/Legal/LQA; gate=Release</x:v>
      </x:c>
    </x:row>
    <x:row r="522" ht="30" customHeight="1">
      <x:c r="A522" s="26" t="str">
        <x:v>REL-DEP-001</x:v>
      </x:c>
      <x:c r="B522" s="26" t="str">
        <x:v>Depots, ramas y distribución</x:v>
      </x:c>
      <x:c r="C522" s="26" t="str">
        <x:v>31_H6_and_Release_Readiness_Checklist.xlsx</x:v>
      </x:c>
      <x:c r="D522" s="26" t="str">
        <x:v>La estructura de depots incluye únicamente archivos necesarios y rutas correctas.</x:v>
      </x:c>
      <x:c r="E522" s="26" t="str">
        <x:v>CHG-RC1-DOC-31</x:v>
      </x:c>
      <x:c r="F522" s="26"/>
      <x:c r="G522" s="26" t="str">
        <x:v>REL-DEP-001</x:v>
      </x:c>
      <x:c r="H522" s="26"/>
      <x:c r="I522" s="26"/>
      <x:c r="J522" s="26" t="str">
        <x:v>NOT RUN</x:v>
      </x:c>
      <x:c r="K522" s="26"/>
      <x:c r="L522" s="26"/>
      <x:c r="M522" s="26" t="str">
        <x:v>RC1</x:v>
      </x:c>
      <x:c r="N522" s="26" t="str">
        <x:v>Defined / Not Executed</x:v>
      </x:c>
      <x:c r="O522" s="26"/>
      <x:c r="P522" s="26" t="str">
        <x:v>Build/Steam</x:v>
      </x:c>
      <x:c r="Q522" s="26" t="str">
        <x:v>Release; reviewer=QA/Security; gate=Release</x:v>
      </x:c>
    </x:row>
    <x:row r="523" ht="30" customHeight="1">
      <x:c r="A523" s="26" t="str">
        <x:v>REL-DEP-002</x:v>
      </x:c>
      <x:c r="B523" s="26" t="str">
        <x:v>Depots, ramas y distribución</x:v>
      </x:c>
      <x:c r="C523" s="26" t="str">
        <x:v>31_H6_and_Release_Readiness_Checklist.xlsx</x:v>
      </x:c>
      <x:c r="D523" s="26" t="str">
        <x:v>Las ramas default, internal, QA, beta/demo y rollback tienen propósito y permisos definidos.</x:v>
      </x:c>
      <x:c r="E523" s="26" t="str">
        <x:v>CHG-RC1-DOC-31</x:v>
      </x:c>
      <x:c r="F523" s="26"/>
      <x:c r="G523" s="26" t="str">
        <x:v>REL-DEP-002</x:v>
      </x:c>
      <x:c r="H523" s="26"/>
      <x:c r="I523" s="26"/>
      <x:c r="J523" s="26" t="str">
        <x:v>NOT RUN</x:v>
      </x:c>
      <x:c r="K523" s="26"/>
      <x:c r="L523" s="26"/>
      <x:c r="M523" s="26" t="str">
        <x:v>RC1</x:v>
      </x:c>
      <x:c r="N523" s="26" t="str">
        <x:v>Defined / Not Executed</x:v>
      </x:c>
      <x:c r="O523" s="26"/>
      <x:c r="P523" s="26" t="str">
        <x:v>Build/Steam</x:v>
      </x:c>
      <x:c r="Q523" s="26" t="str">
        <x:v>Release; reviewer=QA/Security; gate=Release</x:v>
      </x:c>
    </x:row>
    <x:row r="524" ht="30" customHeight="1">
      <x:c r="A524" s="26" t="str">
        <x:v>REL-DEP-003</x:v>
      </x:c>
      <x:c r="B524" s="26" t="str">
        <x:v>Depots, ramas y distribución</x:v>
      </x:c>
      <x:c r="C524" s="26" t="str">
        <x:v>31_H6_and_Release_Readiness_Checklist.xlsx</x:v>
      </x:c>
      <x:c r="D524" s="26" t="str">
        <x:v>La build subida a Steam coincide por hash/manifest con la RC aprobada.</x:v>
      </x:c>
      <x:c r="E524" s="26" t="str">
        <x:v>CHG-RC1-DOC-31</x:v>
      </x:c>
      <x:c r="F524" s="26"/>
      <x:c r="G524" s="26" t="str">
        <x:v>REL-DEP-003</x:v>
      </x:c>
      <x:c r="H524" s="26"/>
      <x:c r="I524" s="26"/>
      <x:c r="J524" s="26" t="str">
        <x:v>NOT RUN</x:v>
      </x:c>
      <x:c r="K524" s="26"/>
      <x:c r="L524" s="26"/>
      <x:c r="M524" s="26" t="str">
        <x:v>RC1</x:v>
      </x:c>
      <x:c r="N524" s="26" t="str">
        <x:v>Defined / Not Executed</x:v>
      </x:c>
      <x:c r="O524" s="26"/>
      <x:c r="P524" s="26" t="str">
        <x:v>Build/Steam</x:v>
      </x:c>
      <x:c r="Q524" s="26" t="str">
        <x:v>Release; reviewer=QA/Security; gate=Release</x:v>
      </x:c>
    </x:row>
    <x:row r="525" ht="30" customHeight="1">
      <x:c r="A525" s="26" t="str">
        <x:v>REL-DEP-004</x:v>
      </x:c>
      <x:c r="B525" s="26" t="str">
        <x:v>Depots, ramas y distribución</x:v>
      </x:c>
      <x:c r="C525" s="26" t="str">
        <x:v>31_H6_and_Release_Readiness_Checklist.xlsx</x:v>
      </x:c>
      <x:c r="D525" s="26" t="str">
        <x:v>Los scripts de upload no contienen credenciales y usan cuentas/entornos controlados.</x:v>
      </x:c>
      <x:c r="E525" s="26" t="str">
        <x:v>CHG-RC1-DOC-31</x:v>
      </x:c>
      <x:c r="F525" s="26"/>
      <x:c r="G525" s="26" t="str">
        <x:v>REL-DEP-004</x:v>
      </x:c>
      <x:c r="H525" s="26"/>
      <x:c r="I525" s="26"/>
      <x:c r="J525" s="26" t="str">
        <x:v>NOT RUN</x:v>
      </x:c>
      <x:c r="K525" s="26"/>
      <x:c r="L525" s="26"/>
      <x:c r="M525" s="26" t="str">
        <x:v>RC1</x:v>
      </x:c>
      <x:c r="N525" s="26" t="str">
        <x:v>Defined / Not Executed</x:v>
      </x:c>
      <x:c r="O525" s="26"/>
      <x:c r="P525" s="26" t="str">
        <x:v>Build/Steam</x:v>
      </x:c>
      <x:c r="Q525" s="26" t="str">
        <x:v>Release; reviewer=QA/Security; gate=Release</x:v>
      </x:c>
    </x:row>
    <x:row r="526" ht="30" customHeight="1">
      <x:c r="A526" s="26" t="str">
        <x:v>REL-DEP-005</x:v>
      </x:c>
      <x:c r="B526" s="26" t="str">
        <x:v>Depots, ramas y distribución</x:v>
      </x:c>
      <x:c r="C526" s="26" t="str">
        <x:v>31_H6_and_Release_Readiness_Checklist.xlsx</x:v>
      </x:c>
      <x:c r="D526" s="26" t="str">
        <x:v>La instalación limpia, actualización incremental y desinstalación funcionan.</x:v>
      </x:c>
      <x:c r="E526" s="26" t="str">
        <x:v>CHG-RC1-DOC-31</x:v>
      </x:c>
      <x:c r="F526" s="26"/>
      <x:c r="G526" s="26" t="str">
        <x:v>REL-DEP-005</x:v>
      </x:c>
      <x:c r="H526" s="26"/>
      <x:c r="I526" s="26"/>
      <x:c r="J526" s="26" t="str">
        <x:v>NOT RUN</x:v>
      </x:c>
      <x:c r="K526" s="26"/>
      <x:c r="L526" s="26"/>
      <x:c r="M526" s="26" t="str">
        <x:v>RC1</x:v>
      </x:c>
      <x:c r="N526" s="26" t="str">
        <x:v>Defined / Not Executed</x:v>
      </x:c>
      <x:c r="O526" s="26"/>
      <x:c r="P526" s="26" t="str">
        <x:v>Build/Steam</x:v>
      </x:c>
      <x:c r="Q526" s="26" t="str">
        <x:v>Release; reviewer=QA/Security; gate=Release</x:v>
      </x:c>
    </x:row>
    <x:row r="527" ht="30" customHeight="1">
      <x:c r="A527" s="26" t="str">
        <x:v>REL-DEP-006</x:v>
      </x:c>
      <x:c r="B527" s="26" t="str">
        <x:v>Depots, ramas y distribución</x:v>
      </x:c>
      <x:c r="C527" s="26" t="str">
        <x:v>31_H6_and_Release_Readiness_Checklist.xlsx</x:v>
      </x:c>
      <x:c r="D527" s="26" t="str">
        <x:v>Los saves/configuración permanecen compatibles durante actualización y rollback soportado.</x:v>
      </x:c>
      <x:c r="E527" s="26" t="str">
        <x:v>CHG-RC1-DOC-31</x:v>
      </x:c>
      <x:c r="F527" s="26"/>
      <x:c r="G527" s="26" t="str">
        <x:v>REL-DEP-006</x:v>
      </x:c>
      <x:c r="H527" s="26"/>
      <x:c r="I527" s="26"/>
      <x:c r="J527" s="26" t="str">
        <x:v>NOT RUN</x:v>
      </x:c>
      <x:c r="K527" s="26"/>
      <x:c r="L527" s="26"/>
      <x:c r="M527" s="26" t="str">
        <x:v>RC1</x:v>
      </x:c>
      <x:c r="N527" s="26" t="str">
        <x:v>Defined / Not Executed</x:v>
      </x:c>
      <x:c r="O527" s="26"/>
      <x:c r="P527" s="26" t="str">
        <x:v>Build/Steam</x:v>
      </x:c>
      <x:c r="Q527" s="26" t="str">
        <x:v>Release; reviewer=QA/Security; gate=Release</x:v>
      </x:c>
    </x:row>
    <x:row r="528" ht="30" customHeight="1">
      <x:c r="A528" s="26" t="str">
        <x:v>REL-DEP-007</x:v>
      </x:c>
      <x:c r="B528" s="26" t="str">
        <x:v>Depots, ramas y distribución</x:v>
      </x:c>
      <x:c r="C528" s="26" t="str">
        <x:v>31_H6_and_Release_Readiness_Checklist.xlsx</x:v>
      </x:c>
      <x:c r="D528" s="26" t="str">
        <x:v>La build no incluye symbols, logs o herramientas internas no autorizadas.</x:v>
      </x:c>
      <x:c r="E528" s="26" t="str">
        <x:v>CHG-RC1-DOC-31</x:v>
      </x:c>
      <x:c r="F528" s="26"/>
      <x:c r="G528" s="26" t="str">
        <x:v>REL-DEP-007</x:v>
      </x:c>
      <x:c r="H528" s="26"/>
      <x:c r="I528" s="26"/>
      <x:c r="J528" s="26" t="str">
        <x:v>NOT RUN</x:v>
      </x:c>
      <x:c r="K528" s="26"/>
      <x:c r="L528" s="26"/>
      <x:c r="M528" s="26" t="str">
        <x:v>RC1</x:v>
      </x:c>
      <x:c r="N528" s="26" t="str">
        <x:v>Defined / Not Executed</x:v>
      </x:c>
      <x:c r="O528" s="26"/>
      <x:c r="P528" s="26" t="str">
        <x:v>Build/Steam</x:v>
      </x:c>
      <x:c r="Q528" s="26" t="str">
        <x:v>Release; reviewer=QA/Security; gate=Release</x:v>
      </x:c>
    </x:row>
    <x:row r="529" ht="30" customHeight="1">
      <x:c r="A529" s="26" t="str">
        <x:v>REL-DEP-008</x:v>
      </x:c>
      <x:c r="B529" s="26" t="str">
        <x:v>Depots, ramas y distribución</x:v>
      </x:c>
      <x:c r="C529" s="26" t="str">
        <x:v>31_H6_and_Release_Readiness_Checklist.xlsx</x:v>
      </x:c>
      <x:c r="D529" s="26" t="str">
        <x:v>La firma/notarización aplicable y reputación del ejecutable se revisan.</x:v>
      </x:c>
      <x:c r="E529" s="26" t="str">
        <x:v>CHG-RC1-DOC-31</x:v>
      </x:c>
      <x:c r="F529" s="26"/>
      <x:c r="G529" s="26" t="str">
        <x:v>REL-DEP-008</x:v>
      </x:c>
      <x:c r="H529" s="26"/>
      <x:c r="I529" s="26"/>
      <x:c r="J529" s="26" t="str">
        <x:v>NOT RUN</x:v>
      </x:c>
      <x:c r="K529" s="26"/>
      <x:c r="L529" s="26"/>
      <x:c r="M529" s="26" t="str">
        <x:v>RC1</x:v>
      </x:c>
      <x:c r="N529" s="26" t="str">
        <x:v>Defined / Not Executed</x:v>
      </x:c>
      <x:c r="O529" s="26"/>
      <x:c r="P529" s="26" t="str">
        <x:v>Build/Steam</x:v>
      </x:c>
      <x:c r="Q529" s="26" t="str">
        <x:v>Release; reviewer=QA/Security; gate=Release</x:v>
      </x:c>
    </x:row>
    <x:row r="530" ht="30" customHeight="1">
      <x:c r="A530" s="26" t="str">
        <x:v>REL-DEP-009</x:v>
      </x:c>
      <x:c r="B530" s="26" t="str">
        <x:v>Depots, ramas y distribución</x:v>
      </x:c>
      <x:c r="C530" s="26" t="str">
        <x:v>31_H6_and_Release_Readiness_Checklist.xlsx</x:v>
      </x:c>
      <x:c r="D530" s="26" t="str">
        <x:v>Los antivirus/SmartScreen false positives se evalúan y documentan.</x:v>
      </x:c>
      <x:c r="E530" s="26" t="str">
        <x:v>CHG-RC1-DOC-31</x:v>
      </x:c>
      <x:c r="F530" s="26"/>
      <x:c r="G530" s="26" t="str">
        <x:v>REL-DEP-009</x:v>
      </x:c>
      <x:c r="H530" s="26"/>
      <x:c r="I530" s="26"/>
      <x:c r="J530" s="26" t="str">
        <x:v>NOT RUN</x:v>
      </x:c>
      <x:c r="K530" s="26"/>
      <x:c r="L530" s="26"/>
      <x:c r="M530" s="26" t="str">
        <x:v>RC1</x:v>
      </x:c>
      <x:c r="N530" s="26" t="str">
        <x:v>Defined / Not Executed</x:v>
      </x:c>
      <x:c r="O530" s="26"/>
      <x:c r="P530" s="26" t="str">
        <x:v>Build/Steam</x:v>
      </x:c>
      <x:c r="Q530" s="26" t="str">
        <x:v>Release; reviewer=QA/Security; gate=Release</x:v>
      </x:c>
    </x:row>
    <x:row r="531" ht="30" customHeight="1">
      <x:c r="A531" s="26" t="str">
        <x:v>REL-DEP-010</x:v>
      </x:c>
      <x:c r="B531" s="26" t="str">
        <x:v>Depots, ramas y distribución</x:v>
      </x:c>
      <x:c r="C531" s="26" t="str">
        <x:v>31_H6_and_Release_Readiness_Checklist.xlsx</x:v>
      </x:c>
      <x:c r="D531" s="26" t="str">
        <x:v>La build arranca desde rutas con espacios, distintos discos y usuarios sin privilegios.</x:v>
      </x:c>
      <x:c r="E531" s="26" t="str">
        <x:v>CHG-RC1-DOC-31</x:v>
      </x:c>
      <x:c r="F531" s="26"/>
      <x:c r="G531" s="26" t="str">
        <x:v>REL-DEP-010</x:v>
      </x:c>
      <x:c r="H531" s="26"/>
      <x:c r="I531" s="26"/>
      <x:c r="J531" s="26" t="str">
        <x:v>NOT RUN</x:v>
      </x:c>
      <x:c r="K531" s="26"/>
      <x:c r="L531" s="26"/>
      <x:c r="M531" s="26" t="str">
        <x:v>RC1</x:v>
      </x:c>
      <x:c r="N531" s="26" t="str">
        <x:v>Defined / Not Executed</x:v>
      </x:c>
      <x:c r="O531" s="26"/>
      <x:c r="P531" s="26" t="str">
        <x:v>Build/Steam</x:v>
      </x:c>
      <x:c r="Q531" s="26" t="str">
        <x:v>Release; reviewer=QA/Security; gate=Release</x:v>
      </x:c>
    </x:row>
    <x:row r="532" ht="30" customHeight="1">
      <x:c r="A532" s="26" t="str">
        <x:v>REL-DEP-011</x:v>
      </x:c>
      <x:c r="B532" s="26" t="str">
        <x:v>Depots, ramas y distribución</x:v>
      </x:c>
      <x:c r="C532" s="26" t="str">
        <x:v>31_H6_and_Release_Readiness_Checklist.xlsx</x:v>
      </x:c>
      <x:c r="D532" s="26" t="str">
        <x:v>El contenido de demo, Playtest y full game está correctamente separado.</x:v>
      </x:c>
      <x:c r="E532" s="26" t="str">
        <x:v>CHG-RC1-DOC-31</x:v>
      </x:c>
      <x:c r="F532" s="26"/>
      <x:c r="G532" s="26" t="str">
        <x:v>REL-DEP-011</x:v>
      </x:c>
      <x:c r="H532" s="26"/>
      <x:c r="I532" s="26"/>
      <x:c r="J532" s="26" t="str">
        <x:v>NOT RUN</x:v>
      </x:c>
      <x:c r="K532" s="26"/>
      <x:c r="L532" s="26"/>
      <x:c r="M532" s="26" t="str">
        <x:v>RC1</x:v>
      </x:c>
      <x:c r="N532" s="26" t="str">
        <x:v>Defined / Not Executed</x:v>
      </x:c>
      <x:c r="O532" s="26"/>
      <x:c r="P532" s="26" t="str">
        <x:v>Build/Steam</x:v>
      </x:c>
      <x:c r="Q532" s="26" t="str">
        <x:v>Release; reviewer=QA/Security; gate=Release</x:v>
      </x:c>
    </x:row>
    <x:row r="533" ht="30" customHeight="1">
      <x:c r="A533" s="26" t="str">
        <x:v>REL-DEP-012</x:v>
      </x:c>
      <x:c r="B533" s="26" t="str">
        <x:v>Depots, ramas y distribución</x:v>
      </x:c>
      <x:c r="C533" s="26" t="str">
        <x:v>31_H6_and_Release_Readiness_Checklist.xlsx</x:v>
      </x:c>
      <x:c r="D533" s="26" t="str">
        <x:v>Los paquetes redistributables no duplican ni rompen instalaciones existentes.</x:v>
      </x:c>
      <x:c r="E533" s="26" t="str">
        <x:v>CHG-RC1-DOC-31</x:v>
      </x:c>
      <x:c r="F533" s="26"/>
      <x:c r="G533" s="26" t="str">
        <x:v>REL-DEP-012</x:v>
      </x:c>
      <x:c r="H533" s="26"/>
      <x:c r="I533" s="26"/>
      <x:c r="J533" s="26" t="str">
        <x:v>NOT RUN</x:v>
      </x:c>
      <x:c r="K533" s="26"/>
      <x:c r="L533" s="26"/>
      <x:c r="M533" s="26" t="str">
        <x:v>RC1</x:v>
      </x:c>
      <x:c r="N533" s="26" t="str">
        <x:v>Defined / Not Executed</x:v>
      </x:c>
      <x:c r="O533" s="26"/>
      <x:c r="P533" s="26" t="str">
        <x:v>Build/Steam</x:v>
      </x:c>
      <x:c r="Q533" s="26" t="str">
        <x:v>Release; reviewer=QA/Security; gate=Release</x:v>
      </x:c>
    </x:row>
    <x:row r="534" ht="30" customHeight="1">
      <x:c r="A534" s="26" t="str">
        <x:v>REL-DEP-013</x:v>
      </x:c>
      <x:c r="B534" s="26" t="str">
        <x:v>Depots, ramas y distribución</x:v>
      </x:c>
      <x:c r="C534" s="26" t="str">
        <x:v>31_H6_and_Release_Readiness_Checklist.xlsx</x:v>
      </x:c>
      <x:c r="D534" s="26" t="str">
        <x:v>Existe una RC primaria y una RC de rollback verificadas.</x:v>
      </x:c>
      <x:c r="E534" s="26" t="str">
        <x:v>CHG-RC1-DOC-31</x:v>
      </x:c>
      <x:c r="F534" s="26"/>
      <x:c r="G534" s="26" t="str">
        <x:v>REL-DEP-013</x:v>
      </x:c>
      <x:c r="H534" s="26"/>
      <x:c r="I534" s="26"/>
      <x:c r="J534" s="26" t="str">
        <x:v>NOT RUN</x:v>
      </x:c>
      <x:c r="K534" s="26"/>
      <x:c r="L534" s="26"/>
      <x:c r="M534" s="26" t="str">
        <x:v>RC1</x:v>
      </x:c>
      <x:c r="N534" s="26" t="str">
        <x:v>Defined / Not Executed</x:v>
      </x:c>
      <x:c r="O534" s="26"/>
      <x:c r="P534" s="26" t="str">
        <x:v>Build/Steam</x:v>
      </x:c>
      <x:c r="Q534" s="26" t="str">
        <x:v>Release; reviewer=QA/Security; gate=Release</x:v>
      </x:c>
    </x:row>
    <x:row r="535" ht="30" customHeight="1">
      <x:c r="A535" s="26" t="str">
        <x:v>REL-DEP-014</x:v>
      </x:c>
      <x:c r="B535" s="26" t="str">
        <x:v>Depots, ramas y distribución</x:v>
      </x:c>
      <x:c r="C535" s="26" t="str">
        <x:v>31_H6_and_Release_Readiness_Checklist.xlsx</x:v>
      </x:c>
      <x:c r="D535" s="26" t="str">
        <x:v>Los límites de ancho de banda/tamaño y tiempo de descarga se han estimado con datos reales.</x:v>
      </x:c>
      <x:c r="E535" s="26" t="str">
        <x:v>CHG-RC1-DOC-31</x:v>
      </x:c>
      <x:c r="F535" s="26"/>
      <x:c r="G535" s="26" t="str">
        <x:v>REL-DEP-014</x:v>
      </x:c>
      <x:c r="H535" s="26"/>
      <x:c r="I535" s="26"/>
      <x:c r="J535" s="26" t="str">
        <x:v>NOT RUN</x:v>
      </x:c>
      <x:c r="K535" s="26"/>
      <x:c r="L535" s="26"/>
      <x:c r="M535" s="26" t="str">
        <x:v>RC1</x:v>
      </x:c>
      <x:c r="N535" s="26" t="str">
        <x:v>Defined / Not Executed</x:v>
      </x:c>
      <x:c r="O535" s="26"/>
      <x:c r="P535" s="26" t="str">
        <x:v>Build/Steam</x:v>
      </x:c>
      <x:c r="Q535" s="26" t="str">
        <x:v>Release; reviewer=QA/Security; gate=Release</x:v>
      </x:c>
    </x:row>
    <x:row r="536" ht="30" customHeight="1">
      <x:c r="A536" s="26" t="str">
        <x:v>REL-DEP-015</x:v>
      </x:c>
      <x:c r="B536" s="26" t="str">
        <x:v>Depots, ramas y distribución</x:v>
      </x:c>
      <x:c r="C536" s="26" t="str">
        <x:v>31_H6_and_Release_Readiness_Checklist.xlsx</x:v>
      </x:c>
      <x:c r="D536" s="26" t="str">
        <x:v>El procedimiento de publicación y reversión ha sido ensayado en entorno seguro.</x:v>
      </x:c>
      <x:c r="E536" s="26" t="str">
        <x:v>CHG-RC1-DOC-31</x:v>
      </x:c>
      <x:c r="F536" s="26"/>
      <x:c r="G536" s="26" t="str">
        <x:v>REL-DEP-015</x:v>
      </x:c>
      <x:c r="H536" s="26"/>
      <x:c r="I536" s="26"/>
      <x:c r="J536" s="26" t="str">
        <x:v>NOT RUN</x:v>
      </x:c>
      <x:c r="K536" s="26"/>
      <x:c r="L536" s="26"/>
      <x:c r="M536" s="26" t="str">
        <x:v>RC1</x:v>
      </x:c>
      <x:c r="N536" s="26" t="str">
        <x:v>Defined / Not Executed</x:v>
      </x:c>
      <x:c r="O536" s="26"/>
      <x:c r="P536" s="26" t="str">
        <x:v>Build/Steam</x:v>
      </x:c>
      <x:c r="Q536" s="26" t="str">
        <x:v>Release; reviewer=QA/Security; gate=Release</x:v>
      </x:c>
    </x:row>
    <x:row r="537" ht="30" customHeight="1">
      <x:c r="A537" s="26" t="str">
        <x:v>REL-QA-001</x:v>
      </x:c>
      <x:c r="B537" s="26" t="str">
        <x:v>Release Candidate y QA</x:v>
      </x:c>
      <x:c r="C537" s="26" t="str">
        <x:v>31_H6_and_Release_Readiness_Checklist.xlsx</x:v>
      </x:c>
      <x:c r="D537" s="26" t="str">
        <x:v>La RC proviene de un commit/tag congelado y no contiene cambios no validados.</x:v>
      </x:c>
      <x:c r="E537" s="26" t="str">
        <x:v>CHG-RC1-DOC-31</x:v>
      </x:c>
      <x:c r="F537" s="26"/>
      <x:c r="G537" s="26" t="str">
        <x:v>REL-QA-001</x:v>
      </x:c>
      <x:c r="H537" s="26"/>
      <x:c r="I537" s="26"/>
      <x:c r="J537" s="26" t="str">
        <x:v>NOT RUN</x:v>
      </x:c>
      <x:c r="K537" s="26"/>
      <x:c r="L537" s="26"/>
      <x:c r="M537" s="26" t="str">
        <x:v>RC1</x:v>
      </x:c>
      <x:c r="N537" s="26" t="str">
        <x:v>Defined / Not Executed</x:v>
      </x:c>
      <x:c r="O537" s="26"/>
      <x:c r="P537" s="26" t="str">
        <x:v>QA</x:v>
      </x:c>
      <x:c r="Q537" s="26" t="str">
        <x:v>Release; reviewer=Production/Engineering; gate=Release</x:v>
      </x:c>
    </x:row>
    <x:row r="538" ht="30" customHeight="1">
      <x:c r="A538" s="26" t="str">
        <x:v>REL-QA-002</x:v>
      </x:c>
      <x:c r="B538" s="26" t="str">
        <x:v>Release Candidate y QA</x:v>
      </x:c>
      <x:c r="C538" s="26" t="str">
        <x:v>31_H6_and_Release_Readiness_Checklist.xlsx</x:v>
      </x:c>
      <x:c r="D538" s="26" t="str">
        <x:v>La regresión completa se ejecuta sobre la misma RC subida a Steam.</x:v>
      </x:c>
      <x:c r="E538" s="26" t="str">
        <x:v>CHG-RC1-DOC-31</x:v>
      </x:c>
      <x:c r="F538" s="26"/>
      <x:c r="G538" s="26" t="str">
        <x:v>REL-QA-002</x:v>
      </x:c>
      <x:c r="H538" s="26"/>
      <x:c r="I538" s="26"/>
      <x:c r="J538" s="26" t="str">
        <x:v>NOT RUN</x:v>
      </x:c>
      <x:c r="K538" s="26"/>
      <x:c r="L538" s="26"/>
      <x:c r="M538" s="26" t="str">
        <x:v>RC1</x:v>
      </x:c>
      <x:c r="N538" s="26" t="str">
        <x:v>Defined / Not Executed</x:v>
      </x:c>
      <x:c r="O538" s="26"/>
      <x:c r="P538" s="26" t="str">
        <x:v>QA</x:v>
      </x:c>
      <x:c r="Q538" s="26" t="str">
        <x:v>Release; reviewer=Production/Engineering; gate=Release</x:v>
      </x:c>
    </x:row>
    <x:row r="539" ht="30" customHeight="1">
      <x:c r="A539" s="26" t="str">
        <x:v>REL-QA-003</x:v>
      </x:c>
      <x:c r="B539" s="26" t="str">
        <x:v>Release Candidate y QA</x:v>
      </x:c>
      <x:c r="C539" s="26" t="str">
        <x:v>31_H6_and_Release_Readiness_Checklist.xlsx</x:v>
      </x:c>
      <x:c r="D539" s="26" t="str">
        <x:v>Cero S0/S1 abiertos y S2 tratados según política de release.</x:v>
      </x:c>
      <x:c r="E539" s="26" t="str">
        <x:v>CHG-RC1-DOC-31</x:v>
      </x:c>
      <x:c r="F539" s="26"/>
      <x:c r="G539" s="26" t="str">
        <x:v>REL-QA-003</x:v>
      </x:c>
      <x:c r="H539" s="26"/>
      <x:c r="I539" s="26"/>
      <x:c r="J539" s="26" t="str">
        <x:v>NOT RUN</x:v>
      </x:c>
      <x:c r="K539" s="26"/>
      <x:c r="L539" s="26"/>
      <x:c r="M539" s="26" t="str">
        <x:v>RC1</x:v>
      </x:c>
      <x:c r="N539" s="26" t="str">
        <x:v>Defined / Not Executed</x:v>
      </x:c>
      <x:c r="O539" s="26"/>
      <x:c r="P539" s="26" t="str">
        <x:v>QA</x:v>
      </x:c>
      <x:c r="Q539" s="26" t="str">
        <x:v>Release; reviewer=Production/Engineering; gate=Release</x:v>
      </x:c>
    </x:row>
    <x:row r="540" ht="30" customHeight="1">
      <x:c r="A540" s="26" t="str">
        <x:v>REL-QA-004</x:v>
      </x:c>
      <x:c r="B540" s="26" t="str">
        <x:v>Release Candidate y QA</x:v>
      </x:c>
      <x:c r="C540" s="26" t="str">
        <x:v>31_H6_and_Release_Readiness_Checklist.xlsx</x:v>
      </x:c>
      <x:c r="D540" s="26" t="str">
        <x:v>Golden Path, campaña extensa y principales casos negativos pasan en RC.</x:v>
      </x:c>
      <x:c r="E540" s="26" t="str">
        <x:v>CHG-RC1-DOC-31</x:v>
      </x:c>
      <x:c r="F540" s="26"/>
      <x:c r="G540" s="26" t="str">
        <x:v>REL-QA-004</x:v>
      </x:c>
      <x:c r="H540" s="26"/>
      <x:c r="I540" s="26"/>
      <x:c r="J540" s="26" t="str">
        <x:v>NOT RUN</x:v>
      </x:c>
      <x:c r="K540" s="26"/>
      <x:c r="L540" s="26"/>
      <x:c r="M540" s="26" t="str">
        <x:v>RC1</x:v>
      </x:c>
      <x:c r="N540" s="26" t="str">
        <x:v>Defined / Not Executed</x:v>
      </x:c>
      <x:c r="O540" s="26"/>
      <x:c r="P540" s="26" t="str">
        <x:v>QA</x:v>
      </x:c>
      <x:c r="Q540" s="26" t="str">
        <x:v>Release; reviewer=Production/Engineering; gate=Release</x:v>
      </x:c>
    </x:row>
    <x:row r="541" ht="30" customHeight="1">
      <x:c r="A541" s="26" t="str">
        <x:v>REL-QA-005</x:v>
      </x:c>
      <x:c r="B541" s="26" t="str">
        <x:v>Release Candidate y QA</x:v>
      </x:c>
      <x:c r="C541" s="26" t="str">
        <x:v>31_H6_and_Release_Readiness_Checklist.xlsx</x:v>
      </x:c>
      <x:c r="D541" s="26" t="str">
        <x:v>Instalación limpia, actualización, rollback y compatibilidad de saves pasan.</x:v>
      </x:c>
      <x:c r="E541" s="26" t="str">
        <x:v>CHG-RC1-DOC-31</x:v>
      </x:c>
      <x:c r="F541" s="26"/>
      <x:c r="G541" s="26" t="str">
        <x:v>REL-QA-005</x:v>
      </x:c>
      <x:c r="H541" s="26"/>
      <x:c r="I541" s="26"/>
      <x:c r="J541" s="26" t="str">
        <x:v>NOT RUN</x:v>
      </x:c>
      <x:c r="K541" s="26"/>
      <x:c r="L541" s="26"/>
      <x:c r="M541" s="26" t="str">
        <x:v>RC1</x:v>
      </x:c>
      <x:c r="N541" s="26" t="str">
        <x:v>Defined / Not Executed</x:v>
      </x:c>
      <x:c r="O541" s="26"/>
      <x:c r="P541" s="26" t="str">
        <x:v>QA</x:v>
      </x:c>
      <x:c r="Q541" s="26" t="str">
        <x:v>Release; reviewer=Production/Engineering; gate=Release</x:v>
      </x:c>
    </x:row>
    <x:row r="542" ht="30" customHeight="1">
      <x:c r="A542" s="26" t="str">
        <x:v>REL-QA-006</x:v>
      </x:c>
      <x:c r="B542" s="26" t="str">
        <x:v>Release Candidate y QA</x:v>
      </x:c>
      <x:c r="C542" s="26" t="str">
        <x:v>31_H6_and_Release_Readiness_Checklist.xlsx</x:v>
      </x:c>
      <x:c r="D542" s="26" t="str">
        <x:v>La matriz ES/EN, resoluciones, escalas y dispositivos soportados pasa.</x:v>
      </x:c>
      <x:c r="E542" s="26" t="str">
        <x:v>CHG-RC1-DOC-31</x:v>
      </x:c>
      <x:c r="F542" s="26"/>
      <x:c r="G542" s="26" t="str">
        <x:v>REL-QA-006</x:v>
      </x:c>
      <x:c r="H542" s="26"/>
      <x:c r="I542" s="26"/>
      <x:c r="J542" s="26" t="str">
        <x:v>NOT RUN</x:v>
      </x:c>
      <x:c r="K542" s="26"/>
      <x:c r="L542" s="26"/>
      <x:c r="M542" s="26" t="str">
        <x:v>RC1</x:v>
      </x:c>
      <x:c r="N542" s="26" t="str">
        <x:v>Defined / Not Executed</x:v>
      </x:c>
      <x:c r="O542" s="26"/>
      <x:c r="P542" s="26" t="str">
        <x:v>QA</x:v>
      </x:c>
      <x:c r="Q542" s="26" t="str">
        <x:v>Release; reviewer=Production/Engineering; gate=Release</x:v>
      </x:c>
    </x:row>
    <x:row r="543" ht="30" customHeight="1">
      <x:c r="A543" s="26" t="str">
        <x:v>REL-QA-007</x:v>
      </x:c>
      <x:c r="B543" s="26" t="str">
        <x:v>Release Candidate y QA</x:v>
      </x:c>
      <x:c r="C543" s="26" t="str">
        <x:v>31_H6_and_Release_Readiness_Checklist.xlsx</x:v>
      </x:c>
      <x:c r="D543" s="26" t="str">
        <x:v>Se prueban hardware mínimo, recomendado y al menos un perfil adicional.</x:v>
      </x:c>
      <x:c r="E543" s="26" t="str">
        <x:v>CHG-RC1-DOC-31</x:v>
      </x:c>
      <x:c r="F543" s="26"/>
      <x:c r="G543" s="26" t="str">
        <x:v>REL-QA-007</x:v>
      </x:c>
      <x:c r="H543" s="26"/>
      <x:c r="I543" s="26"/>
      <x:c r="J543" s="26" t="str">
        <x:v>NOT RUN</x:v>
      </x:c>
      <x:c r="K543" s="26"/>
      <x:c r="L543" s="26"/>
      <x:c r="M543" s="26" t="str">
        <x:v>RC1</x:v>
      </x:c>
      <x:c r="N543" s="26" t="str">
        <x:v>Defined / Not Executed</x:v>
      </x:c>
      <x:c r="O543" s="26"/>
      <x:c r="P543" s="26" t="str">
        <x:v>QA</x:v>
      </x:c>
      <x:c r="Q543" s="26" t="str">
        <x:v>Release; reviewer=Production/Engineering; gate=Release</x:v>
      </x:c>
    </x:row>
    <x:row r="544" ht="30" customHeight="1">
      <x:c r="A544" s="26" t="str">
        <x:v>REL-QA-008</x:v>
      </x:c>
      <x:c r="B544" s="26" t="str">
        <x:v>Release Candidate y QA</x:v>
      </x:c>
      <x:c r="C544" s="26" t="str">
        <x:v>31_H6_and_Release_Readiness_Checklist.xlsx</x:v>
      </x:c>
      <x:c r="D544" s="26" t="str">
        <x:v>Player.log/crash dumps de sesiones largas no muestran errores recurrentes bloqueantes.</x:v>
      </x:c>
      <x:c r="E544" s="26" t="str">
        <x:v>CHG-RC1-DOC-31</x:v>
      </x:c>
      <x:c r="F544" s="26"/>
      <x:c r="G544" s="26" t="str">
        <x:v>REL-QA-008</x:v>
      </x:c>
      <x:c r="H544" s="26"/>
      <x:c r="I544" s="26"/>
      <x:c r="J544" s="26" t="str">
        <x:v>NOT RUN</x:v>
      </x:c>
      <x:c r="K544" s="26"/>
      <x:c r="L544" s="26"/>
      <x:c r="M544" s="26" t="str">
        <x:v>RC1</x:v>
      </x:c>
      <x:c r="N544" s="26" t="str">
        <x:v>Defined / Not Executed</x:v>
      </x:c>
      <x:c r="O544" s="26"/>
      <x:c r="P544" s="26" t="str">
        <x:v>QA</x:v>
      </x:c>
      <x:c r="Q544" s="26" t="str">
        <x:v>Release; reviewer=Production/Engineering; gate=Release</x:v>
      </x:c>
    </x:row>
    <x:row r="545" ht="30" customHeight="1">
      <x:c r="A545" s="26" t="str">
        <x:v>REL-QA-009</x:v>
      </x:c>
      <x:c r="B545" s="26" t="str">
        <x:v>Release Candidate y QA</x:v>
      </x:c>
      <x:c r="C545" s="26" t="str">
        <x:v>31_H6_and_Release_Readiness_Checklist.xlsx</x:v>
      </x:c>
      <x:c r="D545" s="26" t="str">
        <x:v>La RC se prueba offline, online y con Steam en modo offline.</x:v>
      </x:c>
      <x:c r="E545" s="26" t="str">
        <x:v>CHG-RC1-DOC-31</x:v>
      </x:c>
      <x:c r="F545" s="26"/>
      <x:c r="G545" s="26" t="str">
        <x:v>REL-QA-009</x:v>
      </x:c>
      <x:c r="H545" s="26"/>
      <x:c r="I545" s="26"/>
      <x:c r="J545" s="26" t="str">
        <x:v>NOT RUN</x:v>
      </x:c>
      <x:c r="K545" s="26"/>
      <x:c r="L545" s="26"/>
      <x:c r="M545" s="26" t="str">
        <x:v>RC1</x:v>
      </x:c>
      <x:c r="N545" s="26" t="str">
        <x:v>Defined / Not Executed</x:v>
      </x:c>
      <x:c r="O545" s="26"/>
      <x:c r="P545" s="26" t="str">
        <x:v>QA</x:v>
      </x:c>
      <x:c r="Q545" s="26" t="str">
        <x:v>Release; reviewer=Production/Engineering; gate=Release</x:v>
      </x:c>
    </x:row>
    <x:row r="546" ht="30" customHeight="1">
      <x:c r="A546" s="26" t="str">
        <x:v>REL-QA-010</x:v>
      </x:c>
      <x:c r="B546" s="26" t="str">
        <x:v>Release Candidate y QA</x:v>
      </x:c>
      <x:c r="C546" s="26" t="str">
        <x:v>31_H6_and_Release_Readiness_Checklist.xlsx</x:v>
      </x:c>
      <x:c r="D546" s="26" t="str">
        <x:v>Los known issues públicos son veraces, acotados y no ocultan bloqueantes.</x:v>
      </x:c>
      <x:c r="E546" s="26" t="str">
        <x:v>CHG-RC1-DOC-31</x:v>
      </x:c>
      <x:c r="F546" s="26"/>
      <x:c r="G546" s="26" t="str">
        <x:v>REL-QA-010</x:v>
      </x:c>
      <x:c r="H546" s="26"/>
      <x:c r="I546" s="26"/>
      <x:c r="J546" s="26" t="str">
        <x:v>NOT RUN</x:v>
      </x:c>
      <x:c r="K546" s="26"/>
      <x:c r="L546" s="26"/>
      <x:c r="M546" s="26" t="str">
        <x:v>RC1</x:v>
      </x:c>
      <x:c r="N546" s="26" t="str">
        <x:v>Defined / Not Executed</x:v>
      </x:c>
      <x:c r="O546" s="26"/>
      <x:c r="P546" s="26" t="str">
        <x:v>QA</x:v>
      </x:c>
      <x:c r="Q546" s="26" t="str">
        <x:v>Release; reviewer=Production/Engineering; gate=Release</x:v>
      </x:c>
    </x:row>
    <x:row r="547" ht="30" customHeight="1">
      <x:c r="A547" s="26" t="str">
        <x:v>REL-QA-011</x:v>
      </x:c>
      <x:c r="B547" s="26" t="str">
        <x:v>Release Candidate y QA</x:v>
      </x:c>
      <x:c r="C547" s="26" t="str">
        <x:v>31_H6_and_Release_Readiness_Checklist.xlsx</x:v>
      </x:c>
      <x:c r="D547" s="26" t="str">
        <x:v>Las excepciones de release tienen owner, mitigación, soporte y trigger.</x:v>
      </x:c>
      <x:c r="E547" s="26" t="str">
        <x:v>CHG-RC1-DOC-31</x:v>
      </x:c>
      <x:c r="F547" s="26"/>
      <x:c r="G547" s="26" t="str">
        <x:v>REL-QA-011</x:v>
      </x:c>
      <x:c r="H547" s="26"/>
      <x:c r="I547" s="26"/>
      <x:c r="J547" s="26" t="str">
        <x:v>NOT RUN</x:v>
      </x:c>
      <x:c r="K547" s="26"/>
      <x:c r="L547" s="26"/>
      <x:c r="M547" s="26" t="str">
        <x:v>RC1</x:v>
      </x:c>
      <x:c r="N547" s="26" t="str">
        <x:v>Defined / Not Executed</x:v>
      </x:c>
      <x:c r="O547" s="26"/>
      <x:c r="P547" s="26" t="str">
        <x:v>QA</x:v>
      </x:c>
      <x:c r="Q547" s="26" t="str">
        <x:v>Release; reviewer=Production/Engineering; gate=Release</x:v>
      </x:c>
    </x:row>
    <x:row r="548" ht="30" customHeight="1">
      <x:c r="A548" s="26" t="str">
        <x:v>REL-QA-012</x:v>
      </x:c>
      <x:c r="B548" s="26" t="str">
        <x:v>Release Candidate y QA</x:v>
      </x:c>
      <x:c r="C548" s="26" t="str">
        <x:v>31_H6_and_Release_Readiness_Checklist.xlsx</x:v>
      </x:c>
      <x:c r="D548" s="26" t="str">
        <x:v>El smoke test posterior a upload y previo a publicación está definido y ejecutado.</x:v>
      </x:c>
      <x:c r="E548" s="26" t="str">
        <x:v>CHG-RC1-DOC-31</x:v>
      </x:c>
      <x:c r="F548" s="26"/>
      <x:c r="G548" s="26" t="str">
        <x:v>REL-QA-012</x:v>
      </x:c>
      <x:c r="H548" s="26"/>
      <x:c r="I548" s="26"/>
      <x:c r="J548" s="26" t="str">
        <x:v>NOT RUN</x:v>
      </x:c>
      <x:c r="K548" s="26"/>
      <x:c r="L548" s="26"/>
      <x:c r="M548" s="26" t="str">
        <x:v>RC1</x:v>
      </x:c>
      <x:c r="N548" s="26" t="str">
        <x:v>Defined / Not Executed</x:v>
      </x:c>
      <x:c r="O548" s="26"/>
      <x:c r="P548" s="26" t="str">
        <x:v>QA</x:v>
      </x:c>
      <x:c r="Q548" s="26" t="str">
        <x:v>Release; reviewer=Production/Engineering; gate=Release</x:v>
      </x:c>
    </x:row>
    <x:row r="549" ht="30" customHeight="1">
      <x:c r="A549" s="26" t="str">
        <x:v>REL-QA-013</x:v>
      </x:c>
      <x:c r="B549" s="26" t="str">
        <x:v>Release Candidate y QA</x:v>
      </x:c>
      <x:c r="C549" s="26" t="str">
        <x:v>31_H6_and_Release_Readiness_Checklist.xlsx</x:v>
      </x:c>
      <x:c r="D549" s="26" t="str">
        <x:v>La prueba de primera ejecución cubre settings por defecto y onboarding.</x:v>
      </x:c>
      <x:c r="E549" s="26" t="str">
        <x:v>CHG-RC1-DOC-31</x:v>
      </x:c>
      <x:c r="F549" s="26"/>
      <x:c r="G549" s="26" t="str">
        <x:v>REL-QA-013</x:v>
      </x:c>
      <x:c r="H549" s="26"/>
      <x:c r="I549" s="26"/>
      <x:c r="J549" s="26" t="str">
        <x:v>NOT RUN</x:v>
      </x:c>
      <x:c r="K549" s="26"/>
      <x:c r="L549" s="26"/>
      <x:c r="M549" s="26" t="str">
        <x:v>RC1</x:v>
      </x:c>
      <x:c r="N549" s="26" t="str">
        <x:v>Defined / Not Executed</x:v>
      </x:c>
      <x:c r="O549" s="26"/>
      <x:c r="P549" s="26" t="str">
        <x:v>QA</x:v>
      </x:c>
      <x:c r="Q549" s="26" t="str">
        <x:v>Release; reviewer=Production/Engineering; gate=Release</x:v>
      </x:c>
    </x:row>
    <x:row r="550" ht="30" customHeight="1">
      <x:c r="A550" s="26" t="str">
        <x:v>REL-QA-014</x:v>
      </x:c>
      <x:c r="B550" s="26" t="str">
        <x:v>Release Candidate y QA</x:v>
      </x:c>
      <x:c r="C550" s="26" t="str">
        <x:v>31_H6_and_Release_Readiness_Checklist.xlsx</x:v>
      </x:c>
      <x:c r="D550" s="26" t="str">
        <x:v>La recopilación de evidencia no modifica la RC ni activa cheats.</x:v>
      </x:c>
      <x:c r="E550" s="26" t="str">
        <x:v>CHG-RC1-DOC-31</x:v>
      </x:c>
      <x:c r="F550" s="26"/>
      <x:c r="G550" s="26" t="str">
        <x:v>REL-QA-014</x:v>
      </x:c>
      <x:c r="H550" s="26"/>
      <x:c r="I550" s="26"/>
      <x:c r="J550" s="26" t="str">
        <x:v>NOT RUN</x:v>
      </x:c>
      <x:c r="K550" s="26"/>
      <x:c r="L550" s="26"/>
      <x:c r="M550" s="26" t="str">
        <x:v>RC1</x:v>
      </x:c>
      <x:c r="N550" s="26" t="str">
        <x:v>Defined / Not Executed</x:v>
      </x:c>
      <x:c r="O550" s="26"/>
      <x:c r="P550" s="26" t="str">
        <x:v>QA</x:v>
      </x:c>
      <x:c r="Q550" s="26" t="str">
        <x:v>Release; reviewer=Production/Engineering; gate=Release</x:v>
      </x:c>
    </x:row>
    <x:row r="551" ht="30" customHeight="1">
      <x:c r="A551" s="26" t="str">
        <x:v>REL-QA-015</x:v>
      </x:c>
      <x:c r="B551" s="26" t="str">
        <x:v>Release Candidate y QA</x:v>
      </x:c>
      <x:c r="C551" s="26" t="str">
        <x:v>31_H6_and_Release_Readiness_Checklist.xlsx</x:v>
      </x:c>
      <x:c r="D551" s="26" t="str">
        <x:v>Existe acta formal de RC PASS/FAIL y no-go authority.</x:v>
      </x:c>
      <x:c r="E551" s="26" t="str">
        <x:v>CHG-RC1-DOC-31</x:v>
      </x:c>
      <x:c r="F551" s="26"/>
      <x:c r="G551" s="26" t="str">
        <x:v>REL-QA-015</x:v>
      </x:c>
      <x:c r="H551" s="26"/>
      <x:c r="I551" s="26"/>
      <x:c r="J551" s="26" t="str">
        <x:v>NOT RUN</x:v>
      </x:c>
      <x:c r="K551" s="26"/>
      <x:c r="L551" s="26"/>
      <x:c r="M551" s="26" t="str">
        <x:v>RC1</x:v>
      </x:c>
      <x:c r="N551" s="26" t="str">
        <x:v>Defined / Not Executed</x:v>
      </x:c>
      <x:c r="O551" s="26"/>
      <x:c r="P551" s="26" t="str">
        <x:v>QA</x:v>
      </x:c>
      <x:c r="Q551" s="26" t="str">
        <x:v>Release; reviewer=Production/Engineering; gate=Release</x:v>
      </x:c>
    </x:row>
    <x:row r="552" ht="30" customHeight="1">
      <x:c r="A552" s="26" t="str">
        <x:v>REL-PER-001</x:v>
      </x:c>
      <x:c r="B552" s="26" t="str">
        <x:v>Rendimiento y requisitos del sistema</x:v>
      </x:c>
      <x:c r="C552" s="26" t="str">
        <x:v>31_H6_and_Release_Readiness_Checklist.xlsx</x:v>
      </x:c>
      <x:c r="D552" s="26" t="str">
        <x:v>Los requisitos mínimo/recomendado se derivan de benchmarks reproducibles.</x:v>
      </x:c>
      <x:c r="E552" s="26" t="str">
        <x:v>CHG-RC1-DOC-31</x:v>
      </x:c>
      <x:c r="F552" s="26"/>
      <x:c r="G552" s="26" t="str">
        <x:v>REL-PER-001</x:v>
      </x:c>
      <x:c r="H552" s="26"/>
      <x:c r="I552" s="26"/>
      <x:c r="J552" s="26" t="str">
        <x:v>NOT RUN</x:v>
      </x:c>
      <x:c r="K552" s="26"/>
      <x:c r="L552" s="26"/>
      <x:c r="M552" s="26" t="str">
        <x:v>RC1</x:v>
      </x:c>
      <x:c r="N552" s="26" t="str">
        <x:v>Defined / Not Executed</x:v>
      </x:c>
      <x:c r="O552" s="26"/>
      <x:c r="P552" s="26" t="str">
        <x:v>Engineering/QA</x:v>
      </x:c>
      <x:c r="Q552" s="26" t="str">
        <x:v>Release; reviewer=Technical Direction/Marketing; gate=Release</x:v>
      </x:c>
    </x:row>
    <x:row r="553" ht="30" customHeight="1">
      <x:c r="A553" s="26" t="str">
        <x:v>REL-PER-002</x:v>
      </x:c>
      <x:c r="B553" s="26" t="str">
        <x:v>Rendimiento y requisitos del sistema</x:v>
      </x:c>
      <x:c r="C553" s="26" t="str">
        <x:v>31_H6_and_Release_Readiness_Checklist.xlsx</x:v>
      </x:c>
      <x:c r="D553" s="26" t="str">
        <x:v>La RC cumple objetivos de frame pacing y estabilidad en hardware mínimo aprobado.</x:v>
      </x:c>
      <x:c r="E553" s="26" t="str">
        <x:v>CHG-RC1-DOC-31</x:v>
      </x:c>
      <x:c r="F553" s="26"/>
      <x:c r="G553" s="26" t="str">
        <x:v>REL-PER-002</x:v>
      </x:c>
      <x:c r="H553" s="26"/>
      <x:c r="I553" s="26"/>
      <x:c r="J553" s="26" t="str">
        <x:v>NOT RUN</x:v>
      </x:c>
      <x:c r="K553" s="26"/>
      <x:c r="L553" s="26"/>
      <x:c r="M553" s="26" t="str">
        <x:v>RC1</x:v>
      </x:c>
      <x:c r="N553" s="26" t="str">
        <x:v>Defined / Not Executed</x:v>
      </x:c>
      <x:c r="O553" s="26"/>
      <x:c r="P553" s="26" t="str">
        <x:v>Engineering/QA</x:v>
      </x:c>
      <x:c r="Q553" s="26" t="str">
        <x:v>Release; reviewer=Technical Direction/Marketing; gate=Release</x:v>
      </x:c>
    </x:row>
    <x:row r="554" ht="30" customHeight="1">
      <x:c r="A554" s="26" t="str">
        <x:v>REL-PER-003</x:v>
      </x:c>
      <x:c r="B554" s="26" t="str">
        <x:v>Rendimiento y requisitos del sistema</x:v>
      </x:c>
      <x:c r="C554" s="26" t="str">
        <x:v>31_H6_and_Release_Readiness_Checklist.xlsx</x:v>
      </x:c>
      <x:c r="D554" s="26" t="str">
        <x:v>Las configuraciones gráficas soportadas producen diferencias reales y seguras.</x:v>
      </x:c>
      <x:c r="E554" s="26" t="str">
        <x:v>CHG-RC1-DOC-31</x:v>
      </x:c>
      <x:c r="F554" s="26"/>
      <x:c r="G554" s="26" t="str">
        <x:v>REL-PER-003</x:v>
      </x:c>
      <x:c r="H554" s="26"/>
      <x:c r="I554" s="26"/>
      <x:c r="J554" s="26" t="str">
        <x:v>NOT RUN</x:v>
      </x:c>
      <x:c r="K554" s="26"/>
      <x:c r="L554" s="26"/>
      <x:c r="M554" s="26" t="str">
        <x:v>RC1</x:v>
      </x:c>
      <x:c r="N554" s="26" t="str">
        <x:v>Defined / Not Executed</x:v>
      </x:c>
      <x:c r="O554" s="26"/>
      <x:c r="P554" s="26" t="str">
        <x:v>Engineering/QA</x:v>
      </x:c>
      <x:c r="Q554" s="26" t="str">
        <x:v>Release; reviewer=Technical Direction/Marketing; gate=Release</x:v>
      </x:c>
    </x:row>
    <x:row r="555" ht="30" customHeight="1">
      <x:c r="A555" s="26" t="str">
        <x:v>REL-PER-004</x:v>
      </x:c>
      <x:c r="B555" s="26" t="str">
        <x:v>Rendimiento y requisitos del sistema</x:v>
      </x:c>
      <x:c r="C555" s="26" t="str">
        <x:v>31_H6_and_Release_Readiness_Checklist.xlsx</x:v>
      </x:c>
      <x:c r="D555" s="26" t="str">
        <x:v>Carga, guardado, arranque y cierre se miden en instalación Steam.</x:v>
      </x:c>
      <x:c r="E555" s="26" t="str">
        <x:v>CHG-RC1-DOC-31</x:v>
      </x:c>
      <x:c r="F555" s="26"/>
      <x:c r="G555" s="26" t="str">
        <x:v>REL-PER-004</x:v>
      </x:c>
      <x:c r="H555" s="26"/>
      <x:c r="I555" s="26"/>
      <x:c r="J555" s="26" t="str">
        <x:v>NOT RUN</x:v>
      </x:c>
      <x:c r="K555" s="26"/>
      <x:c r="L555" s="26"/>
      <x:c r="M555" s="26" t="str">
        <x:v>RC1</x:v>
      </x:c>
      <x:c r="N555" s="26" t="str">
        <x:v>Defined / Not Executed</x:v>
      </x:c>
      <x:c r="O555" s="26"/>
      <x:c r="P555" s="26" t="str">
        <x:v>Engineering/QA</x:v>
      </x:c>
      <x:c r="Q555" s="26" t="str">
        <x:v>Release; reviewer=Technical Direction/Marketing; gate=Release</x:v>
      </x:c>
    </x:row>
    <x:row r="556" ht="30" customHeight="1">
      <x:c r="A556" s="26" t="str">
        <x:v>REL-PER-005</x:v>
      </x:c>
      <x:c r="B556" s="26" t="str">
        <x:v>Rendimiento y requisitos del sistema</x:v>
      </x:c>
      <x:c r="C556" s="26" t="str">
        <x:v>31_H6_and_Release_Readiness_Checklist.xlsx</x:v>
      </x:c>
      <x:c r="D556" s="26" t="str">
        <x:v>No existe memory leak o degradación significativa en soak prolongado.</x:v>
      </x:c>
      <x:c r="E556" s="26" t="str">
        <x:v>CHG-RC1-DOC-31</x:v>
      </x:c>
      <x:c r="F556" s="26"/>
      <x:c r="G556" s="26" t="str">
        <x:v>REL-PER-005</x:v>
      </x:c>
      <x:c r="H556" s="26"/>
      <x:c r="I556" s="26"/>
      <x:c r="J556" s="26" t="str">
        <x:v>NOT RUN</x:v>
      </x:c>
      <x:c r="K556" s="26"/>
      <x:c r="L556" s="26"/>
      <x:c r="M556" s="26" t="str">
        <x:v>RC1</x:v>
      </x:c>
      <x:c r="N556" s="26" t="str">
        <x:v>Defined / Not Executed</x:v>
      </x:c>
      <x:c r="O556" s="26"/>
      <x:c r="P556" s="26" t="str">
        <x:v>Engineering/QA</x:v>
      </x:c>
      <x:c r="Q556" s="26" t="str">
        <x:v>Release; reviewer=Technical Direction/Marketing; gate=Release</x:v>
      </x:c>
    </x:row>
    <x:row r="557" ht="30" customHeight="1">
      <x:c r="A557" s="26" t="str">
        <x:v>REL-PER-006</x:v>
      </x:c>
      <x:c r="B557" s="26" t="str">
        <x:v>Rendimiento y requisitos del sistema</x:v>
      </x:c>
      <x:c r="C557" s="26" t="str">
        <x:v>31_H6_and_Release_Readiness_Checklist.xlsx</x:v>
      </x:c>
      <x:c r="D557" s="26" t="str">
        <x:v>La resolución, fullscreen/windowed, VSync y frame cap funcionan en monitores comunes.</x:v>
      </x:c>
      <x:c r="E557" s="26" t="str">
        <x:v>CHG-RC1-DOC-31</x:v>
      </x:c>
      <x:c r="F557" s="26"/>
      <x:c r="G557" s="26" t="str">
        <x:v>REL-PER-006</x:v>
      </x:c>
      <x:c r="H557" s="26"/>
      <x:c r="I557" s="26"/>
      <x:c r="J557" s="26" t="str">
        <x:v>NOT RUN</x:v>
      </x:c>
      <x:c r="K557" s="26"/>
      <x:c r="L557" s="26"/>
      <x:c r="M557" s="26" t="str">
        <x:v>RC1</x:v>
      </x:c>
      <x:c r="N557" s="26" t="str">
        <x:v>Defined / Not Executed</x:v>
      </x:c>
      <x:c r="O557" s="26"/>
      <x:c r="P557" s="26" t="str">
        <x:v>Engineering/QA</x:v>
      </x:c>
      <x:c r="Q557" s="26" t="str">
        <x:v>Release; reviewer=Technical Direction/Marketing; gate=Release</x:v>
      </x:c>
    </x:row>
    <x:row r="558" ht="30" customHeight="1">
      <x:c r="A558" s="26" t="str">
        <x:v>REL-PER-007</x:v>
      </x:c>
      <x:c r="B558" s="26" t="str">
        <x:v>Rendimiento y requisitos del sistema</x:v>
      </x:c>
      <x:c r="C558" s="26" t="str">
        <x:v>31_H6_and_Release_Readiness_Checklist.xlsx</x:v>
      </x:c>
      <x:c r="D558" s="26" t="str">
        <x:v>Alt-tab, cambio de foco, suspensión y reconexión de pantalla/audio son controlados.</x:v>
      </x:c>
      <x:c r="E558" s="26" t="str">
        <x:v>CHG-RC1-DOC-31</x:v>
      </x:c>
      <x:c r="F558" s="26"/>
      <x:c r="G558" s="26" t="str">
        <x:v>REL-PER-007</x:v>
      </x:c>
      <x:c r="H558" s="26"/>
      <x:c r="I558" s="26"/>
      <x:c r="J558" s="26" t="str">
        <x:v>NOT RUN</x:v>
      </x:c>
      <x:c r="K558" s="26"/>
      <x:c r="L558" s="26"/>
      <x:c r="M558" s="26" t="str">
        <x:v>RC1</x:v>
      </x:c>
      <x:c r="N558" s="26" t="str">
        <x:v>Defined / Not Executed</x:v>
      </x:c>
      <x:c r="O558" s="26"/>
      <x:c r="P558" s="26" t="str">
        <x:v>Engineering/QA</x:v>
      </x:c>
      <x:c r="Q558" s="26" t="str">
        <x:v>Release; reviewer=Technical Direction/Marketing; gate=Release</x:v>
      </x:c>
    </x:row>
    <x:row r="559" ht="30" customHeight="1">
      <x:c r="A559" s="26" t="str">
        <x:v>REL-PER-008</x:v>
      </x:c>
      <x:c r="B559" s="26" t="str">
        <x:v>Rendimiento y requisitos del sistema</x:v>
      </x:c>
      <x:c r="C559" s="26" t="str">
        <x:v>31_H6_and_Release_Readiness_Checklist.xlsx</x:v>
      </x:c>
      <x:c r="D559" s="26" t="str">
        <x:v>La RC no depende de overlays/profilers o Development Build.</x:v>
      </x:c>
      <x:c r="E559" s="26" t="str">
        <x:v>CHG-RC1-DOC-31</x:v>
      </x:c>
      <x:c r="F559" s="26"/>
      <x:c r="G559" s="26" t="str">
        <x:v>REL-PER-008</x:v>
      </x:c>
      <x:c r="H559" s="26"/>
      <x:c r="I559" s="26"/>
      <x:c r="J559" s="26" t="str">
        <x:v>NOT RUN</x:v>
      </x:c>
      <x:c r="K559" s="26"/>
      <x:c r="L559" s="26"/>
      <x:c r="M559" s="26" t="str">
        <x:v>RC1</x:v>
      </x:c>
      <x:c r="N559" s="26" t="str">
        <x:v>Defined / Not Executed</x:v>
      </x:c>
      <x:c r="O559" s="26"/>
      <x:c r="P559" s="26" t="str">
        <x:v>Engineering/QA</x:v>
      </x:c>
      <x:c r="Q559" s="26" t="str">
        <x:v>Release; reviewer=Technical Direction/Marketing; gate=Release</x:v>
      </x:c>
    </x:row>
    <x:row r="560" ht="30" customHeight="1">
      <x:c r="A560" s="26" t="str">
        <x:v>REL-PER-009</x:v>
      </x:c>
      <x:c r="B560" s="26" t="str">
        <x:v>Rendimiento y requisitos del sistema</x:v>
      </x:c>
      <x:c r="C560" s="26" t="str">
        <x:v>31_H6_and_Release_Readiness_Checklist.xlsx</x:v>
      </x:c>
      <x:c r="D560" s="26" t="str">
        <x:v>El tamaño del paquete y uso en disco están medidos y comunicados.</x:v>
      </x:c>
      <x:c r="E560" s="26" t="str">
        <x:v>CHG-RC1-DOC-31</x:v>
      </x:c>
      <x:c r="F560" s="26"/>
      <x:c r="G560" s="26" t="str">
        <x:v>REL-PER-009</x:v>
      </x:c>
      <x:c r="H560" s="26"/>
      <x:c r="I560" s="26"/>
      <x:c r="J560" s="26" t="str">
        <x:v>NOT RUN</x:v>
      </x:c>
      <x:c r="K560" s="26"/>
      <x:c r="L560" s="26"/>
      <x:c r="M560" s="26" t="str">
        <x:v>RC1</x:v>
      </x:c>
      <x:c r="N560" s="26" t="str">
        <x:v>Defined / Not Executed</x:v>
      </x:c>
      <x:c r="O560" s="26"/>
      <x:c r="P560" s="26" t="str">
        <x:v>Engineering/QA</x:v>
      </x:c>
      <x:c r="Q560" s="26" t="str">
        <x:v>Release; reviewer=Technical Direction/Marketing; gate=Release</x:v>
      </x:c>
    </x:row>
    <x:row r="561" ht="30" customHeight="1">
      <x:c r="A561" s="26" t="str">
        <x:v>REL-PER-010</x:v>
      </x:c>
      <x:c r="B561" s="26" t="str">
        <x:v>Rendimiento y requisitos del sistema</x:v>
      </x:c>
      <x:c r="C561" s="26" t="str">
        <x:v>31_H6_and_Release_Readiness_Checklist.xlsx</x:v>
      </x:c>
      <x:c r="D561" s="26" t="str">
        <x:v>Los picos de CPU/GPU/memoria de primera carga y shaders están caracterizados.</x:v>
      </x:c>
      <x:c r="E561" s="26" t="str">
        <x:v>CHG-RC1-DOC-31</x:v>
      </x:c>
      <x:c r="F561" s="26"/>
      <x:c r="G561" s="26" t="str">
        <x:v>REL-PER-010</x:v>
      </x:c>
      <x:c r="H561" s="26"/>
      <x:c r="I561" s="26"/>
      <x:c r="J561" s="26" t="str">
        <x:v>NOT RUN</x:v>
      </x:c>
      <x:c r="K561" s="26"/>
      <x:c r="L561" s="26"/>
      <x:c r="M561" s="26" t="str">
        <x:v>RC1</x:v>
      </x:c>
      <x:c r="N561" s="26" t="str">
        <x:v>Defined / Not Executed</x:v>
      </x:c>
      <x:c r="O561" s="26"/>
      <x:c r="P561" s="26" t="str">
        <x:v>Engineering/QA</x:v>
      </x:c>
      <x:c r="Q561" s="26" t="str">
        <x:v>Release; reviewer=Technical Direction/Marketing; gate=Release</x:v>
      </x:c>
    </x:row>
    <x:row r="562" ht="30" customHeight="1">
      <x:c r="A562" s="26" t="str">
        <x:v>REL-PER-011</x:v>
      </x:c>
      <x:c r="B562" s="26" t="str">
        <x:v>Rendimiento y requisitos del sistema</x:v>
      </x:c>
      <x:c r="C562" s="26" t="str">
        <x:v>31_H6_and_Release_Readiness_Checklist.xlsx</x:v>
      </x:c>
      <x:c r="D562" s="26" t="str">
        <x:v>Los problemas conocidos de drivers/hardware tienen mitigación o documentación.</x:v>
      </x:c>
      <x:c r="E562" s="26" t="str">
        <x:v>CHG-RC1-DOC-31</x:v>
      </x:c>
      <x:c r="F562" s="26"/>
      <x:c r="G562" s="26" t="str">
        <x:v>REL-PER-011</x:v>
      </x:c>
      <x:c r="H562" s="26"/>
      <x:c r="I562" s="26"/>
      <x:c r="J562" s="26" t="str">
        <x:v>NOT RUN</x:v>
      </x:c>
      <x:c r="K562" s="26"/>
      <x:c r="L562" s="26"/>
      <x:c r="M562" s="26" t="str">
        <x:v>RC1</x:v>
      </x:c>
      <x:c r="N562" s="26" t="str">
        <x:v>Defined / Not Executed</x:v>
      </x:c>
      <x:c r="O562" s="26"/>
      <x:c r="P562" s="26" t="str">
        <x:v>Engineering/QA</x:v>
      </x:c>
      <x:c r="Q562" s="26" t="str">
        <x:v>Release; reviewer=Technical Direction/Marketing; gate=Release</x:v>
      </x:c>
    </x:row>
    <x:row r="563" ht="30" customHeight="1">
      <x:c r="A563" s="26" t="str">
        <x:v>REL-PER-012</x:v>
      </x:c>
      <x:c r="B563" s="26" t="str">
        <x:v>Rendimiento y requisitos del sistema</x:v>
      </x:c>
      <x:c r="C563" s="26" t="str">
        <x:v>31_H6_and_Release_Readiness_Checklist.xlsx</x:v>
      </x:c>
      <x:c r="D563" s="26" t="str">
        <x:v>Las métricas publicadas o usadas en marketing coinciden con pruebas aprobadas.</x:v>
      </x:c>
      <x:c r="E563" s="26" t="str">
        <x:v>CHG-RC1-DOC-31</x:v>
      </x:c>
      <x:c r="F563" s="26"/>
      <x:c r="G563" s="26" t="str">
        <x:v>REL-PER-012</x:v>
      </x:c>
      <x:c r="H563" s="26"/>
      <x:c r="I563" s="26"/>
      <x:c r="J563" s="26" t="str">
        <x:v>NOT RUN</x:v>
      </x:c>
      <x:c r="K563" s="26"/>
      <x:c r="L563" s="26"/>
      <x:c r="M563" s="26" t="str">
        <x:v>RC1</x:v>
      </x:c>
      <x:c r="N563" s="26" t="str">
        <x:v>Defined / Not Executed</x:v>
      </x:c>
      <x:c r="O563" s="26"/>
      <x:c r="P563" s="26" t="str">
        <x:v>Engineering/QA</x:v>
      </x:c>
      <x:c r="Q563" s="26" t="str">
        <x:v>Release; reviewer=Technical Direction/Marketing; gate=Release</x:v>
      </x:c>
    </x:row>
    <x:row r="564" ht="30" customHeight="1">
      <x:c r="A564" s="26" t="str">
        <x:v>REL-ACC-001</x:v>
      </x:c>
      <x:c r="B564" s="26" t="str">
        <x:v>Accesibilidad e inclusión</x:v>
      </x:c>
      <x:c r="C564" s="26" t="str">
        <x:v>31_H6_and_Release_Readiness_Checklist.xlsx</x:v>
      </x:c>
      <x:c r="D564" s="26" t="str">
        <x:v>Las opciones de accesibilidad incluidas están funcionales en RC y persisten.</x:v>
      </x:c>
      <x:c r="E564" s="26" t="str">
        <x:v>CHG-RC1-DOC-31</x:v>
      </x:c>
      <x:c r="F564" s="26"/>
      <x:c r="G564" s="26" t="str">
        <x:v>REL-ACC-001</x:v>
      </x:c>
      <x:c r="H564" s="26"/>
      <x:c r="I564" s="26"/>
      <x:c r="J564" s="26" t="str">
        <x:v>NOT RUN</x:v>
      </x:c>
      <x:c r="K564" s="26"/>
      <x:c r="L564" s="26"/>
      <x:c r="M564" s="26" t="str">
        <x:v>RC1</x:v>
      </x:c>
      <x:c r="N564" s="26" t="str">
        <x:v>Defined / Not Executed</x:v>
      </x:c>
      <x:c r="O564" s="26"/>
      <x:c r="P564" s="26" t="str">
        <x:v>Accessibility/UX</x:v>
      </x:c>
      <x:c r="Q564" s="26" t="str">
        <x:v>Release; reviewer=QA/Marketing; gate=Release</x:v>
      </x:c>
    </x:row>
    <x:row r="565" ht="30" customHeight="1">
      <x:c r="A565" s="26" t="str">
        <x:v>REL-ACC-002</x:v>
      </x:c>
      <x:c r="B565" s="26" t="str">
        <x:v>Accesibilidad e inclusión</x:v>
      </x:c>
      <x:c r="C565" s="26" t="str">
        <x:v>31_H6_and_Release_Readiness_Checklist.xlsx</x:v>
      </x:c>
      <x:c r="D565" s="26" t="str">
        <x:v>La navegación por dispositivos declarados cubre menús, gameplay y recuperación de errores.</x:v>
      </x:c>
      <x:c r="E565" s="26" t="str">
        <x:v>CHG-RC1-DOC-31</x:v>
      </x:c>
      <x:c r="F565" s="26"/>
      <x:c r="G565" s="26" t="str">
        <x:v>REL-ACC-002</x:v>
      </x:c>
      <x:c r="H565" s="26"/>
      <x:c r="I565" s="26"/>
      <x:c r="J565" s="26" t="str">
        <x:v>NOT RUN</x:v>
      </x:c>
      <x:c r="K565" s="26"/>
      <x:c r="L565" s="26"/>
      <x:c r="M565" s="26" t="str">
        <x:v>RC1</x:v>
      </x:c>
      <x:c r="N565" s="26" t="str">
        <x:v>Defined / Not Executed</x:v>
      </x:c>
      <x:c r="O565" s="26"/>
      <x:c r="P565" s="26" t="str">
        <x:v>Accessibility/UX</x:v>
      </x:c>
      <x:c r="Q565" s="26" t="str">
        <x:v>Release; reviewer=QA/Marketing; gate=Release</x:v>
      </x:c>
    </x:row>
    <x:row r="566" ht="30" customHeight="1">
      <x:c r="A566" s="26" t="str">
        <x:v>REL-ACC-003</x:v>
      </x:c>
      <x:c r="B566" s="26" t="str">
        <x:v>Accesibilidad e inclusión</x:v>
      </x:c>
      <x:c r="C566" s="26" t="str">
        <x:v>31_H6_and_Release_Readiness_Checklist.xlsx</x:v>
      </x:c>
      <x:c r="D566" s="26" t="str">
        <x:v>Escala de UI/texto funciona en idiomas y resoluciones soportadas.</x:v>
      </x:c>
      <x:c r="E566" s="26" t="str">
        <x:v>CHG-RC1-DOC-31</x:v>
      </x:c>
      <x:c r="F566" s="26"/>
      <x:c r="G566" s="26" t="str">
        <x:v>REL-ACC-003</x:v>
      </x:c>
      <x:c r="H566" s="26"/>
      <x:c r="I566" s="26"/>
      <x:c r="J566" s="26" t="str">
        <x:v>NOT RUN</x:v>
      </x:c>
      <x:c r="K566" s="26"/>
      <x:c r="L566" s="26"/>
      <x:c r="M566" s="26" t="str">
        <x:v>RC1</x:v>
      </x:c>
      <x:c r="N566" s="26" t="str">
        <x:v>Defined / Not Executed</x:v>
      </x:c>
      <x:c r="O566" s="26"/>
      <x:c r="P566" s="26" t="str">
        <x:v>Accessibility/UX</x:v>
      </x:c>
      <x:c r="Q566" s="26" t="str">
        <x:v>Release; reviewer=QA/Marketing; gate=Release</x:v>
      </x:c>
    </x:row>
    <x:row r="567" ht="30" customHeight="1">
      <x:c r="A567" s="26" t="str">
        <x:v>REL-ACC-004</x:v>
      </x:c>
      <x:c r="B567" s="26" t="str">
        <x:v>Accesibilidad e inclusión</x:v>
      </x:c>
      <x:c r="C567" s="26" t="str">
        <x:v>31_H6_and_Release_Readiness_Checklist.xlsx</x:v>
      </x:c>
      <x:c r="D567" s="26" t="str">
        <x:v>Reduce motion se consume en todas las superficies declaradas.</x:v>
      </x:c>
      <x:c r="E567" s="26" t="str">
        <x:v>CHG-RC1-DOC-31</x:v>
      </x:c>
      <x:c r="F567" s="26"/>
      <x:c r="G567" s="26" t="str">
        <x:v>REL-ACC-004</x:v>
      </x:c>
      <x:c r="H567" s="26"/>
      <x:c r="I567" s="26"/>
      <x:c r="J567" s="26" t="str">
        <x:v>NOT RUN</x:v>
      </x:c>
      <x:c r="K567" s="26"/>
      <x:c r="L567" s="26"/>
      <x:c r="M567" s="26" t="str">
        <x:v>RC1</x:v>
      </x:c>
      <x:c r="N567" s="26" t="str">
        <x:v>Defined / Not Executed</x:v>
      </x:c>
      <x:c r="O567" s="26"/>
      <x:c r="P567" s="26" t="str">
        <x:v>Accessibility/UX</x:v>
      </x:c>
      <x:c r="Q567" s="26" t="str">
        <x:v>Release; reviewer=QA/Marketing; gate=Release</x:v>
      </x:c>
    </x:row>
    <x:row r="568" ht="30" customHeight="1">
      <x:c r="A568" s="26" t="str">
        <x:v>REL-ACC-005</x:v>
      </x:c>
      <x:c r="B568" s="26" t="str">
        <x:v>Accesibilidad e inclusión</x:v>
      </x:c>
      <x:c r="C568" s="26" t="str">
        <x:v>31_H6_and_Release_Readiness_Checklist.xlsx</x:v>
      </x:c>
      <x:c r="D568" s="26" t="str">
        <x:v>Color no es el único canal para información o acción crítica.</x:v>
      </x:c>
      <x:c r="E568" s="26" t="str">
        <x:v>CHG-RC1-DOC-31</x:v>
      </x:c>
      <x:c r="F568" s="26"/>
      <x:c r="G568" s="26" t="str">
        <x:v>REL-ACC-005</x:v>
      </x:c>
      <x:c r="H568" s="26"/>
      <x:c r="I568" s="26"/>
      <x:c r="J568" s="26" t="str">
        <x:v>NOT RUN</x:v>
      </x:c>
      <x:c r="K568" s="26"/>
      <x:c r="L568" s="26"/>
      <x:c r="M568" s="26" t="str">
        <x:v>RC1</x:v>
      </x:c>
      <x:c r="N568" s="26" t="str">
        <x:v>Defined / Not Executed</x:v>
      </x:c>
      <x:c r="O568" s="26"/>
      <x:c r="P568" s="26" t="str">
        <x:v>Accessibility/UX</x:v>
      </x:c>
      <x:c r="Q568" s="26" t="str">
        <x:v>Release; reviewer=QA/Marketing; gate=Release</x:v>
      </x:c>
    </x:row>
    <x:row r="569" ht="30" customHeight="1">
      <x:c r="A569" s="26" t="str">
        <x:v>REL-ACC-006</x:v>
      </x:c>
      <x:c r="B569" s="26" t="str">
        <x:v>Accesibilidad e inclusión</x:v>
      </x:c>
      <x:c r="C569" s="26" t="str">
        <x:v>31_H6_and_Release_Readiness_Checklist.xlsx</x:v>
      </x:c>
      <x:c r="D569" s="26" t="str">
        <x:v>Los subtítulos/captions, si se declaran, cubren contenido relevante y tienen opciones necesarias.</x:v>
      </x:c>
      <x:c r="E569" s="26" t="str">
        <x:v>CHG-RC1-DOC-31</x:v>
      </x:c>
      <x:c r="F569" s="26"/>
      <x:c r="G569" s="26" t="str">
        <x:v>REL-ACC-006</x:v>
      </x:c>
      <x:c r="H569" s="26"/>
      <x:c r="I569" s="26"/>
      <x:c r="J569" s="26" t="str">
        <x:v>NOT RUN</x:v>
      </x:c>
      <x:c r="K569" s="26"/>
      <x:c r="L569" s="26"/>
      <x:c r="M569" s="26" t="str">
        <x:v>RC1</x:v>
      </x:c>
      <x:c r="N569" s="26" t="str">
        <x:v>Defined / Not Executed</x:v>
      </x:c>
      <x:c r="O569" s="26"/>
      <x:c r="P569" s="26" t="str">
        <x:v>Accessibility/UX</x:v>
      </x:c>
      <x:c r="Q569" s="26" t="str">
        <x:v>Release; reviewer=QA/Marketing; gate=Release</x:v>
      </x:c>
    </x:row>
    <x:row r="570" ht="30" customHeight="1">
      <x:c r="A570" s="26" t="str">
        <x:v>REL-ACC-007</x:v>
      </x:c>
      <x:c r="B570" s="26" t="str">
        <x:v>Accesibilidad e inclusión</x:v>
      </x:c>
      <x:c r="C570" s="26" t="str">
        <x:v>31_H6_and_Release_Readiness_Checklist.xlsx</x:v>
      </x:c>
      <x:c r="D570" s="26" t="str">
        <x:v>El remapeo, si se declara, cubre conflictos, defaults, guardado y recuperación.</x:v>
      </x:c>
      <x:c r="E570" s="26" t="str">
        <x:v>CHG-RC1-DOC-31</x:v>
      </x:c>
      <x:c r="F570" s="26"/>
      <x:c r="G570" s="26" t="str">
        <x:v>REL-ACC-007</x:v>
      </x:c>
      <x:c r="H570" s="26"/>
      <x:c r="I570" s="26"/>
      <x:c r="J570" s="26" t="str">
        <x:v>NOT RUN</x:v>
      </x:c>
      <x:c r="K570" s="26"/>
      <x:c r="L570" s="26"/>
      <x:c r="M570" s="26" t="str">
        <x:v>RC1</x:v>
      </x:c>
      <x:c r="N570" s="26" t="str">
        <x:v>Defined / Not Executed</x:v>
      </x:c>
      <x:c r="O570" s="26"/>
      <x:c r="P570" s="26" t="str">
        <x:v>Accessibility/UX</x:v>
      </x:c>
      <x:c r="Q570" s="26" t="str">
        <x:v>Release; reviewer=QA/Marketing; gate=Release</x:v>
      </x:c>
    </x:row>
    <x:row r="571" ht="30" customHeight="1">
      <x:c r="A571" s="26" t="str">
        <x:v>REL-ACC-008</x:v>
      </x:c>
      <x:c r="B571" s="26" t="str">
        <x:v>Accesibilidad e inclusión</x:v>
      </x:c>
      <x:c r="C571" s="26" t="str">
        <x:v>31_H6_and_Release_Readiness_Checklist.xlsx</x:v>
      </x:c>
      <x:c r="D571" s="26" t="str">
        <x:v>La experiencia completa con mando solo se declara tras pruebas end-to-end.</x:v>
      </x:c>
      <x:c r="E571" s="26" t="str">
        <x:v>CHG-RC1-DOC-31</x:v>
      </x:c>
      <x:c r="F571" s="26"/>
      <x:c r="G571" s="26" t="str">
        <x:v>REL-ACC-008</x:v>
      </x:c>
      <x:c r="H571" s="26"/>
      <x:c r="I571" s="26"/>
      <x:c r="J571" s="26" t="str">
        <x:v>NOT RUN</x:v>
      </x:c>
      <x:c r="K571" s="26"/>
      <x:c r="L571" s="26"/>
      <x:c r="M571" s="26" t="str">
        <x:v>RC1</x:v>
      </x:c>
      <x:c r="N571" s="26" t="str">
        <x:v>Defined / Not Executed</x:v>
      </x:c>
      <x:c r="O571" s="26"/>
      <x:c r="P571" s="26" t="str">
        <x:v>Accessibility/UX</x:v>
      </x:c>
      <x:c r="Q571" s="26" t="str">
        <x:v>Release; reviewer=QA/Marketing; gate=Release</x:v>
      </x:c>
    </x:row>
    <x:row r="572" ht="30" customHeight="1">
      <x:c r="A572" s="26" t="str">
        <x:v>REL-ACC-009</x:v>
      </x:c>
      <x:c r="B572" s="26" t="str">
        <x:v>Accesibilidad e inclusión</x:v>
      </x:c>
      <x:c r="C572" s="26" t="str">
        <x:v>31_H6_and_Release_Readiness_Checklist.xlsx</x:v>
      </x:c>
      <x:c r="D572" s="26" t="str">
        <x:v>Las declaraciones de Steam usan la taxonomía correcta y evidencia asociada.</x:v>
      </x:c>
      <x:c r="E572" s="26" t="str">
        <x:v>CHG-RC1-DOC-31</x:v>
      </x:c>
      <x:c r="F572" s="26"/>
      <x:c r="G572" s="26" t="str">
        <x:v>REL-ACC-009</x:v>
      </x:c>
      <x:c r="H572" s="26"/>
      <x:c r="I572" s="26"/>
      <x:c r="J572" s="26" t="str">
        <x:v>NOT RUN</x:v>
      </x:c>
      <x:c r="K572" s="26"/>
      <x:c r="L572" s="26"/>
      <x:c r="M572" s="26" t="str">
        <x:v>RC1</x:v>
      </x:c>
      <x:c r="N572" s="26" t="str">
        <x:v>Defined / Not Executed</x:v>
      </x:c>
      <x:c r="O572" s="26"/>
      <x:c r="P572" s="26" t="str">
        <x:v>Accessibility/UX</x:v>
      </x:c>
      <x:c r="Q572" s="26" t="str">
        <x:v>Release; reviewer=QA/Marketing; gate=Release</x:v>
      </x:c>
    </x:row>
    <x:row r="573" ht="30" customHeight="1">
      <x:c r="A573" s="26" t="str">
        <x:v>REL-ACC-010</x:v>
      </x:c>
      <x:c r="B573" s="26" t="str">
        <x:v>Accesibilidad e inclusión</x:v>
      </x:c>
      <x:c r="C573" s="26" t="str">
        <x:v>31_H6_and_Release_Readiness_Checklist.xlsx</x:v>
      </x:c>
      <x:c r="D573" s="26" t="str">
        <x:v>Las imágenes públicas relevantes incluyen texto alternativo donde la plataforma lo permita.</x:v>
      </x:c>
      <x:c r="E573" s="26" t="str">
        <x:v>CHG-RC1-DOC-31</x:v>
      </x:c>
      <x:c r="F573" s="26"/>
      <x:c r="G573" s="26" t="str">
        <x:v>REL-ACC-010</x:v>
      </x:c>
      <x:c r="H573" s="26"/>
      <x:c r="I573" s="26"/>
      <x:c r="J573" s="26" t="str">
        <x:v>NOT RUN</x:v>
      </x:c>
      <x:c r="K573" s="26"/>
      <x:c r="L573" s="26"/>
      <x:c r="M573" s="26" t="str">
        <x:v>RC1</x:v>
      </x:c>
      <x:c r="N573" s="26" t="str">
        <x:v>Defined / Not Executed</x:v>
      </x:c>
      <x:c r="O573" s="26"/>
      <x:c r="P573" s="26" t="str">
        <x:v>Accessibility/UX</x:v>
      </x:c>
      <x:c r="Q573" s="26" t="str">
        <x:v>Release; reviewer=QA/Marketing; gate=Release</x:v>
      </x:c>
    </x:row>
    <x:row r="574" ht="30" customHeight="1">
      <x:c r="A574" s="26" t="str">
        <x:v>REL-ACC-011</x:v>
      </x:c>
      <x:c r="B574" s="26" t="str">
        <x:v>Accesibilidad e inclusión</x:v>
      </x:c>
      <x:c r="C574" s="26" t="str">
        <x:v>31_H6_and_Release_Readiness_Checklist.xlsx</x:v>
      </x:c>
      <x:c r="D574" s="26" t="str">
        <x:v>El soporte y FAQ incluyen soluciones para barreras conocidas y recuperación de settings.</x:v>
      </x:c>
      <x:c r="E574" s="26" t="str">
        <x:v>CHG-RC1-DOC-31</x:v>
      </x:c>
      <x:c r="F574" s="26"/>
      <x:c r="G574" s="26" t="str">
        <x:v>REL-ACC-011</x:v>
      </x:c>
      <x:c r="H574" s="26"/>
      <x:c r="I574" s="26"/>
      <x:c r="J574" s="26" t="str">
        <x:v>NOT RUN</x:v>
      </x:c>
      <x:c r="K574" s="26"/>
      <x:c r="L574" s="26"/>
      <x:c r="M574" s="26" t="str">
        <x:v>RC1</x:v>
      </x:c>
      <x:c r="N574" s="26" t="str">
        <x:v>Defined / Not Executed</x:v>
      </x:c>
      <x:c r="O574" s="26"/>
      <x:c r="P574" s="26" t="str">
        <x:v>Accessibility/UX</x:v>
      </x:c>
      <x:c r="Q574" s="26" t="str">
        <x:v>Release; reviewer=QA/Marketing; gate=Release</x:v>
      </x:c>
    </x:row>
    <x:row r="575" ht="30" customHeight="1">
      <x:c r="A575" s="26" t="str">
        <x:v>REL-ACC-012</x:v>
      </x:c>
      <x:c r="B575" s="26" t="str">
        <x:v>Accesibilidad e inclusión</x:v>
      </x:c>
      <x:c r="C575" s="26" t="str">
        <x:v>31_H6_and_Release_Readiness_Checklist.xlsx</x:v>
      </x:c>
      <x:c r="D575" s="26" t="str">
        <x:v>Los playtests incluyen participantes o revisión experta para perfiles prioritarios.</x:v>
      </x:c>
      <x:c r="E575" s="26" t="str">
        <x:v>CHG-RC1-DOC-31</x:v>
      </x:c>
      <x:c r="F575" s="26"/>
      <x:c r="G575" s="26" t="str">
        <x:v>REL-ACC-012</x:v>
      </x:c>
      <x:c r="H575" s="26"/>
      <x:c r="I575" s="26"/>
      <x:c r="J575" s="26" t="str">
        <x:v>NOT RUN</x:v>
      </x:c>
      <x:c r="K575" s="26"/>
      <x:c r="L575" s="26"/>
      <x:c r="M575" s="26" t="str">
        <x:v>RC1</x:v>
      </x:c>
      <x:c r="N575" s="26" t="str">
        <x:v>Defined / Not Executed</x:v>
      </x:c>
      <x:c r="O575" s="26"/>
      <x:c r="P575" s="26" t="str">
        <x:v>Accessibility/UX</x:v>
      </x:c>
      <x:c r="Q575" s="26" t="str">
        <x:v>Release; reviewer=QA/Marketing; gate=Release</x:v>
      </x:c>
    </x:row>
    <x:row r="576" ht="30" customHeight="1">
      <x:c r="A576" s="26" t="str">
        <x:v>REL-ACC-013</x:v>
      </x:c>
      <x:c r="B576" s="26" t="str">
        <x:v>Accesibilidad e inclusión</x:v>
      </x:c>
      <x:c r="C576" s="26" t="str">
        <x:v>31_H6_and_Release_Readiness_Checklist.xlsx</x:v>
      </x:c>
      <x:c r="D576" s="26" t="str">
        <x:v>No se utilizan afirmaciones de conformidad WCAG/XAG sin alcance y evidencia claros.</x:v>
      </x:c>
      <x:c r="E576" s="26" t="str">
        <x:v>CHG-RC1-DOC-31</x:v>
      </x:c>
      <x:c r="F576" s="26"/>
      <x:c r="G576" s="26" t="str">
        <x:v>REL-ACC-013</x:v>
      </x:c>
      <x:c r="H576" s="26"/>
      <x:c r="I576" s="26"/>
      <x:c r="J576" s="26" t="str">
        <x:v>NOT RUN</x:v>
      </x:c>
      <x:c r="K576" s="26"/>
      <x:c r="L576" s="26"/>
      <x:c r="M576" s="26" t="str">
        <x:v>RC1</x:v>
      </x:c>
      <x:c r="N576" s="26" t="str">
        <x:v>Defined / Not Executed</x:v>
      </x:c>
      <x:c r="O576" s="26"/>
      <x:c r="P576" s="26" t="str">
        <x:v>Accessibility/UX</x:v>
      </x:c>
      <x:c r="Q576" s="26" t="str">
        <x:v>Release; reviewer=QA/Marketing; gate=Release</x:v>
      </x:c>
    </x:row>
    <x:row r="577" ht="30" customHeight="1">
      <x:c r="A577" s="26" t="str">
        <x:v>REL-ACC-014</x:v>
      </x:c>
      <x:c r="B577" s="26" t="str">
        <x:v>Accesibilidad e inclusión</x:v>
      </x:c>
      <x:c r="C577" s="26" t="str">
        <x:v>31_H6_and_Release_Readiness_Checklist.xlsx</x:v>
      </x:c>
      <x:c r="D577" s="26" t="str">
        <x:v>Las limitaciones conocidas se documentan con lenguaje respetuoso y preciso.</x:v>
      </x:c>
      <x:c r="E577" s="26" t="str">
        <x:v>CHG-RC1-DOC-31</x:v>
      </x:c>
      <x:c r="F577" s="26"/>
      <x:c r="G577" s="26" t="str">
        <x:v>REL-ACC-014</x:v>
      </x:c>
      <x:c r="H577" s="26"/>
      <x:c r="I577" s="26"/>
      <x:c r="J577" s="26" t="str">
        <x:v>NOT RUN</x:v>
      </x:c>
      <x:c r="K577" s="26"/>
      <x:c r="L577" s="26"/>
      <x:c r="M577" s="26" t="str">
        <x:v>RC1</x:v>
      </x:c>
      <x:c r="N577" s="26" t="str">
        <x:v>Defined / Not Executed</x:v>
      </x:c>
      <x:c r="O577" s="26"/>
      <x:c r="P577" s="26" t="str">
        <x:v>Accessibility/UX</x:v>
      </x:c>
      <x:c r="Q577" s="26" t="str">
        <x:v>Release; reviewer=QA/Marketing; gate=Release</x:v>
      </x:c>
    </x:row>
    <x:row r="578" ht="30" customHeight="1">
      <x:c r="A578" s="26" t="str">
        <x:v>REL-LOC-001</x:v>
      </x:c>
      <x:c r="B578" s="26" t="str">
        <x:v>Localización de producto y tienda</x:v>
      </x:c>
      <x:c r="C578" s="26" t="str">
        <x:v>31_H6_and_Release_Readiness_Checklist.xlsx</x:v>
      </x:c>
      <x:c r="D578" s="26" t="str">
        <x:v>La build RC contiene traducción completa de todo contenido declarado para ES/EN.</x:v>
      </x:c>
      <x:c r="E578" s="26" t="str">
        <x:v>CHG-RC1-DOC-31</x:v>
      </x:c>
      <x:c r="F578" s="26"/>
      <x:c r="G578" s="26" t="str">
        <x:v>REL-LOC-001</x:v>
      </x:c>
      <x:c r="H578" s="26"/>
      <x:c r="I578" s="26"/>
      <x:c r="J578" s="26" t="str">
        <x:v>NOT RUN</x:v>
      </x:c>
      <x:c r="K578" s="26"/>
      <x:c r="L578" s="26"/>
      <x:c r="M578" s="26" t="str">
        <x:v>RC1</x:v>
      </x:c>
      <x:c r="N578" s="26" t="str">
        <x:v>Defined / Not Executed</x:v>
      </x:c>
      <x:c r="O578" s="26"/>
      <x:c r="P578" s="26" t="str">
        <x:v>Localization</x:v>
      </x:c>
      <x:c r="Q578" s="26" t="str">
        <x:v>Release; reviewer=LQA/Legal/Marketing; gate=Release</x:v>
      </x:c>
    </x:row>
    <x:row r="579" ht="30" customHeight="1">
      <x:c r="A579" s="26" t="str">
        <x:v>REL-LOC-002</x:v>
      </x:c>
      <x:c r="B579" s="26" t="str">
        <x:v>Localización de producto y tienda</x:v>
      </x:c>
      <x:c r="C579" s="26" t="str">
        <x:v>31_H6_and_Release_Readiness_Checklist.xlsx</x:v>
      </x:c>
      <x:c r="D579" s="26" t="str">
        <x:v>Los metadatos de Steam, screenshots con texto, trailer y FAQ están localizados donde corresponda.</x:v>
      </x:c>
      <x:c r="E579" s="26" t="str">
        <x:v>CHG-RC1-DOC-31</x:v>
      </x:c>
      <x:c r="F579" s="26"/>
      <x:c r="G579" s="26" t="str">
        <x:v>REL-LOC-002</x:v>
      </x:c>
      <x:c r="H579" s="26"/>
      <x:c r="I579" s="26"/>
      <x:c r="J579" s="26" t="str">
        <x:v>NOT RUN</x:v>
      </x:c>
      <x:c r="K579" s="26"/>
      <x:c r="L579" s="26"/>
      <x:c r="M579" s="26" t="str">
        <x:v>RC1</x:v>
      </x:c>
      <x:c r="N579" s="26" t="str">
        <x:v>Defined / Not Executed</x:v>
      </x:c>
      <x:c r="O579" s="26"/>
      <x:c r="P579" s="26" t="str">
        <x:v>Localization</x:v>
      </x:c>
      <x:c r="Q579" s="26" t="str">
        <x:v>Release; reviewer=LQA/Legal/Marketing; gate=Release</x:v>
      </x:c>
    </x:row>
    <x:row r="580" ht="30" customHeight="1">
      <x:c r="A580" s="26" t="str">
        <x:v>REL-LOC-003</x:v>
      </x:c>
      <x:c r="B580" s="26" t="str">
        <x:v>Localización de producto y tienda</x:v>
      </x:c>
      <x:c r="C580" s="26" t="str">
        <x:v>31_H6_and_Release_Readiness_Checklist.xlsx</x:v>
      </x:c>
      <x:c r="D580" s="26" t="str">
        <x:v>La LQA se ejecuta sobre RC en ambos idiomas y configuraciones críticas.</x:v>
      </x:c>
      <x:c r="E580" s="26" t="str">
        <x:v>CHG-RC1-DOC-31</x:v>
      </x:c>
      <x:c r="F580" s="26"/>
      <x:c r="G580" s="26" t="str">
        <x:v>REL-LOC-003</x:v>
      </x:c>
      <x:c r="H580" s="26"/>
      <x:c r="I580" s="26"/>
      <x:c r="J580" s="26" t="str">
        <x:v>NOT RUN</x:v>
      </x:c>
      <x:c r="K580" s="26"/>
      <x:c r="L580" s="26"/>
      <x:c r="M580" s="26" t="str">
        <x:v>RC1</x:v>
      </x:c>
      <x:c r="N580" s="26" t="str">
        <x:v>Defined / Not Executed</x:v>
      </x:c>
      <x:c r="O580" s="26"/>
      <x:c r="P580" s="26" t="str">
        <x:v>Localization</x:v>
      </x:c>
      <x:c r="Q580" s="26" t="str">
        <x:v>Release; reviewer=LQA/Legal/Marketing; gate=Release</x:v>
      </x:c>
    </x:row>
    <x:row r="581" ht="30" customHeight="1">
      <x:c r="A581" s="26" t="str">
        <x:v>REL-LOC-004</x:v>
      </x:c>
      <x:c r="B581" s="26" t="str">
        <x:v>Localización de producto y tienda</x:v>
      </x:c>
      <x:c r="C581" s="26" t="str">
        <x:v>31_H6_and_Release_Readiness_Checklist.xlsx</x:v>
      </x:c>
      <x:c r="D581" s="26" t="str">
        <x:v>No existen missing keys, fallbacks visibles o glyphs ausentes en RC.</x:v>
      </x:c>
      <x:c r="E581" s="26" t="str">
        <x:v>CHG-RC1-DOC-31</x:v>
      </x:c>
      <x:c r="F581" s="26"/>
      <x:c r="G581" s="26" t="str">
        <x:v>REL-LOC-004</x:v>
      </x:c>
      <x:c r="H581" s="26"/>
      <x:c r="I581" s="26"/>
      <x:c r="J581" s="26" t="str">
        <x:v>NOT RUN</x:v>
      </x:c>
      <x:c r="K581" s="26"/>
      <x:c r="L581" s="26"/>
      <x:c r="M581" s="26" t="str">
        <x:v>RC1</x:v>
      </x:c>
      <x:c r="N581" s="26" t="str">
        <x:v>Defined / Not Executed</x:v>
      </x:c>
      <x:c r="O581" s="26"/>
      <x:c r="P581" s="26" t="str">
        <x:v>Localization</x:v>
      </x:c>
      <x:c r="Q581" s="26" t="str">
        <x:v>Release; reviewer=LQA/Legal/Marketing; gate=Release</x:v>
      </x:c>
    </x:row>
    <x:row r="582" ht="30" customHeight="1">
      <x:c r="A582" s="26" t="str">
        <x:v>REL-LOC-005</x:v>
      </x:c>
      <x:c r="B582" s="26" t="str">
        <x:v>Localización de producto y tienda</x:v>
      </x:c>
      <x:c r="C582" s="26" t="str">
        <x:v>31_H6_and_Release_Readiness_Checklist.xlsx</x:v>
      </x:c>
      <x:c r="D582" s="26" t="str">
        <x:v>Números, moneda, fechas, plurales y variables funcionan en todas las superficies.</x:v>
      </x:c>
      <x:c r="E582" s="26" t="str">
        <x:v>CHG-RC1-DOC-31</x:v>
      </x:c>
      <x:c r="F582" s="26"/>
      <x:c r="G582" s="26" t="str">
        <x:v>REL-LOC-005</x:v>
      </x:c>
      <x:c r="H582" s="26"/>
      <x:c r="I582" s="26"/>
      <x:c r="J582" s="26" t="str">
        <x:v>NOT RUN</x:v>
      </x:c>
      <x:c r="K582" s="26"/>
      <x:c r="L582" s="26"/>
      <x:c r="M582" s="26" t="str">
        <x:v>RC1</x:v>
      </x:c>
      <x:c r="N582" s="26" t="str">
        <x:v>Defined / Not Executed</x:v>
      </x:c>
      <x:c r="O582" s="26"/>
      <x:c r="P582" s="26" t="str">
        <x:v>Localization</x:v>
      </x:c>
      <x:c r="Q582" s="26" t="str">
        <x:v>Release; reviewer=LQA/Legal/Marketing; gate=Release</x:v>
      </x:c>
    </x:row>
    <x:row r="583" ht="30" customHeight="1">
      <x:c r="A583" s="26" t="str">
        <x:v>REL-LOC-006</x:v>
      </x:c>
      <x:c r="B583" s="26" t="str">
        <x:v>Localización de producto y tienda</x:v>
      </x:c>
      <x:c r="C583" s="26" t="str">
        <x:v>31_H6_and_Release_Readiness_Checklist.xlsx</x:v>
      </x:c>
      <x:c r="D583" s="26" t="str">
        <x:v>Los textos legales y de privacidad han sido revisados en idiomas publicados.</x:v>
      </x:c>
      <x:c r="E583" s="26" t="str">
        <x:v>CHG-RC1-DOC-31</x:v>
      </x:c>
      <x:c r="F583" s="26"/>
      <x:c r="G583" s="26" t="str">
        <x:v>REL-LOC-006</x:v>
      </x:c>
      <x:c r="H583" s="26"/>
      <x:c r="I583" s="26"/>
      <x:c r="J583" s="26" t="str">
        <x:v>NOT RUN</x:v>
      </x:c>
      <x:c r="K583" s="26"/>
      <x:c r="L583" s="26"/>
      <x:c r="M583" s="26" t="str">
        <x:v>RC1</x:v>
      </x:c>
      <x:c r="N583" s="26" t="str">
        <x:v>Defined / Not Executed</x:v>
      </x:c>
      <x:c r="O583" s="26"/>
      <x:c r="P583" s="26" t="str">
        <x:v>Localization</x:v>
      </x:c>
      <x:c r="Q583" s="26" t="str">
        <x:v>Release; reviewer=LQA/Legal/Marketing; gate=Release</x:v>
      </x:c>
    </x:row>
    <x:row r="584" ht="30" customHeight="1">
      <x:c r="A584" s="26" t="str">
        <x:v>REL-LOC-007</x:v>
      </x:c>
      <x:c r="B584" s="26" t="str">
        <x:v>Localización de producto y tienda</x:v>
      </x:c>
      <x:c r="C584" s="26" t="str">
        <x:v>31_H6_and_Release_Readiness_Checklist.xlsx</x:v>
      </x:c>
      <x:c r="D584" s="26" t="str">
        <x:v>El glosario y style guide están congelados para RC.</x:v>
      </x:c>
      <x:c r="E584" s="26" t="str">
        <x:v>CHG-RC1-DOC-31</x:v>
      </x:c>
      <x:c r="F584" s="26"/>
      <x:c r="G584" s="26" t="str">
        <x:v>REL-LOC-007</x:v>
      </x:c>
      <x:c r="H584" s="26"/>
      <x:c r="I584" s="26"/>
      <x:c r="J584" s="26" t="str">
        <x:v>NOT RUN</x:v>
      </x:c>
      <x:c r="K584" s="26"/>
      <x:c r="L584" s="26"/>
      <x:c r="M584" s="26" t="str">
        <x:v>RC1</x:v>
      </x:c>
      <x:c r="N584" s="26" t="str">
        <x:v>Defined / Not Executed</x:v>
      </x:c>
      <x:c r="O584" s="26"/>
      <x:c r="P584" s="26" t="str">
        <x:v>Localization</x:v>
      </x:c>
      <x:c r="Q584" s="26" t="str">
        <x:v>Release; reviewer=LQA/Legal/Marketing; gate=Release</x:v>
      </x:c>
    </x:row>
    <x:row r="585" ht="30" customHeight="1">
      <x:c r="A585" s="26" t="str">
        <x:v>REL-LOC-008</x:v>
      </x:c>
      <x:c r="B585" s="26" t="str">
        <x:v>Localización de producto y tienda</x:v>
      </x:c>
      <x:c r="C585" s="26" t="str">
        <x:v>31_H6_and_Release_Readiness_Checklist.xlsx</x:v>
      </x:c>
      <x:c r="D585" s="26" t="str">
        <x:v>Los cambios posteriores al freeze reabren traducción y LQA afectada.</x:v>
      </x:c>
      <x:c r="E585" s="26" t="str">
        <x:v>CHG-RC1-DOC-31</x:v>
      </x:c>
      <x:c r="F585" s="26"/>
      <x:c r="G585" s="26" t="str">
        <x:v>REL-LOC-008</x:v>
      </x:c>
      <x:c r="H585" s="26"/>
      <x:c r="I585" s="26"/>
      <x:c r="J585" s="26" t="str">
        <x:v>NOT RUN</x:v>
      </x:c>
      <x:c r="K585" s="26"/>
      <x:c r="L585" s="26"/>
      <x:c r="M585" s="26" t="str">
        <x:v>RC1</x:v>
      </x:c>
      <x:c r="N585" s="26" t="str">
        <x:v>Defined / Not Executed</x:v>
      </x:c>
      <x:c r="O585" s="26"/>
      <x:c r="P585" s="26" t="str">
        <x:v>Localization</x:v>
      </x:c>
      <x:c r="Q585" s="26" t="str">
        <x:v>Release; reviewer=LQA/Legal/Marketing; gate=Release</x:v>
      </x:c>
    </x:row>
    <x:row r="586" ht="30" customHeight="1">
      <x:c r="A586" s="26" t="str">
        <x:v>REL-LOC-009</x:v>
      </x:c>
      <x:c r="B586" s="26" t="str">
        <x:v>Localización de producto y tienda</x:v>
      </x:c>
      <x:c r="C586" s="26" t="str">
        <x:v>31_H6_and_Release_Readiness_Checklist.xlsx</x:v>
      </x:c>
      <x:c r="D586" s="26" t="str">
        <x:v>Los nombres de producto/tienda y términos ficticios son consistentes entre juego y marketing.</x:v>
      </x:c>
      <x:c r="E586" s="26" t="str">
        <x:v>CHG-RC1-DOC-31</x:v>
      </x:c>
      <x:c r="F586" s="26"/>
      <x:c r="G586" s="26" t="str">
        <x:v>REL-LOC-009</x:v>
      </x:c>
      <x:c r="H586" s="26"/>
      <x:c r="I586" s="26"/>
      <x:c r="J586" s="26" t="str">
        <x:v>NOT RUN</x:v>
      </x:c>
      <x:c r="K586" s="26"/>
      <x:c r="L586" s="26"/>
      <x:c r="M586" s="26" t="str">
        <x:v>RC1</x:v>
      </x:c>
      <x:c r="N586" s="26" t="str">
        <x:v>Defined / Not Executed</x:v>
      </x:c>
      <x:c r="O586" s="26"/>
      <x:c r="P586" s="26" t="str">
        <x:v>Localization</x:v>
      </x:c>
      <x:c r="Q586" s="26" t="str">
        <x:v>Release; reviewer=LQA/Legal/Marketing; gate=Release</x:v>
      </x:c>
    </x:row>
    <x:row r="587" ht="30" customHeight="1">
      <x:c r="A587" s="26" t="str">
        <x:v>REL-LOC-010</x:v>
      </x:c>
      <x:c r="B587" s="26" t="str">
        <x:v>Localización de producto y tienda</x:v>
      </x:c>
      <x:c r="C587" s="26" t="str">
        <x:v>31_H6_and_Release_Readiness_Checklist.xlsx</x:v>
      </x:c>
      <x:c r="D587" s="26" t="str">
        <x:v>Los créditos de traducción y proveedores están completos.</x:v>
      </x:c>
      <x:c r="E587" s="26" t="str">
        <x:v>CHG-RC1-DOC-31</x:v>
      </x:c>
      <x:c r="F587" s="26"/>
      <x:c r="G587" s="26" t="str">
        <x:v>REL-LOC-010</x:v>
      </x:c>
      <x:c r="H587" s="26"/>
      <x:c r="I587" s="26"/>
      <x:c r="J587" s="26" t="str">
        <x:v>NOT RUN</x:v>
      </x:c>
      <x:c r="K587" s="26"/>
      <x:c r="L587" s="26"/>
      <x:c r="M587" s="26" t="str">
        <x:v>RC1</x:v>
      </x:c>
      <x:c r="N587" s="26" t="str">
        <x:v>Defined / Not Executed</x:v>
      </x:c>
      <x:c r="O587" s="26"/>
      <x:c r="P587" s="26" t="str">
        <x:v>Localization</x:v>
      </x:c>
      <x:c r="Q587" s="26" t="str">
        <x:v>Release; reviewer=LQA/Legal/Marketing; gate=Release</x:v>
      </x:c>
    </x:row>
    <x:row r="588" ht="30" customHeight="1">
      <x:c r="A588" s="26" t="str">
        <x:v>REL-LOC-011</x:v>
      </x:c>
      <x:c r="B588" s="26" t="str">
        <x:v>Localización de producto y tienda</x:v>
      </x:c>
      <x:c r="C588" s="26" t="str">
        <x:v>31_H6_and_Release_Readiness_Checklist.xlsx</x:v>
      </x:c>
      <x:c r="D588" s="26" t="str">
        <x:v>La página de Steam no marca idiomas no soportados o soporte de audio inexistente.</x:v>
      </x:c>
      <x:c r="E588" s="26" t="str">
        <x:v>CHG-RC1-DOC-31</x:v>
      </x:c>
      <x:c r="F588" s="26"/>
      <x:c r="G588" s="26" t="str">
        <x:v>REL-LOC-011</x:v>
      </x:c>
      <x:c r="H588" s="26"/>
      <x:c r="I588" s="26"/>
      <x:c r="J588" s="26" t="str">
        <x:v>NOT RUN</x:v>
      </x:c>
      <x:c r="K588" s="26"/>
      <x:c r="L588" s="26"/>
      <x:c r="M588" s="26" t="str">
        <x:v>RC1</x:v>
      </x:c>
      <x:c r="N588" s="26" t="str">
        <x:v>Defined / Not Executed</x:v>
      </x:c>
      <x:c r="O588" s="26"/>
      <x:c r="P588" s="26" t="str">
        <x:v>Localization</x:v>
      </x:c>
      <x:c r="Q588" s="26" t="str">
        <x:v>Release; reviewer=LQA/Legal/Marketing; gate=Release</x:v>
      </x:c>
    </x:row>
    <x:row r="589" ht="30" customHeight="1">
      <x:c r="A589" s="26" t="str">
        <x:v>REL-LOC-012</x:v>
      </x:c>
      <x:c r="B589" s="26" t="str">
        <x:v>Localización de producto y tienda</x:v>
      </x:c>
      <x:c r="C589" s="26" t="str">
        <x:v>31_H6_and_Release_Readiness_Checklist.xlsx</x:v>
      </x:c>
      <x:c r="D589" s="26" t="str">
        <x:v>El pipeline permite parchear texto sin romper IDs o saves.</x:v>
      </x:c>
      <x:c r="E589" s="26" t="str">
        <x:v>CHG-RC1-DOC-31</x:v>
      </x:c>
      <x:c r="F589" s="26"/>
      <x:c r="G589" s="26" t="str">
        <x:v>REL-LOC-012</x:v>
      </x:c>
      <x:c r="H589" s="26"/>
      <x:c r="I589" s="26"/>
      <x:c r="J589" s="26" t="str">
        <x:v>NOT RUN</x:v>
      </x:c>
      <x:c r="K589" s="26"/>
      <x:c r="L589" s="26"/>
      <x:c r="M589" s="26" t="str">
        <x:v>RC1</x:v>
      </x:c>
      <x:c r="N589" s="26" t="str">
        <x:v>Defined / Not Executed</x:v>
      </x:c>
      <x:c r="O589" s="26"/>
      <x:c r="P589" s="26" t="str">
        <x:v>Localization</x:v>
      </x:c>
      <x:c r="Q589" s="26" t="str">
        <x:v>Release; reviewer=LQA/Legal/Marketing; gate=Release</x:v>
      </x:c>
    </x:row>
    <x:row r="590" ht="30" customHeight="1">
      <x:c r="A590" s="26" t="str">
        <x:v>REL-LEG-001</x:v>
      </x:c>
      <x:c r="B590" s="26" t="str">
        <x:v>Legal, privacidad y créditos</x:v>
      </x:c>
      <x:c r="C590" s="26" t="str">
        <x:v>31_H6_and_Release_Readiness_Checklist.xlsx</x:v>
      </x:c>
      <x:c r="D590" s="26" t="str">
        <x:v>Naming, marcas y assets públicos tienen clearance comercial suficiente.</x:v>
      </x:c>
      <x:c r="E590" s="26" t="str">
        <x:v>CHG-RC1-DOC-31</x:v>
      </x:c>
      <x:c r="F590" s="26"/>
      <x:c r="G590" s="26" t="str">
        <x:v>REL-LEG-001</x:v>
      </x:c>
      <x:c r="H590" s="26"/>
      <x:c r="I590" s="26"/>
      <x:c r="J590" s="26" t="str">
        <x:v>NOT RUN</x:v>
      </x:c>
      <x:c r="K590" s="26"/>
      <x:c r="L590" s="26"/>
      <x:c r="M590" s="26" t="str">
        <x:v>RC1</x:v>
      </x:c>
      <x:c r="N590" s="26" t="str">
        <x:v>Defined / Not Executed</x:v>
      </x:c>
      <x:c r="O590" s="26"/>
      <x:c r="P590" s="26" t="str">
        <x:v>Legal/Privacy</x:v>
      </x:c>
      <x:c r="Q590" s="26" t="str">
        <x:v>Release; reviewer=Production/Marketing; gate=Release</x:v>
      </x:c>
    </x:row>
    <x:row r="591" ht="30" customHeight="1">
      <x:c r="A591" s="26" t="str">
        <x:v>REL-LEG-002</x:v>
      </x:c>
      <x:c r="B591" s="26" t="str">
        <x:v>Legal, privacidad y créditos</x:v>
      </x:c>
      <x:c r="C591" s="26" t="str">
        <x:v>31_H6_and_Release_Readiness_Checklist.xlsx</x:v>
      </x:c>
      <x:c r="D591" s="26" t="str">
        <x:v>El registro de licencias cubre cada archivo distribuido de terceros.</x:v>
      </x:c>
      <x:c r="E591" s="26" t="str">
        <x:v>CHG-RC1-DOC-31</x:v>
      </x:c>
      <x:c r="F591" s="26"/>
      <x:c r="G591" s="26" t="str">
        <x:v>REL-LEG-002</x:v>
      </x:c>
      <x:c r="H591" s="26"/>
      <x:c r="I591" s="26"/>
      <x:c r="J591" s="26" t="str">
        <x:v>NOT RUN</x:v>
      </x:c>
      <x:c r="K591" s="26"/>
      <x:c r="L591" s="26"/>
      <x:c r="M591" s="26" t="str">
        <x:v>RC1</x:v>
      </x:c>
      <x:c r="N591" s="26" t="str">
        <x:v>Defined / Not Executed</x:v>
      </x:c>
      <x:c r="O591" s="26"/>
      <x:c r="P591" s="26" t="str">
        <x:v>Legal/Privacy</x:v>
      </x:c>
      <x:c r="Q591" s="26" t="str">
        <x:v>Release; reviewer=Production/Marketing; gate=Release</x:v>
      </x:c>
    </x:row>
    <x:row r="592" ht="30" customHeight="1">
      <x:c r="A592" s="26" t="str">
        <x:v>REL-LEG-003</x:v>
      </x:c>
      <x:c r="B592" s="26" t="str">
        <x:v>Legal, privacidad y créditos</x:v>
      </x:c>
      <x:c r="C592" s="26" t="str">
        <x:v>31_H6_and_Release_Readiness_Checklist.xlsx</x:v>
      </x:c>
      <x:c r="D592" s="26" t="str">
        <x:v>Notices, atribuciones y créditos obligatorios están incluidos y accesibles.</x:v>
      </x:c>
      <x:c r="E592" s="26" t="str">
        <x:v>CHG-RC1-DOC-31</x:v>
      </x:c>
      <x:c r="F592" s="26"/>
      <x:c r="G592" s="26" t="str">
        <x:v>REL-LEG-003</x:v>
      </x:c>
      <x:c r="H592" s="26"/>
      <x:c r="I592" s="26"/>
      <x:c r="J592" s="26" t="str">
        <x:v>NOT RUN</x:v>
      </x:c>
      <x:c r="K592" s="26"/>
      <x:c r="L592" s="26"/>
      <x:c r="M592" s="26" t="str">
        <x:v>RC1</x:v>
      </x:c>
      <x:c r="N592" s="26" t="str">
        <x:v>Defined / Not Executed</x:v>
      </x:c>
      <x:c r="O592" s="26"/>
      <x:c r="P592" s="26" t="str">
        <x:v>Legal/Privacy</x:v>
      </x:c>
      <x:c r="Q592" s="26" t="str">
        <x:v>Release; reviewer=Production/Marketing; gate=Release</x:v>
      </x:c>
    </x:row>
    <x:row r="593" ht="30" customHeight="1">
      <x:c r="A593" s="26" t="str">
        <x:v>REL-LEG-004</x:v>
      </x:c>
      <x:c r="B593" s="26" t="str">
        <x:v>Legal, privacidad y créditos</x:v>
      </x:c>
      <x:c r="C593" s="26" t="str">
        <x:v>31_H6_and_Release_Readiness_Checklist.xlsx</x:v>
      </x:c>
      <x:c r="D593" s="26" t="str">
        <x:v>La política de privacidad publicada coincide con datos y proveedores reales.</x:v>
      </x:c>
      <x:c r="E593" s="26" t="str">
        <x:v>CHG-RC1-DOC-31</x:v>
      </x:c>
      <x:c r="F593" s="26"/>
      <x:c r="G593" s="26" t="str">
        <x:v>REL-LEG-004</x:v>
      </x:c>
      <x:c r="H593" s="26"/>
      <x:c r="I593" s="26"/>
      <x:c r="J593" s="26" t="str">
        <x:v>NOT RUN</x:v>
      </x:c>
      <x:c r="K593" s="26"/>
      <x:c r="L593" s="26"/>
      <x:c r="M593" s="26" t="str">
        <x:v>RC1</x:v>
      </x:c>
      <x:c r="N593" s="26" t="str">
        <x:v>Defined / Not Executed</x:v>
      </x:c>
      <x:c r="O593" s="26"/>
      <x:c r="P593" s="26" t="str">
        <x:v>Legal/Privacy</x:v>
      </x:c>
      <x:c r="Q593" s="26" t="str">
        <x:v>Release; reviewer=Production/Marketing; gate=Release</x:v>
      </x:c>
    </x:row>
    <x:row r="594" ht="30" customHeight="1">
      <x:c r="A594" s="26" t="str">
        <x:v>REL-LEG-005</x:v>
      </x:c>
      <x:c r="B594" s="26" t="str">
        <x:v>Legal, privacidad y créditos</x:v>
      </x:c>
      <x:c r="C594" s="26" t="str">
        <x:v>31_H6_and_Release_Readiness_Checklist.xlsx</x:v>
      </x:c>
      <x:c r="D594" s="26" t="str">
        <x:v>Consentimiento y preferencias de telemetría cumplen el plan aprobado.</x:v>
      </x:c>
      <x:c r="E594" s="26" t="str">
        <x:v>CHG-RC1-DOC-31</x:v>
      </x:c>
      <x:c r="F594" s="26"/>
      <x:c r="G594" s="26" t="str">
        <x:v>REL-LEG-005</x:v>
      </x:c>
      <x:c r="H594" s="26"/>
      <x:c r="I594" s="26"/>
      <x:c r="J594" s="26" t="str">
        <x:v>NOT RUN</x:v>
      </x:c>
      <x:c r="K594" s="26"/>
      <x:c r="L594" s="26"/>
      <x:c r="M594" s="26" t="str">
        <x:v>RC1</x:v>
      </x:c>
      <x:c r="N594" s="26" t="str">
        <x:v>Defined / Not Executed</x:v>
      </x:c>
      <x:c r="O594" s="26"/>
      <x:c r="P594" s="26" t="str">
        <x:v>Legal/Privacy</x:v>
      </x:c>
      <x:c r="Q594" s="26" t="str">
        <x:v>Release; reviewer=Production/Marketing; gate=Release</x:v>
      </x:c>
    </x:row>
    <x:row r="595" ht="30" customHeight="1">
      <x:c r="A595" s="26" t="str">
        <x:v>REL-LEG-006</x:v>
      </x:c>
      <x:c r="B595" s="26" t="str">
        <x:v>Legal, privacidad y créditos</x:v>
      </x:c>
      <x:c r="C595" s="26" t="str">
        <x:v>31_H6_and_Release_Readiness_Checklist.xlsx</x:v>
      </x:c>
      <x:c r="D595" s="26" t="str">
        <x:v>El EULA u otros términos, si se usan, han sido revisados y localizados.</x:v>
      </x:c>
      <x:c r="E595" s="26" t="str">
        <x:v>CHG-RC1-DOC-31</x:v>
      </x:c>
      <x:c r="F595" s="26"/>
      <x:c r="G595" s="26" t="str">
        <x:v>REL-LEG-006</x:v>
      </x:c>
      <x:c r="H595" s="26"/>
      <x:c r="I595" s="26"/>
      <x:c r="J595" s="26" t="str">
        <x:v>NOT RUN</x:v>
      </x:c>
      <x:c r="K595" s="26"/>
      <x:c r="L595" s="26"/>
      <x:c r="M595" s="26" t="str">
        <x:v>RC1</x:v>
      </x:c>
      <x:c r="N595" s="26" t="str">
        <x:v>Defined / Not Executed</x:v>
      </x:c>
      <x:c r="O595" s="26"/>
      <x:c r="P595" s="26" t="str">
        <x:v>Legal/Privacy</x:v>
      </x:c>
      <x:c r="Q595" s="26" t="str">
        <x:v>Release; reviewer=Production/Marketing; gate=Release</x:v>
      </x:c>
    </x:row>
    <x:row r="596" ht="30" customHeight="1">
      <x:c r="A596" s="26" t="str">
        <x:v>REL-LEG-007</x:v>
      </x:c>
      <x:c r="B596" s="26" t="str">
        <x:v>Legal, privacidad y créditos</x:v>
      </x:c>
      <x:c r="C596" s="26" t="str">
        <x:v>31_H6_and_Release_Readiness_Checklist.xlsx</x:v>
      </x:c>
      <x:c r="D596" s="26" t="str">
        <x:v>Las clasificaciones de edad y disclosures de contenido están completados.</x:v>
      </x:c>
      <x:c r="E596" s="26" t="str">
        <x:v>CHG-RC1-DOC-31</x:v>
      </x:c>
      <x:c r="F596" s="26"/>
      <x:c r="G596" s="26" t="str">
        <x:v>REL-LEG-007</x:v>
      </x:c>
      <x:c r="H596" s="26"/>
      <x:c r="I596" s="26"/>
      <x:c r="J596" s="26" t="str">
        <x:v>NOT RUN</x:v>
      </x:c>
      <x:c r="K596" s="26"/>
      <x:c r="L596" s="26"/>
      <x:c r="M596" s="26" t="str">
        <x:v>RC1</x:v>
      </x:c>
      <x:c r="N596" s="26" t="str">
        <x:v>Defined / Not Executed</x:v>
      </x:c>
      <x:c r="O596" s="26"/>
      <x:c r="P596" s="26" t="str">
        <x:v>Legal/Privacy</x:v>
      </x:c>
      <x:c r="Q596" s="26" t="str">
        <x:v>Release; reviewer=Production/Marketing; gate=Release</x:v>
      </x:c>
    </x:row>
    <x:row r="597" ht="30" customHeight="1">
      <x:c r="A597" s="26" t="str">
        <x:v>REL-LEG-008</x:v>
      </x:c>
      <x:c r="B597" s="26" t="str">
        <x:v>Legal, privacidad y créditos</x:v>
      </x:c>
      <x:c r="C597" s="26" t="str">
        <x:v>31_H6_and_Release_Readiness_Checklist.xlsx</x:v>
      </x:c>
      <x:c r="D597" s="26" t="str">
        <x:v>Los derechos de música, audio, fuentes, imágenes y trailer cubren marketing y distribución.</x:v>
      </x:c>
      <x:c r="E597" s="26" t="str">
        <x:v>CHG-RC1-DOC-31</x:v>
      </x:c>
      <x:c r="F597" s="26"/>
      <x:c r="G597" s="26" t="str">
        <x:v>REL-LEG-008</x:v>
      </x:c>
      <x:c r="H597" s="26"/>
      <x:c r="I597" s="26"/>
      <x:c r="J597" s="26" t="str">
        <x:v>NOT RUN</x:v>
      </x:c>
      <x:c r="K597" s="26"/>
      <x:c r="L597" s="26"/>
      <x:c r="M597" s="26" t="str">
        <x:v>RC1</x:v>
      </x:c>
      <x:c r="N597" s="26" t="str">
        <x:v>Defined / Not Executed</x:v>
      </x:c>
      <x:c r="O597" s="26"/>
      <x:c r="P597" s="26" t="str">
        <x:v>Legal/Privacy</x:v>
      </x:c>
      <x:c r="Q597" s="26" t="str">
        <x:v>Release; reviewer=Production/Marketing; gate=Release</x:v>
      </x:c>
    </x:row>
    <x:row r="598" ht="30" customHeight="1">
      <x:c r="A598" s="26" t="str">
        <x:v>REL-LEG-009</x:v>
      </x:c>
      <x:c r="B598" s="26" t="str">
        <x:v>Legal, privacidad y créditos</x:v>
      </x:c>
      <x:c r="C598" s="26" t="str">
        <x:v>31_H6_and_Release_Readiness_Checklist.xlsx</x:v>
      </x:c>
      <x:c r="D598" s="26" t="str">
        <x:v>Los nombres/créditos de colaboradores cuentan con autorización y formato acordado.</x:v>
      </x:c>
      <x:c r="E598" s="26" t="str">
        <x:v>CHG-RC1-DOC-31</x:v>
      </x:c>
      <x:c r="F598" s="26"/>
      <x:c r="G598" s="26" t="str">
        <x:v>REL-LEG-009</x:v>
      </x:c>
      <x:c r="H598" s="26"/>
      <x:c r="I598" s="26"/>
      <x:c r="J598" s="26" t="str">
        <x:v>NOT RUN</x:v>
      </x:c>
      <x:c r="K598" s="26"/>
      <x:c r="L598" s="26"/>
      <x:c r="M598" s="26" t="str">
        <x:v>RC1</x:v>
      </x:c>
      <x:c r="N598" s="26" t="str">
        <x:v>Defined / Not Executed</x:v>
      </x:c>
      <x:c r="O598" s="26"/>
      <x:c r="P598" s="26" t="str">
        <x:v>Legal/Privacy</x:v>
      </x:c>
      <x:c r="Q598" s="26" t="str">
        <x:v>Release; reviewer=Production/Marketing; gate=Release</x:v>
      </x:c>
    </x:row>
    <x:row r="599" ht="30" customHeight="1">
      <x:c r="A599" s="26" t="str">
        <x:v>REL-LEG-010</x:v>
      </x:c>
      <x:c r="B599" s="26" t="str">
        <x:v>Legal, privacidad y créditos</x:v>
      </x:c>
      <x:c r="C599" s="26" t="str">
        <x:v>31_H6_and_Release_Readiness_Checklist.xlsx</x:v>
      </x:c>
      <x:c r="D599" s="26" t="str">
        <x:v>Los proveedores que tratan datos están inventariados y contratados cuando corresponde.</x:v>
      </x:c>
      <x:c r="E599" s="26" t="str">
        <x:v>CHG-RC1-DOC-31</x:v>
      </x:c>
      <x:c r="F599" s="26"/>
      <x:c r="G599" s="26" t="str">
        <x:v>REL-LEG-010</x:v>
      </x:c>
      <x:c r="H599" s="26"/>
      <x:c r="I599" s="26"/>
      <x:c r="J599" s="26" t="str">
        <x:v>NOT RUN</x:v>
      </x:c>
      <x:c r="K599" s="26"/>
      <x:c r="L599" s="26"/>
      <x:c r="M599" s="26" t="str">
        <x:v>RC1</x:v>
      </x:c>
      <x:c r="N599" s="26" t="str">
        <x:v>Defined / Not Executed</x:v>
      </x:c>
      <x:c r="O599" s="26"/>
      <x:c r="P599" s="26" t="str">
        <x:v>Legal/Privacy</x:v>
      </x:c>
      <x:c r="Q599" s="26" t="str">
        <x:v>Release; reviewer=Production/Marketing; gate=Release</x:v>
      </x:c>
    </x:row>
    <x:row r="600" ht="30" customHeight="1">
      <x:c r="A600" s="26" t="str">
        <x:v>REL-LEG-011</x:v>
      </x:c>
      <x:c r="B600" s="26" t="str">
        <x:v>Legal, privacidad y créditos</x:v>
      </x:c>
      <x:c r="C600" s="26" t="str">
        <x:v>31_H6_and_Release_Readiness_Checklist.xlsx</x:v>
      </x:c>
      <x:c r="D600" s="26" t="str">
        <x:v>El proceso de solicitudes de privacidad y eliminación está documentado si aplica.</x:v>
      </x:c>
      <x:c r="E600" s="26" t="str">
        <x:v>CHG-RC1-DOC-31</x:v>
      </x:c>
      <x:c r="F600" s="26"/>
      <x:c r="G600" s="26" t="str">
        <x:v>REL-LEG-011</x:v>
      </x:c>
      <x:c r="H600" s="26"/>
      <x:c r="I600" s="26"/>
      <x:c r="J600" s="26" t="str">
        <x:v>NOT RUN</x:v>
      </x:c>
      <x:c r="K600" s="26"/>
      <x:c r="L600" s="26"/>
      <x:c r="M600" s="26" t="str">
        <x:v>RC1</x:v>
      </x:c>
      <x:c r="N600" s="26" t="str">
        <x:v>Defined / Not Executed</x:v>
      </x:c>
      <x:c r="O600" s="26"/>
      <x:c r="P600" s="26" t="str">
        <x:v>Legal/Privacy</x:v>
      </x:c>
      <x:c r="Q600" s="26" t="str">
        <x:v>Release; reviewer=Production/Marketing; gate=Release</x:v>
      </x:c>
    </x:row>
    <x:row r="601" ht="30" customHeight="1">
      <x:c r="A601" s="26" t="str">
        <x:v>REL-LEG-012</x:v>
      </x:c>
      <x:c r="B601" s="26" t="str">
        <x:v>Legal, privacidad y créditos</x:v>
      </x:c>
      <x:c r="C601" s="26" t="str">
        <x:v>31_H6_and_Release_Readiness_Checklist.xlsx</x:v>
      </x:c>
      <x:c r="D601" s="26" t="str">
        <x:v>Los logs, crash reports y soporte no solicitan datos excesivos.</x:v>
      </x:c>
      <x:c r="E601" s="26" t="str">
        <x:v>CHG-RC1-DOC-31</x:v>
      </x:c>
      <x:c r="F601" s="26"/>
      <x:c r="G601" s="26" t="str">
        <x:v>REL-LEG-012</x:v>
      </x:c>
      <x:c r="H601" s="26"/>
      <x:c r="I601" s="26"/>
      <x:c r="J601" s="26" t="str">
        <x:v>NOT RUN</x:v>
      </x:c>
      <x:c r="K601" s="26"/>
      <x:c r="L601" s="26"/>
      <x:c r="M601" s="26" t="str">
        <x:v>RC1</x:v>
      </x:c>
      <x:c r="N601" s="26" t="str">
        <x:v>Defined / Not Executed</x:v>
      </x:c>
      <x:c r="O601" s="26"/>
      <x:c r="P601" s="26" t="str">
        <x:v>Legal/Privacy</x:v>
      </x:c>
      <x:c r="Q601" s="26" t="str">
        <x:v>Release; reviewer=Production/Marketing; gate=Release</x:v>
      </x:c>
    </x:row>
    <x:row r="602" ht="30" customHeight="1">
      <x:c r="A602" s="26" t="str">
        <x:v>REL-LEG-013</x:v>
      </x:c>
      <x:c r="B602" s="26" t="str">
        <x:v>Legal, privacidad y créditos</x:v>
      </x:c>
      <x:c r="C602" s="26" t="str">
        <x:v>31_H6_and_Release_Readiness_Checklist.xlsx</x:v>
      </x:c>
      <x:c r="D602" s="26" t="str">
        <x:v>La retención de datos y evidencias tiene plazos y responsables.</x:v>
      </x:c>
      <x:c r="E602" s="26" t="str">
        <x:v>CHG-RC1-DOC-31</x:v>
      </x:c>
      <x:c r="F602" s="26"/>
      <x:c r="G602" s="26" t="str">
        <x:v>REL-LEG-013</x:v>
      </x:c>
      <x:c r="H602" s="26"/>
      <x:c r="I602" s="26"/>
      <x:c r="J602" s="26" t="str">
        <x:v>NOT RUN</x:v>
      </x:c>
      <x:c r="K602" s="26"/>
      <x:c r="L602" s="26"/>
      <x:c r="M602" s="26" t="str">
        <x:v>RC1</x:v>
      </x:c>
      <x:c r="N602" s="26" t="str">
        <x:v>Defined / Not Executed</x:v>
      </x:c>
      <x:c r="O602" s="26"/>
      <x:c r="P602" s="26" t="str">
        <x:v>Legal/Privacy</x:v>
      </x:c>
      <x:c r="Q602" s="26" t="str">
        <x:v>Release; reviewer=Production/Marketing; gate=Release</x:v>
      </x:c>
    </x:row>
    <x:row r="603" ht="30" customHeight="1">
      <x:c r="A603" s="26" t="str">
        <x:v>REL-LEG-014</x:v>
      </x:c>
      <x:c r="B603" s="26" t="str">
        <x:v>Legal, privacidad y créditos</x:v>
      </x:c>
      <x:c r="C603" s="26" t="str">
        <x:v>31_H6_and_Release_Readiness_Checklist.xlsx</x:v>
      </x:c>
      <x:c r="D603" s="26" t="str">
        <x:v>No existe contenido generado/obtenido sin procedencia verificable.</x:v>
      </x:c>
      <x:c r="E603" s="26" t="str">
        <x:v>CHG-RC1-DOC-31</x:v>
      </x:c>
      <x:c r="F603" s="26"/>
      <x:c r="G603" s="26" t="str">
        <x:v>REL-LEG-014</x:v>
      </x:c>
      <x:c r="H603" s="26"/>
      <x:c r="I603" s="26"/>
      <x:c r="J603" s="26" t="str">
        <x:v>NOT RUN</x:v>
      </x:c>
      <x:c r="K603" s="26"/>
      <x:c r="L603" s="26"/>
      <x:c r="M603" s="26" t="str">
        <x:v>RC1</x:v>
      </x:c>
      <x:c r="N603" s="26" t="str">
        <x:v>Defined / Not Executed</x:v>
      </x:c>
      <x:c r="O603" s="26"/>
      <x:c r="P603" s="26" t="str">
        <x:v>Legal/Privacy</x:v>
      </x:c>
      <x:c r="Q603" s="26" t="str">
        <x:v>Release; reviewer=Production/Marketing; gate=Release</x:v>
      </x:c>
    </x:row>
    <x:row r="604" ht="30" customHeight="1">
      <x:c r="A604" s="26" t="str">
        <x:v>REL-LEG-015</x:v>
      </x:c>
      <x:c r="B604" s="26" t="str">
        <x:v>Legal, privacidad y créditos</x:v>
      </x:c>
      <x:c r="C604" s="26" t="str">
        <x:v>31_H6_and_Release_Readiness_Checklist.xlsx</x:v>
      </x:c>
      <x:c r="D604" s="26" t="str">
        <x:v>La documentación pública no ofrece garantías o funcionalidades no respaldadas.</x:v>
      </x:c>
      <x:c r="E604" s="26" t="str">
        <x:v>CHG-RC1-DOC-31</x:v>
      </x:c>
      <x:c r="F604" s="26"/>
      <x:c r="G604" s="26" t="str">
        <x:v>REL-LEG-015</x:v>
      </x:c>
      <x:c r="H604" s="26"/>
      <x:c r="I604" s="26"/>
      <x:c r="J604" s="26" t="str">
        <x:v>NOT RUN</x:v>
      </x:c>
      <x:c r="K604" s="26"/>
      <x:c r="L604" s="26"/>
      <x:c r="M604" s="26" t="str">
        <x:v>RC1</x:v>
      </x:c>
      <x:c r="N604" s="26" t="str">
        <x:v>Defined / Not Executed</x:v>
      </x:c>
      <x:c r="O604" s="26"/>
      <x:c r="P604" s="26" t="str">
        <x:v>Legal/Privacy</x:v>
      </x:c>
      <x:c r="Q604" s="26" t="str">
        <x:v>Release; reviewer=Production/Marketing; gate=Release</x:v>
      </x:c>
    </x:row>
    <x:row r="605" ht="30" customHeight="1">
      <x:c r="A605" s="26" t="str">
        <x:v>REL-SEC-001</x:v>
      </x:c>
      <x:c r="B605" s="26" t="str">
        <x:v>Seguridad y respuesta a incidentes</x:v>
      </x:c>
      <x:c r="C605" s="26" t="str">
        <x:v>31_H6_and_Release_Readiness_Checklist.xlsx</x:v>
      </x:c>
      <x:c r="D605" s="26" t="str">
        <x:v>Secrets scan, dependency scan y package audit de la RC están completos.</x:v>
      </x:c>
      <x:c r="E605" s="26" t="str">
        <x:v>CHG-RC1-DOC-31</x:v>
      </x:c>
      <x:c r="F605" s="26"/>
      <x:c r="G605" s="26" t="str">
        <x:v>REL-SEC-001</x:v>
      </x:c>
      <x:c r="H605" s="26"/>
      <x:c r="I605" s="26"/>
      <x:c r="J605" s="26" t="str">
        <x:v>NOT RUN</x:v>
      </x:c>
      <x:c r="K605" s="26"/>
      <x:c r="L605" s="26"/>
      <x:c r="M605" s="26" t="str">
        <x:v>RC1</x:v>
      </x:c>
      <x:c r="N605" s="26" t="str">
        <x:v>Defined / Not Executed</x:v>
      </x:c>
      <x:c r="O605" s="26"/>
      <x:c r="P605" s="26" t="str">
        <x:v>Security</x:v>
      </x:c>
      <x:c r="Q605" s="26" t="str">
        <x:v>Release; reviewer=Production/Legal; gate=Release</x:v>
      </x:c>
    </x:row>
    <x:row r="606" ht="30" customHeight="1">
      <x:c r="A606" s="26" t="str">
        <x:v>REL-SEC-002</x:v>
      </x:c>
      <x:c r="B606" s="26" t="str">
        <x:v>Seguridad y respuesta a incidentes</x:v>
      </x:c>
      <x:c r="C606" s="26" t="str">
        <x:v>31_H6_and_Release_Readiness_Checklist.xlsx</x:v>
      </x:c>
      <x:c r="D606" s="26" t="str">
        <x:v>Las cuentas críticas tienen MFA/recuperación y propietarios vigentes.</x:v>
      </x:c>
      <x:c r="E606" s="26" t="str">
        <x:v>CHG-RC1-DOC-31</x:v>
      </x:c>
      <x:c r="F606" s="26"/>
      <x:c r="G606" s="26" t="str">
        <x:v>REL-SEC-002</x:v>
      </x:c>
      <x:c r="H606" s="26"/>
      <x:c r="I606" s="26"/>
      <x:c r="J606" s="26" t="str">
        <x:v>NOT RUN</x:v>
      </x:c>
      <x:c r="K606" s="26"/>
      <x:c r="L606" s="26"/>
      <x:c r="M606" s="26" t="str">
        <x:v>RC1</x:v>
      </x:c>
      <x:c r="N606" s="26" t="str">
        <x:v>Defined / Not Executed</x:v>
      </x:c>
      <x:c r="O606" s="26"/>
      <x:c r="P606" s="26" t="str">
        <x:v>Security</x:v>
      </x:c>
      <x:c r="Q606" s="26" t="str">
        <x:v>Release; reviewer=Production/Legal; gate=Release</x:v>
      </x:c>
    </x:row>
    <x:row r="607" ht="30" customHeight="1">
      <x:c r="A607" s="26" t="str">
        <x:v>REL-SEC-003</x:v>
      </x:c>
      <x:c r="B607" s="26" t="str">
        <x:v>Seguridad y respuesta a incidentes</x:v>
      </x:c>
      <x:c r="C607" s="26" t="str">
        <x:v>31_H6_and_Release_Readiness_Checklist.xlsx</x:v>
      </x:c>
      <x:c r="D607" s="26" t="str">
        <x:v>La CI/upload no imprime secretos ni permite publicar desde ramas no autorizadas.</x:v>
      </x:c>
      <x:c r="E607" s="26" t="str">
        <x:v>CHG-RC1-DOC-31</x:v>
      </x:c>
      <x:c r="F607" s="26"/>
      <x:c r="G607" s="26" t="str">
        <x:v>REL-SEC-003</x:v>
      </x:c>
      <x:c r="H607" s="26"/>
      <x:c r="I607" s="26"/>
      <x:c r="J607" s="26" t="str">
        <x:v>NOT RUN</x:v>
      </x:c>
      <x:c r="K607" s="26"/>
      <x:c r="L607" s="26"/>
      <x:c r="M607" s="26" t="str">
        <x:v>RC1</x:v>
      </x:c>
      <x:c r="N607" s="26" t="str">
        <x:v>Defined / Not Executed</x:v>
      </x:c>
      <x:c r="O607" s="26"/>
      <x:c r="P607" s="26" t="str">
        <x:v>Security</x:v>
      </x:c>
      <x:c r="Q607" s="26" t="str">
        <x:v>Release; reviewer=Production/Legal; gate=Release</x:v>
      </x:c>
    </x:row>
    <x:row r="608" ht="30" customHeight="1">
      <x:c r="A608" s="26" t="str">
        <x:v>REL-SEC-004</x:v>
      </x:c>
      <x:c r="B608" s="26" t="str">
        <x:v>Seguridad y respuesta a incidentes</x:v>
      </x:c>
      <x:c r="C608" s="26" t="str">
        <x:v>31_H6_and_Release_Readiness_Checklist.xlsx</x:v>
      </x:c>
      <x:c r="D608" s="26" t="str">
        <x:v>El binario y archivos distribuidos no incluyen información interna sensible.</x:v>
      </x:c>
      <x:c r="E608" s="26" t="str">
        <x:v>CHG-RC1-DOC-31</x:v>
      </x:c>
      <x:c r="F608" s="26"/>
      <x:c r="G608" s="26" t="str">
        <x:v>REL-SEC-004</x:v>
      </x:c>
      <x:c r="H608" s="26"/>
      <x:c r="I608" s="26"/>
      <x:c r="J608" s="26" t="str">
        <x:v>NOT RUN</x:v>
      </x:c>
      <x:c r="K608" s="26"/>
      <x:c r="L608" s="26"/>
      <x:c r="M608" s="26" t="str">
        <x:v>RC1</x:v>
      </x:c>
      <x:c r="N608" s="26" t="str">
        <x:v>Defined / Not Executed</x:v>
      </x:c>
      <x:c r="O608" s="26"/>
      <x:c r="P608" s="26" t="str">
        <x:v>Security</x:v>
      </x:c>
      <x:c r="Q608" s="26" t="str">
        <x:v>Release; reviewer=Production/Legal; gate=Release</x:v>
      </x:c>
    </x:row>
    <x:row r="609" ht="30" customHeight="1">
      <x:c r="A609" s="26" t="str">
        <x:v>REL-SEC-005</x:v>
      </x:c>
      <x:c r="B609" s="26" t="str">
        <x:v>Seguridad y respuesta a incidentes</x:v>
      </x:c>
      <x:c r="C609" s="26" t="str">
        <x:v>31_H6_and_Release_Readiness_Checklist.xlsx</x:v>
      </x:c>
      <x:c r="D609" s="26" t="str">
        <x:v>Existe playbook para vulnerabilidad, cuenta comprometida, build maliciosa o fuga de datos.</x:v>
      </x:c>
      <x:c r="E609" s="26" t="str">
        <x:v>CHG-RC1-DOC-31</x:v>
      </x:c>
      <x:c r="F609" s="26"/>
      <x:c r="G609" s="26" t="str">
        <x:v>REL-SEC-005</x:v>
      </x:c>
      <x:c r="H609" s="26"/>
      <x:c r="I609" s="26"/>
      <x:c r="J609" s="26" t="str">
        <x:v>NOT RUN</x:v>
      </x:c>
      <x:c r="K609" s="26"/>
      <x:c r="L609" s="26"/>
      <x:c r="M609" s="26" t="str">
        <x:v>RC1</x:v>
      </x:c>
      <x:c r="N609" s="26" t="str">
        <x:v>Defined / Not Executed</x:v>
      </x:c>
      <x:c r="O609" s="26"/>
      <x:c r="P609" s="26" t="str">
        <x:v>Security</x:v>
      </x:c>
      <x:c r="Q609" s="26" t="str">
        <x:v>Release; reviewer=Production/Legal; gate=Release</x:v>
      </x:c>
    </x:row>
    <x:row r="610" ht="30" customHeight="1">
      <x:c r="A610" s="26" t="str">
        <x:v>REL-SEC-006</x:v>
      </x:c>
      <x:c r="B610" s="26" t="str">
        <x:v>Seguridad y respuesta a incidentes</x:v>
      </x:c>
      <x:c r="C610" s="26" t="str">
        <x:v>31_H6_and_Release_Readiness_Checklist.xlsx</x:v>
      </x:c>
      <x:c r="D610" s="26" t="str">
        <x:v>Los contactos y autoridad para retirar/revertir una build están disponibles durante launch.</x:v>
      </x:c>
      <x:c r="E610" s="26" t="str">
        <x:v>CHG-RC1-DOC-31</x:v>
      </x:c>
      <x:c r="F610" s="26"/>
      <x:c r="G610" s="26" t="str">
        <x:v>REL-SEC-006</x:v>
      </x:c>
      <x:c r="H610" s="26"/>
      <x:c r="I610" s="26"/>
      <x:c r="J610" s="26" t="str">
        <x:v>NOT RUN</x:v>
      </x:c>
      <x:c r="K610" s="26"/>
      <x:c r="L610" s="26"/>
      <x:c r="M610" s="26" t="str">
        <x:v>RC1</x:v>
      </x:c>
      <x:c r="N610" s="26" t="str">
        <x:v>Defined / Not Executed</x:v>
      </x:c>
      <x:c r="O610" s="26"/>
      <x:c r="P610" s="26" t="str">
        <x:v>Security</x:v>
      </x:c>
      <x:c r="Q610" s="26" t="str">
        <x:v>Release; reviewer=Production/Legal; gate=Release</x:v>
      </x:c>
    </x:row>
    <x:row r="611" ht="30" customHeight="1">
      <x:c r="A611" s="26" t="str">
        <x:v>REL-SEC-007</x:v>
      </x:c>
      <x:c r="B611" s="26" t="str">
        <x:v>Seguridad y respuesta a incidentes</x:v>
      </x:c>
      <x:c r="C611" s="26" t="str">
        <x:v>31_H6_and_Release_Readiness_Checklist.xlsx</x:v>
      </x:c>
      <x:c r="D611" s="26" t="str">
        <x:v>Backups de repositorio, Steam config, documentación y builds han sido verificados.</x:v>
      </x:c>
      <x:c r="E611" s="26" t="str">
        <x:v>CHG-RC1-DOC-31</x:v>
      </x:c>
      <x:c r="F611" s="26"/>
      <x:c r="G611" s="26" t="str">
        <x:v>REL-SEC-007</x:v>
      </x:c>
      <x:c r="H611" s="26"/>
      <x:c r="I611" s="26"/>
      <x:c r="J611" s="26" t="str">
        <x:v>NOT RUN</x:v>
      </x:c>
      <x:c r="K611" s="26"/>
      <x:c r="L611" s="26"/>
      <x:c r="M611" s="26" t="str">
        <x:v>RC1</x:v>
      </x:c>
      <x:c r="N611" s="26" t="str">
        <x:v>Defined / Not Executed</x:v>
      </x:c>
      <x:c r="O611" s="26"/>
      <x:c r="P611" s="26" t="str">
        <x:v>Security</x:v>
      </x:c>
      <x:c r="Q611" s="26" t="str">
        <x:v>Release; reviewer=Production/Legal; gate=Release</x:v>
      </x:c>
    </x:row>
    <x:row r="612" ht="30" customHeight="1">
      <x:c r="A612" s="26" t="str">
        <x:v>REL-SEC-008</x:v>
      </x:c>
      <x:c r="B612" s="26" t="str">
        <x:v>Seguridad y respuesta a incidentes</x:v>
      </x:c>
      <x:c r="C612" s="26" t="str">
        <x:v>31_H6_and_Release_Readiness_Checklist.xlsx</x:v>
      </x:c>
      <x:c r="D612" s="26" t="str">
        <x:v>Las evidencias y builds se almacenan con integridad y acceso restringido.</x:v>
      </x:c>
      <x:c r="E612" s="26" t="str">
        <x:v>CHG-RC1-DOC-31</x:v>
      </x:c>
      <x:c r="F612" s="26"/>
      <x:c r="G612" s="26" t="str">
        <x:v>REL-SEC-008</x:v>
      </x:c>
      <x:c r="H612" s="26"/>
      <x:c r="I612" s="26"/>
      <x:c r="J612" s="26" t="str">
        <x:v>NOT RUN</x:v>
      </x:c>
      <x:c r="K612" s="26"/>
      <x:c r="L612" s="26"/>
      <x:c r="M612" s="26" t="str">
        <x:v>RC1</x:v>
      </x:c>
      <x:c r="N612" s="26" t="str">
        <x:v>Defined / Not Executed</x:v>
      </x:c>
      <x:c r="O612" s="26"/>
      <x:c r="P612" s="26" t="str">
        <x:v>Security</x:v>
      </x:c>
      <x:c r="Q612" s="26" t="str">
        <x:v>Release; reviewer=Production/Legal; gate=Release</x:v>
      </x:c>
    </x:row>
    <x:row r="613" ht="30" customHeight="1">
      <x:c r="A613" s="26" t="str">
        <x:v>REL-SEC-009</x:v>
      </x:c>
      <x:c r="B613" s="26" t="str">
        <x:v>Seguridad y respuesta a incidentes</x:v>
      </x:c>
      <x:c r="C613" s="26" t="str">
        <x:v>31_H6_and_Release_Readiness_Checklist.xlsx</x:v>
      </x:c>
      <x:c r="D613" s="26" t="str">
        <x:v>La recopilación de crash/telemetría usa transporte y almacenamiento apropiados si se activa.</x:v>
      </x:c>
      <x:c r="E613" s="26" t="str">
        <x:v>CHG-RC1-DOC-31</x:v>
      </x:c>
      <x:c r="F613" s="26"/>
      <x:c r="G613" s="26" t="str">
        <x:v>REL-SEC-009</x:v>
      </x:c>
      <x:c r="H613" s="26"/>
      <x:c r="I613" s="26"/>
      <x:c r="J613" s="26" t="str">
        <x:v>NOT RUN</x:v>
      </x:c>
      <x:c r="K613" s="26"/>
      <x:c r="L613" s="26"/>
      <x:c r="M613" s="26" t="str">
        <x:v>RC1</x:v>
      </x:c>
      <x:c r="N613" s="26" t="str">
        <x:v>Defined / Not Executed</x:v>
      </x:c>
      <x:c r="O613" s="26"/>
      <x:c r="P613" s="26" t="str">
        <x:v>Security</x:v>
      </x:c>
      <x:c r="Q613" s="26" t="str">
        <x:v>Release; reviewer=Production/Legal; gate=Release</x:v>
      </x:c>
    </x:row>
    <x:row r="614" ht="30" customHeight="1">
      <x:c r="A614" s="26" t="str">
        <x:v>REL-SEC-010</x:v>
      </x:c>
      <x:c r="B614" s="26" t="str">
        <x:v>Seguridad y respuesta a incidentes</x:v>
      </x:c>
      <x:c r="C614" s="26" t="str">
        <x:v>31_H6_and_Release_Readiness_Checklist.xlsx</x:v>
      </x:c>
      <x:c r="D614" s="26" t="str">
        <x:v>Las vulnerabilidades conocidas tienen severidad, mitigación y decisión de release.</x:v>
      </x:c>
      <x:c r="E614" s="26" t="str">
        <x:v>CHG-RC1-DOC-31</x:v>
      </x:c>
      <x:c r="F614" s="26"/>
      <x:c r="G614" s="26" t="str">
        <x:v>REL-SEC-010</x:v>
      </x:c>
      <x:c r="H614" s="26"/>
      <x:c r="I614" s="26"/>
      <x:c r="J614" s="26" t="str">
        <x:v>NOT RUN</x:v>
      </x:c>
      <x:c r="K614" s="26"/>
      <x:c r="L614" s="26"/>
      <x:c r="M614" s="26" t="str">
        <x:v>RC1</x:v>
      </x:c>
      <x:c r="N614" s="26" t="str">
        <x:v>Defined / Not Executed</x:v>
      </x:c>
      <x:c r="O614" s="26"/>
      <x:c r="P614" s="26" t="str">
        <x:v>Security</x:v>
      </x:c>
      <x:c r="Q614" s="26" t="str">
        <x:v>Release; reviewer=Production/Legal; gate=Release</x:v>
      </x:c>
    </x:row>
    <x:row r="615" ht="30" customHeight="1">
      <x:c r="A615" s="26" t="str">
        <x:v>REL-SEC-011</x:v>
      </x:c>
      <x:c r="B615" s="26" t="str">
        <x:v>Seguridad y respuesta a incidentes</x:v>
      </x:c>
      <x:c r="C615" s="26" t="str">
        <x:v>31_H6_and_Release_Readiness_Checklist.xlsx</x:v>
      </x:c>
      <x:c r="D615" s="26" t="str">
        <x:v>Se ensaya un tabletop de incidente de lanzamiento.</x:v>
      </x:c>
      <x:c r="E615" s="26" t="str">
        <x:v>CHG-RC1-DOC-31</x:v>
      </x:c>
      <x:c r="F615" s="26"/>
      <x:c r="G615" s="26" t="str">
        <x:v>REL-SEC-011</x:v>
      </x:c>
      <x:c r="H615" s="26"/>
      <x:c r="I615" s="26"/>
      <x:c r="J615" s="26" t="str">
        <x:v>NOT RUN</x:v>
      </x:c>
      <x:c r="K615" s="26"/>
      <x:c r="L615" s="26"/>
      <x:c r="M615" s="26" t="str">
        <x:v>RC1</x:v>
      </x:c>
      <x:c r="N615" s="26" t="str">
        <x:v>Defined / Not Executed</x:v>
      </x:c>
      <x:c r="O615" s="26"/>
      <x:c r="P615" s="26" t="str">
        <x:v>Security</x:v>
      </x:c>
      <x:c r="Q615" s="26" t="str">
        <x:v>Release; reviewer=Production/Legal; gate=Release</x:v>
      </x:c>
    </x:row>
    <x:row r="616" ht="30" customHeight="1">
      <x:c r="A616" s="26" t="str">
        <x:v>REL-SEC-012</x:v>
      </x:c>
      <x:c r="B616" s="26" t="str">
        <x:v>Seguridad y respuesta a incidentes</x:v>
      </x:c>
      <x:c r="C616" s="26" t="str">
        <x:v>31_H6_and_Release_Readiness_Checklist.xlsx</x:v>
      </x:c>
      <x:c r="D616" s="26" t="str">
        <x:v>El canal de reporte de seguridad/soporte está preparado y no promete SLA inexistentes.</x:v>
      </x:c>
      <x:c r="E616" s="26" t="str">
        <x:v>CHG-RC1-DOC-31</x:v>
      </x:c>
      <x:c r="F616" s="26"/>
      <x:c r="G616" s="26" t="str">
        <x:v>REL-SEC-012</x:v>
      </x:c>
      <x:c r="H616" s="26"/>
      <x:c r="I616" s="26"/>
      <x:c r="J616" s="26" t="str">
        <x:v>NOT RUN</x:v>
      </x:c>
      <x:c r="K616" s="26"/>
      <x:c r="L616" s="26"/>
      <x:c r="M616" s="26" t="str">
        <x:v>RC1</x:v>
      </x:c>
      <x:c r="N616" s="26" t="str">
        <x:v>Defined / Not Executed</x:v>
      </x:c>
      <x:c r="O616" s="26"/>
      <x:c r="P616" s="26" t="str">
        <x:v>Security</x:v>
      </x:c>
      <x:c r="Q616" s="26" t="str">
        <x:v>Release; reviewer=Production/Legal; gate=Release</x:v>
      </x:c>
    </x:row>
    <x:row r="617" ht="30" customHeight="1">
      <x:c r="A617" s="26" t="str">
        <x:v>REL-MKT-001</x:v>
      </x:c>
      <x:c r="B617" s="26" t="str">
        <x:v>Marketing y comunicación</x:v>
      </x:c>
      <x:c r="C617" s="26" t="str">
        <x:v>31_H6_and_Release_Readiness_Checklist.xlsx</x:v>
      </x:c>
      <x:c r="D617" s="26" t="str">
        <x:v>La campaña pública solo se abre tras gates de naming, producto, build, legal y capacidad.</x:v>
      </x:c>
      <x:c r="E617" s="26" t="str">
        <x:v>CHG-RC1-DOC-31</x:v>
      </x:c>
      <x:c r="F617" s="26"/>
      <x:c r="G617" s="26" t="str">
        <x:v>REL-MKT-001</x:v>
      </x:c>
      <x:c r="H617" s="26"/>
      <x:c r="I617" s="26"/>
      <x:c r="J617" s="26" t="str">
        <x:v>NOT RUN</x:v>
      </x:c>
      <x:c r="K617" s="26"/>
      <x:c r="L617" s="26"/>
      <x:c r="M617" s="26" t="str">
        <x:v>RC1</x:v>
      </x:c>
      <x:c r="N617" s="26" t="str">
        <x:v>Defined / Not Executed</x:v>
      </x:c>
      <x:c r="O617" s="26"/>
      <x:c r="P617" s="26" t="str">
        <x:v>Marketing/Community</x:v>
      </x:c>
      <x:c r="Q617" s="26" t="str">
        <x:v>Release; reviewer=Product/Legal/Production; gate=Release</x:v>
      </x:c>
    </x:row>
    <x:row r="618" ht="30" customHeight="1">
      <x:c r="A618" s="26" t="str">
        <x:v>REL-MKT-002</x:v>
      </x:c>
      <x:c r="B618" s="26" t="str">
        <x:v>Marketing y comunicación</x:v>
      </x:c>
      <x:c r="C618" s="26" t="str">
        <x:v>31_H6_and_Release_Readiness_Checklist.xlsx</x:v>
      </x:c>
      <x:c r="D618" s="26" t="str">
        <x:v>La casa de mensajes y claims se vincula a evidencia del producto.</x:v>
      </x:c>
      <x:c r="E618" s="26" t="str">
        <x:v>CHG-RC1-DOC-31</x:v>
      </x:c>
      <x:c r="F618" s="26"/>
      <x:c r="G618" s="26" t="str">
        <x:v>REL-MKT-002</x:v>
      </x:c>
      <x:c r="H618" s="26"/>
      <x:c r="I618" s="26"/>
      <x:c r="J618" s="26" t="str">
        <x:v>NOT RUN</x:v>
      </x:c>
      <x:c r="K618" s="26"/>
      <x:c r="L618" s="26"/>
      <x:c r="M618" s="26" t="str">
        <x:v>RC1</x:v>
      </x:c>
      <x:c r="N618" s="26" t="str">
        <x:v>Defined / Not Executed</x:v>
      </x:c>
      <x:c r="O618" s="26"/>
      <x:c r="P618" s="26" t="str">
        <x:v>Marketing/Community</x:v>
      </x:c>
      <x:c r="Q618" s="26" t="str">
        <x:v>Release; reviewer=Product/Legal/Production; gate=Release</x:v>
      </x:c>
    </x:row>
    <x:row r="619" ht="30" customHeight="1">
      <x:c r="A619" s="26" t="str">
        <x:v>REL-MKT-003</x:v>
      </x:c>
      <x:c r="B619" s="26" t="str">
        <x:v>Marketing y comunicación</x:v>
      </x:c>
      <x:c r="C619" s="26" t="str">
        <x:v>31_H6_and_Release_Readiness_Checklist.xlsx</x:v>
      </x:c>
      <x:c r="D619" s="26" t="str">
        <x:v>Key art, cápsulas, screenshots, GIFs y trailer usan assets aprobados y coherentes.</x:v>
      </x:c>
      <x:c r="E619" s="26" t="str">
        <x:v>CHG-RC1-DOC-31</x:v>
      </x:c>
      <x:c r="F619" s="26"/>
      <x:c r="G619" s="26" t="str">
        <x:v>REL-MKT-003</x:v>
      </x:c>
      <x:c r="H619" s="26"/>
      <x:c r="I619" s="26"/>
      <x:c r="J619" s="26" t="str">
        <x:v>NOT RUN</x:v>
      </x:c>
      <x:c r="K619" s="26"/>
      <x:c r="L619" s="26"/>
      <x:c r="M619" s="26" t="str">
        <x:v>RC1</x:v>
      </x:c>
      <x:c r="N619" s="26" t="str">
        <x:v>Defined / Not Executed</x:v>
      </x:c>
      <x:c r="O619" s="26"/>
      <x:c r="P619" s="26" t="str">
        <x:v>Marketing/Community</x:v>
      </x:c>
      <x:c r="Q619" s="26" t="str">
        <x:v>Release; reviewer=Product/Legal/Production; gate=Release</x:v>
      </x:c>
    </x:row>
    <x:row r="620" ht="30" customHeight="1">
      <x:c r="A620" s="26" t="str">
        <x:v>REL-MKT-004</x:v>
      </x:c>
      <x:c r="B620" s="26" t="str">
        <x:v>Marketing y comunicación</x:v>
      </x:c>
      <x:c r="C620" s="26" t="str">
        <x:v>31_H6_and_Release_Readiness_Checklist.xlsx</x:v>
      </x:c>
      <x:c r="D620" s="26" t="str">
        <x:v>El calendario editorial no compromete tareas críticas de QA/release.</x:v>
      </x:c>
      <x:c r="E620" s="26" t="str">
        <x:v>CHG-RC1-DOC-31</x:v>
      </x:c>
      <x:c r="F620" s="26"/>
      <x:c r="G620" s="26" t="str">
        <x:v>REL-MKT-004</x:v>
      </x:c>
      <x:c r="H620" s="26"/>
      <x:c r="I620" s="26"/>
      <x:c r="J620" s="26" t="str">
        <x:v>NOT RUN</x:v>
      </x:c>
      <x:c r="K620" s="26"/>
      <x:c r="L620" s="26"/>
      <x:c r="M620" s="26" t="str">
        <x:v>RC1</x:v>
      </x:c>
      <x:c r="N620" s="26" t="str">
        <x:v>Defined / Not Executed</x:v>
      </x:c>
      <x:c r="O620" s="26"/>
      <x:c r="P620" s="26" t="str">
        <x:v>Marketing/Community</x:v>
      </x:c>
      <x:c r="Q620" s="26" t="str">
        <x:v>Release; reviewer=Product/Legal/Production; gate=Release</x:v>
      </x:c>
    </x:row>
    <x:row r="621" ht="30" customHeight="1">
      <x:c r="A621" s="26" t="str">
        <x:v>REL-MKT-005</x:v>
      </x:c>
      <x:c r="B621" s="26" t="str">
        <x:v>Marketing y comunicación</x:v>
      </x:c>
      <x:c r="C621" s="26" t="str">
        <x:v>31_H6_and_Release_Readiness_Checklist.xlsx</x:v>
      </x:c>
      <x:c r="D621" s="26" t="str">
        <x:v>Los canales oficiales, bios y enlaces presentan información consistente.</x:v>
      </x:c>
      <x:c r="E621" s="26" t="str">
        <x:v>CHG-RC1-DOC-31</x:v>
      </x:c>
      <x:c r="F621" s="26"/>
      <x:c r="G621" s="26" t="str">
        <x:v>REL-MKT-005</x:v>
      </x:c>
      <x:c r="H621" s="26"/>
      <x:c r="I621" s="26"/>
      <x:c r="J621" s="26" t="str">
        <x:v>NOT RUN</x:v>
      </x:c>
      <x:c r="K621" s="26"/>
      <x:c r="L621" s="26"/>
      <x:c r="M621" s="26" t="str">
        <x:v>RC1</x:v>
      </x:c>
      <x:c r="N621" s="26" t="str">
        <x:v>Defined / Not Executed</x:v>
      </x:c>
      <x:c r="O621" s="26"/>
      <x:c r="P621" s="26" t="str">
        <x:v>Marketing/Community</x:v>
      </x:c>
      <x:c r="Q621" s="26" t="str">
        <x:v>Release; reviewer=Product/Legal/Production; gate=Release</x:v>
      </x:c>
    </x:row>
    <x:row r="622" ht="30" customHeight="1">
      <x:c r="A622" s="26" t="str">
        <x:v>REL-MKT-006</x:v>
      </x:c>
      <x:c r="B622" s="26" t="str">
        <x:v>Marketing y comunicación</x:v>
      </x:c>
      <x:c r="C622" s="26" t="str">
        <x:v>31_H6_and_Release_Readiness_Checklist.xlsx</x:v>
      </x:c>
      <x:c r="D622" s="26" t="str">
        <x:v>La press kit contiene logo, descripción, factsheet, media y contacto vigentes.</x:v>
      </x:c>
      <x:c r="E622" s="26" t="str">
        <x:v>CHG-RC1-DOC-31</x:v>
      </x:c>
      <x:c r="F622" s="26"/>
      <x:c r="G622" s="26" t="str">
        <x:v>REL-MKT-006</x:v>
      </x:c>
      <x:c r="H622" s="26"/>
      <x:c r="I622" s="26"/>
      <x:c r="J622" s="26" t="str">
        <x:v>NOT RUN</x:v>
      </x:c>
      <x:c r="K622" s="26"/>
      <x:c r="L622" s="26"/>
      <x:c r="M622" s="26" t="str">
        <x:v>RC1</x:v>
      </x:c>
      <x:c r="N622" s="26" t="str">
        <x:v>Defined / Not Executed</x:v>
      </x:c>
      <x:c r="O622" s="26"/>
      <x:c r="P622" s="26" t="str">
        <x:v>Marketing/Community</x:v>
      </x:c>
      <x:c r="Q622" s="26" t="str">
        <x:v>Release; reviewer=Product/Legal/Production; gate=Release</x:v>
      </x:c>
    </x:row>
    <x:row r="623" ht="30" customHeight="1">
      <x:c r="A623" s="26" t="str">
        <x:v>REL-MKT-007</x:v>
      </x:c>
      <x:c r="B623" s="26" t="str">
        <x:v>Marketing y comunicación</x:v>
      </x:c>
      <x:c r="C623" s="26" t="str">
        <x:v>31_H6_and_Release_Readiness_Checklist.xlsx</x:v>
      </x:c>
      <x:c r="D623" s="26" t="str">
        <x:v>Las listas de prensa/creadores respetan privacidad y preferencias de contacto.</x:v>
      </x:c>
      <x:c r="E623" s="26" t="str">
        <x:v>CHG-RC1-DOC-31</x:v>
      </x:c>
      <x:c r="F623" s="26"/>
      <x:c r="G623" s="26" t="str">
        <x:v>REL-MKT-007</x:v>
      </x:c>
      <x:c r="H623" s="26"/>
      <x:c r="I623" s="26"/>
      <x:c r="J623" s="26" t="str">
        <x:v>NOT RUN</x:v>
      </x:c>
      <x:c r="K623" s="26"/>
      <x:c r="L623" s="26"/>
      <x:c r="M623" s="26" t="str">
        <x:v>RC1</x:v>
      </x:c>
      <x:c r="N623" s="26" t="str">
        <x:v>Defined / Not Executed</x:v>
      </x:c>
      <x:c r="O623" s="26"/>
      <x:c r="P623" s="26" t="str">
        <x:v>Marketing/Community</x:v>
      </x:c>
      <x:c r="Q623" s="26" t="str">
        <x:v>Release; reviewer=Product/Legal/Production; gate=Release</x:v>
      </x:c>
    </x:row>
    <x:row r="624" ht="30" customHeight="1">
      <x:c r="A624" s="26" t="str">
        <x:v>REL-MKT-008</x:v>
      </x:c>
      <x:c r="B624" s="26" t="str">
        <x:v>Marketing y comunicación</x:v>
      </x:c>
      <x:c r="C624" s="26" t="str">
        <x:v>31_H6_and_Release_Readiness_Checklist.xlsx</x:v>
      </x:c>
      <x:c r="D624" s="26" t="str">
        <x:v>Los embargos, claves y builds de review tienen control de acceso y tracking.</x:v>
      </x:c>
      <x:c r="E624" s="26" t="str">
        <x:v>CHG-RC1-DOC-31</x:v>
      </x:c>
      <x:c r="F624" s="26"/>
      <x:c r="G624" s="26" t="str">
        <x:v>REL-MKT-008</x:v>
      </x:c>
      <x:c r="H624" s="26"/>
      <x:c r="I624" s="26"/>
      <x:c r="J624" s="26" t="str">
        <x:v>NOT RUN</x:v>
      </x:c>
      <x:c r="K624" s="26"/>
      <x:c r="L624" s="26"/>
      <x:c r="M624" s="26" t="str">
        <x:v>RC1</x:v>
      </x:c>
      <x:c r="N624" s="26" t="str">
        <x:v>Defined / Not Executed</x:v>
      </x:c>
      <x:c r="O624" s="26"/>
      <x:c r="P624" s="26" t="str">
        <x:v>Marketing/Community</x:v>
      </x:c>
      <x:c r="Q624" s="26" t="str">
        <x:v>Release; reviewer=Product/Legal/Production; gate=Release</x:v>
      </x:c>
    </x:row>
    <x:row r="625" ht="30" customHeight="1">
      <x:c r="A625" s="26" t="str">
        <x:v>REL-MKT-009</x:v>
      </x:c>
      <x:c r="B625" s="26" t="str">
        <x:v>Marketing y comunicación</x:v>
      </x:c>
      <x:c r="C625" s="26" t="str">
        <x:v>31_H6_and_Release_Readiness_Checklist.xlsx</x:v>
      </x:c>
      <x:c r="D625" s="26" t="str">
        <x:v>Los creadores reciben instrucciones y disclaimers coherentes con el estado del juego.</x:v>
      </x:c>
      <x:c r="E625" s="26" t="str">
        <x:v>CHG-RC1-DOC-31</x:v>
      </x:c>
      <x:c r="F625" s="26"/>
      <x:c r="G625" s="26" t="str">
        <x:v>REL-MKT-009</x:v>
      </x:c>
      <x:c r="H625" s="26"/>
      <x:c r="I625" s="26"/>
      <x:c r="J625" s="26" t="str">
        <x:v>NOT RUN</x:v>
      </x:c>
      <x:c r="K625" s="26"/>
      <x:c r="L625" s="26"/>
      <x:c r="M625" s="26" t="str">
        <x:v>RC1</x:v>
      </x:c>
      <x:c r="N625" s="26" t="str">
        <x:v>Defined / Not Executed</x:v>
      </x:c>
      <x:c r="O625" s="26"/>
      <x:c r="P625" s="26" t="str">
        <x:v>Marketing/Community</x:v>
      </x:c>
      <x:c r="Q625" s="26" t="str">
        <x:v>Release; reviewer=Product/Legal/Production; gate=Release</x:v>
      </x:c>
    </x:row>
    <x:row r="626" ht="30" customHeight="1">
      <x:c r="A626" s="26" t="str">
        <x:v>REL-MKT-010</x:v>
      </x:c>
      <x:c r="B626" s="26" t="str">
        <x:v>Marketing y comunicación</x:v>
      </x:c>
      <x:c r="C626" s="26" t="str">
        <x:v>31_H6_and_Release_Readiness_Checklist.xlsx</x:v>
      </x:c>
      <x:c r="D626" s="26" t="str">
        <x:v>Las métricas de campaña tienen definiciones, fuentes y no incentivan spam.</x:v>
      </x:c>
      <x:c r="E626" s="26" t="str">
        <x:v>CHG-RC1-DOC-31</x:v>
      </x:c>
      <x:c r="F626" s="26"/>
      <x:c r="G626" s="26" t="str">
        <x:v>REL-MKT-010</x:v>
      </x:c>
      <x:c r="H626" s="26"/>
      <x:c r="I626" s="26"/>
      <x:c r="J626" s="26" t="str">
        <x:v>NOT RUN</x:v>
      </x:c>
      <x:c r="K626" s="26"/>
      <x:c r="L626" s="26"/>
      <x:c r="M626" s="26" t="str">
        <x:v>RC1</x:v>
      </x:c>
      <x:c r="N626" s="26" t="str">
        <x:v>Defined / Not Executed</x:v>
      </x:c>
      <x:c r="O626" s="26"/>
      <x:c r="P626" s="26" t="str">
        <x:v>Marketing/Community</x:v>
      </x:c>
      <x:c r="Q626" s="26" t="str">
        <x:v>Release; reviewer=Product/Legal/Production; gate=Release</x:v>
      </x:c>
    </x:row>
    <x:row r="627" ht="30" customHeight="1">
      <x:c r="A627" s="26" t="str">
        <x:v>REL-MKT-011</x:v>
      </x:c>
      <x:c r="B627" s="26" t="str">
        <x:v>Marketing y comunicación</x:v>
      </x:c>
      <x:c r="C627" s="26" t="str">
        <x:v>31_H6_and_Release_Readiness_Checklist.xlsx</x:v>
      </x:c>
      <x:c r="D627" s="26" t="str">
        <x:v>La comunicación de retrasos, bugs o incidentes tiene plantillas y aprobación.</x:v>
      </x:c>
      <x:c r="E627" s="26" t="str">
        <x:v>CHG-RC1-DOC-31</x:v>
      </x:c>
      <x:c r="F627" s="26"/>
      <x:c r="G627" s="26" t="str">
        <x:v>REL-MKT-011</x:v>
      </x:c>
      <x:c r="H627" s="26"/>
      <x:c r="I627" s="26"/>
      <x:c r="J627" s="26" t="str">
        <x:v>NOT RUN</x:v>
      </x:c>
      <x:c r="K627" s="26"/>
      <x:c r="L627" s="26"/>
      <x:c r="M627" s="26" t="str">
        <x:v>RC1</x:v>
      </x:c>
      <x:c r="N627" s="26" t="str">
        <x:v>Defined / Not Executed</x:v>
      </x:c>
      <x:c r="O627" s="26"/>
      <x:c r="P627" s="26" t="str">
        <x:v>Marketing/Community</x:v>
      </x:c>
      <x:c r="Q627" s="26" t="str">
        <x:v>Release; reviewer=Product/Legal/Production; gate=Release</x:v>
      </x:c>
    </x:row>
    <x:row r="628" ht="30" customHeight="1">
      <x:c r="A628" s="26" t="str">
        <x:v>REL-MKT-012</x:v>
      </x:c>
      <x:c r="B628" s="26" t="str">
        <x:v>Marketing y comunicación</x:v>
      </x:c>
      <x:c r="C628" s="26" t="str">
        <x:v>31_H6_and_Release_Readiness_Checklist.xlsx</x:v>
      </x:c>
      <x:c r="D628" s="26" t="str">
        <x:v>La comunidad no recibe fechas o features especulativas como compromisos.</x:v>
      </x:c>
      <x:c r="E628" s="26" t="str">
        <x:v>CHG-RC1-DOC-31</x:v>
      </x:c>
      <x:c r="F628" s="26"/>
      <x:c r="G628" s="26" t="str">
        <x:v>REL-MKT-012</x:v>
      </x:c>
      <x:c r="H628" s="26"/>
      <x:c r="I628" s="26"/>
      <x:c r="J628" s="26" t="str">
        <x:v>NOT RUN</x:v>
      </x:c>
      <x:c r="K628" s="26"/>
      <x:c r="L628" s="26"/>
      <x:c r="M628" s="26" t="str">
        <x:v>RC1</x:v>
      </x:c>
      <x:c r="N628" s="26" t="str">
        <x:v>Defined / Not Executed</x:v>
      </x:c>
      <x:c r="O628" s="26"/>
      <x:c r="P628" s="26" t="str">
        <x:v>Marketing/Community</x:v>
      </x:c>
      <x:c r="Q628" s="26" t="str">
        <x:v>Release; reviewer=Product/Legal/Production; gate=Release</x:v>
      </x:c>
    </x:row>
    <x:row r="629" ht="30" customHeight="1">
      <x:c r="A629" s="26" t="str">
        <x:v>REL-MKT-013</x:v>
      </x:c>
      <x:c r="B629" s="26" t="str">
        <x:v>Marketing y comunicación</x:v>
      </x:c>
      <x:c r="C629" s="26" t="str">
        <x:v>31_H6_and_Release_Readiness_Checklist.xlsx</x:v>
      </x:c>
      <x:c r="D629" s="26" t="str">
        <x:v>Las capturas y vídeos conservan Build ID/procedencia para poder retirar material obsoleto.</x:v>
      </x:c>
      <x:c r="E629" s="26" t="str">
        <x:v>CHG-RC1-DOC-31</x:v>
      </x:c>
      <x:c r="F629" s="26"/>
      <x:c r="G629" s="26" t="str">
        <x:v>REL-MKT-013</x:v>
      </x:c>
      <x:c r="H629" s="26"/>
      <x:c r="I629" s="26"/>
      <x:c r="J629" s="26" t="str">
        <x:v>NOT RUN</x:v>
      </x:c>
      <x:c r="K629" s="26"/>
      <x:c r="L629" s="26"/>
      <x:c r="M629" s="26" t="str">
        <x:v>RC1</x:v>
      </x:c>
      <x:c r="N629" s="26" t="str">
        <x:v>Defined / Not Executed</x:v>
      </x:c>
      <x:c r="O629" s="26"/>
      <x:c r="P629" s="26" t="str">
        <x:v>Marketing/Community</x:v>
      </x:c>
      <x:c r="Q629" s="26" t="str">
        <x:v>Release; reviewer=Product/Legal/Production; gate=Release</x:v>
      </x:c>
    </x:row>
    <x:row r="630" ht="30" customHeight="1">
      <x:c r="A630" s="26" t="str">
        <x:v>REL-MKT-014</x:v>
      </x:c>
      <x:c r="B630" s="26" t="str">
        <x:v>Marketing y comunicación</x:v>
      </x:c>
      <x:c r="C630" s="26" t="str">
        <x:v>31_H6_and_Release_Readiness_Checklist.xlsx</x:v>
      </x:c>
      <x:c r="D630" s="26" t="str">
        <x:v>Los anuncios de accesibilidad, idiomas y rendimiento pasan revisión especializada.</x:v>
      </x:c>
      <x:c r="E630" s="26" t="str">
        <x:v>CHG-RC1-DOC-31</x:v>
      </x:c>
      <x:c r="F630" s="26"/>
      <x:c r="G630" s="26" t="str">
        <x:v>REL-MKT-014</x:v>
      </x:c>
      <x:c r="H630" s="26"/>
      <x:c r="I630" s="26"/>
      <x:c r="J630" s="26" t="str">
        <x:v>NOT RUN</x:v>
      </x:c>
      <x:c r="K630" s="26"/>
      <x:c r="L630" s="26"/>
      <x:c r="M630" s="26" t="str">
        <x:v>RC1</x:v>
      </x:c>
      <x:c r="N630" s="26" t="str">
        <x:v>Defined / Not Executed</x:v>
      </x:c>
      <x:c r="O630" s="26"/>
      <x:c r="P630" s="26" t="str">
        <x:v>Marketing/Community</x:v>
      </x:c>
      <x:c r="Q630" s="26" t="str">
        <x:v>Release; reviewer=Product/Legal/Production; gate=Release</x:v>
      </x:c>
    </x:row>
    <x:row r="631" ht="30" customHeight="1">
      <x:c r="A631" s="26" t="str">
        <x:v>REL-MKT-015</x:v>
      </x:c>
      <x:c r="B631" s="26" t="str">
        <x:v>Marketing y comunicación</x:v>
      </x:c>
      <x:c r="C631" s="26" t="str">
        <x:v>31_H6_and_Release_Readiness_Checklist.xlsx</x:v>
      </x:c>
      <x:c r="D631" s="26" t="str">
        <x:v>La página Coming Soon tiene plan de wishlists, actualización y contenido sostenible.</x:v>
      </x:c>
      <x:c r="E631" s="26" t="str">
        <x:v>CHG-RC1-DOC-31</x:v>
      </x:c>
      <x:c r="F631" s="26"/>
      <x:c r="G631" s="26" t="str">
        <x:v>REL-MKT-015</x:v>
      </x:c>
      <x:c r="H631" s="26"/>
      <x:c r="I631" s="26"/>
      <x:c r="J631" s="26" t="str">
        <x:v>NOT RUN</x:v>
      </x:c>
      <x:c r="K631" s="26"/>
      <x:c r="L631" s="26"/>
      <x:c r="M631" s="26" t="str">
        <x:v>RC1</x:v>
      </x:c>
      <x:c r="N631" s="26" t="str">
        <x:v>Defined / Not Executed</x:v>
      </x:c>
      <x:c r="O631" s="26"/>
      <x:c r="P631" s="26" t="str">
        <x:v>Marketing/Community</x:v>
      </x:c>
      <x:c r="Q631" s="26" t="str">
        <x:v>Release; reviewer=Product/Legal/Production; gate=Release</x:v>
      </x:c>
    </x:row>
    <x:row r="632" ht="30" customHeight="1">
      <x:c r="A632" s="26" t="str">
        <x:v>REL-MKT-016</x:v>
      </x:c>
      <x:c r="B632" s="26" t="str">
        <x:v>Marketing y comunicación</x:v>
      </x:c>
      <x:c r="C632" s="26" t="str">
        <x:v>31_H6_and_Release_Readiness_Checklist.xlsx</x:v>
      </x:c>
      <x:c r="D632" s="26" t="str">
        <x:v>La demo/Playtest, si se publica, tiene objetivo, audiencia, feedback y cierre definidos.</x:v>
      </x:c>
      <x:c r="E632" s="26" t="str">
        <x:v>CHG-RC1-DOC-31</x:v>
      </x:c>
      <x:c r="F632" s="26"/>
      <x:c r="G632" s="26" t="str">
        <x:v>REL-MKT-016</x:v>
      </x:c>
      <x:c r="H632" s="26"/>
      <x:c r="I632" s="26"/>
      <x:c r="J632" s="26" t="str">
        <x:v>NOT RUN</x:v>
      </x:c>
      <x:c r="K632" s="26"/>
      <x:c r="L632" s="26"/>
      <x:c r="M632" s="26" t="str">
        <x:v>RC1</x:v>
      </x:c>
      <x:c r="N632" s="26" t="str">
        <x:v>Defined / Not Executed</x:v>
      </x:c>
      <x:c r="O632" s="26"/>
      <x:c r="P632" s="26" t="str">
        <x:v>Marketing/Community</x:v>
      </x:c>
      <x:c r="Q632" s="26" t="str">
        <x:v>Release; reviewer=Product/Legal/Production; gate=Release</x:v>
      </x:c>
    </x:row>
    <x:row r="633" ht="30" customHeight="1">
      <x:c r="A633" s="26" t="str">
        <x:v>REL-MKT-017</x:v>
      </x:c>
      <x:c r="B633" s="26" t="str">
        <x:v>Marketing y comunicación</x:v>
      </x:c>
      <x:c r="C633" s="26" t="str">
        <x:v>31_H6_and_Release_Readiness_Checklist.xlsx</x:v>
      </x:c>
      <x:c r="D633" s="26" t="str">
        <x:v>Las comunicaciones cumplen políticas de Steam y derechos de terceros.</x:v>
      </x:c>
      <x:c r="E633" s="26" t="str">
        <x:v>CHG-RC1-DOC-31</x:v>
      </x:c>
      <x:c r="F633" s="26"/>
      <x:c r="G633" s="26" t="str">
        <x:v>REL-MKT-017</x:v>
      </x:c>
      <x:c r="H633" s="26"/>
      <x:c r="I633" s="26"/>
      <x:c r="J633" s="26" t="str">
        <x:v>NOT RUN</x:v>
      </x:c>
      <x:c r="K633" s="26"/>
      <x:c r="L633" s="26"/>
      <x:c r="M633" s="26" t="str">
        <x:v>RC1</x:v>
      </x:c>
      <x:c r="N633" s="26" t="str">
        <x:v>Defined / Not Executed</x:v>
      </x:c>
      <x:c r="O633" s="26"/>
      <x:c r="P633" s="26" t="str">
        <x:v>Marketing/Community</x:v>
      </x:c>
      <x:c r="Q633" s="26" t="str">
        <x:v>Release; reviewer=Product/Legal/Production; gate=Release</x:v>
      </x:c>
    </x:row>
    <x:row r="634" ht="30" customHeight="1">
      <x:c r="A634" s="26" t="str">
        <x:v>REL-MKT-018</x:v>
      </x:c>
      <x:c r="B634" s="26" t="str">
        <x:v>Marketing y comunicación</x:v>
      </x:c>
      <x:c r="C634" s="26" t="str">
        <x:v>31_H6_and_Release_Readiness_Checklist.xlsx</x:v>
      </x:c>
      <x:c r="D634" s="26" t="str">
        <x:v>Existe criterio para detener promoción si la RC o launch readiness retrocede.</x:v>
      </x:c>
      <x:c r="E634" s="26" t="str">
        <x:v>CHG-RC1-DOC-31</x:v>
      </x:c>
      <x:c r="F634" s="26"/>
      <x:c r="G634" s="26" t="str">
        <x:v>REL-MKT-018</x:v>
      </x:c>
      <x:c r="H634" s="26"/>
      <x:c r="I634" s="26"/>
      <x:c r="J634" s="26" t="str">
        <x:v>NOT RUN</x:v>
      </x:c>
      <x:c r="K634" s="26"/>
      <x:c r="L634" s="26"/>
      <x:c r="M634" s="26" t="str">
        <x:v>RC1</x:v>
      </x:c>
      <x:c r="N634" s="26" t="str">
        <x:v>Defined / Not Executed</x:v>
      </x:c>
      <x:c r="O634" s="26"/>
      <x:c r="P634" s="26" t="str">
        <x:v>Marketing/Community</x:v>
      </x:c>
      <x:c r="Q634" s="26" t="str">
        <x:v>Release; reviewer=Product/Legal/Production; gate=Release</x:v>
      </x:c>
    </x:row>
    <x:row r="635" ht="30" customHeight="1">
      <x:c r="A635" s="26" t="str">
        <x:v>REL-SUP-001</x:v>
      </x:c>
      <x:c r="B635" s="26" t="str">
        <x:v>Comunidad, soporte y operaciones</x:v>
      </x:c>
      <x:c r="C635" s="26" t="str">
        <x:v>31_H6_and_Release_Readiness_Checklist.xlsx</x:v>
      </x:c>
      <x:c r="D635" s="26" t="str">
        <x:v>Los canales de soporte y comunidad tienen propietarios, horarios y expectativas realistas.</x:v>
      </x:c>
      <x:c r="E635" s="26" t="str">
        <x:v>CHG-RC1-DOC-31</x:v>
      </x:c>
      <x:c r="F635" s="26"/>
      <x:c r="G635" s="26" t="str">
        <x:v>REL-SUP-001</x:v>
      </x:c>
      <x:c r="H635" s="26"/>
      <x:c r="I635" s="26"/>
      <x:c r="J635" s="26" t="str">
        <x:v>NOT RUN</x:v>
      </x:c>
      <x:c r="K635" s="26"/>
      <x:c r="L635" s="26"/>
      <x:c r="M635" s="26" t="str">
        <x:v>RC1</x:v>
      </x:c>
      <x:c r="N635" s="26" t="str">
        <x:v>Defined / Not Executed</x:v>
      </x:c>
      <x:c r="O635" s="26"/>
      <x:c r="P635" s="26" t="str">
        <x:v>Support/Community</x:v>
      </x:c>
      <x:c r="Q635" s="26" t="str">
        <x:v>Release; reviewer=Production/Privacy; gate=Release</x:v>
      </x:c>
    </x:row>
    <x:row r="636" ht="30" customHeight="1">
      <x:c r="A636" s="26" t="str">
        <x:v>REL-SUP-002</x:v>
      </x:c>
      <x:c r="B636" s="26" t="str">
        <x:v>Comunidad, soporte y operaciones</x:v>
      </x:c>
      <x:c r="C636" s="26" t="str">
        <x:v>31_H6_and_Release_Readiness_Checklist.xlsx</x:v>
      </x:c>
      <x:c r="D636" s="26" t="str">
        <x:v>FAQ y troubleshooting cubren instalación, saves, settings, idioma y problemas conocidos.</x:v>
      </x:c>
      <x:c r="E636" s="26" t="str">
        <x:v>CHG-RC1-DOC-31</x:v>
      </x:c>
      <x:c r="F636" s="26"/>
      <x:c r="G636" s="26" t="str">
        <x:v>REL-SUP-002</x:v>
      </x:c>
      <x:c r="H636" s="26"/>
      <x:c r="I636" s="26"/>
      <x:c r="J636" s="26" t="str">
        <x:v>NOT RUN</x:v>
      </x:c>
      <x:c r="K636" s="26"/>
      <x:c r="L636" s="26"/>
      <x:c r="M636" s="26" t="str">
        <x:v>RC1</x:v>
      </x:c>
      <x:c r="N636" s="26" t="str">
        <x:v>Defined / Not Executed</x:v>
      </x:c>
      <x:c r="O636" s="26"/>
      <x:c r="P636" s="26" t="str">
        <x:v>Support/Community</x:v>
      </x:c>
      <x:c r="Q636" s="26" t="str">
        <x:v>Release; reviewer=Production/Privacy; gate=Release</x:v>
      </x:c>
    </x:row>
    <x:row r="637" ht="30" customHeight="1">
      <x:c r="A637" s="26" t="str">
        <x:v>REL-SUP-003</x:v>
      </x:c>
      <x:c r="B637" s="26" t="str">
        <x:v>Comunidad, soporte y operaciones</x:v>
      </x:c>
      <x:c r="C637" s="26" t="str">
        <x:v>31_H6_and_Release_Readiness_Checklist.xlsx</x:v>
      </x:c>
      <x:c r="D637" s="26" t="str">
        <x:v>Existe taxonomía para tickets, bugs, crashes, privacidad y seguridad.</x:v>
      </x:c>
      <x:c r="E637" s="26" t="str">
        <x:v>CHG-RC1-DOC-31</x:v>
      </x:c>
      <x:c r="F637" s="26"/>
      <x:c r="G637" s="26" t="str">
        <x:v>REL-SUP-003</x:v>
      </x:c>
      <x:c r="H637" s="26"/>
      <x:c r="I637" s="26"/>
      <x:c r="J637" s="26" t="str">
        <x:v>NOT RUN</x:v>
      </x:c>
      <x:c r="K637" s="26"/>
      <x:c r="L637" s="26"/>
      <x:c r="M637" s="26" t="str">
        <x:v>RC1</x:v>
      </x:c>
      <x:c r="N637" s="26" t="str">
        <x:v>Defined / Not Executed</x:v>
      </x:c>
      <x:c r="O637" s="26"/>
      <x:c r="P637" s="26" t="str">
        <x:v>Support/Community</x:v>
      </x:c>
      <x:c r="Q637" s="26" t="str">
        <x:v>Release; reviewer=Production/Privacy; gate=Release</x:v>
      </x:c>
    </x:row>
    <x:row r="638" ht="30" customHeight="1">
      <x:c r="A638" s="26" t="str">
        <x:v>REL-SUP-004</x:v>
      </x:c>
      <x:c r="B638" s="26" t="str">
        <x:v>Comunidad, soporte y operaciones</x:v>
      </x:c>
      <x:c r="C638" s="26" t="str">
        <x:v>31_H6_and_Release_Readiness_Checklist.xlsx</x:v>
      </x:c>
      <x:c r="D638" s="26" t="str">
        <x:v>Los datos solicitados a usuarios están minimizados y se explican.</x:v>
      </x:c>
      <x:c r="E638" s="26" t="str">
        <x:v>CHG-RC1-DOC-31</x:v>
      </x:c>
      <x:c r="F638" s="26"/>
      <x:c r="G638" s="26" t="str">
        <x:v>REL-SUP-004</x:v>
      </x:c>
      <x:c r="H638" s="26"/>
      <x:c r="I638" s="26"/>
      <x:c r="J638" s="26" t="str">
        <x:v>NOT RUN</x:v>
      </x:c>
      <x:c r="K638" s="26"/>
      <x:c r="L638" s="26"/>
      <x:c r="M638" s="26" t="str">
        <x:v>RC1</x:v>
      </x:c>
      <x:c r="N638" s="26" t="str">
        <x:v>Defined / Not Executed</x:v>
      </x:c>
      <x:c r="O638" s="26"/>
      <x:c r="P638" s="26" t="str">
        <x:v>Support/Community</x:v>
      </x:c>
      <x:c r="Q638" s="26" t="str">
        <x:v>Release; reviewer=Production/Privacy; gate=Release</x:v>
      </x:c>
    </x:row>
    <x:row r="639" ht="30" customHeight="1">
      <x:c r="A639" s="26" t="str">
        <x:v>REL-SUP-005</x:v>
      </x:c>
      <x:c r="B639" s="26" t="str">
        <x:v>Comunidad, soporte y operaciones</x:v>
      </x:c>
      <x:c r="C639" s="26" t="str">
        <x:v>31_H6_and_Release_Readiness_Checklist.xlsx</x:v>
      </x:c>
      <x:c r="D639" s="26" t="str">
        <x:v>La moderación tiene reglas, escalado y tratamiento de abuso.</x:v>
      </x:c>
      <x:c r="E639" s="26" t="str">
        <x:v>CHG-RC1-DOC-31</x:v>
      </x:c>
      <x:c r="F639" s="26"/>
      <x:c r="G639" s="26" t="str">
        <x:v>REL-SUP-005</x:v>
      </x:c>
      <x:c r="H639" s="26"/>
      <x:c r="I639" s="26"/>
      <x:c r="J639" s="26" t="str">
        <x:v>NOT RUN</x:v>
      </x:c>
      <x:c r="K639" s="26"/>
      <x:c r="L639" s="26"/>
      <x:c r="M639" s="26" t="str">
        <x:v>RC1</x:v>
      </x:c>
      <x:c r="N639" s="26" t="str">
        <x:v>Defined / Not Executed</x:v>
      </x:c>
      <x:c r="O639" s="26"/>
      <x:c r="P639" s="26" t="str">
        <x:v>Support/Community</x:v>
      </x:c>
      <x:c r="Q639" s="26" t="str">
        <x:v>Release; reviewer=Production/Privacy; gate=Release</x:v>
      </x:c>
    </x:row>
    <x:row r="640" ht="30" customHeight="1">
      <x:c r="A640" s="26" t="str">
        <x:v>REL-SUP-006</x:v>
      </x:c>
      <x:c r="B640" s="26" t="str">
        <x:v>Comunidad, soporte y operaciones</x:v>
      </x:c>
      <x:c r="C640" s="26" t="str">
        <x:v>31_H6_and_Release_Readiness_Checklist.xlsx</x:v>
      </x:c>
      <x:c r="D640" s="26" t="str">
        <x:v>Los reportes de bugs se convierten en incidencias reproducibles sin exponer datos personales.</x:v>
      </x:c>
      <x:c r="E640" s="26" t="str">
        <x:v>CHG-RC1-DOC-31</x:v>
      </x:c>
      <x:c r="F640" s="26"/>
      <x:c r="G640" s="26" t="str">
        <x:v>REL-SUP-006</x:v>
      </x:c>
      <x:c r="H640" s="26"/>
      <x:c r="I640" s="26"/>
      <x:c r="J640" s="26" t="str">
        <x:v>NOT RUN</x:v>
      </x:c>
      <x:c r="K640" s="26"/>
      <x:c r="L640" s="26"/>
      <x:c r="M640" s="26" t="str">
        <x:v>RC1</x:v>
      </x:c>
      <x:c r="N640" s="26" t="str">
        <x:v>Defined / Not Executed</x:v>
      </x:c>
      <x:c r="O640" s="26"/>
      <x:c r="P640" s="26" t="str">
        <x:v>Support/Community</x:v>
      </x:c>
      <x:c r="Q640" s="26" t="str">
        <x:v>Release; reviewer=Production/Privacy; gate=Release</x:v>
      </x:c>
    </x:row>
    <x:row r="641" ht="30" customHeight="1">
      <x:c r="A641" s="26" t="str">
        <x:v>REL-SUP-007</x:v>
      </x:c>
      <x:c r="B641" s="26" t="str">
        <x:v>Comunidad, soporte y operaciones</x:v>
      </x:c>
      <x:c r="C641" s="26" t="str">
        <x:v>31_H6_and_Release_Readiness_Checklist.xlsx</x:v>
      </x:c>
      <x:c r="D641" s="26" t="str">
        <x:v>El equipo puede comunicar known issues y estado de servicios rápidamente.</x:v>
      </x:c>
      <x:c r="E641" s="26" t="str">
        <x:v>CHG-RC1-DOC-31</x:v>
      </x:c>
      <x:c r="F641" s="26"/>
      <x:c r="G641" s="26" t="str">
        <x:v>REL-SUP-007</x:v>
      </x:c>
      <x:c r="H641" s="26"/>
      <x:c r="I641" s="26"/>
      <x:c r="J641" s="26" t="str">
        <x:v>NOT RUN</x:v>
      </x:c>
      <x:c r="K641" s="26"/>
      <x:c r="L641" s="26"/>
      <x:c r="M641" s="26" t="str">
        <x:v>RC1</x:v>
      </x:c>
      <x:c r="N641" s="26" t="str">
        <x:v>Defined / Not Executed</x:v>
      </x:c>
      <x:c r="O641" s="26"/>
      <x:c r="P641" s="26" t="str">
        <x:v>Support/Community</x:v>
      </x:c>
      <x:c r="Q641" s="26" t="str">
        <x:v>Release; reviewer=Production/Privacy; gate=Release</x:v>
      </x:c>
    </x:row>
    <x:row r="642" ht="30" customHeight="1">
      <x:c r="A642" s="26" t="str">
        <x:v>REL-SUP-008</x:v>
      </x:c>
      <x:c r="B642" s="26" t="str">
        <x:v>Comunidad, soporte y operaciones</x:v>
      </x:c>
      <x:c r="C642" s="26" t="str">
        <x:v>31_H6_and_Release_Readiness_Checklist.xlsx</x:v>
      </x:c>
      <x:c r="D642" s="26" t="str">
        <x:v>Las claves de review/Playtest se controlan y revocan cuando corresponde.</x:v>
      </x:c>
      <x:c r="E642" s="26" t="str">
        <x:v>CHG-RC1-DOC-31</x:v>
      </x:c>
      <x:c r="F642" s="26"/>
      <x:c r="G642" s="26" t="str">
        <x:v>REL-SUP-008</x:v>
      </x:c>
      <x:c r="H642" s="26"/>
      <x:c r="I642" s="26"/>
      <x:c r="J642" s="26" t="str">
        <x:v>NOT RUN</x:v>
      </x:c>
      <x:c r="K642" s="26"/>
      <x:c r="L642" s="26"/>
      <x:c r="M642" s="26" t="str">
        <x:v>RC1</x:v>
      </x:c>
      <x:c r="N642" s="26" t="str">
        <x:v>Defined / Not Executed</x:v>
      </x:c>
      <x:c r="O642" s="26"/>
      <x:c r="P642" s="26" t="str">
        <x:v>Support/Community</x:v>
      </x:c>
      <x:c r="Q642" s="26" t="str">
        <x:v>Release; reviewer=Production/Privacy; gate=Release</x:v>
      </x:c>
    </x:row>
    <x:row r="643" ht="30" customHeight="1">
      <x:c r="A643" s="26" t="str">
        <x:v>REL-SUP-009</x:v>
      </x:c>
      <x:c r="B643" s="26" t="str">
        <x:v>Comunidad, soporte y operaciones</x:v>
      </x:c>
      <x:c r="C643" s="26" t="str">
        <x:v>31_H6_and_Release_Readiness_Checklist.xlsx</x:v>
      </x:c>
      <x:c r="D643" s="26" t="str">
        <x:v>Existe plan para reseñas negativas, review bombing y crisis sin manipulación.</x:v>
      </x:c>
      <x:c r="E643" s="26" t="str">
        <x:v>CHG-RC1-DOC-31</x:v>
      </x:c>
      <x:c r="F643" s="26"/>
      <x:c r="G643" s="26" t="str">
        <x:v>REL-SUP-009</x:v>
      </x:c>
      <x:c r="H643" s="26"/>
      <x:c r="I643" s="26"/>
      <x:c r="J643" s="26" t="str">
        <x:v>NOT RUN</x:v>
      </x:c>
      <x:c r="K643" s="26"/>
      <x:c r="L643" s="26"/>
      <x:c r="M643" s="26" t="str">
        <x:v>RC1</x:v>
      </x:c>
      <x:c r="N643" s="26" t="str">
        <x:v>Defined / Not Executed</x:v>
      </x:c>
      <x:c r="O643" s="26"/>
      <x:c r="P643" s="26" t="str">
        <x:v>Support/Community</x:v>
      </x:c>
      <x:c r="Q643" s="26" t="str">
        <x:v>Release; reviewer=Production/Privacy; gate=Release</x:v>
      </x:c>
    </x:row>
    <x:row r="644" ht="30" customHeight="1">
      <x:c r="A644" s="26" t="str">
        <x:v>REL-SUP-010</x:v>
      </x:c>
      <x:c r="B644" s="26" t="str">
        <x:v>Comunidad, soporte y operaciones</x:v>
      </x:c>
      <x:c r="C644" s="26" t="str">
        <x:v>31_H6_and_Release_Readiness_Checklist.xlsx</x:v>
      </x:c>
      <x:c r="D644" s="26" t="str">
        <x:v>Las solicitudes de accesibilidad/localización se etiquetan y revisan por especialistas.</x:v>
      </x:c>
      <x:c r="E644" s="26" t="str">
        <x:v>CHG-RC1-DOC-31</x:v>
      </x:c>
      <x:c r="F644" s="26"/>
      <x:c r="G644" s="26" t="str">
        <x:v>REL-SUP-010</x:v>
      </x:c>
      <x:c r="H644" s="26"/>
      <x:c r="I644" s="26"/>
      <x:c r="J644" s="26" t="str">
        <x:v>NOT RUN</x:v>
      </x:c>
      <x:c r="K644" s="26"/>
      <x:c r="L644" s="26"/>
      <x:c r="M644" s="26" t="str">
        <x:v>RC1</x:v>
      </x:c>
      <x:c r="N644" s="26" t="str">
        <x:v>Defined / Not Executed</x:v>
      </x:c>
      <x:c r="O644" s="26"/>
      <x:c r="P644" s="26" t="str">
        <x:v>Support/Community</x:v>
      </x:c>
      <x:c r="Q644" s="26" t="str">
        <x:v>Release; reviewer=Production/Privacy; gate=Release</x:v>
      </x:c>
    </x:row>
    <x:row r="645" ht="30" customHeight="1">
      <x:c r="A645" s="26" t="str">
        <x:v>REL-SUP-011</x:v>
      </x:c>
      <x:c r="B645" s="26" t="str">
        <x:v>Comunidad, soporte y operaciones</x:v>
      </x:c>
      <x:c r="C645" s="26" t="str">
        <x:v>31_H6_and_Release_Readiness_Checklist.xlsx</x:v>
      </x:c>
      <x:c r="D645" s="26" t="str">
        <x:v>El soporte puede identificar versión/build sin pedir información compleja al usuario.</x:v>
      </x:c>
      <x:c r="E645" s="26" t="str">
        <x:v>CHG-RC1-DOC-31</x:v>
      </x:c>
      <x:c r="F645" s="26"/>
      <x:c r="G645" s="26" t="str">
        <x:v>REL-SUP-011</x:v>
      </x:c>
      <x:c r="H645" s="26"/>
      <x:c r="I645" s="26"/>
      <x:c r="J645" s="26" t="str">
        <x:v>NOT RUN</x:v>
      </x:c>
      <x:c r="K645" s="26"/>
      <x:c r="L645" s="26"/>
      <x:c r="M645" s="26" t="str">
        <x:v>RC1</x:v>
      </x:c>
      <x:c r="N645" s="26" t="str">
        <x:v>Defined / Not Executed</x:v>
      </x:c>
      <x:c r="O645" s="26"/>
      <x:c r="P645" s="26" t="str">
        <x:v>Support/Community</x:v>
      </x:c>
      <x:c r="Q645" s="26" t="str">
        <x:v>Release; reviewer=Production/Privacy; gate=Release</x:v>
      </x:c>
    </x:row>
    <x:row r="646" ht="30" customHeight="1">
      <x:c r="A646" s="26" t="str">
        <x:v>REL-SUP-012</x:v>
      </x:c>
      <x:c r="B646" s="26" t="str">
        <x:v>Comunidad, soporte y operaciones</x:v>
      </x:c>
      <x:c r="C646" s="26" t="str">
        <x:v>31_H6_and_Release_Readiness_Checklist.xlsx</x:v>
      </x:c>
      <x:c r="D646" s="26" t="str">
        <x:v>El handoff a post-launch incluye responsables, dashboards y backlog inicial.</x:v>
      </x:c>
      <x:c r="E646" s="26" t="str">
        <x:v>CHG-RC1-DOC-31</x:v>
      </x:c>
      <x:c r="F646" s="26"/>
      <x:c r="G646" s="26" t="str">
        <x:v>REL-SUP-012</x:v>
      </x:c>
      <x:c r="H646" s="26"/>
      <x:c r="I646" s="26"/>
      <x:c r="J646" s="26" t="str">
        <x:v>NOT RUN</x:v>
      </x:c>
      <x:c r="K646" s="26"/>
      <x:c r="L646" s="26"/>
      <x:c r="M646" s="26" t="str">
        <x:v>RC1</x:v>
      </x:c>
      <x:c r="N646" s="26" t="str">
        <x:v>Defined / Not Executed</x:v>
      </x:c>
      <x:c r="O646" s="26"/>
      <x:c r="P646" s="26" t="str">
        <x:v>Support/Community</x:v>
      </x:c>
      <x:c r="Q646" s="26" t="str">
        <x:v>Release; reviewer=Production/Privacy; gate=Release</x:v>
      </x:c>
    </x:row>
    <x:row r="647" ht="30" customHeight="1">
      <x:c r="A647" s="26" t="str">
        <x:v>REL-TEL-001</x:v>
      </x:c>
      <x:c r="B647" s="26" t="str">
        <x:v>Telemetría, crashes y datos</x:v>
      </x:c>
      <x:c r="C647" s="26" t="str">
        <x:v>31_H6_and_Release_Readiness_Checklist.xlsx</x:v>
      </x:c>
      <x:c r="D647" s="26" t="str">
        <x:v>La telemetría es opcional por diseño de release salvo decisión y base documentadas.</x:v>
      </x:c>
      <x:c r="E647" s="26" t="str">
        <x:v>CHG-RC1-DOC-31</x:v>
      </x:c>
      <x:c r="F647" s="26"/>
      <x:c r="G647" s="26" t="str">
        <x:v>REL-TEL-001</x:v>
      </x:c>
      <x:c r="H647" s="26"/>
      <x:c r="I647" s="26"/>
      <x:c r="J647" s="26" t="str">
        <x:v>NOT RUN</x:v>
      </x:c>
      <x:c r="K647" s="26"/>
      <x:c r="L647" s="26"/>
      <x:c r="M647" s="26" t="str">
        <x:v>RC1</x:v>
      </x:c>
      <x:c r="N647" s="26" t="str">
        <x:v>Defined / Not Executed</x:v>
      </x:c>
      <x:c r="O647" s="26"/>
      <x:c r="P647" s="26" t="str">
        <x:v>Data/Privacy</x:v>
      </x:c>
      <x:c r="Q647" s="26" t="str">
        <x:v>Release; reviewer=Engineering/Legal; gate=Release</x:v>
      </x:c>
    </x:row>
    <x:row r="648" ht="30" customHeight="1">
      <x:c r="A648" s="26" t="str">
        <x:v>REL-TEL-002</x:v>
      </x:c>
      <x:c r="B648" s="26" t="str">
        <x:v>Telemetría, crashes y datos</x:v>
      </x:c>
      <x:c r="C648" s="26" t="str">
        <x:v>31_H6_and_Release_Readiness_Checklist.xlsx</x:v>
      </x:c>
      <x:c r="D648" s="26" t="str">
        <x:v>Cada evento tiene propósito, campos, retención y owner definidos.</x:v>
      </x:c>
      <x:c r="E648" s="26" t="str">
        <x:v>CHG-RC1-DOC-31</x:v>
      </x:c>
      <x:c r="F648" s="26"/>
      <x:c r="G648" s="26" t="str">
        <x:v>REL-TEL-002</x:v>
      </x:c>
      <x:c r="H648" s="26"/>
      <x:c r="I648" s="26"/>
      <x:c r="J648" s="26" t="str">
        <x:v>NOT RUN</x:v>
      </x:c>
      <x:c r="K648" s="26"/>
      <x:c r="L648" s="26"/>
      <x:c r="M648" s="26" t="str">
        <x:v>RC1</x:v>
      </x:c>
      <x:c r="N648" s="26" t="str">
        <x:v>Defined / Not Executed</x:v>
      </x:c>
      <x:c r="O648" s="26"/>
      <x:c r="P648" s="26" t="str">
        <x:v>Data/Privacy</x:v>
      </x:c>
      <x:c r="Q648" s="26" t="str">
        <x:v>Release; reviewer=Engineering/Legal; gate=Release</x:v>
      </x:c>
    </x:row>
    <x:row r="649" ht="30" customHeight="1">
      <x:c r="A649" s="26" t="str">
        <x:v>REL-TEL-003</x:v>
      </x:c>
      <x:c r="B649" s="26" t="str">
        <x:v>Telemetría, crashes y datos</x:v>
      </x:c>
      <x:c r="C649" s="26" t="str">
        <x:v>31_H6_and_Release_Readiness_Checklist.xlsx</x:v>
      </x:c>
      <x:c r="D649" s="26" t="str">
        <x:v>No se recopila texto libre, contenido de save o identificadores innecesarios.</x:v>
      </x:c>
      <x:c r="E649" s="26" t="str">
        <x:v>CHG-RC1-DOC-31</x:v>
      </x:c>
      <x:c r="F649" s="26"/>
      <x:c r="G649" s="26" t="str">
        <x:v>REL-TEL-003</x:v>
      </x:c>
      <x:c r="H649" s="26"/>
      <x:c r="I649" s="26"/>
      <x:c r="J649" s="26" t="str">
        <x:v>NOT RUN</x:v>
      </x:c>
      <x:c r="K649" s="26"/>
      <x:c r="L649" s="26"/>
      <x:c r="M649" s="26" t="str">
        <x:v>RC1</x:v>
      </x:c>
      <x:c r="N649" s="26" t="str">
        <x:v>Defined / Not Executed</x:v>
      </x:c>
      <x:c r="O649" s="26"/>
      <x:c r="P649" s="26" t="str">
        <x:v>Data/Privacy</x:v>
      </x:c>
      <x:c r="Q649" s="26" t="str">
        <x:v>Release; reviewer=Engineering/Legal; gate=Release</x:v>
      </x:c>
    </x:row>
    <x:row r="650" ht="30" customHeight="1">
      <x:c r="A650" s="26" t="str">
        <x:v>REL-TEL-004</x:v>
      </x:c>
      <x:c r="B650" s="26" t="str">
        <x:v>Telemetría, crashes y datos</x:v>
      </x:c>
      <x:c r="C650" s="26" t="str">
        <x:v>31_H6_and_Release_Readiness_Checklist.xlsx</x:v>
      </x:c>
      <x:c r="D650" s="26" t="str">
        <x:v>Consentimiento, opt-out y estado offline funcionan cuando son necesarios.</x:v>
      </x:c>
      <x:c r="E650" s="26" t="str">
        <x:v>CHG-RC1-DOC-31</x:v>
      </x:c>
      <x:c r="F650" s="26"/>
      <x:c r="G650" s="26" t="str">
        <x:v>REL-TEL-004</x:v>
      </x:c>
      <x:c r="H650" s="26"/>
      <x:c r="I650" s="26"/>
      <x:c r="J650" s="26" t="str">
        <x:v>NOT RUN</x:v>
      </x:c>
      <x:c r="K650" s="26"/>
      <x:c r="L650" s="26"/>
      <x:c r="M650" s="26" t="str">
        <x:v>RC1</x:v>
      </x:c>
      <x:c r="N650" s="26" t="str">
        <x:v>Defined / Not Executed</x:v>
      </x:c>
      <x:c r="O650" s="26"/>
      <x:c r="P650" s="26" t="str">
        <x:v>Data/Privacy</x:v>
      </x:c>
      <x:c r="Q650" s="26" t="str">
        <x:v>Release; reviewer=Engineering/Legal; gate=Release</x:v>
      </x:c>
    </x:row>
    <x:row r="651" ht="30" customHeight="1">
      <x:c r="A651" s="26" t="str">
        <x:v>REL-TEL-005</x:v>
      </x:c>
      <x:c r="B651" s="26" t="str">
        <x:v>Telemetría, crashes y datos</x:v>
      </x:c>
      <x:c r="C651" s="26" t="str">
        <x:v>31_H6_and_Release_Readiness_Checklist.xlsx</x:v>
      </x:c>
      <x:c r="D651" s="26" t="str">
        <x:v>Los crash reports se prueban sin enviar datos sensibles.</x:v>
      </x:c>
      <x:c r="E651" s="26" t="str">
        <x:v>CHG-RC1-DOC-31</x:v>
      </x:c>
      <x:c r="F651" s="26"/>
      <x:c r="G651" s="26" t="str">
        <x:v>REL-TEL-005</x:v>
      </x:c>
      <x:c r="H651" s="26"/>
      <x:c r="I651" s="26"/>
      <x:c r="J651" s="26" t="str">
        <x:v>NOT RUN</x:v>
      </x:c>
      <x:c r="K651" s="26"/>
      <x:c r="L651" s="26"/>
      <x:c r="M651" s="26" t="str">
        <x:v>RC1</x:v>
      </x:c>
      <x:c r="N651" s="26" t="str">
        <x:v>Defined / Not Executed</x:v>
      </x:c>
      <x:c r="O651" s="26"/>
      <x:c r="P651" s="26" t="str">
        <x:v>Data/Privacy</x:v>
      </x:c>
      <x:c r="Q651" s="26" t="str">
        <x:v>Release; reviewer=Engineering/Legal; gate=Release</x:v>
      </x:c>
    </x:row>
    <x:row r="652" ht="30" customHeight="1">
      <x:c r="A652" s="26" t="str">
        <x:v>REL-TEL-006</x:v>
      </x:c>
      <x:c r="B652" s="26" t="str">
        <x:v>Telemetría, crashes y datos</x:v>
      </x:c>
      <x:c r="C652" s="26" t="str">
        <x:v>31_H6_and_Release_Readiness_Checklist.xlsx</x:v>
      </x:c>
      <x:c r="D652" s="26" t="str">
        <x:v>Los dashboards distinguen métricas de producto, calidad y marketing.</x:v>
      </x:c>
      <x:c r="E652" s="26" t="str">
        <x:v>CHG-RC1-DOC-31</x:v>
      </x:c>
      <x:c r="F652" s="26"/>
      <x:c r="G652" s="26" t="str">
        <x:v>REL-TEL-006</x:v>
      </x:c>
      <x:c r="H652" s="26"/>
      <x:c r="I652" s="26"/>
      <x:c r="J652" s="26" t="str">
        <x:v>NOT RUN</x:v>
      </x:c>
      <x:c r="K652" s="26"/>
      <x:c r="L652" s="26"/>
      <x:c r="M652" s="26" t="str">
        <x:v>RC1</x:v>
      </x:c>
      <x:c r="N652" s="26" t="str">
        <x:v>Defined / Not Executed</x:v>
      </x:c>
      <x:c r="O652" s="26"/>
      <x:c r="P652" s="26" t="str">
        <x:v>Data/Privacy</x:v>
      </x:c>
      <x:c r="Q652" s="26" t="str">
        <x:v>Release; reviewer=Engineering/Legal; gate=Release</x:v>
      </x:c>
    </x:row>
    <x:row r="653" ht="30" customHeight="1">
      <x:c r="A653" s="26" t="str">
        <x:v>REL-TEL-007</x:v>
      </x:c>
      <x:c r="B653" s="26" t="str">
        <x:v>Telemetría, crashes y datos</x:v>
      </x:c>
      <x:c r="C653" s="26" t="str">
        <x:v>31_H6_and_Release_Readiness_Checklist.xlsx</x:v>
      </x:c>
      <x:c r="D653" s="26" t="str">
        <x:v>Las métricas tienen plan de respuesta; no se recopilan datos sin uso operativo.</x:v>
      </x:c>
      <x:c r="E653" s="26" t="str">
        <x:v>CHG-RC1-DOC-31</x:v>
      </x:c>
      <x:c r="F653" s="26"/>
      <x:c r="G653" s="26" t="str">
        <x:v>REL-TEL-007</x:v>
      </x:c>
      <x:c r="H653" s="26"/>
      <x:c r="I653" s="26"/>
      <x:c r="J653" s="26" t="str">
        <x:v>NOT RUN</x:v>
      </x:c>
      <x:c r="K653" s="26"/>
      <x:c r="L653" s="26"/>
      <x:c r="M653" s="26" t="str">
        <x:v>RC1</x:v>
      </x:c>
      <x:c r="N653" s="26" t="str">
        <x:v>Defined / Not Executed</x:v>
      </x:c>
      <x:c r="O653" s="26"/>
      <x:c r="P653" s="26" t="str">
        <x:v>Data/Privacy</x:v>
      </x:c>
      <x:c r="Q653" s="26" t="str">
        <x:v>Release; reviewer=Engineering/Legal; gate=Release</x:v>
      </x:c>
    </x:row>
    <x:row r="654" ht="30" customHeight="1">
      <x:c r="A654" s="26" t="str">
        <x:v>REL-TEL-008</x:v>
      </x:c>
      <x:c r="B654" s="26" t="str">
        <x:v>Telemetría, crashes y datos</x:v>
      </x:c>
      <x:c r="C654" s="26" t="str">
        <x:v>31_H6_and_Release_Readiness_Checklist.xlsx</x:v>
      </x:c>
      <x:c r="D654" s="26" t="str">
        <x:v>Los proveedores y regiones de almacenamiento están registrados.</x:v>
      </x:c>
      <x:c r="E654" s="26" t="str">
        <x:v>CHG-RC1-DOC-31</x:v>
      </x:c>
      <x:c r="F654" s="26"/>
      <x:c r="G654" s="26" t="str">
        <x:v>REL-TEL-008</x:v>
      </x:c>
      <x:c r="H654" s="26"/>
      <x:c r="I654" s="26"/>
      <x:c r="J654" s="26" t="str">
        <x:v>NOT RUN</x:v>
      </x:c>
      <x:c r="K654" s="26"/>
      <x:c r="L654" s="26"/>
      <x:c r="M654" s="26" t="str">
        <x:v>RC1</x:v>
      </x:c>
      <x:c r="N654" s="26" t="str">
        <x:v>Defined / Not Executed</x:v>
      </x:c>
      <x:c r="O654" s="26"/>
      <x:c r="P654" s="26" t="str">
        <x:v>Data/Privacy</x:v>
      </x:c>
      <x:c r="Q654" s="26" t="str">
        <x:v>Release; reviewer=Engineering/Legal; gate=Release</x:v>
      </x:c>
    </x:row>
    <x:row r="655" ht="30" customHeight="1">
      <x:c r="A655" s="26" t="str">
        <x:v>REL-TEL-009</x:v>
      </x:c>
      <x:c r="B655" s="26" t="str">
        <x:v>Telemetría, crashes y datos</x:v>
      </x:c>
      <x:c r="C655" s="26" t="str">
        <x:v>31_H6_and_Release_Readiness_Checklist.xlsx</x:v>
      </x:c>
      <x:c r="D655" s="26" t="str">
        <x:v>La ausencia de red no bloquea el juego ni produce pérdida de datos.</x:v>
      </x:c>
      <x:c r="E655" s="26" t="str">
        <x:v>CHG-RC1-DOC-31</x:v>
      </x:c>
      <x:c r="F655" s="26"/>
      <x:c r="G655" s="26" t="str">
        <x:v>REL-TEL-009</x:v>
      </x:c>
      <x:c r="H655" s="26"/>
      <x:c r="I655" s="26"/>
      <x:c r="J655" s="26" t="str">
        <x:v>NOT RUN</x:v>
      </x:c>
      <x:c r="K655" s="26"/>
      <x:c r="L655" s="26"/>
      <x:c r="M655" s="26" t="str">
        <x:v>RC1</x:v>
      </x:c>
      <x:c r="N655" s="26" t="str">
        <x:v>Defined / Not Executed</x:v>
      </x:c>
      <x:c r="O655" s="26"/>
      <x:c r="P655" s="26" t="str">
        <x:v>Data/Privacy</x:v>
      </x:c>
      <x:c r="Q655" s="26" t="str">
        <x:v>Release; reviewer=Engineering/Legal; gate=Release</x:v>
      </x:c>
    </x:row>
    <x:row r="656" ht="30" customHeight="1">
      <x:c r="A656" s="26" t="str">
        <x:v>REL-TEL-010</x:v>
      </x:c>
      <x:c r="B656" s="26" t="str">
        <x:v>Telemetría, crashes y datos</x:v>
      </x:c>
      <x:c r="C656" s="26" t="str">
        <x:v>31_H6_and_Release_Readiness_Checklist.xlsx</x:v>
      </x:c>
      <x:c r="D656" s="26" t="str">
        <x:v>El apagado o cambio de proveedor tiene procedimiento de exportación/borrado.</x:v>
      </x:c>
      <x:c r="E656" s="26" t="str">
        <x:v>CHG-RC1-DOC-31</x:v>
      </x:c>
      <x:c r="F656" s="26"/>
      <x:c r="G656" s="26" t="str">
        <x:v>REL-TEL-010</x:v>
      </x:c>
      <x:c r="H656" s="26"/>
      <x:c r="I656" s="26"/>
      <x:c r="J656" s="26" t="str">
        <x:v>NOT RUN</x:v>
      </x:c>
      <x:c r="K656" s="26"/>
      <x:c r="L656" s="26"/>
      <x:c r="M656" s="26" t="str">
        <x:v>RC1</x:v>
      </x:c>
      <x:c r="N656" s="26" t="str">
        <x:v>Defined / Not Executed</x:v>
      </x:c>
      <x:c r="O656" s="26"/>
      <x:c r="P656" s="26" t="str">
        <x:v>Data/Privacy</x:v>
      </x:c>
      <x:c r="Q656" s="26" t="str">
        <x:v>Release; reviewer=Engineering/Legal; gate=Release</x:v>
      </x:c>
    </x:row>
    <x:row r="657" ht="30" customHeight="1">
      <x:c r="A657" s="26" t="str">
        <x:v>REL-COM-001</x:v>
      </x:c>
      <x:c r="B657" s="26" t="str">
        <x:v>Precio y preparación comercial</x:v>
      </x:c>
      <x:c r="C657" s="26" t="str">
        <x:v>31_H6_and_Release_Readiness_Checklist.xlsx</x:v>
      </x:c>
      <x:c r="D657" s="26" t="str">
        <x:v>El precio y moneda base se deciden con posicionamiento, alcance y mercado revisados.</x:v>
      </x:c>
      <x:c r="E657" s="26" t="str">
        <x:v>CHG-RC1-DOC-31</x:v>
      </x:c>
      <x:c r="F657" s="26"/>
      <x:c r="G657" s="26" t="str">
        <x:v>REL-COM-001</x:v>
      </x:c>
      <x:c r="H657" s="26"/>
      <x:c r="I657" s="26"/>
      <x:c r="J657" s="26" t="str">
        <x:v>NOT RUN</x:v>
      </x:c>
      <x:c r="K657" s="26"/>
      <x:c r="L657" s="26"/>
      <x:c r="M657" s="26" t="str">
        <x:v>RC1</x:v>
      </x:c>
      <x:c r="N657" s="26" t="str">
        <x:v>Defined / Not Executed</x:v>
      </x:c>
      <x:c r="O657" s="26"/>
      <x:c r="P657" s="26" t="str">
        <x:v>Business/Production</x:v>
      </x:c>
      <x:c r="Q657" s="26" t="str">
        <x:v>Release; reviewer=Marketing/Legal; gate=Release</x:v>
      </x:c>
    </x:row>
    <x:row r="658" ht="30" customHeight="1">
      <x:c r="A658" s="26" t="str">
        <x:v>REL-COM-002</x:v>
      </x:c>
      <x:c r="B658" s="26" t="str">
        <x:v>Precio y preparación comercial</x:v>
      </x:c>
      <x:c r="C658" s="26" t="str">
        <x:v>31_H6_and_Release_Readiness_Checklist.xlsx</x:v>
      </x:c>
      <x:c r="D658" s="26" t="str">
        <x:v>Descuentos de lanzamiento y calendario respetan políticas de Steam y márgenes.</x:v>
      </x:c>
      <x:c r="E658" s="26" t="str">
        <x:v>CHG-RC1-DOC-31</x:v>
      </x:c>
      <x:c r="F658" s="26"/>
      <x:c r="G658" s="26" t="str">
        <x:v>REL-COM-002</x:v>
      </x:c>
      <x:c r="H658" s="26"/>
      <x:c r="I658" s="26"/>
      <x:c r="J658" s="26" t="str">
        <x:v>NOT RUN</x:v>
      </x:c>
      <x:c r="K658" s="26"/>
      <x:c r="L658" s="26"/>
      <x:c r="M658" s="26" t="str">
        <x:v>RC1</x:v>
      </x:c>
      <x:c r="N658" s="26" t="str">
        <x:v>Defined / Not Executed</x:v>
      </x:c>
      <x:c r="O658" s="26"/>
      <x:c r="P658" s="26" t="str">
        <x:v>Business/Production</x:v>
      </x:c>
      <x:c r="Q658" s="26" t="str">
        <x:v>Release; reviewer=Marketing/Legal; gate=Release</x:v>
      </x:c>
    </x:row>
    <x:row r="659" ht="30" customHeight="1">
      <x:c r="A659" s="26" t="str">
        <x:v>REL-COM-003</x:v>
      </x:c>
      <x:c r="B659" s="26" t="str">
        <x:v>Precio y preparación comercial</x:v>
      </x:c>
      <x:c r="C659" s="26" t="str">
        <x:v>31_H6_and_Release_Readiness_Checklist.xlsx</x:v>
      </x:c>
      <x:c r="D659" s="26" t="str">
        <x:v>Impuestos, datos fiscales y pagos de Steamworks están configurados.</x:v>
      </x:c>
      <x:c r="E659" s="26" t="str">
        <x:v>CHG-RC1-DOC-31</x:v>
      </x:c>
      <x:c r="F659" s="26"/>
      <x:c r="G659" s="26" t="str">
        <x:v>REL-COM-003</x:v>
      </x:c>
      <x:c r="H659" s="26"/>
      <x:c r="I659" s="26"/>
      <x:c r="J659" s="26" t="str">
        <x:v>NOT RUN</x:v>
      </x:c>
      <x:c r="K659" s="26"/>
      <x:c r="L659" s="26"/>
      <x:c r="M659" s="26" t="str">
        <x:v>RC1</x:v>
      </x:c>
      <x:c r="N659" s="26" t="str">
        <x:v>Defined / Not Executed</x:v>
      </x:c>
      <x:c r="O659" s="26"/>
      <x:c r="P659" s="26" t="str">
        <x:v>Business/Production</x:v>
      </x:c>
      <x:c r="Q659" s="26" t="str">
        <x:v>Release; reviewer=Marketing/Legal; gate=Release</x:v>
      </x:c>
    </x:row>
    <x:row r="660" ht="30" customHeight="1">
      <x:c r="A660" s="26" t="str">
        <x:v>REL-COM-004</x:v>
      </x:c>
      <x:c r="B660" s="26" t="str">
        <x:v>Precio y preparación comercial</x:v>
      </x:c>
      <x:c r="C660" s="26" t="str">
        <x:v>31_H6_and_Release_Readiness_Checklist.xlsx</x:v>
      </x:c>
      <x:c r="D660" s="26" t="str">
        <x:v>La edición, contenido y derechos vendidos coinciden con la build.</x:v>
      </x:c>
      <x:c r="E660" s="26" t="str">
        <x:v>CHG-RC1-DOC-31</x:v>
      </x:c>
      <x:c r="F660" s="26"/>
      <x:c r="G660" s="26" t="str">
        <x:v>REL-COM-004</x:v>
      </x:c>
      <x:c r="H660" s="26"/>
      <x:c r="I660" s="26"/>
      <x:c r="J660" s="26" t="str">
        <x:v>NOT RUN</x:v>
      </x:c>
      <x:c r="K660" s="26"/>
      <x:c r="L660" s="26"/>
      <x:c r="M660" s="26" t="str">
        <x:v>RC1</x:v>
      </x:c>
      <x:c r="N660" s="26" t="str">
        <x:v>Defined / Not Executed</x:v>
      </x:c>
      <x:c r="O660" s="26"/>
      <x:c r="P660" s="26" t="str">
        <x:v>Business/Production</x:v>
      </x:c>
      <x:c r="Q660" s="26" t="str">
        <x:v>Release; reviewer=Marketing/Legal; gate=Release</x:v>
      </x:c>
    </x:row>
    <x:row r="661" ht="30" customHeight="1">
      <x:c r="A661" s="26" t="str">
        <x:v>REL-COM-005</x:v>
      </x:c>
      <x:c r="B661" s="26" t="str">
        <x:v>Precio y preparación comercial</x:v>
      </x:c>
      <x:c r="C661" s="26" t="str">
        <x:v>31_H6_and_Release_Readiness_Checklist.xlsx</x:v>
      </x:c>
      <x:c r="D661" s="26" t="str">
        <x:v>La política de claves promocionales tiene límites, tracking y prevención de abuso.</x:v>
      </x:c>
      <x:c r="E661" s="26" t="str">
        <x:v>CHG-RC1-DOC-31</x:v>
      </x:c>
      <x:c r="F661" s="26"/>
      <x:c r="G661" s="26" t="str">
        <x:v>REL-COM-005</x:v>
      </x:c>
      <x:c r="H661" s="26"/>
      <x:c r="I661" s="26"/>
      <x:c r="J661" s="26" t="str">
        <x:v>NOT RUN</x:v>
      </x:c>
      <x:c r="K661" s="26"/>
      <x:c r="L661" s="26"/>
      <x:c r="M661" s="26" t="str">
        <x:v>RC1</x:v>
      </x:c>
      <x:c r="N661" s="26" t="str">
        <x:v>Defined / Not Executed</x:v>
      </x:c>
      <x:c r="O661" s="26"/>
      <x:c r="P661" s="26" t="str">
        <x:v>Business/Production</x:v>
      </x:c>
      <x:c r="Q661" s="26" t="str">
        <x:v>Release; reviewer=Marketing/Legal; gate=Release</x:v>
      </x:c>
    </x:row>
    <x:row r="662" ht="30" customHeight="1">
      <x:c r="A662" s="26" t="str">
        <x:v>REL-COM-006</x:v>
      </x:c>
      <x:c r="B662" s="26" t="str">
        <x:v>Precio y preparación comercial</x:v>
      </x:c>
      <x:c r="C662" s="26" t="str">
        <x:v>31_H6_and_Release_Readiness_Checklist.xlsx</x:v>
      </x:c>
      <x:c r="D662" s="26" t="str">
        <x:v>Las expectativas de duración, contenido y estado del producto son honestas.</x:v>
      </x:c>
      <x:c r="E662" s="26" t="str">
        <x:v>CHG-RC1-DOC-31</x:v>
      </x:c>
      <x:c r="F662" s="26"/>
      <x:c r="G662" s="26" t="str">
        <x:v>REL-COM-006</x:v>
      </x:c>
      <x:c r="H662" s="26"/>
      <x:c r="I662" s="26"/>
      <x:c r="J662" s="26" t="str">
        <x:v>NOT RUN</x:v>
      </x:c>
      <x:c r="K662" s="26"/>
      <x:c r="L662" s="26"/>
      <x:c r="M662" s="26" t="str">
        <x:v>RC1</x:v>
      </x:c>
      <x:c r="N662" s="26" t="str">
        <x:v>Defined / Not Executed</x:v>
      </x:c>
      <x:c r="O662" s="26"/>
      <x:c r="P662" s="26" t="str">
        <x:v>Business/Production</x:v>
      </x:c>
      <x:c r="Q662" s="26" t="str">
        <x:v>Release; reviewer=Marketing/Legal; gate=Release</x:v>
      </x:c>
    </x:row>
    <x:row r="663" ht="30" customHeight="1">
      <x:c r="A663" s="26" t="str">
        <x:v>REL-COM-007</x:v>
      </x:c>
      <x:c r="B663" s="26" t="str">
        <x:v>Precio y preparación comercial</x:v>
      </x:c>
      <x:c r="C663" s="26" t="str">
        <x:v>31_H6_and_Release_Readiness_Checklist.xlsx</x:v>
      </x:c>
      <x:c r="D663" s="26" t="str">
        <x:v>Las campañas o bundles no prometen integraciones no cerradas.</x:v>
      </x:c>
      <x:c r="E663" s="26" t="str">
        <x:v>CHG-RC1-DOC-31</x:v>
      </x:c>
      <x:c r="F663" s="26"/>
      <x:c r="G663" s="26" t="str">
        <x:v>REL-COM-007</x:v>
      </x:c>
      <x:c r="H663" s="26"/>
      <x:c r="I663" s="26"/>
      <x:c r="J663" s="26" t="str">
        <x:v>NOT RUN</x:v>
      </x:c>
      <x:c r="K663" s="26"/>
      <x:c r="L663" s="26"/>
      <x:c r="M663" s="26" t="str">
        <x:v>RC1</x:v>
      </x:c>
      <x:c r="N663" s="26" t="str">
        <x:v>Defined / Not Executed</x:v>
      </x:c>
      <x:c r="O663" s="26"/>
      <x:c r="P663" s="26" t="str">
        <x:v>Business/Production</x:v>
      </x:c>
      <x:c r="Q663" s="26" t="str">
        <x:v>Release; reviewer=Marketing/Legal; gate=Release</x:v>
      </x:c>
    </x:row>
    <x:row r="664" ht="30" customHeight="1">
      <x:c r="A664" s="26" t="str">
        <x:v>REL-COM-008</x:v>
      </x:c>
      <x:c r="B664" s="26" t="str">
        <x:v>Precio y preparación comercial</x:v>
      </x:c>
      <x:c r="C664" s="26" t="str">
        <x:v>31_H6_and_Release_Readiness_Checklist.xlsx</x:v>
      </x:c>
      <x:c r="D664" s="26" t="str">
        <x:v>Existe presupuesto para soporte, localización, arte de tienda y contingencias de launch.</x:v>
      </x:c>
      <x:c r="E664" s="26" t="str">
        <x:v>CHG-RC1-DOC-31</x:v>
      </x:c>
      <x:c r="F664" s="26"/>
      <x:c r="G664" s="26" t="str">
        <x:v>REL-COM-008</x:v>
      </x:c>
      <x:c r="H664" s="26"/>
      <x:c r="I664" s="26"/>
      <x:c r="J664" s="26" t="str">
        <x:v>NOT RUN</x:v>
      </x:c>
      <x:c r="K664" s="26"/>
      <x:c r="L664" s="26"/>
      <x:c r="M664" s="26" t="str">
        <x:v>RC1</x:v>
      </x:c>
      <x:c r="N664" s="26" t="str">
        <x:v>Defined / Not Executed</x:v>
      </x:c>
      <x:c r="O664" s="26"/>
      <x:c r="P664" s="26" t="str">
        <x:v>Business/Production</x:v>
      </x:c>
      <x:c r="Q664" s="26" t="str">
        <x:v>Release; reviewer=Marketing/Legal; gate=Release</x:v>
      </x:c>
    </x:row>
    <x:row r="665" ht="30" customHeight="1">
      <x:c r="A665" s="26" t="str">
        <x:v>REL-COM-009</x:v>
      </x:c>
      <x:c r="B665" s="26" t="str">
        <x:v>Precio y preparación comercial</x:v>
      </x:c>
      <x:c r="C665" s="26" t="str">
        <x:v>31_H6_and_Release_Readiness_Checklist.xlsx</x:v>
      </x:c>
      <x:c r="D665" s="26" t="str">
        <x:v>Los escenarios de ventas bajos/altos tienen respuesta operativa.</x:v>
      </x:c>
      <x:c r="E665" s="26" t="str">
        <x:v>CHG-RC1-DOC-31</x:v>
      </x:c>
      <x:c r="F665" s="26"/>
      <x:c r="G665" s="26" t="str">
        <x:v>REL-COM-009</x:v>
      </x:c>
      <x:c r="H665" s="26"/>
      <x:c r="I665" s="26"/>
      <x:c r="J665" s="26" t="str">
        <x:v>NOT RUN</x:v>
      </x:c>
      <x:c r="K665" s="26"/>
      <x:c r="L665" s="26"/>
      <x:c r="M665" s="26" t="str">
        <x:v>RC1</x:v>
      </x:c>
      <x:c r="N665" s="26" t="str">
        <x:v>Defined / Not Executed</x:v>
      </x:c>
      <x:c r="O665" s="26"/>
      <x:c r="P665" s="26" t="str">
        <x:v>Business/Production</x:v>
      </x:c>
      <x:c r="Q665" s="26" t="str">
        <x:v>Release; reviewer=Marketing/Legal; gate=Release</x:v>
      </x:c>
    </x:row>
    <x:row r="666" ht="30" customHeight="1">
      <x:c r="A666" s="26" t="str">
        <x:v>REL-COM-010</x:v>
      </x:c>
      <x:c r="B666" s="26" t="str">
        <x:v>Precio y preparación comercial</x:v>
      </x:c>
      <x:c r="C666" s="26" t="str">
        <x:v>31_H6_and_Release_Readiness_Checklist.xlsx</x:v>
      </x:c>
      <x:c r="D666" s="26" t="str">
        <x:v>La decisión de Early Access, demo o full launch está explícita y justificada.</x:v>
      </x:c>
      <x:c r="E666" s="26" t="str">
        <x:v>CHG-RC1-DOC-31</x:v>
      </x:c>
      <x:c r="F666" s="26"/>
      <x:c r="G666" s="26" t="str">
        <x:v>REL-COM-010</x:v>
      </x:c>
      <x:c r="H666" s="26"/>
      <x:c r="I666" s="26"/>
      <x:c r="J666" s="26" t="str">
        <x:v>NOT RUN</x:v>
      </x:c>
      <x:c r="K666" s="26"/>
      <x:c r="L666" s="26"/>
      <x:c r="M666" s="26" t="str">
        <x:v>RC1</x:v>
      </x:c>
      <x:c r="N666" s="26" t="str">
        <x:v>Defined / Not Executed</x:v>
      </x:c>
      <x:c r="O666" s="26"/>
      <x:c r="P666" s="26" t="str">
        <x:v>Business/Production</x:v>
      </x:c>
      <x:c r="Q666" s="26" t="str">
        <x:v>Release; reviewer=Marketing/Legal; gate=Release</x:v>
      </x:c>
    </x:row>
    <x:row r="667" ht="30" customHeight="1">
      <x:c r="A667" s="26" t="str">
        <x:v>REL-LIVE-001</x:v>
      </x:c>
      <x:c r="B667" s="26" t="str">
        <x:v>Post-lanzamiento, rollback y continuidad</x:v>
      </x:c>
      <x:c r="C667" s="26" t="str">
        <x:v>31_H6_and_Release_Readiness_Checklist.xlsx</x:v>
      </x:c>
      <x:c r="D667" s="26" t="str">
        <x:v>Existe plan de monitorización y triage para las primeras horas/días.</x:v>
      </x:c>
      <x:c r="E667" s="26" t="str">
        <x:v>CHG-RC1-DOC-31</x:v>
      </x:c>
      <x:c r="F667" s="26"/>
      <x:c r="G667" s="26" t="str">
        <x:v>REL-LIVE-001</x:v>
      </x:c>
      <x:c r="H667" s="26"/>
      <x:c r="I667" s="26"/>
      <x:c r="J667" s="26" t="str">
        <x:v>NOT RUN</x:v>
      </x:c>
      <x:c r="K667" s="26"/>
      <x:c r="L667" s="26"/>
      <x:c r="M667" s="26" t="str">
        <x:v>RC1</x:v>
      </x:c>
      <x:c r="N667" s="26" t="str">
        <x:v>Defined / Not Executed</x:v>
      </x:c>
      <x:c r="O667" s="26"/>
      <x:c r="P667" s="26" t="str">
        <x:v>Live Operations/Production</x:v>
      </x:c>
      <x:c r="Q667" s="26" t="str">
        <x:v>Release; reviewer=Engineering/QA/Support; gate=Release</x:v>
      </x:c>
    </x:row>
    <x:row r="668" ht="30" customHeight="1">
      <x:c r="A668" s="26" t="str">
        <x:v>REL-LIVE-002</x:v>
      </x:c>
      <x:c r="B668" s="26" t="str">
        <x:v>Post-lanzamiento, rollback y continuidad</x:v>
      </x:c>
      <x:c r="C668" s="26" t="str">
        <x:v>31_H6_and_Release_Readiness_Checklist.xlsx</x:v>
      </x:c>
      <x:c r="D668" s="26" t="str">
        <x:v>La RC de rollback y procedimiento de reversión están probados.</x:v>
      </x:c>
      <x:c r="E668" s="26" t="str">
        <x:v>CHG-RC1-DOC-31</x:v>
      </x:c>
      <x:c r="F668" s="26"/>
      <x:c r="G668" s="26" t="str">
        <x:v>REL-LIVE-002</x:v>
      </x:c>
      <x:c r="H668" s="26"/>
      <x:c r="I668" s="26"/>
      <x:c r="J668" s="26" t="str">
        <x:v>NOT RUN</x:v>
      </x:c>
      <x:c r="K668" s="26"/>
      <x:c r="L668" s="26"/>
      <x:c r="M668" s="26" t="str">
        <x:v>RC1</x:v>
      </x:c>
      <x:c r="N668" s="26" t="str">
        <x:v>Defined / Not Executed</x:v>
      </x:c>
      <x:c r="O668" s="26"/>
      <x:c r="P668" s="26" t="str">
        <x:v>Live Operations/Production</x:v>
      </x:c>
      <x:c r="Q668" s="26" t="str">
        <x:v>Release; reviewer=Engineering/QA/Support; gate=Release</x:v>
      </x:c>
    </x:row>
    <x:row r="669" ht="30" customHeight="1">
      <x:c r="A669" s="26" t="str">
        <x:v>REL-LIVE-003</x:v>
      </x:c>
      <x:c r="B669" s="26" t="str">
        <x:v>Post-lanzamiento, rollback y continuidad</x:v>
      </x:c>
      <x:c r="C669" s="26" t="str">
        <x:v>31_H6_and_Release_Readiness_Checklist.xlsx</x:v>
      </x:c>
      <x:c r="D669" s="26" t="str">
        <x:v>Los criterios para hotfix, patch, rollback y comunicación están definidos.</x:v>
      </x:c>
      <x:c r="E669" s="26" t="str">
        <x:v>CHG-RC1-DOC-31</x:v>
      </x:c>
      <x:c r="F669" s="26"/>
      <x:c r="G669" s="26" t="str">
        <x:v>REL-LIVE-003</x:v>
      </x:c>
      <x:c r="H669" s="26"/>
      <x:c r="I669" s="26"/>
      <x:c r="J669" s="26" t="str">
        <x:v>NOT RUN</x:v>
      </x:c>
      <x:c r="K669" s="26"/>
      <x:c r="L669" s="26"/>
      <x:c r="M669" s="26" t="str">
        <x:v>RC1</x:v>
      </x:c>
      <x:c r="N669" s="26" t="str">
        <x:v>Defined / Not Executed</x:v>
      </x:c>
      <x:c r="O669" s="26"/>
      <x:c r="P669" s="26" t="str">
        <x:v>Live Operations/Production</x:v>
      </x:c>
      <x:c r="Q669" s="26" t="str">
        <x:v>Release; reviewer=Engineering/QA/Support; gate=Release</x:v>
      </x:c>
    </x:row>
    <x:row r="670" ht="30" customHeight="1">
      <x:c r="A670" s="26" t="str">
        <x:v>REL-LIVE-004</x:v>
      </x:c>
      <x:c r="B670" s="26" t="str">
        <x:v>Post-lanzamiento, rollback y continuidad</x:v>
      </x:c>
      <x:c r="C670" s="26" t="str">
        <x:v>31_H6_and_Release_Readiness_Checklist.xlsx</x:v>
      </x:c>
      <x:c r="D670" s="26" t="str">
        <x:v>El pipeline puede producir un hotfix reproducible sin cambios colaterales.</x:v>
      </x:c>
      <x:c r="E670" s="26" t="str">
        <x:v>CHG-RC1-DOC-31</x:v>
      </x:c>
      <x:c r="F670" s="26"/>
      <x:c r="G670" s="26" t="str">
        <x:v>REL-LIVE-004</x:v>
      </x:c>
      <x:c r="H670" s="26"/>
      <x:c r="I670" s="26"/>
      <x:c r="J670" s="26" t="str">
        <x:v>NOT RUN</x:v>
      </x:c>
      <x:c r="K670" s="26"/>
      <x:c r="L670" s="26"/>
      <x:c r="M670" s="26" t="str">
        <x:v>RC1</x:v>
      </x:c>
      <x:c r="N670" s="26" t="str">
        <x:v>Defined / Not Executed</x:v>
      </x:c>
      <x:c r="O670" s="26"/>
      <x:c r="P670" s="26" t="str">
        <x:v>Live Operations/Production</x:v>
      </x:c>
      <x:c r="Q670" s="26" t="str">
        <x:v>Release; reviewer=Engineering/QA/Support; gate=Release</x:v>
      </x:c>
    </x:row>
    <x:row r="671" ht="30" customHeight="1">
      <x:c r="A671" s="26" t="str">
        <x:v>REL-LIVE-005</x:v>
      </x:c>
      <x:c r="B671" s="26" t="str">
        <x:v>Post-lanzamiento, rollback y continuidad</x:v>
      </x:c>
      <x:c r="C671" s="26" t="str">
        <x:v>31_H6_and_Release_Readiness_Checklist.xlsx</x:v>
      </x:c>
      <x:c r="D671" s="26" t="str">
        <x:v>Los saves se respaldan y migran de forma segura entre parches.</x:v>
      </x:c>
      <x:c r="E671" s="26" t="str">
        <x:v>CHG-RC1-DOC-31</x:v>
      </x:c>
      <x:c r="F671" s="26"/>
      <x:c r="G671" s="26" t="str">
        <x:v>REL-LIVE-005</x:v>
      </x:c>
      <x:c r="H671" s="26"/>
      <x:c r="I671" s="26"/>
      <x:c r="J671" s="26" t="str">
        <x:v>NOT RUN</x:v>
      </x:c>
      <x:c r="K671" s="26"/>
      <x:c r="L671" s="26"/>
      <x:c r="M671" s="26" t="str">
        <x:v>RC1</x:v>
      </x:c>
      <x:c r="N671" s="26" t="str">
        <x:v>Defined / Not Executed</x:v>
      </x:c>
      <x:c r="O671" s="26"/>
      <x:c r="P671" s="26" t="str">
        <x:v>Live Operations/Production</x:v>
      </x:c>
      <x:c r="Q671" s="26" t="str">
        <x:v>Release; reviewer=Engineering/QA/Support; gate=Release</x:v>
      </x:c>
    </x:row>
    <x:row r="672" ht="30" customHeight="1">
      <x:c r="A672" s="26" t="str">
        <x:v>REL-LIVE-006</x:v>
      </x:c>
      <x:c r="B672" s="26" t="str">
        <x:v>Post-lanzamiento, rollback y continuidad</x:v>
      </x:c>
      <x:c r="C672" s="26" t="str">
        <x:v>31_H6_and_Release_Readiness_Checklist.xlsx</x:v>
      </x:c>
      <x:c r="D672" s="26" t="str">
        <x:v>Los known issues y workaround pueden publicarse rápidamente.</x:v>
      </x:c>
      <x:c r="E672" s="26" t="str">
        <x:v>CHG-RC1-DOC-31</x:v>
      </x:c>
      <x:c r="F672" s="26"/>
      <x:c r="G672" s="26" t="str">
        <x:v>REL-LIVE-006</x:v>
      </x:c>
      <x:c r="H672" s="26"/>
      <x:c r="I672" s="26"/>
      <x:c r="J672" s="26" t="str">
        <x:v>NOT RUN</x:v>
      </x:c>
      <x:c r="K672" s="26"/>
      <x:c r="L672" s="26"/>
      <x:c r="M672" s="26" t="str">
        <x:v>RC1</x:v>
      </x:c>
      <x:c r="N672" s="26" t="str">
        <x:v>Defined / Not Executed</x:v>
      </x:c>
      <x:c r="O672" s="26"/>
      <x:c r="P672" s="26" t="str">
        <x:v>Live Operations/Production</x:v>
      </x:c>
      <x:c r="Q672" s="26" t="str">
        <x:v>Release; reviewer=Engineering/QA/Support; gate=Release</x:v>
      </x:c>
    </x:row>
    <x:row r="673" ht="30" customHeight="1">
      <x:c r="A673" s="26" t="str">
        <x:v>REL-LIVE-007</x:v>
      </x:c>
      <x:c r="B673" s="26" t="str">
        <x:v>Post-lanzamiento, rollback y continuidad</x:v>
      </x:c>
      <x:c r="C673" s="26" t="str">
        <x:v>31_H6_and_Release_Readiness_Checklist.xlsx</x:v>
      </x:c>
      <x:c r="D673" s="26" t="str">
        <x:v>Existe rotación/propietario para incidentes de build, pagos, Steam o comunidad.</x:v>
      </x:c>
      <x:c r="E673" s="26" t="str">
        <x:v>CHG-RC1-DOC-31</x:v>
      </x:c>
      <x:c r="F673" s="26"/>
      <x:c r="G673" s="26" t="str">
        <x:v>REL-LIVE-007</x:v>
      </x:c>
      <x:c r="H673" s="26"/>
      <x:c r="I673" s="26"/>
      <x:c r="J673" s="26" t="str">
        <x:v>NOT RUN</x:v>
      </x:c>
      <x:c r="K673" s="26"/>
      <x:c r="L673" s="26"/>
      <x:c r="M673" s="26" t="str">
        <x:v>RC1</x:v>
      </x:c>
      <x:c r="N673" s="26" t="str">
        <x:v>Defined / Not Executed</x:v>
      </x:c>
      <x:c r="O673" s="26"/>
      <x:c r="P673" s="26" t="str">
        <x:v>Live Operations/Production</x:v>
      </x:c>
      <x:c r="Q673" s="26" t="str">
        <x:v>Release; reviewer=Engineering/QA/Support; gate=Release</x:v>
      </x:c>
    </x:row>
    <x:row r="674" ht="30" customHeight="1">
      <x:c r="A674" s="26" t="str">
        <x:v>REL-LIVE-008</x:v>
      </x:c>
      <x:c r="B674" s="26" t="str">
        <x:v>Post-lanzamiento, rollback y continuidad</x:v>
      </x:c>
      <x:c r="C674" s="26" t="str">
        <x:v>31_H6_and_Release_Readiness_Checklist.xlsx</x:v>
      </x:c>
      <x:c r="D674" s="26" t="str">
        <x:v>Backups y accesos críticos permiten continuar si una herramienta o cuenta falla.</x:v>
      </x:c>
      <x:c r="E674" s="26" t="str">
        <x:v>CHG-RC1-DOC-31</x:v>
      </x:c>
      <x:c r="F674" s="26"/>
      <x:c r="G674" s="26" t="str">
        <x:v>REL-LIVE-008</x:v>
      </x:c>
      <x:c r="H674" s="26"/>
      <x:c r="I674" s="26"/>
      <x:c r="J674" s="26" t="str">
        <x:v>NOT RUN</x:v>
      </x:c>
      <x:c r="K674" s="26"/>
      <x:c r="L674" s="26"/>
      <x:c r="M674" s="26" t="str">
        <x:v>RC1</x:v>
      </x:c>
      <x:c r="N674" s="26" t="str">
        <x:v>Defined / Not Executed</x:v>
      </x:c>
      <x:c r="O674" s="26"/>
      <x:c r="P674" s="26" t="str">
        <x:v>Live Operations/Production</x:v>
      </x:c>
      <x:c r="Q674" s="26" t="str">
        <x:v>Release; reviewer=Engineering/QA/Support; gate=Release</x:v>
      </x:c>
    </x:row>
    <x:row r="675" ht="30" customHeight="1">
      <x:c r="A675" s="26" t="str">
        <x:v>REL-LIVE-009</x:v>
      </x:c>
      <x:c r="B675" s="26" t="str">
        <x:v>Post-lanzamiento, rollback y continuidad</x:v>
      </x:c>
      <x:c r="C675" s="26" t="str">
        <x:v>31_H6_and_Release_Readiness_Checklist.xlsx</x:v>
      </x:c>
      <x:c r="D675" s="26" t="str">
        <x:v>El backlog post-launch separa defectos, feedback, accesibilidad y features.</x:v>
      </x:c>
      <x:c r="E675" s="26" t="str">
        <x:v>CHG-RC1-DOC-31</x:v>
      </x:c>
      <x:c r="F675" s="26"/>
      <x:c r="G675" s="26" t="str">
        <x:v>REL-LIVE-009</x:v>
      </x:c>
      <x:c r="H675" s="26"/>
      <x:c r="I675" s="26"/>
      <x:c r="J675" s="26" t="str">
        <x:v>NOT RUN</x:v>
      </x:c>
      <x:c r="K675" s="26"/>
      <x:c r="L675" s="26"/>
      <x:c r="M675" s="26" t="str">
        <x:v>RC1</x:v>
      </x:c>
      <x:c r="N675" s="26" t="str">
        <x:v>Defined / Not Executed</x:v>
      </x:c>
      <x:c r="O675" s="26"/>
      <x:c r="P675" s="26" t="str">
        <x:v>Live Operations/Production</x:v>
      </x:c>
      <x:c r="Q675" s="26" t="str">
        <x:v>Release; reviewer=Engineering/QA/Support; gate=Release</x:v>
      </x:c>
    </x:row>
    <x:row r="676" ht="30" customHeight="1">
      <x:c r="A676" s="26" t="str">
        <x:v>REL-LIVE-010</x:v>
      </x:c>
      <x:c r="B676" s="26" t="str">
        <x:v>Post-lanzamiento, rollback y continuidad</x:v>
      </x:c>
      <x:c r="C676" s="26" t="str">
        <x:v>31_H6_and_Release_Readiness_Checklist.xlsx</x:v>
      </x:c>
      <x:c r="D676" s="26" t="str">
        <x:v>Las métricas y tickets tienen umbrales de escalado.</x:v>
      </x:c>
      <x:c r="E676" s="26" t="str">
        <x:v>CHG-RC1-DOC-31</x:v>
      </x:c>
      <x:c r="F676" s="26"/>
      <x:c r="G676" s="26" t="str">
        <x:v>REL-LIVE-010</x:v>
      </x:c>
      <x:c r="H676" s="26"/>
      <x:c r="I676" s="26"/>
      <x:c r="J676" s="26" t="str">
        <x:v>NOT RUN</x:v>
      </x:c>
      <x:c r="K676" s="26"/>
      <x:c r="L676" s="26"/>
      <x:c r="M676" s="26" t="str">
        <x:v>RC1</x:v>
      </x:c>
      <x:c r="N676" s="26" t="str">
        <x:v>Defined / Not Executed</x:v>
      </x:c>
      <x:c r="O676" s="26"/>
      <x:c r="P676" s="26" t="str">
        <x:v>Live Operations/Production</x:v>
      </x:c>
      <x:c r="Q676" s="26" t="str">
        <x:v>Release; reviewer=Engineering/QA/Support; gate=Release</x:v>
      </x:c>
    </x:row>
    <x:row r="677" ht="30" customHeight="1">
      <x:c r="A677" s="26" t="str">
        <x:v>REL-LIVE-011</x:v>
      </x:c>
      <x:c r="B677" s="26" t="str">
        <x:v>Post-lanzamiento, rollback y continuidad</x:v>
      </x:c>
      <x:c r="C677" s="26" t="str">
        <x:v>31_H6_and_Release_Readiness_Checklist.xlsx</x:v>
      </x:c>
      <x:c r="D677" s="26" t="str">
        <x:v>La comunicación de parche incluye cambios, riesgos y known issues.</x:v>
      </x:c>
      <x:c r="E677" s="26" t="str">
        <x:v>CHG-RC1-DOC-31</x:v>
      </x:c>
      <x:c r="F677" s="26"/>
      <x:c r="G677" s="26" t="str">
        <x:v>REL-LIVE-011</x:v>
      </x:c>
      <x:c r="H677" s="26"/>
      <x:c r="I677" s="26"/>
      <x:c r="J677" s="26" t="str">
        <x:v>NOT RUN</x:v>
      </x:c>
      <x:c r="K677" s="26"/>
      <x:c r="L677" s="26"/>
      <x:c r="M677" s="26" t="str">
        <x:v>RC1</x:v>
      </x:c>
      <x:c r="N677" s="26" t="str">
        <x:v>Defined / Not Executed</x:v>
      </x:c>
      <x:c r="O677" s="26"/>
      <x:c r="P677" s="26" t="str">
        <x:v>Live Operations/Production</x:v>
      </x:c>
      <x:c r="Q677" s="26" t="str">
        <x:v>Release; reviewer=Engineering/QA/Support; gate=Release</x:v>
      </x:c>
    </x:row>
    <x:row r="678" ht="30" customHeight="1">
      <x:c r="A678" s="26" t="str">
        <x:v>REL-LIVE-012</x:v>
      </x:c>
      <x:c r="B678" s="26" t="str">
        <x:v>Post-lanzamiento, rollback y continuidad</x:v>
      </x:c>
      <x:c r="C678" s="26" t="str">
        <x:v>31_H6_and_Release_Readiness_Checklist.xlsx</x:v>
      </x:c>
      <x:c r="D678" s="26" t="str">
        <x:v>El cierre del periodo de lanzamiento produce retrospectiva y baseline actualizada.</x:v>
      </x:c>
      <x:c r="E678" s="26" t="str">
        <x:v>CHG-RC1-DOC-31</x:v>
      </x:c>
      <x:c r="F678" s="26"/>
      <x:c r="G678" s="26" t="str">
        <x:v>REL-LIVE-012</x:v>
      </x:c>
      <x:c r="H678" s="26"/>
      <x:c r="I678" s="26"/>
      <x:c r="J678" s="26" t="str">
        <x:v>NOT RUN</x:v>
      </x:c>
      <x:c r="K678" s="26"/>
      <x:c r="L678" s="26"/>
      <x:c r="M678" s="26" t="str">
        <x:v>RC1</x:v>
      </x:c>
      <x:c r="N678" s="26" t="str">
        <x:v>Defined / Not Executed</x:v>
      </x:c>
      <x:c r="O678" s="26"/>
      <x:c r="P678" s="26" t="str">
        <x:v>Live Operations/Production</x:v>
      </x:c>
      <x:c r="Q678" s="26" t="str">
        <x:v>Release; reviewer=Engineering/QA/Support; gate=Release</x:v>
      </x:c>
    </x:row>
    <x:row r="679" ht="30" customHeight="1">
      <x:c r="A679" s="26" t="str">
        <x:v>REL-DOC-001</x:v>
      </x:c>
      <x:c r="B679" s="26" t="str">
        <x:v>Documentación, baseline y handoff</x:v>
      </x:c>
      <x:c r="C679" s="26" t="str">
        <x:v>31_H6_and_Release_Readiness_Checklist.xlsx</x:v>
      </x:c>
      <x:c r="D679" s="26" t="str">
        <x:v>Los documentos 00–34 están completos o su ausencia está formalmente resuelta antes de baseline final.</x:v>
      </x:c>
      <x:c r="E679" s="26" t="str">
        <x:v>CHG-RC1-DOC-31</x:v>
      </x:c>
      <x:c r="F679" s="26"/>
      <x:c r="G679" s="26" t="str">
        <x:v>REL-DOC-001</x:v>
      </x:c>
      <x:c r="H679" s="26"/>
      <x:c r="I679" s="26"/>
      <x:c r="J679" s="26" t="str">
        <x:v>NOT RUN</x:v>
      </x:c>
      <x:c r="K679" s="26"/>
      <x:c r="L679" s="26"/>
      <x:c r="M679" s="26" t="str">
        <x:v>RC1</x:v>
      </x:c>
      <x:c r="N679" s="26" t="str">
        <x:v>Defined / Not Executed</x:v>
      </x:c>
      <x:c r="O679" s="26"/>
      <x:c r="P679" s="26" t="str">
        <x:v>Documentation/Production</x:v>
      </x:c>
      <x:c r="Q679" s="26" t="str">
        <x:v>Release; reviewer=All Discipline Leads; gate=Release</x:v>
      </x:c>
    </x:row>
    <x:row r="680" ht="30" customHeight="1">
      <x:c r="A680" s="26" t="str">
        <x:v>REL-DOC-002</x:v>
      </x:c>
      <x:c r="B680" s="26" t="str">
        <x:v>Documentación, baseline y handoff</x:v>
      </x:c>
      <x:c r="C680" s="26" t="str">
        <x:v>31_H6_and_Release_Readiness_Checklist.xlsx</x:v>
      </x:c>
      <x:c r="D680" s="26" t="str">
        <x:v>12, 13, 14, 15 y 16 están regenerados con el conjunto completo.</x:v>
      </x:c>
      <x:c r="E680" s="26" t="str">
        <x:v>CHG-RC1-DOC-31</x:v>
      </x:c>
      <x:c r="F680" s="26"/>
      <x:c r="G680" s="26" t="str">
        <x:v>REL-DOC-002</x:v>
      </x:c>
      <x:c r="H680" s="26"/>
      <x:c r="I680" s="26"/>
      <x:c r="J680" s="26" t="str">
        <x:v>NOT RUN</x:v>
      </x:c>
      <x:c r="K680" s="26"/>
      <x:c r="L680" s="26"/>
      <x:c r="M680" s="26" t="str">
        <x:v>RC1</x:v>
      </x:c>
      <x:c r="N680" s="26" t="str">
        <x:v>Defined / Not Executed</x:v>
      </x:c>
      <x:c r="O680" s="26"/>
      <x:c r="P680" s="26" t="str">
        <x:v>Documentation/Production</x:v>
      </x:c>
      <x:c r="Q680" s="26" t="str">
        <x:v>Release; reviewer=All Discipline Leads; gate=Release</x:v>
      </x:c>
    </x:row>
    <x:row r="681" ht="30" customHeight="1">
      <x:c r="A681" s="26" t="str">
        <x:v>REL-DOC-003</x:v>
      </x:c>
      <x:c r="B681" s="26" t="str">
        <x:v>Documentación, baseline y handoff</x:v>
      </x:c>
      <x:c r="C681" s="26" t="str">
        <x:v>31_H6_and_Release_Readiness_Checklist.xlsx</x:v>
      </x:c>
      <x:c r="D681" s="26" t="str">
        <x:v>31, 32 y registros de builds contienen hashes y referencias cruzadas correctas.</x:v>
      </x:c>
      <x:c r="E681" s="26" t="str">
        <x:v>CHG-RC1-DOC-31</x:v>
      </x:c>
      <x:c r="F681" s="26"/>
      <x:c r="G681" s="26" t="str">
        <x:v>REL-DOC-003</x:v>
      </x:c>
      <x:c r="H681" s="26"/>
      <x:c r="I681" s="26"/>
      <x:c r="J681" s="26" t="str">
        <x:v>NOT RUN</x:v>
      </x:c>
      <x:c r="K681" s="26"/>
      <x:c r="L681" s="26"/>
      <x:c r="M681" s="26" t="str">
        <x:v>RC1</x:v>
      </x:c>
      <x:c r="N681" s="26" t="str">
        <x:v>Defined / Not Executed</x:v>
      </x:c>
      <x:c r="O681" s="26"/>
      <x:c r="P681" s="26" t="str">
        <x:v>Documentation/Production</x:v>
      </x:c>
      <x:c r="Q681" s="26" t="str">
        <x:v>Release; reviewer=All Discipline Leads; gate=Release</x:v>
      </x:c>
    </x:row>
    <x:row r="682" ht="30" customHeight="1">
      <x:c r="A682" s="26" t="str">
        <x:v>REL-DOC-004</x:v>
      </x:c>
      <x:c r="B682" s="26" t="str">
        <x:v>Documentación, baseline y handoff</x:v>
      </x:c>
      <x:c r="C682" s="26" t="str">
        <x:v>31_H6_and_Release_Readiness_Checklist.xlsx</x:v>
      </x:c>
      <x:c r="D682" s="26" t="str">
        <x:v>El manifest final incluye nombre, versión, tamaño, hash, autoridad, estado y sustituciones.</x:v>
      </x:c>
      <x:c r="E682" s="26" t="str">
        <x:v>CHG-RC1-DOC-31</x:v>
      </x:c>
      <x:c r="F682" s="26"/>
      <x:c r="G682" s="26" t="str">
        <x:v>REL-DOC-004</x:v>
      </x:c>
      <x:c r="H682" s="26"/>
      <x:c r="I682" s="26"/>
      <x:c r="J682" s="26" t="str">
        <x:v>NOT RUN</x:v>
      </x:c>
      <x:c r="K682" s="26"/>
      <x:c r="L682" s="26"/>
      <x:c r="M682" s="26" t="str">
        <x:v>RC1</x:v>
      </x:c>
      <x:c r="N682" s="26" t="str">
        <x:v>Defined / Not Executed</x:v>
      </x:c>
      <x:c r="O682" s="26"/>
      <x:c r="P682" s="26" t="str">
        <x:v>Documentation/Production</x:v>
      </x:c>
      <x:c r="Q682" s="26" t="str">
        <x:v>Release; reviewer=All Discipline Leads; gate=Release</x:v>
      </x:c>
    </x:row>
    <x:row r="683" ht="30" customHeight="1">
      <x:c r="A683" s="26" t="str">
        <x:v>REL-DOC-005</x:v>
      </x:c>
      <x:c r="B683" s="26" t="str">
        <x:v>Documentación, baseline y handoff</x:v>
      </x:c>
      <x:c r="C683" s="26" t="str">
        <x:v>31_H6_and_Release_Readiness_Checklist.xlsx</x:v>
      </x:c>
      <x:c r="D683" s="26" t="str">
        <x:v>El paquete documental y build release tienen checksums verificados.</x:v>
      </x:c>
      <x:c r="E683" s="26" t="str">
        <x:v>CHG-RC1-DOC-31</x:v>
      </x:c>
      <x:c r="F683" s="26"/>
      <x:c r="G683" s="26" t="str">
        <x:v>REL-DOC-005</x:v>
      </x:c>
      <x:c r="H683" s="26"/>
      <x:c r="I683" s="26"/>
      <x:c r="J683" s="26" t="str">
        <x:v>NOT RUN</x:v>
      </x:c>
      <x:c r="K683" s="26"/>
      <x:c r="L683" s="26"/>
      <x:c r="M683" s="26" t="str">
        <x:v>RC1</x:v>
      </x:c>
      <x:c r="N683" s="26" t="str">
        <x:v>Defined / Not Executed</x:v>
      </x:c>
      <x:c r="O683" s="26"/>
      <x:c r="P683" s="26" t="str">
        <x:v>Documentation/Production</x:v>
      </x:c>
      <x:c r="Q683" s="26" t="str">
        <x:v>Release; reviewer=All Discipline Leads; gate=Release</x:v>
      </x:c>
    </x:row>
    <x:row r="684" ht="30" customHeight="1">
      <x:c r="A684" s="26" t="str">
        <x:v>REL-DOC-006</x:v>
      </x:c>
      <x:c r="B684" s="26" t="str">
        <x:v>Documentación, baseline y handoff</x:v>
      </x:c>
      <x:c r="C684" s="26" t="str">
        <x:v>31_H6_and_Release_Readiness_Checklist.xlsx</x:v>
      </x:c>
      <x:c r="D684" s="26" t="str">
        <x:v>No entran drafts, previews, archivos temporales ni datos personales no autorizados.</x:v>
      </x:c>
      <x:c r="E684" s="26" t="str">
        <x:v>CHG-RC1-DOC-31</x:v>
      </x:c>
      <x:c r="F684" s="26"/>
      <x:c r="G684" s="26" t="str">
        <x:v>REL-DOC-006</x:v>
      </x:c>
      <x:c r="H684" s="26"/>
      <x:c r="I684" s="26"/>
      <x:c r="J684" s="26" t="str">
        <x:v>NOT RUN</x:v>
      </x:c>
      <x:c r="K684" s="26"/>
      <x:c r="L684" s="26"/>
      <x:c r="M684" s="26" t="str">
        <x:v>RC1</x:v>
      </x:c>
      <x:c r="N684" s="26" t="str">
        <x:v>Defined / Not Executed</x:v>
      </x:c>
      <x:c r="O684" s="26"/>
      <x:c r="P684" s="26" t="str">
        <x:v>Documentation/Production</x:v>
      </x:c>
      <x:c r="Q684" s="26" t="str">
        <x:v>Release; reviewer=All Discipline Leads; gate=Release</x:v>
      </x:c>
    </x:row>
    <x:row r="685" ht="30" customHeight="1">
      <x:c r="A685" s="26" t="str">
        <x:v>REL-DOC-007</x:v>
      </x:c>
      <x:c r="B685" s="26" t="str">
        <x:v>Documentación, baseline y handoff</x:v>
      </x:c>
      <x:c r="C685" s="26" t="str">
        <x:v>31_H6_and_Release_Readiness_Checklist.xlsx</x:v>
      </x:c>
      <x:c r="D685" s="26" t="str">
        <x:v>El handoff explica cómo clonar, abrir, construir, probar, publicar, parchear y recuperar.</x:v>
      </x:c>
      <x:c r="E685" s="26" t="str">
        <x:v>CHG-RC1-DOC-31</x:v>
      </x:c>
      <x:c r="F685" s="26"/>
      <x:c r="G685" s="26" t="str">
        <x:v>REL-DOC-007</x:v>
      </x:c>
      <x:c r="H685" s="26"/>
      <x:c r="I685" s="26"/>
      <x:c r="J685" s="26" t="str">
        <x:v>NOT RUN</x:v>
      </x:c>
      <x:c r="K685" s="26"/>
      <x:c r="L685" s="26"/>
      <x:c r="M685" s="26" t="str">
        <x:v>RC1</x:v>
      </x:c>
      <x:c r="N685" s="26" t="str">
        <x:v>Defined / Not Executed</x:v>
      </x:c>
      <x:c r="O685" s="26"/>
      <x:c r="P685" s="26" t="str">
        <x:v>Documentation/Production</x:v>
      </x:c>
      <x:c r="Q685" s="26" t="str">
        <x:v>Release; reviewer=All Discipline Leads; gate=Release</x:v>
      </x:c>
    </x:row>
    <x:row r="686" ht="30" customHeight="1">
      <x:c r="A686" s="26" t="str">
        <x:v>REL-DOC-008</x:v>
      </x:c>
      <x:c r="B686" s="26" t="str">
        <x:v>Documentación, baseline y handoff</x:v>
      </x:c>
      <x:c r="C686" s="26" t="str">
        <x:v>31_H6_and_Release_Readiness_Checklist.xlsx</x:v>
      </x:c>
      <x:c r="D686" s="26" t="str">
        <x:v>Las dependencias de herramientas/cuentas y recuperación están documentadas.</x:v>
      </x:c>
      <x:c r="E686" s="26" t="str">
        <x:v>CHG-RC1-DOC-31</x:v>
      </x:c>
      <x:c r="F686" s="26"/>
      <x:c r="G686" s="26" t="str">
        <x:v>REL-DOC-008</x:v>
      </x:c>
      <x:c r="H686" s="26"/>
      <x:c r="I686" s="26"/>
      <x:c r="J686" s="26" t="str">
        <x:v>NOT RUN</x:v>
      </x:c>
      <x:c r="K686" s="26"/>
      <x:c r="L686" s="26"/>
      <x:c r="M686" s="26" t="str">
        <x:v>RC1</x:v>
      </x:c>
      <x:c r="N686" s="26" t="str">
        <x:v>Defined / Not Executed</x:v>
      </x:c>
      <x:c r="O686" s="26"/>
      <x:c r="P686" s="26" t="str">
        <x:v>Documentation/Production</x:v>
      </x:c>
      <x:c r="Q686" s="26" t="str">
        <x:v>Release; reviewer=All Discipline Leads; gate=Release</x:v>
      </x:c>
    </x:row>
    <x:row r="687" ht="30" customHeight="1">
      <x:c r="A687" s="26" t="str">
        <x:v>REL-DOC-009</x:v>
      </x:c>
      <x:c r="B687" s="26" t="str">
        <x:v>Documentación, baseline y handoff</x:v>
      </x:c>
      <x:c r="C687" s="26" t="str">
        <x:v>31_H6_and_Release_Readiness_Checklist.xlsx</x:v>
      </x:c>
      <x:c r="D687" s="26" t="str">
        <x:v>El registro de riesgos global y continuidad está aprobado.</x:v>
      </x:c>
      <x:c r="E687" s="26" t="str">
        <x:v>CHG-RC1-DOC-31</x:v>
      </x:c>
      <x:c r="F687" s="26"/>
      <x:c r="G687" s="26" t="str">
        <x:v>REL-DOC-009</x:v>
      </x:c>
      <x:c r="H687" s="26"/>
      <x:c r="I687" s="26"/>
      <x:c r="J687" s="26" t="str">
        <x:v>NOT RUN</x:v>
      </x:c>
      <x:c r="K687" s="26"/>
      <x:c r="L687" s="26"/>
      <x:c r="M687" s="26" t="str">
        <x:v>RC1</x:v>
      </x:c>
      <x:c r="N687" s="26" t="str">
        <x:v>Defined / Not Executed</x:v>
      </x:c>
      <x:c r="O687" s="26"/>
      <x:c r="P687" s="26" t="str">
        <x:v>Documentation/Production</x:v>
      </x:c>
      <x:c r="Q687" s="26" t="str">
        <x:v>Release; reviewer=All Discipline Leads; gate=Release</x:v>
      </x:c>
    </x:row>
    <x:row r="688" ht="30" customHeight="1">
      <x:c r="A688" s="26" t="str">
        <x:v>REL-DOC-010</x:v>
      </x:c>
      <x:c r="B688" s="26" t="str">
        <x:v>Documentación, baseline y handoff</x:v>
      </x:c>
      <x:c r="C688" s="26" t="str">
        <x:v>31_H6_and_Release_Readiness_Checklist.xlsx</x:v>
      </x:c>
      <x:c r="D688" s="26" t="str">
        <x:v>La baseline final es inmutable, versionada y vinculada a commit/tag.</x:v>
      </x:c>
      <x:c r="E688" s="26" t="str">
        <x:v>CHG-RC1-DOC-31</x:v>
      </x:c>
      <x:c r="F688" s="26"/>
      <x:c r="G688" s="26" t="str">
        <x:v>REL-DOC-010</x:v>
      </x:c>
      <x:c r="H688" s="26"/>
      <x:c r="I688" s="26"/>
      <x:c r="J688" s="26" t="str">
        <x:v>NOT RUN</x:v>
      </x:c>
      <x:c r="K688" s="26"/>
      <x:c r="L688" s="26"/>
      <x:c r="M688" s="26" t="str">
        <x:v>RC1</x:v>
      </x:c>
      <x:c r="N688" s="26" t="str">
        <x:v>Defined / Not Executed</x:v>
      </x:c>
      <x:c r="O688" s="26"/>
      <x:c r="P688" s="26" t="str">
        <x:v>Documentation/Production</x:v>
      </x:c>
      <x:c r="Q688" s="26" t="str">
        <x:v>Release; reviewer=All Discipline Leads; gate=Release</x:v>
      </x:c>
    </x:row>
    <x:row r="689" ht="30" customHeight="1">
      <x:c r="A689" s="26" t="str">
        <x:v>REL-DOC-011</x:v>
      </x:c>
      <x:c r="B689" s="26" t="str">
        <x:v>Documentación, baseline y handoff</x:v>
      </x:c>
      <x:c r="C689" s="26" t="str">
        <x:v>31_H6_and_Release_Readiness_Checklist.xlsx</x:v>
      </x:c>
      <x:c r="D689" s="26" t="str">
        <x:v>Existe informe de validación documental y auditoría global sin A1 abiertos.</x:v>
      </x:c>
      <x:c r="E689" s="26" t="str">
        <x:v>CHG-RC1-DOC-31</x:v>
      </x:c>
      <x:c r="F689" s="26"/>
      <x:c r="G689" s="26" t="str">
        <x:v>REL-DOC-011</x:v>
      </x:c>
      <x:c r="H689" s="26"/>
      <x:c r="I689" s="26"/>
      <x:c r="J689" s="26" t="str">
        <x:v>NOT RUN</x:v>
      </x:c>
      <x:c r="K689" s="26"/>
      <x:c r="L689" s="26"/>
      <x:c r="M689" s="26" t="str">
        <x:v>RC1</x:v>
      </x:c>
      <x:c r="N689" s="26" t="str">
        <x:v>Defined / Not Executed</x:v>
      </x:c>
      <x:c r="O689" s="26"/>
      <x:c r="P689" s="26" t="str">
        <x:v>Documentation/Production</x:v>
      </x:c>
      <x:c r="Q689" s="26" t="str">
        <x:v>Release; reviewer=All Discipline Leads; gate=Release</x:v>
      </x:c>
    </x:row>
    <x:row r="690" ht="30" customHeight="1">
      <x:c r="A690" s="26" t="str">
        <x:v>REL-DOC-012</x:v>
      </x:c>
      <x:c r="B690" s="26" t="str">
        <x:v>Documentación, baseline y handoff</x:v>
      </x:c>
      <x:c r="C690" s="26" t="str">
        <x:v>31_H6_and_Release_Readiness_Checklist.xlsx</x:v>
      </x:c>
      <x:c r="D690" s="26" t="str">
        <x:v>El proyecto puede ser retomado por un colaborador sin contexto de chat.</x:v>
      </x:c>
      <x:c r="E690" s="26" t="str">
        <x:v>CHG-RC1-DOC-31</x:v>
      </x:c>
      <x:c r="F690" s="26"/>
      <x:c r="G690" s="26" t="str">
        <x:v>REL-DOC-012</x:v>
      </x:c>
      <x:c r="H690" s="26"/>
      <x:c r="I690" s="26"/>
      <x:c r="J690" s="26" t="str">
        <x:v>NOT RUN</x:v>
      </x:c>
      <x:c r="K690" s="26"/>
      <x:c r="L690" s="26"/>
      <x:c r="M690" s="26" t="str">
        <x:v>RC1</x:v>
      </x:c>
      <x:c r="N690" s="26" t="str">
        <x:v>Defined / Not Executed</x:v>
      </x:c>
      <x:c r="O690" s="26"/>
      <x:c r="P690" s="26" t="str">
        <x:v>Documentation/Production</x:v>
      </x:c>
      <x:c r="Q690" s="26" t="str">
        <x:v>Release; reviewer=All Discipline Leads; gate=Release</x:v>
      </x:c>
    </x:row>
    <x:row r="691" ht="30" customHeight="1">
      <x:c r="A691" s="26" t="str">
        <x:v>CNS-001</x:v>
      </x:c>
      <x:c r="B691" s="26" t="str">
        <x:v>Documentation Governance</x:v>
      </x:c>
      <x:c r="C691" s="26" t="str">
        <x:v>12_Excel_Maestro_de_Produccion.xlsx</x:v>
      </x:c>
      <x:c r="D691" s="26" t="str">
        <x:v>Congelar copia candidata 00–34</x:v>
      </x:c>
      <x:c r="E691" s="26" t="str">
        <x:v>CHG-RC1-CNS-001</x:v>
      </x:c>
      <x:c r="F691" s="26"/>
      <x:c r="G691" s="26" t="str">
        <x:v>CNS-001</x:v>
      </x:c>
      <x:c r="H691" s="26"/>
      <x:c r="I691" s="26"/>
      <x:c r="J691" s="26" t="str">
        <x:v>PASS</x:v>
      </x:c>
      <x:c r="K691" s="26"/>
      <x:c r="L691" s="26"/>
      <x:c r="M691" s="26" t="str">
        <x:v>RC1</x:v>
      </x:c>
      <x:c r="N691" s="26" t="str">
        <x:v>Complete</x:v>
      </x:c>
      <x:c r="O691" s="26" t="str">
        <x:v>FILE_LIST.txt + PRECONSOLIDATION_SHA256.txt</x:v>
      </x:c>
      <x:c r="P691" s="26" t="str">
        <x:v>Documentation/Production</x:v>
      </x:c>
      <x:c r="Q691" s="26" t="str">
        <x:v>Baseline preconsolidación inmutable creada.</x:v>
      </x:c>
    </x:row>
    <x:row r="692" ht="30" customHeight="1">
      <x:c r="A692" s="26" t="str">
        <x:v>CNS-002</x:v>
      </x:c>
      <x:c r="B692" s="26" t="str">
        <x:v>Documentation Governance</x:v>
      </x:c>
      <x:c r="C692" s="26" t="str">
        <x:v>12_Excel_Maestro_de_Produccion.xlsx</x:v>
      </x:c>
      <x:c r="D692" s="26" t="str">
        <x:v>Regenerar 12_Excel_Maestro_de_Produccion.xlsx</x:v>
      </x:c>
      <x:c r="E692" s="26" t="str">
        <x:v>CHG-RC1-CNS-002</x:v>
      </x:c>
      <x:c r="F692" s="26"/>
      <x:c r="G692" s="26" t="str">
        <x:v>CNS-002</x:v>
      </x:c>
      <x:c r="H692" s="26" t="str">
        <x:v>CNS-001</x:v>
      </x:c>
      <x:c r="I692" s="26"/>
      <x:c r="J692" s="26" t="str">
        <x:v>PASS</x:v>
      </x:c>
      <x:c r="K692" s="26"/>
      <x:c r="L692" s="26"/>
      <x:c r="M692" s="26" t="str">
        <x:v>RC1</x:v>
      </x:c>
      <x:c r="N692" s="26" t="str">
        <x:v>Complete</x:v>
      </x:c>
      <x:c r="O692" s="26" t="str">
        <x:v>XLSX validado y hash externo</x:v>
      </x:c>
      <x:c r="P692" s="26" t="str">
        <x:v>Production/Documentation</x:v>
      </x:c>
      <x:c r="Q692" s="26" t="str">
        <x:v>Entregable de esta ejecución.</x:v>
      </x:c>
    </x:row>
    <x:row r="693" ht="30" customHeight="1">
      <x:c r="A693" s="26" t="str">
        <x:v>CNS-003</x:v>
      </x:c>
      <x:c r="B693" s="26" t="str">
        <x:v>Documentation Governance</x:v>
      </x:c>
      <x:c r="C693" s="26" t="str">
        <x:v>12_Excel_Maestro_de_Produccion.xlsx</x:v>
      </x:c>
      <x:c r="D693" s="26" t="str">
        <x:v>Regenerar 13_Trazabilidad_y_Control_de_Cambios.xlsx</x:v>
      </x:c>
      <x:c r="E693" s="26" t="str">
        <x:v>CHG-RC1-CNS-003</x:v>
      </x:c>
      <x:c r="F693" s="26"/>
      <x:c r="G693" s="26" t="str">
        <x:v>CNS-003</x:v>
      </x:c>
      <x:c r="H693" s="26" t="str">
        <x:v>CNS-002</x:v>
      </x:c>
      <x:c r="I693" s="26"/>
      <x:c r="J693" s="26" t="str">
        <x:v>PASS</x:v>
      </x:c>
      <x:c r="K693" s="26"/>
      <x:c r="L693" s="26"/>
      <x:c r="M693" s="26" t="str">
        <x:v>RC1</x:v>
      </x:c>
      <x:c r="N693" s="26" t="str">
        <x:v>Complete</x:v>
      </x:c>
      <x:c r="O693" s="26" t="str">
        <x:v>XLSX validado</x:v>
      </x:c>
      <x:c r="P693" s="26" t="str">
        <x:v>Documentation/Production</x:v>
      </x:c>
      <x:c r="Q693" s="26" t="str">
        <x:v>Documento 13 regenerado como candidato; hash externo tras exportación.</x:v>
      </x:c>
    </x:row>
    <x:row r="694" ht="30" customHeight="1">
      <x:c r="A694" s="26" t="str">
        <x:v>CNS-004</x:v>
      </x:c>
      <x:c r="B694" s="26" t="str">
        <x:v>Documentation Governance</x:v>
      </x:c>
      <x:c r="C694" s="26" t="str">
        <x:v>12_Excel_Maestro_de_Produccion.xlsx</x:v>
      </x:c>
      <x:c r="D694" s="26" t="str">
        <x:v>Actualizar 14_Project_Binder_Indice_Maestro.md</x:v>
      </x:c>
      <x:c r="E694" s="26" t="str">
        <x:v>CHG-RC1-CNS-004</x:v>
      </x:c>
      <x:c r="F694" s="26"/>
      <x:c r="G694" s="26" t="str">
        <x:v>CNS-004</x:v>
      </x:c>
      <x:c r="H694" s="26" t="str">
        <x:v>CNS-003</x:v>
      </x:c>
      <x:c r="I694" s="26"/>
      <x:c r="J694" s="26" t="str">
        <x:v>NOT RUN</x:v>
      </x:c>
      <x:c r="K694" s="26"/>
      <x:c r="L694" s="26"/>
      <x:c r="M694" s="26" t="str">
        <x:v>RC1</x:v>
      </x:c>
      <x:c r="N694" s="26" t="str">
        <x:v>Defined / Pending</x:v>
      </x:c>
      <x:c r="O694" s="26" t="str">
        <x:v>Markdown validado</x:v>
      </x:c>
      <x:c r="P694" s="26" t="str">
        <x:v>Documentation</x:v>
      </x:c>
      <x:c r="Q694" s="26"/>
    </x:row>
    <x:row r="695" ht="30" customHeight="1">
      <x:c r="A695" s="26" t="str">
        <x:v>CNS-005</x:v>
      </x:c>
      <x:c r="B695" s="26" t="str">
        <x:v>Documentation Governance</x:v>
      </x:c>
      <x:c r="C695" s="26" t="str">
        <x:v>12_Excel_Maestro_de_Produccion.xlsx</x:v>
      </x:c>
      <x:c r="D695" s="26" t="str">
        <x:v>Actualizar 15_Guia_Maestra.md</x:v>
      </x:c>
      <x:c r="E695" s="26" t="str">
        <x:v>CHG-RC1-CNS-005</x:v>
      </x:c>
      <x:c r="F695" s="26"/>
      <x:c r="G695" s="26" t="str">
        <x:v>CNS-005</x:v>
      </x:c>
      <x:c r="H695" s="26" t="str">
        <x:v>CNS-004</x:v>
      </x:c>
      <x:c r="I695" s="26"/>
      <x:c r="J695" s="26" t="str">
        <x:v>NOT RUN</x:v>
      </x:c>
      <x:c r="K695" s="26"/>
      <x:c r="L695" s="26"/>
      <x:c r="M695" s="26" t="str">
        <x:v>RC1</x:v>
      </x:c>
      <x:c r="N695" s="26" t="str">
        <x:v>Defined / Pending</x:v>
      </x:c>
      <x:c r="O695" s="26" t="str">
        <x:v>Markdown validado</x:v>
      </x:c>
      <x:c r="P695" s="26" t="str">
        <x:v>Documentation</x:v>
      </x:c>
      <x:c r="Q695" s="26"/>
    </x:row>
    <x:row r="696" ht="30" customHeight="1">
      <x:c r="A696" s="26" t="str">
        <x:v>CNS-006</x:v>
      </x:c>
      <x:c r="B696" s="26" t="str">
        <x:v>Documentation Governance</x:v>
      </x:c>
      <x:c r="C696" s="26" t="str">
        <x:v>12_Excel_Maestro_de_Produccion.xlsx</x:v>
      </x:c>
      <x:c r="D696" s="26" t="str">
        <x:v>Actualizar 21_Initial_Content_Catalog.xlsx</x:v>
      </x:c>
      <x:c r="E696" s="26" t="str">
        <x:v>CHG-RC1-CNS-006</x:v>
      </x:c>
      <x:c r="F696" s="26"/>
      <x:c r="G696" s="26" t="str">
        <x:v>CNS-006</x:v>
      </x:c>
      <x:c r="H696" s="26" t="str">
        <x:v>CNS-003</x:v>
      </x:c>
      <x:c r="I696" s="26"/>
      <x:c r="J696" s="26" t="str">
        <x:v>NOT RUN</x:v>
      </x:c>
      <x:c r="K696" s="26"/>
      <x:c r="L696" s="26"/>
      <x:c r="M696" s="26" t="str">
        <x:v>RC1</x:v>
      </x:c>
      <x:c r="N696" s="26" t="str">
        <x:v>Defined / Pending</x:v>
      </x:c>
      <x:c r="O696" s="26" t="str">
        <x:v>XLSX validado</x:v>
      </x:c>
      <x:c r="P696" s="26" t="str">
        <x:v>Content/Documentation</x:v>
      </x:c>
      <x:c r="Q696" s="26"/>
    </x:row>
    <x:row r="697" ht="30" customHeight="1">
      <x:c r="A697" s="26" t="str">
        <x:v>CNS-007</x:v>
      </x:c>
      <x:c r="B697" s="26" t="str">
        <x:v>Documentation Governance</x:v>
      </x:c>
      <x:c r="C697" s="26" t="str">
        <x:v>12_Excel_Maestro_de_Produccion.xlsx</x:v>
      </x:c>
      <x:c r="D697" s="26" t="str">
        <x:v>Actualizar 23_Legal_Credits_and_Licenses_Register.xlsx</x:v>
      </x:c>
      <x:c r="E697" s="26" t="str">
        <x:v>CHG-RC1-CNS-007</x:v>
      </x:c>
      <x:c r="F697" s="26"/>
      <x:c r="G697" s="26" t="str">
        <x:v>CNS-007</x:v>
      </x:c>
      <x:c r="H697" s="26" t="str">
        <x:v>CNS-003</x:v>
      </x:c>
      <x:c r="I697" s="26"/>
      <x:c r="J697" s="26" t="str">
        <x:v>NOT RUN</x:v>
      </x:c>
      <x:c r="K697" s="26"/>
      <x:c r="L697" s="26"/>
      <x:c r="M697" s="26" t="str">
        <x:v>RC1</x:v>
      </x:c>
      <x:c r="N697" s="26" t="str">
        <x:v>Defined / Pending</x:v>
      </x:c>
      <x:c r="O697" s="26" t="str">
        <x:v>XLSX validado</x:v>
      </x:c>
      <x:c r="P697" s="26" t="str">
        <x:v>Legal/Documentation</x:v>
      </x:c>
      <x:c r="Q697" s="26"/>
    </x:row>
    <x:row r="698" ht="30" customHeight="1">
      <x:c r="A698" s="26" t="str">
        <x:v>CNS-008</x:v>
      </x:c>
      <x:c r="B698" s="26" t="str">
        <x:v>Documentation Governance</x:v>
      </x:c>
      <x:c r="C698" s="26" t="str">
        <x:v>12_Excel_Maestro_de_Produccion.xlsx</x:v>
      </x:c>
      <x:c r="D698" s="26" t="str">
        <x:v>Actualizar 31_H6_and_Release_Readiness_Checklist.xlsx</x:v>
      </x:c>
      <x:c r="E698" s="26" t="str">
        <x:v>CHG-RC1-CNS-008</x:v>
      </x:c>
      <x:c r="F698" s="26"/>
      <x:c r="G698" s="26" t="str">
        <x:v>CNS-008</x:v>
      </x:c>
      <x:c r="H698" s="26" t="str">
        <x:v>CNS-003,CNS-004,CNS-005</x:v>
      </x:c>
      <x:c r="I698" s="26"/>
      <x:c r="J698" s="26" t="str">
        <x:v>NOT RUN</x:v>
      </x:c>
      <x:c r="K698" s="26"/>
      <x:c r="L698" s="26"/>
      <x:c r="M698" s="26" t="str">
        <x:v>RC1</x:v>
      </x:c>
      <x:c r="N698" s="26" t="str">
        <x:v>Defined / Pending</x:v>
      </x:c>
      <x:c r="O698" s="26" t="str">
        <x:v>XLSX validado</x:v>
      </x:c>
      <x:c r="P698" s="26" t="str">
        <x:v>QA/Production</x:v>
      </x:c>
      <x:c r="Q698" s="26"/>
    </x:row>
    <x:row r="699" ht="30" customHeight="1">
      <x:c r="A699" s="26" t="str">
        <x:v>CNS-009</x:v>
      </x:c>
      <x:c r="B699" s="26" t="str">
        <x:v>Documentation Governance</x:v>
      </x:c>
      <x:c r="C699" s="26" t="str">
        <x:v>12_Excel_Maestro_de_Produccion.xlsx</x:v>
      </x:c>
      <x:c r="D699" s="26" t="str">
        <x:v>Actualizar 33_Project_Risk_Register_and_Business_Continuity_Plan.xlsx</x:v>
      </x:c>
      <x:c r="E699" s="26" t="str">
        <x:v>CHG-RC1-CNS-009</x:v>
      </x:c>
      <x:c r="F699" s="26"/>
      <x:c r="G699" s="26" t="str">
        <x:v>CNS-009</x:v>
      </x:c>
      <x:c r="H699" s="26" t="str">
        <x:v>CNS-003,CNS-008</x:v>
      </x:c>
      <x:c r="I699" s="26"/>
      <x:c r="J699" s="26" t="str">
        <x:v>NOT RUN</x:v>
      </x:c>
      <x:c r="K699" s="26"/>
      <x:c r="L699" s="26"/>
      <x:c r="M699" s="26" t="str">
        <x:v>RC1</x:v>
      </x:c>
      <x:c r="N699" s="26" t="str">
        <x:v>Defined / Pending</x:v>
      </x:c>
      <x:c r="O699" s="26" t="str">
        <x:v>XLSX validado</x:v>
      </x:c>
      <x:c r="P699" s="26" t="str">
        <x:v>Risk/Continuity</x:v>
      </x:c>
      <x:c r="Q699" s="26"/>
    </x:row>
    <x:row r="700" ht="30" customHeight="1">
      <x:c r="A700" s="26" t="str">
        <x:v>CNS-010</x:v>
      </x:c>
      <x:c r="B700" s="26" t="str">
        <x:v>Documentation Governance</x:v>
      </x:c>
      <x:c r="C700" s="26" t="str">
        <x:v>12_Excel_Maestro_de_Produccion.xlsx</x:v>
      </x:c>
      <x:c r="D700" s="26" t="str">
        <x:v>Actualizar 34_Final_Handoff_and_Project_Operations_Manual.md</x:v>
      </x:c>
      <x:c r="E700" s="26" t="str">
        <x:v>CHG-RC1-CNS-010</x:v>
      </x:c>
      <x:c r="F700" s="26"/>
      <x:c r="G700" s="26" t="str">
        <x:v>CNS-010</x:v>
      </x:c>
      <x:c r="H700" s="26" t="str">
        <x:v>CNS-003,CNS-004,CNS-005</x:v>
      </x:c>
      <x:c r="I700" s="26"/>
      <x:c r="J700" s="26" t="str">
        <x:v>NOT RUN</x:v>
      </x:c>
      <x:c r="K700" s="26"/>
      <x:c r="L700" s="26"/>
      <x:c r="M700" s="26" t="str">
        <x:v>RC1</x:v>
      </x:c>
      <x:c r="N700" s="26" t="str">
        <x:v>Defined / Pending</x:v>
      </x:c>
      <x:c r="O700" s="26" t="str">
        <x:v>Markdown validado</x:v>
      </x:c>
      <x:c r="P700" s="26" t="str">
        <x:v>Operations/Documentation</x:v>
      </x:c>
      <x:c r="Q700" s="26"/>
    </x:row>
    <x:row r="701" ht="30" customHeight="1">
      <x:c r="A701" s="26" t="str">
        <x:v>CNS-011</x:v>
      </x:c>
      <x:c r="B701" s="26" t="str">
        <x:v>Documentation Governance</x:v>
      </x:c>
      <x:c r="C701" s="26" t="str">
        <x:v>12_Excel_Maestro_de_Produccion.xlsx</x:v>
      </x:c>
      <x:c r="D701" s="26" t="str">
        <x:v>Generar 32_Documentation_Baseline_Manifest.xlsx candidato</x:v>
      </x:c>
      <x:c r="E701" s="26" t="str">
        <x:v>CHG-RC1-CNS-011</x:v>
      </x:c>
      <x:c r="F701" s="26"/>
      <x:c r="G701" s="26" t="str">
        <x:v>CNS-011</x:v>
      </x:c>
      <x:c r="H701" s="26" t="str">
        <x:v>CNS-006,CNS-007,CNS-008,CNS-009,CNS-010</x:v>
      </x:c>
      <x:c r="I701" s="26"/>
      <x:c r="J701" s="26" t="str">
        <x:v>NOT RUN</x:v>
      </x:c>
      <x:c r="K701" s="26"/>
      <x:c r="L701" s="26"/>
      <x:c r="M701" s="26" t="str">
        <x:v>RC1</x:v>
      </x:c>
      <x:c r="N701" s="26" t="str">
        <x:v>Defined / Pending</x:v>
      </x:c>
      <x:c r="O701" s="26" t="str">
        <x:v>XLSX validado</x:v>
      </x:c>
      <x:c r="P701" s="26" t="str">
        <x:v>Documentation/Integrity</x:v>
      </x:c>
      <x:c r="Q701" s="26"/>
    </x:row>
    <x:row r="702" ht="30" customHeight="1">
      <x:c r="A702" s="26" t="str">
        <x:v>CNS-012</x:v>
      </x:c>
      <x:c r="B702" s="26" t="str">
        <x:v>Documentation Governance</x:v>
      </x:c>
      <x:c r="C702" s="26" t="str">
        <x:v>12_Excel_Maestro_de_Produccion.xlsx</x:v>
      </x:c>
      <x:c r="D702" s="26" t="str">
        <x:v>Regenerar 16_Auditoria_Global_de_Coherencia.md candidata</x:v>
      </x:c>
      <x:c r="E702" s="26" t="str">
        <x:v>CHG-RC1-CNS-012</x:v>
      </x:c>
      <x:c r="F702" s="26"/>
      <x:c r="G702" s="26" t="str">
        <x:v>CNS-012</x:v>
      </x:c>
      <x:c r="H702" s="26" t="str">
        <x:v>CNS-011</x:v>
      </x:c>
      <x:c r="I702" s="26"/>
      <x:c r="J702" s="26" t="str">
        <x:v>NOT RUN</x:v>
      </x:c>
      <x:c r="K702" s="26"/>
      <x:c r="L702" s="26"/>
      <x:c r="M702" s="26" t="str">
        <x:v>RC1</x:v>
      </x:c>
      <x:c r="N702" s="26" t="str">
        <x:v>Defined / Pending</x:v>
      </x:c>
      <x:c r="O702" s="26" t="str">
        <x:v>Informe de hallazgos</x:v>
      </x:c>
      <x:c r="P702" s="26" t="str">
        <x:v>Audit/Documentation</x:v>
      </x:c>
      <x:c r="Q702" s="26"/>
    </x:row>
    <x:row r="703" ht="30" customHeight="1">
      <x:c r="A703" s="26" t="str">
        <x:v>CNS-013</x:v>
      </x:c>
      <x:c r="B703" s="26" t="str">
        <x:v>Documentation Governance</x:v>
      </x:c>
      <x:c r="C703" s="26" t="str">
        <x:v>12_Excel_Maestro_de_Produccion.xlsx</x:v>
      </x:c>
      <x:c r="D703" s="26" t="str">
        <x:v>Resolver hallazgos de auditoría</x:v>
      </x:c>
      <x:c r="E703" s="26" t="str">
        <x:v>CHG-RC1-CNS-013</x:v>
      </x:c>
      <x:c r="F703" s="26"/>
      <x:c r="G703" s="26" t="str">
        <x:v>CNS-013</x:v>
      </x:c>
      <x:c r="H703" s="26" t="str">
        <x:v>CNS-012</x:v>
      </x:c>
      <x:c r="I703" s="26"/>
      <x:c r="J703" s="26" t="str">
        <x:v>NOT RUN</x:v>
      </x:c>
      <x:c r="K703" s="26"/>
      <x:c r="L703" s="26"/>
      <x:c r="M703" s="26" t="str">
        <x:v>RC1</x:v>
      </x:c>
      <x:c r="N703" s="26" t="str">
        <x:v>Defined / Pending</x:v>
      </x:c>
      <x:c r="O703" s="26" t="str">
        <x:v>Registro de correcciones</x:v>
      </x:c>
      <x:c r="P703" s="26" t="str">
        <x:v>All Owners</x:v>
      </x:c>
      <x:c r="Q703" s="26"/>
    </x:row>
    <x:row r="704" ht="30" customHeight="1">
      <x:c r="A704" s="26" t="str">
        <x:v>CNS-014</x:v>
      </x:c>
      <x:c r="B704" s="26" t="str">
        <x:v>Documentation Governance</x:v>
      </x:c>
      <x:c r="C704" s="26" t="str">
        <x:v>12_Excel_Maestro_de_Produccion.xlsx</x:v>
      </x:c>
      <x:c r="D704" s="26" t="str">
        <x:v>Regenerar 16_Auditoria_Global_de_Coherencia.md final</x:v>
      </x:c>
      <x:c r="E704" s="26" t="str">
        <x:v>CHG-RC1-CNS-014</x:v>
      </x:c>
      <x:c r="F704" s="26"/>
      <x:c r="G704" s="26" t="str">
        <x:v>CNS-014</x:v>
      </x:c>
      <x:c r="H704" s="26" t="str">
        <x:v>CNS-013</x:v>
      </x:c>
      <x:c r="I704" s="26"/>
      <x:c r="J704" s="26" t="str">
        <x:v>NOT RUN</x:v>
      </x:c>
      <x:c r="K704" s="26"/>
      <x:c r="L704" s="26"/>
      <x:c r="M704" s="26" t="str">
        <x:v>RC1</x:v>
      </x:c>
      <x:c r="N704" s="26" t="str">
        <x:v>Defined / Pending</x:v>
      </x:c>
      <x:c r="O704" s="26" t="str">
        <x:v>Informe final</x:v>
      </x:c>
      <x:c r="P704" s="26" t="str">
        <x:v>Audit/Documentation</x:v>
      </x:c>
      <x:c r="Q704" s="26"/>
    </x:row>
    <x:row r="705" ht="30" customHeight="1">
      <x:c r="A705" s="26" t="str">
        <x:v>CNS-015</x:v>
      </x:c>
      <x:c r="B705" s="26" t="str">
        <x:v>Documentation Governance</x:v>
      </x:c>
      <x:c r="C705" s="26" t="str">
        <x:v>12_Excel_Maestro_de_Produccion.xlsx</x:v>
      </x:c>
      <x:c r="D705" s="26" t="str">
        <x:v>Regenerar 32_Documentation_Baseline_Manifest.xlsx definitivo</x:v>
      </x:c>
      <x:c r="E705" s="26" t="str">
        <x:v>CHG-RC1-CNS-015</x:v>
      </x:c>
      <x:c r="F705" s="26"/>
      <x:c r="G705" s="26" t="str">
        <x:v>CNS-015</x:v>
      </x:c>
      <x:c r="H705" s="26" t="str">
        <x:v>CNS-014</x:v>
      </x:c>
      <x:c r="I705" s="26"/>
      <x:c r="J705" s="26" t="str">
        <x:v>NOT RUN</x:v>
      </x:c>
      <x:c r="K705" s="26"/>
      <x:c r="L705" s="26"/>
      <x:c r="M705" s="26" t="str">
        <x:v>RC1</x:v>
      </x:c>
      <x:c r="N705" s="26" t="str">
        <x:v>Defined / Pending</x:v>
      </x:c>
      <x:c r="O705" s="26" t="str">
        <x:v>XLSX + hash externo</x:v>
      </x:c>
      <x:c r="P705" s="26" t="str">
        <x:v>Documentation/Integrity</x:v>
      </x:c>
      <x:c r="Q705" s="26"/>
    </x:row>
    <x:row r="706" ht="30" customHeight="1">
      <x:c r="A706" s="26" t="str">
        <x:v>CNS-016</x:v>
      </x:c>
      <x:c r="B706" s="26" t="str">
        <x:v>Documentation Governance</x:v>
      </x:c>
      <x:c r="C706" s="26" t="str">
        <x:v>12_Excel_Maestro_de_Produccion.xlsx</x:v>
      </x:c>
      <x:c r="D706" s="26" t="str">
        <x:v>Generar PACKAGE_MANIFEST.md</x:v>
      </x:c>
      <x:c r="E706" s="26" t="str">
        <x:v>CHG-RC1-CNS-016</x:v>
      </x:c>
      <x:c r="F706" s="26"/>
      <x:c r="G706" s="26" t="str">
        <x:v>CNS-016</x:v>
      </x:c>
      <x:c r="H706" s="26" t="str">
        <x:v>CNS-015</x:v>
      </x:c>
      <x:c r="I706" s="26"/>
      <x:c r="J706" s="26" t="str">
        <x:v>NOT RUN</x:v>
      </x:c>
      <x:c r="K706" s="26"/>
      <x:c r="L706" s="26"/>
      <x:c r="M706" s="26" t="str">
        <x:v>RC1</x:v>
      </x:c>
      <x:c r="N706" s="26" t="str">
        <x:v>Defined / Pending</x:v>
      </x:c>
      <x:c r="O706" s="26" t="str">
        <x:v>Markdown validado</x:v>
      </x:c>
      <x:c r="P706" s="26" t="str">
        <x:v>Documentation/Integrity</x:v>
      </x:c>
      <x:c r="Q706" s="26"/>
    </x:row>
    <x:row r="707" ht="30" customHeight="1">
      <x:c r="A707" s="26" t="str">
        <x:v>CNS-017</x:v>
      </x:c>
      <x:c r="B707" s="26" t="str">
        <x:v>Documentation Governance</x:v>
      </x:c>
      <x:c r="C707" s="26" t="str">
        <x:v>12_Excel_Maestro_de_Produccion.xlsx</x:v>
      </x:c>
      <x:c r="D707" s="26" t="str">
        <x:v>Generar CHECKSUMS_SHA256.txt</x:v>
      </x:c>
      <x:c r="E707" s="26" t="str">
        <x:v>CHG-RC1-CNS-017</x:v>
      </x:c>
      <x:c r="F707" s="26"/>
      <x:c r="G707" s="26" t="str">
        <x:v>CNS-017</x:v>
      </x:c>
      <x:c r="H707" s="26" t="str">
        <x:v>CNS-016</x:v>
      </x:c>
      <x:c r="I707" s="26"/>
      <x:c r="J707" s="26" t="str">
        <x:v>NOT RUN</x:v>
      </x:c>
      <x:c r="K707" s="26"/>
      <x:c r="L707" s="26"/>
      <x:c r="M707" s="26" t="str">
        <x:v>RC1</x:v>
      </x:c>
      <x:c r="N707" s="26" t="str">
        <x:v>Defined / Pending</x:v>
      </x:c>
      <x:c r="O707" s="26" t="str">
        <x:v>Verificación hash</x:v>
      </x:c>
      <x:c r="P707" s="26" t="str">
        <x:v>Integrity</x:v>
      </x:c>
      <x:c r="Q707" s="26"/>
    </x:row>
    <x:row r="708" ht="30" customHeight="1">
      <x:c r="A708" s="26" t="str">
        <x:v>CNS-018</x:v>
      </x:c>
      <x:c r="B708" s="26" t="str">
        <x:v>Documentation Governance</x:v>
      </x:c>
      <x:c r="C708" s="26" t="str">
        <x:v>12_Excel_Maestro_de_Produccion.xlsx</x:v>
      </x:c>
      <x:c r="D708" s="26" t="str">
        <x:v>Generar DOCUMENTATION_VALIDATION_REPORT.md</x:v>
      </x:c>
      <x:c r="E708" s="26" t="str">
        <x:v>CHG-RC1-CNS-018</x:v>
      </x:c>
      <x:c r="F708" s="26"/>
      <x:c r="G708" s="26" t="str">
        <x:v>CNS-018</x:v>
      </x:c>
      <x:c r="H708" s="26" t="str">
        <x:v>CNS-017</x:v>
      </x:c>
      <x:c r="I708" s="26"/>
      <x:c r="J708" s="26" t="str">
        <x:v>NOT RUN</x:v>
      </x:c>
      <x:c r="K708" s="26"/>
      <x:c r="L708" s="26"/>
      <x:c r="M708" s="26" t="str">
        <x:v>RC1</x:v>
      </x:c>
      <x:c r="N708" s="26" t="str">
        <x:v>Defined / Pending</x:v>
      </x:c>
      <x:c r="O708" s="26" t="str">
        <x:v>Reporte validado</x:v>
      </x:c>
      <x:c r="P708" s="26" t="str">
        <x:v>QA/Documentation</x:v>
      </x:c>
      <x:c r="Q708" s="26"/>
    </x:row>
    <x:row r="709" ht="30" customHeight="1">
      <x:c r="A709" s="26" t="str">
        <x:v>CNS-019</x:v>
      </x:c>
      <x:c r="B709" s="26" t="str">
        <x:v>Documentation Governance</x:v>
      </x:c>
      <x:c r="C709" s="26" t="str">
        <x:v>12_Excel_Maestro_de_Produccion.xlsx</x:v>
      </x:c>
      <x:c r="D709" s="26" t="str">
        <x:v>Crear y verificar ZIP inmutable</x:v>
      </x:c>
      <x:c r="E709" s="26" t="str">
        <x:v>CHG-RC1-CNS-019</x:v>
      </x:c>
      <x:c r="F709" s="26"/>
      <x:c r="G709" s="26" t="str">
        <x:v>CNS-019</x:v>
      </x:c>
      <x:c r="H709" s="26" t="str">
        <x:v>CNS-018</x:v>
      </x:c>
      <x:c r="I709" s="26"/>
      <x:c r="J709" s="26" t="str">
        <x:v>NOT RUN</x:v>
      </x:c>
      <x:c r="K709" s="26"/>
      <x:c r="L709" s="26"/>
      <x:c r="M709" s="26" t="str">
        <x:v>RC1</x:v>
      </x:c>
      <x:c r="N709" s="26" t="str">
        <x:v>Defined / Pending</x:v>
      </x:c>
      <x:c r="O709" s="26" t="str">
        <x:v>Hash externo + restore test</x:v>
      </x:c>
      <x:c r="P709" s="26" t="str">
        <x:v>Release/Integrity</x:v>
      </x:c>
      <x:c r="Q709" s="26"/>
    </x:row>
    <x:row r="710" ht="30" customHeight="1">
      <x:c r="A710" s="26" t="str">
        <x:v>CNS-020</x:v>
      </x:c>
      <x:c r="B710" s="26" t="str">
        <x:v>Documentation Governance</x:v>
      </x:c>
      <x:c r="C710" s="26" t="str">
        <x:v>12_Excel_Maestro_de_Produccion.xlsx</x:v>
      </x:c>
      <x:c r="D710" s="26" t="str">
        <x:v>Asociar baseline a commit y tag Git</x:v>
      </x:c>
      <x:c r="E710" s="26" t="str">
        <x:v>CHG-RC1-CNS-020</x:v>
      </x:c>
      <x:c r="F710" s="26"/>
      <x:c r="G710" s="26" t="str">
        <x:v>CNS-020</x:v>
      </x:c>
      <x:c r="H710" s="26" t="str">
        <x:v>CNS-019</x:v>
      </x:c>
      <x:c r="I710" s="26"/>
      <x:c r="J710" s="26" t="str">
        <x:v>NOT RUN</x:v>
      </x:c>
      <x:c r="K710" s="26"/>
      <x:c r="L710" s="26"/>
      <x:c r="M710" s="26" t="str">
        <x:v>RC1</x:v>
      </x:c>
      <x:c r="N710" s="26" t="str">
        <x:v>Defined / Pending</x:v>
      </x:c>
      <x:c r="O710" s="26" t="str">
        <x:v>Git evidence</x:v>
      </x:c>
      <x:c r="P710" s="26" t="str">
        <x:v>Production/Engineering</x:v>
      </x:c>
      <x:c r="Q710" s="26"/>
    </x:row>
    <x:row r="711" ht="30" customHeight="1">
      <x:c r="A711" s="26" t="str">
        <x:v>CNS-021</x:v>
      </x:c>
      <x:c r="B711" s="26" t="str">
        <x:v>Documentation Governance</x:v>
      </x:c>
      <x:c r="C711" s="26" t="str">
        <x:v>12_Excel_Maestro_de_Produccion.xlsx</x:v>
      </x:c>
      <x:c r="D711" s="26" t="str">
        <x:v>Ejecutar H6 mediante documento 31</x:v>
      </x:c>
      <x:c r="E711" s="26" t="str">
        <x:v>CHG-RC1-CNS-021</x:v>
      </x:c>
      <x:c r="F711" s="26"/>
      <x:c r="G711" s="26" t="str">
        <x:v>CNS-021</x:v>
      </x:c>
      <x:c r="H711" s="26" t="str">
        <x:v>CNS-008,CNS-020</x:v>
      </x:c>
      <x:c r="I711" s="26"/>
      <x:c r="J711" s="26" t="str">
        <x:v>NOT RUN</x:v>
      </x:c>
      <x:c r="K711" s="26"/>
      <x:c r="L711" s="26"/>
      <x:c r="M711" s="26" t="str">
        <x:v>RC1</x:v>
      </x:c>
      <x:c r="N711" s="26" t="str">
        <x:v>Defined / Pending</x:v>
      </x:c>
      <x:c r="O711" s="26" t="str">
        <x:v>Signoff H6</x:v>
      </x:c>
      <x:c r="P711" s="26" t="str">
        <x:v>Production/QA</x:v>
      </x:c>
      <x:c r="Q711" s="26" t="str">
        <x:v>No confundir cierre documental con H6 PASS.</x:v>
      </x:c>
    </x:row>
    <x:row r="712" ht="30" customHeight="1">
      <x:c r="A712" s="26" t="str">
        <x:v>CNS-022</x:v>
      </x:c>
      <x:c r="B712" s="26" t="str">
        <x:v>Documentation Governance</x:v>
      </x:c>
      <x:c r="C712" s="26" t="str">
        <x:v>12_Excel_Maestro_de_Produccion.xlsx</x:v>
      </x:c>
      <x:c r="D712" s="26" t="str">
        <x:v>Validar continuidad y riesgos mediante documento 33</x:v>
      </x:c>
      <x:c r="E712" s="26" t="str">
        <x:v>CHG-RC1-CNS-022</x:v>
      </x:c>
      <x:c r="F712" s="26"/>
      <x:c r="G712" s="26" t="str">
        <x:v>CNS-022</x:v>
      </x:c>
      <x:c r="H712" s="26" t="str">
        <x:v>CNS-009,CNS-020</x:v>
      </x:c>
      <x:c r="I712" s="26"/>
      <x:c r="J712" s="26" t="str">
        <x:v>NOT RUN</x:v>
      </x:c>
      <x:c r="K712" s="26"/>
      <x:c r="L712" s="26"/>
      <x:c r="M712" s="26" t="str">
        <x:v>RC1</x:v>
      </x:c>
      <x:c r="N712" s="26" t="str">
        <x:v>Defined / Pending</x:v>
      </x:c>
      <x:c r="O712" s="26" t="str">
        <x:v>Exercise evidence</x:v>
      </x:c>
      <x:c r="P712" s="26" t="str">
        <x:v>Risk/Continuity</x:v>
      </x:c>
      <x:c r="Q712" s="26"/>
    </x:row>
  </x:sheetData>
  <x:mergeCells>
    <x:mergeCell ref="A1:Q1"/>
    <x:mergeCell ref="A2:Q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5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44" hidden="0" customWidth="1"/>
  </x:cols>
  <x:sheetData>
    <x:row r="1" ht="28" customHeight="1">
      <x:c r="A1" s="4" t="str">
        <x:v>Registro maestro de cambios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32" customHeight="1">
      <x:c r="A2" s="11" t="str">
        <x:v>Historia preservada más cambios RC1 de documentos 00–34 y secuencia de consolidación.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</x:row>
    <x:row r="4" ht="30" customHeight="1">
      <x:c r="A4" s="19" t="str">
        <x:v>Change ID</x:v>
      </x:c>
      <x:c r="B4" s="19" t="str">
        <x:v>Fecha</x:v>
      </x:c>
      <x:c r="C4" s="19" t="str">
        <x:v>Tipo</x:v>
      </x:c>
      <x:c r="D4" s="19" t="str">
        <x:v>Área</x:v>
      </x:c>
      <x:c r="E4" s="19" t="str">
        <x:v>Descripción</x:v>
      </x:c>
      <x:c r="F4" s="19" t="str">
        <x:v>Motivo</x:v>
      </x:c>
      <x:c r="G4" s="19" t="str">
        <x:v>Solicitante</x:v>
      </x:c>
      <x:c r="H4" s="19" t="str">
        <x:v>Responsable</x:v>
      </x:c>
      <x:c r="I4" s="19" t="str">
        <x:v>Prioridad</x:v>
      </x:c>
      <x:c r="J4" s="19" t="str">
        <x:v>Sprint</x:v>
      </x:c>
      <x:c r="K4" s="19" t="str">
        <x:v>Versión</x:v>
      </x:c>
      <x:c r="L4" s="19" t="str">
        <x:v>Requisito afectado</x:v>
      </x:c>
      <x:c r="M4" s="19" t="str">
        <x:v>Documentos afectados</x:v>
      </x:c>
      <x:c r="N4" s="19" t="str">
        <x:v>Código/Escena/Asset</x:v>
      </x:c>
      <x:c r="O4" s="19" t="str">
        <x:v>ADR</x:v>
      </x:c>
      <x:c r="P4" s="19" t="str">
        <x:v>Commit</x:v>
      </x:c>
      <x:c r="Q4" s="19" t="str">
        <x:v>Prueba requerida</x:v>
      </x:c>
      <x:c r="R4" s="19" t="str">
        <x:v>Build requerida</x:v>
      </x:c>
      <x:c r="S4" s="19" t="str">
        <x:v>Impacto schema/save</x:v>
      </x:c>
      <x:c r="T4" s="19" t="str">
        <x:v>Impacto alcance</x:v>
      </x:c>
      <x:c r="U4" s="19" t="str">
        <x:v>Estado</x:v>
      </x:c>
      <x:c r="V4" s="19" t="str">
        <x:v>Evidencia</x:v>
      </x:c>
      <x:c r="W4" s="19" t="str">
        <x:v>Decisión final</x:v>
      </x:c>
      <x:c r="X4" s="19" t="str">
        <x:v>Notas</x:v>
      </x:c>
    </x:row>
    <x:row r="5" ht="30" customHeight="1">
      <x:c r="A5" s="26" t="str">
        <x:v>CHG-S0-001</x:v>
      </x:c>
      <x:c r="B5" s="26" t="str">
        <x:v>2026-06-21</x:v>
      </x:c>
      <x:c r="C5" s="26" t="str">
        <x:v>Proceso</x:v>
      </x:c>
      <x:c r="D5" s="26"/>
      <x:c r="E5" s="26"/>
      <x:c r="F5" s="26" t="str">
        <x:v>Registro histórico</x:v>
      </x:c>
      <x:c r="G5" s="26" t="str">
        <x:v>VRM Games</x:v>
      </x:c>
      <x:c r="H5" s="26" t="str">
        <x:v>VRM Games</x:v>
      </x:c>
      <x:c r="I5" s="26" t="str">
        <x:v>P1</x:v>
      </x:c>
      <x:c r="J5" s="26"/>
      <x:c r="K5" s="26"/>
      <x:c r="L5" s="26"/>
      <x:c r="M5" s="26"/>
      <x:c r="N5" s="26"/>
      <x:c r="O5" s="26"/>
      <x:c r="P5" s="26"/>
      <x:c r="Q5" s="26"/>
      <x:c r="R5" s="26"/>
      <x:c r="S5" s="26" t="str">
        <x:v>No</x:v>
      </x:c>
      <x:c r="T5" s="26" t="str">
        <x:v>No</x:v>
      </x:c>
      <x:c r="U5" s="26" t="str">
        <x:v>Closed</x:v>
      </x:c>
      <x:c r="V5" s="26" t="str">
        <x:v>Evidence/S0.1_UnityHub_EditorVersion.png; Evidence/S0.1_AboutUnity.png</x:v>
      </x:c>
      <x:c r="W5" s="26" t="str">
        <x:v>Accepted / Closed</x:v>
      </x:c>
      <x:c r="X5" s="26"/>
    </x:row>
    <x:row r="6" ht="30" customHeight="1">
      <x:c r="A6" s="26" t="str">
        <x:v>CHG-S0-002</x:v>
      </x:c>
      <x:c r="B6" s="26" t="str">
        <x:v>2026-06-21</x:v>
      </x:c>
      <x:c r="C6" s="26" t="str">
        <x:v>Proceso</x:v>
      </x:c>
      <x:c r="D6" s="26"/>
      <x:c r="E6" s="26"/>
      <x:c r="F6" s="26" t="str">
        <x:v>Registro histórico</x:v>
      </x:c>
      <x:c r="G6" s="26" t="str">
        <x:v>VRM Games</x:v>
      </x:c>
      <x:c r="H6" s="26" t="str">
        <x:v>VRM Games</x:v>
      </x:c>
      <x:c r="I6" s="26" t="str">
        <x:v>P1</x:v>
      </x:c>
      <x:c r="J6" s="26"/>
      <x:c r="K6" s="26"/>
      <x:c r="L6" s="26"/>
      <x:c r="M6" s="26"/>
      <x:c r="N6" s="26"/>
      <x:c r="O6" s="26"/>
      <x:c r="P6" s="26" t="str">
        <x:v>6429c7cff05fb8e77e7161ce72f28fb79d03383f</x:v>
      </x:c>
      <x:c r="Q6" s="26"/>
      <x:c r="R6" s="26"/>
      <x:c r="S6" s="26" t="str">
        <x:v>No</x:v>
      </x:c>
      <x:c r="T6" s="26" t="str">
        <x:v>No</x:v>
      </x:c>
      <x:c r="U6" s="26" t="str">
        <x:v>Closed</x:v>
      </x:c>
      <x:c r="V6" s="26" t="str">
        <x:v>Commit 6429c7cff05fb8e77e7161ce72f28fb79d03383f</x:v>
      </x:c>
      <x:c r="W6" s="26" t="str">
        <x:v>Accepted / Closed</x:v>
      </x:c>
      <x:c r="X6" s="26"/>
    </x:row>
    <x:row r="7" ht="30" customHeight="1">
      <x:c r="A7" s="26" t="str">
        <x:v>CHG-S0-003</x:v>
      </x:c>
      <x:c r="B7" s="26" t="str">
        <x:v>2026-06-21</x:v>
      </x:c>
      <x:c r="C7" s="26" t="str">
        <x:v>Proceso</x:v>
      </x:c>
      <x:c r="D7" s="26"/>
      <x:c r="E7" s="26"/>
      <x:c r="F7" s="26" t="str">
        <x:v>Registro histórico</x:v>
      </x:c>
      <x:c r="G7" s="26" t="str">
        <x:v>VRM Games</x:v>
      </x:c>
      <x:c r="H7" s="26" t="str">
        <x:v>VRM Games</x:v>
      </x:c>
      <x:c r="I7" s="26" t="str">
        <x:v>P1</x:v>
      </x:c>
      <x:c r="J7" s="26"/>
      <x:c r="K7" s="26"/>
      <x:c r="L7" s="26"/>
      <x:c r="M7" s="26"/>
      <x:c r="N7" s="26"/>
      <x:c r="O7" s="26"/>
      <x:c r="P7" s="26"/>
      <x:c r="Q7" s="26"/>
      <x:c r="R7" s="26"/>
      <x:c r="S7" s="26" t="str">
        <x:v>No</x:v>
      </x:c>
      <x:c r="T7" s="26" t="str">
        <x:v>No</x:v>
      </x:c>
      <x:c r="U7" s="26" t="str">
        <x:v>Closed</x:v>
      </x:c>
      <x:c r="V7" s="26" t="str">
        <x:v>Repository main</x:v>
      </x:c>
      <x:c r="W7" s="26" t="str">
        <x:v>Accepted / Closed</x:v>
      </x:c>
      <x:c r="X7" s="26"/>
    </x:row>
    <x:row r="8" ht="30" customHeight="1">
      <x:c r="A8" s="26" t="str">
        <x:v>CHG-S0-004</x:v>
      </x:c>
      <x:c r="B8" s="26" t="str">
        <x:v>2026-06-21</x:v>
      </x:c>
      <x:c r="C8" s="26" t="str">
        <x:v>Proceso</x:v>
      </x:c>
      <x:c r="D8" s="26"/>
      <x:c r="E8" s="26"/>
      <x:c r="F8" s="26" t="str">
        <x:v>Registro histórico</x:v>
      </x:c>
      <x:c r="G8" s="26" t="str">
        <x:v>VRM Games</x:v>
      </x:c>
      <x:c r="H8" s="26" t="str">
        <x:v>VRM Games</x:v>
      </x:c>
      <x:c r="I8" s="26" t="str">
        <x:v>P1</x:v>
      </x:c>
      <x:c r="J8" s="26"/>
      <x:c r="K8" s="26"/>
      <x:c r="L8" s="26"/>
      <x:c r="M8" s="26"/>
      <x:c r="N8" s="26"/>
      <x:c r="O8" s="26"/>
      <x:c r="P8" s="26" t="str">
        <x:v>6429c7cff05fb8e77e7161ce72f28fb79d03383f</x:v>
      </x:c>
      <x:c r="Q8" s="26"/>
      <x:c r="R8" s="26"/>
      <x:c r="S8" s="26" t="str">
        <x:v>No</x:v>
      </x:c>
      <x:c r="T8" s="26" t="str">
        <x:v>No</x:v>
      </x:c>
      <x:c r="U8" s="26" t="str">
        <x:v>Closed</x:v>
      </x:c>
      <x:c r="V8" s="26" t="str">
        <x:v>Commit 6429c7cff05fb8e77e7161ce72f28fb79d03383f</x:v>
      </x:c>
      <x:c r="W8" s="26" t="str">
        <x:v>Accepted / Closed</x:v>
      </x:c>
      <x:c r="X8" s="26"/>
    </x:row>
    <x:row r="9" ht="30" customHeight="1">
      <x:c r="A9" s="26" t="str">
        <x:v>CHG-S0-005</x:v>
      </x:c>
      <x:c r="B9" s="26" t="str">
        <x:v>2026-06-21</x:v>
      </x:c>
      <x:c r="C9" s="26" t="str">
        <x:v>Proceso</x:v>
      </x:c>
      <x:c r="D9" s="26"/>
      <x:c r="E9" s="26"/>
      <x:c r="F9" s="26" t="str">
        <x:v>Registro histórico</x:v>
      </x:c>
      <x:c r="G9" s="26" t="str">
        <x:v>VRM Games</x:v>
      </x:c>
      <x:c r="H9" s="26" t="str">
        <x:v>VRM Games</x:v>
      </x:c>
      <x:c r="I9" s="26" t="str">
        <x:v>P1</x:v>
      </x:c>
      <x:c r="J9" s="26"/>
      <x:c r="K9" s="26"/>
      <x:c r="L9" s="26"/>
      <x:c r="M9" s="26"/>
      <x:c r="N9" s="26"/>
      <x:c r="O9" s="26"/>
      <x:c r="P9" s="26" t="str">
        <x:v>46c76312fe3f2e93da48334be4862d019e34019d</x:v>
      </x:c>
      <x:c r="Q9" s="26"/>
      <x:c r="R9" s="26"/>
      <x:c r="S9" s="26" t="str">
        <x:v>No</x:v>
      </x:c>
      <x:c r="T9" s="26" t="str">
        <x:v>No</x:v>
      </x:c>
      <x:c r="U9" s="26" t="str">
        <x:v>Closed</x:v>
      </x:c>
      <x:c r="V9" s="26" t="str">
        <x:v>Commit 46c76312fe3f2e93da48334be4862d019e34019d</x:v>
      </x:c>
      <x:c r="W9" s="26" t="str">
        <x:v>Accepted / Closed</x:v>
      </x:c>
      <x:c r="X9" s="26"/>
    </x:row>
    <x:row r="10" ht="30" customHeight="1">
      <x:c r="A10" s="26" t="str">
        <x:v>CHG-S0-006</x:v>
      </x:c>
      <x:c r="B10" s="26" t="str">
        <x:v>2026-06-21</x:v>
      </x:c>
      <x:c r="C10" s="26" t="str">
        <x:v>Proceso</x:v>
      </x:c>
      <x:c r="D10" s="26"/>
      <x:c r="E10" s="26"/>
      <x:c r="F10" s="26" t="str">
        <x:v>Registro histórico</x:v>
      </x:c>
      <x:c r="G10" s="26" t="str">
        <x:v>VRM Games</x:v>
      </x:c>
      <x:c r="H10" s="26" t="str">
        <x:v>VRM Games</x:v>
      </x:c>
      <x:c r="I10" s="26" t="str">
        <x:v>P1</x:v>
      </x:c>
      <x:c r="J10" s="26"/>
      <x:c r="K10" s="26"/>
      <x:c r="L10" s="26"/>
      <x:c r="M10" s="26"/>
      <x:c r="N10" s="26"/>
      <x:c r="O10" s="26"/>
      <x:c r="P10" s="26" t="str">
        <x:v>3d49ef4fae0ebbe4f5739b58d1ac08c5dd068264</x:v>
      </x:c>
      <x:c r="Q10" s="26"/>
      <x:c r="R10" s="26"/>
      <x:c r="S10" s="26" t="str">
        <x:v>No</x:v>
      </x:c>
      <x:c r="T10" s="26" t="str">
        <x:v>No</x:v>
      </x:c>
      <x:c r="U10" s="26" t="str">
        <x:v>Closed</x:v>
      </x:c>
      <x:c r="V10" s="26" t="str">
        <x:v>Commit 3d49ef4fae0ebbe4f5739b58d1ac08c5dd068264</x:v>
      </x:c>
      <x:c r="W10" s="26" t="str">
        <x:v>Accepted / Closed</x:v>
      </x:c>
      <x:c r="X10" s="26"/>
    </x:row>
    <x:row r="11" ht="30" customHeight="1">
      <x:c r="A11" s="26" t="str">
        <x:v>CHG-S0-007</x:v>
      </x:c>
      <x:c r="B11" s="26" t="str">
        <x:v>2026-06-21</x:v>
      </x:c>
      <x:c r="C11" s="26" t="str">
        <x:v>Proceso</x:v>
      </x:c>
      <x:c r="D11" s="26"/>
      <x:c r="E11" s="26"/>
      <x:c r="F11" s="26" t="str">
        <x:v>Registro histórico</x:v>
      </x:c>
      <x:c r="G11" s="26" t="str">
        <x:v>VRM Games</x:v>
      </x:c>
      <x:c r="H11" s="26" t="str">
        <x:v>VRM Games</x:v>
      </x:c>
      <x:c r="I11" s="26" t="str">
        <x:v>P1</x:v>
      </x:c>
      <x:c r="J11" s="26"/>
      <x:c r="K11" s="26"/>
      <x:c r="L11" s="26"/>
      <x:c r="M11" s="26"/>
      <x:c r="N11" s="26"/>
      <x:c r="O11" s="26"/>
      <x:c r="P11" s="26" t="str">
        <x:v>1cc30ad69a2c093a8e1e0686451302689eb632bb</x:v>
      </x:c>
      <x:c r="Q11" s="26"/>
      <x:c r="R11" s="26"/>
      <x:c r="S11" s="26" t="str">
        <x:v>No</x:v>
      </x:c>
      <x:c r="T11" s="26" t="str">
        <x:v>No</x:v>
      </x:c>
      <x:c r="U11" s="26" t="str">
        <x:v>Closed</x:v>
      </x:c>
      <x:c r="V11" s="26" t="str">
        <x:v>Commit 1cc30ad69a2c093a8e1e0686451302689eb632bb</x:v>
      </x:c>
      <x:c r="W11" s="26" t="str">
        <x:v>Accepted / Closed</x:v>
      </x:c>
      <x:c r="X11" s="26"/>
    </x:row>
    <x:row r="12" ht="30" customHeight="1">
      <x:c r="A12" s="26" t="str">
        <x:v>CHG-S0-008</x:v>
      </x:c>
      <x:c r="B12" s="26" t="str">
        <x:v>2026-06-21</x:v>
      </x:c>
      <x:c r="C12" s="26" t="str">
        <x:v>Documentación</x:v>
      </x:c>
      <x:c r="D12" s="26"/>
      <x:c r="E12" s="26"/>
      <x:c r="F12" s="26" t="str">
        <x:v>Registro histórico</x:v>
      </x:c>
      <x:c r="G12" s="26" t="str">
        <x:v>VRM Games</x:v>
      </x:c>
      <x:c r="H12" s="26" t="str">
        <x:v>VRM Games</x:v>
      </x:c>
      <x:c r="I12" s="26" t="str">
        <x:v>P1</x:v>
      </x:c>
      <x:c r="J12" s="26"/>
      <x:c r="K12" s="26"/>
      <x:c r="L12" s="26"/>
      <x:c r="M12" s="26"/>
      <x:c r="N12" s="26"/>
      <x:c r="O12" s="26"/>
      <x:c r="P12" s="26" t="str">
        <x:v>1cc30ad69a2c093a8e1e0686451302689eb632bb</x:v>
      </x:c>
      <x:c r="Q12" s="26"/>
      <x:c r="R12" s="26"/>
      <x:c r="S12" s="26" t="str">
        <x:v>No</x:v>
      </x:c>
      <x:c r="T12" s="26" t="str">
        <x:v>No</x:v>
      </x:c>
      <x:c r="U12" s="26" t="str">
        <x:v>Closed</x:v>
      </x:c>
      <x:c r="V12" s="26" t="str">
        <x:v>Commit 1cc30ad69a2c093a8e1e0686451302689eb632bb</x:v>
      </x:c>
      <x:c r="W12" s="26" t="str">
        <x:v>Accepted / Closed</x:v>
      </x:c>
      <x:c r="X12" s="26"/>
    </x:row>
    <x:row r="13" ht="30" customHeight="1">
      <x:c r="A13" s="26" t="str">
        <x:v>CHG-S0-009</x:v>
      </x:c>
      <x:c r="B13" s="26" t="str">
        <x:v>2026-06-21</x:v>
      </x:c>
      <x:c r="C13" s="26" t="str">
        <x:v>Código nuevo</x:v>
      </x:c>
      <x:c r="D13" s="26"/>
      <x:c r="E13" s="26"/>
      <x:c r="F13" s="26" t="str">
        <x:v>Registro histórico</x:v>
      </x:c>
      <x:c r="G13" s="26" t="str">
        <x:v>VRM Games</x:v>
      </x:c>
      <x:c r="H13" s="26" t="str">
        <x:v>VRM Games</x:v>
      </x:c>
      <x:c r="I13" s="26" t="str">
        <x:v>P1</x:v>
      </x:c>
      <x:c r="J13" s="26"/>
      <x:c r="K13" s="26"/>
      <x:c r="L13" s="26"/>
      <x:c r="M13" s="26"/>
      <x:c r="N13" s="26"/>
      <x:c r="O13" s="26"/>
      <x:c r="P13" s="26" t="str">
        <x:v>7f32381d94af98f283fa0cb26b4cbf5b0ba84fe9</x:v>
      </x:c>
      <x:c r="Q13" s="26"/>
      <x:c r="R13" s="26"/>
      <x:c r="S13" s="26" t="str">
        <x:v>No</x:v>
      </x:c>
      <x:c r="T13" s="26" t="str">
        <x:v>No</x:v>
      </x:c>
      <x:c r="U13" s="26" t="str">
        <x:v>Closed</x:v>
      </x:c>
      <x:c r="V13" s="26" t="str">
        <x:v>Commit 7f32381d94af98f283fa0cb26b4cbf5b0ba84fe9</x:v>
      </x:c>
      <x:c r="W13" s="26" t="str">
        <x:v>Accepted / Closed</x:v>
      </x:c>
      <x:c r="X13" s="26"/>
    </x:row>
    <x:row r="14" ht="30" customHeight="1">
      <x:c r="A14" s="26" t="str">
        <x:v>CHG-S0-010</x:v>
      </x:c>
      <x:c r="B14" s="26" t="str">
        <x:v>2026-06-21</x:v>
      </x:c>
      <x:c r="C14" s="26" t="str">
        <x:v>Código nuevo</x:v>
      </x:c>
      <x:c r="D14" s="26"/>
      <x:c r="E14" s="26"/>
      <x:c r="F14" s="26" t="str">
        <x:v>Registro histórico</x:v>
      </x:c>
      <x:c r="G14" s="26" t="str">
        <x:v>VRM Games</x:v>
      </x:c>
      <x:c r="H14" s="26" t="str">
        <x:v>VRM Games</x:v>
      </x:c>
      <x:c r="I14" s="26" t="str">
        <x:v>P1</x:v>
      </x:c>
      <x:c r="J14" s="26"/>
      <x:c r="K14" s="26"/>
      <x:c r="L14" s="26"/>
      <x:c r="M14" s="26"/>
      <x:c r="N14" s="26"/>
      <x:c r="O14" s="26"/>
      <x:c r="P14" s="26" t="str">
        <x:v>7f32381d94af98f283fa0cb26b4cbf5b0ba84fe9</x:v>
      </x:c>
      <x:c r="Q14" s="26"/>
      <x:c r="R14" s="26"/>
      <x:c r="S14" s="26" t="str">
        <x:v>No</x:v>
      </x:c>
      <x:c r="T14" s="26" t="str">
        <x:v>No</x:v>
      </x:c>
      <x:c r="U14" s="26" t="str">
        <x:v>Closed</x:v>
      </x:c>
      <x:c r="V14" s="26" t="str">
        <x:v>Commit 7f32381d94af98f283fa0cb26b4cbf5b0ba84fe9</x:v>
      </x:c>
      <x:c r="W14" s="26" t="str">
        <x:v>Accepted / Closed</x:v>
      </x:c>
      <x:c r="X14" s="26"/>
    </x:row>
    <x:row r="15" ht="30" customHeight="1">
      <x:c r="A15" s="26" t="str">
        <x:v>CHG-S0-011</x:v>
      </x:c>
      <x:c r="B15" s="26" t="str">
        <x:v>2026-06-21</x:v>
      </x:c>
      <x:c r="C15" s="26" t="str">
        <x:v>Refactor</x:v>
      </x:c>
      <x:c r="D15" s="26"/>
      <x:c r="E15" s="26"/>
      <x:c r="F15" s="26" t="str">
        <x:v>Registro histórico</x:v>
      </x:c>
      <x:c r="G15" s="26" t="str">
        <x:v>VRM Games</x:v>
      </x:c>
      <x:c r="H15" s="26" t="str">
        <x:v>VRM Games</x:v>
      </x:c>
      <x:c r="I15" s="26" t="str">
        <x:v>P1</x:v>
      </x:c>
      <x:c r="J15" s="26"/>
      <x:c r="K15" s="26"/>
      <x:c r="L15" s="26"/>
      <x:c r="M15" s="26"/>
      <x:c r="N15" s="26"/>
      <x:c r="O15" s="26"/>
      <x:c r="P15" s="26" t="str">
        <x:v>7f32381d94af98f283fa0cb26b4cbf5b0ba84fe9</x:v>
      </x:c>
      <x:c r="Q15" s="26"/>
      <x:c r="R15" s="26"/>
      <x:c r="S15" s="26" t="str">
        <x:v>No</x:v>
      </x:c>
      <x:c r="T15" s="26" t="str">
        <x:v>No</x:v>
      </x:c>
      <x:c r="U15" s="26" t="str">
        <x:v>Closed</x:v>
      </x:c>
      <x:c r="V15" s="26" t="str">
        <x:v>Commit 7f32381d94af98f283fa0cb26b4cbf5b0ba84fe9</x:v>
      </x:c>
      <x:c r="W15" s="26" t="str">
        <x:v>Accepted / Closed</x:v>
      </x:c>
      <x:c r="X15" s="26"/>
    </x:row>
    <x:row r="16" ht="30" customHeight="1">
      <x:c r="A16" s="26" t="str">
        <x:v>CHG-S0-012</x:v>
      </x:c>
      <x:c r="B16" s="26" t="str">
        <x:v>2026-06-21</x:v>
      </x:c>
      <x:c r="C16" s="26" t="str">
        <x:v>Documentación</x:v>
      </x:c>
      <x:c r="D16" s="26"/>
      <x:c r="E16" s="26"/>
      <x:c r="F16" s="26" t="str">
        <x:v>Registro histórico</x:v>
      </x:c>
      <x:c r="G16" s="26" t="str">
        <x:v>VRM Games</x:v>
      </x:c>
      <x:c r="H16" s="26" t="str">
        <x:v>VRM Games</x:v>
      </x:c>
      <x:c r="I16" s="26" t="str">
        <x:v>P1</x:v>
      </x:c>
      <x:c r="J16" s="26"/>
      <x:c r="K16" s="26"/>
      <x:c r="L16" s="26"/>
      <x:c r="M16" s="26"/>
      <x:c r="N16" s="26"/>
      <x:c r="O16" s="26"/>
      <x:c r="P16" s="26"/>
      <x:c r="Q16" s="26"/>
      <x:c r="R16" s="26"/>
      <x:c r="S16" s="26" t="str">
        <x:v>No</x:v>
      </x:c>
      <x:c r="T16" s="26" t="str">
        <x:v>No</x:v>
      </x:c>
      <x:c r="U16" s="26" t="str">
        <x:v>Closed</x:v>
      </x:c>
      <x:c r="V16" s="26" t="str">
        <x:v>Commit 31a77be</x:v>
      </x:c>
      <x:c r="W16" s="26" t="str">
        <x:v>Accepted / Closed</x:v>
      </x:c>
      <x:c r="X16" s="26"/>
    </x:row>
    <x:row r="17" ht="30" customHeight="1">
      <x:c r="A17" s="26" t="str">
        <x:v>CHG-S0-013</x:v>
      </x:c>
      <x:c r="B17" s="26" t="str">
        <x:v>2026-06-21</x:v>
      </x:c>
      <x:c r="C17" s="26" t="str">
        <x:v>Documentación</x:v>
      </x:c>
      <x:c r="D17" s="26"/>
      <x:c r="E17" s="26"/>
      <x:c r="F17" s="26" t="str">
        <x:v>Registro histórico</x:v>
      </x:c>
      <x:c r="G17" s="26" t="str">
        <x:v>VRM Games</x:v>
      </x:c>
      <x:c r="H17" s="26" t="str">
        <x:v>VRM Games</x:v>
      </x:c>
      <x:c r="I17" s="26" t="str">
        <x:v>P1</x:v>
      </x:c>
      <x:c r="J17" s="26"/>
      <x:c r="K17" s="26"/>
      <x:c r="L17" s="26"/>
      <x:c r="M17" s="26"/>
      <x:c r="N17" s="26"/>
      <x:c r="O17" s="26"/>
      <x:c r="P17" s="26"/>
      <x:c r="Q17" s="26"/>
      <x:c r="R17" s="26"/>
      <x:c r="S17" s="26" t="str">
        <x:v>No</x:v>
      </x:c>
      <x:c r="T17" s="26" t="str">
        <x:v>No</x:v>
      </x:c>
      <x:c r="U17" s="26" t="str">
        <x:v>Closed</x:v>
      </x:c>
      <x:c r="V17" s="26" t="str">
        <x:v>Commit 31a77be</x:v>
      </x:c>
      <x:c r="W17" s="26" t="str">
        <x:v>Accepted / Closed</x:v>
      </x:c>
      <x:c r="X17" s="26"/>
    </x:row>
    <x:row r="18" ht="30" customHeight="1">
      <x:c r="A18" s="26" t="str">
        <x:v>CHG-S0-014</x:v>
      </x:c>
      <x:c r="B18" s="26" t="str">
        <x:v>2026-06-21</x:v>
      </x:c>
      <x:c r="C18" s="26" t="str">
        <x:v>Documentación</x:v>
      </x:c>
      <x:c r="D18" s="26"/>
      <x:c r="E18" s="26"/>
      <x:c r="F18" s="26" t="str">
        <x:v>Registro histórico</x:v>
      </x:c>
      <x:c r="G18" s="26" t="str">
        <x:v>VRM Games</x:v>
      </x:c>
      <x:c r="H18" s="26" t="str">
        <x:v>VRM Games</x:v>
      </x:c>
      <x:c r="I18" s="26" t="str">
        <x:v>P1</x:v>
      </x:c>
      <x:c r="J18" s="26"/>
      <x:c r="K18" s="26"/>
      <x:c r="L18" s="26"/>
      <x:c r="M18" s="26"/>
      <x:c r="N18" s="26"/>
      <x:c r="O18" s="26"/>
      <x:c r="P18" s="26"/>
      <x:c r="Q18" s="26"/>
      <x:c r="R18" s="26"/>
      <x:c r="S18" s="26" t="str">
        <x:v>No</x:v>
      </x:c>
      <x:c r="T18" s="26" t="str">
        <x:v>No</x:v>
      </x:c>
      <x:c r="U18" s="26" t="str">
        <x:v>Closed</x:v>
      </x:c>
      <x:c r="V18" s="26" t="str">
        <x:v>Commit 31a77be</x:v>
      </x:c>
      <x:c r="W18" s="26" t="str">
        <x:v>Accepted / Closed</x:v>
      </x:c>
      <x:c r="X18" s="26"/>
    </x:row>
    <x:row r="19" ht="30" customHeight="1">
      <x:c r="A19" s="26" t="str">
        <x:v>CHG-S0-015</x:v>
      </x:c>
      <x:c r="B19" s="26" t="str">
        <x:v>2026-06-21</x:v>
      </x:c>
      <x:c r="C19" s="26" t="str">
        <x:v>Documentación</x:v>
      </x:c>
      <x:c r="D19" s="26"/>
      <x:c r="E19" s="26"/>
      <x:c r="F19" s="26" t="str">
        <x:v>Registro histórico</x:v>
      </x:c>
      <x:c r="G19" s="26" t="str">
        <x:v>VRM Games</x:v>
      </x:c>
      <x:c r="H19" s="26" t="str">
        <x:v>VRM Games</x:v>
      </x:c>
      <x:c r="I19" s="26" t="str">
        <x:v>P1</x:v>
      </x:c>
      <x:c r="J19" s="26"/>
      <x:c r="K19" s="26"/>
      <x:c r="L19" s="26"/>
      <x:c r="M19" s="26"/>
      <x:c r="N19" s="26"/>
      <x:c r="O19" s="26"/>
      <x:c r="P19" s="26"/>
      <x:c r="Q19" s="26"/>
      <x:c r="R19" s="26"/>
      <x:c r="S19" s="26" t="str">
        <x:v>No</x:v>
      </x:c>
      <x:c r="T19" s="26" t="str">
        <x:v>No</x:v>
      </x:c>
      <x:c r="U19" s="26" t="str">
        <x:v>Closed</x:v>
      </x:c>
      <x:c r="V19" s="26" t="str">
        <x:v>Commit 31a77be</x:v>
      </x:c>
      <x:c r="W19" s="26" t="str">
        <x:v>Accepted / Closed</x:v>
      </x:c>
      <x:c r="X19" s="26"/>
    </x:row>
    <x:row r="20" ht="30" customHeight="1">
      <x:c r="A20" s="26" t="str">
        <x:v>CHG-S0-016</x:v>
      </x:c>
      <x:c r="B20" s="26" t="str">
        <x:v>2026-06-21</x:v>
      </x:c>
      <x:c r="C20" s="26" t="str">
        <x:v>Proceso</x:v>
      </x:c>
      <x:c r="D20" s="26"/>
      <x:c r="E20" s="26"/>
      <x:c r="F20" s="26" t="str">
        <x:v>Registro histórico</x:v>
      </x:c>
      <x:c r="G20" s="26" t="str">
        <x:v>VRM Games</x:v>
      </x:c>
      <x:c r="H20" s="26" t="str">
        <x:v>VRM Games</x:v>
      </x:c>
      <x:c r="I20" s="26" t="str">
        <x:v>P1</x:v>
      </x:c>
      <x:c r="J20" s="26"/>
      <x:c r="K20" s="26"/>
      <x:c r="L20" s="26"/>
      <x:c r="M20" s="26"/>
      <x:c r="N20" s="26"/>
      <x:c r="O20" s="26"/>
      <x:c r="P20" s="26"/>
      <x:c r="Q20" s="26"/>
      <x:c r="R20" s="26"/>
      <x:c r="S20" s="26" t="str">
        <x:v>No</x:v>
      </x:c>
      <x:c r="T20" s="26" t="str">
        <x:v>No</x:v>
      </x:c>
      <x:c r="U20" s="26" t="str">
        <x:v>Closed</x:v>
      </x:c>
      <x:c r="V20" s="26" t="str">
        <x:v>Developer confirmation</x:v>
      </x:c>
      <x:c r="W20" s="26" t="str">
        <x:v>Accepted / Closed</x:v>
      </x:c>
      <x:c r="X20" s="26"/>
    </x:row>
    <x:row r="21" ht="30" customHeight="1">
      <x:c r="A21" s="26" t="str">
        <x:v>CHG-S0-017</x:v>
      </x:c>
      <x:c r="B21" s="26" t="str">
        <x:v>2026-06-21</x:v>
      </x:c>
      <x:c r="C21" s="26" t="str">
        <x:v>Proceso</x:v>
      </x:c>
      <x:c r="D21" s="26"/>
      <x:c r="E21" s="26"/>
      <x:c r="F21" s="26" t="str">
        <x:v>Registro histórico</x:v>
      </x:c>
      <x:c r="G21" s="26" t="str">
        <x:v>VRM Games</x:v>
      </x:c>
      <x:c r="H21" s="26" t="str">
        <x:v>VRM Games</x:v>
      </x:c>
      <x:c r="I21" s="26" t="str">
        <x:v>P1</x:v>
      </x:c>
      <x:c r="J21" s="26"/>
      <x:c r="K21" s="26"/>
      <x:c r="L21" s="26"/>
      <x:c r="M21" s="26"/>
      <x:c r="N21" s="26"/>
      <x:c r="O21" s="26"/>
      <x:c r="P21" s="26"/>
      <x:c r="Q21" s="26"/>
      <x:c r="R21" s="26"/>
      <x:c r="S21" s="26" t="str">
        <x:v>No</x:v>
      </x:c>
      <x:c r="T21" s="26" t="str">
        <x:v>No</x:v>
      </x:c>
      <x:c r="U21" s="26" t="str">
        <x:v>Closed</x:v>
      </x:c>
      <x:c r="V21" s="26" t="str">
        <x:v>ADR-0005</x:v>
      </x:c>
      <x:c r="W21" s="26" t="str">
        <x:v>Accepted / Closed</x:v>
      </x:c>
      <x:c r="X21" s="26"/>
    </x:row>
    <x:row r="22" ht="30" customHeight="1">
      <x:c r="A22" s="26" t="str">
        <x:v>CHG-S0-018</x:v>
      </x:c>
      <x:c r="B22" s="26" t="str">
        <x:v>2026-06-21</x:v>
      </x:c>
      <x:c r="C22" s="26" t="str">
        <x:v>Documentación</x:v>
      </x:c>
      <x:c r="D22" s="26"/>
      <x:c r="E22" s="26"/>
      <x:c r="F22" s="26" t="str">
        <x:v>Registro histórico</x:v>
      </x:c>
      <x:c r="G22" s="26" t="str">
        <x:v>VRM Games</x:v>
      </x:c>
      <x:c r="H22" s="26" t="str">
        <x:v>VRM Games</x:v>
      </x:c>
      <x:c r="I22" s="26" t="str">
        <x:v>P1</x:v>
      </x:c>
      <x:c r="J22" s="26"/>
      <x:c r="K22" s="26"/>
      <x:c r="L22" s="26"/>
      <x:c r="M22" s="26"/>
      <x:c r="N22" s="26"/>
      <x:c r="O22" s="26"/>
      <x:c r="P22" s="26" t="str">
        <x:v>72af6f82cc4458c716d751f5846075bfe47aa093</x:v>
      </x:c>
      <x:c r="Q22" s="26"/>
      <x:c r="R22" s="26"/>
      <x:c r="S22" s="26" t="str">
        <x:v>No</x:v>
      </x:c>
      <x:c r="T22" s="26" t="str">
        <x:v>No</x:v>
      </x:c>
      <x:c r="U22" s="26" t="str">
        <x:v>Closed</x:v>
      </x:c>
      <x:c r="V22" s="26" t="str">
        <x:v>Commit 72af6f82cc4458c716d751f5846075bfe47aa093</x:v>
      </x:c>
      <x:c r="W22" s="26" t="str">
        <x:v>Accepted / Closed</x:v>
      </x:c>
      <x:c r="X22" s="26"/>
    </x:row>
    <x:row r="23" ht="30" customHeight="1">
      <x:c r="A23" s="26" t="str">
        <x:v>CHG-S0-019</x:v>
      </x:c>
      <x:c r="B23" s="26" t="str">
        <x:v>2026-06-22</x:v>
      </x:c>
      <x:c r="C23" s="26" t="str">
        <x:v>Proceso</x:v>
      </x:c>
      <x:c r="D23" s="26"/>
      <x:c r="E23" s="26"/>
      <x:c r="F23" s="26" t="str">
        <x:v>Registro histórico</x:v>
      </x:c>
      <x:c r="G23" s="26" t="str">
        <x:v>VRM Games</x:v>
      </x:c>
      <x:c r="H23" s="26" t="str">
        <x:v>VRM Games</x:v>
      </x:c>
      <x:c r="I23" s="26" t="str">
        <x:v>P1</x:v>
      </x:c>
      <x:c r="J23" s="26"/>
      <x:c r="K23" s="26"/>
      <x:c r="L23" s="26"/>
      <x:c r="M23" s="26"/>
      <x:c r="N23" s="26"/>
      <x:c r="O23" s="26"/>
      <x:c r="P23" s="26" t="str">
        <x:v>72af6f82cc4458c716d751f5846075bfe47aa093</x:v>
      </x:c>
      <x:c r="Q23" s="26"/>
      <x:c r="R23" s="26"/>
      <x:c r="S23" s="26" t="str">
        <x:v>No</x:v>
      </x:c>
      <x:c r="T23" s="26" t="str">
        <x:v>No</x:v>
      </x:c>
      <x:c r="U23" s="26" t="str">
        <x:v>Closed</x:v>
      </x:c>
      <x:c r="V23" s="26" t="str">
        <x:v>Commits 72af6f82cc4458c716d751f5846075bfe47aa093; 6416ca107509dd81428575ff9400215022bc7610</x:v>
      </x:c>
      <x:c r="W23" s="26" t="str">
        <x:v>Accepted / Closed</x:v>
      </x:c>
      <x:c r="X23" s="26"/>
    </x:row>
    <x:row r="24" ht="30" customHeight="1">
      <x:c r="A24" s="26" t="str">
        <x:v>CHG-S0-020</x:v>
      </x:c>
      <x:c r="B24" s="26" t="str">
        <x:v>2026-06-22</x:v>
      </x:c>
      <x:c r="C24" s="26" t="str">
        <x:v>Proceso</x:v>
      </x:c>
      <x:c r="D24" s="26"/>
      <x:c r="E24" s="26"/>
      <x:c r="F24" s="26" t="str">
        <x:v>Registro histórico</x:v>
      </x:c>
      <x:c r="G24" s="26" t="str">
        <x:v>VRM Games</x:v>
      </x:c>
      <x:c r="H24" s="26" t="str">
        <x:v>VRM Games</x:v>
      </x:c>
      <x:c r="I24" s="26" t="str">
        <x:v>P1</x:v>
      </x:c>
      <x:c r="J24" s="26"/>
      <x:c r="K24" s="26"/>
      <x:c r="L24" s="26"/>
      <x:c r="M24" s="26"/>
      <x:c r="N24" s="26"/>
      <x:c r="O24" s="26"/>
      <x:c r="P24" s="26"/>
      <x:c r="Q24" s="26"/>
      <x:c r="R24" s="26"/>
      <x:c r="S24" s="26" t="str">
        <x:v>No</x:v>
      </x:c>
      <x:c r="T24" s="26" t="str">
        <x:v>No</x:v>
      </x:c>
      <x:c r="U24" s="26" t="str">
        <x:v>Closed</x:v>
      </x:c>
      <x:c r="V24" s="26" t="str">
        <x:v>S0.8 package</x:v>
      </x:c>
      <x:c r="W24" s="26" t="str">
        <x:v>Accepted / Closed</x:v>
      </x:c>
      <x:c r="X24" s="26"/>
    </x:row>
    <x:row r="25" ht="30" customHeight="1">
      <x:c r="A25" s="26" t="str">
        <x:v>CHG-S0-021</x:v>
      </x:c>
      <x:c r="B25" s="26" t="str">
        <x:v>2026-06-22</x:v>
      </x:c>
      <x:c r="C25" s="26" t="str">
        <x:v>Código nuevo</x:v>
      </x:c>
      <x:c r="D25" s="26"/>
      <x:c r="E25" s="26"/>
      <x:c r="F25" s="26" t="str">
        <x:v>Registro histórico</x:v>
      </x:c>
      <x:c r="G25" s="26" t="str">
        <x:v>VRM Games</x:v>
      </x:c>
      <x:c r="H25" s="26" t="str">
        <x:v>VRM Games</x:v>
      </x:c>
      <x:c r="I25" s="26" t="str">
        <x:v>P1</x:v>
      </x:c>
      <x:c r="J25" s="26"/>
      <x:c r="K25" s="26"/>
      <x:c r="L25" s="26"/>
      <x:c r="M25" s="26"/>
      <x:c r="N25" s="26"/>
      <x:c r="O25" s="26"/>
      <x:c r="P25" s="26" t="str">
        <x:v>04264a362e33c6b823a51f82434b38d879c3dae1</x:v>
      </x:c>
      <x:c r="Q25" s="26"/>
      <x:c r="R25" s="26"/>
      <x:c r="S25" s="26" t="str">
        <x:v>No</x:v>
      </x:c>
      <x:c r="T25" s="26" t="str">
        <x:v>No</x:v>
      </x:c>
      <x:c r="U25" s="26" t="str">
        <x:v>Closed</x:v>
      </x:c>
      <x:c r="V25" s="26" t="str">
        <x:v>Commit 04264a362e33c6b823a51f82434b38d879c3dae1</x:v>
      </x:c>
      <x:c r="W25" s="26" t="str">
        <x:v>Accepted / Closed</x:v>
      </x:c>
      <x:c r="X25" s="26"/>
    </x:row>
    <x:row r="26" ht="30" customHeight="1">
      <x:c r="A26" s="26" t="str">
        <x:v>CHG-S0-022</x:v>
      </x:c>
      <x:c r="B26" s="26" t="str">
        <x:v>2026-06-22</x:v>
      </x:c>
      <x:c r="C26" s="26" t="str">
        <x:v>Documentación</x:v>
      </x:c>
      <x:c r="D26" s="26"/>
      <x:c r="E26" s="26"/>
      <x:c r="F26" s="26" t="str">
        <x:v>Registro histórico</x:v>
      </x:c>
      <x:c r="G26" s="26" t="str">
        <x:v>VRM Games</x:v>
      </x:c>
      <x:c r="H26" s="26" t="str">
        <x:v>VRM Games</x:v>
      </x:c>
      <x:c r="I26" s="26" t="str">
        <x:v>P1</x:v>
      </x:c>
      <x:c r="J26" s="26"/>
      <x:c r="K26" s="26"/>
      <x:c r="L26" s="26"/>
      <x:c r="M26" s="26"/>
      <x:c r="N26" s="26"/>
      <x:c r="O26" s="26"/>
      <x:c r="P26" s="26" t="str">
        <x:v>04264a362e33c6b823a51f82434b38d879c3dae1</x:v>
      </x:c>
      <x:c r="Q26" s="26"/>
      <x:c r="R26" s="26"/>
      <x:c r="S26" s="26" t="str">
        <x:v>No</x:v>
      </x:c>
      <x:c r="T26" s="26" t="str">
        <x:v>No</x:v>
      </x:c>
      <x:c r="U26" s="26" t="str">
        <x:v>Closed</x:v>
      </x:c>
      <x:c r="V26" s="26" t="str">
        <x:v>Commit 04264a362e33c6b823a51f82434b38d879c3dae1</x:v>
      </x:c>
      <x:c r="W26" s="26" t="str">
        <x:v>Accepted / Closed</x:v>
      </x:c>
      <x:c r="X26" s="26"/>
    </x:row>
    <x:row r="27" ht="30" customHeight="1">
      <x:c r="A27" s="26" t="str">
        <x:v>CHG-S0-023</x:v>
      </x:c>
      <x:c r="B27" s="26" t="str">
        <x:v>2026-06-22</x:v>
      </x:c>
      <x:c r="C27" s="26" t="str">
        <x:v>Proceso</x:v>
      </x:c>
      <x:c r="D27" s="26"/>
      <x:c r="E27" s="26"/>
      <x:c r="F27" s="26" t="str">
        <x:v>Registro histórico</x:v>
      </x:c>
      <x:c r="G27" s="26" t="str">
        <x:v>VRM Games</x:v>
      </x:c>
      <x:c r="H27" s="26" t="str">
        <x:v>VRM Games</x:v>
      </x:c>
      <x:c r="I27" s="26" t="str">
        <x:v>P1</x:v>
      </x:c>
      <x:c r="J27" s="26"/>
      <x:c r="K27" s="26"/>
      <x:c r="L27" s="26"/>
      <x:c r="M27" s="26"/>
      <x:c r="N27" s="26"/>
      <x:c r="O27" s="26"/>
      <x:c r="P27" s="26" t="str">
        <x:v>04264a362e33c6b823a51f82434b38d879c3dae1</x:v>
      </x:c>
      <x:c r="Q27" s="26"/>
      <x:c r="R27" s="26"/>
      <x:c r="S27" s="26" t="str">
        <x:v>No</x:v>
      </x:c>
      <x:c r="T27" s="26" t="str">
        <x:v>No</x:v>
      </x:c>
      <x:c r="U27" s="26" t="str">
        <x:v>Closed</x:v>
      </x:c>
      <x:c r="V27" s="26" t="str">
        <x:v>Commit 04264a362e33c6b823a51f82434b38d879c3dae1</x:v>
      </x:c>
      <x:c r="W27" s="26" t="str">
        <x:v>Accepted / Closed</x:v>
      </x:c>
      <x:c r="X27" s="26"/>
    </x:row>
    <x:row r="28" ht="30" customHeight="1">
      <x:c r="A28" s="26" t="str">
        <x:v>CHG-S0-024</x:v>
      </x:c>
      <x:c r="B28" s="26" t="str">
        <x:v>2026-06-22</x:v>
      </x:c>
      <x:c r="C28" s="26" t="str">
        <x:v>Proceso</x:v>
      </x:c>
      <x:c r="D28" s="26"/>
      <x:c r="E28" s="26"/>
      <x:c r="F28" s="26" t="str">
        <x:v>Registro histórico</x:v>
      </x:c>
      <x:c r="G28" s="26" t="str">
        <x:v>VRM Games</x:v>
      </x:c>
      <x:c r="H28" s="26" t="str">
        <x:v>VRM Games</x:v>
      </x:c>
      <x:c r="I28" s="26" t="str">
        <x:v>P1</x:v>
      </x:c>
      <x:c r="J28" s="26"/>
      <x:c r="K28" s="26"/>
      <x:c r="L28" s="26"/>
      <x:c r="M28" s="26"/>
      <x:c r="N28" s="26"/>
      <x:c r="O28" s="26"/>
      <x:c r="P28" s="26"/>
      <x:c r="Q28" s="26"/>
      <x:c r="R28" s="26"/>
      <x:c r="S28" s="26" t="str">
        <x:v>No</x:v>
      </x:c>
      <x:c r="T28" s="26" t="str">
        <x:v>No</x:v>
      </x:c>
      <x:c r="U28" s="26" t="str">
        <x:v>Closed</x:v>
      </x:c>
      <x:c r="V28" s="26" t="str">
        <x:v>S0.9 package</x:v>
      </x:c>
      <x:c r="W28" s="26" t="str">
        <x:v>Accepted / Closed</x:v>
      </x:c>
      <x:c r="X28" s="26"/>
    </x:row>
    <x:row r="29" ht="30" customHeight="1">
      <x:c r="A29" s="26" t="str">
        <x:v>CHG-S0-025</x:v>
      </x:c>
      <x:c r="B29" s="26" t="str">
        <x:v>2026-06-22</x:v>
      </x:c>
      <x:c r="C29" s="26" t="str">
        <x:v>Documentación</x:v>
      </x:c>
      <x:c r="D29" s="26"/>
      <x:c r="E29" s="26"/>
      <x:c r="F29" s="26" t="str">
        <x:v>Registro histórico</x:v>
      </x:c>
      <x:c r="G29" s="26" t="str">
        <x:v>VRM Games</x:v>
      </x:c>
      <x:c r="H29" s="26" t="str">
        <x:v>VRM Games</x:v>
      </x:c>
      <x:c r="I29" s="26" t="str">
        <x:v>P1</x:v>
      </x:c>
      <x:c r="J29" s="26"/>
      <x:c r="K29" s="26"/>
      <x:c r="L29" s="26"/>
      <x:c r="M29" s="26"/>
      <x:c r="N29" s="26"/>
      <x:c r="O29" s="26"/>
      <x:c r="P29" s="26" t="str">
        <x:v>e1998dffe52d0d4191abe3f8bda3b577d84bdb04</x:v>
      </x:c>
      <x:c r="Q29" s="26"/>
      <x:c r="R29" s="26"/>
      <x:c r="S29" s="26" t="str">
        <x:v>No</x:v>
      </x:c>
      <x:c r="T29" s="26" t="str">
        <x:v>No</x:v>
      </x:c>
      <x:c r="U29" s="26" t="str">
        <x:v>Closed</x:v>
      </x:c>
      <x:c r="V29" s="26" t="str">
        <x:v>Commit e1998dffe52d0d4191abe3f8bda3b577d84bdb04</x:v>
      </x:c>
      <x:c r="W29" s="26" t="str">
        <x:v>Accepted / Closed</x:v>
      </x:c>
      <x:c r="X29" s="26"/>
    </x:row>
    <x:row r="30" ht="30" customHeight="1">
      <x:c r="A30" s="26" t="str">
        <x:v>CHG-S0-026</x:v>
      </x:c>
      <x:c r="B30" s="26" t="str">
        <x:v>2026-06-22</x:v>
      </x:c>
      <x:c r="C30" s="26" t="str">
        <x:v>Proceso</x:v>
      </x:c>
      <x:c r="D30" s="26"/>
      <x:c r="E30" s="26"/>
      <x:c r="F30" s="26" t="str">
        <x:v>Registro histórico</x:v>
      </x:c>
      <x:c r="G30" s="26" t="str">
        <x:v>VRM Games</x:v>
      </x:c>
      <x:c r="H30" s="26" t="str">
        <x:v>VRM Games</x:v>
      </x:c>
      <x:c r="I30" s="26" t="str">
        <x:v>P1</x:v>
      </x:c>
      <x:c r="J30" s="26"/>
      <x:c r="K30" s="26"/>
      <x:c r="L30" s="26"/>
      <x:c r="M30" s="26"/>
      <x:c r="N30" s="26"/>
      <x:c r="O30" s="26"/>
      <x:c r="P30" s="26" t="str">
        <x:v>e1998dffe52d0d4191abe3f8bda3b577d84bdb04</x:v>
      </x:c>
      <x:c r="Q30" s="26"/>
      <x:c r="R30" s="26"/>
      <x:c r="S30" s="26" t="str">
        <x:v>No</x:v>
      </x:c>
      <x:c r="T30" s="26" t="str">
        <x:v>No</x:v>
      </x:c>
      <x:c r="U30" s="26" t="str">
        <x:v>Closed</x:v>
      </x:c>
      <x:c r="V30" s="26" t="str">
        <x:v>Commit e1998dffe52d0d4191abe3f8bda3b577d84bdb04</x:v>
      </x:c>
      <x:c r="W30" s="26" t="str">
        <x:v>Accepted / Closed</x:v>
      </x:c>
      <x:c r="X30" s="26"/>
    </x:row>
    <x:row r="31" ht="30" customHeight="1">
      <x:c r="A31" s="26" t="str">
        <x:v>CHG-S0-027</x:v>
      </x:c>
      <x:c r="B31" s="26" t="str">
        <x:v>2026-06-22</x:v>
      </x:c>
      <x:c r="C31" s="26" t="str">
        <x:v>Corrección</x:v>
      </x:c>
      <x:c r="D31" s="26"/>
      <x:c r="E31" s="26"/>
      <x:c r="F31" s="26" t="str">
        <x:v>Registro histórico</x:v>
      </x:c>
      <x:c r="G31" s="26" t="str">
        <x:v>VRM Games</x:v>
      </x:c>
      <x:c r="H31" s="26" t="str">
        <x:v>VRM Games</x:v>
      </x:c>
      <x:c r="I31" s="26" t="str">
        <x:v>P1</x:v>
      </x:c>
      <x:c r="J31" s="26"/>
      <x:c r="K31" s="26"/>
      <x:c r="L31" s="26"/>
      <x:c r="M31" s="26"/>
      <x:c r="N31" s="26"/>
      <x:c r="O31" s="26"/>
      <x:c r="P31" s="26" t="str">
        <x:v>e1998dffe52d0d4191abe3f8bda3b577d84bdb04</x:v>
      </x:c>
      <x:c r="Q31" s="26"/>
      <x:c r="R31" s="26"/>
      <x:c r="S31" s="26" t="str">
        <x:v>No</x:v>
      </x:c>
      <x:c r="T31" s="26" t="str">
        <x:v>No</x:v>
      </x:c>
      <x:c r="U31" s="26" t="str">
        <x:v>Closed</x:v>
      </x:c>
      <x:c r="V31" s="26" t="str">
        <x:v>Commit e1998dffe52d0d4191abe3f8bda3b577d84bdb04</x:v>
      </x:c>
      <x:c r="W31" s="26" t="str">
        <x:v>Accepted / Closed</x:v>
      </x:c>
      <x:c r="X31" s="26"/>
    </x:row>
    <x:row r="32" ht="30" customHeight="1">
      <x:c r="A32" s="26" t="str">
        <x:v>CHG-S0-028</x:v>
      </x:c>
      <x:c r="B32" s="26" t="str">
        <x:v>2026-06-22</x:v>
      </x:c>
      <x:c r="C32" s="26" t="str">
        <x:v>Proceso</x:v>
      </x:c>
      <x:c r="D32" s="26"/>
      <x:c r="E32" s="26"/>
      <x:c r="F32" s="26" t="str">
        <x:v>Registro histórico</x:v>
      </x:c>
      <x:c r="G32" s="26" t="str">
        <x:v>VRM Games</x:v>
      </x:c>
      <x:c r="H32" s="26" t="str">
        <x:v>VRM Games</x:v>
      </x:c>
      <x:c r="I32" s="26" t="str">
        <x:v>P1</x:v>
      </x:c>
      <x:c r="J32" s="26"/>
      <x:c r="K32" s="26"/>
      <x:c r="L32" s="26"/>
      <x:c r="M32" s="26"/>
      <x:c r="N32" s="26"/>
      <x:c r="O32" s="26"/>
      <x:c r="P32" s="26" t="str">
        <x:v>e1998dffe52d0d4191abe3f8bda3b577d84bdb04</x:v>
      </x:c>
      <x:c r="Q32" s="26"/>
      <x:c r="R32" s="26"/>
      <x:c r="S32" s="26" t="str">
        <x:v>No</x:v>
      </x:c>
      <x:c r="T32" s="26" t="str">
        <x:v>No</x:v>
      </x:c>
      <x:c r="U32" s="26" t="str">
        <x:v>Closed</x:v>
      </x:c>
      <x:c r="V32" s="26" t="str">
        <x:v>Commit e1998dffe52d0d4191abe3f8bda3b577d84bdb04; SHA-256 55e50d174b7de4c33308309824cd3990760f7dc421b98d9ee61fdefd83ff8f6e</x:v>
      </x:c>
      <x:c r="W32" s="26" t="str">
        <x:v>Accepted / Closed</x:v>
      </x:c>
      <x:c r="X32" s="26"/>
    </x:row>
    <x:row r="33" ht="30" customHeight="1">
      <x:c r="A33" s="26" t="str">
        <x:v>CHG-S0-029</x:v>
      </x:c>
      <x:c r="B33" s="26" t="str">
        <x:v>2026-06-22</x:v>
      </x:c>
      <x:c r="C33" s="26" t="str">
        <x:v>Documentación</x:v>
      </x:c>
      <x:c r="D33" s="26"/>
      <x:c r="E33" s="26"/>
      <x:c r="F33" s="26" t="str">
        <x:v>Registro histórico</x:v>
      </x:c>
      <x:c r="G33" s="26" t="str">
        <x:v>VRM Games</x:v>
      </x:c>
      <x:c r="H33" s="26" t="str">
        <x:v>VRM Games</x:v>
      </x:c>
      <x:c r="I33" s="26" t="str">
        <x:v>P1</x:v>
      </x:c>
      <x:c r="J33" s="26"/>
      <x:c r="K33" s="26"/>
      <x:c r="L33" s="26"/>
      <x:c r="M33" s="26"/>
      <x:c r="N33" s="26"/>
      <x:c r="O33" s="26"/>
      <x:c r="P33" s="26" t="str">
        <x:v>69493d5da35873258395808ed9cf9e196f182cd8</x:v>
      </x:c>
      <x:c r="Q33" s="26"/>
      <x:c r="R33" s="26"/>
      <x:c r="S33" s="26" t="str">
        <x:v>No</x:v>
      </x:c>
      <x:c r="T33" s="26" t="str">
        <x:v>No</x:v>
      </x:c>
      <x:c r="U33" s="26" t="str">
        <x:v>Closed</x:v>
      </x:c>
      <x:c r="V33" s="26" t="str">
        <x:v>Commit 69493d5da35873258395808ed9cf9e196f182cd8</x:v>
      </x:c>
      <x:c r="W33" s="26" t="str">
        <x:v>Accepted / Closed</x:v>
      </x:c>
      <x:c r="X33" s="26"/>
    </x:row>
    <x:row r="34" ht="30" customHeight="1">
      <x:c r="A34" s="26" t="str">
        <x:v>CHG-S0-030</x:v>
      </x:c>
      <x:c r="B34" s="26" t="str">
        <x:v>2026-06-22</x:v>
      </x:c>
      <x:c r="C34" s="26" t="str">
        <x:v>Proceso</x:v>
      </x:c>
      <x:c r="D34" s="26"/>
      <x:c r="E34" s="26"/>
      <x:c r="F34" s="26" t="str">
        <x:v>Registro histórico</x:v>
      </x:c>
      <x:c r="G34" s="26" t="str">
        <x:v>VRM Games</x:v>
      </x:c>
      <x:c r="H34" s="26" t="str">
        <x:v>VRM Games</x:v>
      </x:c>
      <x:c r="I34" s="26" t="str">
        <x:v>P1</x:v>
      </x:c>
      <x:c r="J34" s="26"/>
      <x:c r="K34" s="26"/>
      <x:c r="L34" s="26"/>
      <x:c r="M34" s="26"/>
      <x:c r="N34" s="26"/>
      <x:c r="O34" s="26"/>
      <x:c r="P34" s="26"/>
      <x:c r="Q34" s="26"/>
      <x:c r="R34" s="26"/>
      <x:c r="S34" s="26" t="str">
        <x:v>No</x:v>
      </x:c>
      <x:c r="T34" s="26" t="str">
        <x:v>No</x:v>
      </x:c>
      <x:c r="U34" s="26" t="str">
        <x:v>Closed</x:v>
      </x:c>
      <x:c r="V34" s="26" t="str">
        <x:v>S0.10 preparation package</x:v>
      </x:c>
      <x:c r="W34" s="26" t="str">
        <x:v>Accepted / Closed</x:v>
      </x:c>
      <x:c r="X34" s="26"/>
    </x:row>
    <x:row r="35" ht="30" customHeight="1">
      <x:c r="A35" s="26" t="str">
        <x:v>CHG-S0-031</x:v>
      </x:c>
      <x:c r="B35" s="26" t="str">
        <x:v>2026-06-22</x:v>
      </x:c>
      <x:c r="C35" s="26" t="str">
        <x:v>Configuración</x:v>
      </x:c>
      <x:c r="D35" s="26"/>
      <x:c r="E35" s="26"/>
      <x:c r="F35" s="26" t="str">
        <x:v>Registro histórico</x:v>
      </x:c>
      <x:c r="G35" s="26" t="str">
        <x:v>VRM Games</x:v>
      </x:c>
      <x:c r="H35" s="26" t="str">
        <x:v>VRM Games</x:v>
      </x:c>
      <x:c r="I35" s="26" t="str">
        <x:v>P1</x:v>
      </x:c>
      <x:c r="J35" s="26"/>
      <x:c r="K35" s="26"/>
      <x:c r="L35" s="26"/>
      <x:c r="M35" s="26"/>
      <x:c r="N35" s="26"/>
      <x:c r="O35" s="26"/>
      <x:c r="P35" s="26"/>
      <x:c r="Q35" s="26"/>
      <x:c r="R35" s="26"/>
      <x:c r="S35" s="26" t="str">
        <x:v>No</x:v>
      </x:c>
      <x:c r="T35" s="26" t="str">
        <x:v>No</x:v>
      </x:c>
      <x:c r="U35" s="26" t="str">
        <x:v>Closed</x:v>
      </x:c>
      <x:c r="V35" s="26" t="str">
        <x:v>S0.10 pre-final script</x:v>
      </x:c>
      <x:c r="W35" s="26" t="str">
        <x:v>Accepted / Closed</x:v>
      </x:c>
      <x:c r="X35" s="26"/>
    </x:row>
    <x:row r="36" ht="30" customHeight="1">
      <x:c r="A36" s="26" t="str">
        <x:v>CHG-S0-032</x:v>
      </x:c>
      <x:c r="B36" s="26" t="str">
        <x:v>2026-06-22</x:v>
      </x:c>
      <x:c r="C36" s="26" t="str">
        <x:v>Configuración</x:v>
      </x:c>
      <x:c r="D36" s="26"/>
      <x:c r="E36" s="26"/>
      <x:c r="F36" s="26" t="str">
        <x:v>Registro histórico</x:v>
      </x:c>
      <x:c r="G36" s="26" t="str">
        <x:v>VRM Games</x:v>
      </x:c>
      <x:c r="H36" s="26" t="str">
        <x:v>VRM Games</x:v>
      </x:c>
      <x:c r="I36" s="26" t="str">
        <x:v>P1</x:v>
      </x:c>
      <x:c r="J36" s="26"/>
      <x:c r="K36" s="26"/>
      <x:c r="L36" s="26"/>
      <x:c r="M36" s="26"/>
      <x:c r="N36" s="26"/>
      <x:c r="O36" s="26"/>
      <x:c r="P36" s="26"/>
      <x:c r="Q36" s="26"/>
      <x:c r="R36" s="26"/>
      <x:c r="S36" s="26" t="str">
        <x:v>No</x:v>
      </x:c>
      <x:c r="T36" s="26" t="str">
        <x:v>No</x:v>
      </x:c>
      <x:c r="U36" s="26" t="str">
        <x:v>Closed</x:v>
      </x:c>
      <x:c r="V36" s="26" t="str">
        <x:v>S0.10 pre-final script</x:v>
      </x:c>
      <x:c r="W36" s="26" t="str">
        <x:v>Accepted / Closed</x:v>
      </x:c>
      <x:c r="X36" s="26"/>
    </x:row>
    <x:row r="37" ht="30" customHeight="1">
      <x:c r="A37" s="26" t="str">
        <x:v>CHG-S0-033</x:v>
      </x:c>
      <x:c r="B37" s="26" t="str">
        <x:v>2026-06-22</x:v>
      </x:c>
      <x:c r="C37" s="26" t="str">
        <x:v>Paquetes</x:v>
      </x:c>
      <x:c r="D37" s="26"/>
      <x:c r="E37" s="26"/>
      <x:c r="F37" s="26" t="str">
        <x:v>Registro histórico</x:v>
      </x:c>
      <x:c r="G37" s="26" t="str">
        <x:v>VRM Games</x:v>
      </x:c>
      <x:c r="H37" s="26" t="str">
        <x:v>VRM Games</x:v>
      </x:c>
      <x:c r="I37" s="26" t="str">
        <x:v>P1</x:v>
      </x:c>
      <x:c r="J37" s="26"/>
      <x:c r="K37" s="26"/>
      <x:c r="L37" s="26"/>
      <x:c r="M37" s="26"/>
      <x:c r="N37" s="26"/>
      <x:c r="O37" s="26"/>
      <x:c r="P37" s="26"/>
      <x:c r="Q37" s="26"/>
      <x:c r="R37" s="26"/>
      <x:c r="S37" s="26" t="str">
        <x:v>No</x:v>
      </x:c>
      <x:c r="T37" s="26" t="str">
        <x:v>No</x:v>
      </x:c>
      <x:c r="U37" s="26" t="str">
        <x:v>Closed</x:v>
      </x:c>
      <x:c r="V37" s="26" t="str">
        <x:v>S0.10 pre-final script</x:v>
      </x:c>
      <x:c r="W37" s="26" t="str">
        <x:v>Accepted / Closed</x:v>
      </x:c>
      <x:c r="X37" s="26"/>
    </x:row>
    <x:row r="38" ht="30" customHeight="1">
      <x:c r="A38" s="26" t="str">
        <x:v>CHG-S0-034</x:v>
      </x:c>
      <x:c r="B38" s="26" t="str">
        <x:v>2026-06-22</x:v>
      </x:c>
      <x:c r="C38" s="26" t="str">
        <x:v>Corrección</x:v>
      </x:c>
      <x:c r="D38" s="26"/>
      <x:c r="E38" s="26"/>
      <x:c r="F38" s="26" t="str">
        <x:v>Registro histórico</x:v>
      </x:c>
      <x:c r="G38" s="26" t="str">
        <x:v>VRM Games</x:v>
      </x:c>
      <x:c r="H38" s="26" t="str">
        <x:v>VRM Games</x:v>
      </x:c>
      <x:c r="I38" s="26" t="str">
        <x:v>P1</x:v>
      </x:c>
      <x:c r="J38" s="26"/>
      <x:c r="K38" s="26"/>
      <x:c r="L38" s="26"/>
      <x:c r="M38" s="26"/>
      <x:c r="N38" s="26"/>
      <x:c r="O38" s="26"/>
      <x:c r="P38" s="26"/>
      <x:c r="Q38" s="26"/>
      <x:c r="R38" s="26"/>
      <x:c r="S38" s="26" t="str">
        <x:v>No</x:v>
      </x:c>
      <x:c r="T38" s="26" t="str">
        <x:v>No</x:v>
      </x:c>
      <x:c r="U38" s="26" t="str">
        <x:v>Closed</x:v>
      </x:c>
      <x:c r="V38" s="26" t="str">
        <x:v>S0.10 pre-final script</x:v>
      </x:c>
      <x:c r="W38" s="26" t="str">
        <x:v>Accepted / Closed</x:v>
      </x:c>
      <x:c r="X38" s="26"/>
    </x:row>
    <x:row r="39" ht="30" customHeight="1">
      <x:c r="A39" s="26" t="str">
        <x:v>CHG-S0-035</x:v>
      </x:c>
      <x:c r="B39" s="26" t="str">
        <x:v>2026-06-22</x:v>
      </x:c>
      <x:c r="C39" s="26" t="str">
        <x:v>Documentación</x:v>
      </x:c>
      <x:c r="D39" s="26"/>
      <x:c r="E39" s="26"/>
      <x:c r="F39" s="26" t="str">
        <x:v>Registro histórico</x:v>
      </x:c>
      <x:c r="G39" s="26" t="str">
        <x:v>VRM Games</x:v>
      </x:c>
      <x:c r="H39" s="26" t="str">
        <x:v>VRM Games</x:v>
      </x:c>
      <x:c r="I39" s="26" t="str">
        <x:v>P1</x:v>
      </x:c>
      <x:c r="J39" s="26"/>
      <x:c r="K39" s="26"/>
      <x:c r="L39" s="26"/>
      <x:c r="M39" s="26"/>
      <x:c r="N39" s="26"/>
      <x:c r="O39" s="26"/>
      <x:c r="P39" s="26"/>
      <x:c r="Q39" s="26"/>
      <x:c r="R39" s="26"/>
      <x:c r="S39" s="26" t="str">
        <x:v>No</x:v>
      </x:c>
      <x:c r="T39" s="26" t="str">
        <x:v>No</x:v>
      </x:c>
      <x:c r="U39" s="26" t="str">
        <x:v>Closed</x:v>
      </x:c>
      <x:c r="V39" s="26" t="str">
        <x:v>S0.10 pre-final package</x:v>
      </x:c>
      <x:c r="W39" s="26" t="str">
        <x:v>Accepted / Closed</x:v>
      </x:c>
      <x:c r="X39" s="26"/>
    </x:row>
    <x:row r="40" ht="30" customHeight="1">
      <x:c r="A40" s="26" t="str">
        <x:v>CHG-S0-036</x:v>
      </x:c>
      <x:c r="B40" s="26" t="str">
        <x:v>2026-06-22</x:v>
      </x:c>
      <x:c r="C40" s="26" t="str">
        <x:v>QA</x:v>
      </x:c>
      <x:c r="D40" s="26"/>
      <x:c r="E40" s="26"/>
      <x:c r="F40" s="26" t="str">
        <x:v>Registro histórico</x:v>
      </x:c>
      <x:c r="G40" s="26" t="str">
        <x:v>VRM Games</x:v>
      </x:c>
      <x:c r="H40" s="26" t="str">
        <x:v>VRM Games</x:v>
      </x:c>
      <x:c r="I40" s="26" t="str">
        <x:v>P1</x:v>
      </x:c>
      <x:c r="J40" s="26"/>
      <x:c r="K40" s="26"/>
      <x:c r="L40" s="26"/>
      <x:c r="M40" s="26"/>
      <x:c r="N40" s="26"/>
      <x:c r="O40" s="26"/>
      <x:c r="P40" s="26"/>
      <x:c r="Q40" s="26"/>
      <x:c r="R40" s="26"/>
      <x:c r="S40" s="26" t="str">
        <x:v>No</x:v>
      </x:c>
      <x:c r="T40" s="26" t="str">
        <x:v>No</x:v>
      </x:c>
      <x:c r="U40" s="26" t="str">
        <x:v>Closed</x:v>
      </x:c>
      <x:c r="V40" s="26" t="str">
        <x:v>Developer confirmation</x:v>
      </x:c>
      <x:c r="W40" s="26" t="str">
        <x:v>Accepted / Closed</x:v>
      </x:c>
      <x:c r="X40" s="26"/>
    </x:row>
    <x:row r="41" ht="30" customHeight="1">
      <x:c r="A41" s="26" t="str">
        <x:v>CHG-S0-037</x:v>
      </x:c>
      <x:c r="B41" s="26" t="str">
        <x:v>2026-06-22</x:v>
      </x:c>
      <x:c r="C41" s="26" t="str">
        <x:v>Build</x:v>
      </x:c>
      <x:c r="D41" s="26"/>
      <x:c r="E41" s="26"/>
      <x:c r="F41" s="26" t="str">
        <x:v>Registro histórico</x:v>
      </x:c>
      <x:c r="G41" s="26" t="str">
        <x:v>VRM Games</x:v>
      </x:c>
      <x:c r="H41" s="26" t="str">
        <x:v>VRM Games</x:v>
      </x:c>
      <x:c r="I41" s="26" t="str">
        <x:v>P0</x:v>
      </x:c>
      <x:c r="J41" s="26"/>
      <x:c r="K41" s="26"/>
      <x:c r="L41" s="26"/>
      <x:c r="M41" s="26"/>
      <x:c r="N41" s="26"/>
      <x:c r="O41" s="26"/>
      <x:c r="P41" s="26"/>
      <x:c r="Q41" s="26"/>
      <x:c r="R41" s="26"/>
      <x:c r="S41" s="26" t="str">
        <x:v>No</x:v>
      </x:c>
      <x:c r="T41" s="26" t="str">
        <x:v>No</x:v>
      </x:c>
      <x:c r="U41" s="26" t="str">
        <x:v>Closed</x:v>
      </x:c>
      <x:c r="V41" s="26" t="str">
        <x:v>SHA-256 897d85a00e5afd3d3d019ebf646f2128fa9a27e3bcfa8c50ec3e4ee56c3a2ad6</x:v>
      </x:c>
      <x:c r="W41" s="26" t="str">
        <x:v>Accepted / Closed</x:v>
      </x:c>
      <x:c r="X41" s="26"/>
    </x:row>
    <x:row r="42" ht="30" customHeight="1">
      <x:c r="A42" s="26" t="str">
        <x:v>CHG-S0-038</x:v>
      </x:c>
      <x:c r="B42" s="26" t="str">
        <x:v>2026-06-22</x:v>
      </x:c>
      <x:c r="C42" s="26" t="str">
        <x:v>QA</x:v>
      </x:c>
      <x:c r="D42" s="26"/>
      <x:c r="E42" s="26"/>
      <x:c r="F42" s="26" t="str">
        <x:v>Registro histórico</x:v>
      </x:c>
      <x:c r="G42" s="26" t="str">
        <x:v>VRM Games</x:v>
      </x:c>
      <x:c r="H42" s="26" t="str">
        <x:v>VRM Games</x:v>
      </x:c>
      <x:c r="I42" s="26" t="str">
        <x:v>P1</x:v>
      </x:c>
      <x:c r="J42" s="26"/>
      <x:c r="K42" s="26"/>
      <x:c r="L42" s="26"/>
      <x:c r="M42" s="26"/>
      <x:c r="N42" s="26"/>
      <x:c r="O42" s="26"/>
      <x:c r="P42" s="26"/>
      <x:c r="Q42" s="26"/>
      <x:c r="R42" s="26"/>
      <x:c r="S42" s="26" t="str">
        <x:v>No</x:v>
      </x:c>
      <x:c r="T42" s="26" t="str">
        <x:v>No</x:v>
      </x:c>
      <x:c r="U42" s="26" t="str">
        <x:v>Closed</x:v>
      </x:c>
      <x:c r="V42" s="26" t="str">
        <x:v>Developer confirmation</x:v>
      </x:c>
      <x:c r="W42" s="26" t="str">
        <x:v>Accepted / Closed</x:v>
      </x:c>
      <x:c r="X42" s="26"/>
    </x:row>
    <x:row r="43" ht="30" customHeight="1">
      <x:c r="A43" s="26" t="str">
        <x:v>CHG-S0-039</x:v>
      </x:c>
      <x:c r="B43" s="26" t="str">
        <x:v>2026-06-22</x:v>
      </x:c>
      <x:c r="C43" s="26" t="str">
        <x:v>Documentación</x:v>
      </x:c>
      <x:c r="D43" s="26"/>
      <x:c r="E43" s="26"/>
      <x:c r="F43" s="26" t="str">
        <x:v>Registro histórico</x:v>
      </x:c>
      <x:c r="G43" s="26" t="str">
        <x:v>VRM Games</x:v>
      </x:c>
      <x:c r="H43" s="26" t="str">
        <x:v>VRM Games</x:v>
      </x:c>
      <x:c r="I43" s="26" t="str">
        <x:v>P1</x:v>
      </x:c>
      <x:c r="J43" s="26"/>
      <x:c r="K43" s="26"/>
      <x:c r="L43" s="26"/>
      <x:c r="M43" s="26"/>
      <x:c r="N43" s="26"/>
      <x:c r="O43" s="26"/>
      <x:c r="P43" s="26"/>
      <x:c r="Q43" s="26"/>
      <x:c r="R43" s="26"/>
      <x:c r="S43" s="26" t="str">
        <x:v>No</x:v>
      </x:c>
      <x:c r="T43" s="26" t="str">
        <x:v>No</x:v>
      </x:c>
      <x:c r="U43" s="26" t="str">
        <x:v>Closed</x:v>
      </x:c>
      <x:c r="V43" s="26" t="str">
        <x:v>S0.10 final closure package</x:v>
      </x:c>
      <x:c r="W43" s="26" t="str">
        <x:v>Accepted / Closed</x:v>
      </x:c>
      <x:c r="X43" s="26"/>
    </x:row>
    <x:row r="44" ht="30" customHeight="1">
      <x:c r="A44" s="26" t="str">
        <x:v>CHG-S0-040</x:v>
      </x:c>
      <x:c r="B44" s="26" t="str">
        <x:v>2026-06-22</x:v>
      </x:c>
      <x:c r="C44" s="26" t="str">
        <x:v>Publicación</x:v>
      </x:c>
      <x:c r="D44" s="26"/>
      <x:c r="E44" s="26"/>
      <x:c r="F44" s="26" t="str">
        <x:v>Registro histórico</x:v>
      </x:c>
      <x:c r="G44" s="26" t="str">
        <x:v>VRM Games</x:v>
      </x:c>
      <x:c r="H44" s="26" t="str">
        <x:v>VRM Games</x:v>
      </x:c>
      <x:c r="I44" s="26" t="str">
        <x:v>P1</x:v>
      </x:c>
      <x:c r="J44" s="26"/>
      <x:c r="K44" s="26"/>
      <x:c r="L44" s="26"/>
      <x:c r="M44" s="26"/>
      <x:c r="N44" s="26"/>
      <x:c r="O44" s="26"/>
      <x:c r="P44" s="26" t="str">
        <x:v>478794017015054571d6ca22332a201589abbe5c</x:v>
      </x:c>
      <x:c r="Q44" s="26"/>
      <x:c r="R44" s="26"/>
      <x:c r="S44" s="26" t="str">
        <x:v>No</x:v>
      </x:c>
      <x:c r="T44" s="26" t="str">
        <x:v>No</x:v>
      </x:c>
      <x:c r="U44" s="26" t="str">
        <x:v>Closed</x:v>
      </x:c>
      <x:c r="V44" s="26" t="str">
        <x:v>Commit 478794017015054571d6ca22332a201589abbe5c</x:v>
      </x:c>
      <x:c r="W44" s="26" t="str">
        <x:v>Accepted / Closed</x:v>
      </x:c>
      <x:c r="X44" s="26"/>
    </x:row>
    <x:row r="45" ht="30" customHeight="1">
      <x:c r="A45" s="26" t="str">
        <x:v>CHG-S0-041</x:v>
      </x:c>
      <x:c r="B45" s="26" t="str">
        <x:v>2026-06-22</x:v>
      </x:c>
      <x:c r="C45" s="26" t="str">
        <x:v>Documentación</x:v>
      </x:c>
      <x:c r="D45" s="26"/>
      <x:c r="E45" s="26"/>
      <x:c r="F45" s="26" t="str">
        <x:v>Registro histórico</x:v>
      </x:c>
      <x:c r="G45" s="26" t="str">
        <x:v>VRM Games</x:v>
      </x:c>
      <x:c r="H45" s="26" t="str">
        <x:v>VRM Games</x:v>
      </x:c>
      <x:c r="I45" s="26" t="str">
        <x:v>P1</x:v>
      </x:c>
      <x:c r="J45" s="26"/>
      <x:c r="K45" s="26"/>
      <x:c r="L45" s="26"/>
      <x:c r="M45" s="26"/>
      <x:c r="N45" s="26"/>
      <x:c r="O45" s="26"/>
      <x:c r="P45" s="26"/>
      <x:c r="Q45" s="26"/>
      <x:c r="R45" s="26"/>
      <x:c r="S45" s="26" t="str">
        <x:v>No</x:v>
      </x:c>
      <x:c r="T45" s="26" t="str">
        <x:v>No</x:v>
      </x:c>
      <x:c r="U45" s="26" t="str">
        <x:v>Closed</x:v>
      </x:c>
      <x:c r="V45" s="26" t="str">
        <x:v>Post-publication fix package</x:v>
      </x:c>
      <x:c r="W45" s="26" t="str">
        <x:v>Accepted / Closed</x:v>
      </x:c>
      <x:c r="X45" s="26"/>
    </x:row>
    <x:row r="46" ht="30" customHeight="1">
      <x:c r="A46" s="26" t="str">
        <x:v>CHG-S1-001</x:v>
      </x:c>
      <x:c r="B46" s="26"/>
      <x:c r="C46" s="26" t="str">
        <x:v>Historical</x:v>
      </x:c>
      <x:c r="D46" s="26" t="str">
        <x:v>SceneFlow</x:v>
      </x:c>
      <x:c r="E46" s="26" t="str">
        <x:v>ApplicationRoot and navigation</x:v>
      </x:c>
      <x:c r="F46" s="26" t="str">
        <x:v>Registro v0.5.0</x:v>
      </x:c>
      <x:c r="G46" s="26" t="str">
        <x:v>VRM Games</x:v>
      </x:c>
      <x:c r="H46" s="26" t="str">
        <x:v>VRM Games</x:v>
      </x:c>
      <x:c r="I46" s="26" t="str">
        <x:v>P1</x:v>
      </x:c>
      <x:c r="J46" s="26" t="n">
        <x:v>1</x:v>
      </x:c>
      <x:c r="K46" s="26"/>
      <x:c r="L46" s="26"/>
      <x:c r="M46" s="26"/>
      <x:c r="N46" s="26"/>
      <x:c r="O46" s="26"/>
      <x:c r="P46" s="26"/>
      <x:c r="Q46" s="26"/>
      <x:c r="R46" s="26"/>
      <x:c r="S46" s="26" t="str">
        <x:v>No</x:v>
      </x:c>
      <x:c r="T46" s="26" t="str">
        <x:v>No</x:v>
      </x:c>
      <x:c r="U46" s="26" t="str">
        <x:v>Closed</x:v>
      </x:c>
      <x:c r="V46" s="26" t="str">
        <x:v>14/14</x:v>
      </x:c>
      <x:c r="W46" s="26" t="str">
        <x:v>Accepted / Closed</x:v>
      </x:c>
      <x:c r="X46" s="26"/>
    </x:row>
    <x:row r="47" ht="30" customHeight="1">
      <x:c r="A47" s="26" t="str">
        <x:v>CHG-S2-001</x:v>
      </x:c>
      <x:c r="B47" s="26"/>
      <x:c r="C47" s="26" t="str">
        <x:v>Historical</x:v>
      </x:c>
      <x:c r="D47" s="26" t="str">
        <x:v>Data</x:v>
      </x:c>
      <x:c r="E47" s="26" t="str">
        <x:v>Versioned save skeleton</x:v>
      </x:c>
      <x:c r="F47" s="26" t="str">
        <x:v>Registro v0.5.0</x:v>
      </x:c>
      <x:c r="G47" s="26" t="str">
        <x:v>VRM Games</x:v>
      </x:c>
      <x:c r="H47" s="26" t="str">
        <x:v>VRM Games</x:v>
      </x:c>
      <x:c r="I47" s="26" t="str">
        <x:v>P1</x:v>
      </x:c>
      <x:c r="J47" s="26" t="n">
        <x:v>2</x:v>
      </x:c>
      <x:c r="K47" s="26"/>
      <x:c r="L47" s="26"/>
      <x:c r="M47" s="26"/>
      <x:c r="N47" s="26"/>
      <x:c r="O47" s="26"/>
      <x:c r="P47" s="26"/>
      <x:c r="Q47" s="26"/>
      <x:c r="R47" s="26"/>
      <x:c r="S47" s="26" t="str">
        <x:v>No</x:v>
      </x:c>
      <x:c r="T47" s="26" t="str">
        <x:v>No</x:v>
      </x:c>
      <x:c r="U47" s="26" t="str">
        <x:v>Closed</x:v>
      </x:c>
      <x:c r="V47" s="26" t="str">
        <x:v>c55b5d04</x:v>
      </x:c>
      <x:c r="W47" s="26" t="str">
        <x:v>Accepted / Closed</x:v>
      </x:c>
      <x:c r="X47" s="26"/>
    </x:row>
    <x:row r="48" ht="30" customHeight="1">
      <x:c r="A48" s="26" t="str">
        <x:v>CHG-S3-001</x:v>
      </x:c>
      <x:c r="B48" s="26"/>
      <x:c r="C48" s="26" t="str">
        <x:v>Historical</x:v>
      </x:c>
      <x:c r="D48" s="26" t="str">
        <x:v>Input/Control</x:v>
      </x:c>
      <x:c r="E48" s="26" t="str">
        <x:v>Contexts, movement and camera</x:v>
      </x:c>
      <x:c r="F48" s="26" t="str">
        <x:v>Registro v0.5.0</x:v>
      </x:c>
      <x:c r="G48" s="26" t="str">
        <x:v>VRM Games</x:v>
      </x:c>
      <x:c r="H48" s="26" t="str">
        <x:v>VRM Games</x:v>
      </x:c>
      <x:c r="I48" s="26" t="str">
        <x:v>P1</x:v>
      </x:c>
      <x:c r="J48" s="26" t="n">
        <x:v>3</x:v>
      </x:c>
      <x:c r="K48" s="26"/>
      <x:c r="L48" s="26"/>
      <x:c r="M48" s="26"/>
      <x:c r="N48" s="26"/>
      <x:c r="O48" s="26"/>
      <x:c r="P48" s="26"/>
      <x:c r="Q48" s="26"/>
      <x:c r="R48" s="26"/>
      <x:c r="S48" s="26" t="str">
        <x:v>No</x:v>
      </x:c>
      <x:c r="T48" s="26" t="str">
        <x:v>No</x:v>
      </x:c>
      <x:c r="U48" s="26" t="str">
        <x:v>Closed</x:v>
      </x:c>
      <x:c r="V48" s="26" t="str">
        <x:v>fe3f83ce</x:v>
      </x:c>
      <x:c r="W48" s="26" t="str">
        <x:v>Accepted / Closed</x:v>
      </x:c>
      <x:c r="X48" s="26"/>
    </x:row>
    <x:row r="49" ht="30" customHeight="1">
      <x:c r="A49" s="26" t="str">
        <x:v>CHG-S4-001</x:v>
      </x:c>
      <x:c r="B49" s="26"/>
      <x:c r="C49" s="26" t="str">
        <x:v>Historical</x:v>
      </x:c>
      <x:c r="D49" s="26" t="str">
        <x:v>Placement</x:v>
      </x:c>
      <x:c r="E49" s="26" t="str">
        <x:v>Grid, preview and occupancy</x:v>
      </x:c>
      <x:c r="F49" s="26" t="str">
        <x:v>Registro v0.5.0</x:v>
      </x:c>
      <x:c r="G49" s="26" t="str">
        <x:v>VRM Games</x:v>
      </x:c>
      <x:c r="H49" s="26" t="str">
        <x:v>VRM Games</x:v>
      </x:c>
      <x:c r="I49" s="26" t="str">
        <x:v>P1</x:v>
      </x:c>
      <x:c r="J49" s="26" t="n">
        <x:v>4</x:v>
      </x:c>
      <x:c r="K49" s="26"/>
      <x:c r="L49" s="26"/>
      <x:c r="M49" s="26"/>
      <x:c r="N49" s="26"/>
      <x:c r="O49" s="26"/>
      <x:c r="P49" s="26"/>
      <x:c r="Q49" s="26"/>
      <x:c r="R49" s="26"/>
      <x:c r="S49" s="26" t="str">
        <x:v>No</x:v>
      </x:c>
      <x:c r="T49" s="26" t="str">
        <x:v>No</x:v>
      </x:c>
      <x:c r="U49" s="26" t="str">
        <x:v>Closed</x:v>
      </x:c>
      <x:c r="V49" s="26" t="str">
        <x:v>bcf8cdd3</x:v>
      </x:c>
      <x:c r="W49" s="26" t="str">
        <x:v>Accepted / Closed</x:v>
      </x:c>
      <x:c r="X49" s="26"/>
    </x:row>
    <x:row r="50" ht="30" customHeight="1">
      <x:c r="A50" s="26" t="str">
        <x:v>CHG-S5-001</x:v>
      </x:c>
      <x:c r="B50" s="26"/>
      <x:c r="C50" s="26" t="str">
        <x:v>Historical</x:v>
      </x:c>
      <x:c r="D50" s="26" t="str">
        <x:v>Store</x:v>
      </x:c>
      <x:c r="E50" s="26" t="str">
        <x:v>Shell, access and construction</x:v>
      </x:c>
      <x:c r="F50" s="26" t="str">
        <x:v>Registro v0.5.0</x:v>
      </x:c>
      <x:c r="G50" s="26" t="str">
        <x:v>VRM Games</x:v>
      </x:c>
      <x:c r="H50" s="26" t="str">
        <x:v>VRM Games</x:v>
      </x:c>
      <x:c r="I50" s="26" t="str">
        <x:v>P1</x:v>
      </x:c>
      <x:c r="J50" s="26" t="n">
        <x:v>5</x:v>
      </x:c>
      <x:c r="K50" s="26"/>
      <x:c r="L50" s="26"/>
      <x:c r="M50" s="26"/>
      <x:c r="N50" s="26"/>
      <x:c r="O50" s="26"/>
      <x:c r="P50" s="26"/>
      <x:c r="Q50" s="26"/>
      <x:c r="R50" s="26"/>
      <x:c r="S50" s="26" t="str">
        <x:v>No</x:v>
      </x:c>
      <x:c r="T50" s="26" t="str">
        <x:v>No</x:v>
      </x:c>
      <x:c r="U50" s="26" t="str">
        <x:v>Closed</x:v>
      </x:c>
      <x:c r="V50" s="26" t="str">
        <x:v>22d62967</x:v>
      </x:c>
      <x:c r="W50" s="26" t="str">
        <x:v>Accepted / Closed</x:v>
      </x:c>
      <x:c r="X50" s="26"/>
    </x:row>
    <x:row r="51" ht="30" customHeight="1">
      <x:c r="A51" s="26" t="str">
        <x:v>CHG-S5-DOC</x:v>
      </x:c>
      <x:c r="B51" s="26"/>
      <x:c r="C51" s="26" t="str">
        <x:v>Historical</x:v>
      </x:c>
      <x:c r="D51" s="26" t="str">
        <x:v>Documentation</x:v>
      </x:c>
      <x:c r="E51" s="26" t="str">
        <x:v>Sprint 5 documentation closure</x:v>
      </x:c>
      <x:c r="F51" s="26" t="str">
        <x:v>Registro v0.5.0</x:v>
      </x:c>
      <x:c r="G51" s="26" t="str">
        <x:v>VRM Games</x:v>
      </x:c>
      <x:c r="H51" s="26" t="str">
        <x:v>VRM Games</x:v>
      </x:c>
      <x:c r="I51" s="26" t="str">
        <x:v>P1</x:v>
      </x:c>
      <x:c r="J51" s="26" t="n">
        <x:v>5</x:v>
      </x:c>
      <x:c r="K51" s="26"/>
      <x:c r="L51" s="26"/>
      <x:c r="M51" s="26"/>
      <x:c r="N51" s="26"/>
      <x:c r="O51" s="26"/>
      <x:c r="P51" s="26"/>
      <x:c r="Q51" s="26"/>
      <x:c r="R51" s="26"/>
      <x:c r="S51" s="26" t="str">
        <x:v>No</x:v>
      </x:c>
      <x:c r="T51" s="26" t="str">
        <x:v>No</x:v>
      </x:c>
      <x:c r="U51" s="26" t="str">
        <x:v>Closed</x:v>
      </x:c>
      <x:c r="V51" s="26" t="str">
        <x:v>b650aa59</x:v>
      </x:c>
      <x:c r="W51" s="26" t="str">
        <x:v>Accepted / Closed</x:v>
      </x:c>
      <x:c r="X51" s="26"/>
    </x:row>
    <x:row r="52" ht="30" customHeight="1">
      <x:c r="A52" s="26" t="str">
        <x:v>CHG-S6-001</x:v>
      </x:c>
      <x:c r="B52" s="26"/>
      <x:c r="C52" s="26" t="str">
        <x:v>Historical</x:v>
      </x:c>
      <x:c r="D52" s="26" t="str">
        <x:v>Inventory</x:v>
      </x:c>
      <x:c r="E52" s="26" t="str">
        <x:v>Product definitions</x:v>
      </x:c>
      <x:c r="F52" s="26" t="str">
        <x:v>Registro v0.5.0</x:v>
      </x:c>
      <x:c r="G52" s="26" t="str">
        <x:v>VRM Games</x:v>
      </x:c>
      <x:c r="H52" s="26" t="str">
        <x:v>VRM Games</x:v>
      </x:c>
      <x:c r="I52" s="26" t="str">
        <x:v>P1</x:v>
      </x:c>
      <x:c r="J52" s="26" t="n">
        <x:v>6</x:v>
      </x:c>
      <x:c r="K52" s="26"/>
      <x:c r="L52" s="26"/>
      <x:c r="M52" s="26"/>
      <x:c r="N52" s="26"/>
      <x:c r="O52" s="26"/>
      <x:c r="P52" s="26"/>
      <x:c r="Q52" s="26"/>
      <x:c r="R52" s="26"/>
      <x:c r="S52" s="26" t="str">
        <x:v>No</x:v>
      </x:c>
      <x:c r="T52" s="26" t="str">
        <x:v>No</x:v>
      </x:c>
      <x:c r="U52" s="26" t="str">
        <x:v>Proposed</x:v>
      </x:c>
      <x:c r="V52" s="26"/>
      <x:c r="W52" s="26"/>
      <x:c r="X52" s="26"/>
    </x:row>
    <x:row r="53" ht="30" customHeight="1">
      <x:c r="A53" s="26" t="str">
        <x:v>CHG-S6-002</x:v>
      </x:c>
      <x:c r="B53" s="26"/>
      <x:c r="C53" s="26" t="str">
        <x:v>Historical</x:v>
      </x:c>
      <x:c r="D53" s="26" t="str">
        <x:v>Inventory</x:v>
      </x:c>
      <x:c r="E53" s="26" t="str">
        <x:v>Containers and quantities</x:v>
      </x:c>
      <x:c r="F53" s="26" t="str">
        <x:v>Registro v0.5.0</x:v>
      </x:c>
      <x:c r="G53" s="26" t="str">
        <x:v>VRM Games</x:v>
      </x:c>
      <x:c r="H53" s="26" t="str">
        <x:v>VRM Games</x:v>
      </x:c>
      <x:c r="I53" s="26" t="str">
        <x:v>P1</x:v>
      </x:c>
      <x:c r="J53" s="26" t="n">
        <x:v>6</x:v>
      </x:c>
      <x:c r="K53" s="26"/>
      <x:c r="L53" s="26"/>
      <x:c r="M53" s="26"/>
      <x:c r="N53" s="26"/>
      <x:c r="O53" s="26"/>
      <x:c r="P53" s="26"/>
      <x:c r="Q53" s="26"/>
      <x:c r="R53" s="26"/>
      <x:c r="S53" s="26" t="str">
        <x:v>No</x:v>
      </x:c>
      <x:c r="T53" s="26" t="str">
        <x:v>No</x:v>
      </x:c>
      <x:c r="U53" s="26" t="str">
        <x:v>Proposed</x:v>
      </x:c>
      <x:c r="V53" s="26"/>
      <x:c r="W53" s="26"/>
      <x:c r="X53" s="26"/>
    </x:row>
    <x:row r="54" ht="30" customHeight="1">
      <x:c r="A54" s="26" t="str">
        <x:v>CHG-S6-003</x:v>
      </x:c>
      <x:c r="B54" s="26"/>
      <x:c r="C54" s="26" t="str">
        <x:v>Historical</x:v>
      </x:c>
      <x:c r="D54" s="26" t="str">
        <x:v>Inventory</x:v>
      </x:c>
      <x:c r="E54" s="26" t="str">
        <x:v>Atomic transfers</x:v>
      </x:c>
      <x:c r="F54" s="26" t="str">
        <x:v>Registro v0.5.0</x:v>
      </x:c>
      <x:c r="G54" s="26" t="str">
        <x:v>VRM Games</x:v>
      </x:c>
      <x:c r="H54" s="26" t="str">
        <x:v>VRM Games</x:v>
      </x:c>
      <x:c r="I54" s="26" t="str">
        <x:v>P1</x:v>
      </x:c>
      <x:c r="J54" s="26" t="n">
        <x:v>6</x:v>
      </x:c>
      <x:c r="K54" s="26"/>
      <x:c r="L54" s="26"/>
      <x:c r="M54" s="26"/>
      <x:c r="N54" s="26"/>
      <x:c r="O54" s="26"/>
      <x:c r="P54" s="26"/>
      <x:c r="Q54" s="26"/>
      <x:c r="R54" s="26"/>
      <x:c r="S54" s="26" t="str">
        <x:v>No</x:v>
      </x:c>
      <x:c r="T54" s="26" t="str">
        <x:v>No</x:v>
      </x:c>
      <x:c r="U54" s="26" t="str">
        <x:v>Proposed</x:v>
      </x:c>
      <x:c r="V54" s="26"/>
      <x:c r="W54" s="26"/>
      <x:c r="X54" s="26"/>
    </x:row>
    <x:row r="55" ht="30" customHeight="1">
      <x:c r="A55" s="26" t="str">
        <x:v>CHG-STORE-001</x:v>
      </x:c>
      <x:c r="B55" s="26" t="str">
        <x:v>2026-06-25</x:v>
      </x:c>
      <x:c r="C55" s="26" t="str">
        <x:v>Scope</x:v>
      </x:c>
      <x:c r="D55" s="26" t="str">
        <x:v>Store</x:v>
      </x:c>
      <x:c r="E55" s="26" t="str">
        <x:v>Ampliar tienda inicial a aproximadamente 10×15 m y grid 20×30.</x:v>
      </x:c>
      <x:c r="F55" s="26" t="str">
        <x:v>Validación de escala y flujo</x:v>
      </x:c>
      <x:c r="G55" s="26" t="str">
        <x:v>VRM Games</x:v>
      </x:c>
      <x:c r="H55" s="26" t="str">
        <x:v>VRM Games</x:v>
      </x:c>
      <x:c r="I55" s="26" t="str">
        <x:v>P0</x:v>
      </x:c>
      <x:c r="J55" s="26" t="n">
        <x:v>5</x:v>
      </x:c>
      <x:c r="K55" s="26" t="str">
        <x:v>0.0.6</x:v>
      </x:c>
      <x:c r="L55" s="26" t="str">
        <x:v>VS-SCN-002</x:v>
      </x:c>
      <x:c r="M55" s="26" t="str">
        <x:v>00;01;02;05;06</x:v>
      </x:c>
      <x:c r="N55" s="26" t="str">
        <x:v>Store.unity</x:v>
      </x:c>
      <x:c r="O55" s="26" t="str">
        <x:v>ADR-0020</x:v>
      </x:c>
      <x:c r="P55" s="26"/>
      <x:c r="Q55" s="26" t="str">
        <x:v>Store/access tests</x:v>
      </x:c>
      <x:c r="R55" s="26" t="str">
        <x:v>BLD-S05</x:v>
      </x:c>
      <x:c r="S55" s="26" t="str">
        <x:v>No</x:v>
      </x:c>
      <x:c r="T55" s="26" t="str">
        <x:v>Sí</x:v>
      </x:c>
      <x:c r="U55" s="26" t="str">
        <x:v>Closed</x:v>
      </x:c>
      <x:c r="V55" s="26"/>
      <x:c r="W55" s="26" t="str">
        <x:v>Accepted / Closed</x:v>
      </x:c>
      <x:c r="X55" s="26"/>
    </x:row>
    <x:row r="56" ht="30" customHeight="1">
      <x:c r="A56" s="26" t="str">
        <x:v>CHG-STORE-002</x:v>
      </x:c>
      <x:c r="B56" s="26" t="str">
        <x:v>2026-07-01</x:v>
      </x:c>
      <x:c r="C56" s="26" t="str">
        <x:v>Architecture</x:v>
      </x:c>
      <x:c r="D56" s="26" t="str">
        <x:v>Scene</x:v>
      </x:c>
      <x:c r="E56" s="26" t="str">
        <x:v>Sustituir progresivamente Store por StoreInitial autorada.</x:v>
      </x:c>
      <x:c r="F56" s="26" t="str">
        <x:v>Aprobación visual y mantenibilidad</x:v>
      </x:c>
      <x:c r="G56" s="26" t="str">
        <x:v>VRM Games</x:v>
      </x:c>
      <x:c r="H56" s="26" t="str">
        <x:v>VRM Games</x:v>
      </x:c>
      <x:c r="I56" s="26" t="str">
        <x:v>P0</x:v>
      </x:c>
      <x:c r="J56" s="26" t="n">
        <x:v>16</x:v>
      </x:c>
      <x:c r="K56" s="26" t="str">
        <x:v>0.0.17</x:v>
      </x:c>
      <x:c r="L56" s="26" t="str">
        <x:v>VS-SCN-001</x:v>
      </x:c>
      <x:c r="M56" s="26" t="str">
        <x:v>02;03;05;06;10;11;12</x:v>
      </x:c>
      <x:c r="N56" s="26" t="str">
        <x:v>StoreInitial.unity;StoreInitialEnvironment.prefab</x:v>
      </x:c>
      <x:c r="O56" s="26" t="str">
        <x:v>ADR-0035-S16</x:v>
      </x:c>
      <x:c r="P56" s="26"/>
      <x:c r="Q56" s="26" t="str">
        <x:v>Scene tests;Golden Path</x:v>
      </x:c>
      <x:c r="R56" s="26" t="str">
        <x:v>BLD-016-POST</x:v>
      </x:c>
      <x:c r="S56" s="26" t="str">
        <x:v>No</x:v>
      </x:c>
      <x:c r="T56" s="26" t="str">
        <x:v>No</x:v>
      </x:c>
      <x:c r="U56" s="26" t="str">
        <x:v>In Progress</x:v>
      </x:c>
      <x:c r="V56" s="26"/>
      <x:c r="W56" s="26"/>
      <x:c r="X56" s="26"/>
    </x:row>
    <x:row r="57" ht="30" customHeight="1">
      <x:c r="A57" s="26" t="str">
        <x:v>CHG-SAVE-001</x:v>
      </x:c>
      <x:c r="B57" s="26" t="str">
        <x:v>2026-06-23</x:v>
      </x:c>
      <x:c r="C57" s="26" t="str">
        <x:v>Data</x:v>
      </x:c>
      <x:c r="D57" s="26" t="str">
        <x:v>Persistence</x:v>
      </x:c>
      <x:c r="E57" s="26" t="str">
        <x:v>Introducir GameSessionSnapshot schema 1.</x:v>
      </x:c>
      <x:c r="F57" s="26" t="str">
        <x:v>Save skeleton</x:v>
      </x:c>
      <x:c r="G57" s="26" t="str">
        <x:v>VRM Games</x:v>
      </x:c>
      <x:c r="H57" s="26" t="str">
        <x:v>VRM Games</x:v>
      </x:c>
      <x:c r="I57" s="26" t="str">
        <x:v>P0</x:v>
      </x:c>
      <x:c r="J57" s="26" t="n">
        <x:v>2</x:v>
      </x:c>
      <x:c r="K57" s="26" t="str">
        <x:v>0.0.3</x:v>
      </x:c>
      <x:c r="L57" s="26" t="str">
        <x:v>VS-SAV-001</x:v>
      </x:c>
      <x:c r="M57" s="26" t="str">
        <x:v>03;04;07</x:v>
      </x:c>
      <x:c r="N57" s="26" t="str">
        <x:v>GameSessionSnapshot</x:v>
      </x:c>
      <x:c r="O57" s="26" t="str">
        <x:v>ADR-0011</x:v>
      </x:c>
      <x:c r="P57" s="26"/>
      <x:c r="Q57" s="26" t="str">
        <x:v>EditMode</x:v>
      </x:c>
      <x:c r="R57" s="26" t="str">
        <x:v>BLD-S02</x:v>
      </x:c>
      <x:c r="S57" s="26" t="str">
        <x:v>Sí</x:v>
      </x:c>
      <x:c r="T57" s="26" t="str">
        <x:v>No</x:v>
      </x:c>
      <x:c r="U57" s="26" t="str">
        <x:v>Closed</x:v>
      </x:c>
      <x:c r="V57" s="26"/>
      <x:c r="W57" s="26" t="str">
        <x:v>Accepted / Closed</x:v>
      </x:c>
      <x:c r="X57" s="26"/>
    </x:row>
    <x:row r="58" ht="30" customHeight="1">
      <x:c r="A58" s="26" t="str">
        <x:v>CHG-SAVE-002</x:v>
      </x:c>
      <x:c r="B58" s="26" t="str">
        <x:v>2026-06-30</x:v>
      </x:c>
      <x:c r="C58" s="26" t="str">
        <x:v>Data</x:v>
      </x:c>
      <x:c r="D58" s="26" t="str">
        <x:v>Persistence</x:v>
      </x:c>
      <x:c r="E58" s="26" t="str">
        <x:v>Introducir IntegratedGameStateSnapshot schema 2.</x:v>
      </x:c>
      <x:c r="F58" s="26" t="str">
        <x:v>Persistencia completa del slice</x:v>
      </x:c>
      <x:c r="G58" s="26" t="str">
        <x:v>VRM Games</x:v>
      </x:c>
      <x:c r="H58" s="26" t="str">
        <x:v>VRM Games</x:v>
      </x:c>
      <x:c r="I58" s="26" t="str">
        <x:v>P0</x:v>
      </x:c>
      <x:c r="J58" s="26" t="n">
        <x:v>14</x:v>
      </x:c>
      <x:c r="K58" s="26" t="str">
        <x:v>0.0.15</x:v>
      </x:c>
      <x:c r="L58" s="26" t="str">
        <x:v>VS-SAV-002</x:v>
      </x:c>
      <x:c r="M58" s="26" t="str">
        <x:v>03;04;07;11</x:v>
      </x:c>
      <x:c r="N58" s="26" t="str">
        <x:v>IntegratedGameStateSnapshot</x:v>
      </x:c>
      <x:c r="O58" s="26" t="str">
        <x:v>ADR-0056</x:v>
      </x:c>
      <x:c r="P58" s="26"/>
      <x:c r="Q58" s="26" t="str">
        <x:v>Save regression</x:v>
      </x:c>
      <x:c r="R58" s="26" t="str">
        <x:v>BLD-S14</x:v>
      </x:c>
      <x:c r="S58" s="26" t="str">
        <x:v>Sí</x:v>
      </x:c>
      <x:c r="T58" s="26" t="str">
        <x:v>No</x:v>
      </x:c>
      <x:c r="U58" s="26" t="str">
        <x:v>Closed</x:v>
      </x:c>
      <x:c r="V58" s="26"/>
      <x:c r="W58" s="26" t="str">
        <x:v>Accepted / Closed</x:v>
      </x:c>
      <x:c r="X58" s="26"/>
    </x:row>
    <x:row r="59" ht="30" customHeight="1">
      <x:c r="A59" s="26" t="str">
        <x:v>CHG-INV-001</x:v>
      </x:c>
      <x:c r="B59" s="26" t="str">
        <x:v>2026-06-26</x:v>
      </x:c>
      <x:c r="C59" s="26" t="str">
        <x:v>Architecture</x:v>
      </x:c>
      <x:c r="D59" s="26" t="str">
        <x:v>Inventory</x:v>
      </x:c>
      <x:c r="E59" s="26" t="str">
        <x:v>Adoptar transferencias atómicas de inventario.</x:v>
      </x:c>
      <x:c r="F59" s="26" t="str">
        <x:v>Evitar pérdida y duplicación</x:v>
      </x:c>
      <x:c r="G59" s="26" t="str">
        <x:v>VRM Games</x:v>
      </x:c>
      <x:c r="H59" s="26" t="str">
        <x:v>VRM Games</x:v>
      </x:c>
      <x:c r="I59" s="26" t="str">
        <x:v>P0</x:v>
      </x:c>
      <x:c r="J59" s="26" t="n">
        <x:v>6</x:v>
      </x:c>
      <x:c r="K59" s="26" t="str">
        <x:v>0.0.7</x:v>
      </x:c>
      <x:c r="L59" s="26" t="str">
        <x:v>VS-INV-004</x:v>
      </x:c>
      <x:c r="M59" s="26" t="str">
        <x:v>03;04;07;09</x:v>
      </x:c>
      <x:c r="N59" s="26" t="str">
        <x:v>InventoryTransferService</x:v>
      </x:c>
      <x:c r="O59" s="26" t="str">
        <x:v>ADR-0025</x:v>
      </x:c>
      <x:c r="P59" s="26"/>
      <x:c r="Q59" s="26" t="str">
        <x:v>Invariant tests</x:v>
      </x:c>
      <x:c r="R59" s="26" t="str">
        <x:v>BLD-S06</x:v>
      </x:c>
      <x:c r="S59" s="26" t="str">
        <x:v>No</x:v>
      </x:c>
      <x:c r="T59" s="26" t="str">
        <x:v>No</x:v>
      </x:c>
      <x:c r="U59" s="26" t="str">
        <x:v>Closed</x:v>
      </x:c>
      <x:c r="V59" s="26"/>
      <x:c r="W59" s="26" t="str">
        <x:v>Accepted / Closed</x:v>
      </x:c>
      <x:c r="X59" s="26"/>
    </x:row>
    <x:row r="60" ht="30" customHeight="1">
      <x:c r="A60" s="26" t="str">
        <x:v>CHG-CHK-001</x:v>
      </x:c>
      <x:c r="B60" s="26" t="str">
        <x:v>2026-06-29</x:v>
      </x:c>
      <x:c r="C60" s="26" t="str">
        <x:v>Architecture</x:v>
      </x:c>
      <x:c r="D60" s="26" t="str">
        <x:v>Checkout</x:v>
      </x:c>
      <x:c r="E60" s="26" t="str">
        <x:v>Checkout con preflight, commit e idempotencia.</x:v>
      </x:c>
      <x:c r="F60" s="26" t="str">
        <x:v>Evitar ventas parciales o dobles</x:v>
      </x:c>
      <x:c r="G60" s="26" t="str">
        <x:v>VRM Games</x:v>
      </x:c>
      <x:c r="H60" s="26" t="str">
        <x:v>VRM Games</x:v>
      </x:c>
      <x:c r="I60" s="26" t="str">
        <x:v>P0</x:v>
      </x:c>
      <x:c r="J60" s="26" t="n">
        <x:v>11</x:v>
      </x:c>
      <x:c r="K60" s="26" t="str">
        <x:v>0.0.12</x:v>
      </x:c>
      <x:c r="L60" s="26" t="str">
        <x:v>VS-CHK-002</x:v>
      </x:c>
      <x:c r="M60" s="26" t="str">
        <x:v>03;04;07;09</x:v>
      </x:c>
      <x:c r="N60" s="26" t="str">
        <x:v>CheckoutService</x:v>
      </x:c>
      <x:c r="O60" s="26" t="str">
        <x:v>ADR-0044;ADR-0045</x:v>
      </x:c>
      <x:c r="P60" s="26"/>
      <x:c r="Q60" s="26" t="str">
        <x:v>Checkout tests</x:v>
      </x:c>
      <x:c r="R60" s="26" t="str">
        <x:v>BLD-S11</x:v>
      </x:c>
      <x:c r="S60" s="26" t="str">
        <x:v>No</x:v>
      </x:c>
      <x:c r="T60" s="26" t="str">
        <x:v>No</x:v>
      </x:c>
      <x:c r="U60" s="26" t="str">
        <x:v>Closed</x:v>
      </x:c>
      <x:c r="V60" s="26"/>
      <x:c r="W60" s="26" t="str">
        <x:v>Accepted / Closed</x:v>
      </x:c>
      <x:c r="X60" s="26"/>
    </x:row>
    <x:row r="61" ht="30" customHeight="1">
      <x:c r="A61" s="26" t="str">
        <x:v>CHG-ECO-001</x:v>
      </x:c>
      <x:c r="B61" s="26" t="str">
        <x:v>2026-06-29</x:v>
      </x:c>
      <x:c r="C61" s="26" t="str">
        <x:v>Data</x:v>
      </x:c>
      <x:c r="D61" s="26" t="str">
        <x:v>Economy</x:v>
      </x:c>
      <x:c r="E61" s="26" t="str">
        <x:v>Representar dinero en unidades menores enteras.</x:v>
      </x:c>
      <x:c r="F61" s="26" t="str">
        <x:v>Exactitud monetaria</x:v>
      </x:c>
      <x:c r="G61" s="26" t="str">
        <x:v>VRM Games</x:v>
      </x:c>
      <x:c r="H61" s="26" t="str">
        <x:v>VRM Games</x:v>
      </x:c>
      <x:c r="I61" s="26" t="str">
        <x:v>P0</x:v>
      </x:c>
      <x:c r="J61" s="26" t="n">
        <x:v>13</x:v>
      </x:c>
      <x:c r="K61" s="26" t="str">
        <x:v>0.0.14</x:v>
      </x:c>
      <x:c r="L61" s="26" t="str">
        <x:v>VS-ECO-002</x:v>
      </x:c>
      <x:c r="M61" s="26" t="str">
        <x:v>03;04;07;09</x:v>
      </x:c>
      <x:c r="N61" s="26" t="str">
        <x:v>Money/ledger</x:v>
      </x:c>
      <x:c r="O61" s="26" t="str">
        <x:v>ADR-0051;ADR-0054</x:v>
      </x:c>
      <x:c r="P61" s="26"/>
      <x:c r="Q61" s="26" t="str">
        <x:v>Economy tests</x:v>
      </x:c>
      <x:c r="R61" s="26" t="str">
        <x:v>BLD-S13</x:v>
      </x:c>
      <x:c r="S61" s="26" t="str">
        <x:v>Sí</x:v>
      </x:c>
      <x:c r="T61" s="26" t="str">
        <x:v>No</x:v>
      </x:c>
      <x:c r="U61" s="26" t="str">
        <x:v>Closed</x:v>
      </x:c>
      <x:c r="V61" s="26"/>
      <x:c r="W61" s="26" t="str">
        <x:v>Accepted / Closed</x:v>
      </x:c>
      <x:c r="X61" s="26"/>
    </x:row>
    <x:row r="62" ht="30" customHeight="1">
      <x:c r="A62" s="26" t="str">
        <x:v>CHG-SAVE-003</x:v>
      </x:c>
      <x:c r="B62" s="26" t="str">
        <x:v>2026-06-30</x:v>
      </x:c>
      <x:c r="C62" s="26" t="str">
        <x:v>Architecture</x:v>
      </x:c>
      <x:c r="D62" s="26" t="str">
        <x:v>Persistence</x:v>
      </x:c>
      <x:c r="E62" s="26" t="str">
        <x:v>Escritura validada atómica, backup primero y restore en dos fases.</x:v>
      </x:c>
      <x:c r="F62" s="26" t="str">
        <x:v>Recuperación segura</x:v>
      </x:c>
      <x:c r="G62" s="26" t="str">
        <x:v>VRM Games</x:v>
      </x:c>
      <x:c r="H62" s="26" t="str">
        <x:v>VRM Games</x:v>
      </x:c>
      <x:c r="I62" s="26" t="str">
        <x:v>P0</x:v>
      </x:c>
      <x:c r="J62" s="26" t="n">
        <x:v>14</x:v>
      </x:c>
      <x:c r="K62" s="26" t="str">
        <x:v>0.0.15</x:v>
      </x:c>
      <x:c r="L62" s="26" t="str">
        <x:v>VS-SAV-003</x:v>
      </x:c>
      <x:c r="M62" s="26" t="str">
        <x:v>03;04;07;09;11</x:v>
      </x:c>
      <x:c r="N62" s="26" t="str">
        <x:v>SaveRepository</x:v>
      </x:c>
      <x:c r="O62" s="26" t="str">
        <x:v>ADR-0057;ADR-0059;ADR-0060</x:v>
      </x:c>
      <x:c r="P62" s="26"/>
      <x:c r="Q62" s="26" t="str">
        <x:v>Fault injection</x:v>
      </x:c>
      <x:c r="R62" s="26" t="str">
        <x:v>BLD-S14</x:v>
      </x:c>
      <x:c r="S62" s="26" t="str">
        <x:v>Sí</x:v>
      </x:c>
      <x:c r="T62" s="26" t="str">
        <x:v>No</x:v>
      </x:c>
      <x:c r="U62" s="26" t="str">
        <x:v>Closed</x:v>
      </x:c>
      <x:c r="V62" s="26"/>
      <x:c r="W62" s="26" t="str">
        <x:v>Accepted / Closed</x:v>
      </x:c>
      <x:c r="X62" s="26"/>
    </x:row>
    <x:row r="63" ht="30" customHeight="1">
      <x:c r="A63" s="26" t="str">
        <x:v>CHG-INPUT-001</x:v>
      </x:c>
      <x:c r="B63" s="26" t="str">
        <x:v>2026-06-30</x:v>
      </x:c>
      <x:c r="C63" s="26" t="str">
        <x:v>Architecture</x:v>
      </x:c>
      <x:c r="D63" s="26" t="str">
        <x:v>Input/UI</x:v>
      </x:c>
      <x:c r="E63" s="26" t="str">
        <x:v>Input exclusivo: UI impide acciones de mundo.</x:v>
      </x:c>
      <x:c r="F63" s="26" t="str">
        <x:v>Evitar doble consumo</x:v>
      </x:c>
      <x:c r="G63" s="26" t="str">
        <x:v>VRM Games</x:v>
      </x:c>
      <x:c r="H63" s="26" t="str">
        <x:v>VRM Games</x:v>
      </x:c>
      <x:c r="I63" s="26" t="str">
        <x:v>P0</x:v>
      </x:c>
      <x:c r="J63" s="26" t="n">
        <x:v>15</x:v>
      </x:c>
      <x:c r="K63" s="26" t="str">
        <x:v>0.0.16</x:v>
      </x:c>
      <x:c r="L63" s="26" t="str">
        <x:v>VS-INP-001</x:v>
      </x:c>
      <x:c r="M63" s="26" t="str">
        <x:v>03;05;07;09</x:v>
      </x:c>
      <x:c r="N63" s="26" t="str">
        <x:v>InputRouter/UI</x:v>
      </x:c>
      <x:c r="O63" s="26" t="str">
        <x:v>ADR-0066</x:v>
      </x:c>
      <x:c r="P63" s="26"/>
      <x:c r="Q63" s="26" t="str">
        <x:v>PlayMode/manual</x:v>
      </x:c>
      <x:c r="R63" s="26" t="str">
        <x:v>BLD-S15</x:v>
      </x:c>
      <x:c r="S63" s="26" t="str">
        <x:v>No</x:v>
      </x:c>
      <x:c r="T63" s="26" t="str">
        <x:v>No</x:v>
      </x:c>
      <x:c r="U63" s="26" t="str">
        <x:v>In Progress</x:v>
      </x:c>
      <x:c r="V63" s="26"/>
      <x:c r="W63" s="26"/>
      <x:c r="X63" s="26"/>
    </x:row>
    <x:row r="64" ht="30" customHeight="1">
      <x:c r="A64" s="26" t="str">
        <x:v>CHG-DOC-001</x:v>
      </x:c>
      <x:c r="B64" s="26" t="str">
        <x:v>2026-07-01</x:v>
      </x:c>
      <x:c r="C64" s="26" t="str">
        <x:v>Documentation</x:v>
      </x:c>
      <x:c r="D64" s="26" t="str">
        <x:v>Baseline</x:v>
      </x:c>
      <x:c r="E64" s="26" t="str">
        <x:v>Reconstruir documentos consolidados 00–12.</x:v>
      </x:c>
      <x:c r="F64" s="26" t="str">
        <x:v>Eliminar contradicciones y centralizar autoridad</x:v>
      </x:c>
      <x:c r="G64" s="26" t="str">
        <x:v>VRM Games</x:v>
      </x:c>
      <x:c r="H64" s="26" t="str">
        <x:v>VRM Games</x:v>
      </x:c>
      <x:c r="I64" s="26" t="str">
        <x:v>P1</x:v>
      </x:c>
      <x:c r="J64" s="26" t="str">
        <x:v>Current</x:v>
      </x:c>
      <x:c r="K64" s="26" t="str">
        <x:v>1.0</x:v>
      </x:c>
      <x:c r="L64" s="26" t="str">
        <x:v>GOV-010</x:v>
      </x:c>
      <x:c r="M64" s="26" t="str">
        <x:v>00–12</x:v>
      </x:c>
      <x:c r="N64" s="26"/>
      <x:c r="O64" s="26"/>
      <x:c r="P64" s="26"/>
      <x:c r="Q64" s="26" t="str">
        <x:v>Document review</x:v>
      </x:c>
      <x:c r="R64" s="26"/>
      <x:c r="S64" s="26" t="str">
        <x:v>No</x:v>
      </x:c>
      <x:c r="T64" s="26" t="str">
        <x:v>No</x:v>
      </x:c>
      <x:c r="U64" s="26" t="str">
        <x:v>In Progress</x:v>
      </x:c>
      <x:c r="V64" s="26"/>
      <x:c r="W64" s="26"/>
      <x:c r="X64" s="26"/>
    </x:row>
    <x:row r="65" ht="30" customHeight="1">
      <x:c r="A65" s="26" t="str">
        <x:v>CHG-ADR-001</x:v>
      </x:c>
      <x:c r="B65" s="26" t="str">
        <x:v>2026-07-01</x:v>
      </x:c>
      <x:c r="C65" s="26" t="str">
        <x:v>Governance</x:v>
      </x:c>
      <x:c r="D65" s="26" t="str">
        <x:v>ADR</x:v>
      </x:c>
      <x:c r="E65" s="26" t="str">
        <x:v>Normalizar colisión del identificador ADR-0035.</x:v>
      </x:c>
      <x:c r="F65" s="26" t="str">
        <x:v>Evitar ambigüedad histórica</x:v>
      </x:c>
      <x:c r="G65" s="26" t="str">
        <x:v>VRM Games</x:v>
      </x:c>
      <x:c r="H65" s="26" t="str">
        <x:v>VRM Games</x:v>
      </x:c>
      <x:c r="I65" s="26" t="str">
        <x:v>P1</x:v>
      </x:c>
      <x:c r="J65" s="26" t="str">
        <x:v>Current</x:v>
      </x:c>
      <x:c r="K65" s="26" t="str">
        <x:v>1.0</x:v>
      </x:c>
      <x:c r="L65" s="26"/>
      <x:c r="M65" s="26" t="str">
        <x:v>12;13</x:v>
      </x:c>
      <x:c r="N65" s="26"/>
      <x:c r="O65" s="26" t="str">
        <x:v>ADR-0035-S16</x:v>
      </x:c>
      <x:c r="P65" s="26"/>
      <x:c r="Q65" s="26" t="str">
        <x:v>Audit</x:v>
      </x:c>
      <x:c r="R65" s="26"/>
      <x:c r="S65" s="26" t="str">
        <x:v>No</x:v>
      </x:c>
      <x:c r="T65" s="26" t="str">
        <x:v>No</x:v>
      </x:c>
      <x:c r="U65" s="26" t="str">
        <x:v>Closed</x:v>
      </x:c>
      <x:c r="V65" s="26"/>
      <x:c r="W65" s="26" t="str">
        <x:v>Accepted / Closed</x:v>
      </x:c>
      <x:c r="X65" s="26"/>
    </x:row>
    <x:row r="66" ht="30" customHeight="1">
      <x:c r="A66" s="26" t="str">
        <x:v>CHG-DOC-010</x:v>
      </x:c>
      <x:c r="B66" s="26" t="str">
        <x:v>2026-07-01</x:v>
      </x:c>
      <x:c r="C66" s="26" t="str">
        <x:v>Documentation</x:v>
      </x:c>
      <x:c r="D66" s="26" t="str">
        <x:v>Documentation</x:v>
      </x:c>
      <x:c r="E66" s="26" t="str">
        <x:v>Consolidar 00_Enfoque_y_Alcance.md.</x:v>
      </x:c>
      <x:c r="F66" s="26" t="str">
        <x:v>Crear fuente vigente coherente con la jerarquía.</x:v>
      </x:c>
      <x:c r="G66" s="26" t="str">
        <x:v>VRM Games</x:v>
      </x:c>
      <x:c r="H66" s="26" t="str">
        <x:v>VRM Games</x:v>
      </x:c>
      <x:c r="I66" s="26" t="str">
        <x:v>P1</x:v>
      </x:c>
      <x:c r="J66" s="26" t="str">
        <x:v>Current</x:v>
      </x:c>
      <x:c r="K66" s="26" t="str">
        <x:v>1.0</x:v>
      </x:c>
      <x:c r="L66" s="26"/>
      <x:c r="M66" s="26" t="str">
        <x:v>00_Enfoque_y_Alcance.md</x:v>
      </x:c>
      <x:c r="N66" s="26"/>
      <x:c r="O66" s="26"/>
      <x:c r="P66" s="26"/>
      <x:c r="Q66" s="26" t="str">
        <x:v>Review + hash</x:v>
      </x:c>
      <x:c r="R66" s="26"/>
      <x:c r="S66" s="26" t="str">
        <x:v>No</x:v>
      </x:c>
      <x:c r="T66" s="26" t="str">
        <x:v>No</x:v>
      </x:c>
      <x:c r="U66" s="26" t="str">
        <x:v>Closed</x:v>
      </x:c>
      <x:c r="V66" s="26" t="str">
        <x:v>63dd6f0f1b9c2c80be2aec55718d18d9d031ce4acb14f677769d6e69ceaad21f</x:v>
      </x:c>
      <x:c r="W66" s="26" t="str">
        <x:v>Accepted / Closed</x:v>
      </x:c>
      <x:c r="X66" s="26"/>
    </x:row>
    <x:row r="67" ht="30" customHeight="1">
      <x:c r="A67" s="26" t="str">
        <x:v>CHG-DOC-011</x:v>
      </x:c>
      <x:c r="B67" s="26" t="str">
        <x:v>2026-07-01</x:v>
      </x:c>
      <x:c r="C67" s="26" t="str">
        <x:v>Documentation</x:v>
      </x:c>
      <x:c r="D67" s="26" t="str">
        <x:v>Documentation</x:v>
      </x:c>
      <x:c r="E67" s="26" t="str">
        <x:v>Consolidar 01_Game_Design_Document.md.</x:v>
      </x:c>
      <x:c r="F67" s="26" t="str">
        <x:v>Crear fuente vigente coherente con la jerarquía.</x:v>
      </x:c>
      <x:c r="G67" s="26" t="str">
        <x:v>VRM Games</x:v>
      </x:c>
      <x:c r="H67" s="26" t="str">
        <x:v>VRM Games</x:v>
      </x:c>
      <x:c r="I67" s="26" t="str">
        <x:v>P1</x:v>
      </x:c>
      <x:c r="J67" s="26" t="str">
        <x:v>Current</x:v>
      </x:c>
      <x:c r="K67" s="26" t="str">
        <x:v>1.0</x:v>
      </x:c>
      <x:c r="L67" s="26"/>
      <x:c r="M67" s="26" t="str">
        <x:v>01_Game_Design_Document.md</x:v>
      </x:c>
      <x:c r="N67" s="26"/>
      <x:c r="O67" s="26"/>
      <x:c r="P67" s="26"/>
      <x:c r="Q67" s="26" t="str">
        <x:v>Review + hash</x:v>
      </x:c>
      <x:c r="R67" s="26"/>
      <x:c r="S67" s="26" t="str">
        <x:v>No</x:v>
      </x:c>
      <x:c r="T67" s="26" t="str">
        <x:v>No</x:v>
      </x:c>
      <x:c r="U67" s="26" t="str">
        <x:v>Closed</x:v>
      </x:c>
      <x:c r="V67" s="26" t="str">
        <x:v>a9cd9e3203abc5269c25c59dc7f626b0771df4ec2d65e781109ff146bceb2177</x:v>
      </x:c>
      <x:c r="W67" s="26" t="str">
        <x:v>Accepted / Closed</x:v>
      </x:c>
      <x:c r="X67" s="26"/>
    </x:row>
    <x:row r="68" ht="30" customHeight="1">
      <x:c r="A68" s="26" t="str">
        <x:v>CHG-DOC-012</x:v>
      </x:c>
      <x:c r="B68" s="26" t="str">
        <x:v>2026-07-01</x:v>
      </x:c>
      <x:c r="C68" s="26" t="str">
        <x:v>Documentation</x:v>
      </x:c>
      <x:c r="D68" s="26" t="str">
        <x:v>Documentation</x:v>
      </x:c>
      <x:c r="E68" s="26" t="str">
        <x:v>Consolidar 02_Vertical_Slice_Specification.md.</x:v>
      </x:c>
      <x:c r="F68" s="26" t="str">
        <x:v>Crear fuente vigente coherente con la jerarquía.</x:v>
      </x:c>
      <x:c r="G68" s="26" t="str">
        <x:v>VRM Games</x:v>
      </x:c>
      <x:c r="H68" s="26" t="str">
        <x:v>VRM Games</x:v>
      </x:c>
      <x:c r="I68" s="26" t="str">
        <x:v>P1</x:v>
      </x:c>
      <x:c r="J68" s="26" t="str">
        <x:v>Current</x:v>
      </x:c>
      <x:c r="K68" s="26" t="str">
        <x:v>1.0</x:v>
      </x:c>
      <x:c r="L68" s="26"/>
      <x:c r="M68" s="26" t="str">
        <x:v>02_Vertical_Slice_Specification.md</x:v>
      </x:c>
      <x:c r="N68" s="26"/>
      <x:c r="O68" s="26"/>
      <x:c r="P68" s="26"/>
      <x:c r="Q68" s="26" t="str">
        <x:v>Review + hash</x:v>
      </x:c>
      <x:c r="R68" s="26"/>
      <x:c r="S68" s="26" t="str">
        <x:v>No</x:v>
      </x:c>
      <x:c r="T68" s="26" t="str">
        <x:v>No</x:v>
      </x:c>
      <x:c r="U68" s="26" t="str">
        <x:v>Closed</x:v>
      </x:c>
      <x:c r="V68" s="26" t="str">
        <x:v>75893f130116e88a08b8da5590dd81876a234581081eafaa8d08374c1a60513f</x:v>
      </x:c>
      <x:c r="W68" s="26" t="str">
        <x:v>Accepted / Closed</x:v>
      </x:c>
      <x:c r="X68" s="26"/>
    </x:row>
    <x:row r="69" ht="30" customHeight="1">
      <x:c r="A69" s="26" t="str">
        <x:v>CHG-DOC-013</x:v>
      </x:c>
      <x:c r="B69" s="26" t="str">
        <x:v>2026-07-01</x:v>
      </x:c>
      <x:c r="C69" s="26" t="str">
        <x:v>Documentation</x:v>
      </x:c>
      <x:c r="D69" s="26" t="str">
        <x:v>Documentation</x:v>
      </x:c>
      <x:c r="E69" s="26" t="str">
        <x:v>Consolidar 03_Technical_Design_Document.md.</x:v>
      </x:c>
      <x:c r="F69" s="26" t="str">
        <x:v>Crear fuente vigente coherente con la jerarquía.</x:v>
      </x:c>
      <x:c r="G69" s="26" t="str">
        <x:v>VRM Games</x:v>
      </x:c>
      <x:c r="H69" s="26" t="str">
        <x:v>VRM Games</x:v>
      </x:c>
      <x:c r="I69" s="26" t="str">
        <x:v>P1</x:v>
      </x:c>
      <x:c r="J69" s="26" t="str">
        <x:v>Current</x:v>
      </x:c>
      <x:c r="K69" s="26" t="str">
        <x:v>1.0</x:v>
      </x:c>
      <x:c r="L69" s="26"/>
      <x:c r="M69" s="26" t="str">
        <x:v>03_Technical_Design_Document.md</x:v>
      </x:c>
      <x:c r="N69" s="26"/>
      <x:c r="O69" s="26"/>
      <x:c r="P69" s="26"/>
      <x:c r="Q69" s="26" t="str">
        <x:v>Review + hash</x:v>
      </x:c>
      <x:c r="R69" s="26"/>
      <x:c r="S69" s="26" t="str">
        <x:v>No</x:v>
      </x:c>
      <x:c r="T69" s="26" t="str">
        <x:v>No</x:v>
      </x:c>
      <x:c r="U69" s="26" t="str">
        <x:v>Closed</x:v>
      </x:c>
      <x:c r="V69" s="26" t="str">
        <x:v>66264703c5ff4959d03093690e9845a98ec0e5025e685b9a639ac8cbb616cd12</x:v>
      </x:c>
      <x:c r="W69" s="26" t="str">
        <x:v>Accepted / Closed</x:v>
      </x:c>
      <x:c r="X69" s="26"/>
    </x:row>
    <x:row r="70" ht="30" customHeight="1">
      <x:c r="A70" s="26" t="str">
        <x:v>CHG-DOC-014</x:v>
      </x:c>
      <x:c r="B70" s="26" t="str">
        <x:v>2026-07-01</x:v>
      </x:c>
      <x:c r="C70" s="26" t="str">
        <x:v>Documentation</x:v>
      </x:c>
      <x:c r="D70" s="26" t="str">
        <x:v>Documentation</x:v>
      </x:c>
      <x:c r="E70" s="26" t="str">
        <x:v>Consolidar 04_Modelo_de_Datos.md.</x:v>
      </x:c>
      <x:c r="F70" s="26" t="str">
        <x:v>Crear fuente vigente coherente con la jerarquía.</x:v>
      </x:c>
      <x:c r="G70" s="26" t="str">
        <x:v>VRM Games</x:v>
      </x:c>
      <x:c r="H70" s="26" t="str">
        <x:v>VRM Games</x:v>
      </x:c>
      <x:c r="I70" s="26" t="str">
        <x:v>P1</x:v>
      </x:c>
      <x:c r="J70" s="26" t="str">
        <x:v>Current</x:v>
      </x:c>
      <x:c r="K70" s="26" t="str">
        <x:v>1.0</x:v>
      </x:c>
      <x:c r="L70" s="26"/>
      <x:c r="M70" s="26" t="str">
        <x:v>04_Modelo_de_Datos.md</x:v>
      </x:c>
      <x:c r="N70" s="26"/>
      <x:c r="O70" s="26"/>
      <x:c r="P70" s="26"/>
      <x:c r="Q70" s="26" t="str">
        <x:v>Review + hash</x:v>
      </x:c>
      <x:c r="R70" s="26"/>
      <x:c r="S70" s="26" t="str">
        <x:v>No</x:v>
      </x:c>
      <x:c r="T70" s="26" t="str">
        <x:v>No</x:v>
      </x:c>
      <x:c r="U70" s="26" t="str">
        <x:v>Closed</x:v>
      </x:c>
      <x:c r="V70" s="26" t="str">
        <x:v>d851a72b55742c2c704cc7c002929bc5894e7142511c6af843440bb193fb19d4</x:v>
      </x:c>
      <x:c r="W70" s="26" t="str">
        <x:v>Accepted / Closed</x:v>
      </x:c>
      <x:c r="X70" s="26"/>
    </x:row>
    <x:row r="71" ht="30" customHeight="1">
      <x:c r="A71" s="26" t="str">
        <x:v>CHG-DOC-015</x:v>
      </x:c>
      <x:c r="B71" s="26" t="str">
        <x:v>2026-07-01</x:v>
      </x:c>
      <x:c r="C71" s="26" t="str">
        <x:v>Documentation</x:v>
      </x:c>
      <x:c r="D71" s="26" t="str">
        <x:v>Documentation</x:v>
      </x:c>
      <x:c r="E71" s="26" t="str">
        <x:v>Consolidar 05_UX_Flow.md.</x:v>
      </x:c>
      <x:c r="F71" s="26" t="str">
        <x:v>Crear fuente vigente coherente con la jerarquía.</x:v>
      </x:c>
      <x:c r="G71" s="26" t="str">
        <x:v>VRM Games</x:v>
      </x:c>
      <x:c r="H71" s="26" t="str">
        <x:v>VRM Games</x:v>
      </x:c>
      <x:c r="I71" s="26" t="str">
        <x:v>P1</x:v>
      </x:c>
      <x:c r="J71" s="26" t="str">
        <x:v>Current</x:v>
      </x:c>
      <x:c r="K71" s="26" t="str">
        <x:v>1.0</x:v>
      </x:c>
      <x:c r="L71" s="26"/>
      <x:c r="M71" s="26" t="str">
        <x:v>05_UX_Flow.md</x:v>
      </x:c>
      <x:c r="N71" s="26"/>
      <x:c r="O71" s="26"/>
      <x:c r="P71" s="26"/>
      <x:c r="Q71" s="26" t="str">
        <x:v>Review + hash</x:v>
      </x:c>
      <x:c r="R71" s="26"/>
      <x:c r="S71" s="26" t="str">
        <x:v>No</x:v>
      </x:c>
      <x:c r="T71" s="26" t="str">
        <x:v>No</x:v>
      </x:c>
      <x:c r="U71" s="26" t="str">
        <x:v>Closed</x:v>
      </x:c>
      <x:c r="V71" s="26" t="str">
        <x:v>e08da5ff67fb073a8b950babe325ae58ddb2e121513dc2f553acd4f2c14b867e</x:v>
      </x:c>
      <x:c r="W71" s="26" t="str">
        <x:v>Accepted / Closed</x:v>
      </x:c>
      <x:c r="X71" s="26"/>
    </x:row>
    <x:row r="72" ht="30" customHeight="1">
      <x:c r="A72" s="26" t="str">
        <x:v>CHG-DOC-016</x:v>
      </x:c>
      <x:c r="B72" s="26" t="str">
        <x:v>2026-07-01</x:v>
      </x:c>
      <x:c r="C72" s="26" t="str">
        <x:v>Documentation</x:v>
      </x:c>
      <x:c r="D72" s="26" t="str">
        <x:v>Documentation</x:v>
      </x:c>
      <x:c r="E72" s="26" t="str">
        <x:v>Consolidar 06_Production_Roadmap_y_Sprint_Plan.md.</x:v>
      </x:c>
      <x:c r="F72" s="26" t="str">
        <x:v>Crear fuente vigente coherente con la jerarquía.</x:v>
      </x:c>
      <x:c r="G72" s="26" t="str">
        <x:v>VRM Games</x:v>
      </x:c>
      <x:c r="H72" s="26" t="str">
        <x:v>VRM Games</x:v>
      </x:c>
      <x:c r="I72" s="26" t="str">
        <x:v>P1</x:v>
      </x:c>
      <x:c r="J72" s="26" t="str">
        <x:v>Current</x:v>
      </x:c>
      <x:c r="K72" s="26" t="str">
        <x:v>1.0</x:v>
      </x:c>
      <x:c r="L72" s="26"/>
      <x:c r="M72" s="26" t="str">
        <x:v>06_Production_Roadmap_y_Sprint_Plan.md</x:v>
      </x:c>
      <x:c r="N72" s="26"/>
      <x:c r="O72" s="26"/>
      <x:c r="P72" s="26"/>
      <x:c r="Q72" s="26" t="str">
        <x:v>Review + hash</x:v>
      </x:c>
      <x:c r="R72" s="26"/>
      <x:c r="S72" s="26" t="str">
        <x:v>No</x:v>
      </x:c>
      <x:c r="T72" s="26" t="str">
        <x:v>No</x:v>
      </x:c>
      <x:c r="U72" s="26" t="str">
        <x:v>Closed</x:v>
      </x:c>
      <x:c r="V72" s="26" t="str">
        <x:v>d00b156c0ad1c66069278119c55f76c738a577a3e2835f770208d1a5f2faadff</x:v>
      </x:c>
      <x:c r="W72" s="26" t="str">
        <x:v>Accepted / Closed</x:v>
      </x:c>
      <x:c r="X72" s="26"/>
    </x:row>
    <x:row r="73" ht="30" customHeight="1">
      <x:c r="A73" s="26" t="str">
        <x:v>CHG-DOC-017</x:v>
      </x:c>
      <x:c r="B73" s="26" t="str">
        <x:v>2026-07-01</x:v>
      </x:c>
      <x:c r="C73" s="26" t="str">
        <x:v>Documentation</x:v>
      </x:c>
      <x:c r="D73" s="26" t="str">
        <x:v>Documentation</x:v>
      </x:c>
      <x:c r="E73" s="26" t="str">
        <x:v>Consolidar 07_QA_Testing_Plan.md.</x:v>
      </x:c>
      <x:c r="F73" s="26" t="str">
        <x:v>Crear fuente vigente coherente con la jerarquía.</x:v>
      </x:c>
      <x:c r="G73" s="26" t="str">
        <x:v>VRM Games</x:v>
      </x:c>
      <x:c r="H73" s="26" t="str">
        <x:v>VRM Games</x:v>
      </x:c>
      <x:c r="I73" s="26" t="str">
        <x:v>P1</x:v>
      </x:c>
      <x:c r="J73" s="26" t="str">
        <x:v>Current</x:v>
      </x:c>
      <x:c r="K73" s="26" t="str">
        <x:v>1.0</x:v>
      </x:c>
      <x:c r="L73" s="26"/>
      <x:c r="M73" s="26" t="str">
        <x:v>07_QA_Testing_Plan.md</x:v>
      </x:c>
      <x:c r="N73" s="26"/>
      <x:c r="O73" s="26"/>
      <x:c r="P73" s="26"/>
      <x:c r="Q73" s="26" t="str">
        <x:v>Review + hash</x:v>
      </x:c>
      <x:c r="R73" s="26"/>
      <x:c r="S73" s="26" t="str">
        <x:v>No</x:v>
      </x:c>
      <x:c r="T73" s="26" t="str">
        <x:v>No</x:v>
      </x:c>
      <x:c r="U73" s="26" t="str">
        <x:v>Closed</x:v>
      </x:c>
      <x:c r="V73" s="26" t="str">
        <x:v>bc9c05a3737e345546ef16e5390e034295ef35ad66c31647852aec81b4e7affe</x:v>
      </x:c>
      <x:c r="W73" s="26" t="str">
        <x:v>Accepted / Closed</x:v>
      </x:c>
      <x:c r="X73" s="26"/>
    </x:row>
    <x:row r="74" ht="30" customHeight="1">
      <x:c r="A74" s="26" t="str">
        <x:v>CHG-DOC-018</x:v>
      </x:c>
      <x:c r="B74" s="26" t="str">
        <x:v>2026-07-01</x:v>
      </x:c>
      <x:c r="C74" s="26" t="str">
        <x:v>Documentation</x:v>
      </x:c>
      <x:c r="D74" s="26" t="str">
        <x:v>Documentation</x:v>
      </x:c>
      <x:c r="E74" s="26" t="str">
        <x:v>Consolidar 08_QA_Testing_Matrix.xlsx.</x:v>
      </x:c>
      <x:c r="F74" s="26" t="str">
        <x:v>Crear fuente vigente coherente con la jerarquía.</x:v>
      </x:c>
      <x:c r="G74" s="26" t="str">
        <x:v>VRM Games</x:v>
      </x:c>
      <x:c r="H74" s="26" t="str">
        <x:v>VRM Games</x:v>
      </x:c>
      <x:c r="I74" s="26" t="str">
        <x:v>P1</x:v>
      </x:c>
      <x:c r="J74" s="26" t="str">
        <x:v>Current</x:v>
      </x:c>
      <x:c r="K74" s="26" t="str">
        <x:v>1.0</x:v>
      </x:c>
      <x:c r="L74" s="26"/>
      <x:c r="M74" s="26" t="str">
        <x:v>08_QA_Testing_Matrix.xlsx</x:v>
      </x:c>
      <x:c r="N74" s="26"/>
      <x:c r="O74" s="26"/>
      <x:c r="P74" s="26"/>
      <x:c r="Q74" s="26" t="str">
        <x:v>Review + hash</x:v>
      </x:c>
      <x:c r="R74" s="26"/>
      <x:c r="S74" s="26" t="str">
        <x:v>No</x:v>
      </x:c>
      <x:c r="T74" s="26" t="str">
        <x:v>No</x:v>
      </x:c>
      <x:c r="U74" s="26" t="str">
        <x:v>Closed</x:v>
      </x:c>
      <x:c r="V74" s="26" t="str">
        <x:v>233e57f01d2468fe13c136c8fcd3ee75b39bd3de6530349626ea98d4ff254214</x:v>
      </x:c>
      <x:c r="W74" s="26" t="str">
        <x:v>Accepted / Closed</x:v>
      </x:c>
      <x:c r="X74" s="26"/>
    </x:row>
    <x:row r="75" ht="30" customHeight="1">
      <x:c r="A75" s="26" t="str">
        <x:v>CHG-DOC-019</x:v>
      </x:c>
      <x:c r="B75" s="26" t="str">
        <x:v>2026-07-01</x:v>
      </x:c>
      <x:c r="C75" s="26" t="str">
        <x:v>Documentation</x:v>
      </x:c>
      <x:c r="D75" s="26" t="str">
        <x:v>Documentation</x:v>
      </x:c>
      <x:c r="E75" s="26" t="str">
        <x:v>Consolidar 09_CSharp_Coding_Standards.md.</x:v>
      </x:c>
      <x:c r="F75" s="26" t="str">
        <x:v>Crear fuente vigente coherente con la jerarquía.</x:v>
      </x:c>
      <x:c r="G75" s="26" t="str">
        <x:v>VRM Games</x:v>
      </x:c>
      <x:c r="H75" s="26" t="str">
        <x:v>VRM Games</x:v>
      </x:c>
      <x:c r="I75" s="26" t="str">
        <x:v>P1</x:v>
      </x:c>
      <x:c r="J75" s="26" t="str">
        <x:v>Current</x:v>
      </x:c>
      <x:c r="K75" s="26" t="str">
        <x:v>1.0</x:v>
      </x:c>
      <x:c r="L75" s="26"/>
      <x:c r="M75" s="26" t="str">
        <x:v>09_CSharp_Coding_Standards.md</x:v>
      </x:c>
      <x:c r="N75" s="26"/>
      <x:c r="O75" s="26"/>
      <x:c r="P75" s="26"/>
      <x:c r="Q75" s="26" t="str">
        <x:v>Review + hash</x:v>
      </x:c>
      <x:c r="R75" s="26"/>
      <x:c r="S75" s="26" t="str">
        <x:v>No</x:v>
      </x:c>
      <x:c r="T75" s="26" t="str">
        <x:v>No</x:v>
      </x:c>
      <x:c r="U75" s="26" t="str">
        <x:v>Closed</x:v>
      </x:c>
      <x:c r="V75" s="26" t="str">
        <x:v>3b734d6cd49f31c09c10bb4941625e143f6c634e3fb50c157f0720e73b1c2a68</x:v>
      </x:c>
      <x:c r="W75" s="26" t="str">
        <x:v>Accepted / Closed</x:v>
      </x:c>
      <x:c r="X75" s="26"/>
    </x:row>
    <x:row r="76" ht="30" customHeight="1">
      <x:c r="A76" s="26" t="str">
        <x:v>CHG-DOC-020</x:v>
      </x:c>
      <x:c r="B76" s="26" t="str">
        <x:v>2026-07-01</x:v>
      </x:c>
      <x:c r="C76" s="26" t="str">
        <x:v>Documentation</x:v>
      </x:c>
      <x:c r="D76" s="26" t="str">
        <x:v>Documentation</x:v>
      </x:c>
      <x:c r="E76" s="26" t="str">
        <x:v>Consolidar 10_Unity_Project_Setup_Guide.md.</x:v>
      </x:c>
      <x:c r="F76" s="26" t="str">
        <x:v>Crear fuente vigente coherente con la jerarquía.</x:v>
      </x:c>
      <x:c r="G76" s="26" t="str">
        <x:v>VRM Games</x:v>
      </x:c>
      <x:c r="H76" s="26" t="str">
        <x:v>VRM Games</x:v>
      </x:c>
      <x:c r="I76" s="26" t="str">
        <x:v>P1</x:v>
      </x:c>
      <x:c r="J76" s="26" t="str">
        <x:v>Current</x:v>
      </x:c>
      <x:c r="K76" s="26" t="str">
        <x:v>1.0</x:v>
      </x:c>
      <x:c r="L76" s="26"/>
      <x:c r="M76" s="26" t="str">
        <x:v>10_Unity_Project_Setup_Guide.md</x:v>
      </x:c>
      <x:c r="N76" s="26"/>
      <x:c r="O76" s="26"/>
      <x:c r="P76" s="26"/>
      <x:c r="Q76" s="26" t="str">
        <x:v>Review + hash</x:v>
      </x:c>
      <x:c r="R76" s="26"/>
      <x:c r="S76" s="26" t="str">
        <x:v>No</x:v>
      </x:c>
      <x:c r="T76" s="26" t="str">
        <x:v>No</x:v>
      </x:c>
      <x:c r="U76" s="26" t="str">
        <x:v>Closed</x:v>
      </x:c>
      <x:c r="V76" s="26" t="str">
        <x:v>31430bb0544edd9577323aa0009d6ca3df8b9fbcf6c8a150fc33df69b9f963a4</x:v>
      </x:c>
      <x:c r="W76" s="26" t="str">
        <x:v>Accepted / Closed</x:v>
      </x:c>
      <x:c r="X76" s="26"/>
    </x:row>
    <x:row r="77" ht="30" customHeight="1">
      <x:c r="A77" s="26" t="str">
        <x:v>CHG-DOC-021</x:v>
      </x:c>
      <x:c r="B77" s="26" t="str">
        <x:v>2026-07-01</x:v>
      </x:c>
      <x:c r="C77" s="26" t="str">
        <x:v>Documentation</x:v>
      </x:c>
      <x:c r="D77" s="26" t="str">
        <x:v>Documentation</x:v>
      </x:c>
      <x:c r="E77" s="26" t="str">
        <x:v>Consolidar 11_Build_y_Versioning_Guide.md.</x:v>
      </x:c>
      <x:c r="F77" s="26" t="str">
        <x:v>Crear fuente vigente coherente con la jerarquía.</x:v>
      </x:c>
      <x:c r="G77" s="26" t="str">
        <x:v>VRM Games</x:v>
      </x:c>
      <x:c r="H77" s="26" t="str">
        <x:v>VRM Games</x:v>
      </x:c>
      <x:c r="I77" s="26" t="str">
        <x:v>P1</x:v>
      </x:c>
      <x:c r="J77" s="26" t="str">
        <x:v>Current</x:v>
      </x:c>
      <x:c r="K77" s="26" t="str">
        <x:v>1.0</x:v>
      </x:c>
      <x:c r="L77" s="26"/>
      <x:c r="M77" s="26" t="str">
        <x:v>11_Build_y_Versioning_Guide.md</x:v>
      </x:c>
      <x:c r="N77" s="26"/>
      <x:c r="O77" s="26"/>
      <x:c r="P77" s="26"/>
      <x:c r="Q77" s="26" t="str">
        <x:v>Review + hash</x:v>
      </x:c>
      <x:c r="R77" s="26"/>
      <x:c r="S77" s="26" t="str">
        <x:v>No</x:v>
      </x:c>
      <x:c r="T77" s="26" t="str">
        <x:v>No</x:v>
      </x:c>
      <x:c r="U77" s="26" t="str">
        <x:v>Closed</x:v>
      </x:c>
      <x:c r="V77" s="26" t="str">
        <x:v>38a16a0f97505c0b405509dd3c7e3d1b50e77b89fbe3f4cb1931d3e04f602215</x:v>
      </x:c>
      <x:c r="W77" s="26" t="str">
        <x:v>Accepted / Closed</x:v>
      </x:c>
      <x:c r="X77" s="26"/>
    </x:row>
    <x:row r="78" ht="30" customHeight="1">
      <x:c r="A78" s="26" t="str">
        <x:v>CHG-DOC-022</x:v>
      </x:c>
      <x:c r="B78" s="26" t="str">
        <x:v>2026-07-01</x:v>
      </x:c>
      <x:c r="C78" s="26" t="str">
        <x:v>Documentation</x:v>
      </x:c>
      <x:c r="D78" s="26" t="str">
        <x:v>Documentation</x:v>
      </x:c>
      <x:c r="E78" s="26" t="str">
        <x:v>Consolidar 12_Excel_Maestro_de_Produccion.xlsx.</x:v>
      </x:c>
      <x:c r="F78" s="26" t="str">
        <x:v>Crear fuente vigente coherente con la jerarquía.</x:v>
      </x:c>
      <x:c r="G78" s="26" t="str">
        <x:v>VRM Games</x:v>
      </x:c>
      <x:c r="H78" s="26" t="str">
        <x:v>VRM Games</x:v>
      </x:c>
      <x:c r="I78" s="26" t="str">
        <x:v>P1</x:v>
      </x:c>
      <x:c r="J78" s="26" t="str">
        <x:v>Current</x:v>
      </x:c>
      <x:c r="K78" s="26" t="str">
        <x:v>1.0</x:v>
      </x:c>
      <x:c r="L78" s="26"/>
      <x:c r="M78" s="26" t="str">
        <x:v>12_Excel_Maestro_de_Produccion.xlsx</x:v>
      </x:c>
      <x:c r="N78" s="26"/>
      <x:c r="O78" s="26"/>
      <x:c r="P78" s="26"/>
      <x:c r="Q78" s="26" t="str">
        <x:v>Review + hash</x:v>
      </x:c>
      <x:c r="R78" s="26"/>
      <x:c r="S78" s="26" t="str">
        <x:v>No</x:v>
      </x:c>
      <x:c r="T78" s="26" t="str">
        <x:v>No</x:v>
      </x:c>
      <x:c r="U78" s="26" t="str">
        <x:v>In Progress</x:v>
      </x:c>
      <x:c r="V78" s="26" t="str">
        <x:v>405376cb64f49b34f1f842f3840c12654e9f08e2ec4534b5c149fa811e87dd83</x:v>
      </x:c>
      <x:c r="W78" s="26"/>
      <x:c r="X78" s="26"/>
    </x:row>
    <x:row r="79" ht="30" customHeight="1">
      <x:c r="A79" s="26" t="str">
        <x:v>CHG-RC1-DOC-00</x:v>
      </x:c>
      <x:c r="B79" s="26" t="str">
        <x:v>2026-07-01</x:v>
      </x:c>
      <x:c r="C79" s="26" t="str">
        <x:v>Documentación</x:v>
      </x:c>
      <x:c r="D79" s="26" t="str">
        <x:v>Product Direction</x:v>
      </x:c>
      <x:c r="E79" s="26" t="str">
        <x:v>Establecer 00_Enfoque_y_Alcance.md en la baseline candidata 00–34</x:v>
      </x:c>
      <x:c r="F79" s="26" t="str">
        <x:v>Consolidación de fuentes históricas y autoridad documental vigente</x:v>
      </x:c>
      <x:c r="G79" s="26" t="str">
        <x:v>VRM Games</x:v>
      </x:c>
      <x:c r="H79" s="26" t="str">
        <x:v>VRM Games</x:v>
      </x:c>
      <x:c r="I79" s="26" t="str">
        <x:v>P1</x:v>
      </x:c>
      <x:c r="J79" s="26" t="str">
        <x:v>Documentation RC1</x:v>
      </x:c>
      <x:c r="K79" s="26" t="str">
        <x:v>1.0</x:v>
      </x:c>
      <x:c r="L79" s="26" t="str">
        <x:v>00</x:v>
      </x:c>
      <x:c r="M79" s="26" t="str">
        <x:v>00_Enfoque_y_Alcance.md</x:v>
      </x:c>
      <x:c r="N79" s="26"/>
      <x:c r="O79" s="26"/>
      <x:c r="P79" s="26"/>
      <x:c r="Q79" s="26" t="str">
        <x:v>Validación de integridad, referencias y hash</x:v>
      </x:c>
      <x:c r="R79" s="26" t="str">
        <x:v>Baseline candidate</x:v>
      </x:c>
      <x:c r="S79" s="26" t="str">
        <x:v>No</x:v>
      </x:c>
      <x:c r="T79" s="26" t="str">
        <x:v>No</x:v>
      </x:c>
      <x:c r="U79" s="26" t="str">
        <x:v>Closed</x:v>
      </x:c>
      <x:c r="V79" s="26" t="str">
        <x:v>63dd6f0f1b9c2c80be2aec55718d18d9d031ce4acb14f677769d6e69ceaad21f</x:v>
      </x:c>
      <x:c r="W79" s="26" t="str">
        <x:v>Accepted / Candidate</x:v>
      </x:c>
      <x:c r="X79" s="26" t="str">
        <x:v>No action except propagated corrections</x:v>
      </x:c>
    </x:row>
    <x:row r="80" ht="30" customHeight="1">
      <x:c r="A80" s="26" t="str">
        <x:v>CHG-RC1-DOC-01</x:v>
      </x:c>
      <x:c r="B80" s="26" t="str">
        <x:v>2026-07-01</x:v>
      </x:c>
      <x:c r="C80" s="26" t="str">
        <x:v>Documentación</x:v>
      </x:c>
      <x:c r="D80" s="26" t="str">
        <x:v>Game Design</x:v>
      </x:c>
      <x:c r="E80" s="26" t="str">
        <x:v>Establecer 01_Game_Design_Document.md en la baseline candidata 00–34</x:v>
      </x:c>
      <x:c r="F80" s="26" t="str">
        <x:v>Consolidación de fuentes históricas y autoridad documental vigente</x:v>
      </x:c>
      <x:c r="G80" s="26" t="str">
        <x:v>VRM Games</x:v>
      </x:c>
      <x:c r="H80" s="26" t="str">
        <x:v>VRM Games</x:v>
      </x:c>
      <x:c r="I80" s="26" t="str">
        <x:v>P1</x:v>
      </x:c>
      <x:c r="J80" s="26" t="str">
        <x:v>Documentation RC1</x:v>
      </x:c>
      <x:c r="K80" s="26" t="str">
        <x:v>1.0</x:v>
      </x:c>
      <x:c r="L80" s="26" t="str">
        <x:v>01</x:v>
      </x:c>
      <x:c r="M80" s="26" t="str">
        <x:v>01_Game_Design_Document.md</x:v>
      </x:c>
      <x:c r="N80" s="26"/>
      <x:c r="O80" s="26"/>
      <x:c r="P80" s="26"/>
      <x:c r="Q80" s="26" t="str">
        <x:v>Validación de integridad, referencias y hash</x:v>
      </x:c>
      <x:c r="R80" s="26" t="str">
        <x:v>Baseline candidate</x:v>
      </x:c>
      <x:c r="S80" s="26" t="str">
        <x:v>No</x:v>
      </x:c>
      <x:c r="T80" s="26" t="str">
        <x:v>No</x:v>
      </x:c>
      <x:c r="U80" s="26" t="str">
        <x:v>Closed</x:v>
      </x:c>
      <x:c r="V80" s="26" t="str">
        <x:v>a9cd9e3203abc5269c25c59dc7f626b0771df4ec2d65e781109ff146bceb2177</x:v>
      </x:c>
      <x:c r="W80" s="26" t="str">
        <x:v>Accepted / Candidate</x:v>
      </x:c>
      <x:c r="X80" s="26" t="str">
        <x:v>No action except propagated corrections</x:v>
      </x:c>
    </x:row>
    <x:row r="81" ht="30" customHeight="1">
      <x:c r="A81" s="26" t="str">
        <x:v>CHG-RC1-DOC-02</x:v>
      </x:c>
      <x:c r="B81" s="26" t="str">
        <x:v>2026-07-01</x:v>
      </x:c>
      <x:c r="C81" s="26" t="str">
        <x:v>Documentación</x:v>
      </x:c>
      <x:c r="D81" s="26" t="str">
        <x:v>Scope/Acceptance</x:v>
      </x:c>
      <x:c r="E81" s="26" t="str">
        <x:v>Establecer 02_Vertical_Slice_Specification.md en la baseline candidata 00–34</x:v>
      </x:c>
      <x:c r="F81" s="26" t="str">
        <x:v>Consolidación de fuentes históricas y autoridad documental vigente</x:v>
      </x:c>
      <x:c r="G81" s="26" t="str">
        <x:v>VRM Games</x:v>
      </x:c>
      <x:c r="H81" s="26" t="str">
        <x:v>VRM Games</x:v>
      </x:c>
      <x:c r="I81" s="26" t="str">
        <x:v>P1</x:v>
      </x:c>
      <x:c r="J81" s="26" t="str">
        <x:v>Documentation RC1</x:v>
      </x:c>
      <x:c r="K81" s="26" t="str">
        <x:v>1.0</x:v>
      </x:c>
      <x:c r="L81" s="26" t="str">
        <x:v>02</x:v>
      </x:c>
      <x:c r="M81" s="26" t="str">
        <x:v>02_Vertical_Slice_Specification.md</x:v>
      </x:c>
      <x:c r="N81" s="26"/>
      <x:c r="O81" s="26"/>
      <x:c r="P81" s="26"/>
      <x:c r="Q81" s="26" t="str">
        <x:v>Validación de integridad, referencias y hash</x:v>
      </x:c>
      <x:c r="R81" s="26" t="str">
        <x:v>Baseline candidate</x:v>
      </x:c>
      <x:c r="S81" s="26" t="str">
        <x:v>No</x:v>
      </x:c>
      <x:c r="T81" s="26" t="str">
        <x:v>No</x:v>
      </x:c>
      <x:c r="U81" s="26" t="str">
        <x:v>Closed</x:v>
      </x:c>
      <x:c r="V81" s="26" t="str">
        <x:v>75893f130116e88a08b8da5590dd81876a234581081eafaa8d08374c1a60513f</x:v>
      </x:c>
      <x:c r="W81" s="26" t="str">
        <x:v>Accepted / Candidate</x:v>
      </x:c>
      <x:c r="X81" s="26" t="str">
        <x:v>No action except propagated corrections</x:v>
      </x:c>
    </x:row>
    <x:row r="82" ht="30" customHeight="1">
      <x:c r="A82" s="26" t="str">
        <x:v>CHG-RC1-DOC-03</x:v>
      </x:c>
      <x:c r="B82" s="26" t="str">
        <x:v>2026-07-01</x:v>
      </x:c>
      <x:c r="C82" s="26" t="str">
        <x:v>Documentación</x:v>
      </x:c>
      <x:c r="D82" s="26" t="str">
        <x:v>Architecture</x:v>
      </x:c>
      <x:c r="E82" s="26" t="str">
        <x:v>Establecer 03_Technical_Design_Document.md en la baseline candidata 00–34</x:v>
      </x:c>
      <x:c r="F82" s="26" t="str">
        <x:v>Consolidación de fuentes históricas y autoridad documental vigente</x:v>
      </x:c>
      <x:c r="G82" s="26" t="str">
        <x:v>VRM Games</x:v>
      </x:c>
      <x:c r="H82" s="26" t="str">
        <x:v>VRM Games</x:v>
      </x:c>
      <x:c r="I82" s="26" t="str">
        <x:v>P1</x:v>
      </x:c>
      <x:c r="J82" s="26" t="str">
        <x:v>Documentation RC1</x:v>
      </x:c>
      <x:c r="K82" s="26" t="str">
        <x:v>1.0</x:v>
      </x:c>
      <x:c r="L82" s="26" t="str">
        <x:v>03</x:v>
      </x:c>
      <x:c r="M82" s="26" t="str">
        <x:v>03_Technical_Design_Document.md</x:v>
      </x:c>
      <x:c r="N82" s="26"/>
      <x:c r="O82" s="26"/>
      <x:c r="P82" s="26"/>
      <x:c r="Q82" s="26" t="str">
        <x:v>Validación de integridad, referencias y hash</x:v>
      </x:c>
      <x:c r="R82" s="26" t="str">
        <x:v>Baseline candidate</x:v>
      </x:c>
      <x:c r="S82" s="26" t="str">
        <x:v>No</x:v>
      </x:c>
      <x:c r="T82" s="26" t="str">
        <x:v>No</x:v>
      </x:c>
      <x:c r="U82" s="26" t="str">
        <x:v>Closed</x:v>
      </x:c>
      <x:c r="V82" s="26" t="str">
        <x:v>66264703c5ff4959d03093690e9845a98ec0e5025e685b9a639ac8cbb616cd12</x:v>
      </x:c>
      <x:c r="W82" s="26" t="str">
        <x:v>Accepted / Candidate</x:v>
      </x:c>
      <x:c r="X82" s="26" t="str">
        <x:v>No action except propagated corrections</x:v>
      </x:c>
    </x:row>
    <x:row r="83" ht="30" customHeight="1">
      <x:c r="A83" s="26" t="str">
        <x:v>CHG-RC1-DOC-04</x:v>
      </x:c>
      <x:c r="B83" s="26" t="str">
        <x:v>2026-07-01</x:v>
      </x:c>
      <x:c r="C83" s="26" t="str">
        <x:v>Documentación</x:v>
      </x:c>
      <x:c r="D83" s="26" t="str">
        <x:v>Data</x:v>
      </x:c>
      <x:c r="E83" s="26" t="str">
        <x:v>Establecer 04_Modelo_de_Datos.md en la baseline candidata 00–34</x:v>
      </x:c>
      <x:c r="F83" s="26" t="str">
        <x:v>Consolidación de fuentes históricas y autoridad documental vigente</x:v>
      </x:c>
      <x:c r="G83" s="26" t="str">
        <x:v>VRM Games</x:v>
      </x:c>
      <x:c r="H83" s="26" t="str">
        <x:v>VRM Games</x:v>
      </x:c>
      <x:c r="I83" s="26" t="str">
        <x:v>P1</x:v>
      </x:c>
      <x:c r="J83" s="26" t="str">
        <x:v>Documentation RC1</x:v>
      </x:c>
      <x:c r="K83" s="26" t="str">
        <x:v>1.0</x:v>
      </x:c>
      <x:c r="L83" s="26" t="str">
        <x:v>04</x:v>
      </x:c>
      <x:c r="M83" s="26" t="str">
        <x:v>04_Modelo_de_Datos.md</x:v>
      </x:c>
      <x:c r="N83" s="26"/>
      <x:c r="O83" s="26"/>
      <x:c r="P83" s="26"/>
      <x:c r="Q83" s="26" t="str">
        <x:v>Validación de integridad, referencias y hash</x:v>
      </x:c>
      <x:c r="R83" s="26" t="str">
        <x:v>Baseline candidate</x:v>
      </x:c>
      <x:c r="S83" s="26" t="str">
        <x:v>No</x:v>
      </x:c>
      <x:c r="T83" s="26" t="str">
        <x:v>No</x:v>
      </x:c>
      <x:c r="U83" s="26" t="str">
        <x:v>Closed</x:v>
      </x:c>
      <x:c r="V83" s="26" t="str">
        <x:v>d851a72b55742c2c704cc7c002929bc5894e7142511c6af843440bb193fb19d4</x:v>
      </x:c>
      <x:c r="W83" s="26" t="str">
        <x:v>Accepted / Candidate</x:v>
      </x:c>
      <x:c r="X83" s="26" t="str">
        <x:v>No action except propagated corrections</x:v>
      </x:c>
    </x:row>
    <x:row r="84" ht="30" customHeight="1">
      <x:c r="A84" s="26" t="str">
        <x:v>CHG-RC1-DOC-05</x:v>
      </x:c>
      <x:c r="B84" s="26" t="str">
        <x:v>2026-07-01</x:v>
      </x:c>
      <x:c r="C84" s="26" t="str">
        <x:v>Documentación</x:v>
      </x:c>
      <x:c r="D84" s="26" t="str">
        <x:v>UX</x:v>
      </x:c>
      <x:c r="E84" s="26" t="str">
        <x:v>Establecer 05_UX_Flow.md en la baseline candidata 00–34</x:v>
      </x:c>
      <x:c r="F84" s="26" t="str">
        <x:v>Consolidación de fuentes históricas y autoridad documental vigente</x:v>
      </x:c>
      <x:c r="G84" s="26" t="str">
        <x:v>VRM Games</x:v>
      </x:c>
      <x:c r="H84" s="26" t="str">
        <x:v>VRM Games</x:v>
      </x:c>
      <x:c r="I84" s="26" t="str">
        <x:v>P1</x:v>
      </x:c>
      <x:c r="J84" s="26" t="str">
        <x:v>Documentation RC1</x:v>
      </x:c>
      <x:c r="K84" s="26" t="str">
        <x:v>1.0</x:v>
      </x:c>
      <x:c r="L84" s="26" t="str">
        <x:v>05</x:v>
      </x:c>
      <x:c r="M84" s="26" t="str">
        <x:v>05_UX_Flow.md</x:v>
      </x:c>
      <x:c r="N84" s="26"/>
      <x:c r="O84" s="26"/>
      <x:c r="P84" s="26"/>
      <x:c r="Q84" s="26" t="str">
        <x:v>Validación de integridad, referencias y hash</x:v>
      </x:c>
      <x:c r="R84" s="26" t="str">
        <x:v>Baseline candidate</x:v>
      </x:c>
      <x:c r="S84" s="26" t="str">
        <x:v>No</x:v>
      </x:c>
      <x:c r="T84" s="26" t="str">
        <x:v>No</x:v>
      </x:c>
      <x:c r="U84" s="26" t="str">
        <x:v>Closed</x:v>
      </x:c>
      <x:c r="V84" s="26" t="str">
        <x:v>e08da5ff67fb073a8b950babe325ae58ddb2e121513dc2f553acd4f2c14b867e</x:v>
      </x:c>
      <x:c r="W84" s="26" t="str">
        <x:v>Accepted / Candidate</x:v>
      </x:c>
      <x:c r="X84" s="26" t="str">
        <x:v>No action except propagated corrections</x:v>
      </x:c>
    </x:row>
    <x:row r="85" ht="30" customHeight="1">
      <x:c r="A85" s="26" t="str">
        <x:v>CHG-RC1-DOC-06</x:v>
      </x:c>
      <x:c r="B85" s="26" t="str">
        <x:v>2026-07-01</x:v>
      </x:c>
      <x:c r="C85" s="26" t="str">
        <x:v>Documentación</x:v>
      </x:c>
      <x:c r="D85" s="26" t="str">
        <x:v>Production</x:v>
      </x:c>
      <x:c r="E85" s="26" t="str">
        <x:v>Establecer 06_Production_Roadmap_y_Sprint_Plan.md en la baseline candidata 00–34</x:v>
      </x:c>
      <x:c r="F85" s="26" t="str">
        <x:v>Consolidación de fuentes históricas y autoridad documental vigente</x:v>
      </x:c>
      <x:c r="G85" s="26" t="str">
        <x:v>VRM Games</x:v>
      </x:c>
      <x:c r="H85" s="26" t="str">
        <x:v>VRM Games</x:v>
      </x:c>
      <x:c r="I85" s="26" t="str">
        <x:v>P1</x:v>
      </x:c>
      <x:c r="J85" s="26" t="str">
        <x:v>Documentation RC1</x:v>
      </x:c>
      <x:c r="K85" s="26" t="str">
        <x:v>1.0</x:v>
      </x:c>
      <x:c r="L85" s="26" t="str">
        <x:v>06</x:v>
      </x:c>
      <x:c r="M85" s="26" t="str">
        <x:v>06_Production_Roadmap_y_Sprint_Plan.md</x:v>
      </x:c>
      <x:c r="N85" s="26"/>
      <x:c r="O85" s="26"/>
      <x:c r="P85" s="26"/>
      <x:c r="Q85" s="26" t="str">
        <x:v>Validación de integridad, referencias y hash</x:v>
      </x:c>
      <x:c r="R85" s="26" t="str">
        <x:v>Baseline candidate</x:v>
      </x:c>
      <x:c r="S85" s="26" t="str">
        <x:v>No</x:v>
      </x:c>
      <x:c r="T85" s="26" t="str">
        <x:v>No</x:v>
      </x:c>
      <x:c r="U85" s="26" t="str">
        <x:v>Closed</x:v>
      </x:c>
      <x:c r="V85" s="26" t="str">
        <x:v>d00b156c0ad1c66069278119c55f76c738a577a3e2835f770208d1a5f2faadff</x:v>
      </x:c>
      <x:c r="W85" s="26" t="str">
        <x:v>Accepted / Candidate</x:v>
      </x:c>
      <x:c r="X85" s="26" t="str">
        <x:v>No action except propagated corrections</x:v>
      </x:c>
    </x:row>
    <x:row r="86" ht="30" customHeight="1">
      <x:c r="A86" s="26" t="str">
        <x:v>CHG-RC1-DOC-07</x:v>
      </x:c>
      <x:c r="B86" s="26" t="str">
        <x:v>2026-07-01</x:v>
      </x:c>
      <x:c r="C86" s="26" t="str">
        <x:v>Documentación</x:v>
      </x:c>
      <x:c r="D86" s="26" t="str">
        <x:v>QA Strategy</x:v>
      </x:c>
      <x:c r="E86" s="26" t="str">
        <x:v>Establecer 07_QA_Testing_Plan.md en la baseline candidata 00–34</x:v>
      </x:c>
      <x:c r="F86" s="26" t="str">
        <x:v>Consolidación de fuentes históricas y autoridad documental vigente</x:v>
      </x:c>
      <x:c r="G86" s="26" t="str">
        <x:v>VRM Games</x:v>
      </x:c>
      <x:c r="H86" s="26" t="str">
        <x:v>VRM Games</x:v>
      </x:c>
      <x:c r="I86" s="26" t="str">
        <x:v>P1</x:v>
      </x:c>
      <x:c r="J86" s="26" t="str">
        <x:v>Documentation RC1</x:v>
      </x:c>
      <x:c r="K86" s="26" t="str">
        <x:v>1.0</x:v>
      </x:c>
      <x:c r="L86" s="26" t="str">
        <x:v>07</x:v>
      </x:c>
      <x:c r="M86" s="26" t="str">
        <x:v>07_QA_Testing_Plan.md</x:v>
      </x:c>
      <x:c r="N86" s="26"/>
      <x:c r="O86" s="26"/>
      <x:c r="P86" s="26"/>
      <x:c r="Q86" s="26" t="str">
        <x:v>Validación de integridad, referencias y hash</x:v>
      </x:c>
      <x:c r="R86" s="26" t="str">
        <x:v>Baseline candidate</x:v>
      </x:c>
      <x:c r="S86" s="26" t="str">
        <x:v>No</x:v>
      </x:c>
      <x:c r="T86" s="26" t="str">
        <x:v>No</x:v>
      </x:c>
      <x:c r="U86" s="26" t="str">
        <x:v>Closed</x:v>
      </x:c>
      <x:c r="V86" s="26" t="str">
        <x:v>bc9c05a3737e345546ef16e5390e034295ef35ad66c31647852aec81b4e7affe</x:v>
      </x:c>
      <x:c r="W86" s="26" t="str">
        <x:v>Accepted / Candidate</x:v>
      </x:c>
      <x:c r="X86" s="26" t="str">
        <x:v>No action except propagated corrections</x:v>
      </x:c>
    </x:row>
    <x:row r="87" ht="30" customHeight="1">
      <x:c r="A87" s="26" t="str">
        <x:v>CHG-RC1-DOC-08</x:v>
      </x:c>
      <x:c r="B87" s="26" t="str">
        <x:v>2026-07-01</x:v>
      </x:c>
      <x:c r="C87" s="26" t="str">
        <x:v>Documentación</x:v>
      </x:c>
      <x:c r="D87" s="26" t="str">
        <x:v>QA Operations</x:v>
      </x:c>
      <x:c r="E87" s="26" t="str">
        <x:v>Establecer 08_QA_Testing_Matrix.xlsx en la baseline candidata 00–34</x:v>
      </x:c>
      <x:c r="F87" s="26" t="str">
        <x:v>Consolidación de fuentes históricas y autoridad documental vigente</x:v>
      </x:c>
      <x:c r="G87" s="26" t="str">
        <x:v>VRM Games</x:v>
      </x:c>
      <x:c r="H87" s="26" t="str">
        <x:v>VRM Games</x:v>
      </x:c>
      <x:c r="I87" s="26" t="str">
        <x:v>P1</x:v>
      </x:c>
      <x:c r="J87" s="26" t="str">
        <x:v>Documentation RC1</x:v>
      </x:c>
      <x:c r="K87" s="26" t="str">
        <x:v>1.0</x:v>
      </x:c>
      <x:c r="L87" s="26" t="str">
        <x:v>08</x:v>
      </x:c>
      <x:c r="M87" s="26" t="str">
        <x:v>08_QA_Testing_Matrix.xlsx</x:v>
      </x:c>
      <x:c r="N87" s="26"/>
      <x:c r="O87" s="26"/>
      <x:c r="P87" s="26"/>
      <x:c r="Q87" s="26" t="str">
        <x:v>Validación de integridad, referencias y hash</x:v>
      </x:c>
      <x:c r="R87" s="26" t="str">
        <x:v>Baseline candidate</x:v>
      </x:c>
      <x:c r="S87" s="26" t="str">
        <x:v>No</x:v>
      </x:c>
      <x:c r="T87" s="26" t="str">
        <x:v>No</x:v>
      </x:c>
      <x:c r="U87" s="26" t="str">
        <x:v>Closed</x:v>
      </x:c>
      <x:c r="V87" s="26" t="str">
        <x:v>233e57f01d2468fe13c136c8fcd3ee75b39bd3de6530349626ea98d4ff254214</x:v>
      </x:c>
      <x:c r="W87" s="26" t="str">
        <x:v>Accepted / Candidate</x:v>
      </x:c>
      <x:c r="X87" s="26" t="str">
        <x:v>No action except propagated corrections</x:v>
      </x:c>
    </x:row>
    <x:row r="88" ht="30" customHeight="1">
      <x:c r="A88" s="26" t="str">
        <x:v>CHG-RC1-DOC-09</x:v>
      </x:c>
      <x:c r="B88" s="26" t="str">
        <x:v>2026-07-01</x:v>
      </x:c>
      <x:c r="C88" s="26" t="str">
        <x:v>Documentación</x:v>
      </x:c>
      <x:c r="D88" s="26" t="str">
        <x:v>Engineering Standards</x:v>
      </x:c>
      <x:c r="E88" s="26" t="str">
        <x:v>Establecer 09_CSharp_Coding_Standards.md en la baseline candidata 00–34</x:v>
      </x:c>
      <x:c r="F88" s="26" t="str">
        <x:v>Consolidación de fuentes históricas y autoridad documental vigente</x:v>
      </x:c>
      <x:c r="G88" s="26" t="str">
        <x:v>VRM Games</x:v>
      </x:c>
      <x:c r="H88" s="26" t="str">
        <x:v>VRM Games</x:v>
      </x:c>
      <x:c r="I88" s="26" t="str">
        <x:v>P1</x:v>
      </x:c>
      <x:c r="J88" s="26" t="str">
        <x:v>Documentation RC1</x:v>
      </x:c>
      <x:c r="K88" s="26" t="str">
        <x:v>1.0</x:v>
      </x:c>
      <x:c r="L88" s="26" t="str">
        <x:v>09</x:v>
      </x:c>
      <x:c r="M88" s="26" t="str">
        <x:v>09_CSharp_Coding_Standards.md</x:v>
      </x:c>
      <x:c r="N88" s="26"/>
      <x:c r="O88" s="26"/>
      <x:c r="P88" s="26"/>
      <x:c r="Q88" s="26" t="str">
        <x:v>Validación de integridad, referencias y hash</x:v>
      </x:c>
      <x:c r="R88" s="26" t="str">
        <x:v>Baseline candidate</x:v>
      </x:c>
      <x:c r="S88" s="26" t="str">
        <x:v>No</x:v>
      </x:c>
      <x:c r="T88" s="26" t="str">
        <x:v>No</x:v>
      </x:c>
      <x:c r="U88" s="26" t="str">
        <x:v>Closed</x:v>
      </x:c>
      <x:c r="V88" s="26" t="str">
        <x:v>3b734d6cd49f31c09c10bb4941625e143f6c634e3fb50c157f0720e73b1c2a68</x:v>
      </x:c>
      <x:c r="W88" s="26" t="str">
        <x:v>Accepted / Candidate</x:v>
      </x:c>
      <x:c r="X88" s="26" t="str">
        <x:v>No action except propagated corrections</x:v>
      </x:c>
    </x:row>
    <x:row r="89" ht="30" customHeight="1">
      <x:c r="A89" s="26" t="str">
        <x:v>CHG-RC1-DOC-10</x:v>
      </x:c>
      <x:c r="B89" s="26" t="str">
        <x:v>2026-07-01</x:v>
      </x:c>
      <x:c r="C89" s="26" t="str">
        <x:v>Documentación</x:v>
      </x:c>
      <x:c r="D89" s="26" t="str">
        <x:v>Environment</x:v>
      </x:c>
      <x:c r="E89" s="26" t="str">
        <x:v>Establecer 10_Unity_Project_Setup_Guide.md en la baseline candidata 00–34</x:v>
      </x:c>
      <x:c r="F89" s="26" t="str">
        <x:v>Consolidación de fuentes históricas y autoridad documental vigente</x:v>
      </x:c>
      <x:c r="G89" s="26" t="str">
        <x:v>VRM Games</x:v>
      </x:c>
      <x:c r="H89" s="26" t="str">
        <x:v>VRM Games</x:v>
      </x:c>
      <x:c r="I89" s="26" t="str">
        <x:v>P1</x:v>
      </x:c>
      <x:c r="J89" s="26" t="str">
        <x:v>Documentation RC1</x:v>
      </x:c>
      <x:c r="K89" s="26" t="str">
        <x:v>1.0</x:v>
      </x:c>
      <x:c r="L89" s="26" t="str">
        <x:v>10</x:v>
      </x:c>
      <x:c r="M89" s="26" t="str">
        <x:v>10_Unity_Project_Setup_Guide.md</x:v>
      </x:c>
      <x:c r="N89" s="26"/>
      <x:c r="O89" s="26"/>
      <x:c r="P89" s="26"/>
      <x:c r="Q89" s="26" t="str">
        <x:v>Validación de integridad, referencias y hash</x:v>
      </x:c>
      <x:c r="R89" s="26" t="str">
        <x:v>Baseline candidate</x:v>
      </x:c>
      <x:c r="S89" s="26" t="str">
        <x:v>No</x:v>
      </x:c>
      <x:c r="T89" s="26" t="str">
        <x:v>No</x:v>
      </x:c>
      <x:c r="U89" s="26" t="str">
        <x:v>Closed</x:v>
      </x:c>
      <x:c r="V89" s="26" t="str">
        <x:v>31430bb0544edd9577323aa0009d6ca3df8b9fbcf6c8a150fc33df69b9f963a4</x:v>
      </x:c>
      <x:c r="W89" s="26" t="str">
        <x:v>Accepted / Candidate</x:v>
      </x:c>
      <x:c r="X89" s="26" t="str">
        <x:v>No action except propagated corrections</x:v>
      </x:c>
    </x:row>
    <x:row r="90" ht="30" customHeight="1">
      <x:c r="A90" s="26" t="str">
        <x:v>CHG-RC1-DOC-11</x:v>
      </x:c>
      <x:c r="B90" s="26" t="str">
        <x:v>2026-07-01</x:v>
      </x:c>
      <x:c r="C90" s="26" t="str">
        <x:v>Documentación</x:v>
      </x:c>
      <x:c r="D90" s="26" t="str">
        <x:v>Build/Release</x:v>
      </x:c>
      <x:c r="E90" s="26" t="str">
        <x:v>Establecer 11_Build_y_Versioning_Guide.md en la baseline candidata 00–34</x:v>
      </x:c>
      <x:c r="F90" s="26" t="str">
        <x:v>Consolidación de fuentes históricas y autoridad documental vigente</x:v>
      </x:c>
      <x:c r="G90" s="26" t="str">
        <x:v>VRM Games</x:v>
      </x:c>
      <x:c r="H90" s="26" t="str">
        <x:v>VRM Games</x:v>
      </x:c>
      <x:c r="I90" s="26" t="str">
        <x:v>P1</x:v>
      </x:c>
      <x:c r="J90" s="26" t="str">
        <x:v>Documentation RC1</x:v>
      </x:c>
      <x:c r="K90" s="26" t="str">
        <x:v>1.0</x:v>
      </x:c>
      <x:c r="L90" s="26" t="str">
        <x:v>11</x:v>
      </x:c>
      <x:c r="M90" s="26" t="str">
        <x:v>11_Build_y_Versioning_Guide.md</x:v>
      </x:c>
      <x:c r="N90" s="26"/>
      <x:c r="O90" s="26"/>
      <x:c r="P90" s="26"/>
      <x:c r="Q90" s="26" t="str">
        <x:v>Validación de integridad, referencias y hash</x:v>
      </x:c>
      <x:c r="R90" s="26" t="str">
        <x:v>Baseline candidate</x:v>
      </x:c>
      <x:c r="S90" s="26" t="str">
        <x:v>No</x:v>
      </x:c>
      <x:c r="T90" s="26" t="str">
        <x:v>No</x:v>
      </x:c>
      <x:c r="U90" s="26" t="str">
        <x:v>Closed</x:v>
      </x:c>
      <x:c r="V90" s="26" t="str">
        <x:v>38a16a0f97505c0b405509dd3c7e3d1b50e77b89fbe3f4cb1931d3e04f602215</x:v>
      </x:c>
      <x:c r="W90" s="26" t="str">
        <x:v>Accepted / Candidate</x:v>
      </x:c>
      <x:c r="X90" s="26" t="str">
        <x:v>No action except propagated corrections</x:v>
      </x:c>
    </x:row>
    <x:row r="91" ht="30" customHeight="1">
      <x:c r="A91" s="26" t="str">
        <x:v>CHG-RC1-DOC-12</x:v>
      </x:c>
      <x:c r="B91" s="26" t="str">
        <x:v>2026-07-01</x:v>
      </x:c>
      <x:c r="C91" s="26" t="str">
        <x:v>Documentación</x:v>
      </x:c>
      <x:c r="D91" s="26" t="str">
        <x:v>Production Operations</x:v>
      </x:c>
      <x:c r="E91" s="26" t="str">
        <x:v>Regenerar 12_Excel_Maestro_de_Produccion.xlsx contra el conjunto completo 00–34</x:v>
      </x:c>
      <x:c r="F91" s="26" t="str">
        <x:v>Consolidación de fuentes históricas y autoridad documental vigente</x:v>
      </x:c>
      <x:c r="G91" s="26" t="str">
        <x:v>VRM Games</x:v>
      </x:c>
      <x:c r="H91" s="26" t="str">
        <x:v>VRM Games</x:v>
      </x:c>
      <x:c r="I91" s="26" t="str">
        <x:v>P0</x:v>
      </x:c>
      <x:c r="J91" s="26" t="str">
        <x:v>Documentation RC1</x:v>
      </x:c>
      <x:c r="K91" s="26" t="str">
        <x:v>1.1-RC1</x:v>
      </x:c>
      <x:c r="L91" s="26" t="str">
        <x:v>12</x:v>
      </x:c>
      <x:c r="M91" s="26" t="str">
        <x:v>12_Excel_Maestro_de_Produccion.xlsx</x:v>
      </x:c>
      <x:c r="N91" s="26"/>
      <x:c r="O91" s="26"/>
      <x:c r="P91" s="26"/>
      <x:c r="Q91" s="26" t="str">
        <x:v>Validación de integridad, referencias y hash</x:v>
      </x:c>
      <x:c r="R91" s="26" t="str">
        <x:v>Baseline candidate</x:v>
      </x:c>
      <x:c r="S91" s="26" t="str">
        <x:v>No</x:v>
      </x:c>
      <x:c r="T91" s="26" t="str">
        <x:v>No</x:v>
      </x:c>
      <x:c r="U91" s="26" t="str">
        <x:v>Closed</x:v>
      </x:c>
      <x:c r="V91" s="26" t="str">
        <x:v>3d70e97326868389dac977934e6000285c22b3c33c0e62be31313880726b4d7d</x:v>
      </x:c>
      <x:c r="W91" s="26" t="str">
        <x:v>Accepted / Candidate</x:v>
      </x:c>
      <x:c r="X91" s="26" t="str">
        <x:v>Replace preconsolidation 12; external hash captured</x:v>
      </x:c>
    </x:row>
    <x:row r="92" ht="30" customHeight="1">
      <x:c r="A92" s="26" t="str">
        <x:v>CHG-RC1-DOC-13</x:v>
      </x:c>
      <x:c r="B92" s="26" t="str">
        <x:v>2026-07-01</x:v>
      </x:c>
      <x:c r="C92" s="26" t="str">
        <x:v>Documentación</x:v>
      </x:c>
      <x:c r="D92" s="26" t="str">
        <x:v>Governance</x:v>
      </x:c>
      <x:c r="E92" s="26" t="str">
        <x:v>Regenerar 13_Trazabilidad_y_Control_de_Cambios.xlsx contra el conjunto completo 00–34</x:v>
      </x:c>
      <x:c r="F92" s="26" t="str">
        <x:v>Consolidación de fuentes históricas y autoridad documental vigente</x:v>
      </x:c>
      <x:c r="G92" s="26" t="str">
        <x:v>VRM Games</x:v>
      </x:c>
      <x:c r="H92" s="26" t="str">
        <x:v>VRM Games</x:v>
      </x:c>
      <x:c r="I92" s="26" t="str">
        <x:v>P0</x:v>
      </x:c>
      <x:c r="J92" s="26" t="str">
        <x:v>Documentation RC1</x:v>
      </x:c>
      <x:c r="K92" s="26" t="str">
        <x:v>1.1-RC1</x:v>
      </x:c>
      <x:c r="L92" s="26" t="str">
        <x:v>13</x:v>
      </x:c>
      <x:c r="M92" s="26" t="str">
        <x:v>13_Trazabilidad_y_Control_de_Cambios.xlsx</x:v>
      </x:c>
      <x:c r="N92" s="26"/>
      <x:c r="O92" s="26"/>
      <x:c r="P92" s="26"/>
      <x:c r="Q92" s="26" t="str">
        <x:v>Validación de integridad, referencias y hash</x:v>
      </x:c>
      <x:c r="R92" s="26" t="str">
        <x:v>Baseline candidate</x:v>
      </x:c>
      <x:c r="S92" s="26" t="str">
        <x:v>No</x:v>
      </x:c>
      <x:c r="T92" s="26" t="str">
        <x:v>No</x:v>
      </x:c>
      <x:c r="U92" s="26" t="str">
        <x:v>Closed</x:v>
      </x:c>
      <x:c r="V92" s="26" t="str">
        <x:v>EXTERNAL_AFTER_EXPORT</x:v>
      </x:c>
      <x:c r="W92" s="26" t="str">
        <x:v>Accepted / Candidate</x:v>
      </x:c>
      <x:c r="X92" s="26" t="str">
        <x:v>Replace preconsolidation 13; capture hash externally</x:v>
      </x:c>
    </x:row>
    <x:row r="93" ht="30" customHeight="1">
      <x:c r="A93" s="26" t="str">
        <x:v>CHG-RC1-DOC-14</x:v>
      </x:c>
      <x:c r="B93" s="26" t="str">
        <x:v>2026-07-01</x:v>
      </x:c>
      <x:c r="C93" s="26" t="str">
        <x:v>Documentación</x:v>
      </x:c>
      <x:c r="D93" s="26" t="str">
        <x:v>Master Index</x:v>
      </x:c>
      <x:c r="E93" s="26" t="str">
        <x:v>Establecer 14_Project_Binder_Indice_Maestro.md en la baseline candidata 00–34</x:v>
      </x:c>
      <x:c r="F93" s="26" t="str">
        <x:v>Consolidación de fuentes históricas y autoridad documental vigente</x:v>
      </x:c>
      <x:c r="G93" s="26" t="str">
        <x:v>VRM Games</x:v>
      </x:c>
      <x:c r="H93" s="26" t="str">
        <x:v>VRM Games</x:v>
      </x:c>
      <x:c r="I93" s="26" t="str">
        <x:v>P0</x:v>
      </x:c>
      <x:c r="J93" s="26" t="str">
        <x:v>Documentation RC1</x:v>
      </x:c>
      <x:c r="K93" s="26" t="str">
        <x:v>1.0</x:v>
      </x:c>
      <x:c r="L93" s="26" t="str">
        <x:v>14</x:v>
      </x:c>
      <x:c r="M93" s="26" t="str">
        <x:v>14_Project_Binder_Indice_Maestro.md</x:v>
      </x:c>
      <x:c r="N93" s="26"/>
      <x:c r="O93" s="26"/>
      <x:c r="P93" s="26"/>
      <x:c r="Q93" s="26" t="str">
        <x:v>Validación de integridad, referencias y hash</x:v>
      </x:c>
      <x:c r="R93" s="26" t="str">
        <x:v>Baseline candidate</x:v>
      </x:c>
      <x:c r="S93" s="26" t="str">
        <x:v>No</x:v>
      </x:c>
      <x:c r="T93" s="26" t="str">
        <x:v>No</x:v>
      </x:c>
      <x:c r="U93" s="26" t="str">
        <x:v>Planned</x:v>
      </x:c>
      <x:c r="V93" s="26" t="str">
        <x:v>0c24dcd47e0d44793e75e764e3fc2c146e5b1fea04d887d43feb0df558711559</x:v>
      </x:c>
      <x:c r="W93" s="26" t="str">
        <x:v>Planned</x:v>
      </x:c>
      <x:c r="X93" s="26" t="str">
        <x:v>Regenerate after document 12/13 sequence</x:v>
      </x:c>
    </x:row>
    <x:row r="94" ht="30" customHeight="1">
      <x:c r="A94" s="26" t="str">
        <x:v>CHG-RC1-DOC-15</x:v>
      </x:c>
      <x:c r="B94" s="26" t="str">
        <x:v>2026-07-01</x:v>
      </x:c>
      <x:c r="C94" s="26" t="str">
        <x:v>Documentación</x:v>
      </x:c>
      <x:c r="D94" s="26" t="str">
        <x:v>Master Guide</x:v>
      </x:c>
      <x:c r="E94" s="26" t="str">
        <x:v>Establecer 15_Guia_Maestra.md en la baseline candidata 00–34</x:v>
      </x:c>
      <x:c r="F94" s="26" t="str">
        <x:v>Consolidación de fuentes históricas y autoridad documental vigente</x:v>
      </x:c>
      <x:c r="G94" s="26" t="str">
        <x:v>VRM Games</x:v>
      </x:c>
      <x:c r="H94" s="26" t="str">
        <x:v>VRM Games</x:v>
      </x:c>
      <x:c r="I94" s="26" t="str">
        <x:v>P0</x:v>
      </x:c>
      <x:c r="J94" s="26" t="str">
        <x:v>Documentation RC1</x:v>
      </x:c>
      <x:c r="K94" s="26" t="str">
        <x:v>1.0</x:v>
      </x:c>
      <x:c r="L94" s="26" t="str">
        <x:v>15</x:v>
      </x:c>
      <x:c r="M94" s="26" t="str">
        <x:v>15_Guia_Maestra.md</x:v>
      </x:c>
      <x:c r="N94" s="26"/>
      <x:c r="O94" s="26"/>
      <x:c r="P94" s="26"/>
      <x:c r="Q94" s="26" t="str">
        <x:v>Validación de integridad, referencias y hash</x:v>
      </x:c>
      <x:c r="R94" s="26" t="str">
        <x:v>Baseline candidate</x:v>
      </x:c>
      <x:c r="S94" s="26" t="str">
        <x:v>No</x:v>
      </x:c>
      <x:c r="T94" s="26" t="str">
        <x:v>No</x:v>
      </x:c>
      <x:c r="U94" s="26" t="str">
        <x:v>Planned</x:v>
      </x:c>
      <x:c r="V94" s="26" t="str">
        <x:v>879bc1925cccf77e10df6c104302f3afc72f71e8c58dd85ae4f06e84e6f8b624</x:v>
      </x:c>
      <x:c r="W94" s="26" t="str">
        <x:v>Planned</x:v>
      </x:c>
      <x:c r="X94" s="26" t="str">
        <x:v>Regenerate after document 12/13 sequence</x:v>
      </x:c>
    </x:row>
    <x:row r="95" ht="30" customHeight="1">
      <x:c r="A95" s="26" t="str">
        <x:v>CHG-RC1-DOC-16</x:v>
      </x:c>
      <x:c r="B95" s="26" t="str">
        <x:v>2026-07-01</x:v>
      </x:c>
      <x:c r="C95" s="26" t="str">
        <x:v>Documentación</x:v>
      </x:c>
      <x:c r="D95" s="26" t="str">
        <x:v>Audit</x:v>
      </x:c>
      <x:c r="E95" s="26" t="str">
        <x:v>Establecer 16_Auditoria_Global_de_Coherencia.md en la baseline candidata 00–34</x:v>
      </x:c>
      <x:c r="F95" s="26" t="str">
        <x:v>Consolidación de fuentes históricas y autoridad documental vigente</x:v>
      </x:c>
      <x:c r="G95" s="26" t="str">
        <x:v>VRM Games</x:v>
      </x:c>
      <x:c r="H95" s="26" t="str">
        <x:v>VRM Games</x:v>
      </x:c>
      <x:c r="I95" s="26" t="str">
        <x:v>P0</x:v>
      </x:c>
      <x:c r="J95" s="26" t="str">
        <x:v>Documentation RC1</x:v>
      </x:c>
      <x:c r="K95" s="26" t="str">
        <x:v>1.0</x:v>
      </x:c>
      <x:c r="L95" s="26" t="str">
        <x:v>16</x:v>
      </x:c>
      <x:c r="M95" s="26" t="str">
        <x:v>16_Auditoria_Global_de_Coherencia.md</x:v>
      </x:c>
      <x:c r="N95" s="26"/>
      <x:c r="O95" s="26"/>
      <x:c r="P95" s="26"/>
      <x:c r="Q95" s="26" t="str">
        <x:v>Validación de integridad, referencias y hash</x:v>
      </x:c>
      <x:c r="R95" s="26" t="str">
        <x:v>Baseline candidate</x:v>
      </x:c>
      <x:c r="S95" s="26" t="str">
        <x:v>No</x:v>
      </x:c>
      <x:c r="T95" s="26" t="str">
        <x:v>No</x:v>
      </x:c>
      <x:c r="U95" s="26" t="str">
        <x:v>Planned</x:v>
      </x:c>
      <x:c r="V95" s="26" t="str">
        <x:v>4a62376b8aee623be40957ae0511d2dcab2919947f3abb2cef3502b9bb60863e</x:v>
      </x:c>
      <x:c r="W95" s="26" t="str">
        <x:v>Planned</x:v>
      </x:c>
      <x:c r="X95" s="26" t="str">
        <x:v>Regenerate after document 12/13 sequence</x:v>
      </x:c>
    </x:row>
    <x:row r="96" ht="30" customHeight="1">
      <x:c r="A96" s="26" t="str">
        <x:v>CHG-RC1-DOC-17</x:v>
      </x:c>
      <x:c r="B96" s="26" t="str">
        <x:v>2026-07-01</x:v>
      </x:c>
      <x:c r="C96" s="26" t="str">
        <x:v>Documentación</x:v>
      </x:c>
      <x:c r="D96" s="26" t="str">
        <x:v>Art</x:v>
      </x:c>
      <x:c r="E96" s="26" t="str">
        <x:v>Establecer 17_Art_Bible.md en la baseline candidata 00–34</x:v>
      </x:c>
      <x:c r="F96" s="26" t="str">
        <x:v>Consolidación de fuentes históricas y autoridad documental vigente</x:v>
      </x:c>
      <x:c r="G96" s="26" t="str">
        <x:v>VRM Games</x:v>
      </x:c>
      <x:c r="H96" s="26" t="str">
        <x:v>VRM Games</x:v>
      </x:c>
      <x:c r="I96" s="26" t="str">
        <x:v>P1</x:v>
      </x:c>
      <x:c r="J96" s="26" t="str">
        <x:v>Documentation RC1</x:v>
      </x:c>
      <x:c r="K96" s="26" t="str">
        <x:v>1.0</x:v>
      </x:c>
      <x:c r="L96" s="26" t="str">
        <x:v>17</x:v>
      </x:c>
      <x:c r="M96" s="26" t="str">
        <x:v>17_Art_Bible.md</x:v>
      </x:c>
      <x:c r="N96" s="26"/>
      <x:c r="O96" s="26"/>
      <x:c r="P96" s="26"/>
      <x:c r="Q96" s="26" t="str">
        <x:v>Validación de integridad, referencias y hash</x:v>
      </x:c>
      <x:c r="R96" s="26" t="str">
        <x:v>Baseline candidate</x:v>
      </x:c>
      <x:c r="S96" s="26" t="str">
        <x:v>No</x:v>
      </x:c>
      <x:c r="T96" s="26" t="str">
        <x:v>No</x:v>
      </x:c>
      <x:c r="U96" s="26" t="str">
        <x:v>Closed</x:v>
      </x:c>
      <x:c r="V96" s="26" t="str">
        <x:v>095c6cc42223a972c7faa68435595fc7c22f839fabc62b2038371a0ef6c14239</x:v>
      </x:c>
      <x:c r="W96" s="26" t="str">
        <x:v>Accepted / Candidate</x:v>
      </x:c>
      <x:c r="X96" s="26" t="str">
        <x:v>No action except propagated corrections</x:v>
      </x:c>
    </x:row>
    <x:row r="97" ht="30" customHeight="1">
      <x:c r="A97" s="26" t="str">
        <x:v>CHG-RC1-DOC-18</x:v>
      </x:c>
      <x:c r="B97" s="26" t="str">
        <x:v>2026-07-01</x:v>
      </x:c>
      <x:c r="C97" s="26" t="str">
        <x:v>Documentación</x:v>
      </x:c>
      <x:c r="D97" s="26" t="str">
        <x:v>Audio</x:v>
      </x:c>
      <x:c r="E97" s="26" t="str">
        <x:v>Establecer 18_Audio_Bible.md en la baseline candidata 00–34</x:v>
      </x:c>
      <x:c r="F97" s="26" t="str">
        <x:v>Consolidación de fuentes históricas y autoridad documental vigente</x:v>
      </x:c>
      <x:c r="G97" s="26" t="str">
        <x:v>VRM Games</x:v>
      </x:c>
      <x:c r="H97" s="26" t="str">
        <x:v>VRM Games</x:v>
      </x:c>
      <x:c r="I97" s="26" t="str">
        <x:v>P1</x:v>
      </x:c>
      <x:c r="J97" s="26" t="str">
        <x:v>Documentation RC1</x:v>
      </x:c>
      <x:c r="K97" s="26" t="str">
        <x:v>1.0</x:v>
      </x:c>
      <x:c r="L97" s="26" t="str">
        <x:v>18</x:v>
      </x:c>
      <x:c r="M97" s="26" t="str">
        <x:v>18_Audio_Bible.md</x:v>
      </x:c>
      <x:c r="N97" s="26"/>
      <x:c r="O97" s="26"/>
      <x:c r="P97" s="26"/>
      <x:c r="Q97" s="26" t="str">
        <x:v>Validación de integridad, referencias y hash</x:v>
      </x:c>
      <x:c r="R97" s="26" t="str">
        <x:v>Baseline candidate</x:v>
      </x:c>
      <x:c r="S97" s="26" t="str">
        <x:v>No</x:v>
      </x:c>
      <x:c r="T97" s="26" t="str">
        <x:v>No</x:v>
      </x:c>
      <x:c r="U97" s="26" t="str">
        <x:v>Closed</x:v>
      </x:c>
      <x:c r="V97" s="26" t="str">
        <x:v>c2eabe93a7c26f70e1d4d77fb0ddcaa97e2cdd1e70247e637b9db5bd2f07ce92</x:v>
      </x:c>
      <x:c r="W97" s="26" t="str">
        <x:v>Accepted / Candidate</x:v>
      </x:c>
      <x:c r="X97" s="26" t="str">
        <x:v>No action except propagated corrections</x:v>
      </x:c>
    </x:row>
    <x:row r="98" ht="30" customHeight="1">
      <x:c r="A98" s="26" t="str">
        <x:v>CHG-RC1-DOC-19</x:v>
      </x:c>
      <x:c r="B98" s="26" t="str">
        <x:v>2026-07-01</x:v>
      </x:c>
      <x:c r="C98" s="26" t="str">
        <x:v>Documentación</x:v>
      </x:c>
      <x:c r="D98" s="26" t="str">
        <x:v>UI</x:v>
      </x:c>
      <x:c r="E98" s="26" t="str">
        <x:v>Establecer 19_UI_Style_Guide.md en la baseline candidata 00–34</x:v>
      </x:c>
      <x:c r="F98" s="26" t="str">
        <x:v>Consolidación de fuentes históricas y autoridad documental vigente</x:v>
      </x:c>
      <x:c r="G98" s="26" t="str">
        <x:v>VRM Games</x:v>
      </x:c>
      <x:c r="H98" s="26" t="str">
        <x:v>VRM Games</x:v>
      </x:c>
      <x:c r="I98" s="26" t="str">
        <x:v>P1</x:v>
      </x:c>
      <x:c r="J98" s="26" t="str">
        <x:v>Documentation RC1</x:v>
      </x:c>
      <x:c r="K98" s="26" t="str">
        <x:v>1.0</x:v>
      </x:c>
      <x:c r="L98" s="26" t="str">
        <x:v>19</x:v>
      </x:c>
      <x:c r="M98" s="26" t="str">
        <x:v>19_UI_Style_Guide.md</x:v>
      </x:c>
      <x:c r="N98" s="26"/>
      <x:c r="O98" s="26"/>
      <x:c r="P98" s="26"/>
      <x:c r="Q98" s="26" t="str">
        <x:v>Validación de integridad, referencias y hash</x:v>
      </x:c>
      <x:c r="R98" s="26" t="str">
        <x:v>Baseline candidate</x:v>
      </x:c>
      <x:c r="S98" s="26" t="str">
        <x:v>No</x:v>
      </x:c>
      <x:c r="T98" s="26" t="str">
        <x:v>No</x:v>
      </x:c>
      <x:c r="U98" s="26" t="str">
        <x:v>Closed</x:v>
      </x:c>
      <x:c r="V98" s="26" t="str">
        <x:v>b34ca4db1eba7a536466b6a9a105d8d92396ade2108aa7dd99fa7d5d4eaebc1a</x:v>
      </x:c>
      <x:c r="W98" s="26" t="str">
        <x:v>Accepted / Candidate</x:v>
      </x:c>
      <x:c r="X98" s="26" t="str">
        <x:v>No action except propagated corrections</x:v>
      </x:c>
    </x:row>
    <x:row r="99" ht="30" customHeight="1">
      <x:c r="A99" s="26" t="str">
        <x:v>CHG-RC1-DOC-20</x:v>
      </x:c>
      <x:c r="B99" s="26" t="str">
        <x:v>2026-07-01</x:v>
      </x:c>
      <x:c r="C99" s="26" t="str">
        <x:v>Documentación</x:v>
      </x:c>
      <x:c r="D99" s="26" t="str">
        <x:v>Economy/Balance</x:v>
      </x:c>
      <x:c r="E99" s="26" t="str">
        <x:v>Establecer 20_Economy_and_Balance_Specification.md en la baseline candidata 00–34</x:v>
      </x:c>
      <x:c r="F99" s="26" t="str">
        <x:v>Consolidación de fuentes históricas y autoridad documental vigente</x:v>
      </x:c>
      <x:c r="G99" s="26" t="str">
        <x:v>VRM Games</x:v>
      </x:c>
      <x:c r="H99" s="26" t="str">
        <x:v>VRM Games</x:v>
      </x:c>
      <x:c r="I99" s="26" t="str">
        <x:v>P1</x:v>
      </x:c>
      <x:c r="J99" s="26" t="str">
        <x:v>Documentation RC1</x:v>
      </x:c>
      <x:c r="K99" s="26" t="str">
        <x:v>1.0</x:v>
      </x:c>
      <x:c r="L99" s="26" t="str">
        <x:v>20</x:v>
      </x:c>
      <x:c r="M99" s="26" t="str">
        <x:v>20_Economy_and_Balance_Specification.md</x:v>
      </x:c>
      <x:c r="N99" s="26"/>
      <x:c r="O99" s="26"/>
      <x:c r="P99" s="26"/>
      <x:c r="Q99" s="26" t="str">
        <x:v>Validación de integridad, referencias y hash</x:v>
      </x:c>
      <x:c r="R99" s="26" t="str">
        <x:v>Baseline candidate</x:v>
      </x:c>
      <x:c r="S99" s="26" t="str">
        <x:v>No</x:v>
      </x:c>
      <x:c r="T99" s="26" t="str">
        <x:v>No</x:v>
      </x:c>
      <x:c r="U99" s="26" t="str">
        <x:v>Closed</x:v>
      </x:c>
      <x:c r="V99" s="26" t="str">
        <x:v>908c70772ed35eecdb05c3036c6901523a4caf2c3e708ca8f049c2a160ef2aac</x:v>
      </x:c>
      <x:c r="W99" s="26" t="str">
        <x:v>Accepted / Candidate</x:v>
      </x:c>
      <x:c r="X99" s="26" t="str">
        <x:v>No action except propagated corrections</x:v>
      </x:c>
    </x:row>
    <x:row r="100" ht="30" customHeight="1">
      <x:c r="A100" s="26" t="str">
        <x:v>CHG-RC1-DOC-21</x:v>
      </x:c>
      <x:c r="B100" s="26" t="str">
        <x:v>2026-07-01</x:v>
      </x:c>
      <x:c r="C100" s="26" t="str">
        <x:v>Documentación</x:v>
      </x:c>
      <x:c r="D100" s="26" t="str">
        <x:v>Content</x:v>
      </x:c>
      <x:c r="E100" s="26" t="str">
        <x:v>Establecer 21_Initial_Content_Catalog.xlsx en la baseline candidata 00–34</x:v>
      </x:c>
      <x:c r="F100" s="26" t="str">
        <x:v>Consolidación de fuentes históricas y autoridad documental vigente</x:v>
      </x:c>
      <x:c r="G100" s="26" t="str">
        <x:v>VRM Games</x:v>
      </x:c>
      <x:c r="H100" s="26" t="str">
        <x:v>VRM Games</x:v>
      </x:c>
      <x:c r="I100" s="26" t="str">
        <x:v>P1</x:v>
      </x:c>
      <x:c r="J100" s="26" t="str">
        <x:v>Documentation RC1</x:v>
      </x:c>
      <x:c r="K100" s="26" t="str">
        <x:v>1.0</x:v>
      </x:c>
      <x:c r="L100" s="26" t="str">
        <x:v>21</x:v>
      </x:c>
      <x:c r="M100" s="26" t="str">
        <x:v>21_Initial_Content_Catalog.xlsx</x:v>
      </x:c>
      <x:c r="N100" s="26"/>
      <x:c r="O100" s="26"/>
      <x:c r="P100" s="26"/>
      <x:c r="Q100" s="26" t="str">
        <x:v>Validación de integridad, referencias y hash</x:v>
      </x:c>
      <x:c r="R100" s="26" t="str">
        <x:v>Baseline candidate</x:v>
      </x:c>
      <x:c r="S100" s="26" t="str">
        <x:v>No</x:v>
      </x:c>
      <x:c r="T100" s="26" t="str">
        <x:v>No</x:v>
      </x:c>
      <x:c r="U100" s="26" t="str">
        <x:v>Planned</x:v>
      </x:c>
      <x:c r="V100" s="26" t="str">
        <x:v>9047299f60cfbd368fc4a2c8bee8d0ff4132dc5642363a9a67d1523559eb9ed3</x:v>
      </x:c>
      <x:c r="W100" s="26" t="str">
        <x:v>Planned</x:v>
      </x:c>
      <x:c r="X100" s="26" t="str">
        <x:v>Targeted update after governance refresh</x:v>
      </x:c>
    </x:row>
    <x:row r="101" ht="30" customHeight="1">
      <x:c r="A101" s="26" t="str">
        <x:v>CHG-RC1-DOC-22</x:v>
      </x:c>
      <x:c r="B101" s="26" t="str">
        <x:v>2026-07-01</x:v>
      </x:c>
      <x:c r="C101" s="26" t="str">
        <x:v>Documentación</x:v>
      </x:c>
      <x:c r="D101" s="26" t="str">
        <x:v>Localization</x:v>
      </x:c>
      <x:c r="E101" s="26" t="str">
        <x:v>Establecer 22_Localization_Plan.md en la baseline candidata 00–34</x:v>
      </x:c>
      <x:c r="F101" s="26" t="str">
        <x:v>Consolidación de fuentes históricas y autoridad documental vigente</x:v>
      </x:c>
      <x:c r="G101" s="26" t="str">
        <x:v>VRM Games</x:v>
      </x:c>
      <x:c r="H101" s="26" t="str">
        <x:v>VRM Games</x:v>
      </x:c>
      <x:c r="I101" s="26" t="str">
        <x:v>P1</x:v>
      </x:c>
      <x:c r="J101" s="26" t="str">
        <x:v>Documentation RC1</x:v>
      </x:c>
      <x:c r="K101" s="26" t="str">
        <x:v>1.0</x:v>
      </x:c>
      <x:c r="L101" s="26" t="str">
        <x:v>22</x:v>
      </x:c>
      <x:c r="M101" s="26" t="str">
        <x:v>22_Localization_Plan.md</x:v>
      </x:c>
      <x:c r="N101" s="26"/>
      <x:c r="O101" s="26"/>
      <x:c r="P101" s="26"/>
      <x:c r="Q101" s="26" t="str">
        <x:v>Validación de integridad, referencias y hash</x:v>
      </x:c>
      <x:c r="R101" s="26" t="str">
        <x:v>Baseline candidate</x:v>
      </x:c>
      <x:c r="S101" s="26" t="str">
        <x:v>No</x:v>
      </x:c>
      <x:c r="T101" s="26" t="str">
        <x:v>No</x:v>
      </x:c>
      <x:c r="U101" s="26" t="str">
        <x:v>Closed</x:v>
      </x:c>
      <x:c r="V101" s="26" t="str">
        <x:v>184a53b2813bc1327a6913e6e88ea4c81142da1ee4ddeff88f75467c784f1ff0</x:v>
      </x:c>
      <x:c r="W101" s="26" t="str">
        <x:v>Accepted / Candidate</x:v>
      </x:c>
      <x:c r="X101" s="26" t="str">
        <x:v>No action except propagated corrections</x:v>
      </x:c>
    </x:row>
    <x:row r="102" ht="30" customHeight="1">
      <x:c r="A102" s="26" t="str">
        <x:v>CHG-RC1-DOC-23</x:v>
      </x:c>
      <x:c r="B102" s="26" t="str">
        <x:v>2026-07-01</x:v>
      </x:c>
      <x:c r="C102" s="26" t="str">
        <x:v>Documentación</x:v>
      </x:c>
      <x:c r="D102" s="26" t="str">
        <x:v>Legal/Licenses</x:v>
      </x:c>
      <x:c r="E102" s="26" t="str">
        <x:v>Establecer 23_Legal_Credits_and_Licenses_Register.xlsx en la baseline candidata 00–34</x:v>
      </x:c>
      <x:c r="F102" s="26" t="str">
        <x:v>Consolidación de fuentes históricas y autoridad documental vigente</x:v>
      </x:c>
      <x:c r="G102" s="26" t="str">
        <x:v>VRM Games</x:v>
      </x:c>
      <x:c r="H102" s="26" t="str">
        <x:v>VRM Games</x:v>
      </x:c>
      <x:c r="I102" s="26" t="str">
        <x:v>P1</x:v>
      </x:c>
      <x:c r="J102" s="26" t="str">
        <x:v>Documentation RC1</x:v>
      </x:c>
      <x:c r="K102" s="26" t="str">
        <x:v>1.0</x:v>
      </x:c>
      <x:c r="L102" s="26" t="str">
        <x:v>23</x:v>
      </x:c>
      <x:c r="M102" s="26" t="str">
        <x:v>23_Legal_Credits_and_Licenses_Register.xlsx</x:v>
      </x:c>
      <x:c r="N102" s="26"/>
      <x:c r="O102" s="26"/>
      <x:c r="P102" s="26"/>
      <x:c r="Q102" s="26" t="str">
        <x:v>Validación de integridad, referencias y hash</x:v>
      </x:c>
      <x:c r="R102" s="26" t="str">
        <x:v>Baseline candidate</x:v>
      </x:c>
      <x:c r="S102" s="26" t="str">
        <x:v>No</x:v>
      </x:c>
      <x:c r="T102" s="26" t="str">
        <x:v>No</x:v>
      </x:c>
      <x:c r="U102" s="26" t="str">
        <x:v>Planned</x:v>
      </x:c>
      <x:c r="V102" s="26" t="str">
        <x:v>f543b3b5de8900f405910fac5d72697045f8c4969d98fce4c1cf4f12e532b2f1</x:v>
      </x:c>
      <x:c r="W102" s="26" t="str">
        <x:v>Planned</x:v>
      </x:c>
      <x:c r="X102" s="26" t="str">
        <x:v>Targeted update after governance refresh</x:v>
      </x:c>
    </x:row>
    <x:row r="103" ht="30" customHeight="1">
      <x:c r="A103" s="26" t="str">
        <x:v>CHG-RC1-DOC-24</x:v>
      </x:c>
      <x:c r="B103" s="26" t="str">
        <x:v>2026-07-01</x:v>
      </x:c>
      <x:c r="C103" s="26" t="str">
        <x:v>Documentación</x:v>
      </x:c>
      <x:c r="D103" s="26" t="str">
        <x:v>Steam Publishing</x:v>
      </x:c>
      <x:c r="E103" s="26" t="str">
        <x:v>Establecer 24_Steam_Publishing_Plan.md en la baseline candidata 00–34</x:v>
      </x:c>
      <x:c r="F103" s="26" t="str">
        <x:v>Consolidación de fuentes históricas y autoridad documental vigente</x:v>
      </x:c>
      <x:c r="G103" s="26" t="str">
        <x:v>VRM Games</x:v>
      </x:c>
      <x:c r="H103" s="26" t="str">
        <x:v>VRM Games</x:v>
      </x:c>
      <x:c r="I103" s="26" t="str">
        <x:v>P1</x:v>
      </x:c>
      <x:c r="J103" s="26" t="str">
        <x:v>Documentation RC1</x:v>
      </x:c>
      <x:c r="K103" s="26" t="str">
        <x:v>1.0</x:v>
      </x:c>
      <x:c r="L103" s="26" t="str">
        <x:v>24</x:v>
      </x:c>
      <x:c r="M103" s="26" t="str">
        <x:v>24_Steam_Publishing_Plan.md</x:v>
      </x:c>
      <x:c r="N103" s="26"/>
      <x:c r="O103" s="26"/>
      <x:c r="P103" s="26"/>
      <x:c r="Q103" s="26" t="str">
        <x:v>Validación de integridad, referencias y hash</x:v>
      </x:c>
      <x:c r="R103" s="26" t="str">
        <x:v>Baseline candidate</x:v>
      </x:c>
      <x:c r="S103" s="26" t="str">
        <x:v>No</x:v>
      </x:c>
      <x:c r="T103" s="26" t="str">
        <x:v>No</x:v>
      </x:c>
      <x:c r="U103" s="26" t="str">
        <x:v>Closed</x:v>
      </x:c>
      <x:c r="V103" s="26" t="str">
        <x:v>f087e24d3a18f8c4a6651728d5f70d1df804042587e206fdeac2e7e637a87646</x:v>
      </x:c>
      <x:c r="W103" s="26" t="str">
        <x:v>Accepted / Candidate</x:v>
      </x:c>
      <x:c r="X103" s="26" t="str">
        <x:v>No action except propagated corrections</x:v>
      </x:c>
    </x:row>
    <x:row r="104" ht="30" customHeight="1">
      <x:c r="A104" s="26" t="str">
        <x:v>CHG-RC1-DOC-25</x:v>
      </x:c>
      <x:c r="B104" s="26" t="str">
        <x:v>2026-07-01</x:v>
      </x:c>
      <x:c r="C104" s="26" t="str">
        <x:v>Documentación</x:v>
      </x:c>
      <x:c r="D104" s="26" t="str">
        <x:v>Live Operations</x:v>
      </x:c>
      <x:c r="E104" s="26" t="str">
        <x:v>Establecer 25_Post_Launch_and_Live_Operations_Plan.md en la baseline candidata 00–34</x:v>
      </x:c>
      <x:c r="F104" s="26" t="str">
        <x:v>Consolidación de fuentes históricas y autoridad documental vigente</x:v>
      </x:c>
      <x:c r="G104" s="26" t="str">
        <x:v>VRM Games</x:v>
      </x:c>
      <x:c r="H104" s="26" t="str">
        <x:v>VRM Games</x:v>
      </x:c>
      <x:c r="I104" s="26" t="str">
        <x:v>P1</x:v>
      </x:c>
      <x:c r="J104" s="26" t="str">
        <x:v>Documentation RC1</x:v>
      </x:c>
      <x:c r="K104" s="26" t="str">
        <x:v>1.0</x:v>
      </x:c>
      <x:c r="L104" s="26" t="str">
        <x:v>25</x:v>
      </x:c>
      <x:c r="M104" s="26" t="str">
        <x:v>25_Post_Launch_and_Live_Operations_Plan.md</x:v>
      </x:c>
      <x:c r="N104" s="26"/>
      <x:c r="O104" s="26"/>
      <x:c r="P104" s="26"/>
      <x:c r="Q104" s="26" t="str">
        <x:v>Validación de integridad, referencias y hash</x:v>
      </x:c>
      <x:c r="R104" s="26" t="str">
        <x:v>Baseline candidate</x:v>
      </x:c>
      <x:c r="S104" s="26" t="str">
        <x:v>No</x:v>
      </x:c>
      <x:c r="T104" s="26" t="str">
        <x:v>No</x:v>
      </x:c>
      <x:c r="U104" s="26" t="str">
        <x:v>Closed</x:v>
      </x:c>
      <x:c r="V104" s="26" t="str">
        <x:v>158e1e43514c5d5d6c365f6cd1a73929f54c4a48c5cc460b593530ae5e49bac9</x:v>
      </x:c>
      <x:c r="W104" s="26" t="str">
        <x:v>Accepted / Candidate</x:v>
      </x:c>
      <x:c r="X104" s="26" t="str">
        <x:v>No action except propagated corrections</x:v>
      </x:c>
    </x:row>
    <x:row r="105" ht="30" customHeight="1">
      <x:c r="A105" s="26" t="str">
        <x:v>CHG-RC1-DOC-26</x:v>
      </x:c>
      <x:c r="B105" s="26" t="str">
        <x:v>2026-07-01</x:v>
      </x:c>
      <x:c r="C105" s="26" t="str">
        <x:v>Documentación</x:v>
      </x:c>
      <x:c r="D105" s="26" t="str">
        <x:v>Privacy/Data</x:v>
      </x:c>
      <x:c r="E105" s="26" t="str">
        <x:v>Establecer 26_Privacy_Data_and_Telemetry_Plan.md en la baseline candidata 00–34</x:v>
      </x:c>
      <x:c r="F105" s="26" t="str">
        <x:v>Consolidación de fuentes históricas y autoridad documental vigente</x:v>
      </x:c>
      <x:c r="G105" s="26" t="str">
        <x:v>VRM Games</x:v>
      </x:c>
      <x:c r="H105" s="26" t="str">
        <x:v>VRM Games</x:v>
      </x:c>
      <x:c r="I105" s="26" t="str">
        <x:v>P1</x:v>
      </x:c>
      <x:c r="J105" s="26" t="str">
        <x:v>Documentation RC1</x:v>
      </x:c>
      <x:c r="K105" s="26" t="str">
        <x:v>1.0</x:v>
      </x:c>
      <x:c r="L105" s="26" t="str">
        <x:v>26</x:v>
      </x:c>
      <x:c r="M105" s="26" t="str">
        <x:v>26_Privacy_Data_and_Telemetry_Plan.md</x:v>
      </x:c>
      <x:c r="N105" s="26"/>
      <x:c r="O105" s="26"/>
      <x:c r="P105" s="26"/>
      <x:c r="Q105" s="26" t="str">
        <x:v>Validación de integridad, referencias y hash</x:v>
      </x:c>
      <x:c r="R105" s="26" t="str">
        <x:v>Baseline candidate</x:v>
      </x:c>
      <x:c r="S105" s="26" t="str">
        <x:v>No</x:v>
      </x:c>
      <x:c r="T105" s="26" t="str">
        <x:v>No</x:v>
      </x:c>
      <x:c r="U105" s="26" t="str">
        <x:v>Closed</x:v>
      </x:c>
      <x:c r="V105" s="26" t="str">
        <x:v>284abfe537793c2ec8b0e5cbac484cd9395567c4434aef7f5ad5ee7005e95f36</x:v>
      </x:c>
      <x:c r="W105" s="26" t="str">
        <x:v>Accepted / Candidate</x:v>
      </x:c>
      <x:c r="X105" s="26" t="str">
        <x:v>No action except propagated corrections</x:v>
      </x:c>
    </x:row>
    <x:row r="106" ht="30" customHeight="1">
      <x:c r="A106" s="26" t="str">
        <x:v>CHG-RC1-DOC-27</x:v>
      </x:c>
      <x:c r="B106" s="26" t="str">
        <x:v>2026-07-01</x:v>
      </x:c>
      <x:c r="C106" s="26" t="str">
        <x:v>Documentación</x:v>
      </x:c>
      <x:c r="D106" s="26" t="str">
        <x:v>Security</x:v>
      </x:c>
      <x:c r="E106" s="26" t="str">
        <x:v>Establecer 27_Security_and_Incident_Response_Plan.md en la baseline candidata 00–34</x:v>
      </x:c>
      <x:c r="F106" s="26" t="str">
        <x:v>Consolidación de fuentes históricas y autoridad documental vigente</x:v>
      </x:c>
      <x:c r="G106" s="26" t="str">
        <x:v>VRM Games</x:v>
      </x:c>
      <x:c r="H106" s="26" t="str">
        <x:v>VRM Games</x:v>
      </x:c>
      <x:c r="I106" s="26" t="str">
        <x:v>P1</x:v>
      </x:c>
      <x:c r="J106" s="26" t="str">
        <x:v>Documentation RC1</x:v>
      </x:c>
      <x:c r="K106" s="26" t="str">
        <x:v>1.0</x:v>
      </x:c>
      <x:c r="L106" s="26" t="str">
        <x:v>27</x:v>
      </x:c>
      <x:c r="M106" s="26" t="str">
        <x:v>27_Security_and_Incident_Response_Plan.md</x:v>
      </x:c>
      <x:c r="N106" s="26"/>
      <x:c r="O106" s="26"/>
      <x:c r="P106" s="26"/>
      <x:c r="Q106" s="26" t="str">
        <x:v>Validación de integridad, referencias y hash</x:v>
      </x:c>
      <x:c r="R106" s="26" t="str">
        <x:v>Baseline candidate</x:v>
      </x:c>
      <x:c r="S106" s="26" t="str">
        <x:v>No</x:v>
      </x:c>
      <x:c r="T106" s="26" t="str">
        <x:v>No</x:v>
      </x:c>
      <x:c r="U106" s="26" t="str">
        <x:v>Closed</x:v>
      </x:c>
      <x:c r="V106" s="26" t="str">
        <x:v>f925bfbf3df2000323c12a4486480d06c8ab8181684e5922168b8bdf89d05f92</x:v>
      </x:c>
      <x:c r="W106" s="26" t="str">
        <x:v>Accepted / Candidate</x:v>
      </x:c>
      <x:c r="X106" s="26" t="str">
        <x:v>No action except propagated corrections</x:v>
      </x:c>
    </x:row>
    <x:row r="107" ht="30" customHeight="1">
      <x:c r="A107" s="26" t="str">
        <x:v>CHG-RC1-DOC-28</x:v>
      </x:c>
      <x:c r="B107" s="26" t="str">
        <x:v>2026-07-01</x:v>
      </x:c>
      <x:c r="C107" s="26" t="str">
        <x:v>Documentación</x:v>
      </x:c>
      <x:c r="D107" s="26" t="str">
        <x:v>Marketing/Communication</x:v>
      </x:c>
      <x:c r="E107" s="26" t="str">
        <x:v>Establecer 28_Marketing_and_Communication_Plan.md en la baseline candidata 00–34</x:v>
      </x:c>
      <x:c r="F107" s="26" t="str">
        <x:v>Consolidación de fuentes históricas y autoridad documental vigente</x:v>
      </x:c>
      <x:c r="G107" s="26" t="str">
        <x:v>VRM Games</x:v>
      </x:c>
      <x:c r="H107" s="26" t="str">
        <x:v>VRM Games</x:v>
      </x:c>
      <x:c r="I107" s="26" t="str">
        <x:v>P1</x:v>
      </x:c>
      <x:c r="J107" s="26" t="str">
        <x:v>Documentation RC1</x:v>
      </x:c>
      <x:c r="K107" s="26" t="str">
        <x:v>1.0</x:v>
      </x:c>
      <x:c r="L107" s="26" t="str">
        <x:v>28</x:v>
      </x:c>
      <x:c r="M107" s="26" t="str">
        <x:v>28_Marketing_and_Communication_Plan.md</x:v>
      </x:c>
      <x:c r="N107" s="26"/>
      <x:c r="O107" s="26"/>
      <x:c r="P107" s="26"/>
      <x:c r="Q107" s="26" t="str">
        <x:v>Validación de integridad, referencias y hash</x:v>
      </x:c>
      <x:c r="R107" s="26" t="str">
        <x:v>Baseline candidate</x:v>
      </x:c>
      <x:c r="S107" s="26" t="str">
        <x:v>No</x:v>
      </x:c>
      <x:c r="T107" s="26" t="str">
        <x:v>No</x:v>
      </x:c>
      <x:c r="U107" s="26" t="str">
        <x:v>Closed</x:v>
      </x:c>
      <x:c r="V107" s="26" t="str">
        <x:v>28dd332855126558b3da6019f2e546b1e8ab7db81dc530a89f3e3fbfe757cded</x:v>
      </x:c>
      <x:c r="W107" s="26" t="str">
        <x:v>Accepted / Candidate</x:v>
      </x:c>
      <x:c r="X107" s="26" t="str">
        <x:v>No action except propagated corrections</x:v>
      </x:c>
    </x:row>
    <x:row r="108" ht="30" customHeight="1">
      <x:c r="A108" s="26" t="str">
        <x:v>CHG-RC1-DOC-29</x:v>
      </x:c>
      <x:c r="B108" s="26" t="str">
        <x:v>2026-07-01</x:v>
      </x:c>
      <x:c r="C108" s="26" t="str">
        <x:v>Documentación</x:v>
      </x:c>
      <x:c r="D108" s="26" t="str">
        <x:v>Accessibility</x:v>
      </x:c>
      <x:c r="E108" s="26" t="str">
        <x:v>Establecer 29_Accessibility_and_Inclusive_Design_Plan.md en la baseline candidata 00–34</x:v>
      </x:c>
      <x:c r="F108" s="26" t="str">
        <x:v>Consolidación de fuentes históricas y autoridad documental vigente</x:v>
      </x:c>
      <x:c r="G108" s="26" t="str">
        <x:v>VRM Games</x:v>
      </x:c>
      <x:c r="H108" s="26" t="str">
        <x:v>VRM Games</x:v>
      </x:c>
      <x:c r="I108" s="26" t="str">
        <x:v>P1</x:v>
      </x:c>
      <x:c r="J108" s="26" t="str">
        <x:v>Documentation RC1</x:v>
      </x:c>
      <x:c r="K108" s="26" t="str">
        <x:v>1.0</x:v>
      </x:c>
      <x:c r="L108" s="26" t="str">
        <x:v>29</x:v>
      </x:c>
      <x:c r="M108" s="26" t="str">
        <x:v>29_Accessibility_and_Inclusive_Design_Plan.md</x:v>
      </x:c>
      <x:c r="N108" s="26"/>
      <x:c r="O108" s="26"/>
      <x:c r="P108" s="26"/>
      <x:c r="Q108" s="26" t="str">
        <x:v>Validación de integridad, referencias y hash</x:v>
      </x:c>
      <x:c r="R108" s="26" t="str">
        <x:v>Baseline candidate</x:v>
      </x:c>
      <x:c r="S108" s="26" t="str">
        <x:v>No</x:v>
      </x:c>
      <x:c r="T108" s="26" t="str">
        <x:v>No</x:v>
      </x:c>
      <x:c r="U108" s="26" t="str">
        <x:v>Closed</x:v>
      </x:c>
      <x:c r="V108" s="26" t="str">
        <x:v>678ceabb509062cd93c7690315397b1cc6204c0da6a5d57324ba11e2fda64333</x:v>
      </x:c>
      <x:c r="W108" s="26" t="str">
        <x:v>Accepted / Candidate</x:v>
      </x:c>
      <x:c r="X108" s="26" t="str">
        <x:v>No action except propagated corrections</x:v>
      </x:c>
    </x:row>
    <x:row r="109" ht="30" customHeight="1">
      <x:c r="A109" s="26" t="str">
        <x:v>CHG-RC1-DOC-30</x:v>
      </x:c>
      <x:c r="B109" s="26" t="str">
        <x:v>2026-07-01</x:v>
      </x:c>
      <x:c r="C109" s="26" t="str">
        <x:v>Documentación</x:v>
      </x:c>
      <x:c r="D109" s="26" t="str">
        <x:v>Performance</x:v>
      </x:c>
      <x:c r="E109" s="26" t="str">
        <x:v>Establecer 30_Performance_and_Optimization_Plan.md en la baseline candidata 00–34</x:v>
      </x:c>
      <x:c r="F109" s="26" t="str">
        <x:v>Consolidación de fuentes históricas y autoridad documental vigente</x:v>
      </x:c>
      <x:c r="G109" s="26" t="str">
        <x:v>VRM Games</x:v>
      </x:c>
      <x:c r="H109" s="26" t="str">
        <x:v>VRM Games</x:v>
      </x:c>
      <x:c r="I109" s="26" t="str">
        <x:v>P1</x:v>
      </x:c>
      <x:c r="J109" s="26" t="str">
        <x:v>Documentation RC1</x:v>
      </x:c>
      <x:c r="K109" s="26" t="str">
        <x:v>1.0</x:v>
      </x:c>
      <x:c r="L109" s="26" t="str">
        <x:v>30</x:v>
      </x:c>
      <x:c r="M109" s="26" t="str">
        <x:v>30_Performance_and_Optimization_Plan.md</x:v>
      </x:c>
      <x:c r="N109" s="26"/>
      <x:c r="O109" s="26"/>
      <x:c r="P109" s="26"/>
      <x:c r="Q109" s="26" t="str">
        <x:v>Validación de integridad, referencias y hash</x:v>
      </x:c>
      <x:c r="R109" s="26" t="str">
        <x:v>Baseline candidate</x:v>
      </x:c>
      <x:c r="S109" s="26" t="str">
        <x:v>No</x:v>
      </x:c>
      <x:c r="T109" s="26" t="str">
        <x:v>No</x:v>
      </x:c>
      <x:c r="U109" s="26" t="str">
        <x:v>Closed</x:v>
      </x:c>
      <x:c r="V109" s="26" t="str">
        <x:v>18f53eaa61734ad735c02c8b7c70ed37f5f0e80f7c01828b05d092c49b0de260</x:v>
      </x:c>
      <x:c r="W109" s="26" t="str">
        <x:v>Accepted / Candidate</x:v>
      </x:c>
      <x:c r="X109" s="26" t="str">
        <x:v>No action except propagated corrections</x:v>
      </x:c>
    </x:row>
    <x:row r="110" ht="30" customHeight="1">
      <x:c r="A110" s="26" t="str">
        <x:v>CHG-RC1-DOC-31</x:v>
      </x:c>
      <x:c r="B110" s="26" t="str">
        <x:v>2026-07-01</x:v>
      </x:c>
      <x:c r="C110" s="26" t="str">
        <x:v>Documentación</x:v>
      </x:c>
      <x:c r="D110" s="26" t="str">
        <x:v>H6/Release Readiness</x:v>
      </x:c>
      <x:c r="E110" s="26" t="str">
        <x:v>Establecer 31_H6_and_Release_Readiness_Checklist.xlsx en la baseline candidata 00–34</x:v>
      </x:c>
      <x:c r="F110" s="26" t="str">
        <x:v>Consolidación de fuentes históricas y autoridad documental vigente</x:v>
      </x:c>
      <x:c r="G110" s="26" t="str">
        <x:v>VRM Games</x:v>
      </x:c>
      <x:c r="H110" s="26" t="str">
        <x:v>VRM Games</x:v>
      </x:c>
      <x:c r="I110" s="26" t="str">
        <x:v>P0</x:v>
      </x:c>
      <x:c r="J110" s="26" t="str">
        <x:v>Documentation RC1</x:v>
      </x:c>
      <x:c r="K110" s="26" t="str">
        <x:v>1.0</x:v>
      </x:c>
      <x:c r="L110" s="26" t="str">
        <x:v>31</x:v>
      </x:c>
      <x:c r="M110" s="26" t="str">
        <x:v>31_H6_and_Release_Readiness_Checklist.xlsx</x:v>
      </x:c>
      <x:c r="N110" s="26"/>
      <x:c r="O110" s="26"/>
      <x:c r="P110" s="26"/>
      <x:c r="Q110" s="26" t="str">
        <x:v>Validación de integridad, referencias y hash</x:v>
      </x:c>
      <x:c r="R110" s="26" t="str">
        <x:v>Baseline candidate</x:v>
      </x:c>
      <x:c r="S110" s="26" t="str">
        <x:v>No</x:v>
      </x:c>
      <x:c r="T110" s="26" t="str">
        <x:v>No</x:v>
      </x:c>
      <x:c r="U110" s="26" t="str">
        <x:v>Planned</x:v>
      </x:c>
      <x:c r="V110" s="26" t="str">
        <x:v>3ec6265ca8009a6f502008a103161492687efbc026a61c55b1205b976c255aee</x:v>
      </x:c>
      <x:c r="W110" s="26" t="str">
        <x:v>Planned</x:v>
      </x:c>
      <x:c r="X110" s="26" t="str">
        <x:v>Targeted update after governance refresh</x:v>
      </x:c>
    </x:row>
    <x:row r="111" ht="30" customHeight="1">
      <x:c r="A111" s="26" t="str">
        <x:v>CHG-RC1-DOC-32</x:v>
      </x:c>
      <x:c r="B111" s="26" t="str">
        <x:v>2026-07-01</x:v>
      </x:c>
      <x:c r="C111" s="26" t="str">
        <x:v>Documentación</x:v>
      </x:c>
      <x:c r="D111" s="26" t="str">
        <x:v>Baseline Manifest</x:v>
      </x:c>
      <x:c r="E111" s="26" t="str">
        <x:v>Establecer 32_Documentation_Baseline_Manifest.xlsx en la baseline candidata 00–34</x:v>
      </x:c>
      <x:c r="F111" s="26" t="str">
        <x:v>Consolidación de fuentes históricas y autoridad documental vigente</x:v>
      </x:c>
      <x:c r="G111" s="26" t="str">
        <x:v>VRM Games</x:v>
      </x:c>
      <x:c r="H111" s="26" t="str">
        <x:v>VRM Games</x:v>
      </x:c>
      <x:c r="I111" s="26" t="str">
        <x:v>P0</x:v>
      </x:c>
      <x:c r="J111" s="26" t="str">
        <x:v>Documentation RC1</x:v>
      </x:c>
      <x:c r="K111" s="26" t="str">
        <x:v>1.0</x:v>
      </x:c>
      <x:c r="L111" s="26" t="str">
        <x:v>32</x:v>
      </x:c>
      <x:c r="M111" s="26" t="str">
        <x:v>32_Documentation_Baseline_Manifest.xlsx</x:v>
      </x:c>
      <x:c r="N111" s="26"/>
      <x:c r="O111" s="26"/>
      <x:c r="P111" s="26"/>
      <x:c r="Q111" s="26" t="str">
        <x:v>Validación de integridad, referencias y hash</x:v>
      </x:c>
      <x:c r="R111" s="26" t="str">
        <x:v>Baseline candidate</x:v>
      </x:c>
      <x:c r="S111" s="26" t="str">
        <x:v>No</x:v>
      </x:c>
      <x:c r="T111" s="26" t="str">
        <x:v>No</x:v>
      </x:c>
      <x:c r="U111" s="26" t="str">
        <x:v>Planned</x:v>
      </x:c>
      <x:c r="V111" s="26" t="str">
        <x:v>05ef1aa53febb8015b1eb40be8f43a4f6cee5be3ce1d31c3eda03346b86ebc64</x:v>
      </x:c>
      <x:c r="W111" s="26" t="str">
        <x:v>Planned</x:v>
      </x:c>
      <x:c r="X111" s="26" t="str">
        <x:v>Regenerate candidate and final manifest near closure</x:v>
      </x:c>
    </x:row>
    <x:row r="112" ht="30" customHeight="1">
      <x:c r="A112" s="26" t="str">
        <x:v>CHG-RC1-DOC-33</x:v>
      </x:c>
      <x:c r="B112" s="26" t="str">
        <x:v>2026-07-01</x:v>
      </x:c>
      <x:c r="C112" s="26" t="str">
        <x:v>Documentación</x:v>
      </x:c>
      <x:c r="D112" s="26" t="str">
        <x:v>Risk/Continuity</x:v>
      </x:c>
      <x:c r="E112" s="26" t="str">
        <x:v>Establecer 33_Project_Risk_Register_and_Business_Continuity_Plan.xlsx en la baseline candidata 00–34</x:v>
      </x:c>
      <x:c r="F112" s="26" t="str">
        <x:v>Consolidación de fuentes históricas y autoridad documental vigente</x:v>
      </x:c>
      <x:c r="G112" s="26" t="str">
        <x:v>VRM Games</x:v>
      </x:c>
      <x:c r="H112" s="26" t="str">
        <x:v>VRM Games</x:v>
      </x:c>
      <x:c r="I112" s="26" t="str">
        <x:v>P0</x:v>
      </x:c>
      <x:c r="J112" s="26" t="str">
        <x:v>Documentation RC1</x:v>
      </x:c>
      <x:c r="K112" s="26" t="str">
        <x:v>1.0</x:v>
      </x:c>
      <x:c r="L112" s="26" t="str">
        <x:v>33</x:v>
      </x:c>
      <x:c r="M112" s="26" t="str">
        <x:v>33_Project_Risk_Register_and_Business_Continuity_Plan.xlsx</x:v>
      </x:c>
      <x:c r="N112" s="26"/>
      <x:c r="O112" s="26"/>
      <x:c r="P112" s="26"/>
      <x:c r="Q112" s="26" t="str">
        <x:v>Validación de integridad, referencias y hash</x:v>
      </x:c>
      <x:c r="R112" s="26" t="str">
        <x:v>Baseline candidate</x:v>
      </x:c>
      <x:c r="S112" s="26" t="str">
        <x:v>No</x:v>
      </x:c>
      <x:c r="T112" s="26" t="str">
        <x:v>No</x:v>
      </x:c>
      <x:c r="U112" s="26" t="str">
        <x:v>Planned</x:v>
      </x:c>
      <x:c r="V112" s="26" t="str">
        <x:v>aff3d5173017c6e90eae4b743b00af9a5106ad8e8b61f4789ff6857d10a61d88</x:v>
      </x:c>
      <x:c r="W112" s="26" t="str">
        <x:v>Planned</x:v>
      </x:c>
      <x:c r="X112" s="26" t="str">
        <x:v>Targeted update after governance refresh</x:v>
      </x:c>
    </x:row>
    <x:row r="113" ht="30" customHeight="1">
      <x:c r="A113" s="26" t="str">
        <x:v>CHG-RC1-DOC-34</x:v>
      </x:c>
      <x:c r="B113" s="26" t="str">
        <x:v>2026-07-01</x:v>
      </x:c>
      <x:c r="C113" s="26" t="str">
        <x:v>Documentación</x:v>
      </x:c>
      <x:c r="D113" s="26" t="str">
        <x:v>Operations/Handoff</x:v>
      </x:c>
      <x:c r="E113" s="26" t="str">
        <x:v>Establecer 34_Final_Handoff_and_Project_Operations_Manual.md en la baseline candidata 00–34</x:v>
      </x:c>
      <x:c r="F113" s="26" t="str">
        <x:v>Consolidación de fuentes históricas y autoridad documental vigente</x:v>
      </x:c>
      <x:c r="G113" s="26" t="str">
        <x:v>VRM Games</x:v>
      </x:c>
      <x:c r="H113" s="26" t="str">
        <x:v>VRM Games</x:v>
      </x:c>
      <x:c r="I113" s="26" t="str">
        <x:v>P0</x:v>
      </x:c>
      <x:c r="J113" s="26" t="str">
        <x:v>Documentation RC1</x:v>
      </x:c>
      <x:c r="K113" s="26" t="str">
        <x:v>1.0</x:v>
      </x:c>
      <x:c r="L113" s="26" t="str">
        <x:v>34</x:v>
      </x:c>
      <x:c r="M113" s="26" t="str">
        <x:v>34_Final_Handoff_and_Project_Operations_Manual.md</x:v>
      </x:c>
      <x:c r="N113" s="26"/>
      <x:c r="O113" s="26"/>
      <x:c r="P113" s="26"/>
      <x:c r="Q113" s="26" t="str">
        <x:v>Validación de integridad, referencias y hash</x:v>
      </x:c>
      <x:c r="R113" s="26" t="str">
        <x:v>Baseline candidate</x:v>
      </x:c>
      <x:c r="S113" s="26" t="str">
        <x:v>No</x:v>
      </x:c>
      <x:c r="T113" s="26" t="str">
        <x:v>No</x:v>
      </x:c>
      <x:c r="U113" s="26" t="str">
        <x:v>Planned</x:v>
      </x:c>
      <x:c r="V113" s="26" t="str">
        <x:v>3b3fb3519caa4f899da10bf8bec73d72b5e0c3e3c6839c83157d1351a9ef9001</x:v>
      </x:c>
      <x:c r="W113" s="26" t="str">
        <x:v>Planned</x:v>
      </x:c>
      <x:c r="X113" s="26" t="str">
        <x:v>Targeted update after governance refresh</x:v>
      </x:c>
    </x:row>
    <x:row r="114" ht="30" customHeight="1">
      <x:c r="A114" s="26" t="str">
        <x:v>CHG-RC1-CNS-001</x:v>
      </x:c>
      <x:c r="B114" s="26" t="str">
        <x:v>2026-07-01</x:v>
      </x:c>
      <x:c r="C114" s="26" t="str">
        <x:v>Gobernanza</x:v>
      </x:c>
      <x:c r="D114" s="26" t="str">
        <x:v>Documentation Baseline</x:v>
      </x:c>
      <x:c r="E114" s="26" t="str">
        <x:v>Congelar copia candidata 00–34</x:v>
      </x:c>
      <x:c r="F114" s="26" t="str">
        <x:v>Secuencia de consolidación y freeze de baseline</x:v>
      </x:c>
      <x:c r="G114" s="26" t="str">
        <x:v>VRM Games</x:v>
      </x:c>
      <x:c r="H114" s="26" t="str">
        <x:v>Documentation/Production</x:v>
      </x:c>
      <x:c r="I114" s="26" t="str">
        <x:v>P0</x:v>
      </x:c>
      <x:c r="J114" s="26" t="str">
        <x:v>Documentation RC1</x:v>
      </x:c>
      <x:c r="K114" s="26" t="str">
        <x:v>RC1</x:v>
      </x:c>
      <x:c r="L114" s="26" t="str">
        <x:v>CNS-001</x:v>
      </x:c>
      <x:c r="M114" s="26"/>
      <x:c r="N114" s="26"/>
      <x:c r="O114" s="26"/>
      <x:c r="P114" s="26"/>
      <x:c r="Q114" s="26" t="str">
        <x:v>Verificar resultado y evidencia de cierre</x:v>
      </x:c>
      <x:c r="R114" s="26" t="str">
        <x:v>Documentation package</x:v>
      </x:c>
      <x:c r="S114" s="26" t="str">
        <x:v>No</x:v>
      </x:c>
      <x:c r="T114" s="26" t="str">
        <x:v>Controlled</x:v>
      </x:c>
      <x:c r="U114" s="26" t="str">
        <x:v>Closed</x:v>
      </x:c>
      <x:c r="V114" s="26" t="str">
        <x:v>FILE_LIST.txt + PRECONSOLIDATION_SHA256.txt</x:v>
      </x:c>
      <x:c r="W114" s="26" t="str">
        <x:v>Accepted / Closed</x:v>
      </x:c>
      <x:c r="X114" s="26" t="str">
        <x:v>Baseline preconsolidación inmutable creada.</x:v>
      </x:c>
    </x:row>
    <x:row r="115" ht="30" customHeight="1">
      <x:c r="A115" s="26" t="str">
        <x:v>CHG-RC1-CNS-002</x:v>
      </x:c>
      <x:c r="B115" s="26" t="str">
        <x:v>2026-07-01</x:v>
      </x:c>
      <x:c r="C115" s="26" t="str">
        <x:v>Gobernanza</x:v>
      </x:c>
      <x:c r="D115" s="26" t="str">
        <x:v>Documentation Baseline</x:v>
      </x:c>
      <x:c r="E115" s="26" t="str">
        <x:v>Regenerar 12_Excel_Maestro_de_Produccion.xlsx</x:v>
      </x:c>
      <x:c r="F115" s="26" t="str">
        <x:v>Secuencia de consolidación y freeze de baseline</x:v>
      </x:c>
      <x:c r="G115" s="26" t="str">
        <x:v>VRM Games</x:v>
      </x:c>
      <x:c r="H115" s="26" t="str">
        <x:v>Production/Documentation</x:v>
      </x:c>
      <x:c r="I115" s="26" t="str">
        <x:v>P0</x:v>
      </x:c>
      <x:c r="J115" s="26" t="str">
        <x:v>Documentation RC1</x:v>
      </x:c>
      <x:c r="K115" s="26" t="str">
        <x:v>RC1</x:v>
      </x:c>
      <x:c r="L115" s="26" t="str">
        <x:v>CNS-002</x:v>
      </x:c>
      <x:c r="M115" s="26"/>
      <x:c r="N115" s="26"/>
      <x:c r="O115" s="26"/>
      <x:c r="P115" s="26"/>
      <x:c r="Q115" s="26" t="str">
        <x:v>Verificar resultado y evidencia de cierre</x:v>
      </x:c>
      <x:c r="R115" s="26" t="str">
        <x:v>Documentation package</x:v>
      </x:c>
      <x:c r="S115" s="26" t="str">
        <x:v>No</x:v>
      </x:c>
      <x:c r="T115" s="26" t="str">
        <x:v>Controlled</x:v>
      </x:c>
      <x:c r="U115" s="26" t="str">
        <x:v>Closed</x:v>
      </x:c>
      <x:c r="V115" s="26" t="str">
        <x:v>XLSX validado y hash externo</x:v>
      </x:c>
      <x:c r="W115" s="26" t="str">
        <x:v>Accepted / Closed</x:v>
      </x:c>
      <x:c r="X115" s="26" t="str">
        <x:v>Entregable de esta ejecución.</x:v>
      </x:c>
    </x:row>
    <x:row r="116" ht="30" customHeight="1">
      <x:c r="A116" s="26" t="str">
        <x:v>CHG-RC1-CNS-003</x:v>
      </x:c>
      <x:c r="B116" s="26" t="str">
        <x:v>2026-07-01</x:v>
      </x:c>
      <x:c r="C116" s="26" t="str">
        <x:v>Gobernanza</x:v>
      </x:c>
      <x:c r="D116" s="26" t="str">
        <x:v>Documentation Baseline</x:v>
      </x:c>
      <x:c r="E116" s="26" t="str">
        <x:v>Regenerar 13_Trazabilidad_y_Control_de_Cambios.xlsx</x:v>
      </x:c>
      <x:c r="F116" s="26" t="str">
        <x:v>Secuencia de consolidación y freeze de baseline</x:v>
      </x:c>
      <x:c r="G116" s="26" t="str">
        <x:v>VRM Games</x:v>
      </x:c>
      <x:c r="H116" s="26" t="str">
        <x:v>Documentation/Production</x:v>
      </x:c>
      <x:c r="I116" s="26" t="str">
        <x:v>P0</x:v>
      </x:c>
      <x:c r="J116" s="26" t="str">
        <x:v>Documentation RC1</x:v>
      </x:c>
      <x:c r="K116" s="26" t="str">
        <x:v>RC1</x:v>
      </x:c>
      <x:c r="L116" s="26" t="str">
        <x:v>CNS-003</x:v>
      </x:c>
      <x:c r="M116" s="26"/>
      <x:c r="N116" s="26"/>
      <x:c r="O116" s="26"/>
      <x:c r="P116" s="26"/>
      <x:c r="Q116" s="26" t="str">
        <x:v>Verificar resultado y evidencia de cierre</x:v>
      </x:c>
      <x:c r="R116" s="26" t="str">
        <x:v>Documentation package</x:v>
      </x:c>
      <x:c r="S116" s="26" t="str">
        <x:v>No</x:v>
      </x:c>
      <x:c r="T116" s="26" t="str">
        <x:v>Controlled</x:v>
      </x:c>
      <x:c r="U116" s="26" t="str">
        <x:v>Closed</x:v>
      </x:c>
      <x:c r="V116" s="26" t="str">
        <x:v>XLSX validado; hash externo</x:v>
      </x:c>
      <x:c r="W116" s="26" t="str">
        <x:v>Accepted / Closed</x:v>
      </x:c>
      <x:c r="X116" s="26" t="str">
        <x:v>Documento 13 regenerado como candidato; hash externo tras exportación.</x:v>
      </x:c>
    </x:row>
    <x:row r="117" ht="30" customHeight="1">
      <x:c r="A117" s="26" t="str">
        <x:v>CHG-RC1-CNS-004</x:v>
      </x:c>
      <x:c r="B117" s="26" t="str">
        <x:v>2026-07-01</x:v>
      </x:c>
      <x:c r="C117" s="26" t="str">
        <x:v>Gobernanza</x:v>
      </x:c>
      <x:c r="D117" s="26" t="str">
        <x:v>Documentation Baseline</x:v>
      </x:c>
      <x:c r="E117" s="26" t="str">
        <x:v>Actualizar 14_Project_Binder_Indice_Maestro.md</x:v>
      </x:c>
      <x:c r="F117" s="26" t="str">
        <x:v>Secuencia de consolidación y freeze de baseline</x:v>
      </x:c>
      <x:c r="G117" s="26" t="str">
        <x:v>VRM Games</x:v>
      </x:c>
      <x:c r="H117" s="26" t="str">
        <x:v>Documentation</x:v>
      </x:c>
      <x:c r="I117" s="26" t="str">
        <x:v>P0</x:v>
      </x:c>
      <x:c r="J117" s="26" t="str">
        <x:v>Documentation RC1</x:v>
      </x:c>
      <x:c r="K117" s="26" t="str">
        <x:v>RC1</x:v>
      </x:c>
      <x:c r="L117" s="26" t="str">
        <x:v>CNS-004</x:v>
      </x:c>
      <x:c r="M117" s="26"/>
      <x:c r="N117" s="26"/>
      <x:c r="O117" s="26"/>
      <x:c r="P117" s="26"/>
      <x:c r="Q117" s="26" t="str">
        <x:v>Verificar resultado y evidencia de cierre</x:v>
      </x:c>
      <x:c r="R117" s="26" t="str">
        <x:v>Documentation package</x:v>
      </x:c>
      <x:c r="S117" s="26" t="str">
        <x:v>No</x:v>
      </x:c>
      <x:c r="T117" s="26" t="str">
        <x:v>Controlled</x:v>
      </x:c>
      <x:c r="U117" s="26" t="str">
        <x:v>Planned</x:v>
      </x:c>
      <x:c r="V117" s="26" t="str">
        <x:v>Markdown validado</x:v>
      </x:c>
      <x:c r="W117" s="26" t="str">
        <x:v>Pending</x:v>
      </x:c>
      <x:c r="X117" s="26"/>
    </x:row>
    <x:row r="118" ht="30" customHeight="1">
      <x:c r="A118" s="26" t="str">
        <x:v>CHG-RC1-CNS-005</x:v>
      </x:c>
      <x:c r="B118" s="26" t="str">
        <x:v>2026-07-01</x:v>
      </x:c>
      <x:c r="C118" s="26" t="str">
        <x:v>Gobernanza</x:v>
      </x:c>
      <x:c r="D118" s="26" t="str">
        <x:v>Documentation Baseline</x:v>
      </x:c>
      <x:c r="E118" s="26" t="str">
        <x:v>Actualizar 15_Guia_Maestra.md</x:v>
      </x:c>
      <x:c r="F118" s="26" t="str">
        <x:v>Secuencia de consolidación y freeze de baseline</x:v>
      </x:c>
      <x:c r="G118" s="26" t="str">
        <x:v>VRM Games</x:v>
      </x:c>
      <x:c r="H118" s="26" t="str">
        <x:v>Documentation</x:v>
      </x:c>
      <x:c r="I118" s="26" t="str">
        <x:v>P0</x:v>
      </x:c>
      <x:c r="J118" s="26" t="str">
        <x:v>Documentation RC1</x:v>
      </x:c>
      <x:c r="K118" s="26" t="str">
        <x:v>RC1</x:v>
      </x:c>
      <x:c r="L118" s="26" t="str">
        <x:v>CNS-005</x:v>
      </x:c>
      <x:c r="M118" s="26"/>
      <x:c r="N118" s="26"/>
      <x:c r="O118" s="26"/>
      <x:c r="P118" s="26"/>
      <x:c r="Q118" s="26" t="str">
        <x:v>Verificar resultado y evidencia de cierre</x:v>
      </x:c>
      <x:c r="R118" s="26" t="str">
        <x:v>Documentation package</x:v>
      </x:c>
      <x:c r="S118" s="26" t="str">
        <x:v>No</x:v>
      </x:c>
      <x:c r="T118" s="26" t="str">
        <x:v>Controlled</x:v>
      </x:c>
      <x:c r="U118" s="26" t="str">
        <x:v>Planned</x:v>
      </x:c>
      <x:c r="V118" s="26" t="str">
        <x:v>Markdown validado</x:v>
      </x:c>
      <x:c r="W118" s="26" t="str">
        <x:v>Pending</x:v>
      </x:c>
      <x:c r="X118" s="26"/>
    </x:row>
    <x:row r="119" ht="30" customHeight="1">
      <x:c r="A119" s="26" t="str">
        <x:v>CHG-RC1-CNS-006</x:v>
      </x:c>
      <x:c r="B119" s="26" t="str">
        <x:v>2026-07-01</x:v>
      </x:c>
      <x:c r="C119" s="26" t="str">
        <x:v>Gobernanza</x:v>
      </x:c>
      <x:c r="D119" s="26" t="str">
        <x:v>Documentation Baseline</x:v>
      </x:c>
      <x:c r="E119" s="26" t="str">
        <x:v>Actualizar 21_Initial_Content_Catalog.xlsx</x:v>
      </x:c>
      <x:c r="F119" s="26" t="str">
        <x:v>Secuencia de consolidación y freeze de baseline</x:v>
      </x:c>
      <x:c r="G119" s="26" t="str">
        <x:v>VRM Games</x:v>
      </x:c>
      <x:c r="H119" s="26" t="str">
        <x:v>Content/Documentation</x:v>
      </x:c>
      <x:c r="I119" s="26" t="str">
        <x:v>P1</x:v>
      </x:c>
      <x:c r="J119" s="26" t="str">
        <x:v>Documentation RC1</x:v>
      </x:c>
      <x:c r="K119" s="26" t="str">
        <x:v>RC1</x:v>
      </x:c>
      <x:c r="L119" s="26" t="str">
        <x:v>CNS-006</x:v>
      </x:c>
      <x:c r="M119" s="26"/>
      <x:c r="N119" s="26"/>
      <x:c r="O119" s="26"/>
      <x:c r="P119" s="26"/>
      <x:c r="Q119" s="26" t="str">
        <x:v>Verificar resultado y evidencia de cierre</x:v>
      </x:c>
      <x:c r="R119" s="26" t="str">
        <x:v>Documentation package</x:v>
      </x:c>
      <x:c r="S119" s="26" t="str">
        <x:v>No</x:v>
      </x:c>
      <x:c r="T119" s="26" t="str">
        <x:v>Controlled</x:v>
      </x:c>
      <x:c r="U119" s="26" t="str">
        <x:v>Planned</x:v>
      </x:c>
      <x:c r="V119" s="26" t="str">
        <x:v>XLSX validado</x:v>
      </x:c>
      <x:c r="W119" s="26" t="str">
        <x:v>Pending</x:v>
      </x:c>
      <x:c r="X119" s="26"/>
    </x:row>
    <x:row r="120" ht="30" customHeight="1">
      <x:c r="A120" s="26" t="str">
        <x:v>CHG-RC1-CNS-007</x:v>
      </x:c>
      <x:c r="B120" s="26" t="str">
        <x:v>2026-07-01</x:v>
      </x:c>
      <x:c r="C120" s="26" t="str">
        <x:v>Gobernanza</x:v>
      </x:c>
      <x:c r="D120" s="26" t="str">
        <x:v>Documentation Baseline</x:v>
      </x:c>
      <x:c r="E120" s="26" t="str">
        <x:v>Actualizar 23_Legal_Credits_and_Licenses_Register.xlsx</x:v>
      </x:c>
      <x:c r="F120" s="26" t="str">
        <x:v>Secuencia de consolidación y freeze de baseline</x:v>
      </x:c>
      <x:c r="G120" s="26" t="str">
        <x:v>VRM Games</x:v>
      </x:c>
      <x:c r="H120" s="26" t="str">
        <x:v>Legal/Documentation</x:v>
      </x:c>
      <x:c r="I120" s="26" t="str">
        <x:v>P0</x:v>
      </x:c>
      <x:c r="J120" s="26" t="str">
        <x:v>Documentation RC1</x:v>
      </x:c>
      <x:c r="K120" s="26" t="str">
        <x:v>RC1</x:v>
      </x:c>
      <x:c r="L120" s="26" t="str">
        <x:v>CNS-007</x:v>
      </x:c>
      <x:c r="M120" s="26"/>
      <x:c r="N120" s="26"/>
      <x:c r="O120" s="26"/>
      <x:c r="P120" s="26"/>
      <x:c r="Q120" s="26" t="str">
        <x:v>Verificar resultado y evidencia de cierre</x:v>
      </x:c>
      <x:c r="R120" s="26" t="str">
        <x:v>Documentation package</x:v>
      </x:c>
      <x:c r="S120" s="26" t="str">
        <x:v>No</x:v>
      </x:c>
      <x:c r="T120" s="26" t="str">
        <x:v>Controlled</x:v>
      </x:c>
      <x:c r="U120" s="26" t="str">
        <x:v>Planned</x:v>
      </x:c>
      <x:c r="V120" s="26" t="str">
        <x:v>XLSX validado</x:v>
      </x:c>
      <x:c r="W120" s="26" t="str">
        <x:v>Pending</x:v>
      </x:c>
      <x:c r="X120" s="26"/>
    </x:row>
    <x:row r="121" ht="30" customHeight="1">
      <x:c r="A121" s="26" t="str">
        <x:v>CHG-RC1-CNS-008</x:v>
      </x:c>
      <x:c r="B121" s="26" t="str">
        <x:v>2026-07-01</x:v>
      </x:c>
      <x:c r="C121" s="26" t="str">
        <x:v>Gobernanza</x:v>
      </x:c>
      <x:c r="D121" s="26" t="str">
        <x:v>Documentation Baseline</x:v>
      </x:c>
      <x:c r="E121" s="26" t="str">
        <x:v>Actualizar 31_H6_and_Release_Readiness_Checklist.xlsx</x:v>
      </x:c>
      <x:c r="F121" s="26" t="str">
        <x:v>Secuencia de consolidación y freeze de baseline</x:v>
      </x:c>
      <x:c r="G121" s="26" t="str">
        <x:v>VRM Games</x:v>
      </x:c>
      <x:c r="H121" s="26" t="str">
        <x:v>QA/Production</x:v>
      </x:c>
      <x:c r="I121" s="26" t="str">
        <x:v>P0</x:v>
      </x:c>
      <x:c r="J121" s="26" t="str">
        <x:v>Documentation RC1</x:v>
      </x:c>
      <x:c r="K121" s="26" t="str">
        <x:v>RC1</x:v>
      </x:c>
      <x:c r="L121" s="26" t="str">
        <x:v>CNS-008</x:v>
      </x:c>
      <x:c r="M121" s="26"/>
      <x:c r="N121" s="26"/>
      <x:c r="O121" s="26"/>
      <x:c r="P121" s="26"/>
      <x:c r="Q121" s="26" t="str">
        <x:v>Verificar resultado y evidencia de cierre</x:v>
      </x:c>
      <x:c r="R121" s="26" t="str">
        <x:v>Documentation package</x:v>
      </x:c>
      <x:c r="S121" s="26" t="str">
        <x:v>No</x:v>
      </x:c>
      <x:c r="T121" s="26" t="str">
        <x:v>Controlled</x:v>
      </x:c>
      <x:c r="U121" s="26" t="str">
        <x:v>Planned</x:v>
      </x:c>
      <x:c r="V121" s="26" t="str">
        <x:v>XLSX validado</x:v>
      </x:c>
      <x:c r="W121" s="26" t="str">
        <x:v>Pending</x:v>
      </x:c>
      <x:c r="X121" s="26"/>
    </x:row>
    <x:row r="122" ht="30" customHeight="1">
      <x:c r="A122" s="26" t="str">
        <x:v>CHG-RC1-CNS-009</x:v>
      </x:c>
      <x:c r="B122" s="26" t="str">
        <x:v>2026-07-01</x:v>
      </x:c>
      <x:c r="C122" s="26" t="str">
        <x:v>Gobernanza</x:v>
      </x:c>
      <x:c r="D122" s="26" t="str">
        <x:v>Documentation Baseline</x:v>
      </x:c>
      <x:c r="E122" s="26" t="str">
        <x:v>Actualizar 33_Project_Risk_Register_and_Business_Continuity_Plan.xlsx</x:v>
      </x:c>
      <x:c r="F122" s="26" t="str">
        <x:v>Secuencia de consolidación y freeze de baseline</x:v>
      </x:c>
      <x:c r="G122" s="26" t="str">
        <x:v>VRM Games</x:v>
      </x:c>
      <x:c r="H122" s="26" t="str">
        <x:v>Risk/Continuity</x:v>
      </x:c>
      <x:c r="I122" s="26" t="str">
        <x:v>P0</x:v>
      </x:c>
      <x:c r="J122" s="26" t="str">
        <x:v>Documentation RC1</x:v>
      </x:c>
      <x:c r="K122" s="26" t="str">
        <x:v>RC1</x:v>
      </x:c>
      <x:c r="L122" s="26" t="str">
        <x:v>CNS-009</x:v>
      </x:c>
      <x:c r="M122" s="26"/>
      <x:c r="N122" s="26"/>
      <x:c r="O122" s="26"/>
      <x:c r="P122" s="26"/>
      <x:c r="Q122" s="26" t="str">
        <x:v>Verificar resultado y evidencia de cierre</x:v>
      </x:c>
      <x:c r="R122" s="26" t="str">
        <x:v>Documentation package</x:v>
      </x:c>
      <x:c r="S122" s="26" t="str">
        <x:v>No</x:v>
      </x:c>
      <x:c r="T122" s="26" t="str">
        <x:v>Controlled</x:v>
      </x:c>
      <x:c r="U122" s="26" t="str">
        <x:v>Planned</x:v>
      </x:c>
      <x:c r="V122" s="26" t="str">
        <x:v>XLSX validado</x:v>
      </x:c>
      <x:c r="W122" s="26" t="str">
        <x:v>Pending</x:v>
      </x:c>
      <x:c r="X122" s="26"/>
    </x:row>
    <x:row r="123" ht="30" customHeight="1">
      <x:c r="A123" s="26" t="str">
        <x:v>CHG-RC1-CNS-010</x:v>
      </x:c>
      <x:c r="B123" s="26" t="str">
        <x:v>2026-07-01</x:v>
      </x:c>
      <x:c r="C123" s="26" t="str">
        <x:v>Gobernanza</x:v>
      </x:c>
      <x:c r="D123" s="26" t="str">
        <x:v>Documentation Baseline</x:v>
      </x:c>
      <x:c r="E123" s="26" t="str">
        <x:v>Actualizar 34_Final_Handoff_and_Project_Operations_Manual.md</x:v>
      </x:c>
      <x:c r="F123" s="26" t="str">
        <x:v>Secuencia de consolidación y freeze de baseline</x:v>
      </x:c>
      <x:c r="G123" s="26" t="str">
        <x:v>VRM Games</x:v>
      </x:c>
      <x:c r="H123" s="26" t="str">
        <x:v>Operations/Documentation</x:v>
      </x:c>
      <x:c r="I123" s="26" t="str">
        <x:v>P1</x:v>
      </x:c>
      <x:c r="J123" s="26" t="str">
        <x:v>Documentation RC1</x:v>
      </x:c>
      <x:c r="K123" s="26" t="str">
        <x:v>RC1</x:v>
      </x:c>
      <x:c r="L123" s="26" t="str">
        <x:v>CNS-010</x:v>
      </x:c>
      <x:c r="M123" s="26"/>
      <x:c r="N123" s="26"/>
      <x:c r="O123" s="26"/>
      <x:c r="P123" s="26"/>
      <x:c r="Q123" s="26" t="str">
        <x:v>Verificar resultado y evidencia de cierre</x:v>
      </x:c>
      <x:c r="R123" s="26" t="str">
        <x:v>Documentation package</x:v>
      </x:c>
      <x:c r="S123" s="26" t="str">
        <x:v>No</x:v>
      </x:c>
      <x:c r="T123" s="26" t="str">
        <x:v>Controlled</x:v>
      </x:c>
      <x:c r="U123" s="26" t="str">
        <x:v>Planned</x:v>
      </x:c>
      <x:c r="V123" s="26" t="str">
        <x:v>Markdown validado</x:v>
      </x:c>
      <x:c r="W123" s="26" t="str">
        <x:v>Pending</x:v>
      </x:c>
      <x:c r="X123" s="26"/>
    </x:row>
    <x:row r="124" ht="30" customHeight="1">
      <x:c r="A124" s="26" t="str">
        <x:v>CHG-RC1-CNS-011</x:v>
      </x:c>
      <x:c r="B124" s="26" t="str">
        <x:v>2026-07-01</x:v>
      </x:c>
      <x:c r="C124" s="26" t="str">
        <x:v>Gobernanza</x:v>
      </x:c>
      <x:c r="D124" s="26" t="str">
        <x:v>Documentation Baseline</x:v>
      </x:c>
      <x:c r="E124" s="26" t="str">
        <x:v>Generar 32_Documentation_Baseline_Manifest.xlsx candidato</x:v>
      </x:c>
      <x:c r="F124" s="26" t="str">
        <x:v>Secuencia de consolidación y freeze de baseline</x:v>
      </x:c>
      <x:c r="G124" s="26" t="str">
        <x:v>VRM Games</x:v>
      </x:c>
      <x:c r="H124" s="26" t="str">
        <x:v>Documentation/Integrity</x:v>
      </x:c>
      <x:c r="I124" s="26" t="str">
        <x:v>P0</x:v>
      </x:c>
      <x:c r="J124" s="26" t="str">
        <x:v>Documentation RC1</x:v>
      </x:c>
      <x:c r="K124" s="26" t="str">
        <x:v>RC1</x:v>
      </x:c>
      <x:c r="L124" s="26" t="str">
        <x:v>CNS-011</x:v>
      </x:c>
      <x:c r="M124" s="26"/>
      <x:c r="N124" s="26"/>
      <x:c r="O124" s="26"/>
      <x:c r="P124" s="26"/>
      <x:c r="Q124" s="26" t="str">
        <x:v>Verificar resultado y evidencia de cierre</x:v>
      </x:c>
      <x:c r="R124" s="26" t="str">
        <x:v>Documentation package</x:v>
      </x:c>
      <x:c r="S124" s="26" t="str">
        <x:v>No</x:v>
      </x:c>
      <x:c r="T124" s="26" t="str">
        <x:v>Controlled</x:v>
      </x:c>
      <x:c r="U124" s="26" t="str">
        <x:v>Planned</x:v>
      </x:c>
      <x:c r="V124" s="26" t="str">
        <x:v>XLSX validado</x:v>
      </x:c>
      <x:c r="W124" s="26" t="str">
        <x:v>Pending</x:v>
      </x:c>
      <x:c r="X124" s="26"/>
    </x:row>
    <x:row r="125" ht="30" customHeight="1">
      <x:c r="A125" s="26" t="str">
        <x:v>CHG-RC1-CNS-012</x:v>
      </x:c>
      <x:c r="B125" s="26" t="str">
        <x:v>2026-07-01</x:v>
      </x:c>
      <x:c r="C125" s="26" t="str">
        <x:v>Gobernanza</x:v>
      </x:c>
      <x:c r="D125" s="26" t="str">
        <x:v>Documentation Baseline</x:v>
      </x:c>
      <x:c r="E125" s="26" t="str">
        <x:v>Regenerar 16_Auditoria_Global_de_Coherencia.md candidata</x:v>
      </x:c>
      <x:c r="F125" s="26" t="str">
        <x:v>Secuencia de consolidación y freeze de baseline</x:v>
      </x:c>
      <x:c r="G125" s="26" t="str">
        <x:v>VRM Games</x:v>
      </x:c>
      <x:c r="H125" s="26" t="str">
        <x:v>Audit/Documentation</x:v>
      </x:c>
      <x:c r="I125" s="26" t="str">
        <x:v>P0</x:v>
      </x:c>
      <x:c r="J125" s="26" t="str">
        <x:v>Documentation RC1</x:v>
      </x:c>
      <x:c r="K125" s="26" t="str">
        <x:v>RC1</x:v>
      </x:c>
      <x:c r="L125" s="26" t="str">
        <x:v>CNS-012</x:v>
      </x:c>
      <x:c r="M125" s="26"/>
      <x:c r="N125" s="26"/>
      <x:c r="O125" s="26"/>
      <x:c r="P125" s="26"/>
      <x:c r="Q125" s="26" t="str">
        <x:v>Verificar resultado y evidencia de cierre</x:v>
      </x:c>
      <x:c r="R125" s="26" t="str">
        <x:v>Documentation package</x:v>
      </x:c>
      <x:c r="S125" s="26" t="str">
        <x:v>No</x:v>
      </x:c>
      <x:c r="T125" s="26" t="str">
        <x:v>Controlled</x:v>
      </x:c>
      <x:c r="U125" s="26" t="str">
        <x:v>Planned</x:v>
      </x:c>
      <x:c r="V125" s="26" t="str">
        <x:v>Informe de hallazgos</x:v>
      </x:c>
      <x:c r="W125" s="26" t="str">
        <x:v>Pending</x:v>
      </x:c>
      <x:c r="X125" s="26"/>
    </x:row>
    <x:row r="126" ht="30" customHeight="1">
      <x:c r="A126" s="26" t="str">
        <x:v>CHG-RC1-CNS-013</x:v>
      </x:c>
      <x:c r="B126" s="26" t="str">
        <x:v>2026-07-01</x:v>
      </x:c>
      <x:c r="C126" s="26" t="str">
        <x:v>Gobernanza</x:v>
      </x:c>
      <x:c r="D126" s="26" t="str">
        <x:v>Documentation Baseline</x:v>
      </x:c>
      <x:c r="E126" s="26" t="str">
        <x:v>Resolver hallazgos de auditoría</x:v>
      </x:c>
      <x:c r="F126" s="26" t="str">
        <x:v>Secuencia de consolidación y freeze de baseline</x:v>
      </x:c>
      <x:c r="G126" s="26" t="str">
        <x:v>VRM Games</x:v>
      </x:c>
      <x:c r="H126" s="26" t="str">
        <x:v>All Owners</x:v>
      </x:c>
      <x:c r="I126" s="26" t="str">
        <x:v>P0</x:v>
      </x:c>
      <x:c r="J126" s="26" t="str">
        <x:v>Documentation RC1</x:v>
      </x:c>
      <x:c r="K126" s="26" t="str">
        <x:v>RC1</x:v>
      </x:c>
      <x:c r="L126" s="26" t="str">
        <x:v>CNS-013</x:v>
      </x:c>
      <x:c r="M126" s="26"/>
      <x:c r="N126" s="26"/>
      <x:c r="O126" s="26"/>
      <x:c r="P126" s="26"/>
      <x:c r="Q126" s="26" t="str">
        <x:v>Verificar resultado y evidencia de cierre</x:v>
      </x:c>
      <x:c r="R126" s="26" t="str">
        <x:v>Documentation package</x:v>
      </x:c>
      <x:c r="S126" s="26" t="str">
        <x:v>No</x:v>
      </x:c>
      <x:c r="T126" s="26" t="str">
        <x:v>Controlled</x:v>
      </x:c>
      <x:c r="U126" s="26" t="str">
        <x:v>Planned</x:v>
      </x:c>
      <x:c r="V126" s="26" t="str">
        <x:v>Registro de correcciones</x:v>
      </x:c>
      <x:c r="W126" s="26" t="str">
        <x:v>Pending</x:v>
      </x:c>
      <x:c r="X126" s="26"/>
    </x:row>
    <x:row r="127" ht="30" customHeight="1">
      <x:c r="A127" s="26" t="str">
        <x:v>CHG-RC1-CNS-014</x:v>
      </x:c>
      <x:c r="B127" s="26" t="str">
        <x:v>2026-07-01</x:v>
      </x:c>
      <x:c r="C127" s="26" t="str">
        <x:v>Gobernanza</x:v>
      </x:c>
      <x:c r="D127" s="26" t="str">
        <x:v>Documentation Baseline</x:v>
      </x:c>
      <x:c r="E127" s="26" t="str">
        <x:v>Regenerar 16_Auditoria_Global_de_Coherencia.md final</x:v>
      </x:c>
      <x:c r="F127" s="26" t="str">
        <x:v>Secuencia de consolidación y freeze de baseline</x:v>
      </x:c>
      <x:c r="G127" s="26" t="str">
        <x:v>VRM Games</x:v>
      </x:c>
      <x:c r="H127" s="26" t="str">
        <x:v>Audit/Documentation</x:v>
      </x:c>
      <x:c r="I127" s="26" t="str">
        <x:v>P0</x:v>
      </x:c>
      <x:c r="J127" s="26" t="str">
        <x:v>Documentation RC1</x:v>
      </x:c>
      <x:c r="K127" s="26" t="str">
        <x:v>RC1</x:v>
      </x:c>
      <x:c r="L127" s="26" t="str">
        <x:v>CNS-014</x:v>
      </x:c>
      <x:c r="M127" s="26"/>
      <x:c r="N127" s="26"/>
      <x:c r="O127" s="26"/>
      <x:c r="P127" s="26"/>
      <x:c r="Q127" s="26" t="str">
        <x:v>Verificar resultado y evidencia de cierre</x:v>
      </x:c>
      <x:c r="R127" s="26" t="str">
        <x:v>Documentation package</x:v>
      </x:c>
      <x:c r="S127" s="26" t="str">
        <x:v>No</x:v>
      </x:c>
      <x:c r="T127" s="26" t="str">
        <x:v>Controlled</x:v>
      </x:c>
      <x:c r="U127" s="26" t="str">
        <x:v>Planned</x:v>
      </x:c>
      <x:c r="V127" s="26" t="str">
        <x:v>Informe final</x:v>
      </x:c>
      <x:c r="W127" s="26" t="str">
        <x:v>Pending</x:v>
      </x:c>
      <x:c r="X127" s="26"/>
    </x:row>
    <x:row r="128" ht="30" customHeight="1">
      <x:c r="A128" s="26" t="str">
        <x:v>CHG-RC1-CNS-015</x:v>
      </x:c>
      <x:c r="B128" s="26" t="str">
        <x:v>2026-07-01</x:v>
      </x:c>
      <x:c r="C128" s="26" t="str">
        <x:v>Gobernanza</x:v>
      </x:c>
      <x:c r="D128" s="26" t="str">
        <x:v>Documentation Baseline</x:v>
      </x:c>
      <x:c r="E128" s="26" t="str">
        <x:v>Regenerar 32_Documentation_Baseline_Manifest.xlsx definitivo</x:v>
      </x:c>
      <x:c r="F128" s="26" t="str">
        <x:v>Secuencia de consolidación y freeze de baseline</x:v>
      </x:c>
      <x:c r="G128" s="26" t="str">
        <x:v>VRM Games</x:v>
      </x:c>
      <x:c r="H128" s="26" t="str">
        <x:v>Documentation/Integrity</x:v>
      </x:c>
      <x:c r="I128" s="26" t="str">
        <x:v>P0</x:v>
      </x:c>
      <x:c r="J128" s="26" t="str">
        <x:v>Documentation RC1</x:v>
      </x:c>
      <x:c r="K128" s="26" t="str">
        <x:v>RC1</x:v>
      </x:c>
      <x:c r="L128" s="26" t="str">
        <x:v>CNS-015</x:v>
      </x:c>
      <x:c r="M128" s="26"/>
      <x:c r="N128" s="26"/>
      <x:c r="O128" s="26"/>
      <x:c r="P128" s="26"/>
      <x:c r="Q128" s="26" t="str">
        <x:v>Verificar resultado y evidencia de cierre</x:v>
      </x:c>
      <x:c r="R128" s="26" t="str">
        <x:v>Documentation package</x:v>
      </x:c>
      <x:c r="S128" s="26" t="str">
        <x:v>No</x:v>
      </x:c>
      <x:c r="T128" s="26" t="str">
        <x:v>Controlled</x:v>
      </x:c>
      <x:c r="U128" s="26" t="str">
        <x:v>Planned</x:v>
      </x:c>
      <x:c r="V128" s="26" t="str">
        <x:v>XLSX + hash externo</x:v>
      </x:c>
      <x:c r="W128" s="26" t="str">
        <x:v>Pending</x:v>
      </x:c>
      <x:c r="X128" s="26"/>
    </x:row>
    <x:row r="129" ht="30" customHeight="1">
      <x:c r="A129" s="26" t="str">
        <x:v>CHG-RC1-CNS-016</x:v>
      </x:c>
      <x:c r="B129" s="26" t="str">
        <x:v>2026-07-01</x:v>
      </x:c>
      <x:c r="C129" s="26" t="str">
        <x:v>Gobernanza</x:v>
      </x:c>
      <x:c r="D129" s="26" t="str">
        <x:v>Documentation Baseline</x:v>
      </x:c>
      <x:c r="E129" s="26" t="str">
        <x:v>Generar PACKAGE_MANIFEST.md</x:v>
      </x:c>
      <x:c r="F129" s="26" t="str">
        <x:v>Secuencia de consolidación y freeze de baseline</x:v>
      </x:c>
      <x:c r="G129" s="26" t="str">
        <x:v>VRM Games</x:v>
      </x:c>
      <x:c r="H129" s="26" t="str">
        <x:v>Documentation/Integrity</x:v>
      </x:c>
      <x:c r="I129" s="26" t="str">
        <x:v>P0</x:v>
      </x:c>
      <x:c r="J129" s="26" t="str">
        <x:v>Documentation RC1</x:v>
      </x:c>
      <x:c r="K129" s="26" t="str">
        <x:v>RC1</x:v>
      </x:c>
      <x:c r="L129" s="26" t="str">
        <x:v>CNS-016</x:v>
      </x:c>
      <x:c r="M129" s="26"/>
      <x:c r="N129" s="26"/>
      <x:c r="O129" s="26"/>
      <x:c r="P129" s="26"/>
      <x:c r="Q129" s="26" t="str">
        <x:v>Verificar resultado y evidencia de cierre</x:v>
      </x:c>
      <x:c r="R129" s="26" t="str">
        <x:v>Documentation package</x:v>
      </x:c>
      <x:c r="S129" s="26" t="str">
        <x:v>No</x:v>
      </x:c>
      <x:c r="T129" s="26" t="str">
        <x:v>Controlled</x:v>
      </x:c>
      <x:c r="U129" s="26" t="str">
        <x:v>Planned</x:v>
      </x:c>
      <x:c r="V129" s="26" t="str">
        <x:v>Markdown validado</x:v>
      </x:c>
      <x:c r="W129" s="26" t="str">
        <x:v>Pending</x:v>
      </x:c>
      <x:c r="X129" s="26"/>
    </x:row>
    <x:row r="130" ht="30" customHeight="1">
      <x:c r="A130" s="26" t="str">
        <x:v>CHG-RC1-CNS-017</x:v>
      </x:c>
      <x:c r="B130" s="26" t="str">
        <x:v>2026-07-01</x:v>
      </x:c>
      <x:c r="C130" s="26" t="str">
        <x:v>Gobernanza</x:v>
      </x:c>
      <x:c r="D130" s="26" t="str">
        <x:v>Documentation Baseline</x:v>
      </x:c>
      <x:c r="E130" s="26" t="str">
        <x:v>Generar CHECKSUMS_SHA256.txt</x:v>
      </x:c>
      <x:c r="F130" s="26" t="str">
        <x:v>Secuencia de consolidación y freeze de baseline</x:v>
      </x:c>
      <x:c r="G130" s="26" t="str">
        <x:v>VRM Games</x:v>
      </x:c>
      <x:c r="H130" s="26" t="str">
        <x:v>Integrity</x:v>
      </x:c>
      <x:c r="I130" s="26" t="str">
        <x:v>P0</x:v>
      </x:c>
      <x:c r="J130" s="26" t="str">
        <x:v>Documentation RC1</x:v>
      </x:c>
      <x:c r="K130" s="26" t="str">
        <x:v>RC1</x:v>
      </x:c>
      <x:c r="L130" s="26" t="str">
        <x:v>CNS-017</x:v>
      </x:c>
      <x:c r="M130" s="26"/>
      <x:c r="N130" s="26"/>
      <x:c r="O130" s="26"/>
      <x:c r="P130" s="26"/>
      <x:c r="Q130" s="26" t="str">
        <x:v>Verificar resultado y evidencia de cierre</x:v>
      </x:c>
      <x:c r="R130" s="26" t="str">
        <x:v>Documentation package</x:v>
      </x:c>
      <x:c r="S130" s="26" t="str">
        <x:v>No</x:v>
      </x:c>
      <x:c r="T130" s="26" t="str">
        <x:v>Controlled</x:v>
      </x:c>
      <x:c r="U130" s="26" t="str">
        <x:v>Planned</x:v>
      </x:c>
      <x:c r="V130" s="26" t="str">
        <x:v>Verificación hash</x:v>
      </x:c>
      <x:c r="W130" s="26" t="str">
        <x:v>Pending</x:v>
      </x:c>
      <x:c r="X130" s="26"/>
    </x:row>
    <x:row r="131" ht="30" customHeight="1">
      <x:c r="A131" s="26" t="str">
        <x:v>CHG-RC1-CNS-018</x:v>
      </x:c>
      <x:c r="B131" s="26" t="str">
        <x:v>2026-07-01</x:v>
      </x:c>
      <x:c r="C131" s="26" t="str">
        <x:v>Gobernanza</x:v>
      </x:c>
      <x:c r="D131" s="26" t="str">
        <x:v>Documentation Baseline</x:v>
      </x:c>
      <x:c r="E131" s="26" t="str">
        <x:v>Generar DOCUMENTATION_VALIDATION_REPORT.md</x:v>
      </x:c>
      <x:c r="F131" s="26" t="str">
        <x:v>Secuencia de consolidación y freeze de baseline</x:v>
      </x:c>
      <x:c r="G131" s="26" t="str">
        <x:v>VRM Games</x:v>
      </x:c>
      <x:c r="H131" s="26" t="str">
        <x:v>QA/Documentation</x:v>
      </x:c>
      <x:c r="I131" s="26" t="str">
        <x:v>P0</x:v>
      </x:c>
      <x:c r="J131" s="26" t="str">
        <x:v>Documentation RC1</x:v>
      </x:c>
      <x:c r="K131" s="26" t="str">
        <x:v>RC1</x:v>
      </x:c>
      <x:c r="L131" s="26" t="str">
        <x:v>CNS-018</x:v>
      </x:c>
      <x:c r="M131" s="26"/>
      <x:c r="N131" s="26"/>
      <x:c r="O131" s="26"/>
      <x:c r="P131" s="26"/>
      <x:c r="Q131" s="26" t="str">
        <x:v>Verificar resultado y evidencia de cierre</x:v>
      </x:c>
      <x:c r="R131" s="26" t="str">
        <x:v>Documentation package</x:v>
      </x:c>
      <x:c r="S131" s="26" t="str">
        <x:v>No</x:v>
      </x:c>
      <x:c r="T131" s="26" t="str">
        <x:v>Controlled</x:v>
      </x:c>
      <x:c r="U131" s="26" t="str">
        <x:v>Planned</x:v>
      </x:c>
      <x:c r="V131" s="26" t="str">
        <x:v>Reporte validado</x:v>
      </x:c>
      <x:c r="W131" s="26" t="str">
        <x:v>Pending</x:v>
      </x:c>
      <x:c r="X131" s="26"/>
    </x:row>
    <x:row r="132" ht="30" customHeight="1">
      <x:c r="A132" s="26" t="str">
        <x:v>CHG-RC1-CNS-019</x:v>
      </x:c>
      <x:c r="B132" s="26" t="str">
        <x:v>2026-07-01</x:v>
      </x:c>
      <x:c r="C132" s="26" t="str">
        <x:v>Gobernanza</x:v>
      </x:c>
      <x:c r="D132" s="26" t="str">
        <x:v>Documentation Baseline</x:v>
      </x:c>
      <x:c r="E132" s="26" t="str">
        <x:v>Crear y verificar ZIP inmutable</x:v>
      </x:c>
      <x:c r="F132" s="26" t="str">
        <x:v>Secuencia de consolidación y freeze de baseline</x:v>
      </x:c>
      <x:c r="G132" s="26" t="str">
        <x:v>VRM Games</x:v>
      </x:c>
      <x:c r="H132" s="26" t="str">
        <x:v>Release/Integrity</x:v>
      </x:c>
      <x:c r="I132" s="26" t="str">
        <x:v>P0</x:v>
      </x:c>
      <x:c r="J132" s="26" t="str">
        <x:v>Documentation RC1</x:v>
      </x:c>
      <x:c r="K132" s="26" t="str">
        <x:v>RC1</x:v>
      </x:c>
      <x:c r="L132" s="26" t="str">
        <x:v>CNS-019</x:v>
      </x:c>
      <x:c r="M132" s="26"/>
      <x:c r="N132" s="26"/>
      <x:c r="O132" s="26"/>
      <x:c r="P132" s="26"/>
      <x:c r="Q132" s="26" t="str">
        <x:v>Verificar resultado y evidencia de cierre</x:v>
      </x:c>
      <x:c r="R132" s="26" t="str">
        <x:v>Documentation package</x:v>
      </x:c>
      <x:c r="S132" s="26" t="str">
        <x:v>No</x:v>
      </x:c>
      <x:c r="T132" s="26" t="str">
        <x:v>Controlled</x:v>
      </x:c>
      <x:c r="U132" s="26" t="str">
        <x:v>Planned</x:v>
      </x:c>
      <x:c r="V132" s="26" t="str">
        <x:v>Hash externo + restore test</x:v>
      </x:c>
      <x:c r="W132" s="26" t="str">
        <x:v>Pending</x:v>
      </x:c>
      <x:c r="X132" s="26"/>
    </x:row>
    <x:row r="133" ht="30" customHeight="1">
      <x:c r="A133" s="26" t="str">
        <x:v>CHG-RC1-CNS-020</x:v>
      </x:c>
      <x:c r="B133" s="26" t="str">
        <x:v>2026-07-01</x:v>
      </x:c>
      <x:c r="C133" s="26" t="str">
        <x:v>Gobernanza</x:v>
      </x:c>
      <x:c r="D133" s="26" t="str">
        <x:v>Documentation Baseline</x:v>
      </x:c>
      <x:c r="E133" s="26" t="str">
        <x:v>Asociar baseline a commit y tag Git</x:v>
      </x:c>
      <x:c r="F133" s="26" t="str">
        <x:v>Secuencia de consolidación y freeze de baseline</x:v>
      </x:c>
      <x:c r="G133" s="26" t="str">
        <x:v>VRM Games</x:v>
      </x:c>
      <x:c r="H133" s="26" t="str">
        <x:v>Production/Engineering</x:v>
      </x:c>
      <x:c r="I133" s="26" t="str">
        <x:v>P0</x:v>
      </x:c>
      <x:c r="J133" s="26" t="str">
        <x:v>Documentation RC1</x:v>
      </x:c>
      <x:c r="K133" s="26" t="str">
        <x:v>RC1</x:v>
      </x:c>
      <x:c r="L133" s="26" t="str">
        <x:v>CNS-020</x:v>
      </x:c>
      <x:c r="M133" s="26"/>
      <x:c r="N133" s="26"/>
      <x:c r="O133" s="26"/>
      <x:c r="P133" s="26"/>
      <x:c r="Q133" s="26" t="str">
        <x:v>Verificar resultado y evidencia de cierre</x:v>
      </x:c>
      <x:c r="R133" s="26" t="str">
        <x:v>Documentation package</x:v>
      </x:c>
      <x:c r="S133" s="26" t="str">
        <x:v>No</x:v>
      </x:c>
      <x:c r="T133" s="26" t="str">
        <x:v>Controlled</x:v>
      </x:c>
      <x:c r="U133" s="26" t="str">
        <x:v>Planned</x:v>
      </x:c>
      <x:c r="V133" s="26" t="str">
        <x:v>Git evidence</x:v>
      </x:c>
      <x:c r="W133" s="26" t="str">
        <x:v>Pending</x:v>
      </x:c>
      <x:c r="X133" s="26"/>
    </x:row>
    <x:row r="134" ht="30" customHeight="1">
      <x:c r="A134" s="26" t="str">
        <x:v>CHG-RC1-CNS-021</x:v>
      </x:c>
      <x:c r="B134" s="26" t="str">
        <x:v>2026-07-01</x:v>
      </x:c>
      <x:c r="C134" s="26" t="str">
        <x:v>Gobernanza</x:v>
      </x:c>
      <x:c r="D134" s="26" t="str">
        <x:v>Documentation Baseline</x:v>
      </x:c>
      <x:c r="E134" s="26" t="str">
        <x:v>Ejecutar H6 mediante documento 31</x:v>
      </x:c>
      <x:c r="F134" s="26" t="str">
        <x:v>Secuencia de consolidación y freeze de baseline</x:v>
      </x:c>
      <x:c r="G134" s="26" t="str">
        <x:v>VRM Games</x:v>
      </x:c>
      <x:c r="H134" s="26" t="str">
        <x:v>Production/QA</x:v>
      </x:c>
      <x:c r="I134" s="26" t="str">
        <x:v>P0</x:v>
      </x:c>
      <x:c r="J134" s="26" t="str">
        <x:v>Documentation RC1</x:v>
      </x:c>
      <x:c r="K134" s="26" t="str">
        <x:v>RC1</x:v>
      </x:c>
      <x:c r="L134" s="26" t="str">
        <x:v>CNS-021</x:v>
      </x:c>
      <x:c r="M134" s="26"/>
      <x:c r="N134" s="26"/>
      <x:c r="O134" s="26"/>
      <x:c r="P134" s="26"/>
      <x:c r="Q134" s="26" t="str">
        <x:v>Verificar resultado y evidencia de cierre</x:v>
      </x:c>
      <x:c r="R134" s="26" t="str">
        <x:v>Documentation package</x:v>
      </x:c>
      <x:c r="S134" s="26" t="str">
        <x:v>No</x:v>
      </x:c>
      <x:c r="T134" s="26" t="str">
        <x:v>Controlled</x:v>
      </x:c>
      <x:c r="U134" s="26" t="str">
        <x:v>Planned</x:v>
      </x:c>
      <x:c r="V134" s="26" t="str">
        <x:v>Signoff H6</x:v>
      </x:c>
      <x:c r="W134" s="26" t="str">
        <x:v>Pending</x:v>
      </x:c>
      <x:c r="X134" s="26" t="str">
        <x:v>No confundir cierre documental con H6 PASS.</x:v>
      </x:c>
    </x:row>
    <x:row r="135" ht="30" customHeight="1">
      <x:c r="A135" s="26" t="str">
        <x:v>CHG-RC1-CNS-022</x:v>
      </x:c>
      <x:c r="B135" s="26" t="str">
        <x:v>2026-07-01</x:v>
      </x:c>
      <x:c r="C135" s="26" t="str">
        <x:v>Gobernanza</x:v>
      </x:c>
      <x:c r="D135" s="26" t="str">
        <x:v>Documentation Baseline</x:v>
      </x:c>
      <x:c r="E135" s="26" t="str">
        <x:v>Validar continuidad y riesgos mediante documento 33</x:v>
      </x:c>
      <x:c r="F135" s="26" t="str">
        <x:v>Secuencia de consolidación y freeze de baseline</x:v>
      </x:c>
      <x:c r="G135" s="26" t="str">
        <x:v>VRM Games</x:v>
      </x:c>
      <x:c r="H135" s="26" t="str">
        <x:v>Risk/Continuity</x:v>
      </x:c>
      <x:c r="I135" s="26" t="str">
        <x:v>P0</x:v>
      </x:c>
      <x:c r="J135" s="26" t="str">
        <x:v>Documentation RC1</x:v>
      </x:c>
      <x:c r="K135" s="26" t="str">
        <x:v>RC1</x:v>
      </x:c>
      <x:c r="L135" s="26" t="str">
        <x:v>CNS-022</x:v>
      </x:c>
      <x:c r="M135" s="26"/>
      <x:c r="N135" s="26"/>
      <x:c r="O135" s="26"/>
      <x:c r="P135" s="26"/>
      <x:c r="Q135" s="26" t="str">
        <x:v>Verificar resultado y evidencia de cierre</x:v>
      </x:c>
      <x:c r="R135" s="26" t="str">
        <x:v>Documentation package</x:v>
      </x:c>
      <x:c r="S135" s="26" t="str">
        <x:v>No</x:v>
      </x:c>
      <x:c r="T135" s="26" t="str">
        <x:v>Controlled</x:v>
      </x:c>
      <x:c r="U135" s="26" t="str">
        <x:v>Planned</x:v>
      </x:c>
      <x:c r="V135" s="26" t="str">
        <x:v>Exercise evidence</x:v>
      </x:c>
      <x:c r="W135" s="26" t="str">
        <x:v>Pending</x:v>
      </x:c>
      <x:c r="X135" s="26"/>
    </x:row>
    <x:row r="136">
      <x:c r="A136" t="str">
        <x:v>CHG-S16-CLOSE-001</x:v>
      </x:c>
      <x:c r="B136" t="str">
        <x:v>2026-07-06</x:v>
      </x:c>
      <x:c r="C136" t="str">
        <x:v>Sprint Closure</x:v>
      </x:c>
      <x:c r="D136" t="str">
        <x:v>Sprint 16</x:v>
      </x:c>
      <x:c r="E136" t="str">
        <x:v>Cerrar Sprint 16 tras aprobación visual y funcional de StoreInitial y validación externa de build.</x:v>
      </x:c>
      <x:c r="F136" t="str">
        <x:v>Sprint16_Phase1–4 completadas sin fallos y fase documental solicitada.</x:v>
      </x:c>
      <x:c r="G136" t="str">
        <x:v>VRM Games</x:v>
      </x:c>
      <x:c r="H136" t="str">
        <x:v>Production / Art / Engineering / QA</x:v>
      </x:c>
      <x:c r="I136" t="str">
        <x:v>P0</x:v>
      </x:c>
      <x:c r="J136" t="str">
        <x:v>Sprint 16</x:v>
      </x:c>
      <x:c r="K136" t="str">
        <x:v>0.0.21</x:v>
      </x:c>
      <x:c r="L136" t="str">
        <x:v>Gate S16 / DoD Sprint 16</x:v>
      </x:c>
      <x:c r="M136" t="str">
        <x:v>02, 06, 07, 10, 11, 12, 13, 14, 15, 17, 18, 31, 34</x:v>
      </x:c>
      <x:c r="N136" t="str">
        <x:v>StoreInitial; prefabs; runtime; build Windows x64</x:v>
      </x:c>
      <x:c r="O136" t="str">
        <x:v>ADR-0067</x:v>
      </x:c>
      <x:c r="P136"/>
      <x:c r="Q136" t="str">
        <x:v>EditMode, PlayMode, regresión manual, Golden Path, persistencia, Player.log</x:v>
      </x:c>
      <x:c r="R136" t="str">
        <x:v>BLD-016-POST</x:v>
      </x:c>
      <x:c r="S136" t="str">
        <x:v>No</x:v>
      </x:c>
      <x:c r="T136" t="str">
        <x:v>No</x:v>
      </x:c>
      <x:c r="U136" t="str">
        <x:v>Closed</x:v>
      </x:c>
      <x:c r="V136" t="str">
        <x:v>Build 0.0.21 + registros actualizados + aprobación visual/funcional</x:v>
      </x:c>
      <x:c r="W136" t="str">
        <x:v>Accepted / COMPLETED / PASS</x:v>
      </x:c>
      <x:c r="X136" t="str">
        <x:v>Sprint 17 queda PENDING / READY TO OPEN; H6 permanece BLOCKED / NOT RUN.</x:v>
      </x:c>
    </x:row>
    <x:row r="137">
      <x:c r="A137" s="24" t="str">
        <x:v>CHG-S17-W0-01</x:v>
      </x:c>
      <x:c r="B137" s="24" t="str">
        <x:v>2026-07-07</x:v>
      </x:c>
      <x:c r="C137" s="24" t="str">
        <x:v>Decisión transversal</x:v>
      </x:c>
      <x:c r="D137" s="24" t="str">
        <x:v>Tiempo / UX</x:v>
      </x:c>
      <x:c r="E137" s="24" t="str">
        <x:v>Día H6 y velocidades</x:v>
      </x:c>
      <x:c r="F137" s="24" t="str">
        <x:v>Cerrar ambigüedad funcional detectada en contraste documental</x:v>
      </x:c>
      <x:c r="G137" s="24" t="str">
        <x:v>VRM Games</x:v>
      </x:c>
      <x:c r="H137" s="24" t="str">
        <x:v>Project Owner / disciplina afectada</x:v>
      </x:c>
      <x:c r="I137" s="24" t="str">
        <x:v>P0</x:v>
      </x:c>
      <x:c r="J137" s="24" t="str">
        <x:v>Sprint17_Phase1 / W1</x:v>
      </x:c>
      <x:c r="K137" s="24" t="str">
        <x:v>0.0.21 baseline</x:v>
      </x:c>
      <x:c r="L137" s="24" t="str">
        <x:v>DEC-01</x:v>
      </x:c>
      <x:c r="M137" s="24" t="str">
        <x:v>00,01,02,03,05,06,07,08,12,13,14,15,16,19,29,30,31,34</x:v>
      </x:c>
      <x:c r="N137" s="24" t="str">
        <x:v>Sin cambios de código en W0</x:v>
      </x:c>
      <x:c r="O137" s="24" t="str">
        <x:v>ADR-0074</x:v>
      </x:c>
      <x:c r="P137" s="24" t="str">
        <x:v>efbc1a885a1d6819f764ec8cff8a465ad1986661</x:v>
      </x:c>
      <x:c r="Q137" s="24" t="str">
        <x:v>CHAR-TIM-*</x:v>
      </x:c>
      <x:c r="R137" s="24" t="str">
        <x:v>No / W0</x:v>
      </x:c>
      <x:c r="S137" s="24" t="str">
        <x:v>No o derivado</x:v>
      </x:c>
      <x:c r="T137" s="24" t="str">
        <x:v>Controlled</x:v>
      </x:c>
      <x:c r="U137" s="24" t="str">
        <x:v>Closed</x:v>
      </x:c>
      <x:c r="V137" s="24" t="str">
        <x:v>Contratos + QA + registro W0</x:v>
      </x:c>
      <x:c r="W137" s="24" t="str">
        <x:v>Accepted / W0</x:v>
      </x:c>
      <x:c r="X137" s="24" t="str">
        <x:v>Día H6 configurable de 300 s; velocidades x0,5, x1, x2 y x4; PauseService independiente. Implementación y evidencia pendientes.</x:v>
      </x:c>
    </x:row>
    <x:row r="138">
      <x:c r="A138" s="24" t="str">
        <x:v>CHG-S17-W0-02</x:v>
      </x:c>
      <x:c r="B138" s="24" t="str">
        <x:v>2026-07-07</x:v>
      </x:c>
      <x:c r="C138" s="24" t="str">
        <x:v>Decisión transversal</x:v>
      </x:c>
      <x:c r="D138" s="24" t="str">
        <x:v>Arquitectura / Tiempo</x:v>
      </x:c>
      <x:c r="E138" s="24" t="str">
        <x:v>Autoridad temporal única</x:v>
      </x:c>
      <x:c r="F138" s="24" t="str">
        <x:v>Cerrar ambigüedad funcional detectada en contraste documental</x:v>
      </x:c>
      <x:c r="G138" s="24" t="str">
        <x:v>VRM Games</x:v>
      </x:c>
      <x:c r="H138" s="24" t="str">
        <x:v>Project Owner / disciplina afectada</x:v>
      </x:c>
      <x:c r="I138" s="24" t="str">
        <x:v>P0</x:v>
      </x:c>
      <x:c r="J138" s="24" t="str">
        <x:v>Sprint17_Phase1 / W1</x:v>
      </x:c>
      <x:c r="K138" s="24" t="str">
        <x:v>0.0.21 baseline</x:v>
      </x:c>
      <x:c r="L138" s="24" t="str">
        <x:v>DEC-02</x:v>
      </x:c>
      <x:c r="M138" s="24" t="str">
        <x:v>01,02,03,04,05,06,07,08,12,13,14,15,16,30,31,34</x:v>
      </x:c>
      <x:c r="N138" s="24" t="str">
        <x:v>Sin cambios de código en W0</x:v>
      </x:c>
      <x:c r="O138" s="24" t="str">
        <x:v>ADR-0075</x:v>
      </x:c>
      <x:c r="P138" s="24" t="str">
        <x:v>efbc1a885a1d6819f764ec8cff8a465ad1986661</x:v>
      </x:c>
      <x:c r="Q138" s="24" t="str">
        <x:v>CHAR-TIM-*</x:v>
      </x:c>
      <x:c r="R138" s="24" t="str">
        <x:v>No / W0</x:v>
      </x:c>
      <x:c r="S138" s="24" t="str">
        <x:v>No o derivado</x:v>
      </x:c>
      <x:c r="T138" s="24" t="str">
        <x:v>Controlled</x:v>
      </x:c>
      <x:c r="U138" s="24" t="str">
        <x:v>Closed</x:v>
      </x:c>
      <x:c r="V138" s="24" t="str">
        <x:v>Contratos + QA + registro W0</x:v>
      </x:c>
      <x:c r="W138" s="24" t="str">
        <x:v>Accepted / W0</x:v>
      </x:c>
      <x:c r="X138" s="24" t="str">
        <x:v>SimulationClock / StoreDay es la única autoridad de tiempo de negocio; PauseService separado. Implementación y evidencia pendientes.</x:v>
      </x:c>
    </x:row>
    <x:row r="139">
      <x:c r="A139" s="24" t="str">
        <x:v>CHG-S17-W0-03</x:v>
      </x:c>
      <x:c r="B139" s="24" t="str">
        <x:v>2026-07-07</x:v>
      </x:c>
      <x:c r="C139" s="24" t="str">
        <x:v>Decisión transversal</x:v>
      </x:c>
      <x:c r="D139" s="24" t="str">
        <x:v>Persistencia / UX</x:v>
      </x:c>
      <x:c r="E139" s="24" t="str">
        <x:v>Guardado manual seguro</x:v>
      </x:c>
      <x:c r="F139" s="24" t="str">
        <x:v>Cerrar ambigüedad funcional detectada en contraste documental</x:v>
      </x:c>
      <x:c r="G139" s="24" t="str">
        <x:v>VRM Games</x:v>
      </x:c>
      <x:c r="H139" s="24" t="str">
        <x:v>Project Owner / disciplina afectada</x:v>
      </x:c>
      <x:c r="I139" s="24" t="str">
        <x:v>P0</x:v>
      </x:c>
      <x:c r="J139" s="24" t="str">
        <x:v>Sprint17_Phase1 / W5</x:v>
      </x:c>
      <x:c r="K139" s="24" t="str">
        <x:v>0.0.21 baseline</x:v>
      </x:c>
      <x:c r="L139" s="24" t="str">
        <x:v>DEC-03</x:v>
      </x:c>
      <x:c r="M139" s="24" t="str">
        <x:v>00,01,02,03,04,05,06,07,08,11,12,13,14,15,16,19,31,34</x:v>
      </x:c>
      <x:c r="N139" s="24" t="str">
        <x:v>Sin cambios de código en W0</x:v>
      </x:c>
      <x:c r="O139" s="24" t="str">
        <x:v>ADR-0076</x:v>
      </x:c>
      <x:c r="P139" s="24" t="str">
        <x:v>efbc1a885a1d6819f764ec8cff8a465ad1986661</x:v>
      </x:c>
      <x:c r="Q139" s="24" t="str">
        <x:v>CHAR-SAV-*</x:v>
      </x:c>
      <x:c r="R139" s="24" t="str">
        <x:v>No / W0</x:v>
      </x:c>
      <x:c r="S139" s="24" t="str">
        <x:v>Sí / compatibilidad obligatoria</x:v>
      </x:c>
      <x:c r="T139" s="24" t="str">
        <x:v>Controlled</x:v>
      </x:c>
      <x:c r="U139" s="24" t="str">
        <x:v>Closed</x:v>
      </x:c>
      <x:c r="V139" s="24" t="str">
        <x:v>Contratos + QA + registro W0</x:v>
      </x:c>
      <x:c r="W139" s="24" t="str">
        <x:v>Accepted / W0</x:v>
      </x:c>
      <x:c r="X139" s="24" t="str">
        <x:v>Guardado desde pausa solo en BeforeOpen, Closed o Results y sin mutaciones pendientes; mid-day exacto Post-H6. Implementación y evidencia pendientes.</x:v>
      </x:c>
    </x:row>
    <x:row r="140">
      <x:c r="A140" s="24" t="str">
        <x:v>CHG-S17-W0-04</x:v>
      </x:c>
      <x:c r="B140" s="24" t="str">
        <x:v>2026-07-07</x:v>
      </x:c>
      <x:c r="C140" s="24" t="str">
        <x:v>Decisión transversal</x:v>
      </x:c>
      <x:c r="D140" s="24" t="str">
        <x:v>Checkout / Día</x:v>
      </x:c>
      <x:c r="E140" s="24" t="str">
        <x:v>Checkout requerido para abrir</x:v>
      </x:c>
      <x:c r="F140" s="24" t="str">
        <x:v>Cerrar ambigüedad funcional detectada en contraste documental</x:v>
      </x:c>
      <x:c r="G140" s="24" t="str">
        <x:v>VRM Games</x:v>
      </x:c>
      <x:c r="H140" s="24" t="str">
        <x:v>Project Owner / disciplina afectada</x:v>
      </x:c>
      <x:c r="I140" s="24" t="str">
        <x:v>P0</x:v>
      </x:c>
      <x:c r="J140" s="24" t="str">
        <x:v>Sprint17_Phase1 / W2</x:v>
      </x:c>
      <x:c r="K140" s="24" t="str">
        <x:v>0.0.21 baseline</x:v>
      </x:c>
      <x:c r="L140" s="24" t="str">
        <x:v>DEC-04</x:v>
      </x:c>
      <x:c r="M140" s="24" t="str">
        <x:v>00,01,02,03,05,06,07,08,12,13,14,15,16,19,30,31,34</x:v>
      </x:c>
      <x:c r="N140" s="24" t="str">
        <x:v>Sin cambios de código en W0</x:v>
      </x:c>
      <x:c r="O140" s="24" t="str">
        <x:v>ADR-0077</x:v>
      </x:c>
      <x:c r="P140" s="24" t="str">
        <x:v>efbc1a885a1d6819f764ec8cff8a465ad1986661</x:v>
      </x:c>
      <x:c r="Q140" s="24" t="str">
        <x:v>CHAR-CUS-*</x:v>
      </x:c>
      <x:c r="R140" s="24" t="str">
        <x:v>No / W0</x:v>
      </x:c>
      <x:c r="S140" s="24" t="str">
        <x:v>No o derivado</x:v>
      </x:c>
      <x:c r="T140" s="24" t="str">
        <x:v>Controlled</x:v>
      </x:c>
      <x:c r="U140" s="24" t="str">
        <x:v>Closed</x:v>
      </x:c>
      <x:c r="V140" s="24" t="str">
        <x:v>Contratos + QA + registro W0</x:v>
      </x:c>
      <x:c r="W140" s="24" t="str">
        <x:v>Accepted / W0</x:v>
      </x:c>
      <x:c r="X140" s="24" t="str">
        <x:v>Checkout funcional obligatorio; no retirar el último durante Open; invalidación bloquea spawn y fuerza recuperación/cierre. Implementación y evidencia pendientes.</x:v>
      </x:c>
    </x:row>
    <x:row r="141">
      <x:c r="A141" s="24" t="str">
        <x:v>CHG-S17-W0-05</x:v>
      </x:c>
      <x:c r="B141" s="24" t="str">
        <x:v>2026-07-07</x:v>
      </x:c>
      <x:c r="C141" s="24" t="str">
        <x:v>Decisión transversal</x:v>
      </x:c>
      <x:c r="D141" s="24" t="str">
        <x:v>Clientes / Rendimiento</x:v>
      </x:c>
      <x:c r="E141" s="24" t="str">
        <x:v>Máximo de clientes H6</x:v>
      </x:c>
      <x:c r="F141" s="24" t="str">
        <x:v>Cerrar ambigüedad funcional detectada en contraste documental</x:v>
      </x:c>
      <x:c r="G141" s="24" t="str">
        <x:v>VRM Games</x:v>
      </x:c>
      <x:c r="H141" s="24" t="str">
        <x:v>Project Owner / disciplina afectada</x:v>
      </x:c>
      <x:c r="I141" s="24" t="str">
        <x:v>P0</x:v>
      </x:c>
      <x:c r="J141" s="24" t="str">
        <x:v>Sprint17_Phase1 / W2</x:v>
      </x:c>
      <x:c r="K141" s="24" t="str">
        <x:v>0.0.21 baseline</x:v>
      </x:c>
      <x:c r="L141" s="24" t="str">
        <x:v>DEC-05</x:v>
      </x:c>
      <x:c r="M141" s="24" t="str">
        <x:v>00,01,02,03,04,06,07,08,12,13,14,15,16,20,30,31,33,34</x:v>
      </x:c>
      <x:c r="N141" s="24" t="str">
        <x:v>Sin cambios de código en W0</x:v>
      </x:c>
      <x:c r="O141" s="24" t="str">
        <x:v>ADR-0078</x:v>
      </x:c>
      <x:c r="P141" s="24" t="str">
        <x:v>efbc1a885a1d6819f764ec8cff8a465ad1986661</x:v>
      </x:c>
      <x:c r="Q141" s="24" t="str">
        <x:v>CHAR-CUS-*</x:v>
      </x:c>
      <x:c r="R141" s="24" t="str">
        <x:v>No / W0</x:v>
      </x:c>
      <x:c r="S141" s="24" t="str">
        <x:v>No o derivado</x:v>
      </x:c>
      <x:c r="T141" s="24" t="str">
        <x:v>Controlled</x:v>
      </x:c>
      <x:c r="U141" s="24" t="str">
        <x:v>Closed</x:v>
      </x:c>
      <x:c r="V141" s="24" t="str">
        <x:v>Contratos + QA + registro W0</x:v>
      </x:c>
      <x:c r="W141" s="24" t="str">
        <x:v>Accepted / W0</x:v>
      </x:c>
      <x:c r="X141" s="24" t="str">
        <x:v>Máximo configurable de 8 clientes activos; activo significa estado distinto de Despawned. Implementación y evidencia pendientes.</x:v>
      </x:c>
    </x:row>
    <x:row r="142">
      <x:c r="A142" s="24" t="str">
        <x:v>CHG-S17-W0-06</x:v>
      </x:c>
      <x:c r="B142" s="24" t="str">
        <x:v>2026-07-07</x:v>
      </x:c>
      <x:c r="C142" s="24" t="str">
        <x:v>Decisión transversal</x:v>
      </x:c>
      <x:c r="D142" s="24" t="str">
        <x:v>Pedidos / Economía</x:v>
      </x:c>
      <x:c r="E142" s="24" t="str">
        <x:v>Reserva y coste de recepción</x:v>
      </x:c>
      <x:c r="F142" s="24" t="str">
        <x:v>Cerrar ambigüedad funcional detectada en contraste documental</x:v>
      </x:c>
      <x:c r="G142" s="24" t="str">
        <x:v>VRM Games</x:v>
      </x:c>
      <x:c r="H142" s="24" t="str">
        <x:v>Project Owner / disciplina afectada</x:v>
      </x:c>
      <x:c r="I142" s="24" t="str">
        <x:v>P0</x:v>
      </x:c>
      <x:c r="J142" s="24" t="str">
        <x:v>Sprint17_Phase1 / W3</x:v>
      </x:c>
      <x:c r="K142" s="24" t="str">
        <x:v>0.0.21 baseline</x:v>
      </x:c>
      <x:c r="L142" s="24" t="str">
        <x:v>DEC-06</x:v>
      </x:c>
      <x:c r="M142" s="24" t="str">
        <x:v>01,02,03,04,05,06,07,08,12,13,14,15,16,20,31,33,34</x:v>
      </x:c>
      <x:c r="N142" s="24" t="str">
        <x:v>Sin cambios de código en W0</x:v>
      </x:c>
      <x:c r="O142" s="24" t="str">
        <x:v>ADR-0079</x:v>
      </x:c>
      <x:c r="P142" s="24" t="str">
        <x:v>efbc1a885a1d6819f764ec8cff8a465ad1986661</x:v>
      </x:c>
      <x:c r="Q142" s="24" t="str">
        <x:v>CHAR-ODR-*</x:v>
      </x:c>
      <x:c r="R142" s="24" t="str">
        <x:v>No / W0</x:v>
      </x:c>
      <x:c r="S142" s="24" t="str">
        <x:v>Sí / compatibilidad obligatoria</x:v>
      </x:c>
      <x:c r="T142" s="24" t="str">
        <x:v>Controlled</x:v>
      </x:c>
      <x:c r="U142" s="24" t="str">
        <x:v>Closed</x:v>
      </x:c>
      <x:c r="V142" s="24" t="str">
        <x:v>Contratos + QA + registro W0</x:v>
      </x:c>
      <x:c r="W142" s="24" t="str">
        <x:v>Accepted / W0</x:v>
      </x:c>
      <x:c r="X142" s="24" t="str">
        <x:v>Solicitud reserva fondos; recepción descuenta caja, registra SupplierReceivingCost y añade stock exactamente una vez. Implementación y evidencia pendientes.</x:v>
      </x:c>
    </x:row>
    <x:row r="143">
      <x:c r="A143" s="24" t="str">
        <x:v>CHG-S17-W0-07</x:v>
      </x:c>
      <x:c r="B143" s="24" t="str">
        <x:v>2026-07-07</x:v>
      </x:c>
      <x:c r="C143" s="24" t="str">
        <x:v>Decisión transversal</x:v>
      </x:c>
      <x:c r="D143" s="24" t="str">
        <x:v>Pedidos / Economía</x:v>
      </x:c>
      <x:c r="E143" s="24" t="str">
        <x:v>Process All atómico</x:v>
      </x:c>
      <x:c r="F143" s="24" t="str">
        <x:v>Cerrar ambigüedad funcional detectada en contraste documental</x:v>
      </x:c>
      <x:c r="G143" s="24" t="str">
        <x:v>VRM Games</x:v>
      </x:c>
      <x:c r="H143" s="24" t="str">
        <x:v>Project Owner / disciplina afectada</x:v>
      </x:c>
      <x:c r="I143" s="24" t="str">
        <x:v>P0</x:v>
      </x:c>
      <x:c r="J143" s="24" t="str">
        <x:v>Sprint17_Phase1 / W3</x:v>
      </x:c>
      <x:c r="K143" s="24" t="str">
        <x:v>0.0.21 baseline</x:v>
      </x:c>
      <x:c r="L143" s="24" t="str">
        <x:v>DEC-07</x:v>
      </x:c>
      <x:c r="M143" s="24" t="str">
        <x:v>01,02,03,04,05,06,07,08,12,13,14,15,16,19,20,31,33,34</x:v>
      </x:c>
      <x:c r="N143" s="24" t="str">
        <x:v>Sin cambios de código en W0</x:v>
      </x:c>
      <x:c r="O143" s="24" t="str">
        <x:v>ADR-0080</x:v>
      </x:c>
      <x:c r="P143" s="24" t="str">
        <x:v>efbc1a885a1d6819f764ec8cff8a465ad1986661</x:v>
      </x:c>
      <x:c r="Q143" s="24" t="str">
        <x:v>CHAR-ODR-*</x:v>
      </x:c>
      <x:c r="R143" s="24" t="str">
        <x:v>No / W0</x:v>
      </x:c>
      <x:c r="S143" s="24" t="str">
        <x:v>Sí / compatibilidad obligatoria</x:v>
      </x:c>
      <x:c r="T143" s="24" t="str">
        <x:v>Controlled</x:v>
      </x:c>
      <x:c r="U143" s="24" t="str">
        <x:v>Closed</x:v>
      </x:c>
      <x:c r="V143" s="24" t="str">
        <x:v>Contratos + QA + registro W0</x:v>
      </x:c>
      <x:c r="W143" s="24" t="str">
        <x:v>Accepted / W0</x:v>
      </x:c>
      <x:c r="X143" s="24" t="str">
        <x:v>Process All es todo-o-nada, reserva el total, crea un DeliveryRun y mantiene órdenes independientes. Implementación y evidencia pendientes.</x:v>
      </x:c>
    </x:row>
    <x:row r="144">
      <x:c r="A144" s="24" t="str">
        <x:v>CHG-S17-W0-08</x:v>
      </x:c>
      <x:c r="B144" s="24" t="str">
        <x:v>2026-07-07</x:v>
      </x:c>
      <x:c r="C144" s="24" t="str">
        <x:v>Decisión transversal</x:v>
      </x:c>
      <x:c r="D144" s="24" t="str">
        <x:v>Displays / Inventario</x:v>
      </x:c>
      <x:c r="E144" s="24" t="str">
        <x:v>Displays monoproducto H6</x:v>
      </x:c>
      <x:c r="F144" s="24" t="str">
        <x:v>Cerrar ambigüedad funcional detectada en contraste documental</x:v>
      </x:c>
      <x:c r="G144" s="24" t="str">
        <x:v>VRM Games</x:v>
      </x:c>
      <x:c r="H144" s="24" t="str">
        <x:v>Project Owner / disciplina afectada</x:v>
      </x:c>
      <x:c r="I144" s="24" t="str">
        <x:v>P0</x:v>
      </x:c>
      <x:c r="J144" s="24" t="str">
        <x:v>Sprint17_Phase1 / W4</x:v>
      </x:c>
      <x:c r="K144" s="24" t="str">
        <x:v>0.0.21 baseline</x:v>
      </x:c>
      <x:c r="L144" s="24" t="str">
        <x:v>DEC-08</x:v>
      </x:c>
      <x:c r="M144" s="24" t="str">
        <x:v>00,01,02,03,04,05,06,07,08,12,13,14,15,16,19,31,34</x:v>
      </x:c>
      <x:c r="N144" s="24" t="str">
        <x:v>Sin cambios de código en W0</x:v>
      </x:c>
      <x:c r="O144" s="24" t="str">
        <x:v>ADR-0081</x:v>
      </x:c>
      <x:c r="P144" s="24" t="str">
        <x:v>efbc1a885a1d6819f764ec8cff8a465ad1986661</x:v>
      </x:c>
      <x:c r="Q144" s="24" t="str">
        <x:v>CHAR-DSP-*</x:v>
      </x:c>
      <x:c r="R144" s="24" t="str">
        <x:v>No / W0</x:v>
      </x:c>
      <x:c r="S144" s="24" t="str">
        <x:v>No o derivado</x:v>
      </x:c>
      <x:c r="T144" s="24" t="str">
        <x:v>Controlled</x:v>
      </x:c>
      <x:c r="U144" s="24" t="str">
        <x:v>Closed</x:v>
      </x:c>
      <x:c r="V144" s="24" t="str">
        <x:v>Contratos + QA + registro W0</x:v>
      </x:c>
      <x:c r="W144" s="24" t="str">
        <x:v>Accepted / W0</x:v>
      </x:c>
      <x:c r="X144" s="24" t="str">
        <x:v>Displays monoproducto hasta H6; cantidades, retirada, retorno y clear-empty obligatorios; multiproducto Post-H6. Implementación y evidencia pendientes.</x:v>
      </x:c>
    </x:row>
    <x:row r="145">
      <x:c r="A145" s="24" t="str">
        <x:v>CHG-S17-W0-09</x:v>
      </x:c>
      <x:c r="B145" s="24" t="str">
        <x:v>2026-07-07</x:v>
      </x:c>
      <x:c r="C145" s="24" t="str">
        <x:v>Decisión transversal</x:v>
      </x:c>
      <x:c r="D145" s="24" t="str">
        <x:v>Management / Datos</x:v>
      </x:c>
      <x:c r="E145" s="24" t="str">
        <x:v>Histórico de Management</x:v>
      </x:c>
      <x:c r="F145" s="24" t="str">
        <x:v>Cerrar ambigüedad funcional detectada en contraste documental</x:v>
      </x:c>
      <x:c r="G145" s="24" t="str">
        <x:v>VRM Games</x:v>
      </x:c>
      <x:c r="H145" s="24" t="str">
        <x:v>Project Owner / disciplina afectada</x:v>
      </x:c>
      <x:c r="I145" s="24" t="str">
        <x:v>P0</x:v>
      </x:c>
      <x:c r="J145" s="24" t="str">
        <x:v>Sprint17_Phase1 / W6</x:v>
      </x:c>
      <x:c r="K145" s="24" t="str">
        <x:v>0.0.21 baseline</x:v>
      </x:c>
      <x:c r="L145" s="24" t="str">
        <x:v>DEC-09</x:v>
      </x:c>
      <x:c r="M145" s="24" t="str">
        <x:v>00,01,02,03,04,05,06,07,08,12,13,14,15,16,19,29,31,34</x:v>
      </x:c>
      <x:c r="N145" s="24" t="str">
        <x:v>Sin cambios de código en W0</x:v>
      </x:c>
      <x:c r="O145" s="24" t="str">
        <x:v>ADR-0082</x:v>
      </x:c>
      <x:c r="P145" s="24" t="str">
        <x:v>efbc1a885a1d6819f764ec8cff8a465ad1986661</x:v>
      </x:c>
      <x:c r="Q145" s="24" t="str">
        <x:v>CHAR-MGT-*</x:v>
      </x:c>
      <x:c r="R145" s="24" t="str">
        <x:v>No / W0</x:v>
      </x:c>
      <x:c r="S145" s="24" t="str">
        <x:v>Sí / compatibilidad obligatoria</x:v>
      </x:c>
      <x:c r="T145" s="24" t="str">
        <x:v>Controlled</x:v>
      </x:c>
      <x:c r="U145" s="24" t="str">
        <x:v>Closed</x:v>
      </x:c>
      <x:c r="V145" s="24" t="str">
        <x:v>Contratos + QA + registro W0</x:v>
      </x:c>
      <x:c r="W145" s="24" t="str">
        <x:v>Accepted / W0</x:v>
      </x:c>
      <x:c r="X145" s="24" t="str">
        <x:v>Día actual + dos completados con detalle; DailySummary individual para días anteriores y acumulados lifetime. Implementación y evidencia pendientes.</x:v>
      </x:c>
    </x:row>
    <x:row r="146">
      <x:c r="A146" s="24" t="str">
        <x:v>CHG-S17-W0-10</x:v>
      </x:c>
      <x:c r="B146" s="24" t="str">
        <x:v>2026-07-07</x:v>
      </x:c>
      <x:c r="C146" s="24" t="str">
        <x:v>Decisión transversal</x:v>
      </x:c>
      <x:c r="D146" s="24" t="str">
        <x:v>Economía / Ledger</x:v>
      </x:c>
      <x:c r="E146" s="24" t="str">
        <x:v>Impuesto semanal H6</x:v>
      </x:c>
      <x:c r="F146" s="24" t="str">
        <x:v>Cerrar ambigüedad funcional detectada en contraste documental</x:v>
      </x:c>
      <x:c r="G146" s="24" t="str">
        <x:v>VRM Games</x:v>
      </x:c>
      <x:c r="H146" s="24" t="str">
        <x:v>Project Owner / disciplina afectada</x:v>
      </x:c>
      <x:c r="I146" s="24" t="str">
        <x:v>P0</x:v>
      </x:c>
      <x:c r="J146" s="24" t="str">
        <x:v>Sprint17_Phase1 / W3</x:v>
      </x:c>
      <x:c r="K146" s="24" t="str">
        <x:v>0.0.21 baseline</x:v>
      </x:c>
      <x:c r="L146" s="24" t="str">
        <x:v>DEC-10</x:v>
      </x:c>
      <x:c r="M146" s="24" t="str">
        <x:v>00,01,02,03,04,06,07,08,12,13,14,15,16,20,31,33,34</x:v>
      </x:c>
      <x:c r="N146" s="24" t="str">
        <x:v>Sin cambios de código en W0</x:v>
      </x:c>
      <x:c r="O146" s="24" t="str">
        <x:v>ADR-0083</x:v>
      </x:c>
      <x:c r="P146" s="24" t="str">
        <x:v>efbc1a885a1d6819f764ec8cff8a465ad1986661</x:v>
      </x:c>
      <x:c r="Q146" s="24" t="str">
        <x:v>CHAR-ODR-*</x:v>
      </x:c>
      <x:c r="R146" s="24" t="str">
        <x:v>No / W0</x:v>
      </x:c>
      <x:c r="S146" s="24" t="str">
        <x:v>Sí / compatibilidad obligatoria</x:v>
      </x:c>
      <x:c r="T146" s="24" t="str">
        <x:v>Controlled</x:v>
      </x:c>
      <x:c r="U146" s="24" t="str">
        <x:v>Closed</x:v>
      </x:c>
      <x:c r="V146" s="24" t="str">
        <x:v>Contratos + QA + registro W0</x:v>
      </x:c>
      <x:c r="W146" s="24" t="str">
        <x:v>Accepted / W0</x:v>
      </x:c>
      <x:c r="X146" s="24" t="str">
        <x:v>Al cierre del día 7: 10 % de max(0, resultado bruto técnico semanal), exactamente una vez; costes fijos Post-H6. Implementación y evidencia pendientes.</x:v>
      </x:c>
    </x:row>
    <x:row r="147">
      <x:c r="A147" s="24" t="str">
        <x:v>CHG-S17-W0-11</x:v>
      </x:c>
      <x:c r="B147" s="24" t="str">
        <x:v>2026-07-07</x:v>
      </x:c>
      <x:c r="C147" s="24" t="str">
        <x:v>Decisión transversal</x:v>
      </x:c>
      <x:c r="D147" s="24" t="str">
        <x:v>Cámara / Settings</x:v>
      </x:c>
      <x:c r="E147" s="24" t="str">
        <x:v>Wall occlusion desactivada</x:v>
      </x:c>
      <x:c r="F147" s="24" t="str">
        <x:v>Cerrar ambigüedad funcional detectada en contraste documental</x:v>
      </x:c>
      <x:c r="G147" s="24" t="str">
        <x:v>VRM Games</x:v>
      </x:c>
      <x:c r="H147" s="24" t="str">
        <x:v>Project Owner / disciplina afectada</x:v>
      </x:c>
      <x:c r="I147" s="24" t="str">
        <x:v>P0</x:v>
      </x:c>
      <x:c r="J147" s="24" t="str">
        <x:v>Sprint17_Phase1 / W7</x:v>
      </x:c>
      <x:c r="K147" s="24" t="str">
        <x:v>0.0.21 baseline</x:v>
      </x:c>
      <x:c r="L147" s="24" t="str">
        <x:v>DEC-11</x:v>
      </x:c>
      <x:c r="M147" s="24" t="str">
        <x:v>00,01,02,03,05,06,07,08,10,12,13,14,15,16,17,19,29,30,31,33,34</x:v>
      </x:c>
      <x:c r="N147" s="24" t="str">
        <x:v>Sin cambios de código en W0</x:v>
      </x:c>
      <x:c r="O147" s="24" t="str">
        <x:v>ADR-0084</x:v>
      </x:c>
      <x:c r="P147" s="24" t="str">
        <x:v>efbc1a885a1d6819f764ec8cff8a465ad1986661</x:v>
      </x:c>
      <x:c r="Q147" s="24" t="str">
        <x:v>CHAR-ART-*</x:v>
      </x:c>
      <x:c r="R147" s="24" t="str">
        <x:v>No / W0</x:v>
      </x:c>
      <x:c r="S147" s="24" t="str">
        <x:v>No o derivado</x:v>
      </x:c>
      <x:c r="T147" s="24" t="str">
        <x:v>Controlled</x:v>
      </x:c>
      <x:c r="U147" s="24" t="str">
        <x:v>Closed</x:v>
      </x:c>
      <x:c r="V147" s="24" t="str">
        <x:v>Contratos + QA + registro W0</x:v>
      </x:c>
      <x:c r="W147" s="24" t="str">
        <x:v>Accepted / W0</x:v>
      </x:c>
      <x:c r="X147" s="24" t="str">
        <x:v>Feature flag prioritaria false; toggle oculto; valores antiguos migrados o ignorados; regresión de cámara. Implementación y evidencia pendientes.</x:v>
      </x:c>
    </x:row>
    <x:row r="148">
      <x:c r="A148" s="24" t="str">
        <x:v>CHG-S17-W0-12</x:v>
      </x:c>
      <x:c r="B148" s="24" t="str">
        <x:v>2026-07-07</x:v>
      </x:c>
      <x:c r="C148" s="24" t="str">
        <x:v>Decisión transversal</x:v>
      </x:c>
      <x:c r="D148" s="24" t="str">
        <x:v>Arte / Placement</x:v>
      </x:c>
      <x:c r="E148" s="24" t="str">
        <x:v>Pivotes y GroundAnchor</x:v>
      </x:c>
      <x:c r="F148" s="24" t="str">
        <x:v>Cerrar ambigüedad funcional detectada en contraste documental</x:v>
      </x:c>
      <x:c r="G148" s="24" t="str">
        <x:v>VRM Games</x:v>
      </x:c>
      <x:c r="H148" s="24" t="str">
        <x:v>Project Owner / disciplina afectada</x:v>
      </x:c>
      <x:c r="I148" s="24" t="str">
        <x:v>P0</x:v>
      </x:c>
      <x:c r="J148" s="24" t="str">
        <x:v>Sprint17_Phase1 / W7</x:v>
      </x:c>
      <x:c r="K148" s="24" t="str">
        <x:v>0.0.21 baseline</x:v>
      </x:c>
      <x:c r="L148" s="24" t="str">
        <x:v>DEC-12</x:v>
      </x:c>
      <x:c r="M148" s="24" t="str">
        <x:v>00,01,02,03,04,06,07,08,10,12,13,14,15,16,17,29,30,31,33,34</x:v>
      </x:c>
      <x:c r="N148" s="24" t="str">
        <x:v>Sin cambios de código en W0</x:v>
      </x:c>
      <x:c r="O148" s="24" t="str">
        <x:v>ADR-0085</x:v>
      </x:c>
      <x:c r="P148" s="24" t="str">
        <x:v>efbc1a885a1d6819f764ec8cff8a465ad1986661</x:v>
      </x:c>
      <x:c r="Q148" s="24" t="str">
        <x:v>CHAR-ART-*</x:v>
      </x:c>
      <x:c r="R148" s="24" t="str">
        <x:v>No / W0</x:v>
      </x:c>
      <x:c r="S148" s="24" t="str">
        <x:v>Sí / compatibilidad obligatoria</x:v>
      </x:c>
      <x:c r="T148" s="24" t="str">
        <x:v>Controlled</x:v>
      </x:c>
      <x:c r="U148" s="24" t="str">
        <x:v>Closed</x:v>
      </x:c>
      <x:c r="V148" s="24" t="str">
        <x:v>Contratos + QA + registro W0</x:v>
      </x:c>
      <x:c r="W148" s="24" t="str">
        <x:v>Accepted / W0</x:v>
      </x:c>
      <x:c r="X148" s="24" t="str">
        <x:v>Contrato base-centro con wrapper o GroundAnchor y migración/compensación única; preservar escenas y saves. Implementación y evidencia pendientes.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6" hidden="0" customWidth="1"/>
    <x:col min="4" max="4" width="18" hidden="0" customWidth="1"/>
    <x:col min="5" max="5" width="18" hidden="0" customWidth="1"/>
    <x:col min="6" max="6" width="5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0" hidden="0" customWidth="1"/>
    <x:col min="12" max="12" width="42" hidden="0" customWidth="1"/>
  </x:cols>
  <x:sheetData>
    <x:row r="1" ht="28" customHeight="1">
      <x:c r="A1" s="4" t="str">
        <x:v>Impacto documental y propagación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Documentos y acciones afectados por cada cambio, con estado y evidencia de cierre.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0" customHeight="1">
      <x:c r="A4" s="19" t="str">
        <x:v>Impact ID</x:v>
      </x:c>
      <x:c r="B4" s="19" t="str">
        <x:v>Change ID</x:v>
      </x:c>
      <x:c r="C4" s="19" t="str">
        <x:v>Documento</x:v>
      </x:c>
      <x:c r="D4" s="19" t="str">
        <x:v>Tipo de impacto</x:v>
      </x:c>
      <x:c r="E4" s="19" t="str">
        <x:v>Sección afectada</x:v>
      </x:c>
      <x:c r="F4" s="19" t="str">
        <x:v>Acción requerida</x:v>
      </x:c>
      <x:c r="G4" s="19" t="str">
        <x:v>Estado</x:v>
      </x:c>
      <x:c r="H4" s="19" t="str">
        <x:v>Versión origen</x:v>
      </x:c>
      <x:c r="I4" s="19" t="str">
        <x:v>Versión destino</x:v>
      </x:c>
      <x:c r="J4" s="19" t="str">
        <x:v>Owner</x:v>
      </x:c>
      <x:c r="K4" s="19" t="str">
        <x:v>Evidencia</x:v>
      </x:c>
      <x:c r="L4" s="19" t="str">
        <x:v>Notas</x:v>
      </x:c>
    </x:row>
    <x:row r="5" ht="30" customHeight="1">
      <x:c r="A5" s="26" t="str">
        <x:v>IMP-0001</x:v>
      </x:c>
      <x:c r="B5" s="26" t="str">
        <x:v>CHG-S0-001</x:v>
      </x:c>
      <x:c r="C5" s="26"/>
      <x:c r="D5" s="26" t="str">
        <x:v>Update/Review</x:v>
      </x:c>
      <x:c r="E5" s="26"/>
      <x:c r="F5" s="26" t="str">
        <x:v>Revisar y actualizar si cambia la autoridad.</x:v>
      </x:c>
      <x:c r="G5" s="26" t="str">
        <x:v>Open</x:v>
      </x:c>
      <x:c r="H5" s="26"/>
      <x:c r="I5" s="26" t="str">
        <x:v>1.0</x:v>
      </x:c>
      <x:c r="J5" s="26" t="str">
        <x:v>VRM Games</x:v>
      </x:c>
      <x:c r="K5" s="26" t="str">
        <x:v>Evidence/S0.1_UnityHub_EditorVersion.png; Evidence/S0.1_AboutUnity.png</x:v>
      </x:c>
      <x:c r="L5" s="26"/>
    </x:row>
    <x:row r="6" ht="30" customHeight="1">
      <x:c r="A6" s="26" t="str">
        <x:v>IMP-0002</x:v>
      </x:c>
      <x:c r="B6" s="26" t="str">
        <x:v>CHG-S0-002</x:v>
      </x:c>
      <x:c r="C6" s="26"/>
      <x:c r="D6" s="26" t="str">
        <x:v>Update/Review</x:v>
      </x:c>
      <x:c r="E6" s="26"/>
      <x:c r="F6" s="26" t="str">
        <x:v>Revisar y actualizar si cambia la autoridad.</x:v>
      </x:c>
      <x:c r="G6" s="26" t="str">
        <x:v>Open</x:v>
      </x:c>
      <x:c r="H6" s="26"/>
      <x:c r="I6" s="26" t="str">
        <x:v>1.0</x:v>
      </x:c>
      <x:c r="J6" s="26" t="str">
        <x:v>VRM Games</x:v>
      </x:c>
      <x:c r="K6" s="26" t="str">
        <x:v>Commit 6429c7cff05fb8e77e7161ce72f28fb79d03383f</x:v>
      </x:c>
      <x:c r="L6" s="26"/>
    </x:row>
    <x:row r="7" ht="30" customHeight="1">
      <x:c r="A7" s="26" t="str">
        <x:v>IMP-0003</x:v>
      </x:c>
      <x:c r="B7" s="26" t="str">
        <x:v>CHG-S0-003</x:v>
      </x:c>
      <x:c r="C7" s="26"/>
      <x:c r="D7" s="26" t="str">
        <x:v>Update/Review</x:v>
      </x:c>
      <x:c r="E7" s="26"/>
      <x:c r="F7" s="26" t="str">
        <x:v>Revisar y actualizar si cambia la autoridad.</x:v>
      </x:c>
      <x:c r="G7" s="26" t="str">
        <x:v>Open</x:v>
      </x:c>
      <x:c r="H7" s="26"/>
      <x:c r="I7" s="26" t="str">
        <x:v>1.0</x:v>
      </x:c>
      <x:c r="J7" s="26" t="str">
        <x:v>VRM Games</x:v>
      </x:c>
      <x:c r="K7" s="26" t="str">
        <x:v>Repository main</x:v>
      </x:c>
      <x:c r="L7" s="26"/>
    </x:row>
    <x:row r="8" ht="30" customHeight="1">
      <x:c r="A8" s="26" t="str">
        <x:v>IMP-0004</x:v>
      </x:c>
      <x:c r="B8" s="26" t="str">
        <x:v>CHG-S0-004</x:v>
      </x:c>
      <x:c r="C8" s="26"/>
      <x:c r="D8" s="26" t="str">
        <x:v>Update/Review</x:v>
      </x:c>
      <x:c r="E8" s="26"/>
      <x:c r="F8" s="26" t="str">
        <x:v>Revisar y actualizar si cambia la autoridad.</x:v>
      </x:c>
      <x:c r="G8" s="26" t="str">
        <x:v>Open</x:v>
      </x:c>
      <x:c r="H8" s="26"/>
      <x:c r="I8" s="26" t="str">
        <x:v>1.0</x:v>
      </x:c>
      <x:c r="J8" s="26" t="str">
        <x:v>VRM Games</x:v>
      </x:c>
      <x:c r="K8" s="26" t="str">
        <x:v>Commit 6429c7cff05fb8e77e7161ce72f28fb79d03383f</x:v>
      </x:c>
      <x:c r="L8" s="26"/>
    </x:row>
    <x:row r="9" ht="30" customHeight="1">
      <x:c r="A9" s="26" t="str">
        <x:v>IMP-0005</x:v>
      </x:c>
      <x:c r="B9" s="26" t="str">
        <x:v>CHG-S0-005</x:v>
      </x:c>
      <x:c r="C9" s="26"/>
      <x:c r="D9" s="26" t="str">
        <x:v>Update/Review</x:v>
      </x:c>
      <x:c r="E9" s="26"/>
      <x:c r="F9" s="26" t="str">
        <x:v>Revisar y actualizar si cambia la autoridad.</x:v>
      </x:c>
      <x:c r="G9" s="26" t="str">
        <x:v>Open</x:v>
      </x:c>
      <x:c r="H9" s="26"/>
      <x:c r="I9" s="26" t="str">
        <x:v>1.0</x:v>
      </x:c>
      <x:c r="J9" s="26" t="str">
        <x:v>VRM Games</x:v>
      </x:c>
      <x:c r="K9" s="26" t="str">
        <x:v>Commit 46c76312fe3f2e93da48334be4862d019e34019d</x:v>
      </x:c>
      <x:c r="L9" s="26"/>
    </x:row>
    <x:row r="10" ht="30" customHeight="1">
      <x:c r="A10" s="26" t="str">
        <x:v>IMP-0006</x:v>
      </x:c>
      <x:c r="B10" s="26" t="str">
        <x:v>CHG-S0-006</x:v>
      </x:c>
      <x:c r="C10" s="26"/>
      <x:c r="D10" s="26" t="str">
        <x:v>Update/Review</x:v>
      </x:c>
      <x:c r="E10" s="26"/>
      <x:c r="F10" s="26" t="str">
        <x:v>Revisar y actualizar si cambia la autoridad.</x:v>
      </x:c>
      <x:c r="G10" s="26" t="str">
        <x:v>Open</x:v>
      </x:c>
      <x:c r="H10" s="26"/>
      <x:c r="I10" s="26" t="str">
        <x:v>1.0</x:v>
      </x:c>
      <x:c r="J10" s="26" t="str">
        <x:v>VRM Games</x:v>
      </x:c>
      <x:c r="K10" s="26" t="str">
        <x:v>Commit 3d49ef4fae0ebbe4f5739b58d1ac08c5dd068264</x:v>
      </x:c>
      <x:c r="L10" s="26"/>
    </x:row>
    <x:row r="11" ht="30" customHeight="1">
      <x:c r="A11" s="26" t="str">
        <x:v>IMP-0007</x:v>
      </x:c>
      <x:c r="B11" s="26" t="str">
        <x:v>CHG-S0-007</x:v>
      </x:c>
      <x:c r="C11" s="26"/>
      <x:c r="D11" s="26" t="str">
        <x:v>Update/Review</x:v>
      </x:c>
      <x:c r="E11" s="26"/>
      <x:c r="F11" s="26" t="str">
        <x:v>Revisar y actualizar si cambia la autoridad.</x:v>
      </x:c>
      <x:c r="G11" s="26" t="str">
        <x:v>Open</x:v>
      </x:c>
      <x:c r="H11" s="26"/>
      <x:c r="I11" s="26" t="str">
        <x:v>1.0</x:v>
      </x:c>
      <x:c r="J11" s="26" t="str">
        <x:v>VRM Games</x:v>
      </x:c>
      <x:c r="K11" s="26" t="str">
        <x:v>Commit 1cc30ad69a2c093a8e1e0686451302689eb632bb</x:v>
      </x:c>
      <x:c r="L11" s="26"/>
    </x:row>
    <x:row r="12" ht="30" customHeight="1">
      <x:c r="A12" s="26" t="str">
        <x:v>IMP-0008</x:v>
      </x:c>
      <x:c r="B12" s="26" t="str">
        <x:v>CHG-S0-008</x:v>
      </x:c>
      <x:c r="C12" s="26"/>
      <x:c r="D12" s="26" t="str">
        <x:v>Update/Review</x:v>
      </x:c>
      <x:c r="E12" s="26"/>
      <x:c r="F12" s="26" t="str">
        <x:v>Revisar y actualizar si cambia la autoridad.</x:v>
      </x:c>
      <x:c r="G12" s="26" t="str">
        <x:v>Open</x:v>
      </x:c>
      <x:c r="H12" s="26"/>
      <x:c r="I12" s="26" t="str">
        <x:v>1.0</x:v>
      </x:c>
      <x:c r="J12" s="26" t="str">
        <x:v>VRM Games</x:v>
      </x:c>
      <x:c r="K12" s="26" t="str">
        <x:v>Commit 1cc30ad69a2c093a8e1e0686451302689eb632bb</x:v>
      </x:c>
      <x:c r="L12" s="26"/>
    </x:row>
    <x:row r="13" ht="30" customHeight="1">
      <x:c r="A13" s="26" t="str">
        <x:v>IMP-0009</x:v>
      </x:c>
      <x:c r="B13" s="26" t="str">
        <x:v>CHG-S0-009</x:v>
      </x:c>
      <x:c r="C13" s="26"/>
      <x:c r="D13" s="26" t="str">
        <x:v>Update/Review</x:v>
      </x:c>
      <x:c r="E13" s="26"/>
      <x:c r="F13" s="26" t="str">
        <x:v>Revisar y actualizar si cambia la autoridad.</x:v>
      </x:c>
      <x:c r="G13" s="26" t="str">
        <x:v>Open</x:v>
      </x:c>
      <x:c r="H13" s="26"/>
      <x:c r="I13" s="26" t="str">
        <x:v>1.0</x:v>
      </x:c>
      <x:c r="J13" s="26" t="str">
        <x:v>VRM Games</x:v>
      </x:c>
      <x:c r="K13" s="26" t="str">
        <x:v>Commit 7f32381d94af98f283fa0cb26b4cbf5b0ba84fe9</x:v>
      </x:c>
      <x:c r="L13" s="26"/>
    </x:row>
    <x:row r="14" ht="30" customHeight="1">
      <x:c r="A14" s="26" t="str">
        <x:v>IMP-0010</x:v>
      </x:c>
      <x:c r="B14" s="26" t="str">
        <x:v>CHG-S0-010</x:v>
      </x:c>
      <x:c r="C14" s="26"/>
      <x:c r="D14" s="26" t="str">
        <x:v>Update/Review</x:v>
      </x:c>
      <x:c r="E14" s="26"/>
      <x:c r="F14" s="26" t="str">
        <x:v>Revisar y actualizar si cambia la autoridad.</x:v>
      </x:c>
      <x:c r="G14" s="26" t="str">
        <x:v>Open</x:v>
      </x:c>
      <x:c r="H14" s="26"/>
      <x:c r="I14" s="26" t="str">
        <x:v>1.0</x:v>
      </x:c>
      <x:c r="J14" s="26" t="str">
        <x:v>VRM Games</x:v>
      </x:c>
      <x:c r="K14" s="26" t="str">
        <x:v>Commit 7f32381d94af98f283fa0cb26b4cbf5b0ba84fe9</x:v>
      </x:c>
      <x:c r="L14" s="26"/>
    </x:row>
    <x:row r="15" ht="30" customHeight="1">
      <x:c r="A15" s="26" t="str">
        <x:v>IMP-0011</x:v>
      </x:c>
      <x:c r="B15" s="26" t="str">
        <x:v>CHG-S0-011</x:v>
      </x:c>
      <x:c r="C15" s="26"/>
      <x:c r="D15" s="26" t="str">
        <x:v>Update/Review</x:v>
      </x:c>
      <x:c r="E15" s="26"/>
      <x:c r="F15" s="26" t="str">
        <x:v>Revisar y actualizar si cambia la autoridad.</x:v>
      </x:c>
      <x:c r="G15" s="26" t="str">
        <x:v>Open</x:v>
      </x:c>
      <x:c r="H15" s="26"/>
      <x:c r="I15" s="26" t="str">
        <x:v>1.0</x:v>
      </x:c>
      <x:c r="J15" s="26" t="str">
        <x:v>VRM Games</x:v>
      </x:c>
      <x:c r="K15" s="26" t="str">
        <x:v>Commit 7f32381d94af98f283fa0cb26b4cbf5b0ba84fe9</x:v>
      </x:c>
      <x:c r="L15" s="26"/>
    </x:row>
    <x:row r="16" ht="30" customHeight="1">
      <x:c r="A16" s="26" t="str">
        <x:v>IMP-0012</x:v>
      </x:c>
      <x:c r="B16" s="26" t="str">
        <x:v>CHG-S0-012</x:v>
      </x:c>
      <x:c r="C16" s="26"/>
      <x:c r="D16" s="26" t="str">
        <x:v>Update/Review</x:v>
      </x:c>
      <x:c r="E16" s="26"/>
      <x:c r="F16" s="26" t="str">
        <x:v>Revisar y actualizar si cambia la autoridad.</x:v>
      </x:c>
      <x:c r="G16" s="26" t="str">
        <x:v>Open</x:v>
      </x:c>
      <x:c r="H16" s="26"/>
      <x:c r="I16" s="26" t="str">
        <x:v>1.0</x:v>
      </x:c>
      <x:c r="J16" s="26" t="str">
        <x:v>VRM Games</x:v>
      </x:c>
      <x:c r="K16" s="26" t="str">
        <x:v>Commit 31a77be</x:v>
      </x:c>
      <x:c r="L16" s="26"/>
    </x:row>
    <x:row r="17" ht="30" customHeight="1">
      <x:c r="A17" s="26" t="str">
        <x:v>IMP-0013</x:v>
      </x:c>
      <x:c r="B17" s="26" t="str">
        <x:v>CHG-S0-013</x:v>
      </x:c>
      <x:c r="C17" s="26"/>
      <x:c r="D17" s="26" t="str">
        <x:v>Update/Review</x:v>
      </x:c>
      <x:c r="E17" s="26"/>
      <x:c r="F17" s="26" t="str">
        <x:v>Revisar y actualizar si cambia la autoridad.</x:v>
      </x:c>
      <x:c r="G17" s="26" t="str">
        <x:v>Open</x:v>
      </x:c>
      <x:c r="H17" s="26"/>
      <x:c r="I17" s="26" t="str">
        <x:v>1.0</x:v>
      </x:c>
      <x:c r="J17" s="26" t="str">
        <x:v>VRM Games</x:v>
      </x:c>
      <x:c r="K17" s="26" t="str">
        <x:v>Commit 31a77be</x:v>
      </x:c>
      <x:c r="L17" s="26"/>
    </x:row>
    <x:row r="18" ht="30" customHeight="1">
      <x:c r="A18" s="26" t="str">
        <x:v>IMP-0014</x:v>
      </x:c>
      <x:c r="B18" s="26" t="str">
        <x:v>CHG-S0-014</x:v>
      </x:c>
      <x:c r="C18" s="26"/>
      <x:c r="D18" s="26" t="str">
        <x:v>Update/Review</x:v>
      </x:c>
      <x:c r="E18" s="26"/>
      <x:c r="F18" s="26" t="str">
        <x:v>Revisar y actualizar si cambia la autoridad.</x:v>
      </x:c>
      <x:c r="G18" s="26" t="str">
        <x:v>Open</x:v>
      </x:c>
      <x:c r="H18" s="26"/>
      <x:c r="I18" s="26" t="str">
        <x:v>1.0</x:v>
      </x:c>
      <x:c r="J18" s="26" t="str">
        <x:v>VRM Games</x:v>
      </x:c>
      <x:c r="K18" s="26" t="str">
        <x:v>Commit 31a77be</x:v>
      </x:c>
      <x:c r="L18" s="26"/>
    </x:row>
    <x:row r="19" ht="30" customHeight="1">
      <x:c r="A19" s="26" t="str">
        <x:v>IMP-0015</x:v>
      </x:c>
      <x:c r="B19" s="26" t="str">
        <x:v>CHG-S0-015</x:v>
      </x:c>
      <x:c r="C19" s="26"/>
      <x:c r="D19" s="26" t="str">
        <x:v>Update/Review</x:v>
      </x:c>
      <x:c r="E19" s="26"/>
      <x:c r="F19" s="26" t="str">
        <x:v>Revisar y actualizar si cambia la autoridad.</x:v>
      </x:c>
      <x:c r="G19" s="26" t="str">
        <x:v>Open</x:v>
      </x:c>
      <x:c r="H19" s="26"/>
      <x:c r="I19" s="26" t="str">
        <x:v>1.0</x:v>
      </x:c>
      <x:c r="J19" s="26" t="str">
        <x:v>VRM Games</x:v>
      </x:c>
      <x:c r="K19" s="26" t="str">
        <x:v>Commit 31a77be</x:v>
      </x:c>
      <x:c r="L19" s="26"/>
    </x:row>
    <x:row r="20" ht="30" customHeight="1">
      <x:c r="A20" s="26" t="str">
        <x:v>IMP-0016</x:v>
      </x:c>
      <x:c r="B20" s="26" t="str">
        <x:v>CHG-S0-016</x:v>
      </x:c>
      <x:c r="C20" s="26"/>
      <x:c r="D20" s="26" t="str">
        <x:v>Update/Review</x:v>
      </x:c>
      <x:c r="E20" s="26"/>
      <x:c r="F20" s="26" t="str">
        <x:v>Revisar y actualizar si cambia la autoridad.</x:v>
      </x:c>
      <x:c r="G20" s="26" t="str">
        <x:v>Open</x:v>
      </x:c>
      <x:c r="H20" s="26"/>
      <x:c r="I20" s="26" t="str">
        <x:v>1.0</x:v>
      </x:c>
      <x:c r="J20" s="26" t="str">
        <x:v>VRM Games</x:v>
      </x:c>
      <x:c r="K20" s="26" t="str">
        <x:v>Developer confirmation</x:v>
      </x:c>
      <x:c r="L20" s="26"/>
    </x:row>
    <x:row r="21" ht="30" customHeight="1">
      <x:c r="A21" s="26" t="str">
        <x:v>IMP-0017</x:v>
      </x:c>
      <x:c r="B21" s="26" t="str">
        <x:v>CHG-S0-017</x:v>
      </x:c>
      <x:c r="C21" s="26"/>
      <x:c r="D21" s="26" t="str">
        <x:v>Update/Review</x:v>
      </x:c>
      <x:c r="E21" s="26"/>
      <x:c r="F21" s="26" t="str">
        <x:v>Revisar y actualizar si cambia la autoridad.</x:v>
      </x:c>
      <x:c r="G21" s="26" t="str">
        <x:v>Open</x:v>
      </x:c>
      <x:c r="H21" s="26"/>
      <x:c r="I21" s="26" t="str">
        <x:v>1.0</x:v>
      </x:c>
      <x:c r="J21" s="26" t="str">
        <x:v>VRM Games</x:v>
      </x:c>
      <x:c r="K21" s="26" t="str">
        <x:v>ADR-0005</x:v>
      </x:c>
      <x:c r="L21" s="26"/>
    </x:row>
    <x:row r="22" ht="30" customHeight="1">
      <x:c r="A22" s="26" t="str">
        <x:v>IMP-0018</x:v>
      </x:c>
      <x:c r="B22" s="26" t="str">
        <x:v>CHG-S0-018</x:v>
      </x:c>
      <x:c r="C22" s="26"/>
      <x:c r="D22" s="26" t="str">
        <x:v>Update/Review</x:v>
      </x:c>
      <x:c r="E22" s="26"/>
      <x:c r="F22" s="26" t="str">
        <x:v>Revisar y actualizar si cambia la autoridad.</x:v>
      </x:c>
      <x:c r="G22" s="26" t="str">
        <x:v>Open</x:v>
      </x:c>
      <x:c r="H22" s="26"/>
      <x:c r="I22" s="26" t="str">
        <x:v>1.0</x:v>
      </x:c>
      <x:c r="J22" s="26" t="str">
        <x:v>VRM Games</x:v>
      </x:c>
      <x:c r="K22" s="26" t="str">
        <x:v>Commit 72af6f82cc4458c716d751f5846075bfe47aa093</x:v>
      </x:c>
      <x:c r="L22" s="26"/>
    </x:row>
    <x:row r="23" ht="30" customHeight="1">
      <x:c r="A23" s="26" t="str">
        <x:v>IMP-0019</x:v>
      </x:c>
      <x:c r="B23" s="26" t="str">
        <x:v>CHG-S0-019</x:v>
      </x:c>
      <x:c r="C23" s="26"/>
      <x:c r="D23" s="26" t="str">
        <x:v>Update/Review</x:v>
      </x:c>
      <x:c r="E23" s="26"/>
      <x:c r="F23" s="26" t="str">
        <x:v>Revisar y actualizar si cambia la autoridad.</x:v>
      </x:c>
      <x:c r="G23" s="26" t="str">
        <x:v>Open</x:v>
      </x:c>
      <x:c r="H23" s="26"/>
      <x:c r="I23" s="26" t="str">
        <x:v>1.0</x:v>
      </x:c>
      <x:c r="J23" s="26" t="str">
        <x:v>VRM Games</x:v>
      </x:c>
      <x:c r="K23" s="26" t="str">
        <x:v>Commits 72af6f82cc4458c716d751f5846075bfe47aa093; 6416ca107509dd81428575ff9400215022bc7610</x:v>
      </x:c>
      <x:c r="L23" s="26"/>
    </x:row>
    <x:row r="24" ht="30" customHeight="1">
      <x:c r="A24" s="26" t="str">
        <x:v>IMP-0020</x:v>
      </x:c>
      <x:c r="B24" s="26" t="str">
        <x:v>CHG-S0-020</x:v>
      </x:c>
      <x:c r="C24" s="26"/>
      <x:c r="D24" s="26" t="str">
        <x:v>Update/Review</x:v>
      </x:c>
      <x:c r="E24" s="26"/>
      <x:c r="F24" s="26" t="str">
        <x:v>Revisar y actualizar si cambia la autoridad.</x:v>
      </x:c>
      <x:c r="G24" s="26" t="str">
        <x:v>Open</x:v>
      </x:c>
      <x:c r="H24" s="26"/>
      <x:c r="I24" s="26" t="str">
        <x:v>1.0</x:v>
      </x:c>
      <x:c r="J24" s="26" t="str">
        <x:v>VRM Games</x:v>
      </x:c>
      <x:c r="K24" s="26" t="str">
        <x:v>S0.8 package</x:v>
      </x:c>
      <x:c r="L24" s="26"/>
    </x:row>
    <x:row r="25" ht="30" customHeight="1">
      <x:c r="A25" s="26" t="str">
        <x:v>IMP-0021</x:v>
      </x:c>
      <x:c r="B25" s="26" t="str">
        <x:v>CHG-S0-021</x:v>
      </x:c>
      <x:c r="C25" s="26"/>
      <x:c r="D25" s="26" t="str">
        <x:v>Update/Review</x:v>
      </x:c>
      <x:c r="E25" s="26"/>
      <x:c r="F25" s="26" t="str">
        <x:v>Revisar y actualizar si cambia la autoridad.</x:v>
      </x:c>
      <x:c r="G25" s="26" t="str">
        <x:v>Open</x:v>
      </x:c>
      <x:c r="H25" s="26"/>
      <x:c r="I25" s="26" t="str">
        <x:v>1.0</x:v>
      </x:c>
      <x:c r="J25" s="26" t="str">
        <x:v>VRM Games</x:v>
      </x:c>
      <x:c r="K25" s="26" t="str">
        <x:v>Commit 04264a362e33c6b823a51f82434b38d879c3dae1</x:v>
      </x:c>
      <x:c r="L25" s="26"/>
    </x:row>
    <x:row r="26" ht="30" customHeight="1">
      <x:c r="A26" s="26" t="str">
        <x:v>IMP-0022</x:v>
      </x:c>
      <x:c r="B26" s="26" t="str">
        <x:v>CHG-S0-022</x:v>
      </x:c>
      <x:c r="C26" s="26"/>
      <x:c r="D26" s="26" t="str">
        <x:v>Update/Review</x:v>
      </x:c>
      <x:c r="E26" s="26"/>
      <x:c r="F26" s="26" t="str">
        <x:v>Revisar y actualizar si cambia la autoridad.</x:v>
      </x:c>
      <x:c r="G26" s="26" t="str">
        <x:v>Open</x:v>
      </x:c>
      <x:c r="H26" s="26"/>
      <x:c r="I26" s="26" t="str">
        <x:v>1.0</x:v>
      </x:c>
      <x:c r="J26" s="26" t="str">
        <x:v>VRM Games</x:v>
      </x:c>
      <x:c r="K26" s="26" t="str">
        <x:v>Commit 04264a362e33c6b823a51f82434b38d879c3dae1</x:v>
      </x:c>
      <x:c r="L26" s="26"/>
    </x:row>
    <x:row r="27" ht="30" customHeight="1">
      <x:c r="A27" s="26" t="str">
        <x:v>IMP-0023</x:v>
      </x:c>
      <x:c r="B27" s="26" t="str">
        <x:v>CHG-S0-023</x:v>
      </x:c>
      <x:c r="C27" s="26"/>
      <x:c r="D27" s="26" t="str">
        <x:v>Update/Review</x:v>
      </x:c>
      <x:c r="E27" s="26"/>
      <x:c r="F27" s="26" t="str">
        <x:v>Revisar y actualizar si cambia la autoridad.</x:v>
      </x:c>
      <x:c r="G27" s="26" t="str">
        <x:v>Open</x:v>
      </x:c>
      <x:c r="H27" s="26"/>
      <x:c r="I27" s="26" t="str">
        <x:v>1.0</x:v>
      </x:c>
      <x:c r="J27" s="26" t="str">
        <x:v>VRM Games</x:v>
      </x:c>
      <x:c r="K27" s="26" t="str">
        <x:v>Commit 04264a362e33c6b823a51f82434b38d879c3dae1</x:v>
      </x:c>
      <x:c r="L27" s="26"/>
    </x:row>
    <x:row r="28" ht="30" customHeight="1">
      <x:c r="A28" s="26" t="str">
        <x:v>IMP-0024</x:v>
      </x:c>
      <x:c r="B28" s="26" t="str">
        <x:v>CHG-S0-024</x:v>
      </x:c>
      <x:c r="C28" s="26"/>
      <x:c r="D28" s="26" t="str">
        <x:v>Update/Review</x:v>
      </x:c>
      <x:c r="E28" s="26"/>
      <x:c r="F28" s="26" t="str">
        <x:v>Revisar y actualizar si cambia la autoridad.</x:v>
      </x:c>
      <x:c r="G28" s="26" t="str">
        <x:v>Open</x:v>
      </x:c>
      <x:c r="H28" s="26"/>
      <x:c r="I28" s="26" t="str">
        <x:v>1.0</x:v>
      </x:c>
      <x:c r="J28" s="26" t="str">
        <x:v>VRM Games</x:v>
      </x:c>
      <x:c r="K28" s="26" t="str">
        <x:v>S0.9 package</x:v>
      </x:c>
      <x:c r="L28" s="26"/>
    </x:row>
    <x:row r="29" ht="30" customHeight="1">
      <x:c r="A29" s="26" t="str">
        <x:v>IMP-0025</x:v>
      </x:c>
      <x:c r="B29" s="26" t="str">
        <x:v>CHG-S0-025</x:v>
      </x:c>
      <x:c r="C29" s="26"/>
      <x:c r="D29" s="26" t="str">
        <x:v>Update/Review</x:v>
      </x:c>
      <x:c r="E29" s="26"/>
      <x:c r="F29" s="26" t="str">
        <x:v>Revisar y actualizar si cambia la autoridad.</x:v>
      </x:c>
      <x:c r="G29" s="26" t="str">
        <x:v>Open</x:v>
      </x:c>
      <x:c r="H29" s="26"/>
      <x:c r="I29" s="26" t="str">
        <x:v>1.0</x:v>
      </x:c>
      <x:c r="J29" s="26" t="str">
        <x:v>VRM Games</x:v>
      </x:c>
      <x:c r="K29" s="26" t="str">
        <x:v>Commit e1998dffe52d0d4191abe3f8bda3b577d84bdb04</x:v>
      </x:c>
      <x:c r="L29" s="26"/>
    </x:row>
    <x:row r="30" ht="30" customHeight="1">
      <x:c r="A30" s="26" t="str">
        <x:v>IMP-0026</x:v>
      </x:c>
      <x:c r="B30" s="26" t="str">
        <x:v>CHG-S0-026</x:v>
      </x:c>
      <x:c r="C30" s="26"/>
      <x:c r="D30" s="26" t="str">
        <x:v>Update/Review</x:v>
      </x:c>
      <x:c r="E30" s="26"/>
      <x:c r="F30" s="26" t="str">
        <x:v>Revisar y actualizar si cambia la autoridad.</x:v>
      </x:c>
      <x:c r="G30" s="26" t="str">
        <x:v>Open</x:v>
      </x:c>
      <x:c r="H30" s="26"/>
      <x:c r="I30" s="26" t="str">
        <x:v>1.0</x:v>
      </x:c>
      <x:c r="J30" s="26" t="str">
        <x:v>VRM Games</x:v>
      </x:c>
      <x:c r="K30" s="26" t="str">
        <x:v>Commit e1998dffe52d0d4191abe3f8bda3b577d84bdb04</x:v>
      </x:c>
      <x:c r="L30" s="26"/>
    </x:row>
    <x:row r="31" ht="30" customHeight="1">
      <x:c r="A31" s="26" t="str">
        <x:v>IMP-0027</x:v>
      </x:c>
      <x:c r="B31" s="26" t="str">
        <x:v>CHG-S0-027</x:v>
      </x:c>
      <x:c r="C31" s="26"/>
      <x:c r="D31" s="26" t="str">
        <x:v>Update/Review</x:v>
      </x:c>
      <x:c r="E31" s="26"/>
      <x:c r="F31" s="26" t="str">
        <x:v>Revisar y actualizar si cambia la autoridad.</x:v>
      </x:c>
      <x:c r="G31" s="26" t="str">
        <x:v>Open</x:v>
      </x:c>
      <x:c r="H31" s="26"/>
      <x:c r="I31" s="26" t="str">
        <x:v>1.0</x:v>
      </x:c>
      <x:c r="J31" s="26" t="str">
        <x:v>VRM Games</x:v>
      </x:c>
      <x:c r="K31" s="26" t="str">
        <x:v>Commit e1998dffe52d0d4191abe3f8bda3b577d84bdb04</x:v>
      </x:c>
      <x:c r="L31" s="26"/>
    </x:row>
    <x:row r="32" ht="30" customHeight="1">
      <x:c r="A32" s="26" t="str">
        <x:v>IMP-0028</x:v>
      </x:c>
      <x:c r="B32" s="26" t="str">
        <x:v>CHG-S0-028</x:v>
      </x:c>
      <x:c r="C32" s="26"/>
      <x:c r="D32" s="26" t="str">
        <x:v>Update/Review</x:v>
      </x:c>
      <x:c r="E32" s="26"/>
      <x:c r="F32" s="26" t="str">
        <x:v>Revisar y actualizar si cambia la autoridad.</x:v>
      </x:c>
      <x:c r="G32" s="26" t="str">
        <x:v>Open</x:v>
      </x:c>
      <x:c r="H32" s="26"/>
      <x:c r="I32" s="26" t="str">
        <x:v>1.0</x:v>
      </x:c>
      <x:c r="J32" s="26" t="str">
        <x:v>VRM Games</x:v>
      </x:c>
      <x:c r="K32" s="26" t="str">
        <x:v>Commit e1998dffe52d0d4191abe3f8bda3b577d84bdb04; SHA-256 55e50d174b7de4c33308309824cd3990760f7dc421b98d9ee61fdefd83ff8f6e</x:v>
      </x:c>
      <x:c r="L32" s="26"/>
    </x:row>
    <x:row r="33" ht="30" customHeight="1">
      <x:c r="A33" s="26" t="str">
        <x:v>IMP-0029</x:v>
      </x:c>
      <x:c r="B33" s="26" t="str">
        <x:v>CHG-S0-029</x:v>
      </x:c>
      <x:c r="C33" s="26"/>
      <x:c r="D33" s="26" t="str">
        <x:v>Update/Review</x:v>
      </x:c>
      <x:c r="E33" s="26"/>
      <x:c r="F33" s="26" t="str">
        <x:v>Revisar y actualizar si cambia la autoridad.</x:v>
      </x:c>
      <x:c r="G33" s="26" t="str">
        <x:v>Open</x:v>
      </x:c>
      <x:c r="H33" s="26"/>
      <x:c r="I33" s="26" t="str">
        <x:v>1.0</x:v>
      </x:c>
      <x:c r="J33" s="26" t="str">
        <x:v>VRM Games</x:v>
      </x:c>
      <x:c r="K33" s="26" t="str">
        <x:v>Commit 69493d5da35873258395808ed9cf9e196f182cd8</x:v>
      </x:c>
      <x:c r="L33" s="26"/>
    </x:row>
    <x:row r="34" ht="30" customHeight="1">
      <x:c r="A34" s="26" t="str">
        <x:v>IMP-0030</x:v>
      </x:c>
      <x:c r="B34" s="26" t="str">
        <x:v>CHG-S0-030</x:v>
      </x:c>
      <x:c r="C34" s="26"/>
      <x:c r="D34" s="26" t="str">
        <x:v>Update/Review</x:v>
      </x:c>
      <x:c r="E34" s="26"/>
      <x:c r="F34" s="26" t="str">
        <x:v>Revisar y actualizar si cambia la autoridad.</x:v>
      </x:c>
      <x:c r="G34" s="26" t="str">
        <x:v>Open</x:v>
      </x:c>
      <x:c r="H34" s="26"/>
      <x:c r="I34" s="26" t="str">
        <x:v>1.0</x:v>
      </x:c>
      <x:c r="J34" s="26" t="str">
        <x:v>VRM Games</x:v>
      </x:c>
      <x:c r="K34" s="26" t="str">
        <x:v>S0.10 preparation package</x:v>
      </x:c>
      <x:c r="L34" s="26"/>
    </x:row>
    <x:row r="35" ht="30" customHeight="1">
      <x:c r="A35" s="26" t="str">
        <x:v>IMP-0031</x:v>
      </x:c>
      <x:c r="B35" s="26" t="str">
        <x:v>CHG-S0-031</x:v>
      </x:c>
      <x:c r="C35" s="26"/>
      <x:c r="D35" s="26" t="str">
        <x:v>Update/Review</x:v>
      </x:c>
      <x:c r="E35" s="26"/>
      <x:c r="F35" s="26" t="str">
        <x:v>Revisar y actualizar si cambia la autoridad.</x:v>
      </x:c>
      <x:c r="G35" s="26" t="str">
        <x:v>Open</x:v>
      </x:c>
      <x:c r="H35" s="26"/>
      <x:c r="I35" s="26" t="str">
        <x:v>1.0</x:v>
      </x:c>
      <x:c r="J35" s="26" t="str">
        <x:v>VRM Games</x:v>
      </x:c>
      <x:c r="K35" s="26" t="str">
        <x:v>S0.10 pre-final script</x:v>
      </x:c>
      <x:c r="L35" s="26"/>
    </x:row>
    <x:row r="36" ht="30" customHeight="1">
      <x:c r="A36" s="26" t="str">
        <x:v>IMP-0032</x:v>
      </x:c>
      <x:c r="B36" s="26" t="str">
        <x:v>CHG-S0-032</x:v>
      </x:c>
      <x:c r="C36" s="26"/>
      <x:c r="D36" s="26" t="str">
        <x:v>Update/Review</x:v>
      </x:c>
      <x:c r="E36" s="26"/>
      <x:c r="F36" s="26" t="str">
        <x:v>Revisar y actualizar si cambia la autoridad.</x:v>
      </x:c>
      <x:c r="G36" s="26" t="str">
        <x:v>Open</x:v>
      </x:c>
      <x:c r="H36" s="26"/>
      <x:c r="I36" s="26" t="str">
        <x:v>1.0</x:v>
      </x:c>
      <x:c r="J36" s="26" t="str">
        <x:v>VRM Games</x:v>
      </x:c>
      <x:c r="K36" s="26" t="str">
        <x:v>S0.10 pre-final script</x:v>
      </x:c>
      <x:c r="L36" s="26"/>
    </x:row>
    <x:row r="37" ht="30" customHeight="1">
      <x:c r="A37" s="26" t="str">
        <x:v>IMP-0033</x:v>
      </x:c>
      <x:c r="B37" s="26" t="str">
        <x:v>CHG-S0-033</x:v>
      </x:c>
      <x:c r="C37" s="26"/>
      <x:c r="D37" s="26" t="str">
        <x:v>Update/Review</x:v>
      </x:c>
      <x:c r="E37" s="26"/>
      <x:c r="F37" s="26" t="str">
        <x:v>Revisar y actualizar si cambia la autoridad.</x:v>
      </x:c>
      <x:c r="G37" s="26" t="str">
        <x:v>Open</x:v>
      </x:c>
      <x:c r="H37" s="26"/>
      <x:c r="I37" s="26" t="str">
        <x:v>1.0</x:v>
      </x:c>
      <x:c r="J37" s="26" t="str">
        <x:v>VRM Games</x:v>
      </x:c>
      <x:c r="K37" s="26" t="str">
        <x:v>S0.10 pre-final script</x:v>
      </x:c>
      <x:c r="L37" s="26"/>
    </x:row>
    <x:row r="38" ht="30" customHeight="1">
      <x:c r="A38" s="26" t="str">
        <x:v>IMP-0034</x:v>
      </x:c>
      <x:c r="B38" s="26" t="str">
        <x:v>CHG-S0-034</x:v>
      </x:c>
      <x:c r="C38" s="26"/>
      <x:c r="D38" s="26" t="str">
        <x:v>Update/Review</x:v>
      </x:c>
      <x:c r="E38" s="26"/>
      <x:c r="F38" s="26" t="str">
        <x:v>Revisar y actualizar si cambia la autoridad.</x:v>
      </x:c>
      <x:c r="G38" s="26" t="str">
        <x:v>Open</x:v>
      </x:c>
      <x:c r="H38" s="26"/>
      <x:c r="I38" s="26" t="str">
        <x:v>1.0</x:v>
      </x:c>
      <x:c r="J38" s="26" t="str">
        <x:v>VRM Games</x:v>
      </x:c>
      <x:c r="K38" s="26" t="str">
        <x:v>S0.10 pre-final script</x:v>
      </x:c>
      <x:c r="L38" s="26"/>
    </x:row>
    <x:row r="39" ht="30" customHeight="1">
      <x:c r="A39" s="26" t="str">
        <x:v>IMP-0035</x:v>
      </x:c>
      <x:c r="B39" s="26" t="str">
        <x:v>CHG-S0-035</x:v>
      </x:c>
      <x:c r="C39" s="26"/>
      <x:c r="D39" s="26" t="str">
        <x:v>Update/Review</x:v>
      </x:c>
      <x:c r="E39" s="26"/>
      <x:c r="F39" s="26" t="str">
        <x:v>Revisar y actualizar si cambia la autoridad.</x:v>
      </x:c>
      <x:c r="G39" s="26" t="str">
        <x:v>Open</x:v>
      </x:c>
      <x:c r="H39" s="26"/>
      <x:c r="I39" s="26" t="str">
        <x:v>1.0</x:v>
      </x:c>
      <x:c r="J39" s="26" t="str">
        <x:v>VRM Games</x:v>
      </x:c>
      <x:c r="K39" s="26" t="str">
        <x:v>S0.10 pre-final package</x:v>
      </x:c>
      <x:c r="L39" s="26"/>
    </x:row>
    <x:row r="40" ht="30" customHeight="1">
      <x:c r="A40" s="26" t="str">
        <x:v>IMP-0036</x:v>
      </x:c>
      <x:c r="B40" s="26" t="str">
        <x:v>CHG-S0-036</x:v>
      </x:c>
      <x:c r="C40" s="26"/>
      <x:c r="D40" s="26" t="str">
        <x:v>Update/Review</x:v>
      </x:c>
      <x:c r="E40" s="26"/>
      <x:c r="F40" s="26" t="str">
        <x:v>Revisar y actualizar si cambia la autoridad.</x:v>
      </x:c>
      <x:c r="G40" s="26" t="str">
        <x:v>Open</x:v>
      </x:c>
      <x:c r="H40" s="26"/>
      <x:c r="I40" s="26" t="str">
        <x:v>1.0</x:v>
      </x:c>
      <x:c r="J40" s="26" t="str">
        <x:v>VRM Games</x:v>
      </x:c>
      <x:c r="K40" s="26" t="str">
        <x:v>Developer confirmation</x:v>
      </x:c>
      <x:c r="L40" s="26"/>
    </x:row>
    <x:row r="41" ht="30" customHeight="1">
      <x:c r="A41" s="26" t="str">
        <x:v>IMP-0037</x:v>
      </x:c>
      <x:c r="B41" s="26" t="str">
        <x:v>CHG-S0-037</x:v>
      </x:c>
      <x:c r="C41" s="26"/>
      <x:c r="D41" s="26" t="str">
        <x:v>Update/Review</x:v>
      </x:c>
      <x:c r="E41" s="26"/>
      <x:c r="F41" s="26" t="str">
        <x:v>Revisar y actualizar si cambia la autoridad.</x:v>
      </x:c>
      <x:c r="G41" s="26" t="str">
        <x:v>Open</x:v>
      </x:c>
      <x:c r="H41" s="26"/>
      <x:c r="I41" s="26" t="str">
        <x:v>1.0</x:v>
      </x:c>
      <x:c r="J41" s="26" t="str">
        <x:v>VRM Games</x:v>
      </x:c>
      <x:c r="K41" s="26" t="str">
        <x:v>SHA-256 897d85a00e5afd3d3d019ebf646f2128fa9a27e3bcfa8c50ec3e4ee56c3a2ad6</x:v>
      </x:c>
      <x:c r="L41" s="26"/>
    </x:row>
    <x:row r="42" ht="30" customHeight="1">
      <x:c r="A42" s="26" t="str">
        <x:v>IMP-0038</x:v>
      </x:c>
      <x:c r="B42" s="26" t="str">
        <x:v>CHG-S0-038</x:v>
      </x:c>
      <x:c r="C42" s="26"/>
      <x:c r="D42" s="26" t="str">
        <x:v>Update/Review</x:v>
      </x:c>
      <x:c r="E42" s="26"/>
      <x:c r="F42" s="26" t="str">
        <x:v>Revisar y actualizar si cambia la autoridad.</x:v>
      </x:c>
      <x:c r="G42" s="26" t="str">
        <x:v>Open</x:v>
      </x:c>
      <x:c r="H42" s="26"/>
      <x:c r="I42" s="26" t="str">
        <x:v>1.0</x:v>
      </x:c>
      <x:c r="J42" s="26" t="str">
        <x:v>VRM Games</x:v>
      </x:c>
      <x:c r="K42" s="26" t="str">
        <x:v>Developer confirmation</x:v>
      </x:c>
      <x:c r="L42" s="26"/>
    </x:row>
    <x:row r="43" ht="30" customHeight="1">
      <x:c r="A43" s="26" t="str">
        <x:v>IMP-0039</x:v>
      </x:c>
      <x:c r="B43" s="26" t="str">
        <x:v>CHG-S0-039</x:v>
      </x:c>
      <x:c r="C43" s="26"/>
      <x:c r="D43" s="26" t="str">
        <x:v>Update/Review</x:v>
      </x:c>
      <x:c r="E43" s="26"/>
      <x:c r="F43" s="26" t="str">
        <x:v>Revisar y actualizar si cambia la autoridad.</x:v>
      </x:c>
      <x:c r="G43" s="26" t="str">
        <x:v>Open</x:v>
      </x:c>
      <x:c r="H43" s="26"/>
      <x:c r="I43" s="26" t="str">
        <x:v>1.0</x:v>
      </x:c>
      <x:c r="J43" s="26" t="str">
        <x:v>VRM Games</x:v>
      </x:c>
      <x:c r="K43" s="26" t="str">
        <x:v>S0.10 final closure package</x:v>
      </x:c>
      <x:c r="L43" s="26"/>
    </x:row>
    <x:row r="44" ht="30" customHeight="1">
      <x:c r="A44" s="26" t="str">
        <x:v>IMP-0040</x:v>
      </x:c>
      <x:c r="B44" s="26" t="str">
        <x:v>CHG-S0-040</x:v>
      </x:c>
      <x:c r="C44" s="26"/>
      <x:c r="D44" s="26" t="str">
        <x:v>Update/Review</x:v>
      </x:c>
      <x:c r="E44" s="26"/>
      <x:c r="F44" s="26" t="str">
        <x:v>Revisar y actualizar si cambia la autoridad.</x:v>
      </x:c>
      <x:c r="G44" s="26" t="str">
        <x:v>Open</x:v>
      </x:c>
      <x:c r="H44" s="26"/>
      <x:c r="I44" s="26" t="str">
        <x:v>1.0</x:v>
      </x:c>
      <x:c r="J44" s="26" t="str">
        <x:v>VRM Games</x:v>
      </x:c>
      <x:c r="K44" s="26" t="str">
        <x:v>Commit 478794017015054571d6ca22332a201589abbe5c</x:v>
      </x:c>
      <x:c r="L44" s="26"/>
    </x:row>
    <x:row r="45" ht="30" customHeight="1">
      <x:c r="A45" s="26" t="str">
        <x:v>IMP-0041</x:v>
      </x:c>
      <x:c r="B45" s="26" t="str">
        <x:v>CHG-S0-041</x:v>
      </x:c>
      <x:c r="C45" s="26"/>
      <x:c r="D45" s="26" t="str">
        <x:v>Update/Review</x:v>
      </x:c>
      <x:c r="E45" s="26"/>
      <x:c r="F45" s="26" t="str">
        <x:v>Revisar y actualizar si cambia la autoridad.</x:v>
      </x:c>
      <x:c r="G45" s="26" t="str">
        <x:v>Open</x:v>
      </x:c>
      <x:c r="H45" s="26"/>
      <x:c r="I45" s="26" t="str">
        <x:v>1.0</x:v>
      </x:c>
      <x:c r="J45" s="26" t="str">
        <x:v>VRM Games</x:v>
      </x:c>
      <x:c r="K45" s="26" t="str">
        <x:v>Post-publication fix package</x:v>
      </x:c>
      <x:c r="L45" s="26"/>
    </x:row>
    <x:row r="46" ht="30" customHeight="1">
      <x:c r="A46" s="26" t="str">
        <x:v>IMP-0042</x:v>
      </x:c>
      <x:c r="B46" s="26" t="str">
        <x:v>CHG-S1-001</x:v>
      </x:c>
      <x:c r="C46" s="26" t="str">
        <x:v>SceneFlow</x:v>
      </x:c>
      <x:c r="D46" s="26" t="str">
        <x:v>Update/Review</x:v>
      </x:c>
      <x:c r="E46" s="26"/>
      <x:c r="F46" s="26" t="str">
        <x:v>Revisar y actualizar si cambia la autoridad.</x:v>
      </x:c>
      <x:c r="G46" s="26" t="str">
        <x:v>Closed</x:v>
      </x:c>
      <x:c r="H46" s="26"/>
      <x:c r="I46" s="26" t="str">
        <x:v>1.0</x:v>
      </x:c>
      <x:c r="J46" s="26" t="str">
        <x:v>VRM Games</x:v>
      </x:c>
      <x:c r="K46" s="26" t="str">
        <x:v>14/14</x:v>
      </x:c>
      <x:c r="L46" s="26"/>
    </x:row>
    <x:row r="47" ht="30" customHeight="1">
      <x:c r="A47" s="26" t="str">
        <x:v>IMP-0043</x:v>
      </x:c>
      <x:c r="B47" s="26" t="str">
        <x:v>CHG-S2-001</x:v>
      </x:c>
      <x:c r="C47" s="26" t="str">
        <x:v>Data</x:v>
      </x:c>
      <x:c r="D47" s="26" t="str">
        <x:v>Update/Review</x:v>
      </x:c>
      <x:c r="E47" s="26"/>
      <x:c r="F47" s="26" t="str">
        <x:v>Revisar y actualizar si cambia la autoridad.</x:v>
      </x:c>
      <x:c r="G47" s="26" t="str">
        <x:v>Closed</x:v>
      </x:c>
      <x:c r="H47" s="26"/>
      <x:c r="I47" s="26" t="str">
        <x:v>1.0</x:v>
      </x:c>
      <x:c r="J47" s="26" t="str">
        <x:v>VRM Games</x:v>
      </x:c>
      <x:c r="K47" s="26" t="str">
        <x:v>c55b5d04</x:v>
      </x:c>
      <x:c r="L47" s="26"/>
    </x:row>
    <x:row r="48" ht="30" customHeight="1">
      <x:c r="A48" s="26" t="str">
        <x:v>IMP-0044</x:v>
      </x:c>
      <x:c r="B48" s="26" t="str">
        <x:v>CHG-S3-001</x:v>
      </x:c>
      <x:c r="C48" s="26" t="str">
        <x:v>Input/Control</x:v>
      </x:c>
      <x:c r="D48" s="26" t="str">
        <x:v>Update/Review</x:v>
      </x:c>
      <x:c r="E48" s="26"/>
      <x:c r="F48" s="26" t="str">
        <x:v>Revisar y actualizar si cambia la autoridad.</x:v>
      </x:c>
      <x:c r="G48" s="26" t="str">
        <x:v>Closed</x:v>
      </x:c>
      <x:c r="H48" s="26"/>
      <x:c r="I48" s="26" t="str">
        <x:v>1.0</x:v>
      </x:c>
      <x:c r="J48" s="26" t="str">
        <x:v>VRM Games</x:v>
      </x:c>
      <x:c r="K48" s="26" t="str">
        <x:v>fe3f83ce</x:v>
      </x:c>
      <x:c r="L48" s="26"/>
    </x:row>
    <x:row r="49" ht="30" customHeight="1">
      <x:c r="A49" s="26" t="str">
        <x:v>IMP-0045</x:v>
      </x:c>
      <x:c r="B49" s="26" t="str">
        <x:v>CHG-S4-001</x:v>
      </x:c>
      <x:c r="C49" s="26" t="str">
        <x:v>Placement</x:v>
      </x:c>
      <x:c r="D49" s="26" t="str">
        <x:v>Update/Review</x:v>
      </x:c>
      <x:c r="E49" s="26"/>
      <x:c r="F49" s="26" t="str">
        <x:v>Revisar y actualizar si cambia la autoridad.</x:v>
      </x:c>
      <x:c r="G49" s="26" t="str">
        <x:v>Closed</x:v>
      </x:c>
      <x:c r="H49" s="26"/>
      <x:c r="I49" s="26" t="str">
        <x:v>1.0</x:v>
      </x:c>
      <x:c r="J49" s="26" t="str">
        <x:v>VRM Games</x:v>
      </x:c>
      <x:c r="K49" s="26" t="str">
        <x:v>bcf8cdd3</x:v>
      </x:c>
      <x:c r="L49" s="26"/>
    </x:row>
    <x:row r="50" ht="30" customHeight="1">
      <x:c r="A50" s="26" t="str">
        <x:v>IMP-0046</x:v>
      </x:c>
      <x:c r="B50" s="26" t="str">
        <x:v>CHG-S5-001</x:v>
      </x:c>
      <x:c r="C50" s="26" t="str">
        <x:v>Store</x:v>
      </x:c>
      <x:c r="D50" s="26" t="str">
        <x:v>Update/Review</x:v>
      </x:c>
      <x:c r="E50" s="26"/>
      <x:c r="F50" s="26" t="str">
        <x:v>Revisar y actualizar si cambia la autoridad.</x:v>
      </x:c>
      <x:c r="G50" s="26" t="str">
        <x:v>Closed</x:v>
      </x:c>
      <x:c r="H50" s="26"/>
      <x:c r="I50" s="26" t="str">
        <x:v>1.0</x:v>
      </x:c>
      <x:c r="J50" s="26" t="str">
        <x:v>VRM Games</x:v>
      </x:c>
      <x:c r="K50" s="26" t="str">
        <x:v>22d62967</x:v>
      </x:c>
      <x:c r="L50" s="26"/>
    </x:row>
    <x:row r="51" ht="30" customHeight="1">
      <x:c r="A51" s="26" t="str">
        <x:v>IMP-0047</x:v>
      </x:c>
      <x:c r="B51" s="26" t="str">
        <x:v>CHG-S5-DOC</x:v>
      </x:c>
      <x:c r="C51" s="26" t="str">
        <x:v>Documentation</x:v>
      </x:c>
      <x:c r="D51" s="26" t="str">
        <x:v>Update/Review</x:v>
      </x:c>
      <x:c r="E51" s="26"/>
      <x:c r="F51" s="26" t="str">
        <x:v>Revisar y actualizar si cambia la autoridad.</x:v>
      </x:c>
      <x:c r="G51" s="26" t="str">
        <x:v>Closed</x:v>
      </x:c>
      <x:c r="H51" s="26"/>
      <x:c r="I51" s="26" t="str">
        <x:v>1.0</x:v>
      </x:c>
      <x:c r="J51" s="26" t="str">
        <x:v>VRM Games</x:v>
      </x:c>
      <x:c r="K51" s="26" t="str">
        <x:v>b650aa59</x:v>
      </x:c>
      <x:c r="L51" s="26"/>
    </x:row>
    <x:row r="52" ht="30" customHeight="1">
      <x:c r="A52" s="26" t="str">
        <x:v>IMP-0048</x:v>
      </x:c>
      <x:c r="B52" s="26" t="str">
        <x:v>CHG-S6-001</x:v>
      </x:c>
      <x:c r="C52" s="26" t="str">
        <x:v>Inventory</x:v>
      </x:c>
      <x:c r="D52" s="26" t="str">
        <x:v>Update/Review</x:v>
      </x:c>
      <x:c r="E52" s="26"/>
      <x:c r="F52" s="26" t="str">
        <x:v>Revisar y actualizar si cambia la autoridad.</x:v>
      </x:c>
      <x:c r="G52" s="26" t="str">
        <x:v>Open</x:v>
      </x:c>
      <x:c r="H52" s="26"/>
      <x:c r="I52" s="26" t="str">
        <x:v>1.0</x:v>
      </x:c>
      <x:c r="J52" s="26" t="str">
        <x:v>VRM Games</x:v>
      </x:c>
      <x:c r="K52" s="26"/>
      <x:c r="L52" s="26"/>
    </x:row>
    <x:row r="53" ht="30" customHeight="1">
      <x:c r="A53" s="26" t="str">
        <x:v>IMP-0049</x:v>
      </x:c>
      <x:c r="B53" s="26" t="str">
        <x:v>CHG-S6-002</x:v>
      </x:c>
      <x:c r="C53" s="26" t="str">
        <x:v>Inventory</x:v>
      </x:c>
      <x:c r="D53" s="26" t="str">
        <x:v>Update/Review</x:v>
      </x:c>
      <x:c r="E53" s="26"/>
      <x:c r="F53" s="26" t="str">
        <x:v>Revisar y actualizar si cambia la autoridad.</x:v>
      </x:c>
      <x:c r="G53" s="26" t="str">
        <x:v>Open</x:v>
      </x:c>
      <x:c r="H53" s="26"/>
      <x:c r="I53" s="26" t="str">
        <x:v>1.0</x:v>
      </x:c>
      <x:c r="J53" s="26" t="str">
        <x:v>VRM Games</x:v>
      </x:c>
      <x:c r="K53" s="26"/>
      <x:c r="L53" s="26"/>
    </x:row>
    <x:row r="54" ht="30" customHeight="1">
      <x:c r="A54" s="26" t="str">
        <x:v>IMP-0050</x:v>
      </x:c>
      <x:c r="B54" s="26" t="str">
        <x:v>CHG-S6-003</x:v>
      </x:c>
      <x:c r="C54" s="26" t="str">
        <x:v>Inventory</x:v>
      </x:c>
      <x:c r="D54" s="26" t="str">
        <x:v>Update/Review</x:v>
      </x:c>
      <x:c r="E54" s="26"/>
      <x:c r="F54" s="26" t="str">
        <x:v>Revisar y actualizar si cambia la autoridad.</x:v>
      </x:c>
      <x:c r="G54" s="26" t="str">
        <x:v>Open</x:v>
      </x:c>
      <x:c r="H54" s="26"/>
      <x:c r="I54" s="26" t="str">
        <x:v>1.0</x:v>
      </x:c>
      <x:c r="J54" s="26" t="str">
        <x:v>VRM Games</x:v>
      </x:c>
      <x:c r="K54" s="26"/>
      <x:c r="L54" s="26"/>
    </x:row>
    <x:row r="55" ht="30" customHeight="1">
      <x:c r="A55" s="26" t="str">
        <x:v>IMP-0051</x:v>
      </x:c>
      <x:c r="B55" s="26" t="str">
        <x:v>CHG-STORE-001</x:v>
      </x:c>
      <x:c r="C55" s="26" t="str">
        <x:v>00_Enfoque_y_Alcance.md</x:v>
      </x:c>
      <x:c r="D55" s="26" t="str">
        <x:v>Update/Review</x:v>
      </x:c>
      <x:c r="E55" s="26"/>
      <x:c r="F55" s="26" t="str">
        <x:v>Revisar y actualizar si cambia la autoridad.</x:v>
      </x:c>
      <x:c r="G55" s="26" t="str">
        <x:v>Closed</x:v>
      </x:c>
      <x:c r="H55" s="26" t="str">
        <x:v>0.0.6</x:v>
      </x:c>
      <x:c r="I55" s="26" t="str">
        <x:v>1.0</x:v>
      </x:c>
      <x:c r="J55" s="26" t="str">
        <x:v>VRM Games</x:v>
      </x:c>
      <x:c r="K55" s="26"/>
      <x:c r="L55" s="26"/>
    </x:row>
    <x:row r="56" ht="30" customHeight="1">
      <x:c r="A56" s="26" t="str">
        <x:v>IMP-0052</x:v>
      </x:c>
      <x:c r="B56" s="26" t="str">
        <x:v>CHG-STORE-001</x:v>
      </x:c>
      <x:c r="C56" s="26" t="str">
        <x:v>01_Game_Design_Document.md</x:v>
      </x:c>
      <x:c r="D56" s="26" t="str">
        <x:v>Update/Review</x:v>
      </x:c>
      <x:c r="E56" s="26"/>
      <x:c r="F56" s="26" t="str">
        <x:v>Revisar y actualizar si cambia la autoridad.</x:v>
      </x:c>
      <x:c r="G56" s="26" t="str">
        <x:v>Closed</x:v>
      </x:c>
      <x:c r="H56" s="26" t="str">
        <x:v>0.0.6</x:v>
      </x:c>
      <x:c r="I56" s="26" t="str">
        <x:v>1.0</x:v>
      </x:c>
      <x:c r="J56" s="26" t="str">
        <x:v>VRM Games</x:v>
      </x:c>
      <x:c r="K56" s="26"/>
      <x:c r="L56" s="26"/>
    </x:row>
    <x:row r="57" ht="30" customHeight="1">
      <x:c r="A57" s="26" t="str">
        <x:v>IMP-0053</x:v>
      </x:c>
      <x:c r="B57" s="26" t="str">
        <x:v>CHG-STORE-001</x:v>
      </x:c>
      <x:c r="C57" s="26" t="str">
        <x:v>02_Vertical_Slice_Specification.md</x:v>
      </x:c>
      <x:c r="D57" s="26" t="str">
        <x:v>Update/Review</x:v>
      </x:c>
      <x:c r="E57" s="26"/>
      <x:c r="F57" s="26" t="str">
        <x:v>Revisar y actualizar si cambia la autoridad.</x:v>
      </x:c>
      <x:c r="G57" s="26" t="str">
        <x:v>Closed</x:v>
      </x:c>
      <x:c r="H57" s="26" t="str">
        <x:v>0.0.6</x:v>
      </x:c>
      <x:c r="I57" s="26" t="str">
        <x:v>1.0</x:v>
      </x:c>
      <x:c r="J57" s="26" t="str">
        <x:v>VRM Games</x:v>
      </x:c>
      <x:c r="K57" s="26"/>
      <x:c r="L57" s="26"/>
    </x:row>
    <x:row r="58" ht="30" customHeight="1">
      <x:c r="A58" s="26" t="str">
        <x:v>IMP-0054</x:v>
      </x:c>
      <x:c r="B58" s="26" t="str">
        <x:v>CHG-STORE-001</x:v>
      </x:c>
      <x:c r="C58" s="26" t="str">
        <x:v>05_UX_Flow.md</x:v>
      </x:c>
      <x:c r="D58" s="26" t="str">
        <x:v>Update/Review</x:v>
      </x:c>
      <x:c r="E58" s="26"/>
      <x:c r="F58" s="26" t="str">
        <x:v>Revisar y actualizar si cambia la autoridad.</x:v>
      </x:c>
      <x:c r="G58" s="26" t="str">
        <x:v>Closed</x:v>
      </x:c>
      <x:c r="H58" s="26" t="str">
        <x:v>0.0.6</x:v>
      </x:c>
      <x:c r="I58" s="26" t="str">
        <x:v>1.0</x:v>
      </x:c>
      <x:c r="J58" s="26" t="str">
        <x:v>VRM Games</x:v>
      </x:c>
      <x:c r="K58" s="26"/>
      <x:c r="L58" s="26"/>
    </x:row>
    <x:row r="59" ht="30" customHeight="1">
      <x:c r="A59" s="26" t="str">
        <x:v>IMP-0055</x:v>
      </x:c>
      <x:c r="B59" s="26" t="str">
        <x:v>CHG-STORE-001</x:v>
      </x:c>
      <x:c r="C59" s="26" t="str">
        <x:v>06_Production_Roadmap_y_Sprint_Plan.md</x:v>
      </x:c>
      <x:c r="D59" s="26" t="str">
        <x:v>Update/Review</x:v>
      </x:c>
      <x:c r="E59" s="26"/>
      <x:c r="F59" s="26" t="str">
        <x:v>Revisar y actualizar si cambia la autoridad.</x:v>
      </x:c>
      <x:c r="G59" s="26" t="str">
        <x:v>Closed</x:v>
      </x:c>
      <x:c r="H59" s="26" t="str">
        <x:v>0.0.6</x:v>
      </x:c>
      <x:c r="I59" s="26" t="str">
        <x:v>1.0</x:v>
      </x:c>
      <x:c r="J59" s="26" t="str">
        <x:v>VRM Games</x:v>
      </x:c>
      <x:c r="K59" s="26"/>
      <x:c r="L59" s="26"/>
    </x:row>
    <x:row r="60" ht="30" customHeight="1">
      <x:c r="A60" s="26" t="str">
        <x:v>IMP-0056</x:v>
      </x:c>
      <x:c r="B60" s="26" t="str">
        <x:v>CHG-STORE-002</x:v>
      </x:c>
      <x:c r="C60" s="26" t="str">
        <x:v>02_Vertical_Slice_Specification.md</x:v>
      </x:c>
      <x:c r="D60" s="26" t="str">
        <x:v>Update/Review</x:v>
      </x:c>
      <x:c r="E60" s="26"/>
      <x:c r="F60" s="26" t="str">
        <x:v>Revisar y actualizar si cambia la autoridad.</x:v>
      </x:c>
      <x:c r="G60" s="26" t="str">
        <x:v>Open</x:v>
      </x:c>
      <x:c r="H60" s="26" t="str">
        <x:v>0.0.17</x:v>
      </x:c>
      <x:c r="I60" s="26" t="str">
        <x:v>1.0</x:v>
      </x:c>
      <x:c r="J60" s="26" t="str">
        <x:v>VRM Games</x:v>
      </x:c>
      <x:c r="K60" s="26"/>
      <x:c r="L60" s="26"/>
    </x:row>
    <x:row r="61" ht="30" customHeight="1">
      <x:c r="A61" s="26" t="str">
        <x:v>IMP-0057</x:v>
      </x:c>
      <x:c r="B61" s="26" t="str">
        <x:v>CHG-STORE-002</x:v>
      </x:c>
      <x:c r="C61" s="26" t="str">
        <x:v>03_Technical_Design_Document.md</x:v>
      </x:c>
      <x:c r="D61" s="26" t="str">
        <x:v>Update/Review</x:v>
      </x:c>
      <x:c r="E61" s="26"/>
      <x:c r="F61" s="26" t="str">
        <x:v>Revisar y actualizar si cambia la autoridad.</x:v>
      </x:c>
      <x:c r="G61" s="26" t="str">
        <x:v>Open</x:v>
      </x:c>
      <x:c r="H61" s="26" t="str">
        <x:v>0.0.17</x:v>
      </x:c>
      <x:c r="I61" s="26" t="str">
        <x:v>1.0</x:v>
      </x:c>
      <x:c r="J61" s="26" t="str">
        <x:v>VRM Games</x:v>
      </x:c>
      <x:c r="K61" s="26"/>
      <x:c r="L61" s="26"/>
    </x:row>
    <x:row r="62" ht="30" customHeight="1">
      <x:c r="A62" s="26" t="str">
        <x:v>IMP-0058</x:v>
      </x:c>
      <x:c r="B62" s="26" t="str">
        <x:v>CHG-STORE-002</x:v>
      </x:c>
      <x:c r="C62" s="26" t="str">
        <x:v>05_UX_Flow.md</x:v>
      </x:c>
      <x:c r="D62" s="26" t="str">
        <x:v>Update/Review</x:v>
      </x:c>
      <x:c r="E62" s="26"/>
      <x:c r="F62" s="26" t="str">
        <x:v>Revisar y actualizar si cambia la autoridad.</x:v>
      </x:c>
      <x:c r="G62" s="26" t="str">
        <x:v>Open</x:v>
      </x:c>
      <x:c r="H62" s="26" t="str">
        <x:v>0.0.17</x:v>
      </x:c>
      <x:c r="I62" s="26" t="str">
        <x:v>1.0</x:v>
      </x:c>
      <x:c r="J62" s="26" t="str">
        <x:v>VRM Games</x:v>
      </x:c>
      <x:c r="K62" s="26"/>
      <x:c r="L62" s="26"/>
    </x:row>
    <x:row r="63" ht="30" customHeight="1">
      <x:c r="A63" s="26" t="str">
        <x:v>IMP-0059</x:v>
      </x:c>
      <x:c r="B63" s="26" t="str">
        <x:v>CHG-STORE-002</x:v>
      </x:c>
      <x:c r="C63" s="26" t="str">
        <x:v>06_Production_Roadmap_y_Sprint_Plan.md</x:v>
      </x:c>
      <x:c r="D63" s="26" t="str">
        <x:v>Update/Review</x:v>
      </x:c>
      <x:c r="E63" s="26"/>
      <x:c r="F63" s="26" t="str">
        <x:v>Revisar y actualizar si cambia la autoridad.</x:v>
      </x:c>
      <x:c r="G63" s="26" t="str">
        <x:v>Open</x:v>
      </x:c>
      <x:c r="H63" s="26" t="str">
        <x:v>0.0.17</x:v>
      </x:c>
      <x:c r="I63" s="26" t="str">
        <x:v>1.0</x:v>
      </x:c>
      <x:c r="J63" s="26" t="str">
        <x:v>VRM Games</x:v>
      </x:c>
      <x:c r="K63" s="26"/>
      <x:c r="L63" s="26"/>
    </x:row>
    <x:row r="64" ht="30" customHeight="1">
      <x:c r="A64" s="26" t="str">
        <x:v>IMP-0060</x:v>
      </x:c>
      <x:c r="B64" s="26" t="str">
        <x:v>CHG-STORE-002</x:v>
      </x:c>
      <x:c r="C64" s="26" t="str">
        <x:v>10_Unity_Project_Setup_Guide.md</x:v>
      </x:c>
      <x:c r="D64" s="26" t="str">
        <x:v>Update/Review</x:v>
      </x:c>
      <x:c r="E64" s="26"/>
      <x:c r="F64" s="26" t="str">
        <x:v>Revisar y actualizar si cambia la autoridad.</x:v>
      </x:c>
      <x:c r="G64" s="26" t="str">
        <x:v>Open</x:v>
      </x:c>
      <x:c r="H64" s="26" t="str">
        <x:v>0.0.17</x:v>
      </x:c>
      <x:c r="I64" s="26" t="str">
        <x:v>1.0</x:v>
      </x:c>
      <x:c r="J64" s="26" t="str">
        <x:v>VRM Games</x:v>
      </x:c>
      <x:c r="K64" s="26"/>
      <x:c r="L64" s="26"/>
    </x:row>
    <x:row r="65" ht="30" customHeight="1">
      <x:c r="A65" s="26" t="str">
        <x:v>IMP-0061</x:v>
      </x:c>
      <x:c r="B65" s="26" t="str">
        <x:v>CHG-STORE-002</x:v>
      </x:c>
      <x:c r="C65" s="26" t="str">
        <x:v>11_Build_y_Versioning_Guide.md</x:v>
      </x:c>
      <x:c r="D65" s="26" t="str">
        <x:v>Update/Review</x:v>
      </x:c>
      <x:c r="E65" s="26"/>
      <x:c r="F65" s="26" t="str">
        <x:v>Revisar y actualizar si cambia la autoridad.</x:v>
      </x:c>
      <x:c r="G65" s="26" t="str">
        <x:v>Open</x:v>
      </x:c>
      <x:c r="H65" s="26" t="str">
        <x:v>0.0.17</x:v>
      </x:c>
      <x:c r="I65" s="26" t="str">
        <x:v>1.0</x:v>
      </x:c>
      <x:c r="J65" s="26" t="str">
        <x:v>VRM Games</x:v>
      </x:c>
      <x:c r="K65" s="26"/>
      <x:c r="L65" s="26"/>
    </x:row>
    <x:row r="66" ht="30" customHeight="1">
      <x:c r="A66" s="26" t="str">
        <x:v>IMP-0062</x:v>
      </x:c>
      <x:c r="B66" s="26" t="str">
        <x:v>CHG-STORE-002</x:v>
      </x:c>
      <x:c r="C66" s="26" t="str">
        <x:v>12_Excel_Maestro_de_Produccion.xlsx</x:v>
      </x:c>
      <x:c r="D66" s="26" t="str">
        <x:v>Update/Review</x:v>
      </x:c>
      <x:c r="E66" s="26"/>
      <x:c r="F66" s="26" t="str">
        <x:v>Revisar y actualizar si cambia la autoridad.</x:v>
      </x:c>
      <x:c r="G66" s="26" t="str">
        <x:v>Open</x:v>
      </x:c>
      <x:c r="H66" s="26" t="str">
        <x:v>0.0.17</x:v>
      </x:c>
      <x:c r="I66" s="26" t="str">
        <x:v>1.0</x:v>
      </x:c>
      <x:c r="J66" s="26" t="str">
        <x:v>VRM Games</x:v>
      </x:c>
      <x:c r="K66" s="26"/>
      <x:c r="L66" s="26"/>
    </x:row>
    <x:row r="67" ht="30" customHeight="1">
      <x:c r="A67" s="26" t="str">
        <x:v>IMP-0063</x:v>
      </x:c>
      <x:c r="B67" s="26" t="str">
        <x:v>CHG-SAVE-001</x:v>
      </x:c>
      <x:c r="C67" s="26" t="str">
        <x:v>03_Technical_Design_Document.md</x:v>
      </x:c>
      <x:c r="D67" s="26" t="str">
        <x:v>Update/Review</x:v>
      </x:c>
      <x:c r="E67" s="26"/>
      <x:c r="F67" s="26" t="str">
        <x:v>Revisar y actualizar si cambia la autoridad.</x:v>
      </x:c>
      <x:c r="G67" s="26" t="str">
        <x:v>Closed</x:v>
      </x:c>
      <x:c r="H67" s="26" t="str">
        <x:v>0.0.3</x:v>
      </x:c>
      <x:c r="I67" s="26" t="str">
        <x:v>1.0</x:v>
      </x:c>
      <x:c r="J67" s="26" t="str">
        <x:v>VRM Games</x:v>
      </x:c>
      <x:c r="K67" s="26"/>
      <x:c r="L67" s="26"/>
    </x:row>
    <x:row r="68" ht="30" customHeight="1">
      <x:c r="A68" s="26" t="str">
        <x:v>IMP-0064</x:v>
      </x:c>
      <x:c r="B68" s="26" t="str">
        <x:v>CHG-SAVE-001</x:v>
      </x:c>
      <x:c r="C68" s="26" t="str">
        <x:v>04_Modelo_de_Datos.md</x:v>
      </x:c>
      <x:c r="D68" s="26" t="str">
        <x:v>Update/Review</x:v>
      </x:c>
      <x:c r="E68" s="26"/>
      <x:c r="F68" s="26" t="str">
        <x:v>Revisar y actualizar si cambia la autoridad.</x:v>
      </x:c>
      <x:c r="G68" s="26" t="str">
        <x:v>Closed</x:v>
      </x:c>
      <x:c r="H68" s="26" t="str">
        <x:v>0.0.3</x:v>
      </x:c>
      <x:c r="I68" s="26" t="str">
        <x:v>1.0</x:v>
      </x:c>
      <x:c r="J68" s="26" t="str">
        <x:v>VRM Games</x:v>
      </x:c>
      <x:c r="K68" s="26"/>
      <x:c r="L68" s="26"/>
    </x:row>
    <x:row r="69" ht="30" customHeight="1">
      <x:c r="A69" s="26" t="str">
        <x:v>IMP-0065</x:v>
      </x:c>
      <x:c r="B69" s="26" t="str">
        <x:v>CHG-SAVE-001</x:v>
      </x:c>
      <x:c r="C69" s="26" t="str">
        <x:v>07_QA_Testing_Plan.md</x:v>
      </x:c>
      <x:c r="D69" s="26" t="str">
        <x:v>Update/Review</x:v>
      </x:c>
      <x:c r="E69" s="26"/>
      <x:c r="F69" s="26" t="str">
        <x:v>Revisar y actualizar si cambia la autoridad.</x:v>
      </x:c>
      <x:c r="G69" s="26" t="str">
        <x:v>Closed</x:v>
      </x:c>
      <x:c r="H69" s="26" t="str">
        <x:v>0.0.3</x:v>
      </x:c>
      <x:c r="I69" s="26" t="str">
        <x:v>1.0</x:v>
      </x:c>
      <x:c r="J69" s="26" t="str">
        <x:v>VRM Games</x:v>
      </x:c>
      <x:c r="K69" s="26"/>
      <x:c r="L69" s="26"/>
    </x:row>
    <x:row r="70" ht="30" customHeight="1">
      <x:c r="A70" s="26" t="str">
        <x:v>IMP-0066</x:v>
      </x:c>
      <x:c r="B70" s="26" t="str">
        <x:v>CHG-SAVE-002</x:v>
      </x:c>
      <x:c r="C70" s="26" t="str">
        <x:v>03_Technical_Design_Document.md</x:v>
      </x:c>
      <x:c r="D70" s="26" t="str">
        <x:v>Update/Review</x:v>
      </x:c>
      <x:c r="E70" s="26"/>
      <x:c r="F70" s="26" t="str">
        <x:v>Revisar y actualizar si cambia la autoridad.</x:v>
      </x:c>
      <x:c r="G70" s="26" t="str">
        <x:v>Closed</x:v>
      </x:c>
      <x:c r="H70" s="26" t="str">
        <x:v>0.0.15</x:v>
      </x:c>
      <x:c r="I70" s="26" t="str">
        <x:v>1.0</x:v>
      </x:c>
      <x:c r="J70" s="26" t="str">
        <x:v>VRM Games</x:v>
      </x:c>
      <x:c r="K70" s="26"/>
      <x:c r="L70" s="26"/>
    </x:row>
    <x:row r="71" ht="30" customHeight="1">
      <x:c r="A71" s="26" t="str">
        <x:v>IMP-0067</x:v>
      </x:c>
      <x:c r="B71" s="26" t="str">
        <x:v>CHG-SAVE-002</x:v>
      </x:c>
      <x:c r="C71" s="26" t="str">
        <x:v>04_Modelo_de_Datos.md</x:v>
      </x:c>
      <x:c r="D71" s="26" t="str">
        <x:v>Update/Review</x:v>
      </x:c>
      <x:c r="E71" s="26"/>
      <x:c r="F71" s="26" t="str">
        <x:v>Revisar y actualizar si cambia la autoridad.</x:v>
      </x:c>
      <x:c r="G71" s="26" t="str">
        <x:v>Closed</x:v>
      </x:c>
      <x:c r="H71" s="26" t="str">
        <x:v>0.0.15</x:v>
      </x:c>
      <x:c r="I71" s="26" t="str">
        <x:v>1.0</x:v>
      </x:c>
      <x:c r="J71" s="26" t="str">
        <x:v>VRM Games</x:v>
      </x:c>
      <x:c r="K71" s="26"/>
      <x:c r="L71" s="26"/>
    </x:row>
    <x:row r="72" ht="30" customHeight="1">
      <x:c r="A72" s="26" t="str">
        <x:v>IMP-0068</x:v>
      </x:c>
      <x:c r="B72" s="26" t="str">
        <x:v>CHG-SAVE-002</x:v>
      </x:c>
      <x:c r="C72" s="26" t="str">
        <x:v>07_QA_Testing_Plan.md</x:v>
      </x:c>
      <x:c r="D72" s="26" t="str">
        <x:v>Update/Review</x:v>
      </x:c>
      <x:c r="E72" s="26"/>
      <x:c r="F72" s="26" t="str">
        <x:v>Revisar y actualizar si cambia la autoridad.</x:v>
      </x:c>
      <x:c r="G72" s="26" t="str">
        <x:v>Closed</x:v>
      </x:c>
      <x:c r="H72" s="26" t="str">
        <x:v>0.0.15</x:v>
      </x:c>
      <x:c r="I72" s="26" t="str">
        <x:v>1.0</x:v>
      </x:c>
      <x:c r="J72" s="26" t="str">
        <x:v>VRM Games</x:v>
      </x:c>
      <x:c r="K72" s="26"/>
      <x:c r="L72" s="26"/>
    </x:row>
    <x:row r="73" ht="30" customHeight="1">
      <x:c r="A73" s="26" t="str">
        <x:v>IMP-0069</x:v>
      </x:c>
      <x:c r="B73" s="26" t="str">
        <x:v>CHG-SAVE-002</x:v>
      </x:c>
      <x:c r="C73" s="26" t="str">
        <x:v>11_Build_y_Versioning_Guide.md</x:v>
      </x:c>
      <x:c r="D73" s="26" t="str">
        <x:v>Update/Review</x:v>
      </x:c>
      <x:c r="E73" s="26"/>
      <x:c r="F73" s="26" t="str">
        <x:v>Revisar y actualizar si cambia la autoridad.</x:v>
      </x:c>
      <x:c r="G73" s="26" t="str">
        <x:v>Closed</x:v>
      </x:c>
      <x:c r="H73" s="26" t="str">
        <x:v>0.0.15</x:v>
      </x:c>
      <x:c r="I73" s="26" t="str">
        <x:v>1.0</x:v>
      </x:c>
      <x:c r="J73" s="26" t="str">
        <x:v>VRM Games</x:v>
      </x:c>
      <x:c r="K73" s="26"/>
      <x:c r="L73" s="26"/>
    </x:row>
    <x:row r="74" ht="30" customHeight="1">
      <x:c r="A74" s="26" t="str">
        <x:v>IMP-0070</x:v>
      </x:c>
      <x:c r="B74" s="26" t="str">
        <x:v>CHG-INV-001</x:v>
      </x:c>
      <x:c r="C74" s="26" t="str">
        <x:v>03_Technical_Design_Document.md</x:v>
      </x:c>
      <x:c r="D74" s="26" t="str">
        <x:v>Update/Review</x:v>
      </x:c>
      <x:c r="E74" s="26"/>
      <x:c r="F74" s="26" t="str">
        <x:v>Revisar y actualizar si cambia la autoridad.</x:v>
      </x:c>
      <x:c r="G74" s="26" t="str">
        <x:v>Closed</x:v>
      </x:c>
      <x:c r="H74" s="26" t="str">
        <x:v>0.0.7</x:v>
      </x:c>
      <x:c r="I74" s="26" t="str">
        <x:v>1.0</x:v>
      </x:c>
      <x:c r="J74" s="26" t="str">
        <x:v>VRM Games</x:v>
      </x:c>
      <x:c r="K74" s="26"/>
      <x:c r="L74" s="26"/>
    </x:row>
    <x:row r="75" ht="30" customHeight="1">
      <x:c r="A75" s="26" t="str">
        <x:v>IMP-0071</x:v>
      </x:c>
      <x:c r="B75" s="26" t="str">
        <x:v>CHG-INV-001</x:v>
      </x:c>
      <x:c r="C75" s="26" t="str">
        <x:v>04_Modelo_de_Datos.md</x:v>
      </x:c>
      <x:c r="D75" s="26" t="str">
        <x:v>Update/Review</x:v>
      </x:c>
      <x:c r="E75" s="26"/>
      <x:c r="F75" s="26" t="str">
        <x:v>Revisar y actualizar si cambia la autoridad.</x:v>
      </x:c>
      <x:c r="G75" s="26" t="str">
        <x:v>Closed</x:v>
      </x:c>
      <x:c r="H75" s="26" t="str">
        <x:v>0.0.7</x:v>
      </x:c>
      <x:c r="I75" s="26" t="str">
        <x:v>1.0</x:v>
      </x:c>
      <x:c r="J75" s="26" t="str">
        <x:v>VRM Games</x:v>
      </x:c>
      <x:c r="K75" s="26"/>
      <x:c r="L75" s="26"/>
    </x:row>
    <x:row r="76" ht="30" customHeight="1">
      <x:c r="A76" s="26" t="str">
        <x:v>IMP-0072</x:v>
      </x:c>
      <x:c r="B76" s="26" t="str">
        <x:v>CHG-INV-001</x:v>
      </x:c>
      <x:c r="C76" s="26" t="str">
        <x:v>07_QA_Testing_Plan.md</x:v>
      </x:c>
      <x:c r="D76" s="26" t="str">
        <x:v>Update/Review</x:v>
      </x:c>
      <x:c r="E76" s="26"/>
      <x:c r="F76" s="26" t="str">
        <x:v>Revisar y actualizar si cambia la autoridad.</x:v>
      </x:c>
      <x:c r="G76" s="26" t="str">
        <x:v>Closed</x:v>
      </x:c>
      <x:c r="H76" s="26" t="str">
        <x:v>0.0.7</x:v>
      </x:c>
      <x:c r="I76" s="26" t="str">
        <x:v>1.0</x:v>
      </x:c>
      <x:c r="J76" s="26" t="str">
        <x:v>VRM Games</x:v>
      </x:c>
      <x:c r="K76" s="26"/>
      <x:c r="L76" s="26"/>
    </x:row>
    <x:row r="77" ht="30" customHeight="1">
      <x:c r="A77" s="26" t="str">
        <x:v>IMP-0073</x:v>
      </x:c>
      <x:c r="B77" s="26" t="str">
        <x:v>CHG-INV-001</x:v>
      </x:c>
      <x:c r="C77" s="26" t="str">
        <x:v>09_CSharp_Coding_Standards.md</x:v>
      </x:c>
      <x:c r="D77" s="26" t="str">
        <x:v>Update/Review</x:v>
      </x:c>
      <x:c r="E77" s="26"/>
      <x:c r="F77" s="26" t="str">
        <x:v>Revisar y actualizar si cambia la autoridad.</x:v>
      </x:c>
      <x:c r="G77" s="26" t="str">
        <x:v>Closed</x:v>
      </x:c>
      <x:c r="H77" s="26" t="str">
        <x:v>0.0.7</x:v>
      </x:c>
      <x:c r="I77" s="26" t="str">
        <x:v>1.0</x:v>
      </x:c>
      <x:c r="J77" s="26" t="str">
        <x:v>VRM Games</x:v>
      </x:c>
      <x:c r="K77" s="26"/>
      <x:c r="L77" s="26"/>
    </x:row>
    <x:row r="78" ht="30" customHeight="1">
      <x:c r="A78" s="26" t="str">
        <x:v>IMP-0074</x:v>
      </x:c>
      <x:c r="B78" s="26" t="str">
        <x:v>CHG-CHK-001</x:v>
      </x:c>
      <x:c r="C78" s="26" t="str">
        <x:v>03_Technical_Design_Document.md</x:v>
      </x:c>
      <x:c r="D78" s="26" t="str">
        <x:v>Update/Review</x:v>
      </x:c>
      <x:c r="E78" s="26"/>
      <x:c r="F78" s="26" t="str">
        <x:v>Revisar y actualizar si cambia la autoridad.</x:v>
      </x:c>
      <x:c r="G78" s="26" t="str">
        <x:v>Closed</x:v>
      </x:c>
      <x:c r="H78" s="26" t="str">
        <x:v>0.0.12</x:v>
      </x:c>
      <x:c r="I78" s="26" t="str">
        <x:v>1.0</x:v>
      </x:c>
      <x:c r="J78" s="26" t="str">
        <x:v>VRM Games</x:v>
      </x:c>
      <x:c r="K78" s="26"/>
      <x:c r="L78" s="26"/>
    </x:row>
    <x:row r="79" ht="30" customHeight="1">
      <x:c r="A79" s="26" t="str">
        <x:v>IMP-0075</x:v>
      </x:c>
      <x:c r="B79" s="26" t="str">
        <x:v>CHG-CHK-001</x:v>
      </x:c>
      <x:c r="C79" s="26" t="str">
        <x:v>04_Modelo_de_Datos.md</x:v>
      </x:c>
      <x:c r="D79" s="26" t="str">
        <x:v>Update/Review</x:v>
      </x:c>
      <x:c r="E79" s="26"/>
      <x:c r="F79" s="26" t="str">
        <x:v>Revisar y actualizar si cambia la autoridad.</x:v>
      </x:c>
      <x:c r="G79" s="26" t="str">
        <x:v>Closed</x:v>
      </x:c>
      <x:c r="H79" s="26" t="str">
        <x:v>0.0.12</x:v>
      </x:c>
      <x:c r="I79" s="26" t="str">
        <x:v>1.0</x:v>
      </x:c>
      <x:c r="J79" s="26" t="str">
        <x:v>VRM Games</x:v>
      </x:c>
      <x:c r="K79" s="26"/>
      <x:c r="L79" s="26"/>
    </x:row>
    <x:row r="80" ht="30" customHeight="1">
      <x:c r="A80" s="26" t="str">
        <x:v>IMP-0076</x:v>
      </x:c>
      <x:c r="B80" s="26" t="str">
        <x:v>CHG-CHK-001</x:v>
      </x:c>
      <x:c r="C80" s="26" t="str">
        <x:v>07_QA_Testing_Plan.md</x:v>
      </x:c>
      <x:c r="D80" s="26" t="str">
        <x:v>Update/Review</x:v>
      </x:c>
      <x:c r="E80" s="26"/>
      <x:c r="F80" s="26" t="str">
        <x:v>Revisar y actualizar si cambia la autoridad.</x:v>
      </x:c>
      <x:c r="G80" s="26" t="str">
        <x:v>Closed</x:v>
      </x:c>
      <x:c r="H80" s="26" t="str">
        <x:v>0.0.12</x:v>
      </x:c>
      <x:c r="I80" s="26" t="str">
        <x:v>1.0</x:v>
      </x:c>
      <x:c r="J80" s="26" t="str">
        <x:v>VRM Games</x:v>
      </x:c>
      <x:c r="K80" s="26"/>
      <x:c r="L80" s="26"/>
    </x:row>
    <x:row r="81" ht="30" customHeight="1">
      <x:c r="A81" s="26" t="str">
        <x:v>IMP-0077</x:v>
      </x:c>
      <x:c r="B81" s="26" t="str">
        <x:v>CHG-CHK-001</x:v>
      </x:c>
      <x:c r="C81" s="26" t="str">
        <x:v>09_CSharp_Coding_Standards.md</x:v>
      </x:c>
      <x:c r="D81" s="26" t="str">
        <x:v>Update/Review</x:v>
      </x:c>
      <x:c r="E81" s="26"/>
      <x:c r="F81" s="26" t="str">
        <x:v>Revisar y actualizar si cambia la autoridad.</x:v>
      </x:c>
      <x:c r="G81" s="26" t="str">
        <x:v>Closed</x:v>
      </x:c>
      <x:c r="H81" s="26" t="str">
        <x:v>0.0.12</x:v>
      </x:c>
      <x:c r="I81" s="26" t="str">
        <x:v>1.0</x:v>
      </x:c>
      <x:c r="J81" s="26" t="str">
        <x:v>VRM Games</x:v>
      </x:c>
      <x:c r="K81" s="26"/>
      <x:c r="L81" s="26"/>
    </x:row>
    <x:row r="82" ht="30" customHeight="1">
      <x:c r="A82" s="26" t="str">
        <x:v>IMP-0078</x:v>
      </x:c>
      <x:c r="B82" s="26" t="str">
        <x:v>CHG-ECO-001</x:v>
      </x:c>
      <x:c r="C82" s="26" t="str">
        <x:v>03_Technical_Design_Document.md</x:v>
      </x:c>
      <x:c r="D82" s="26" t="str">
        <x:v>Update/Review</x:v>
      </x:c>
      <x:c r="E82" s="26"/>
      <x:c r="F82" s="26" t="str">
        <x:v>Revisar y actualizar si cambia la autoridad.</x:v>
      </x:c>
      <x:c r="G82" s="26" t="str">
        <x:v>Closed</x:v>
      </x:c>
      <x:c r="H82" s="26" t="str">
        <x:v>0.0.14</x:v>
      </x:c>
      <x:c r="I82" s="26" t="str">
        <x:v>1.0</x:v>
      </x:c>
      <x:c r="J82" s="26" t="str">
        <x:v>VRM Games</x:v>
      </x:c>
      <x:c r="K82" s="26"/>
      <x:c r="L82" s="26"/>
    </x:row>
    <x:row r="83" ht="30" customHeight="1">
      <x:c r="A83" s="26" t="str">
        <x:v>IMP-0079</x:v>
      </x:c>
      <x:c r="B83" s="26" t="str">
        <x:v>CHG-ECO-001</x:v>
      </x:c>
      <x:c r="C83" s="26" t="str">
        <x:v>04_Modelo_de_Datos.md</x:v>
      </x:c>
      <x:c r="D83" s="26" t="str">
        <x:v>Update/Review</x:v>
      </x:c>
      <x:c r="E83" s="26"/>
      <x:c r="F83" s="26" t="str">
        <x:v>Revisar y actualizar si cambia la autoridad.</x:v>
      </x:c>
      <x:c r="G83" s="26" t="str">
        <x:v>Closed</x:v>
      </x:c>
      <x:c r="H83" s="26" t="str">
        <x:v>0.0.14</x:v>
      </x:c>
      <x:c r="I83" s="26" t="str">
        <x:v>1.0</x:v>
      </x:c>
      <x:c r="J83" s="26" t="str">
        <x:v>VRM Games</x:v>
      </x:c>
      <x:c r="K83" s="26"/>
      <x:c r="L83" s="26"/>
    </x:row>
    <x:row r="84" ht="30" customHeight="1">
      <x:c r="A84" s="26" t="str">
        <x:v>IMP-0080</x:v>
      </x:c>
      <x:c r="B84" s="26" t="str">
        <x:v>CHG-ECO-001</x:v>
      </x:c>
      <x:c r="C84" s="26" t="str">
        <x:v>07_QA_Testing_Plan.md</x:v>
      </x:c>
      <x:c r="D84" s="26" t="str">
        <x:v>Update/Review</x:v>
      </x:c>
      <x:c r="E84" s="26"/>
      <x:c r="F84" s="26" t="str">
        <x:v>Revisar y actualizar si cambia la autoridad.</x:v>
      </x:c>
      <x:c r="G84" s="26" t="str">
        <x:v>Closed</x:v>
      </x:c>
      <x:c r="H84" s="26" t="str">
        <x:v>0.0.14</x:v>
      </x:c>
      <x:c r="I84" s="26" t="str">
        <x:v>1.0</x:v>
      </x:c>
      <x:c r="J84" s="26" t="str">
        <x:v>VRM Games</x:v>
      </x:c>
      <x:c r="K84" s="26"/>
      <x:c r="L84" s="26"/>
    </x:row>
    <x:row r="85" ht="30" customHeight="1">
      <x:c r="A85" s="26" t="str">
        <x:v>IMP-0081</x:v>
      </x:c>
      <x:c r="B85" s="26" t="str">
        <x:v>CHG-ECO-001</x:v>
      </x:c>
      <x:c r="C85" s="26" t="str">
        <x:v>09_CSharp_Coding_Standards.md</x:v>
      </x:c>
      <x:c r="D85" s="26" t="str">
        <x:v>Update/Review</x:v>
      </x:c>
      <x:c r="E85" s="26"/>
      <x:c r="F85" s="26" t="str">
        <x:v>Revisar y actualizar si cambia la autoridad.</x:v>
      </x:c>
      <x:c r="G85" s="26" t="str">
        <x:v>Closed</x:v>
      </x:c>
      <x:c r="H85" s="26" t="str">
        <x:v>0.0.14</x:v>
      </x:c>
      <x:c r="I85" s="26" t="str">
        <x:v>1.0</x:v>
      </x:c>
      <x:c r="J85" s="26" t="str">
        <x:v>VRM Games</x:v>
      </x:c>
      <x:c r="K85" s="26"/>
      <x:c r="L85" s="26"/>
    </x:row>
    <x:row r="86" ht="30" customHeight="1">
      <x:c r="A86" s="26" t="str">
        <x:v>IMP-0082</x:v>
      </x:c>
      <x:c r="B86" s="26" t="str">
        <x:v>CHG-SAVE-003</x:v>
      </x:c>
      <x:c r="C86" s="26" t="str">
        <x:v>03_Technical_Design_Document.md</x:v>
      </x:c>
      <x:c r="D86" s="26" t="str">
        <x:v>Update/Review</x:v>
      </x:c>
      <x:c r="E86" s="26"/>
      <x:c r="F86" s="26" t="str">
        <x:v>Revisar y actualizar si cambia la autoridad.</x:v>
      </x:c>
      <x:c r="G86" s="26" t="str">
        <x:v>Closed</x:v>
      </x:c>
      <x:c r="H86" s="26" t="str">
        <x:v>0.0.15</x:v>
      </x:c>
      <x:c r="I86" s="26" t="str">
        <x:v>1.0</x:v>
      </x:c>
      <x:c r="J86" s="26" t="str">
        <x:v>VRM Games</x:v>
      </x:c>
      <x:c r="K86" s="26"/>
      <x:c r="L86" s="26"/>
    </x:row>
    <x:row r="87" ht="30" customHeight="1">
      <x:c r="A87" s="26" t="str">
        <x:v>IMP-0083</x:v>
      </x:c>
      <x:c r="B87" s="26" t="str">
        <x:v>CHG-SAVE-003</x:v>
      </x:c>
      <x:c r="C87" s="26" t="str">
        <x:v>04_Modelo_de_Datos.md</x:v>
      </x:c>
      <x:c r="D87" s="26" t="str">
        <x:v>Update/Review</x:v>
      </x:c>
      <x:c r="E87" s="26"/>
      <x:c r="F87" s="26" t="str">
        <x:v>Revisar y actualizar si cambia la autoridad.</x:v>
      </x:c>
      <x:c r="G87" s="26" t="str">
        <x:v>Closed</x:v>
      </x:c>
      <x:c r="H87" s="26" t="str">
        <x:v>0.0.15</x:v>
      </x:c>
      <x:c r="I87" s="26" t="str">
        <x:v>1.0</x:v>
      </x:c>
      <x:c r="J87" s="26" t="str">
        <x:v>VRM Games</x:v>
      </x:c>
      <x:c r="K87" s="26"/>
      <x:c r="L87" s="26"/>
    </x:row>
    <x:row r="88" ht="30" customHeight="1">
      <x:c r="A88" s="26" t="str">
        <x:v>IMP-0084</x:v>
      </x:c>
      <x:c r="B88" s="26" t="str">
        <x:v>CHG-SAVE-003</x:v>
      </x:c>
      <x:c r="C88" s="26" t="str">
        <x:v>07_QA_Testing_Plan.md</x:v>
      </x:c>
      <x:c r="D88" s="26" t="str">
        <x:v>Update/Review</x:v>
      </x:c>
      <x:c r="E88" s="26"/>
      <x:c r="F88" s="26" t="str">
        <x:v>Revisar y actualizar si cambia la autoridad.</x:v>
      </x:c>
      <x:c r="G88" s="26" t="str">
        <x:v>Closed</x:v>
      </x:c>
      <x:c r="H88" s="26" t="str">
        <x:v>0.0.15</x:v>
      </x:c>
      <x:c r="I88" s="26" t="str">
        <x:v>1.0</x:v>
      </x:c>
      <x:c r="J88" s="26" t="str">
        <x:v>VRM Games</x:v>
      </x:c>
      <x:c r="K88" s="26"/>
      <x:c r="L88" s="26"/>
    </x:row>
    <x:row r="89" ht="30" customHeight="1">
      <x:c r="A89" s="26" t="str">
        <x:v>IMP-0085</x:v>
      </x:c>
      <x:c r="B89" s="26" t="str">
        <x:v>CHG-SAVE-003</x:v>
      </x:c>
      <x:c r="C89" s="26" t="str">
        <x:v>09_CSharp_Coding_Standards.md</x:v>
      </x:c>
      <x:c r="D89" s="26" t="str">
        <x:v>Update/Review</x:v>
      </x:c>
      <x:c r="E89" s="26"/>
      <x:c r="F89" s="26" t="str">
        <x:v>Revisar y actualizar si cambia la autoridad.</x:v>
      </x:c>
      <x:c r="G89" s="26" t="str">
        <x:v>Closed</x:v>
      </x:c>
      <x:c r="H89" s="26" t="str">
        <x:v>0.0.15</x:v>
      </x:c>
      <x:c r="I89" s="26" t="str">
        <x:v>1.0</x:v>
      </x:c>
      <x:c r="J89" s="26" t="str">
        <x:v>VRM Games</x:v>
      </x:c>
      <x:c r="K89" s="26"/>
      <x:c r="L89" s="26"/>
    </x:row>
    <x:row r="90" ht="30" customHeight="1">
      <x:c r="A90" s="26" t="str">
        <x:v>IMP-0086</x:v>
      </x:c>
      <x:c r="B90" s="26" t="str">
        <x:v>CHG-SAVE-003</x:v>
      </x:c>
      <x:c r="C90" s="26" t="str">
        <x:v>11_Build_y_Versioning_Guide.md</x:v>
      </x:c>
      <x:c r="D90" s="26" t="str">
        <x:v>Update/Review</x:v>
      </x:c>
      <x:c r="E90" s="26"/>
      <x:c r="F90" s="26" t="str">
        <x:v>Revisar y actualizar si cambia la autoridad.</x:v>
      </x:c>
      <x:c r="G90" s="26" t="str">
        <x:v>Closed</x:v>
      </x:c>
      <x:c r="H90" s="26" t="str">
        <x:v>0.0.15</x:v>
      </x:c>
      <x:c r="I90" s="26" t="str">
        <x:v>1.0</x:v>
      </x:c>
      <x:c r="J90" s="26" t="str">
        <x:v>VRM Games</x:v>
      </x:c>
      <x:c r="K90" s="26"/>
      <x:c r="L90" s="26"/>
    </x:row>
    <x:row r="91" ht="30" customHeight="1">
      <x:c r="A91" s="26" t="str">
        <x:v>IMP-0087</x:v>
      </x:c>
      <x:c r="B91" s="26" t="str">
        <x:v>CHG-INPUT-001</x:v>
      </x:c>
      <x:c r="C91" s="26" t="str">
        <x:v>03_Technical_Design_Document.md</x:v>
      </x:c>
      <x:c r="D91" s="26" t="str">
        <x:v>Update/Review</x:v>
      </x:c>
      <x:c r="E91" s="26"/>
      <x:c r="F91" s="26" t="str">
        <x:v>Revisar y actualizar si cambia la autoridad.</x:v>
      </x:c>
      <x:c r="G91" s="26" t="str">
        <x:v>Open</x:v>
      </x:c>
      <x:c r="H91" s="26" t="str">
        <x:v>0.0.16</x:v>
      </x:c>
      <x:c r="I91" s="26" t="str">
        <x:v>1.0</x:v>
      </x:c>
      <x:c r="J91" s="26" t="str">
        <x:v>VRM Games</x:v>
      </x:c>
      <x:c r="K91" s="26"/>
      <x:c r="L91" s="26"/>
    </x:row>
    <x:row r="92" ht="30" customHeight="1">
      <x:c r="A92" s="26" t="str">
        <x:v>IMP-0088</x:v>
      </x:c>
      <x:c r="B92" s="26" t="str">
        <x:v>CHG-INPUT-001</x:v>
      </x:c>
      <x:c r="C92" s="26" t="str">
        <x:v>05_UX_Flow.md</x:v>
      </x:c>
      <x:c r="D92" s="26" t="str">
        <x:v>Update/Review</x:v>
      </x:c>
      <x:c r="E92" s="26"/>
      <x:c r="F92" s="26" t="str">
        <x:v>Revisar y actualizar si cambia la autoridad.</x:v>
      </x:c>
      <x:c r="G92" s="26" t="str">
        <x:v>Open</x:v>
      </x:c>
      <x:c r="H92" s="26" t="str">
        <x:v>0.0.16</x:v>
      </x:c>
      <x:c r="I92" s="26" t="str">
        <x:v>1.0</x:v>
      </x:c>
      <x:c r="J92" s="26" t="str">
        <x:v>VRM Games</x:v>
      </x:c>
      <x:c r="K92" s="26"/>
      <x:c r="L92" s="26"/>
    </x:row>
    <x:row r="93" ht="30" customHeight="1">
      <x:c r="A93" s="26" t="str">
        <x:v>IMP-0089</x:v>
      </x:c>
      <x:c r="B93" s="26" t="str">
        <x:v>CHG-INPUT-001</x:v>
      </x:c>
      <x:c r="C93" s="26" t="str">
        <x:v>07_QA_Testing_Plan.md</x:v>
      </x:c>
      <x:c r="D93" s="26" t="str">
        <x:v>Update/Review</x:v>
      </x:c>
      <x:c r="E93" s="26"/>
      <x:c r="F93" s="26" t="str">
        <x:v>Revisar y actualizar si cambia la autoridad.</x:v>
      </x:c>
      <x:c r="G93" s="26" t="str">
        <x:v>Open</x:v>
      </x:c>
      <x:c r="H93" s="26" t="str">
        <x:v>0.0.16</x:v>
      </x:c>
      <x:c r="I93" s="26" t="str">
        <x:v>1.0</x:v>
      </x:c>
      <x:c r="J93" s="26" t="str">
        <x:v>VRM Games</x:v>
      </x:c>
      <x:c r="K93" s="26"/>
      <x:c r="L93" s="26"/>
    </x:row>
    <x:row r="94" ht="30" customHeight="1">
      <x:c r="A94" s="26" t="str">
        <x:v>IMP-0090</x:v>
      </x:c>
      <x:c r="B94" s="26" t="str">
        <x:v>CHG-INPUT-001</x:v>
      </x:c>
      <x:c r="C94" s="26" t="str">
        <x:v>09_CSharp_Coding_Standards.md</x:v>
      </x:c>
      <x:c r="D94" s="26" t="str">
        <x:v>Update/Review</x:v>
      </x:c>
      <x:c r="E94" s="26"/>
      <x:c r="F94" s="26" t="str">
        <x:v>Revisar y actualizar si cambia la autoridad.</x:v>
      </x:c>
      <x:c r="G94" s="26" t="str">
        <x:v>Open</x:v>
      </x:c>
      <x:c r="H94" s="26" t="str">
        <x:v>0.0.16</x:v>
      </x:c>
      <x:c r="I94" s="26" t="str">
        <x:v>1.0</x:v>
      </x:c>
      <x:c r="J94" s="26" t="str">
        <x:v>VRM Games</x:v>
      </x:c>
      <x:c r="K94" s="26"/>
      <x:c r="L94" s="26"/>
    </x:row>
    <x:row r="95" ht="30" customHeight="1">
      <x:c r="A95" s="26" t="str">
        <x:v>IMP-0091</x:v>
      </x:c>
      <x:c r="B95" s="26" t="str">
        <x:v>CHG-DOC-001</x:v>
      </x:c>
      <x:c r="C95" s="26" t="str">
        <x:v>00–12</x:v>
      </x:c>
      <x:c r="D95" s="26" t="str">
        <x:v>Update/Review</x:v>
      </x:c>
      <x:c r="E95" s="26"/>
      <x:c r="F95" s="26" t="str">
        <x:v>Revisar y actualizar si cambia la autoridad.</x:v>
      </x:c>
      <x:c r="G95" s="26" t="str">
        <x:v>Open</x:v>
      </x:c>
      <x:c r="H95" s="26" t="str">
        <x:v>1.0</x:v>
      </x:c>
      <x:c r="I95" s="26" t="str">
        <x:v>1.0</x:v>
      </x:c>
      <x:c r="J95" s="26" t="str">
        <x:v>VRM Games</x:v>
      </x:c>
      <x:c r="K95" s="26"/>
      <x:c r="L95" s="26"/>
    </x:row>
    <x:row r="96" ht="30" customHeight="1">
      <x:c r="A96" s="26" t="str">
        <x:v>IMP-0092</x:v>
      </x:c>
      <x:c r="B96" s="26" t="str">
        <x:v>CHG-ADR-001</x:v>
      </x:c>
      <x:c r="C96" s="26" t="str">
        <x:v>12_Excel_Maestro_de_Produccion.xlsx</x:v>
      </x:c>
      <x:c r="D96" s="26" t="str">
        <x:v>Update/Review</x:v>
      </x:c>
      <x:c r="E96" s="26"/>
      <x:c r="F96" s="26" t="str">
        <x:v>Revisar y actualizar si cambia la autoridad.</x:v>
      </x:c>
      <x:c r="G96" s="26" t="str">
        <x:v>Closed</x:v>
      </x:c>
      <x:c r="H96" s="26" t="str">
        <x:v>1.0</x:v>
      </x:c>
      <x:c r="I96" s="26" t="str">
        <x:v>1.0</x:v>
      </x:c>
      <x:c r="J96" s="26" t="str">
        <x:v>VRM Games</x:v>
      </x:c>
      <x:c r="K96" s="26"/>
      <x:c r="L96" s="26"/>
    </x:row>
    <x:row r="97" ht="30" customHeight="1">
      <x:c r="A97" s="26" t="str">
        <x:v>IMP-0093</x:v>
      </x:c>
      <x:c r="B97" s="26" t="str">
        <x:v>CHG-ADR-001</x:v>
      </x:c>
      <x:c r="C97" s="26" t="str">
        <x:v>13</x:v>
      </x:c>
      <x:c r="D97" s="26" t="str">
        <x:v>Update/Review</x:v>
      </x:c>
      <x:c r="E97" s="26"/>
      <x:c r="F97" s="26" t="str">
        <x:v>Revisar y actualizar si cambia la autoridad.</x:v>
      </x:c>
      <x:c r="G97" s="26" t="str">
        <x:v>Closed</x:v>
      </x:c>
      <x:c r="H97" s="26" t="str">
        <x:v>1.0</x:v>
      </x:c>
      <x:c r="I97" s="26" t="str">
        <x:v>1.0</x:v>
      </x:c>
      <x:c r="J97" s="26" t="str">
        <x:v>VRM Games</x:v>
      </x:c>
      <x:c r="K97" s="26"/>
      <x:c r="L97" s="26"/>
    </x:row>
    <x:row r="98" ht="30" customHeight="1">
      <x:c r="A98" s="26" t="str">
        <x:v>IMP-0094</x:v>
      </x:c>
      <x:c r="B98" s="26" t="str">
        <x:v>CHG-DOC-010</x:v>
      </x:c>
      <x:c r="C98" s="26" t="str">
        <x:v>00_Enfoque_y_Alcance.md</x:v>
      </x:c>
      <x:c r="D98" s="26" t="str">
        <x:v>Update/Review</x:v>
      </x:c>
      <x:c r="E98" s="26"/>
      <x:c r="F98" s="26" t="str">
        <x:v>Revisar y actualizar si cambia la autoridad.</x:v>
      </x:c>
      <x:c r="G98" s="26" t="str">
        <x:v>Closed</x:v>
      </x:c>
      <x:c r="H98" s="26" t="str">
        <x:v>1.0</x:v>
      </x:c>
      <x:c r="I98" s="26" t="str">
        <x:v>1.0</x:v>
      </x:c>
      <x:c r="J98" s="26" t="str">
        <x:v>VRM Games</x:v>
      </x:c>
      <x:c r="K98" s="26" t="str">
        <x:v>63dd6f0f1b9c2c80be2aec55718d18d9d031ce4acb14f677769d6e69ceaad21f</x:v>
      </x:c>
      <x:c r="L98" s="26"/>
    </x:row>
    <x:row r="99" ht="30" customHeight="1">
      <x:c r="A99" s="26" t="str">
        <x:v>IMP-0095</x:v>
      </x:c>
      <x:c r="B99" s="26" t="str">
        <x:v>CHG-DOC-011</x:v>
      </x:c>
      <x:c r="C99" s="26" t="str">
        <x:v>01_Game_Design_Document.md</x:v>
      </x:c>
      <x:c r="D99" s="26" t="str">
        <x:v>Update/Review</x:v>
      </x:c>
      <x:c r="E99" s="26"/>
      <x:c r="F99" s="26" t="str">
        <x:v>Revisar y actualizar si cambia la autoridad.</x:v>
      </x:c>
      <x:c r="G99" s="26" t="str">
        <x:v>Closed</x:v>
      </x:c>
      <x:c r="H99" s="26" t="str">
        <x:v>1.0</x:v>
      </x:c>
      <x:c r="I99" s="26" t="str">
        <x:v>1.0</x:v>
      </x:c>
      <x:c r="J99" s="26" t="str">
        <x:v>VRM Games</x:v>
      </x:c>
      <x:c r="K99" s="26" t="str">
        <x:v>a9cd9e3203abc5269c25c59dc7f626b0771df4ec2d65e781109ff146bceb2177</x:v>
      </x:c>
      <x:c r="L99" s="26"/>
    </x:row>
    <x:row r="100" ht="30" customHeight="1">
      <x:c r="A100" s="26" t="str">
        <x:v>IMP-0096</x:v>
      </x:c>
      <x:c r="B100" s="26" t="str">
        <x:v>CHG-DOC-012</x:v>
      </x:c>
      <x:c r="C100" s="26" t="str">
        <x:v>02_Vertical_Slice_Specification.md</x:v>
      </x:c>
      <x:c r="D100" s="26" t="str">
        <x:v>Update/Review</x:v>
      </x:c>
      <x:c r="E100" s="26"/>
      <x:c r="F100" s="26" t="str">
        <x:v>Revisar y actualizar si cambia la autoridad.</x:v>
      </x:c>
      <x:c r="G100" s="26" t="str">
        <x:v>Closed</x:v>
      </x:c>
      <x:c r="H100" s="26" t="str">
        <x:v>1.0</x:v>
      </x:c>
      <x:c r="I100" s="26" t="str">
        <x:v>1.0</x:v>
      </x:c>
      <x:c r="J100" s="26" t="str">
        <x:v>VRM Games</x:v>
      </x:c>
      <x:c r="K100" s="26" t="str">
        <x:v>75893f130116e88a08b8da5590dd81876a234581081eafaa8d08374c1a60513f</x:v>
      </x:c>
      <x:c r="L100" s="26"/>
    </x:row>
    <x:row r="101" ht="30" customHeight="1">
      <x:c r="A101" s="26" t="str">
        <x:v>IMP-0097</x:v>
      </x:c>
      <x:c r="B101" s="26" t="str">
        <x:v>CHG-DOC-013</x:v>
      </x:c>
      <x:c r="C101" s="26" t="str">
        <x:v>03_Technical_Design_Document.md</x:v>
      </x:c>
      <x:c r="D101" s="26" t="str">
        <x:v>Update/Review</x:v>
      </x:c>
      <x:c r="E101" s="26"/>
      <x:c r="F101" s="26" t="str">
        <x:v>Revisar y actualizar si cambia la autoridad.</x:v>
      </x:c>
      <x:c r="G101" s="26" t="str">
        <x:v>Closed</x:v>
      </x:c>
      <x:c r="H101" s="26" t="str">
        <x:v>1.0</x:v>
      </x:c>
      <x:c r="I101" s="26" t="str">
        <x:v>1.0</x:v>
      </x:c>
      <x:c r="J101" s="26" t="str">
        <x:v>VRM Games</x:v>
      </x:c>
      <x:c r="K101" s="26" t="str">
        <x:v>66264703c5ff4959d03093690e9845a98ec0e5025e685b9a639ac8cbb616cd12</x:v>
      </x:c>
      <x:c r="L101" s="26"/>
    </x:row>
    <x:row r="102" ht="30" customHeight="1">
      <x:c r="A102" s="26" t="str">
        <x:v>IMP-0098</x:v>
      </x:c>
      <x:c r="B102" s="26" t="str">
        <x:v>CHG-DOC-014</x:v>
      </x:c>
      <x:c r="C102" s="26" t="str">
        <x:v>04_Modelo_de_Datos.md</x:v>
      </x:c>
      <x:c r="D102" s="26" t="str">
        <x:v>Update/Review</x:v>
      </x:c>
      <x:c r="E102" s="26"/>
      <x:c r="F102" s="26" t="str">
        <x:v>Revisar y actualizar si cambia la autoridad.</x:v>
      </x:c>
      <x:c r="G102" s="26" t="str">
        <x:v>Closed</x:v>
      </x:c>
      <x:c r="H102" s="26" t="str">
        <x:v>1.0</x:v>
      </x:c>
      <x:c r="I102" s="26" t="str">
        <x:v>1.0</x:v>
      </x:c>
      <x:c r="J102" s="26" t="str">
        <x:v>VRM Games</x:v>
      </x:c>
      <x:c r="K102" s="26" t="str">
        <x:v>d851a72b55742c2c704cc7c002929bc5894e7142511c6af843440bb193fb19d4</x:v>
      </x:c>
      <x:c r="L102" s="26"/>
    </x:row>
    <x:row r="103" ht="30" customHeight="1">
      <x:c r="A103" s="26" t="str">
        <x:v>IMP-0099</x:v>
      </x:c>
      <x:c r="B103" s="26" t="str">
        <x:v>CHG-DOC-015</x:v>
      </x:c>
      <x:c r="C103" s="26" t="str">
        <x:v>05_UX_Flow.md</x:v>
      </x:c>
      <x:c r="D103" s="26" t="str">
        <x:v>Update/Review</x:v>
      </x:c>
      <x:c r="E103" s="26"/>
      <x:c r="F103" s="26" t="str">
        <x:v>Revisar y actualizar si cambia la autoridad.</x:v>
      </x:c>
      <x:c r="G103" s="26" t="str">
        <x:v>Closed</x:v>
      </x:c>
      <x:c r="H103" s="26" t="str">
        <x:v>1.0</x:v>
      </x:c>
      <x:c r="I103" s="26" t="str">
        <x:v>1.0</x:v>
      </x:c>
      <x:c r="J103" s="26" t="str">
        <x:v>VRM Games</x:v>
      </x:c>
      <x:c r="K103" s="26" t="str">
        <x:v>e08da5ff67fb073a8b950babe325ae58ddb2e121513dc2f553acd4f2c14b867e</x:v>
      </x:c>
      <x:c r="L103" s="26"/>
    </x:row>
    <x:row r="104" ht="30" customHeight="1">
      <x:c r="A104" s="26" t="str">
        <x:v>IMP-0100</x:v>
      </x:c>
      <x:c r="B104" s="26" t="str">
        <x:v>CHG-DOC-016</x:v>
      </x:c>
      <x:c r="C104" s="26" t="str">
        <x:v>06_Production_Roadmap_y_Sprint_Plan.md</x:v>
      </x:c>
      <x:c r="D104" s="26" t="str">
        <x:v>Update/Review</x:v>
      </x:c>
      <x:c r="E104" s="26"/>
      <x:c r="F104" s="26" t="str">
        <x:v>Revisar y actualizar si cambia la autoridad.</x:v>
      </x:c>
      <x:c r="G104" s="26" t="str">
        <x:v>Closed</x:v>
      </x:c>
      <x:c r="H104" s="26" t="str">
        <x:v>1.0</x:v>
      </x:c>
      <x:c r="I104" s="26" t="str">
        <x:v>1.0</x:v>
      </x:c>
      <x:c r="J104" s="26" t="str">
        <x:v>VRM Games</x:v>
      </x:c>
      <x:c r="K104" s="26" t="str">
        <x:v>d00b156c0ad1c66069278119c55f76c738a577a3e2835f770208d1a5f2faadff</x:v>
      </x:c>
      <x:c r="L104" s="26"/>
    </x:row>
    <x:row r="105" ht="30" customHeight="1">
      <x:c r="A105" s="26" t="str">
        <x:v>IMP-0101</x:v>
      </x:c>
      <x:c r="B105" s="26" t="str">
        <x:v>CHG-DOC-017</x:v>
      </x:c>
      <x:c r="C105" s="26" t="str">
        <x:v>07_QA_Testing_Plan.md</x:v>
      </x:c>
      <x:c r="D105" s="26" t="str">
        <x:v>Update/Review</x:v>
      </x:c>
      <x:c r="E105" s="26"/>
      <x:c r="F105" s="26" t="str">
        <x:v>Revisar y actualizar si cambia la autoridad.</x:v>
      </x:c>
      <x:c r="G105" s="26" t="str">
        <x:v>Closed</x:v>
      </x:c>
      <x:c r="H105" s="26" t="str">
        <x:v>1.0</x:v>
      </x:c>
      <x:c r="I105" s="26" t="str">
        <x:v>1.0</x:v>
      </x:c>
      <x:c r="J105" s="26" t="str">
        <x:v>VRM Games</x:v>
      </x:c>
      <x:c r="K105" s="26" t="str">
        <x:v>bc9c05a3737e345546ef16e5390e034295ef35ad66c31647852aec81b4e7affe</x:v>
      </x:c>
      <x:c r="L105" s="26"/>
    </x:row>
    <x:row r="106" ht="30" customHeight="1">
      <x:c r="A106" s="26" t="str">
        <x:v>IMP-0102</x:v>
      </x:c>
      <x:c r="B106" s="26" t="str">
        <x:v>CHG-DOC-018</x:v>
      </x:c>
      <x:c r="C106" s="26" t="str">
        <x:v>08_QA_Testing_Matrix.xlsx</x:v>
      </x:c>
      <x:c r="D106" s="26" t="str">
        <x:v>Update/Review</x:v>
      </x:c>
      <x:c r="E106" s="26"/>
      <x:c r="F106" s="26" t="str">
        <x:v>Revisar y actualizar si cambia la autoridad.</x:v>
      </x:c>
      <x:c r="G106" s="26" t="str">
        <x:v>Closed</x:v>
      </x:c>
      <x:c r="H106" s="26" t="str">
        <x:v>1.0</x:v>
      </x:c>
      <x:c r="I106" s="26" t="str">
        <x:v>1.0</x:v>
      </x:c>
      <x:c r="J106" s="26" t="str">
        <x:v>VRM Games</x:v>
      </x:c>
      <x:c r="K106" s="26" t="str">
        <x:v>233e57f01d2468fe13c136c8fcd3ee75b39bd3de6530349626ea98d4ff254214</x:v>
      </x:c>
      <x:c r="L106" s="26"/>
    </x:row>
    <x:row r="107" ht="30" customHeight="1">
      <x:c r="A107" s="26" t="str">
        <x:v>IMP-0103</x:v>
      </x:c>
      <x:c r="B107" s="26" t="str">
        <x:v>CHG-DOC-019</x:v>
      </x:c>
      <x:c r="C107" s="26" t="str">
        <x:v>09_CSharp_Coding_Standards.md</x:v>
      </x:c>
      <x:c r="D107" s="26" t="str">
        <x:v>Update/Review</x:v>
      </x:c>
      <x:c r="E107" s="26"/>
      <x:c r="F107" s="26" t="str">
        <x:v>Revisar y actualizar si cambia la autoridad.</x:v>
      </x:c>
      <x:c r="G107" s="26" t="str">
        <x:v>Closed</x:v>
      </x:c>
      <x:c r="H107" s="26" t="str">
        <x:v>1.0</x:v>
      </x:c>
      <x:c r="I107" s="26" t="str">
        <x:v>1.0</x:v>
      </x:c>
      <x:c r="J107" s="26" t="str">
        <x:v>VRM Games</x:v>
      </x:c>
      <x:c r="K107" s="26" t="str">
        <x:v>3b734d6cd49f31c09c10bb4941625e143f6c634e3fb50c157f0720e73b1c2a68</x:v>
      </x:c>
      <x:c r="L107" s="26"/>
    </x:row>
    <x:row r="108" ht="30" customHeight="1">
      <x:c r="A108" s="26" t="str">
        <x:v>IMP-0104</x:v>
      </x:c>
      <x:c r="B108" s="26" t="str">
        <x:v>CHG-DOC-020</x:v>
      </x:c>
      <x:c r="C108" s="26" t="str">
        <x:v>10_Unity_Project_Setup_Guide.md</x:v>
      </x:c>
      <x:c r="D108" s="26" t="str">
        <x:v>Update/Review</x:v>
      </x:c>
      <x:c r="E108" s="26"/>
      <x:c r="F108" s="26" t="str">
        <x:v>Revisar y actualizar si cambia la autoridad.</x:v>
      </x:c>
      <x:c r="G108" s="26" t="str">
        <x:v>Closed</x:v>
      </x:c>
      <x:c r="H108" s="26" t="str">
        <x:v>1.0</x:v>
      </x:c>
      <x:c r="I108" s="26" t="str">
        <x:v>1.0</x:v>
      </x:c>
      <x:c r="J108" s="26" t="str">
        <x:v>VRM Games</x:v>
      </x:c>
      <x:c r="K108" s="26" t="str">
        <x:v>31430bb0544edd9577323aa0009d6ca3df8b9fbcf6c8a150fc33df69b9f963a4</x:v>
      </x:c>
      <x:c r="L108" s="26"/>
    </x:row>
    <x:row r="109" ht="30" customHeight="1">
      <x:c r="A109" s="26" t="str">
        <x:v>IMP-0105</x:v>
      </x:c>
      <x:c r="B109" s="26" t="str">
        <x:v>CHG-DOC-021</x:v>
      </x:c>
      <x:c r="C109" s="26" t="str">
        <x:v>11_Build_y_Versioning_Guide.md</x:v>
      </x:c>
      <x:c r="D109" s="26" t="str">
        <x:v>Update/Review</x:v>
      </x:c>
      <x:c r="E109" s="26"/>
      <x:c r="F109" s="26" t="str">
        <x:v>Revisar y actualizar si cambia la autoridad.</x:v>
      </x:c>
      <x:c r="G109" s="26" t="str">
        <x:v>Closed</x:v>
      </x:c>
      <x:c r="H109" s="26" t="str">
        <x:v>1.0</x:v>
      </x:c>
      <x:c r="I109" s="26" t="str">
        <x:v>1.0</x:v>
      </x:c>
      <x:c r="J109" s="26" t="str">
        <x:v>VRM Games</x:v>
      </x:c>
      <x:c r="K109" s="26" t="str">
        <x:v>38a16a0f97505c0b405509dd3c7e3d1b50e77b89fbe3f4cb1931d3e04f602215</x:v>
      </x:c>
      <x:c r="L109" s="26"/>
    </x:row>
    <x:row r="110" ht="30" customHeight="1">
      <x:c r="A110" s="26" t="str">
        <x:v>IMP-0106</x:v>
      </x:c>
      <x:c r="B110" s="26" t="str">
        <x:v>CHG-DOC-022</x:v>
      </x:c>
      <x:c r="C110" s="26" t="str">
        <x:v>12_Excel_Maestro_de_Produccion.xlsx</x:v>
      </x:c>
      <x:c r="D110" s="26" t="str">
        <x:v>Update/Review</x:v>
      </x:c>
      <x:c r="E110" s="26"/>
      <x:c r="F110" s="26" t="str">
        <x:v>Revisar y actualizar si cambia la autoridad.</x:v>
      </x:c>
      <x:c r="G110" s="26" t="str">
        <x:v>Open</x:v>
      </x:c>
      <x:c r="H110" s="26" t="str">
        <x:v>1.0</x:v>
      </x:c>
      <x:c r="I110" s="26" t="str">
        <x:v>1.0</x:v>
      </x:c>
      <x:c r="J110" s="26" t="str">
        <x:v>VRM Games</x:v>
      </x:c>
      <x:c r="K110" s="26" t="str">
        <x:v>405376cb64f49b34f1f842f3840c12654e9f08e2ec4534b5c149fa811e87dd83</x:v>
      </x:c>
      <x:c r="L110" s="26"/>
    </x:row>
    <x:row r="111" ht="30" customHeight="1">
      <x:c r="A111" s="26" t="str">
        <x:v>IMP-RC1-0107</x:v>
      </x:c>
      <x:c r="B111" s="26" t="str">
        <x:v>CHG-RC1-DOC-00</x:v>
      </x:c>
      <x:c r="C111" s="26" t="str">
        <x:v>00_Enfoque_y_Alcance.md</x:v>
      </x:c>
      <x:c r="D111" s="26" t="str">
        <x:v>Integrity refresh</x:v>
      </x:c>
      <x:c r="E111" s="26" t="str">
        <x:v>Documento completo / referencias cruzadas</x:v>
      </x:c>
      <x:c r="F111" s="26" t="str">
        <x:v>No action except propagated corrections</x:v>
      </x:c>
      <x:c r="G111" s="26" t="str">
        <x:v>Closed</x:v>
      </x:c>
      <x:c r="H111" s="26" t="str">
        <x:v>PreConsolidation RC1</x:v>
      </x:c>
      <x:c r="I111" s="26" t="str">
        <x:v>1.0</x:v>
      </x:c>
      <x:c r="J111" s="26" t="str">
        <x:v>VRM Games</x:v>
      </x:c>
      <x:c r="K111" s="26" t="str">
        <x:v>63dd6f0f1b9c2c80be2aec55718d18d9d031ce4acb14f677769d6e69ceaad21f</x:v>
      </x:c>
      <x:c r="L111" s="26" t="str">
        <x:v>Readiness=READY; changed=NO</x:v>
      </x:c>
    </x:row>
    <x:row r="112" ht="30" customHeight="1">
      <x:c r="A112" s="26" t="str">
        <x:v>IMP-RC1-0108</x:v>
      </x:c>
      <x:c r="B112" s="26" t="str">
        <x:v>CHG-RC1-DOC-01</x:v>
      </x:c>
      <x:c r="C112" s="26" t="str">
        <x:v>01_Game_Design_Document.md</x:v>
      </x:c>
      <x:c r="D112" s="26" t="str">
        <x:v>Integrity refresh</x:v>
      </x:c>
      <x:c r="E112" s="26" t="str">
        <x:v>Documento completo / referencias cruzadas</x:v>
      </x:c>
      <x:c r="F112" s="26" t="str">
        <x:v>No action except propagated corrections</x:v>
      </x:c>
      <x:c r="G112" s="26" t="str">
        <x:v>Closed</x:v>
      </x:c>
      <x:c r="H112" s="26" t="str">
        <x:v>PreConsolidation RC1</x:v>
      </x:c>
      <x:c r="I112" s="26" t="str">
        <x:v>1.0</x:v>
      </x:c>
      <x:c r="J112" s="26" t="str">
        <x:v>VRM Games</x:v>
      </x:c>
      <x:c r="K112" s="26" t="str">
        <x:v>a9cd9e3203abc5269c25c59dc7f626b0771df4ec2d65e781109ff146bceb2177</x:v>
      </x:c>
      <x:c r="L112" s="26" t="str">
        <x:v>Readiness=READY; changed=NO</x:v>
      </x:c>
    </x:row>
    <x:row r="113" ht="30" customHeight="1">
      <x:c r="A113" s="26" t="str">
        <x:v>IMP-RC1-0109</x:v>
      </x:c>
      <x:c r="B113" s="26" t="str">
        <x:v>CHG-RC1-DOC-02</x:v>
      </x:c>
      <x:c r="C113" s="26" t="str">
        <x:v>02_Vertical_Slice_Specification.md</x:v>
      </x:c>
      <x:c r="D113" s="26" t="str">
        <x:v>Integrity refresh</x:v>
      </x:c>
      <x:c r="E113" s="26" t="str">
        <x:v>Documento completo / referencias cruzadas</x:v>
      </x:c>
      <x:c r="F113" s="26" t="str">
        <x:v>No action except propagated corrections</x:v>
      </x:c>
      <x:c r="G113" s="26" t="str">
        <x:v>Closed</x:v>
      </x:c>
      <x:c r="H113" s="26" t="str">
        <x:v>PreConsolidation RC1</x:v>
      </x:c>
      <x:c r="I113" s="26" t="str">
        <x:v>1.0</x:v>
      </x:c>
      <x:c r="J113" s="26" t="str">
        <x:v>VRM Games</x:v>
      </x:c>
      <x:c r="K113" s="26" t="str">
        <x:v>75893f130116e88a08b8da5590dd81876a234581081eafaa8d08374c1a60513f</x:v>
      </x:c>
      <x:c r="L113" s="26" t="str">
        <x:v>Readiness=READY; changed=NO</x:v>
      </x:c>
    </x:row>
    <x:row r="114" ht="30" customHeight="1">
      <x:c r="A114" s="26" t="str">
        <x:v>IMP-RC1-0110</x:v>
      </x:c>
      <x:c r="B114" s="26" t="str">
        <x:v>CHG-RC1-DOC-03</x:v>
      </x:c>
      <x:c r="C114" s="26" t="str">
        <x:v>03_Technical_Design_Document.md</x:v>
      </x:c>
      <x:c r="D114" s="26" t="str">
        <x:v>Integrity refresh</x:v>
      </x:c>
      <x:c r="E114" s="26" t="str">
        <x:v>Documento completo / referencias cruzadas</x:v>
      </x:c>
      <x:c r="F114" s="26" t="str">
        <x:v>No action except propagated corrections</x:v>
      </x:c>
      <x:c r="G114" s="26" t="str">
        <x:v>Closed</x:v>
      </x:c>
      <x:c r="H114" s="26" t="str">
        <x:v>PreConsolidation RC1</x:v>
      </x:c>
      <x:c r="I114" s="26" t="str">
        <x:v>1.0</x:v>
      </x:c>
      <x:c r="J114" s="26" t="str">
        <x:v>VRM Games</x:v>
      </x:c>
      <x:c r="K114" s="26" t="str">
        <x:v>66264703c5ff4959d03093690e9845a98ec0e5025e685b9a639ac8cbb616cd12</x:v>
      </x:c>
      <x:c r="L114" s="26" t="str">
        <x:v>Readiness=READY; changed=NO</x:v>
      </x:c>
    </x:row>
    <x:row r="115" ht="30" customHeight="1">
      <x:c r="A115" s="26" t="str">
        <x:v>IMP-RC1-0111</x:v>
      </x:c>
      <x:c r="B115" s="26" t="str">
        <x:v>CHG-RC1-DOC-04</x:v>
      </x:c>
      <x:c r="C115" s="26" t="str">
        <x:v>04_Modelo_de_Datos.md</x:v>
      </x:c>
      <x:c r="D115" s="26" t="str">
        <x:v>Integrity refresh</x:v>
      </x:c>
      <x:c r="E115" s="26" t="str">
        <x:v>Documento completo / referencias cruzadas</x:v>
      </x:c>
      <x:c r="F115" s="26" t="str">
        <x:v>No action except propagated corrections</x:v>
      </x:c>
      <x:c r="G115" s="26" t="str">
        <x:v>Closed</x:v>
      </x:c>
      <x:c r="H115" s="26" t="str">
        <x:v>PreConsolidation RC1</x:v>
      </x:c>
      <x:c r="I115" s="26" t="str">
        <x:v>1.0</x:v>
      </x:c>
      <x:c r="J115" s="26" t="str">
        <x:v>VRM Games</x:v>
      </x:c>
      <x:c r="K115" s="26" t="str">
        <x:v>d851a72b55742c2c704cc7c002929bc5894e7142511c6af843440bb193fb19d4</x:v>
      </x:c>
      <x:c r="L115" s="26" t="str">
        <x:v>Readiness=READY; changed=NO</x:v>
      </x:c>
    </x:row>
    <x:row r="116" ht="30" customHeight="1">
      <x:c r="A116" s="26" t="str">
        <x:v>IMP-RC1-0112</x:v>
      </x:c>
      <x:c r="B116" s="26" t="str">
        <x:v>CHG-RC1-DOC-05</x:v>
      </x:c>
      <x:c r="C116" s="26" t="str">
        <x:v>05_UX_Flow.md</x:v>
      </x:c>
      <x:c r="D116" s="26" t="str">
        <x:v>Integrity refresh</x:v>
      </x:c>
      <x:c r="E116" s="26" t="str">
        <x:v>Documento completo / referencias cruzadas</x:v>
      </x:c>
      <x:c r="F116" s="26" t="str">
        <x:v>No action except propagated corrections</x:v>
      </x:c>
      <x:c r="G116" s="26" t="str">
        <x:v>Closed</x:v>
      </x:c>
      <x:c r="H116" s="26" t="str">
        <x:v>PreConsolidation RC1</x:v>
      </x:c>
      <x:c r="I116" s="26" t="str">
        <x:v>1.0</x:v>
      </x:c>
      <x:c r="J116" s="26" t="str">
        <x:v>VRM Games</x:v>
      </x:c>
      <x:c r="K116" s="26" t="str">
        <x:v>e08da5ff67fb073a8b950babe325ae58ddb2e121513dc2f553acd4f2c14b867e</x:v>
      </x:c>
      <x:c r="L116" s="26" t="str">
        <x:v>Readiness=READY; changed=NO</x:v>
      </x:c>
    </x:row>
    <x:row r="117" ht="30" customHeight="1">
      <x:c r="A117" s="26" t="str">
        <x:v>IMP-RC1-0113</x:v>
      </x:c>
      <x:c r="B117" s="26" t="str">
        <x:v>CHG-RC1-DOC-06</x:v>
      </x:c>
      <x:c r="C117" s="26" t="str">
        <x:v>06_Production_Roadmap_y_Sprint_Plan.md</x:v>
      </x:c>
      <x:c r="D117" s="26" t="str">
        <x:v>Integrity refresh</x:v>
      </x:c>
      <x:c r="E117" s="26" t="str">
        <x:v>Documento completo / referencias cruzadas</x:v>
      </x:c>
      <x:c r="F117" s="26" t="str">
        <x:v>No action except propagated corrections</x:v>
      </x:c>
      <x:c r="G117" s="26" t="str">
        <x:v>Closed</x:v>
      </x:c>
      <x:c r="H117" s="26" t="str">
        <x:v>PreConsolidation RC1</x:v>
      </x:c>
      <x:c r="I117" s="26" t="str">
        <x:v>1.0</x:v>
      </x:c>
      <x:c r="J117" s="26" t="str">
        <x:v>VRM Games</x:v>
      </x:c>
      <x:c r="K117" s="26" t="str">
        <x:v>d00b156c0ad1c66069278119c55f76c738a577a3e2835f770208d1a5f2faadff</x:v>
      </x:c>
      <x:c r="L117" s="26" t="str">
        <x:v>Readiness=READY; changed=NO</x:v>
      </x:c>
    </x:row>
    <x:row r="118" ht="30" customHeight="1">
      <x:c r="A118" s="26" t="str">
        <x:v>IMP-RC1-0114</x:v>
      </x:c>
      <x:c r="B118" s="26" t="str">
        <x:v>CHG-RC1-DOC-07</x:v>
      </x:c>
      <x:c r="C118" s="26" t="str">
        <x:v>07_QA_Testing_Plan.md</x:v>
      </x:c>
      <x:c r="D118" s="26" t="str">
        <x:v>Integrity refresh</x:v>
      </x:c>
      <x:c r="E118" s="26" t="str">
        <x:v>Documento completo / referencias cruzadas</x:v>
      </x:c>
      <x:c r="F118" s="26" t="str">
        <x:v>No action except propagated corrections</x:v>
      </x:c>
      <x:c r="G118" s="26" t="str">
        <x:v>Closed</x:v>
      </x:c>
      <x:c r="H118" s="26" t="str">
        <x:v>PreConsolidation RC1</x:v>
      </x:c>
      <x:c r="I118" s="26" t="str">
        <x:v>1.0</x:v>
      </x:c>
      <x:c r="J118" s="26" t="str">
        <x:v>VRM Games</x:v>
      </x:c>
      <x:c r="K118" s="26" t="str">
        <x:v>bc9c05a3737e345546ef16e5390e034295ef35ad66c31647852aec81b4e7affe</x:v>
      </x:c>
      <x:c r="L118" s="26" t="str">
        <x:v>Readiness=READY; changed=NO</x:v>
      </x:c>
    </x:row>
    <x:row r="119" ht="30" customHeight="1">
      <x:c r="A119" s="26" t="str">
        <x:v>IMP-RC1-0115</x:v>
      </x:c>
      <x:c r="B119" s="26" t="str">
        <x:v>CHG-RC1-DOC-08</x:v>
      </x:c>
      <x:c r="C119" s="26" t="str">
        <x:v>08_QA_Testing_Matrix.xlsx</x:v>
      </x:c>
      <x:c r="D119" s="26" t="str">
        <x:v>Integrity refresh</x:v>
      </x:c>
      <x:c r="E119" s="26" t="str">
        <x:v>Documento completo / referencias cruzadas</x:v>
      </x:c>
      <x:c r="F119" s="26" t="str">
        <x:v>No action except propagated corrections</x:v>
      </x:c>
      <x:c r="G119" s="26" t="str">
        <x:v>Closed</x:v>
      </x:c>
      <x:c r="H119" s="26" t="str">
        <x:v>PreConsolidation RC1</x:v>
      </x:c>
      <x:c r="I119" s="26" t="str">
        <x:v>1.0</x:v>
      </x:c>
      <x:c r="J119" s="26" t="str">
        <x:v>VRM Games</x:v>
      </x:c>
      <x:c r="K119" s="26" t="str">
        <x:v>233e57f01d2468fe13c136c8fcd3ee75b39bd3de6530349626ea98d4ff254214</x:v>
      </x:c>
      <x:c r="L119" s="26" t="str">
        <x:v>Readiness=READY; changed=NO</x:v>
      </x:c>
    </x:row>
    <x:row r="120" ht="30" customHeight="1">
      <x:c r="A120" s="26" t="str">
        <x:v>IMP-RC1-0116</x:v>
      </x:c>
      <x:c r="B120" s="26" t="str">
        <x:v>CHG-RC1-DOC-09</x:v>
      </x:c>
      <x:c r="C120" s="26" t="str">
        <x:v>09_CSharp_Coding_Standards.md</x:v>
      </x:c>
      <x:c r="D120" s="26" t="str">
        <x:v>Integrity refresh</x:v>
      </x:c>
      <x:c r="E120" s="26" t="str">
        <x:v>Documento completo / referencias cruzadas</x:v>
      </x:c>
      <x:c r="F120" s="26" t="str">
        <x:v>No action except propagated corrections</x:v>
      </x:c>
      <x:c r="G120" s="26" t="str">
        <x:v>Closed</x:v>
      </x:c>
      <x:c r="H120" s="26" t="str">
        <x:v>PreConsolidation RC1</x:v>
      </x:c>
      <x:c r="I120" s="26" t="str">
        <x:v>1.0</x:v>
      </x:c>
      <x:c r="J120" s="26" t="str">
        <x:v>VRM Games</x:v>
      </x:c>
      <x:c r="K120" s="26" t="str">
        <x:v>3b734d6cd49f31c09c10bb4941625e143f6c634e3fb50c157f0720e73b1c2a68</x:v>
      </x:c>
      <x:c r="L120" s="26" t="str">
        <x:v>Readiness=READY; changed=NO</x:v>
      </x:c>
    </x:row>
    <x:row r="121" ht="30" customHeight="1">
      <x:c r="A121" s="26" t="str">
        <x:v>IMP-RC1-0117</x:v>
      </x:c>
      <x:c r="B121" s="26" t="str">
        <x:v>CHG-RC1-DOC-10</x:v>
      </x:c>
      <x:c r="C121" s="26" t="str">
        <x:v>10_Unity_Project_Setup_Guide.md</x:v>
      </x:c>
      <x:c r="D121" s="26" t="str">
        <x:v>Integrity refresh</x:v>
      </x:c>
      <x:c r="E121" s="26" t="str">
        <x:v>Documento completo / referencias cruzadas</x:v>
      </x:c>
      <x:c r="F121" s="26" t="str">
        <x:v>No action except propagated corrections</x:v>
      </x:c>
      <x:c r="G121" s="26" t="str">
        <x:v>Closed</x:v>
      </x:c>
      <x:c r="H121" s="26" t="str">
        <x:v>PreConsolidation RC1</x:v>
      </x:c>
      <x:c r="I121" s="26" t="str">
        <x:v>1.0</x:v>
      </x:c>
      <x:c r="J121" s="26" t="str">
        <x:v>VRM Games</x:v>
      </x:c>
      <x:c r="K121" s="26" t="str">
        <x:v>31430bb0544edd9577323aa0009d6ca3df8b9fbcf6c8a150fc33df69b9f963a4</x:v>
      </x:c>
      <x:c r="L121" s="26" t="str">
        <x:v>Readiness=READY; changed=NO</x:v>
      </x:c>
    </x:row>
    <x:row r="122" ht="30" customHeight="1">
      <x:c r="A122" s="26" t="str">
        <x:v>IMP-RC1-0118</x:v>
      </x:c>
      <x:c r="B122" s="26" t="str">
        <x:v>CHG-RC1-DOC-11</x:v>
      </x:c>
      <x:c r="C122" s="26" t="str">
        <x:v>11_Build_y_Versioning_Guide.md</x:v>
      </x:c>
      <x:c r="D122" s="26" t="str">
        <x:v>Integrity refresh</x:v>
      </x:c>
      <x:c r="E122" s="26" t="str">
        <x:v>Documento completo / referencias cruzadas</x:v>
      </x:c>
      <x:c r="F122" s="26" t="str">
        <x:v>No action except propagated corrections</x:v>
      </x:c>
      <x:c r="G122" s="26" t="str">
        <x:v>Closed</x:v>
      </x:c>
      <x:c r="H122" s="26" t="str">
        <x:v>PreConsolidation RC1</x:v>
      </x:c>
      <x:c r="I122" s="26" t="str">
        <x:v>1.0</x:v>
      </x:c>
      <x:c r="J122" s="26" t="str">
        <x:v>VRM Games</x:v>
      </x:c>
      <x:c r="K122" s="26" t="str">
        <x:v>38a16a0f97505c0b405509dd3c7e3d1b50e77b89fbe3f4cb1931d3e04f602215</x:v>
      </x:c>
      <x:c r="L122" s="26" t="str">
        <x:v>Readiness=READY; changed=NO</x:v>
      </x:c>
    </x:row>
    <x:row r="123" ht="30" customHeight="1">
      <x:c r="A123" s="26" t="str">
        <x:v>IMP-RC1-0119</x:v>
      </x:c>
      <x:c r="B123" s="26" t="str">
        <x:v>CHG-RC1-DOC-12</x:v>
      </x:c>
      <x:c r="C123" s="26" t="str">
        <x:v>12_Excel_Maestro_de_Produccion.xlsx</x:v>
      </x:c>
      <x:c r="D123" s="26" t="str">
        <x:v>Integrity refresh</x:v>
      </x:c>
      <x:c r="E123" s="26" t="str">
        <x:v>Documento completo / referencias cruzadas</x:v>
      </x:c>
      <x:c r="F123" s="26" t="str">
        <x:v>Replace preconsolidation 12; external hash captured</x:v>
      </x:c>
      <x:c r="G123" s="26" t="str">
        <x:v>Closed</x:v>
      </x:c>
      <x:c r="H123" s="26" t="str">
        <x:v>PreConsolidation RC1</x:v>
      </x:c>
      <x:c r="I123" s="26" t="str">
        <x:v>1.1-RC1</x:v>
      </x:c>
      <x:c r="J123" s="26" t="str">
        <x:v>VRM Games</x:v>
      </x:c>
      <x:c r="K123" s="26" t="str">
        <x:v>3d70e97326868389dac977934e6000285c22b3c33c0e62be31313880726b4d7d</x:v>
      </x:c>
      <x:c r="L123" s="26" t="str">
        <x:v>Readiness=CANDIDATE REGENERATED; changed=YES</x:v>
      </x:c>
    </x:row>
    <x:row r="124" ht="30" customHeight="1">
      <x:c r="A124" s="26" t="str">
        <x:v>IMP-RC1-0120</x:v>
      </x:c>
      <x:c r="B124" s="26" t="str">
        <x:v>CHG-RC1-DOC-13</x:v>
      </x:c>
      <x:c r="C124" s="26" t="str">
        <x:v>13_Trazabilidad_y_Control_de_Cambios.xlsx</x:v>
      </x:c>
      <x:c r="D124" s="26" t="str">
        <x:v>Integrity refresh</x:v>
      </x:c>
      <x:c r="E124" s="26" t="str">
        <x:v>Documento completo / referencias cruzadas</x:v>
      </x:c>
      <x:c r="F124" s="26" t="str">
        <x:v>Replace preconsolidation 13; capture hash externally</x:v>
      </x:c>
      <x:c r="G124" s="26" t="str">
        <x:v>Closed</x:v>
      </x:c>
      <x:c r="H124" s="26" t="str">
        <x:v>PreConsolidation RC1</x:v>
      </x:c>
      <x:c r="I124" s="26" t="str">
        <x:v>1.1-RC1</x:v>
      </x:c>
      <x:c r="J124" s="26" t="str">
        <x:v>VRM Games</x:v>
      </x:c>
      <x:c r="K124" s="26" t="str">
        <x:v>EXTERNAL_AFTER_EXPORT</x:v>
      </x:c>
      <x:c r="L124" s="26" t="str">
        <x:v>Readiness=CANDIDATE REGENERATED; changed=YES — REGENERATED</x:v>
      </x:c>
    </x:row>
    <x:row r="125" ht="30" customHeight="1">
      <x:c r="A125" s="26" t="str">
        <x:v>IMP-RC1-0121</x:v>
      </x:c>
      <x:c r="B125" s="26" t="str">
        <x:v>CHG-RC1-DOC-14</x:v>
      </x:c>
      <x:c r="C125" s="26" t="str">
        <x:v>14_Project_Binder_Indice_Maestro.md</x:v>
      </x:c>
      <x:c r="D125" s="26" t="str">
        <x:v>Regenerate/Review</x:v>
      </x:c>
      <x:c r="E125" s="26" t="str">
        <x:v>Documento completo / referencias cruzadas</x:v>
      </x:c>
      <x:c r="F125" s="26" t="str">
        <x:v>Regenerate after document 12/13 sequence</x:v>
      </x:c>
      <x:c r="G125" s="26" t="str">
        <x:v>Open</x:v>
      </x:c>
      <x:c r="H125" s="26" t="str">
        <x:v>PreConsolidation RC1</x:v>
      </x:c>
      <x:c r="I125" s="26" t="str">
        <x:v>1.0</x:v>
      </x:c>
      <x:c r="J125" s="26" t="str">
        <x:v>VRM Games</x:v>
      </x:c>
      <x:c r="K125" s="26" t="str">
        <x:v>0c24dcd47e0d44793e75e764e3fc2c146e5b1fea04d887d43feb0df558711559</x:v>
      </x:c>
      <x:c r="L125" s="26" t="str">
        <x:v>Readiness=REGENERATE; changed=NO</x:v>
      </x:c>
    </x:row>
    <x:row r="126" ht="30" customHeight="1">
      <x:c r="A126" s="26" t="str">
        <x:v>IMP-RC1-0122</x:v>
      </x:c>
      <x:c r="B126" s="26" t="str">
        <x:v>CHG-RC1-DOC-15</x:v>
      </x:c>
      <x:c r="C126" s="26" t="str">
        <x:v>15_Guia_Maestra.md</x:v>
      </x:c>
      <x:c r="D126" s="26" t="str">
        <x:v>Regenerate/Review</x:v>
      </x:c>
      <x:c r="E126" s="26" t="str">
        <x:v>Documento completo / referencias cruzadas</x:v>
      </x:c>
      <x:c r="F126" s="26" t="str">
        <x:v>Regenerate after document 12/13 sequence</x:v>
      </x:c>
      <x:c r="G126" s="26" t="str">
        <x:v>Open</x:v>
      </x:c>
      <x:c r="H126" s="26" t="str">
        <x:v>PreConsolidation RC1</x:v>
      </x:c>
      <x:c r="I126" s="26" t="str">
        <x:v>1.0</x:v>
      </x:c>
      <x:c r="J126" s="26" t="str">
        <x:v>VRM Games</x:v>
      </x:c>
      <x:c r="K126" s="26" t="str">
        <x:v>879bc1925cccf77e10df6c104302f3afc72f71e8c58dd85ae4f06e84e6f8b624</x:v>
      </x:c>
      <x:c r="L126" s="26" t="str">
        <x:v>Readiness=REGENERATE; changed=NO</x:v>
      </x:c>
    </x:row>
    <x:row r="127" ht="30" customHeight="1">
      <x:c r="A127" s="26" t="str">
        <x:v>IMP-RC1-0123</x:v>
      </x:c>
      <x:c r="B127" s="26" t="str">
        <x:v>CHG-RC1-DOC-16</x:v>
      </x:c>
      <x:c r="C127" s="26" t="str">
        <x:v>16_Auditoria_Global_de_Coherencia.md</x:v>
      </x:c>
      <x:c r="D127" s="26" t="str">
        <x:v>Regenerate/Review</x:v>
      </x:c>
      <x:c r="E127" s="26" t="str">
        <x:v>Documento completo / referencias cruzadas</x:v>
      </x:c>
      <x:c r="F127" s="26" t="str">
        <x:v>Regenerate after document 12/13 sequence</x:v>
      </x:c>
      <x:c r="G127" s="26" t="str">
        <x:v>Open</x:v>
      </x:c>
      <x:c r="H127" s="26" t="str">
        <x:v>PreConsolidation RC1</x:v>
      </x:c>
      <x:c r="I127" s="26" t="str">
        <x:v>1.0</x:v>
      </x:c>
      <x:c r="J127" s="26" t="str">
        <x:v>VRM Games</x:v>
      </x:c>
      <x:c r="K127" s="26" t="str">
        <x:v>4a62376b8aee623be40957ae0511d2dcab2919947f3abb2cef3502b9bb60863e</x:v>
      </x:c>
      <x:c r="L127" s="26" t="str">
        <x:v>Readiness=REGENERATE; changed=NO</x:v>
      </x:c>
    </x:row>
    <x:row r="128" ht="30" customHeight="1">
      <x:c r="A128" s="26" t="str">
        <x:v>IMP-RC1-0124</x:v>
      </x:c>
      <x:c r="B128" s="26" t="str">
        <x:v>CHG-RC1-DOC-17</x:v>
      </x:c>
      <x:c r="C128" s="26" t="str">
        <x:v>17_Art_Bible.md</x:v>
      </x:c>
      <x:c r="D128" s="26" t="str">
        <x:v>Integrity refresh</x:v>
      </x:c>
      <x:c r="E128" s="26" t="str">
        <x:v>Documento completo / referencias cruzadas</x:v>
      </x:c>
      <x:c r="F128" s="26" t="str">
        <x:v>No action except propagated corrections</x:v>
      </x:c>
      <x:c r="G128" s="26" t="str">
        <x:v>Closed</x:v>
      </x:c>
      <x:c r="H128" s="26" t="str">
        <x:v>PreConsolidation RC1</x:v>
      </x:c>
      <x:c r="I128" s="26" t="str">
        <x:v>1.0</x:v>
      </x:c>
      <x:c r="J128" s="26" t="str">
        <x:v>VRM Games</x:v>
      </x:c>
      <x:c r="K128" s="26" t="str">
        <x:v>095c6cc42223a972c7faa68435595fc7c22f839fabc62b2038371a0ef6c14239</x:v>
      </x:c>
      <x:c r="L128" s="26" t="str">
        <x:v>Readiness=READY; changed=NO</x:v>
      </x:c>
    </x:row>
    <x:row r="129" ht="30" customHeight="1">
      <x:c r="A129" s="26" t="str">
        <x:v>IMP-RC1-0125</x:v>
      </x:c>
      <x:c r="B129" s="26" t="str">
        <x:v>CHG-RC1-DOC-18</x:v>
      </x:c>
      <x:c r="C129" s="26" t="str">
        <x:v>18_Audio_Bible.md</x:v>
      </x:c>
      <x:c r="D129" s="26" t="str">
        <x:v>Integrity refresh</x:v>
      </x:c>
      <x:c r="E129" s="26" t="str">
        <x:v>Documento completo / referencias cruzadas</x:v>
      </x:c>
      <x:c r="F129" s="26" t="str">
        <x:v>No action except propagated corrections</x:v>
      </x:c>
      <x:c r="G129" s="26" t="str">
        <x:v>Closed</x:v>
      </x:c>
      <x:c r="H129" s="26" t="str">
        <x:v>PreConsolidation RC1</x:v>
      </x:c>
      <x:c r="I129" s="26" t="str">
        <x:v>1.0</x:v>
      </x:c>
      <x:c r="J129" s="26" t="str">
        <x:v>VRM Games</x:v>
      </x:c>
      <x:c r="K129" s="26" t="str">
        <x:v>c2eabe93a7c26f70e1d4d77fb0ddcaa97e2cdd1e70247e637b9db5bd2f07ce92</x:v>
      </x:c>
      <x:c r="L129" s="26" t="str">
        <x:v>Readiness=READY; changed=NO</x:v>
      </x:c>
    </x:row>
    <x:row r="130" ht="30" customHeight="1">
      <x:c r="A130" s="26" t="str">
        <x:v>IMP-RC1-0126</x:v>
      </x:c>
      <x:c r="B130" s="26" t="str">
        <x:v>CHG-RC1-DOC-19</x:v>
      </x:c>
      <x:c r="C130" s="26" t="str">
        <x:v>19_UI_Style_Guide.md</x:v>
      </x:c>
      <x:c r="D130" s="26" t="str">
        <x:v>Integrity refresh</x:v>
      </x:c>
      <x:c r="E130" s="26" t="str">
        <x:v>Documento completo / referencias cruzadas</x:v>
      </x:c>
      <x:c r="F130" s="26" t="str">
        <x:v>No action except propagated corrections</x:v>
      </x:c>
      <x:c r="G130" s="26" t="str">
        <x:v>Closed</x:v>
      </x:c>
      <x:c r="H130" s="26" t="str">
        <x:v>PreConsolidation RC1</x:v>
      </x:c>
      <x:c r="I130" s="26" t="str">
        <x:v>1.0</x:v>
      </x:c>
      <x:c r="J130" s="26" t="str">
        <x:v>VRM Games</x:v>
      </x:c>
      <x:c r="K130" s="26" t="str">
        <x:v>b34ca4db1eba7a536466b6a9a105d8d92396ade2108aa7dd99fa7d5d4eaebc1a</x:v>
      </x:c>
      <x:c r="L130" s="26" t="str">
        <x:v>Readiness=READY; changed=NO</x:v>
      </x:c>
    </x:row>
    <x:row r="131" ht="30" customHeight="1">
      <x:c r="A131" s="26" t="str">
        <x:v>IMP-RC1-0127</x:v>
      </x:c>
      <x:c r="B131" s="26" t="str">
        <x:v>CHG-RC1-DOC-20</x:v>
      </x:c>
      <x:c r="C131" s="26" t="str">
        <x:v>20_Economy_and_Balance_Specification.md</x:v>
      </x:c>
      <x:c r="D131" s="26" t="str">
        <x:v>Integrity refresh</x:v>
      </x:c>
      <x:c r="E131" s="26" t="str">
        <x:v>Documento completo / referencias cruzadas</x:v>
      </x:c>
      <x:c r="F131" s="26" t="str">
        <x:v>No action except propagated corrections</x:v>
      </x:c>
      <x:c r="G131" s="26" t="str">
        <x:v>Closed</x:v>
      </x:c>
      <x:c r="H131" s="26" t="str">
        <x:v>PreConsolidation RC1</x:v>
      </x:c>
      <x:c r="I131" s="26" t="str">
        <x:v>1.0</x:v>
      </x:c>
      <x:c r="J131" s="26" t="str">
        <x:v>VRM Games</x:v>
      </x:c>
      <x:c r="K131" s="26" t="str">
        <x:v>908c70772ed35eecdb05c3036c6901523a4caf2c3e708ca8f049c2a160ef2aac</x:v>
      </x:c>
      <x:c r="L131" s="26" t="str">
        <x:v>Readiness=READY; changed=NO</x:v>
      </x:c>
    </x:row>
    <x:row r="132" ht="30" customHeight="1">
      <x:c r="A132" s="26" t="str">
        <x:v>IMP-RC1-0128</x:v>
      </x:c>
      <x:c r="B132" s="26" t="str">
        <x:v>CHG-RC1-DOC-21</x:v>
      </x:c>
      <x:c r="C132" s="26" t="str">
        <x:v>21_Initial_Content_Catalog.xlsx</x:v>
      </x:c>
      <x:c r="D132" s="26" t="str">
        <x:v>Regenerate/Review</x:v>
      </x:c>
      <x:c r="E132" s="26" t="str">
        <x:v>Documento completo / referencias cruzadas</x:v>
      </x:c>
      <x:c r="F132" s="26" t="str">
        <x:v>Targeted update after governance refresh</x:v>
      </x:c>
      <x:c r="G132" s="26" t="str">
        <x:v>Open</x:v>
      </x:c>
      <x:c r="H132" s="26" t="str">
        <x:v>PreConsolidation RC1</x:v>
      </x:c>
      <x:c r="I132" s="26" t="str">
        <x:v>1.0</x:v>
      </x:c>
      <x:c r="J132" s="26" t="str">
        <x:v>VRM Games</x:v>
      </x:c>
      <x:c r="K132" s="26" t="str">
        <x:v>9047299f60cfbd368fc4a2c8bee8d0ff4132dc5642363a9a67d1523559eb9ed3</x:v>
      </x:c>
      <x:c r="L132" s="26" t="str">
        <x:v>Readiness=UPDATE; changed=NO</x:v>
      </x:c>
    </x:row>
    <x:row r="133" ht="30" customHeight="1">
      <x:c r="A133" s="26" t="str">
        <x:v>IMP-RC1-0129</x:v>
      </x:c>
      <x:c r="B133" s="26" t="str">
        <x:v>CHG-RC1-DOC-22</x:v>
      </x:c>
      <x:c r="C133" s="26" t="str">
        <x:v>22_Localization_Plan.md</x:v>
      </x:c>
      <x:c r="D133" s="26" t="str">
        <x:v>Integrity refresh</x:v>
      </x:c>
      <x:c r="E133" s="26" t="str">
        <x:v>Documento completo / referencias cruzadas</x:v>
      </x:c>
      <x:c r="F133" s="26" t="str">
        <x:v>No action except propagated corrections</x:v>
      </x:c>
      <x:c r="G133" s="26" t="str">
        <x:v>Closed</x:v>
      </x:c>
      <x:c r="H133" s="26" t="str">
        <x:v>PreConsolidation RC1</x:v>
      </x:c>
      <x:c r="I133" s="26" t="str">
        <x:v>1.0</x:v>
      </x:c>
      <x:c r="J133" s="26" t="str">
        <x:v>VRM Games</x:v>
      </x:c>
      <x:c r="K133" s="26" t="str">
        <x:v>184a53b2813bc1327a6913e6e88ea4c81142da1ee4ddeff88f75467c784f1ff0</x:v>
      </x:c>
      <x:c r="L133" s="26" t="str">
        <x:v>Readiness=READY; changed=NO</x:v>
      </x:c>
    </x:row>
    <x:row r="134" ht="30" customHeight="1">
      <x:c r="A134" s="26" t="str">
        <x:v>IMP-RC1-0130</x:v>
      </x:c>
      <x:c r="B134" s="26" t="str">
        <x:v>CHG-RC1-DOC-23</x:v>
      </x:c>
      <x:c r="C134" s="26" t="str">
        <x:v>23_Legal_Credits_and_Licenses_Register.xlsx</x:v>
      </x:c>
      <x:c r="D134" s="26" t="str">
        <x:v>Regenerate/Review</x:v>
      </x:c>
      <x:c r="E134" s="26" t="str">
        <x:v>Documento completo / referencias cruzadas</x:v>
      </x:c>
      <x:c r="F134" s="26" t="str">
        <x:v>Targeted update after governance refresh</x:v>
      </x:c>
      <x:c r="G134" s="26" t="str">
        <x:v>Open</x:v>
      </x:c>
      <x:c r="H134" s="26" t="str">
        <x:v>PreConsolidation RC1</x:v>
      </x:c>
      <x:c r="I134" s="26" t="str">
        <x:v>1.0</x:v>
      </x:c>
      <x:c r="J134" s="26" t="str">
        <x:v>VRM Games</x:v>
      </x:c>
      <x:c r="K134" s="26" t="str">
        <x:v>f543b3b5de8900f405910fac5d72697045f8c4969d98fce4c1cf4f12e532b2f1</x:v>
      </x:c>
      <x:c r="L134" s="26" t="str">
        <x:v>Readiness=UPDATE; changed=NO</x:v>
      </x:c>
    </x:row>
    <x:row r="135" ht="30" customHeight="1">
      <x:c r="A135" s="26" t="str">
        <x:v>IMP-RC1-0131</x:v>
      </x:c>
      <x:c r="B135" s="26" t="str">
        <x:v>CHG-RC1-DOC-24</x:v>
      </x:c>
      <x:c r="C135" s="26" t="str">
        <x:v>24_Steam_Publishing_Plan.md</x:v>
      </x:c>
      <x:c r="D135" s="26" t="str">
        <x:v>Integrity refresh</x:v>
      </x:c>
      <x:c r="E135" s="26" t="str">
        <x:v>Documento completo / referencias cruzadas</x:v>
      </x:c>
      <x:c r="F135" s="26" t="str">
        <x:v>No action except propagated corrections</x:v>
      </x:c>
      <x:c r="G135" s="26" t="str">
        <x:v>Closed</x:v>
      </x:c>
      <x:c r="H135" s="26" t="str">
        <x:v>PreConsolidation RC1</x:v>
      </x:c>
      <x:c r="I135" s="26" t="str">
        <x:v>1.0</x:v>
      </x:c>
      <x:c r="J135" s="26" t="str">
        <x:v>VRM Games</x:v>
      </x:c>
      <x:c r="K135" s="26" t="str">
        <x:v>f087e24d3a18f8c4a6651728d5f70d1df804042587e206fdeac2e7e637a87646</x:v>
      </x:c>
      <x:c r="L135" s="26" t="str">
        <x:v>Readiness=READY; changed=NO</x:v>
      </x:c>
    </x:row>
    <x:row r="136" ht="30" customHeight="1">
      <x:c r="A136" s="26" t="str">
        <x:v>IMP-RC1-0132</x:v>
      </x:c>
      <x:c r="B136" s="26" t="str">
        <x:v>CHG-RC1-DOC-25</x:v>
      </x:c>
      <x:c r="C136" s="26" t="str">
        <x:v>25_Post_Launch_and_Live_Operations_Plan.md</x:v>
      </x:c>
      <x:c r="D136" s="26" t="str">
        <x:v>Integrity refresh</x:v>
      </x:c>
      <x:c r="E136" s="26" t="str">
        <x:v>Documento completo / referencias cruzadas</x:v>
      </x:c>
      <x:c r="F136" s="26" t="str">
        <x:v>No action except propagated corrections</x:v>
      </x:c>
      <x:c r="G136" s="26" t="str">
        <x:v>Closed</x:v>
      </x:c>
      <x:c r="H136" s="26" t="str">
        <x:v>PreConsolidation RC1</x:v>
      </x:c>
      <x:c r="I136" s="26" t="str">
        <x:v>1.0</x:v>
      </x:c>
      <x:c r="J136" s="26" t="str">
        <x:v>VRM Games</x:v>
      </x:c>
      <x:c r="K136" s="26" t="str">
        <x:v>158e1e43514c5d5d6c365f6cd1a73929f54c4a48c5cc460b593530ae5e49bac9</x:v>
      </x:c>
      <x:c r="L136" s="26" t="str">
        <x:v>Readiness=READY; changed=NO</x:v>
      </x:c>
    </x:row>
    <x:row r="137" ht="30" customHeight="1">
      <x:c r="A137" s="26" t="str">
        <x:v>IMP-RC1-0133</x:v>
      </x:c>
      <x:c r="B137" s="26" t="str">
        <x:v>CHG-RC1-DOC-26</x:v>
      </x:c>
      <x:c r="C137" s="26" t="str">
        <x:v>26_Privacy_Data_and_Telemetry_Plan.md</x:v>
      </x:c>
      <x:c r="D137" s="26" t="str">
        <x:v>Integrity refresh</x:v>
      </x:c>
      <x:c r="E137" s="26" t="str">
        <x:v>Documento completo / referencias cruzadas</x:v>
      </x:c>
      <x:c r="F137" s="26" t="str">
        <x:v>No action except propagated corrections</x:v>
      </x:c>
      <x:c r="G137" s="26" t="str">
        <x:v>Closed</x:v>
      </x:c>
      <x:c r="H137" s="26" t="str">
        <x:v>PreConsolidation RC1</x:v>
      </x:c>
      <x:c r="I137" s="26" t="str">
        <x:v>1.0</x:v>
      </x:c>
      <x:c r="J137" s="26" t="str">
        <x:v>VRM Games</x:v>
      </x:c>
      <x:c r="K137" s="26" t="str">
        <x:v>284abfe537793c2ec8b0e5cbac484cd9395567c4434aef7f5ad5ee7005e95f36</x:v>
      </x:c>
      <x:c r="L137" s="26" t="str">
        <x:v>Readiness=READY; changed=NO</x:v>
      </x:c>
    </x:row>
    <x:row r="138" ht="30" customHeight="1">
      <x:c r="A138" s="26" t="str">
        <x:v>IMP-RC1-0134</x:v>
      </x:c>
      <x:c r="B138" s="26" t="str">
        <x:v>CHG-RC1-DOC-27</x:v>
      </x:c>
      <x:c r="C138" s="26" t="str">
        <x:v>27_Security_and_Incident_Response_Plan.md</x:v>
      </x:c>
      <x:c r="D138" s="26" t="str">
        <x:v>Integrity refresh</x:v>
      </x:c>
      <x:c r="E138" s="26" t="str">
        <x:v>Documento completo / referencias cruzadas</x:v>
      </x:c>
      <x:c r="F138" s="26" t="str">
        <x:v>No action except propagated corrections</x:v>
      </x:c>
      <x:c r="G138" s="26" t="str">
        <x:v>Closed</x:v>
      </x:c>
      <x:c r="H138" s="26" t="str">
        <x:v>PreConsolidation RC1</x:v>
      </x:c>
      <x:c r="I138" s="26" t="str">
        <x:v>1.0</x:v>
      </x:c>
      <x:c r="J138" s="26" t="str">
        <x:v>VRM Games</x:v>
      </x:c>
      <x:c r="K138" s="26" t="str">
        <x:v>f925bfbf3df2000323c12a4486480d06c8ab8181684e5922168b8bdf89d05f92</x:v>
      </x:c>
      <x:c r="L138" s="26" t="str">
        <x:v>Readiness=READY; changed=NO</x:v>
      </x:c>
    </x:row>
    <x:row r="139" ht="30" customHeight="1">
      <x:c r="A139" s="26" t="str">
        <x:v>IMP-RC1-0135</x:v>
      </x:c>
      <x:c r="B139" s="26" t="str">
        <x:v>CHG-RC1-DOC-28</x:v>
      </x:c>
      <x:c r="C139" s="26" t="str">
        <x:v>28_Marketing_and_Communication_Plan.md</x:v>
      </x:c>
      <x:c r="D139" s="26" t="str">
        <x:v>Integrity refresh</x:v>
      </x:c>
      <x:c r="E139" s="26" t="str">
        <x:v>Documento completo / referencias cruzadas</x:v>
      </x:c>
      <x:c r="F139" s="26" t="str">
        <x:v>No action except propagated corrections</x:v>
      </x:c>
      <x:c r="G139" s="26" t="str">
        <x:v>Closed</x:v>
      </x:c>
      <x:c r="H139" s="26" t="str">
        <x:v>PreConsolidation RC1</x:v>
      </x:c>
      <x:c r="I139" s="26" t="str">
        <x:v>1.0</x:v>
      </x:c>
      <x:c r="J139" s="26" t="str">
        <x:v>VRM Games</x:v>
      </x:c>
      <x:c r="K139" s="26" t="str">
        <x:v>28dd332855126558b3da6019f2e546b1e8ab7db81dc530a89f3e3fbfe757cded</x:v>
      </x:c>
      <x:c r="L139" s="26" t="str">
        <x:v>Readiness=READY; changed=NO</x:v>
      </x:c>
    </x:row>
    <x:row r="140" ht="30" customHeight="1">
      <x:c r="A140" s="26" t="str">
        <x:v>IMP-RC1-0136</x:v>
      </x:c>
      <x:c r="B140" s="26" t="str">
        <x:v>CHG-RC1-DOC-29</x:v>
      </x:c>
      <x:c r="C140" s="26" t="str">
        <x:v>29_Accessibility_and_Inclusive_Design_Plan.md</x:v>
      </x:c>
      <x:c r="D140" s="26" t="str">
        <x:v>Integrity refresh</x:v>
      </x:c>
      <x:c r="E140" s="26" t="str">
        <x:v>Documento completo / referencias cruzadas</x:v>
      </x:c>
      <x:c r="F140" s="26" t="str">
        <x:v>No action except propagated corrections</x:v>
      </x:c>
      <x:c r="G140" s="26" t="str">
        <x:v>Closed</x:v>
      </x:c>
      <x:c r="H140" s="26" t="str">
        <x:v>PreConsolidation RC1</x:v>
      </x:c>
      <x:c r="I140" s="26" t="str">
        <x:v>1.0</x:v>
      </x:c>
      <x:c r="J140" s="26" t="str">
        <x:v>VRM Games</x:v>
      </x:c>
      <x:c r="K140" s="26" t="str">
        <x:v>678ceabb509062cd93c7690315397b1cc6204c0da6a5d57324ba11e2fda64333</x:v>
      </x:c>
      <x:c r="L140" s="26" t="str">
        <x:v>Readiness=READY; changed=NO</x:v>
      </x:c>
    </x:row>
    <x:row r="141" ht="30" customHeight="1">
      <x:c r="A141" s="26" t="str">
        <x:v>IMP-RC1-0137</x:v>
      </x:c>
      <x:c r="B141" s="26" t="str">
        <x:v>CHG-RC1-DOC-30</x:v>
      </x:c>
      <x:c r="C141" s="26" t="str">
        <x:v>30_Performance_and_Optimization_Plan.md</x:v>
      </x:c>
      <x:c r="D141" s="26" t="str">
        <x:v>Integrity refresh</x:v>
      </x:c>
      <x:c r="E141" s="26" t="str">
        <x:v>Documento completo / referencias cruzadas</x:v>
      </x:c>
      <x:c r="F141" s="26" t="str">
        <x:v>No action except propagated corrections</x:v>
      </x:c>
      <x:c r="G141" s="26" t="str">
        <x:v>Closed</x:v>
      </x:c>
      <x:c r="H141" s="26" t="str">
        <x:v>PreConsolidation RC1</x:v>
      </x:c>
      <x:c r="I141" s="26" t="str">
        <x:v>1.0</x:v>
      </x:c>
      <x:c r="J141" s="26" t="str">
        <x:v>VRM Games</x:v>
      </x:c>
      <x:c r="K141" s="26" t="str">
        <x:v>18f53eaa61734ad735c02c8b7c70ed37f5f0e80f7c01828b05d092c49b0de260</x:v>
      </x:c>
      <x:c r="L141" s="26" t="str">
        <x:v>Readiness=READY; changed=NO</x:v>
      </x:c>
    </x:row>
    <x:row r="142" ht="30" customHeight="1">
      <x:c r="A142" s="26" t="str">
        <x:v>IMP-RC1-0138</x:v>
      </x:c>
      <x:c r="B142" s="26" t="str">
        <x:v>CHG-RC1-DOC-31</x:v>
      </x:c>
      <x:c r="C142" s="26" t="str">
        <x:v>31_H6_and_Release_Readiness_Checklist.xlsx</x:v>
      </x:c>
      <x:c r="D142" s="26" t="str">
        <x:v>Regenerate/Review</x:v>
      </x:c>
      <x:c r="E142" s="26" t="str">
        <x:v>Documento completo / referencias cruzadas</x:v>
      </x:c>
      <x:c r="F142" s="26" t="str">
        <x:v>Targeted update after governance refresh</x:v>
      </x:c>
      <x:c r="G142" s="26" t="str">
        <x:v>Open</x:v>
      </x:c>
      <x:c r="H142" s="26" t="str">
        <x:v>PreConsolidation RC1</x:v>
      </x:c>
      <x:c r="I142" s="26" t="str">
        <x:v>1.0</x:v>
      </x:c>
      <x:c r="J142" s="26" t="str">
        <x:v>VRM Games</x:v>
      </x:c>
      <x:c r="K142" s="26" t="str">
        <x:v>3ec6265ca8009a6f502008a103161492687efbc026a61c55b1205b976c255aee</x:v>
      </x:c>
      <x:c r="L142" s="26" t="str">
        <x:v>Readiness=UPDATE; changed=NO</x:v>
      </x:c>
    </x:row>
    <x:row r="143" ht="30" customHeight="1">
      <x:c r="A143" s="26" t="str">
        <x:v>IMP-RC1-0139</x:v>
      </x:c>
      <x:c r="B143" s="26" t="str">
        <x:v>CHG-RC1-DOC-32</x:v>
      </x:c>
      <x:c r="C143" s="26" t="str">
        <x:v>32_Documentation_Baseline_Manifest.xlsx</x:v>
      </x:c>
      <x:c r="D143" s="26" t="str">
        <x:v>Regenerate/Review</x:v>
      </x:c>
      <x:c r="E143" s="26" t="str">
        <x:v>Documento completo / referencias cruzadas</x:v>
      </x:c>
      <x:c r="F143" s="26" t="str">
        <x:v>Regenerate candidate and final manifest near closure</x:v>
      </x:c>
      <x:c r="G143" s="26" t="str">
        <x:v>Open</x:v>
      </x:c>
      <x:c r="H143" s="26" t="str">
        <x:v>PreConsolidation RC1</x:v>
      </x:c>
      <x:c r="I143" s="26" t="str">
        <x:v>1.0</x:v>
      </x:c>
      <x:c r="J143" s="26" t="str">
        <x:v>VRM Games</x:v>
      </x:c>
      <x:c r="K143" s="26" t="str">
        <x:v>05ef1aa53febb8015b1eb40be8f43a4f6cee5be3ce1d31c3eda03346b86ebc64</x:v>
      </x:c>
      <x:c r="L143" s="26" t="str">
        <x:v>Readiness=FINALIZE LATER; changed=NO</x:v>
      </x:c>
    </x:row>
    <x:row r="144" ht="30" customHeight="1">
      <x:c r="A144" s="26" t="str">
        <x:v>IMP-RC1-0140</x:v>
      </x:c>
      <x:c r="B144" s="26" t="str">
        <x:v>CHG-RC1-DOC-33</x:v>
      </x:c>
      <x:c r="C144" s="26" t="str">
        <x:v>33_Project_Risk_Register_and_Business_Continuity_Plan.xlsx</x:v>
      </x:c>
      <x:c r="D144" s="26" t="str">
        <x:v>Regenerate/Review</x:v>
      </x:c>
      <x:c r="E144" s="26" t="str">
        <x:v>Documento completo / referencias cruzadas</x:v>
      </x:c>
      <x:c r="F144" s="26" t="str">
        <x:v>Targeted update after governance refresh</x:v>
      </x:c>
      <x:c r="G144" s="26" t="str">
        <x:v>Open</x:v>
      </x:c>
      <x:c r="H144" s="26" t="str">
        <x:v>PreConsolidation RC1</x:v>
      </x:c>
      <x:c r="I144" s="26" t="str">
        <x:v>1.0</x:v>
      </x:c>
      <x:c r="J144" s="26" t="str">
        <x:v>VRM Games</x:v>
      </x:c>
      <x:c r="K144" s="26" t="str">
        <x:v>aff3d5173017c6e90eae4b743b00af9a5106ad8e8b61f4789ff6857d10a61d88</x:v>
      </x:c>
      <x:c r="L144" s="26" t="str">
        <x:v>Readiness=UPDATE; changed=NO</x:v>
      </x:c>
    </x:row>
    <x:row r="145" ht="30" customHeight="1">
      <x:c r="A145" s="26" t="str">
        <x:v>IMP-RC1-0141</x:v>
      </x:c>
      <x:c r="B145" s="26" t="str">
        <x:v>CHG-RC1-DOC-34</x:v>
      </x:c>
      <x:c r="C145" s="26" t="str">
        <x:v>34_Final_Handoff_and_Project_Operations_Manual.md</x:v>
      </x:c>
      <x:c r="D145" s="26" t="str">
        <x:v>Regenerate/Review</x:v>
      </x:c>
      <x:c r="E145" s="26" t="str">
        <x:v>Documento completo / referencias cruzadas</x:v>
      </x:c>
      <x:c r="F145" s="26" t="str">
        <x:v>Targeted update after governance refresh</x:v>
      </x:c>
      <x:c r="G145" s="26" t="str">
        <x:v>Open</x:v>
      </x:c>
      <x:c r="H145" s="26" t="str">
        <x:v>PreConsolidation RC1</x:v>
      </x:c>
      <x:c r="I145" s="26" t="str">
        <x:v>1.0</x:v>
      </x:c>
      <x:c r="J145" s="26" t="str">
        <x:v>VRM Games</x:v>
      </x:c>
      <x:c r="K145" s="26" t="str">
        <x:v>3b3fb3519caa4f899da10bf8bec73d72b5e0c3e3c6839c83157d1351a9ef9001</x:v>
      </x:c>
      <x:c r="L145" s="26" t="str">
        <x:v>Readiness=UPDATE; changed=NO</x:v>
      </x:c>
    </x:row>
    <x:row r="146" ht="30" customHeight="1">
      <x:c r="A146" s="26" t="str">
        <x:v>IMP-RC1-0142</x:v>
      </x:c>
      <x:c r="B146" s="26" t="str">
        <x:v>CHG-RC1-CNS-001</x:v>
      </x:c>
      <x:c r="C146" s="26" t="str">
        <x:v>Congelar copia candidata 00–34</x:v>
      </x:c>
      <x:c r="D146" s="26" t="str">
        <x:v>Closure action</x:v>
      </x:c>
      <x:c r="E146" s="26" t="str">
        <x:v>Baseline 00–34</x:v>
      </x:c>
      <x:c r="F146" s="26" t="str">
        <x:v>Carpeta preconsolidación con 35 archivos y checksums</x:v>
      </x:c>
      <x:c r="G146" s="26" t="str">
        <x:v>Closed</x:v>
      </x:c>
      <x:c r="H146" s="26" t="str">
        <x:v>RC1</x:v>
      </x:c>
      <x:c r="I146" s="26" t="str">
        <x:v>Final</x:v>
      </x:c>
      <x:c r="J146" s="26" t="str">
        <x:v>Documentation/Production</x:v>
      </x:c>
      <x:c r="K146" s="26" t="str">
        <x:v>FILE_LIST.txt + PRECONSOLIDATION_SHA256.txt</x:v>
      </x:c>
      <x:c r="L146" s="26"/>
    </x:row>
    <x:row r="147" ht="30" customHeight="1">
      <x:c r="A147" s="26" t="str">
        <x:v>IMP-RC1-0143</x:v>
      </x:c>
      <x:c r="B147" s="26" t="str">
        <x:v>CHG-RC1-CNS-002</x:v>
      </x:c>
      <x:c r="C147" s="26" t="str">
        <x:v>Regenerar 12_Excel_Maestro_de_Produccion.xlsx</x:v>
      </x:c>
      <x:c r="D147" s="26" t="str">
        <x:v>Closure action</x:v>
      </x:c>
      <x:c r="E147" s="26" t="str">
        <x:v>Baseline 00–34</x:v>
      </x:c>
      <x:c r="F147" s="26" t="str">
        <x:v>Excel maestro 00–34, riesgos, WPs, H6 e historia</x:v>
      </x:c>
      <x:c r="G147" s="26" t="str">
        <x:v>Closed</x:v>
      </x:c>
      <x:c r="H147" s="26" t="str">
        <x:v>RC1</x:v>
      </x:c>
      <x:c r="I147" s="26" t="str">
        <x:v>Final</x:v>
      </x:c>
      <x:c r="J147" s="26" t="str">
        <x:v>Production/Documentation</x:v>
      </x:c>
      <x:c r="K147" s="26" t="str">
        <x:v>XLSX validado y hash externo</x:v>
      </x:c>
      <x:c r="L147" s="26" t="str">
        <x:v>CNS-001</x:v>
      </x:c>
    </x:row>
    <x:row r="148" ht="30" customHeight="1">
      <x:c r="A148" s="26" t="str">
        <x:v>IMP-RC1-0144</x:v>
      </x:c>
      <x:c r="B148" s="26" t="str">
        <x:v>CHG-RC1-CNS-003</x:v>
      </x:c>
      <x:c r="C148" s="26" t="str">
        <x:v>Regenerar 13_Trazabilidad_y_Control_de_Cambios.xlsx</x:v>
      </x:c>
      <x:c r="D148" s="26" t="str">
        <x:v>Closure action</x:v>
      </x:c>
      <x:c r="E148" s="26" t="str">
        <x:v>Baseline 00–34</x:v>
      </x:c>
      <x:c r="F148" s="26" t="str">
        <x:v>Linaje, cambios y trazabilidad completos</x:v>
      </x:c>
      <x:c r="G148" s="26" t="str">
        <x:v>Closed</x:v>
      </x:c>
      <x:c r="H148" s="26" t="str">
        <x:v>RC1</x:v>
      </x:c>
      <x:c r="I148" s="26" t="str">
        <x:v>Final</x:v>
      </x:c>
      <x:c r="J148" s="26" t="str">
        <x:v>Documentation/Production</x:v>
      </x:c>
      <x:c r="K148" s="26" t="str">
        <x:v>XLSX validado</x:v>
      </x:c>
      <x:c r="L148" s="26" t="str">
        <x:v>CNS-002</x:v>
      </x:c>
    </x:row>
    <x:row r="149" ht="30" customHeight="1">
      <x:c r="A149" s="26" t="str">
        <x:v>IMP-RC1-0145</x:v>
      </x:c>
      <x:c r="B149" s="26" t="str">
        <x:v>CHG-RC1-CNS-004</x:v>
      </x:c>
      <x:c r="C149" s="26" t="str">
        <x:v>Actualizar 14_Project_Binder_Indice_Maestro.md</x:v>
      </x:c>
      <x:c r="D149" s="26" t="str">
        <x:v>Closure action</x:v>
      </x:c>
      <x:c r="E149" s="26" t="str">
        <x:v>Baseline 00–34</x:v>
      </x:c>
      <x:c r="F149" s="26" t="str">
        <x:v>Índice 00–34 actualizado</x:v>
      </x:c>
      <x:c r="G149" s="26" t="str">
        <x:v>Open</x:v>
      </x:c>
      <x:c r="H149" s="26" t="str">
        <x:v>RC1</x:v>
      </x:c>
      <x:c r="I149" s="26" t="str">
        <x:v>Final</x:v>
      </x:c>
      <x:c r="J149" s="26" t="str">
        <x:v>Documentation</x:v>
      </x:c>
      <x:c r="K149" s="26" t="str">
        <x:v>Markdown validado</x:v>
      </x:c>
      <x:c r="L149" s="26" t="str">
        <x:v>CNS-003</x:v>
      </x:c>
    </x:row>
    <x:row r="150" ht="30" customHeight="1">
      <x:c r="A150" s="26" t="str">
        <x:v>IMP-RC1-0146</x:v>
      </x:c>
      <x:c r="B150" s="26" t="str">
        <x:v>CHG-RC1-CNS-005</x:v>
      </x:c>
      <x:c r="C150" s="26" t="str">
        <x:v>Actualizar 15_Guia_Maestra.md</x:v>
      </x:c>
      <x:c r="D150" s="26" t="str">
        <x:v>Closure action</x:v>
      </x:c>
      <x:c r="E150" s="26" t="str">
        <x:v>Baseline 00–34</x:v>
      </x:c>
      <x:c r="F150" s="26" t="str">
        <x:v>Guía completa de uso y retoma</x:v>
      </x:c>
      <x:c r="G150" s="26" t="str">
        <x:v>Open</x:v>
      </x:c>
      <x:c r="H150" s="26" t="str">
        <x:v>RC1</x:v>
      </x:c>
      <x:c r="I150" s="26" t="str">
        <x:v>Final</x:v>
      </x:c>
      <x:c r="J150" s="26" t="str">
        <x:v>Documentation</x:v>
      </x:c>
      <x:c r="K150" s="26" t="str">
        <x:v>Markdown validado</x:v>
      </x:c>
      <x:c r="L150" s="26" t="str">
        <x:v>CNS-004</x:v>
      </x:c>
    </x:row>
    <x:row r="151" ht="30" customHeight="1">
      <x:c r="A151" s="26" t="str">
        <x:v>IMP-RC1-0147</x:v>
      </x:c>
      <x:c r="B151" s="26" t="str">
        <x:v>CHG-RC1-CNS-006</x:v>
      </x:c>
      <x:c r="C151" s="26" t="str">
        <x:v>Actualizar 21_Initial_Content_Catalog.xlsx</x:v>
      </x:c>
      <x:c r="D151" s="26" t="str">
        <x:v>Closure action</x:v>
      </x:c>
      <x:c r="E151" s="26" t="str">
        <x:v>Baseline 00–34</x:v>
      </x:c>
      <x:c r="F151" s="26" t="str">
        <x:v>Referencias y hashes vigentes</x:v>
      </x:c>
      <x:c r="G151" s="26" t="str">
        <x:v>Open</x:v>
      </x:c>
      <x:c r="H151" s="26" t="str">
        <x:v>RC1</x:v>
      </x:c>
      <x:c r="I151" s="26" t="str">
        <x:v>Final</x:v>
      </x:c>
      <x:c r="J151" s="26" t="str">
        <x:v>Content/Documentation</x:v>
      </x:c>
      <x:c r="K151" s="26" t="str">
        <x:v>XLSX validado</x:v>
      </x:c>
      <x:c r="L151" s="26" t="str">
        <x:v>CNS-003</x:v>
      </x:c>
    </x:row>
    <x:row r="152" ht="30" customHeight="1">
      <x:c r="A152" s="26" t="str">
        <x:v>IMP-RC1-0148</x:v>
      </x:c>
      <x:c r="B152" s="26" t="str">
        <x:v>CHG-RC1-CNS-007</x:v>
      </x:c>
      <x:c r="C152" s="26" t="str">
        <x:v>Actualizar 23_Legal_Credits_and_Licenses_Register.xlsx</x:v>
      </x:c>
      <x:c r="D152" s="26" t="str">
        <x:v>Closure action</x:v>
      </x:c>
      <x:c r="E152" s="26" t="str">
        <x:v>Baseline 00–34</x:v>
      </x:c>
      <x:c r="F152" s="26" t="str">
        <x:v>Referencias, licencias y hashes vigentes</x:v>
      </x:c>
      <x:c r="G152" s="26" t="str">
        <x:v>Open</x:v>
      </x:c>
      <x:c r="H152" s="26" t="str">
        <x:v>RC1</x:v>
      </x:c>
      <x:c r="I152" s="26" t="str">
        <x:v>Final</x:v>
      </x:c>
      <x:c r="J152" s="26" t="str">
        <x:v>Legal/Documentation</x:v>
      </x:c>
      <x:c r="K152" s="26" t="str">
        <x:v>XLSX validado</x:v>
      </x:c>
      <x:c r="L152" s="26" t="str">
        <x:v>CNS-003</x:v>
      </x:c>
    </x:row>
    <x:row r="153" ht="30" customHeight="1">
      <x:c r="A153" s="26" t="str">
        <x:v>IMP-RC1-0149</x:v>
      </x:c>
      <x:c r="B153" s="26" t="str">
        <x:v>CHG-RC1-CNS-008</x:v>
      </x:c>
      <x:c r="C153" s="26" t="str">
        <x:v>Actualizar 31_H6_and_Release_Readiness_Checklist.xlsx</x:v>
      </x:c>
      <x:c r="D153" s="26" t="str">
        <x:v>Closure action</x:v>
      </x:c>
      <x:c r="E153" s="26" t="str">
        <x:v>Baseline 00–34</x:v>
      </x:c>
      <x:c r="F153" s="26" t="str">
        <x:v>Referencias 32–34 y controles de cierre</x:v>
      </x:c>
      <x:c r="G153" s="26" t="str">
        <x:v>Open</x:v>
      </x:c>
      <x:c r="H153" s="26" t="str">
        <x:v>RC1</x:v>
      </x:c>
      <x:c r="I153" s="26" t="str">
        <x:v>Final</x:v>
      </x:c>
      <x:c r="J153" s="26" t="str">
        <x:v>QA/Production</x:v>
      </x:c>
      <x:c r="K153" s="26" t="str">
        <x:v>XLSX validado</x:v>
      </x:c>
      <x:c r="L153" s="26" t="str">
        <x:v>CNS-003,CNS-004,CNS-005</x:v>
      </x:c>
    </x:row>
    <x:row r="154" ht="30" customHeight="1">
      <x:c r="A154" s="26" t="str">
        <x:v>IMP-RC1-0150</x:v>
      </x:c>
      <x:c r="B154" s="26" t="str">
        <x:v>CHG-RC1-CNS-009</x:v>
      </x:c>
      <x:c r="C154" s="26" t="str">
        <x:v>Actualizar 33_Project_Risk_Register_and_Business_Continuity_Plan.xlsx</x:v>
      </x:c>
      <x:c r="D154" s="26" t="str">
        <x:v>Closure action</x:v>
      </x:c>
      <x:c r="E154" s="26" t="str">
        <x:v>Baseline 00–34</x:v>
      </x:c>
      <x:c r="F154" s="26" t="str">
        <x:v>Fuentes 00–34 y riesgos de cierre</x:v>
      </x:c>
      <x:c r="G154" s="26" t="str">
        <x:v>Open</x:v>
      </x:c>
      <x:c r="H154" s="26" t="str">
        <x:v>RC1</x:v>
      </x:c>
      <x:c r="I154" s="26" t="str">
        <x:v>Final</x:v>
      </x:c>
      <x:c r="J154" s="26" t="str">
        <x:v>Risk/Continuity</x:v>
      </x:c>
      <x:c r="K154" s="26" t="str">
        <x:v>XLSX validado</x:v>
      </x:c>
      <x:c r="L154" s="26" t="str">
        <x:v>CNS-003,CNS-008</x:v>
      </x:c>
    </x:row>
    <x:row r="155" ht="30" customHeight="1">
      <x:c r="A155" s="26" t="str">
        <x:v>IMP-RC1-0151</x:v>
      </x:c>
      <x:c r="B155" s="26" t="str">
        <x:v>CHG-RC1-CNS-010</x:v>
      </x:c>
      <x:c r="C155" s="26" t="str">
        <x:v>Actualizar 34_Final_Handoff_and_Project_Operations_Manual.md</x:v>
      </x:c>
      <x:c r="D155" s="26" t="str">
        <x:v>Closure action</x:v>
      </x:c>
      <x:c r="E155" s="26" t="str">
        <x:v>Baseline 00–34</x:v>
      </x:c>
      <x:c r="F155" s="26" t="str">
        <x:v>Rutas y baseline definitivas</x:v>
      </x:c>
      <x:c r="G155" s="26" t="str">
        <x:v>Open</x:v>
      </x:c>
      <x:c r="H155" s="26" t="str">
        <x:v>RC1</x:v>
      </x:c>
      <x:c r="I155" s="26" t="str">
        <x:v>Final</x:v>
      </x:c>
      <x:c r="J155" s="26" t="str">
        <x:v>Operations/Documentation</x:v>
      </x:c>
      <x:c r="K155" s="26" t="str">
        <x:v>Markdown validado</x:v>
      </x:c>
      <x:c r="L155" s="26" t="str">
        <x:v>CNS-003,CNS-004,CNS-005</x:v>
      </x:c>
    </x:row>
    <x:row r="156" ht="30" customHeight="1">
      <x:c r="A156" s="26" t="str">
        <x:v>IMP-RC1-0152</x:v>
      </x:c>
      <x:c r="B156" s="26" t="str">
        <x:v>CHG-RC1-CNS-011</x:v>
      </x:c>
      <x:c r="C156" s="26" t="str">
        <x:v>Generar 32_Documentation_Baseline_Manifest.xlsx candidato</x:v>
      </x:c>
      <x:c r="D156" s="26" t="str">
        <x:v>Closure action</x:v>
      </x:c>
      <x:c r="E156" s="26" t="str">
        <x:v>Baseline 00–34</x:v>
      </x:c>
      <x:c r="F156" s="26" t="str">
        <x:v>Manifiesto candidato con hashes actuales</x:v>
      </x:c>
      <x:c r="G156" s="26" t="str">
        <x:v>Open</x:v>
      </x:c>
      <x:c r="H156" s="26" t="str">
        <x:v>RC1</x:v>
      </x:c>
      <x:c r="I156" s="26" t="str">
        <x:v>Final</x:v>
      </x:c>
      <x:c r="J156" s="26" t="str">
        <x:v>Documentation/Integrity</x:v>
      </x:c>
      <x:c r="K156" s="26" t="str">
        <x:v>XLSX validado</x:v>
      </x:c>
      <x:c r="L156" s="26" t="str">
        <x:v>CNS-006,CNS-007,CNS-008,CNS-009,CNS-010</x:v>
      </x:c>
    </x:row>
    <x:row r="157" ht="30" customHeight="1">
      <x:c r="A157" s="26" t="str">
        <x:v>IMP-RC1-0153</x:v>
      </x:c>
      <x:c r="B157" s="26" t="str">
        <x:v>CHG-RC1-CNS-012</x:v>
      </x:c>
      <x:c r="C157" s="26" t="str">
        <x:v>Regenerar 16_Auditoria_Global_de_Coherencia.md candidata</x:v>
      </x:c>
      <x:c r="D157" s="26" t="str">
        <x:v>Closure action</x:v>
      </x:c>
      <x:c r="E157" s="26" t="str">
        <x:v>Baseline 00–34</x:v>
      </x:c>
      <x:c r="F157" s="26" t="str">
        <x:v>Auditoría 00–34 completa</x:v>
      </x:c>
      <x:c r="G157" s="26" t="str">
        <x:v>Open</x:v>
      </x:c>
      <x:c r="H157" s="26" t="str">
        <x:v>RC1</x:v>
      </x:c>
      <x:c r="I157" s="26" t="str">
        <x:v>Final</x:v>
      </x:c>
      <x:c r="J157" s="26" t="str">
        <x:v>Audit/Documentation</x:v>
      </x:c>
      <x:c r="K157" s="26" t="str">
        <x:v>Informe de hallazgos</x:v>
      </x:c>
      <x:c r="L157" s="26" t="str">
        <x:v>CNS-011</x:v>
      </x:c>
    </x:row>
    <x:row r="158" ht="30" customHeight="1">
      <x:c r="A158" s="26" t="str">
        <x:v>IMP-RC1-0154</x:v>
      </x:c>
      <x:c r="B158" s="26" t="str">
        <x:v>CHG-RC1-CNS-013</x:v>
      </x:c>
      <x:c r="C158" s="26" t="str">
        <x:v>Resolver hallazgos de auditoría</x:v>
      </x:c>
      <x:c r="D158" s="26" t="str">
        <x:v>Closure action</x:v>
      </x:c>
      <x:c r="E158" s="26" t="str">
        <x:v>Baseline 00–34</x:v>
      </x:c>
      <x:c r="F158" s="26" t="str">
        <x:v>Sin BLOCKER/HIGH abiertos o excepción formal</x:v>
      </x:c>
      <x:c r="G158" s="26" t="str">
        <x:v>Open</x:v>
      </x:c>
      <x:c r="H158" s="26" t="str">
        <x:v>RC1</x:v>
      </x:c>
      <x:c r="I158" s="26" t="str">
        <x:v>Final</x:v>
      </x:c>
      <x:c r="J158" s="26" t="str">
        <x:v>All Owners</x:v>
      </x:c>
      <x:c r="K158" s="26" t="str">
        <x:v>Registro de correcciones</x:v>
      </x:c>
      <x:c r="L158" s="26" t="str">
        <x:v>CNS-012</x:v>
      </x:c>
    </x:row>
    <x:row r="159" ht="30" customHeight="1">
      <x:c r="A159" s="26" t="str">
        <x:v>IMP-RC1-0155</x:v>
      </x:c>
      <x:c r="B159" s="26" t="str">
        <x:v>CHG-RC1-CNS-014</x:v>
      </x:c>
      <x:c r="C159" s="26" t="str">
        <x:v>Regenerar 16_Auditoria_Global_de_Coherencia.md final</x:v>
      </x:c>
      <x:c r="D159" s="26" t="str">
        <x:v>Closure action</x:v>
      </x:c>
      <x:c r="E159" s="26" t="str">
        <x:v>Baseline 00–34</x:v>
      </x:c>
      <x:c r="F159" s="26" t="str">
        <x:v>Auditoría final PASS/PASS WITH EXCEPTIONS</x:v>
      </x:c>
      <x:c r="G159" s="26" t="str">
        <x:v>Open</x:v>
      </x:c>
      <x:c r="H159" s="26" t="str">
        <x:v>RC1</x:v>
      </x:c>
      <x:c r="I159" s="26" t="str">
        <x:v>Final</x:v>
      </x:c>
      <x:c r="J159" s="26" t="str">
        <x:v>Audit/Documentation</x:v>
      </x:c>
      <x:c r="K159" s="26" t="str">
        <x:v>Informe final</x:v>
      </x:c>
      <x:c r="L159" s="26" t="str">
        <x:v>CNS-013</x:v>
      </x:c>
    </x:row>
    <x:row r="160" ht="30" customHeight="1">
      <x:c r="A160" s="26" t="str">
        <x:v>IMP-RC1-0156</x:v>
      </x:c>
      <x:c r="B160" s="26" t="str">
        <x:v>CHG-RC1-CNS-015</x:v>
      </x:c>
      <x:c r="C160" s="26" t="str">
        <x:v>Regenerar 32_Documentation_Baseline_Manifest.xlsx definitivo</x:v>
      </x:c>
      <x:c r="D160" s="26" t="str">
        <x:v>Closure action</x:v>
      </x:c>
      <x:c r="E160" s="26" t="str">
        <x:v>Baseline 00–34</x:v>
      </x:c>
      <x:c r="F160" s="26" t="str">
        <x:v>Manifiesto definitivo</x:v>
      </x:c>
      <x:c r="G160" s="26" t="str">
        <x:v>Open</x:v>
      </x:c>
      <x:c r="H160" s="26" t="str">
        <x:v>RC1</x:v>
      </x:c>
      <x:c r="I160" s="26" t="str">
        <x:v>Final</x:v>
      </x:c>
      <x:c r="J160" s="26" t="str">
        <x:v>Documentation/Integrity</x:v>
      </x:c>
      <x:c r="K160" s="26" t="str">
        <x:v>XLSX + hash externo</x:v>
      </x:c>
      <x:c r="L160" s="26" t="str">
        <x:v>CNS-014</x:v>
      </x:c>
    </x:row>
    <x:row r="161" ht="30" customHeight="1">
      <x:c r="A161" s="26" t="str">
        <x:v>IMP-RC1-0157</x:v>
      </x:c>
      <x:c r="B161" s="26" t="str">
        <x:v>CHG-RC1-CNS-016</x:v>
      </x:c>
      <x:c r="C161" s="26" t="str">
        <x:v>Generar PACKAGE_MANIFEST.md</x:v>
      </x:c>
      <x:c r="D161" s="26" t="str">
        <x:v>Closure action</x:v>
      </x:c>
      <x:c r="E161" s="26" t="str">
        <x:v>Baseline 00–34</x:v>
      </x:c>
      <x:c r="F161" s="26" t="str">
        <x:v>Manifiesto externo de paquete</x:v>
      </x:c>
      <x:c r="G161" s="26" t="str">
        <x:v>Open</x:v>
      </x:c>
      <x:c r="H161" s="26" t="str">
        <x:v>RC1</x:v>
      </x:c>
      <x:c r="I161" s="26" t="str">
        <x:v>Final</x:v>
      </x:c>
      <x:c r="J161" s="26" t="str">
        <x:v>Documentation/Integrity</x:v>
      </x:c>
      <x:c r="K161" s="26" t="str">
        <x:v>Markdown validado</x:v>
      </x:c>
      <x:c r="L161" s="26" t="str">
        <x:v>CNS-015</x:v>
      </x:c>
    </x:row>
    <x:row r="162" ht="30" customHeight="1">
      <x:c r="A162" s="26" t="str">
        <x:v>IMP-RC1-0158</x:v>
      </x:c>
      <x:c r="B162" s="26" t="str">
        <x:v>CHG-RC1-CNS-017</x:v>
      </x:c>
      <x:c r="C162" s="26" t="str">
        <x:v>Generar CHECKSUMS_SHA256.txt</x:v>
      </x:c>
      <x:c r="D162" s="26" t="str">
        <x:v>Closure action</x:v>
      </x:c>
      <x:c r="E162" s="26" t="str">
        <x:v>Baseline 00–34</x:v>
      </x:c>
      <x:c r="F162" s="26" t="str">
        <x:v>Checksums de todos los artefactos</x:v>
      </x:c>
      <x:c r="G162" s="26" t="str">
        <x:v>Open</x:v>
      </x:c>
      <x:c r="H162" s="26" t="str">
        <x:v>RC1</x:v>
      </x:c>
      <x:c r="I162" s="26" t="str">
        <x:v>Final</x:v>
      </x:c>
      <x:c r="J162" s="26" t="str">
        <x:v>Integrity</x:v>
      </x:c>
      <x:c r="K162" s="26" t="str">
        <x:v>Verificación hash</x:v>
      </x:c>
      <x:c r="L162" s="26" t="str">
        <x:v>CNS-016</x:v>
      </x:c>
    </x:row>
    <x:row r="163" ht="30" customHeight="1">
      <x:c r="A163" s="26" t="str">
        <x:v>IMP-RC1-0159</x:v>
      </x:c>
      <x:c r="B163" s="26" t="str">
        <x:v>CHG-RC1-CNS-018</x:v>
      </x:c>
      <x:c r="C163" s="26" t="str">
        <x:v>Generar DOCUMENTATION_VALIDATION_REPORT.md</x:v>
      </x:c>
      <x:c r="D163" s="26" t="str">
        <x:v>Closure action</x:v>
      </x:c>
      <x:c r="E163" s="26" t="str">
        <x:v>Baseline 00–34</x:v>
      </x:c>
      <x:c r="F163" s="26" t="str">
        <x:v>Informe PASS/PASS WITH EXCEPTIONS</x:v>
      </x:c>
      <x:c r="G163" s="26" t="str">
        <x:v>Open</x:v>
      </x:c>
      <x:c r="H163" s="26" t="str">
        <x:v>RC1</x:v>
      </x:c>
      <x:c r="I163" s="26" t="str">
        <x:v>Final</x:v>
      </x:c>
      <x:c r="J163" s="26" t="str">
        <x:v>QA/Documentation</x:v>
      </x:c>
      <x:c r="K163" s="26" t="str">
        <x:v>Reporte validado</x:v>
      </x:c>
      <x:c r="L163" s="26" t="str">
        <x:v>CNS-017</x:v>
      </x:c>
    </x:row>
    <x:row r="164" ht="30" customHeight="1">
      <x:c r="A164" s="26" t="str">
        <x:v>IMP-RC1-0160</x:v>
      </x:c>
      <x:c r="B164" s="26" t="str">
        <x:v>CHG-RC1-CNS-019</x:v>
      </x:c>
      <x:c r="C164" s="26" t="str">
        <x:v>Crear y verificar ZIP inmutable</x:v>
      </x:c>
      <x:c r="D164" s="26" t="str">
        <x:v>Closure action</x:v>
      </x:c>
      <x:c r="E164" s="26" t="str">
        <x:v>Baseline 00–34</x:v>
      </x:c>
      <x:c r="F164" s="26" t="str">
        <x:v>ZIP extraído y verificado</x:v>
      </x:c>
      <x:c r="G164" s="26" t="str">
        <x:v>Open</x:v>
      </x:c>
      <x:c r="H164" s="26" t="str">
        <x:v>RC1</x:v>
      </x:c>
      <x:c r="I164" s="26" t="str">
        <x:v>Final</x:v>
      </x:c>
      <x:c r="J164" s="26" t="str">
        <x:v>Release/Integrity</x:v>
      </x:c>
      <x:c r="K164" s="26" t="str">
        <x:v>Hash externo + restore test</x:v>
      </x:c>
      <x:c r="L164" s="26" t="str">
        <x:v>CNS-018</x:v>
      </x:c>
    </x:row>
    <x:row r="165" ht="30" customHeight="1">
      <x:c r="A165" s="26" t="str">
        <x:v>IMP-RC1-0161</x:v>
      </x:c>
      <x:c r="B165" s="26" t="str">
        <x:v>CHG-RC1-CNS-020</x:v>
      </x:c>
      <x:c r="C165" s="26" t="str">
        <x:v>Asociar baseline a commit y tag Git</x:v>
      </x:c>
      <x:c r="D165" s="26" t="str">
        <x:v>Closure action</x:v>
      </x:c>
      <x:c r="E165" s="26" t="str">
        <x:v>Baseline 00–34</x:v>
      </x:c>
      <x:c r="F165" s="26" t="str">
        <x:v>Commit/tag registrados en manifest y handoff</x:v>
      </x:c>
      <x:c r="G165" s="26" t="str">
        <x:v>Open</x:v>
      </x:c>
      <x:c r="H165" s="26" t="str">
        <x:v>RC1</x:v>
      </x:c>
      <x:c r="I165" s="26" t="str">
        <x:v>Final</x:v>
      </x:c>
      <x:c r="J165" s="26" t="str">
        <x:v>Production/Engineering</x:v>
      </x:c>
      <x:c r="K165" s="26" t="str">
        <x:v>Git evidence</x:v>
      </x:c>
      <x:c r="L165" s="26" t="str">
        <x:v>CNS-019</x:v>
      </x:c>
    </x:row>
    <x:row r="166" ht="30" customHeight="1">
      <x:c r="A166" s="26" t="str">
        <x:v>IMP-RC1-0162</x:v>
      </x:c>
      <x:c r="B166" s="26" t="str">
        <x:v>CHG-RC1-CNS-021</x:v>
      </x:c>
      <x:c r="C166" s="26" t="str">
        <x:v>Ejecutar H6 mediante documento 31</x:v>
      </x:c>
      <x:c r="D166" s="26" t="str">
        <x:v>Closure action</x:v>
      </x:c>
      <x:c r="E166" s="26" t="str">
        <x:v>Baseline 00–34</x:v>
      </x:c>
      <x:c r="F166" s="26" t="str">
        <x:v>Controles H6 ejecutados con evidencia</x:v>
      </x:c>
      <x:c r="G166" s="26" t="str">
        <x:v>Open</x:v>
      </x:c>
      <x:c r="H166" s="26" t="str">
        <x:v>RC1</x:v>
      </x:c>
      <x:c r="I166" s="26" t="str">
        <x:v>Final</x:v>
      </x:c>
      <x:c r="J166" s="26" t="str">
        <x:v>Production/QA</x:v>
      </x:c>
      <x:c r="K166" s="26" t="str">
        <x:v>Signoff H6</x:v>
      </x:c>
      <x:c r="L166" s="26" t="str">
        <x:v>CNS-008,CNS-020</x:v>
      </x:c>
    </x:row>
    <x:row r="167" ht="30" customHeight="1">
      <x:c r="A167" s="26" t="str">
        <x:v>IMP-RC1-0163</x:v>
      </x:c>
      <x:c r="B167" s="26" t="str">
        <x:v>CHG-RC1-CNS-022</x:v>
      </x:c>
      <x:c r="C167" s="26" t="str">
        <x:v>Validar continuidad y riesgos mediante documento 33</x:v>
      </x:c>
      <x:c r="D167" s="26" t="str">
        <x:v>Closure action</x:v>
      </x:c>
      <x:c r="E167" s="26" t="str">
        <x:v>Baseline 00–34</x:v>
      </x:c>
      <x:c r="F167" s="26" t="str">
        <x:v>Backups, restores, RTO/RPO y riesgos verificados</x:v>
      </x:c>
      <x:c r="G167" s="26" t="str">
        <x:v>Open</x:v>
      </x:c>
      <x:c r="H167" s="26" t="str">
        <x:v>RC1</x:v>
      </x:c>
      <x:c r="I167" s="26" t="str">
        <x:v>Final</x:v>
      </x:c>
      <x:c r="J167" s="26" t="str">
        <x:v>Risk/Continuity</x:v>
      </x:c>
      <x:c r="K167" s="26" t="str">
        <x:v>Exercise evidence</x:v>
      </x:c>
      <x:c r="L167" s="26" t="str">
        <x:v>CNS-009,CNS-020</x:v>
      </x:c>
    </x:row>
    <x:row r="168">
      <x:c r="A168" s="24" t="str">
        <x:v>IMP-W0-001</x:v>
      </x:c>
      <x:c r="B168" s="24" t="str">
        <x:v>CHG-S17-W0-01</x:v>
      </x:c>
      <x:c r="C168" s="24" t="str">
        <x:v>00_Enfoque_y_Alcance.md</x:v>
      </x:c>
      <x:c r="D168" s="24" t="str">
        <x:v>Contract synchronization</x:v>
      </x:c>
      <x:c r="E168" s="24" t="str">
        <x:v>DEC-01…12</x:v>
      </x:c>
      <x:c r="F168" s="24" t="str">
        <x:v>Alcance H6 y diferidos</x:v>
      </x:c>
      <x:c r="G168" s="24" t="str">
        <x:v>Closed / W0</x:v>
      </x:c>
      <x:c r="H168" s="24" t="str">
        <x:v>Pre-W0</x:v>
      </x:c>
      <x:c r="I168" s="24" t="str">
        <x:v>W0 2026-07-07</x:v>
      </x:c>
      <x:c r="J168" s="24" t="str">
        <x:v>Documentation / discipline</x:v>
      </x:c>
      <x:c r="K168" s="24" t="str">
        <x:v>Content and state review</x:v>
      </x:c>
      <x:c r="L168" s="24" t="str">
        <x:v>W0 baseline efbc1a8</x:v>
      </x:c>
    </x:row>
    <x:row r="169">
      <x:c r="A169" s="24" t="str">
        <x:v>IMP-W0-002</x:v>
      </x:c>
      <x:c r="B169" s="24" t="str">
        <x:v>CHG-S17-W0-02</x:v>
      </x:c>
      <x:c r="C169" s="24" t="str">
        <x:v>01_Game_Design_Document.md</x:v>
      </x:c>
      <x:c r="D169" s="24" t="str">
        <x:v>Contract synchronization</x:v>
      </x:c>
      <x:c r="E169" s="24" t="str">
        <x:v>DEC-01…12</x:v>
      </x:c>
      <x:c r="F169" s="24" t="str">
        <x:v>Reglas funcionales</x:v>
      </x:c>
      <x:c r="G169" s="24" t="str">
        <x:v>Closed / W0</x:v>
      </x:c>
      <x:c r="H169" s="24" t="str">
        <x:v>Pre-W0</x:v>
      </x:c>
      <x:c r="I169" s="24" t="str">
        <x:v>W0 2026-07-07</x:v>
      </x:c>
      <x:c r="J169" s="24" t="str">
        <x:v>Documentation / discipline</x:v>
      </x:c>
      <x:c r="K169" s="24" t="str">
        <x:v>Content and state review</x:v>
      </x:c>
      <x:c r="L169" s="24" t="str">
        <x:v>W0 baseline efbc1a8</x:v>
      </x:c>
    </x:row>
    <x:row r="170">
      <x:c r="A170" s="24" t="str">
        <x:v>IMP-W0-003</x:v>
      </x:c>
      <x:c r="B170" s="24" t="str">
        <x:v>CHG-S17-W0-03</x:v>
      </x:c>
      <x:c r="C170" s="24" t="str">
        <x:v>02_Vertical_Slice_Specification.md</x:v>
      </x:c>
      <x:c r="D170" s="24" t="str">
        <x:v>Contract synchronization</x:v>
      </x:c>
      <x:c r="E170" s="24" t="str">
        <x:v>DEC-01…12</x:v>
      </x:c>
      <x:c r="F170" s="24" t="str">
        <x:v>Criterios de aceptación H6</x:v>
      </x:c>
      <x:c r="G170" s="24" t="str">
        <x:v>Closed / W0</x:v>
      </x:c>
      <x:c r="H170" s="24" t="str">
        <x:v>Pre-W0</x:v>
      </x:c>
      <x:c r="I170" s="24" t="str">
        <x:v>W0 2026-07-07</x:v>
      </x:c>
      <x:c r="J170" s="24" t="str">
        <x:v>Documentation / discipline</x:v>
      </x:c>
      <x:c r="K170" s="24" t="str">
        <x:v>Content and state review</x:v>
      </x:c>
      <x:c r="L170" s="24" t="str">
        <x:v>W0 baseline efbc1a8</x:v>
      </x:c>
    </x:row>
    <x:row r="171">
      <x:c r="A171" s="24" t="str">
        <x:v>IMP-W0-004</x:v>
      </x:c>
      <x:c r="B171" s="24" t="str">
        <x:v>CHG-S17-W0-04</x:v>
      </x:c>
      <x:c r="C171" s="24" t="str">
        <x:v>03_Technical_Design_Document.md</x:v>
      </x:c>
      <x:c r="D171" s="24" t="str">
        <x:v>Contract synchronization</x:v>
      </x:c>
      <x:c r="E171" s="24" t="str">
        <x:v>DEC-01…12</x:v>
      </x:c>
      <x:c r="F171" s="24" t="str">
        <x:v>Contratos técnicos</x:v>
      </x:c>
      <x:c r="G171" s="24" t="str">
        <x:v>Closed / W0</x:v>
      </x:c>
      <x:c r="H171" s="24" t="str">
        <x:v>Pre-W0</x:v>
      </x:c>
      <x:c r="I171" s="24" t="str">
        <x:v>W0 2026-07-07</x:v>
      </x:c>
      <x:c r="J171" s="24" t="str">
        <x:v>Documentation / discipline</x:v>
      </x:c>
      <x:c r="K171" s="24" t="str">
        <x:v>Content and state review</x:v>
      </x:c>
      <x:c r="L171" s="24" t="str">
        <x:v>W0 baseline efbc1a8</x:v>
      </x:c>
    </x:row>
    <x:row r="172">
      <x:c r="A172" s="24" t="str">
        <x:v>IMP-W0-005</x:v>
      </x:c>
      <x:c r="B172" s="24" t="str">
        <x:v>CHG-S17-W0-05</x:v>
      </x:c>
      <x:c r="C172" s="24" t="str">
        <x:v>04_Modelo_de_Datos.md</x:v>
      </x:c>
      <x:c r="D172" s="24" t="str">
        <x:v>Contract synchronization</x:v>
      </x:c>
      <x:c r="E172" s="24" t="str">
        <x:v>DEC-02/03/06/07/09/10/12</x:v>
      </x:c>
      <x:c r="F172" s="24" t="str">
        <x:v>Datos, schema e invariantes</x:v>
      </x:c>
      <x:c r="G172" s="24" t="str">
        <x:v>Closed / W0</x:v>
      </x:c>
      <x:c r="H172" s="24" t="str">
        <x:v>Pre-W0</x:v>
      </x:c>
      <x:c r="I172" s="24" t="str">
        <x:v>W0 2026-07-07</x:v>
      </x:c>
      <x:c r="J172" s="24" t="str">
        <x:v>Documentation / discipline</x:v>
      </x:c>
      <x:c r="K172" s="24" t="str">
        <x:v>Content and state review</x:v>
      </x:c>
      <x:c r="L172" s="24" t="str">
        <x:v>W0 baseline efbc1a8</x:v>
      </x:c>
    </x:row>
    <x:row r="173">
      <x:c r="A173" s="24" t="str">
        <x:v>IMP-W0-006</x:v>
      </x:c>
      <x:c r="B173" s="24" t="str">
        <x:v>CHG-S17-W0-06</x:v>
      </x:c>
      <x:c r="C173" s="24" t="str">
        <x:v>05_UX_Flow.md</x:v>
      </x:c>
      <x:c r="D173" s="24" t="str">
        <x:v>Contract synchronization</x:v>
      </x:c>
      <x:c r="E173" s="24" t="str">
        <x:v>DEC-01/03/04/07/09/11</x:v>
      </x:c>
      <x:c r="F173" s="24" t="str">
        <x:v>Flujos y estados UX</x:v>
      </x:c>
      <x:c r="G173" s="24" t="str">
        <x:v>Closed / W0</x:v>
      </x:c>
      <x:c r="H173" s="24" t="str">
        <x:v>Pre-W0</x:v>
      </x:c>
      <x:c r="I173" s="24" t="str">
        <x:v>W0 2026-07-07</x:v>
      </x:c>
      <x:c r="J173" s="24" t="str">
        <x:v>Documentation / discipline</x:v>
      </x:c>
      <x:c r="K173" s="24" t="str">
        <x:v>Content and state review</x:v>
      </x:c>
      <x:c r="L173" s="24" t="str">
        <x:v>W0 baseline efbc1a8</x:v>
      </x:c>
    </x:row>
    <x:row r="174">
      <x:c r="A174" s="24" t="str">
        <x:v>IMP-W0-007</x:v>
      </x:c>
      <x:c r="B174" s="24" t="str">
        <x:v>CHG-S17-W0-07</x:v>
      </x:c>
      <x:c r="C174" s="24" t="str">
        <x:v>06_Production_Roadmap_y_Sprint_Plan.md</x:v>
      </x:c>
      <x:c r="D174" s="24" t="str">
        <x:v>Contract synchronization</x:v>
      </x:c>
      <x:c r="E174" s="24" t="str">
        <x:v>W0-W8</x:v>
      </x:c>
      <x:c r="F174" s="24" t="str">
        <x:v>Secuencia y estados</x:v>
      </x:c>
      <x:c r="G174" s="24" t="str">
        <x:v>Closed / W0</x:v>
      </x:c>
      <x:c r="H174" s="24" t="str">
        <x:v>Pre-W0</x:v>
      </x:c>
      <x:c r="I174" s="24" t="str">
        <x:v>W0 2026-07-07</x:v>
      </x:c>
      <x:c r="J174" s="24" t="str">
        <x:v>Documentation / discipline</x:v>
      </x:c>
      <x:c r="K174" s="24" t="str">
        <x:v>Content and state review</x:v>
      </x:c>
      <x:c r="L174" s="24" t="str">
        <x:v>W0 baseline efbc1a8</x:v>
      </x:c>
    </x:row>
    <x:row r="175">
      <x:c r="A175" s="24" t="str">
        <x:v>IMP-W0-008</x:v>
      </x:c>
      <x:c r="B175" s="24" t="str">
        <x:v>CHG-S17-W0-08</x:v>
      </x:c>
      <x:c r="C175" s="24" t="str">
        <x:v>07_QA_Testing_Plan.md</x:v>
      </x:c>
      <x:c r="D175" s="24" t="str">
        <x:v>Contract synchronization</x:v>
      </x:c>
      <x:c r="E175" s="24" t="str">
        <x:v>CHAR-*</x:v>
      </x:c>
      <x:c r="F175" s="24" t="str">
        <x:v>Política de caracterización</x:v>
      </x:c>
      <x:c r="G175" s="24" t="str">
        <x:v>Closed / W0</x:v>
      </x:c>
      <x:c r="H175" s="24" t="str">
        <x:v>Pre-W0</x:v>
      </x:c>
      <x:c r="I175" s="24" t="str">
        <x:v>W0 2026-07-07</x:v>
      </x:c>
      <x:c r="J175" s="24" t="str">
        <x:v>Documentation / discipline</x:v>
      </x:c>
      <x:c r="K175" s="24" t="str">
        <x:v>Content and state review</x:v>
      </x:c>
      <x:c r="L175" s="24" t="str">
        <x:v>W0 baseline efbc1a8</x:v>
      </x:c>
    </x:row>
    <x:row r="176">
      <x:c r="A176" s="24" t="str">
        <x:v>IMP-W0-009</x:v>
      </x:c>
      <x:c r="B176" s="24" t="str">
        <x:v>CHG-S17-W0-09</x:v>
      </x:c>
      <x:c r="C176" s="24" t="str">
        <x:v>08_QA_Testing_Matrix.xlsx</x:v>
      </x:c>
      <x:c r="D176" s="24" t="str">
        <x:v>Contract synchronization</x:v>
      </x:c>
      <x:c r="E176" s="24" t="str">
        <x:v>CHAR-*</x:v>
      </x:c>
      <x:c r="F176" s="24" t="str">
        <x:v>66 casos y ejecuciones NOT RUN</x:v>
      </x:c>
      <x:c r="G176" s="24" t="str">
        <x:v>Closed / W0</x:v>
      </x:c>
      <x:c r="H176" s="24" t="str">
        <x:v>Pre-W0</x:v>
      </x:c>
      <x:c r="I176" s="24" t="str">
        <x:v>W0 2026-07-07</x:v>
      </x:c>
      <x:c r="J176" s="24" t="str">
        <x:v>Documentation / discipline</x:v>
      </x:c>
      <x:c r="K176" s="24" t="str">
        <x:v>Content and state review</x:v>
      </x:c>
      <x:c r="L176" s="24" t="str">
        <x:v>W0 baseline efbc1a8</x:v>
      </x:c>
    </x:row>
    <x:row r="177">
      <x:c r="A177" s="24" t="str">
        <x:v>IMP-W0-010</x:v>
      </x:c>
      <x:c r="B177" s="24" t="str">
        <x:v>CHG-S17-W0-10</x:v>
      </x:c>
      <x:c r="C177" s="24" t="str">
        <x:v>10_Unity_Project_Setup_Guide.md</x:v>
      </x:c>
      <x:c r="D177" s="24" t="str">
        <x:v>Contract synchronization</x:v>
      </x:c>
      <x:c r="E177" s="24" t="str">
        <x:v>DEC-11/12</x:v>
      </x:c>
      <x:c r="F177" s="24" t="str">
        <x:v>Settings, pivotes y GroundAnchor</x:v>
      </x:c>
      <x:c r="G177" s="24" t="str">
        <x:v>Closed / W0</x:v>
      </x:c>
      <x:c r="H177" s="24" t="str">
        <x:v>Pre-W0</x:v>
      </x:c>
      <x:c r="I177" s="24" t="str">
        <x:v>W0 2026-07-07</x:v>
      </x:c>
      <x:c r="J177" s="24" t="str">
        <x:v>Documentation / discipline</x:v>
      </x:c>
      <x:c r="K177" s="24" t="str">
        <x:v>Content and state review</x:v>
      </x:c>
      <x:c r="L177" s="24" t="str">
        <x:v>W0 baseline efbc1a8</x:v>
      </x:c>
    </x:row>
    <x:row r="178">
      <x:c r="A178" s="24" t="str">
        <x:v>IMP-W0-011</x:v>
      </x:c>
      <x:c r="B178" s="24" t="str">
        <x:v>CHG-S17-W0-11</x:v>
      </x:c>
      <x:c r="C178" s="24" t="str">
        <x:v>11_Build_y_Versioning_Guide.md</x:v>
      </x:c>
      <x:c r="D178" s="24" t="str">
        <x:v>Contract synchronization</x:v>
      </x:c>
      <x:c r="E178" s="24" t="str">
        <x:v>Baseline/W8</x:v>
      </x:c>
      <x:c r="F178" s="24" t="str">
        <x:v>Commit, versión y build gate</x:v>
      </x:c>
      <x:c r="G178" s="24" t="str">
        <x:v>Closed / W0</x:v>
      </x:c>
      <x:c r="H178" s="24" t="str">
        <x:v>Pre-W0</x:v>
      </x:c>
      <x:c r="I178" s="24" t="str">
        <x:v>W0 2026-07-07</x:v>
      </x:c>
      <x:c r="J178" s="24" t="str">
        <x:v>Documentation / discipline</x:v>
      </x:c>
      <x:c r="K178" s="24" t="str">
        <x:v>Content and state review</x:v>
      </x:c>
      <x:c r="L178" s="24" t="str">
        <x:v>W0 baseline efbc1a8</x:v>
      </x:c>
    </x:row>
    <x:row r="179">
      <x:c r="A179" s="24" t="str">
        <x:v>IMP-W0-012</x:v>
      </x:c>
      <x:c r="B179" s="24" t="str">
        <x:v>CHG-S17-W0-12</x:v>
      </x:c>
      <x:c r="C179" s="24" t="str">
        <x:v>12_Excel_Maestro_de_Produccion.xlsx</x:v>
      </x:c>
      <x:c r="D179" s="24" t="str">
        <x:v>Contract synchronization</x:v>
      </x:c>
      <x:c r="E179" s="24" t="str">
        <x:v>ADR-0074…0085</x:v>
      </x:c>
      <x:c r="F179" s="24" t="str">
        <x:v>Plan y estado operativo</x:v>
      </x:c>
      <x:c r="G179" s="24" t="str">
        <x:v>Closed / W0</x:v>
      </x:c>
      <x:c r="H179" s="24" t="str">
        <x:v>Pre-W0</x:v>
      </x:c>
      <x:c r="I179" s="24" t="str">
        <x:v>W0 2026-07-07</x:v>
      </x:c>
      <x:c r="J179" s="24" t="str">
        <x:v>Documentation / discipline</x:v>
      </x:c>
      <x:c r="K179" s="24" t="str">
        <x:v>Content and state review</x:v>
      </x:c>
      <x:c r="L179" s="24" t="str">
        <x:v>W0 baseline efbc1a8</x:v>
      </x:c>
    </x:row>
    <x:row r="180">
      <x:c r="A180" s="24" t="str">
        <x:v>IMP-W0-013</x:v>
      </x:c>
      <x:c r="B180" s="24" t="str">
        <x:v>CHG-S17-W0-12</x:v>
      </x:c>
      <x:c r="C180" s="24" t="str">
        <x:v>13_Trazabilidad_y_Control_de_Cambios.xlsx</x:v>
      </x:c>
      <x:c r="D180" s="24" t="str">
        <x:v>Contract synchronization</x:v>
      </x:c>
      <x:c r="E180" s="24" t="str">
        <x:v>ADR-0074…0085</x:v>
      </x:c>
      <x:c r="F180" s="24" t="str">
        <x:v>Autoridad de cambio</x:v>
      </x:c>
      <x:c r="G180" s="24" t="str">
        <x:v>Closed / W0</x:v>
      </x:c>
      <x:c r="H180" s="24" t="str">
        <x:v>Pre-W0</x:v>
      </x:c>
      <x:c r="I180" s="24" t="str">
        <x:v>W0 2026-07-07</x:v>
      </x:c>
      <x:c r="J180" s="24" t="str">
        <x:v>Documentation / discipline</x:v>
      </x:c>
      <x:c r="K180" s="24" t="str">
        <x:v>Content and state review</x:v>
      </x:c>
      <x:c r="L180" s="24" t="str">
        <x:v>W0 baseline efbc1a8</x:v>
      </x:c>
    </x:row>
    <x:row r="181">
      <x:c r="A181" s="24" t="str">
        <x:v>IMP-W0-014</x:v>
      </x:c>
      <x:c r="B181" s="24" t="str">
        <x:v>CHG-S17-W0-12</x:v>
      </x:c>
      <x:c r="C181" s="24" t="str">
        <x:v>14_Project_Binder_Indice_Maestro.md</x:v>
      </x:c>
      <x:c r="D181" s="24" t="str">
        <x:v>Contract synchronization</x:v>
      </x:c>
      <x:c r="E181" s="24" t="str">
        <x:v>ADR-0074…0085</x:v>
      </x:c>
      <x:c r="F181" s="24" t="str">
        <x:v>Índice y autoridad</x:v>
      </x:c>
      <x:c r="G181" s="24" t="str">
        <x:v>Closed / W0</x:v>
      </x:c>
      <x:c r="H181" s="24" t="str">
        <x:v>Pre-W0</x:v>
      </x:c>
      <x:c r="I181" s="24" t="str">
        <x:v>W0 2026-07-07</x:v>
      </x:c>
      <x:c r="J181" s="24" t="str">
        <x:v>Documentation / discipline</x:v>
      </x:c>
      <x:c r="K181" s="24" t="str">
        <x:v>Content and state review</x:v>
      </x:c>
      <x:c r="L181" s="24" t="str">
        <x:v>W0 baseline efbc1a8</x:v>
      </x:c>
    </x:row>
    <x:row r="182">
      <x:c r="A182" s="24" t="str">
        <x:v>IMP-W0-015</x:v>
      </x:c>
      <x:c r="B182" s="24" t="str">
        <x:v>CHG-S17-W0-12</x:v>
      </x:c>
      <x:c r="C182" s="24" t="str">
        <x:v>15_Guia_Maestra.md</x:v>
      </x:c>
      <x:c r="D182" s="24" t="str">
        <x:v>Contract synchronization</x:v>
      </x:c>
      <x:c r="E182" s="24" t="str">
        <x:v>W0-W8</x:v>
      </x:c>
      <x:c r="F182" s="24" t="str">
        <x:v>Procedimiento operativo</x:v>
      </x:c>
      <x:c r="G182" s="24" t="str">
        <x:v>Closed / W0</x:v>
      </x:c>
      <x:c r="H182" s="24" t="str">
        <x:v>Pre-W0</x:v>
      </x:c>
      <x:c r="I182" s="24" t="str">
        <x:v>W0 2026-07-07</x:v>
      </x:c>
      <x:c r="J182" s="24" t="str">
        <x:v>Documentation / discipline</x:v>
      </x:c>
      <x:c r="K182" s="24" t="str">
        <x:v>Content and state review</x:v>
      </x:c>
      <x:c r="L182" s="24" t="str">
        <x:v>W0 baseline efbc1a8</x:v>
      </x:c>
    </x:row>
    <x:row r="183">
      <x:c r="A183" s="24" t="str">
        <x:v>IMP-W0-016</x:v>
      </x:c>
      <x:c r="B183" s="24" t="str">
        <x:v>CHG-S17-W0-12</x:v>
      </x:c>
      <x:c r="C183" s="24" t="str">
        <x:v>16_Auditoria_Global_de_Coherencia.md</x:v>
      </x:c>
      <x:c r="D183" s="24" t="str">
        <x:v>Contract synchronization</x:v>
      </x:c>
      <x:c r="E183" s="24" t="str">
        <x:v>W0</x:v>
      </x:c>
      <x:c r="F183" s="24" t="str">
        <x:v>Auditoría de decisión vs implementación</x:v>
      </x:c>
      <x:c r="G183" s="24" t="str">
        <x:v>Closed / W0</x:v>
      </x:c>
      <x:c r="H183" s="24" t="str">
        <x:v>Pre-W0</x:v>
      </x:c>
      <x:c r="I183" s="24" t="str">
        <x:v>W0 2026-07-07</x:v>
      </x:c>
      <x:c r="J183" s="24" t="str">
        <x:v>Documentation / discipline</x:v>
      </x:c>
      <x:c r="K183" s="24" t="str">
        <x:v>Content and state review</x:v>
      </x:c>
      <x:c r="L183" s="24" t="str">
        <x:v>W0 baseline efbc1a8</x:v>
      </x:c>
    </x:row>
    <x:row r="184">
      <x:c r="A184" s="24" t="str">
        <x:v>IMP-W0-017</x:v>
      </x:c>
      <x:c r="B184" s="24" t="str">
        <x:v>CHG-S17-W0-12</x:v>
      </x:c>
      <x:c r="C184" s="24" t="str">
        <x:v>17_Art_Bible.md</x:v>
      </x:c>
      <x:c r="D184" s="24" t="str">
        <x:v>Contract synchronization</x:v>
      </x:c>
      <x:c r="E184" s="24" t="str">
        <x:v>DEC-11/12</x:v>
      </x:c>
      <x:c r="F184" s="24" t="str">
        <x:v>Autoría y presentación</x:v>
      </x:c>
      <x:c r="G184" s="24" t="str">
        <x:v>Closed / W0</x:v>
      </x:c>
      <x:c r="H184" s="24" t="str">
        <x:v>Pre-W0</x:v>
      </x:c>
      <x:c r="I184" s="24" t="str">
        <x:v>W0 2026-07-07</x:v>
      </x:c>
      <x:c r="J184" s="24" t="str">
        <x:v>Documentation / discipline</x:v>
      </x:c>
      <x:c r="K184" s="24" t="str">
        <x:v>Content and state review</x:v>
      </x:c>
      <x:c r="L184" s="24" t="str">
        <x:v>W0 baseline efbc1a8</x:v>
      </x:c>
    </x:row>
    <x:row r="185">
      <x:c r="A185" s="24" t="str">
        <x:v>IMP-W0-018</x:v>
      </x:c>
      <x:c r="B185" s="24" t="str">
        <x:v>CHG-S17-W0-12</x:v>
      </x:c>
      <x:c r="C185" s="24" t="str">
        <x:v>19_UI_Style_Guide.md</x:v>
      </x:c>
      <x:c r="D185" s="24" t="str">
        <x:v>Contract synchronization</x:v>
      </x:c>
      <x:c r="E185" s="24" t="str">
        <x:v>DEC-01/03/04/07/09/11</x:v>
      </x:c>
      <x:c r="F185" s="24" t="str">
        <x:v>Componentes UI</x:v>
      </x:c>
      <x:c r="G185" s="24" t="str">
        <x:v>Closed / W0</x:v>
      </x:c>
      <x:c r="H185" s="24" t="str">
        <x:v>Pre-W0</x:v>
      </x:c>
      <x:c r="I185" s="24" t="str">
        <x:v>W0 2026-07-07</x:v>
      </x:c>
      <x:c r="J185" s="24" t="str">
        <x:v>Documentation / discipline</x:v>
      </x:c>
      <x:c r="K185" s="24" t="str">
        <x:v>Content and state review</x:v>
      </x:c>
      <x:c r="L185" s="24" t="str">
        <x:v>W0 baseline efbc1a8</x:v>
      </x:c>
    </x:row>
    <x:row r="186">
      <x:c r="A186" s="24" t="str">
        <x:v>IMP-W0-019</x:v>
      </x:c>
      <x:c r="B186" s="24" t="str">
        <x:v>CHG-S17-W0-12</x:v>
      </x:c>
      <x:c r="C186" s="24" t="str">
        <x:v>20_Economy_and_Balance_Specification.md</x:v>
      </x:c>
      <x:c r="D186" s="24" t="str">
        <x:v>Contract synchronization</x:v>
      </x:c>
      <x:c r="E186" s="24" t="str">
        <x:v>DEC-06/07/10</x:v>
      </x:c>
      <x:c r="F186" s="24" t="str">
        <x:v>Economía y ledger</x:v>
      </x:c>
      <x:c r="G186" s="24" t="str">
        <x:v>Closed / W0</x:v>
      </x:c>
      <x:c r="H186" s="24" t="str">
        <x:v>Pre-W0</x:v>
      </x:c>
      <x:c r="I186" s="24" t="str">
        <x:v>W0 2026-07-07</x:v>
      </x:c>
      <x:c r="J186" s="24" t="str">
        <x:v>Documentation / discipline</x:v>
      </x:c>
      <x:c r="K186" s="24" t="str">
        <x:v>Content and state review</x:v>
      </x:c>
      <x:c r="L186" s="24" t="str">
        <x:v>W0 baseline efbc1a8</x:v>
      </x:c>
    </x:row>
    <x:row r="187">
      <x:c r="A187" s="24" t="str">
        <x:v>IMP-W0-020</x:v>
      </x:c>
      <x:c r="B187" s="24" t="str">
        <x:v>CHG-S17-W0-12</x:v>
      </x:c>
      <x:c r="C187" s="24" t="str">
        <x:v>29_Accessibility_and_Inclusive_Design_Plan.md</x:v>
      </x:c>
      <x:c r="D187" s="24" t="str">
        <x:v>Contract synchronization</x:v>
      </x:c>
      <x:c r="E187" s="24" t="str">
        <x:v>DEC-01/03/04/09/11/12</x:v>
      </x:c>
      <x:c r="F187" s="24" t="str">
        <x:v>Accesibilidad y resoluciones</x:v>
      </x:c>
      <x:c r="G187" s="24" t="str">
        <x:v>Closed / W0</x:v>
      </x:c>
      <x:c r="H187" s="24" t="str">
        <x:v>Pre-W0</x:v>
      </x:c>
      <x:c r="I187" s="24" t="str">
        <x:v>W0 2026-07-07</x:v>
      </x:c>
      <x:c r="J187" s="24" t="str">
        <x:v>Documentation / discipline</x:v>
      </x:c>
      <x:c r="K187" s="24" t="str">
        <x:v>Content and state review</x:v>
      </x:c>
      <x:c r="L187" s="24" t="str">
        <x:v>W0 baseline efbc1a8</x:v>
      </x:c>
    </x:row>
    <x:row r="188">
      <x:c r="A188" s="24" t="str">
        <x:v>IMP-W0-021</x:v>
      </x:c>
      <x:c r="B188" s="24" t="str">
        <x:v>CHG-S17-W0-12</x:v>
      </x:c>
      <x:c r="C188" s="24" t="str">
        <x:v>30_Performance_and_Optimization_Plan.md</x:v>
      </x:c>
      <x:c r="D188" s="24" t="str">
        <x:v>Contract synchronization</x:v>
      </x:c>
      <x:c r="E188" s="24" t="str">
        <x:v>DEC-01/02/05/11/12</x:v>
      </x:c>
      <x:c r="F188" s="24" t="str">
        <x:v>Escenarios y métricas</x:v>
      </x:c>
      <x:c r="G188" s="24" t="str">
        <x:v>Closed / W0</x:v>
      </x:c>
      <x:c r="H188" s="24" t="str">
        <x:v>Pre-W0</x:v>
      </x:c>
      <x:c r="I188" s="24" t="str">
        <x:v>W0 2026-07-07</x:v>
      </x:c>
      <x:c r="J188" s="24" t="str">
        <x:v>Documentation / discipline</x:v>
      </x:c>
      <x:c r="K188" s="24" t="str">
        <x:v>Content and state review</x:v>
      </x:c>
      <x:c r="L188" s="24" t="str">
        <x:v>W0 baseline efbc1a8</x:v>
      </x:c>
    </x:row>
    <x:row r="189">
      <x:c r="A189" s="24" t="str">
        <x:v>IMP-W0-022</x:v>
      </x:c>
      <x:c r="B189" s="24" t="str">
        <x:v>CHG-S17-W0-12</x:v>
      </x:c>
      <x:c r="C189" s="24" t="str">
        <x:v>31_H6_and_Release_Readiness_Checklist.xlsx</x:v>
      </x:c>
      <x:c r="D189" s="24" t="str">
        <x:v>Contract synchronization</x:v>
      </x:c>
      <x:c r="E189" s="24" t="str">
        <x:v>CHAR-* / W0</x:v>
      </x:c>
      <x:c r="F189" s="24" t="str">
        <x:v>Gates H6</x:v>
      </x:c>
      <x:c r="G189" s="24" t="str">
        <x:v>Closed / W0</x:v>
      </x:c>
      <x:c r="H189" s="24" t="str">
        <x:v>Pre-W0</x:v>
      </x:c>
      <x:c r="I189" s="24" t="str">
        <x:v>W0 2026-07-07</x:v>
      </x:c>
      <x:c r="J189" s="24" t="str">
        <x:v>Documentation / discipline</x:v>
      </x:c>
      <x:c r="K189" s="24" t="str">
        <x:v>Content and state review</x:v>
      </x:c>
      <x:c r="L189" s="24" t="str">
        <x:v>W0 baseline efbc1a8</x:v>
      </x:c>
    </x:row>
    <x:row r="190">
      <x:c r="A190" s="24" t="str">
        <x:v>IMP-W0-023</x:v>
      </x:c>
      <x:c r="B190" s="24" t="str">
        <x:v>CHG-S17-W0-12</x:v>
      </x:c>
      <x:c r="C190" s="24" t="str">
        <x:v>32_Documentation_Baseline_Manifest.xlsx</x:v>
      </x:c>
      <x:c r="D190" s="24" t="str">
        <x:v>Contract synchronization</x:v>
      </x:c>
      <x:c r="E190" s="24" t="str">
        <x:v>W0 baseline</x:v>
      </x:c>
      <x:c r="F190" s="24" t="str">
        <x:v>Manifiesto candidato</x:v>
      </x:c>
      <x:c r="G190" s="24" t="str">
        <x:v>Closed / W0</x:v>
      </x:c>
      <x:c r="H190" s="24" t="str">
        <x:v>Pre-W0</x:v>
      </x:c>
      <x:c r="I190" s="24" t="str">
        <x:v>W0 2026-07-07</x:v>
      </x:c>
      <x:c r="J190" s="24" t="str">
        <x:v>Documentation / discipline</x:v>
      </x:c>
      <x:c r="K190" s="24" t="str">
        <x:v>Content and state review</x:v>
      </x:c>
      <x:c r="L190" s="24" t="str">
        <x:v>W0 baseline efbc1a8</x:v>
      </x:c>
    </x:row>
    <x:row r="191">
      <x:c r="A191" s="24" t="str">
        <x:v>IMP-W0-024</x:v>
      </x:c>
      <x:c r="B191" s="24" t="str">
        <x:v>CHG-S17-W0-12</x:v>
      </x:c>
      <x:c r="C191" s="24" t="str">
        <x:v>33_Project_Risk_Register_and_Business_Continuity_Plan.xlsx</x:v>
      </x:c>
      <x:c r="D191" s="24" t="str">
        <x:v>Contract synchronization</x:v>
      </x:c>
      <x:c r="E191" s="24" t="str">
        <x:v>W0 risks</x:v>
      </x:c>
      <x:c r="F191" s="24" t="str">
        <x:v>Riesgos y tratamientos</x:v>
      </x:c>
      <x:c r="G191" s="24" t="str">
        <x:v>Closed / W0</x:v>
      </x:c>
      <x:c r="H191" s="24" t="str">
        <x:v>Pre-W0</x:v>
      </x:c>
      <x:c r="I191" s="24" t="str">
        <x:v>W0 2026-07-07</x:v>
      </x:c>
      <x:c r="J191" s="24" t="str">
        <x:v>Documentation / discipline</x:v>
      </x:c>
      <x:c r="K191" s="24" t="str">
        <x:v>Content and state review</x:v>
      </x:c>
      <x:c r="L191" s="24" t="str">
        <x:v>W0 baseline efbc1a8</x:v>
      </x:c>
    </x:row>
    <x:row r="192">
      <x:c r="A192" s="24" t="str">
        <x:v>IMP-W0-025</x:v>
      </x:c>
      <x:c r="B192" s="24" t="str">
        <x:v>CHG-S17-W0-12</x:v>
      </x:c>
      <x:c r="C192" s="24" t="str">
        <x:v>34_Final_Handoff_and_Project_Operations_Manual.md</x:v>
      </x:c>
      <x:c r="D192" s="24" t="str">
        <x:v>Contract synchronization</x:v>
      </x:c>
      <x:c r="E192" s="24" t="str">
        <x:v>W0 baseline</x:v>
      </x:c>
      <x:c r="F192" s="24" t="str">
        <x:v>Retoma y handoff</x:v>
      </x:c>
      <x:c r="G192" s="24" t="str">
        <x:v>Closed / W0</x:v>
      </x:c>
      <x:c r="H192" s="24" t="str">
        <x:v>Pre-W0</x:v>
      </x:c>
      <x:c r="I192" s="24" t="str">
        <x:v>W0 2026-07-07</x:v>
      </x:c>
      <x:c r="J192" s="24" t="str">
        <x:v>Documentation / discipline</x:v>
      </x:c>
      <x:c r="K192" s="24" t="str">
        <x:v>Content and state review</x:v>
      </x:c>
      <x:c r="L192" s="24" t="str">
        <x:v>W0 baseline efbc1a8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0" hidden="0" customWidth="1"/>
    <x:col min="10" max="10" width="18" hidden="0" customWidth="1"/>
    <x:col min="11" max="11" width="18" hidden="0" customWidth="1"/>
    <x:col min="12" max="12" width="64" hidden="0" customWidth="1"/>
    <x:col min="13" max="13" width="18" hidden="0" customWidth="1"/>
    <x:col min="14" max="14" width="18" hidden="0" customWidth="1"/>
    <x:col min="15" max="15" width="6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31" t="str">
        <x:v>Versiones de documentos 00–34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</x:row>
    <x:row r="2" ht="32" customHeight="1">
      <x:c r="A2" s="35" t="str">
        <x:v>Estado físico, readiness, hashes actuales/preconsolidación, autoridad y change ID.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</x:row>
    <x:row r="4" ht="30" customHeight="1">
      <x:c r="A4" s="40" t="str">
        <x:v>Document ID</x:v>
      </x:c>
      <x:c r="B4" s="40" t="str">
        <x:v>Documento</x:v>
      </x:c>
      <x:c r="C4" s="40" t="str">
        <x:v>Familia</x:v>
      </x:c>
      <x:c r="D4" s="40" t="str">
        <x:v>Versión candidata</x:v>
      </x:c>
      <x:c r="E4" s="40" t="str">
        <x:v>Fecha</x:v>
      </x:c>
      <x:c r="F4" s="40" t="str">
        <x:v>Estado físico</x:v>
      </x:c>
      <x:c r="G4" s="40" t="str">
        <x:v>Lifecycle</x:v>
      </x:c>
      <x:c r="H4" s="40" t="str">
        <x:v>Readiness</x:v>
      </x:c>
      <x:c r="I4" s="40" t="str">
        <x:v>Acción requerida</x:v>
      </x:c>
      <x:c r="J4" s="40" t="str">
        <x:v>Owner</x:v>
      </x:c>
      <x:c r="K4" s="40" t="str">
        <x:v>Bytes actuales</x:v>
      </x:c>
      <x:c r="L4" s="40" t="str">
        <x:v>SHA-256 actual</x:v>
      </x:c>
      <x:c r="M4" s="40" t="str">
        <x:v>Hash State</x:v>
      </x:c>
      <x:c r="N4" s="40" t="str">
        <x:v>Bytes preconsolidación</x:v>
      </x:c>
      <x:c r="O4" s="40" t="str">
        <x:v>SHA-256 preconsolidación</x:v>
      </x:c>
      <x:c r="P4" s="40" t="str">
        <x:v>Cambió desde freeze</x:v>
      </x:c>
      <x:c r="Q4" s="40" t="str">
        <x:v>Raíz histórica</x:v>
      </x:c>
      <x:c r="R4" s="40" t="str">
        <x:v>Versiones históricas</x:v>
      </x:c>
      <x:c r="S4" s="40" t="str">
        <x:v>Formatos históricos</x:v>
      </x:c>
      <x:c r="T4" s="40" t="str">
        <x:v>Autoridad</x:v>
      </x:c>
      <x:c r="U4" s="40" t="str">
        <x:v>Gate</x:v>
      </x:c>
      <x:c r="V4" s="40" t="str">
        <x:v>Change ID</x:v>
      </x:c>
      <x:c r="W4" s="40" t="str">
        <x:v>Notas</x:v>
      </x:c>
    </x:row>
    <x:row r="5" ht="30" customHeight="1">
      <x:c r="A5" s="26" t="str">
        <x:v>00</x:v>
      </x:c>
      <x:c r="B5" s="26" t="str">
        <x:v>00_Enfoque_y_Alcance.md</x:v>
      </x:c>
      <x:c r="C5" s="26" t="str">
        <x:v>Product Direction</x:v>
      </x:c>
      <x:c r="D5" s="26" t="str">
        <x:v>1.0</x:v>
      </x:c>
      <x:c r="E5" s="26" t="str">
        <x:v>2026-07-01</x:v>
      </x:c>
      <x:c r="F5" s="26" t="str">
        <x:v>PRESENT</x:v>
      </x:c>
      <x:c r="G5" s="26" t="str">
        <x:v>CURRENT CANDIDATE</x:v>
      </x:c>
      <x:c r="H5" s="26" t="str">
        <x:v>READY</x:v>
      </x:c>
      <x:c r="I5" s="26" t="str">
        <x:v>No action except propagated corrections</x:v>
      </x:c>
      <x:c r="J5" s="26" t="str">
        <x:v>VRM Games</x:v>
      </x:c>
      <x:c r="K5" s="26" t="n">
        <x:v>127401</x:v>
      </x:c>
      <x:c r="L5" s="26" t="str">
        <x:v>63dd6f0f1b9c2c80be2aec55718d18d9d031ce4acb14f677769d6e69ceaad21f</x:v>
      </x:c>
      <x:c r="M5" s="26" t="str">
        <x:v>VERIFIED CURRENT</x:v>
      </x:c>
      <x:c r="N5" s="26" t="n">
        <x:v>127401</x:v>
      </x:c>
      <x:c r="O5" s="26" t="str">
        <x:v>63dd6f0f1b9c2c80be2aec55718d18d9d031ce4acb14f677769d6e69ceaad21f</x:v>
      </x:c>
      <x:c r="P5" s="26" t="str">
        <x:v>NO</x:v>
      </x:c>
      <x:c r="Q5" s="26" t="str">
        <x:v>Enfoque v0.6/v0.7 y declaraciones de alcance previas</x:v>
      </x:c>
      <x:c r="R5" s="26" t="str">
        <x:v>v0.3, v0.4, v0.5, v0.6</x:v>
      </x:c>
      <x:c r="S5" s="26" t="str">
        <x:v>Markdown, PDF</x:v>
      </x:c>
      <x:c r="T5" s="26" t="str">
        <x:v>Current consolidated authority</x:v>
      </x:c>
      <x:c r="U5" s="26" t="str">
        <x:v>Documentation baseline</x:v>
      </x:c>
      <x:c r="V5" s="26" t="str">
        <x:v>CHG-RC1-DOC-00</x:v>
      </x:c>
      <x:c r="W5" s="26"/>
    </x:row>
    <x:row r="6" ht="30" customHeight="1">
      <x:c r="A6" s="26" t="str">
        <x:v>01</x:v>
      </x:c>
      <x:c r="B6" s="26" t="str">
        <x:v>01_Game_Design_Document.md</x:v>
      </x:c>
      <x:c r="C6" s="26" t="str">
        <x:v>Game Design</x:v>
      </x:c>
      <x:c r="D6" s="26" t="str">
        <x:v>1.0</x:v>
      </x:c>
      <x:c r="E6" s="26" t="str">
        <x:v>2026-07-01</x:v>
      </x:c>
      <x:c r="F6" s="26" t="str">
        <x:v>PRESENT</x:v>
      </x:c>
      <x:c r="G6" s="26" t="str">
        <x:v>CURRENT CANDIDATE</x:v>
      </x:c>
      <x:c r="H6" s="26" t="str">
        <x:v>READY</x:v>
      </x:c>
      <x:c r="I6" s="26" t="str">
        <x:v>No action except propagated corrections</x:v>
      </x:c>
      <x:c r="J6" s="26" t="str">
        <x:v>VRM Games</x:v>
      </x:c>
      <x:c r="K6" s="26" t="n">
        <x:v>132822</x:v>
      </x:c>
      <x:c r="L6" s="26" t="str">
        <x:v>a9cd9e3203abc5269c25c59dc7f626b0771df4ec2d65e781109ff146bceb2177</x:v>
      </x:c>
      <x:c r="M6" s="26" t="str">
        <x:v>VERIFIED CURRENT</x:v>
      </x:c>
      <x:c r="N6" s="26" t="n">
        <x:v>132822</x:v>
      </x:c>
      <x:c r="O6" s="26" t="str">
        <x:v>a9cd9e3203abc5269c25c59dc7f626b0771df4ec2d65e781109ff146bceb2177</x:v>
      </x:c>
      <x:c r="P6" s="26" t="str">
        <x:v>NO</x:v>
      </x:c>
      <x:c r="Q6" s="26" t="str">
        <x:v>GDD v0.4–v0.6 PC/Steam</x:v>
      </x:c>
      <x:c r="R6" s="26" t="str">
        <x:v>v0.3, v0.4, v0.5, v0.6</x:v>
      </x:c>
      <x:c r="S6" s="26" t="str">
        <x:v>Markdown, PDF</x:v>
      </x:c>
      <x:c r="T6" s="26" t="str">
        <x:v>Current consolidated authority</x:v>
      </x:c>
      <x:c r="U6" s="26" t="str">
        <x:v>Documentation baseline</x:v>
      </x:c>
      <x:c r="V6" s="26" t="str">
        <x:v>CHG-RC1-DOC-01</x:v>
      </x:c>
      <x:c r="W6" s="26"/>
    </x:row>
    <x:row r="7" ht="30" customHeight="1">
      <x:c r="A7" s="26" t="str">
        <x:v>02</x:v>
      </x:c>
      <x:c r="B7" s="26" t="str">
        <x:v>02_Vertical_Slice_Specification.md</x:v>
      </x:c>
      <x:c r="C7" s="26" t="str">
        <x:v>Scope/Acceptance</x:v>
      </x:c>
      <x:c r="D7" s="26" t="str">
        <x:v>1.0</x:v>
      </x:c>
      <x:c r="E7" s="26" t="str">
        <x:v>2026-07-01</x:v>
      </x:c>
      <x:c r="F7" s="26" t="str">
        <x:v>PRESENT</x:v>
      </x:c>
      <x:c r="G7" s="26" t="str">
        <x:v>CURRENT CANDIDATE</x:v>
      </x:c>
      <x:c r="H7" s="26" t="str">
        <x:v>READY</x:v>
      </x:c>
      <x:c r="I7" s="26" t="str">
        <x:v>No action except propagated corrections</x:v>
      </x:c>
      <x:c r="J7" s="26" t="str">
        <x:v>VRM Games</x:v>
      </x:c>
      <x:c r="K7" s="26" t="n">
        <x:v>64531</x:v>
      </x:c>
      <x:c r="L7" s="26" t="str">
        <x:v>75893f130116e88a08b8da5590dd81876a234581081eafaa8d08374c1a60513f</x:v>
      </x:c>
      <x:c r="M7" s="26" t="str">
        <x:v>VERIFIED CURRENT</x:v>
      </x:c>
      <x:c r="N7" s="26" t="n">
        <x:v>64531</x:v>
      </x:c>
      <x:c r="O7" s="26" t="str">
        <x:v>75893f130116e88a08b8da5590dd81876a234581081eafaa8d08374c1a60513f</x:v>
      </x:c>
      <x:c r="P7" s="26" t="str">
        <x:v>NO</x:v>
      </x:c>
      <x:c r="Q7" s="26" t="str">
        <x:v>Vertical Slice Specification v0.1–v0.4</x:v>
      </x:c>
      <x:c r="R7" s="26" t="str">
        <x:v>v0.3, v0.4, v0.5, v0.6</x:v>
      </x:c>
      <x:c r="S7" s="26" t="str">
        <x:v>Markdown, PDF</x:v>
      </x:c>
      <x:c r="T7" s="26" t="str">
        <x:v>Current consolidated authority</x:v>
      </x:c>
      <x:c r="U7" s="26" t="str">
        <x:v>Documentation baseline</x:v>
      </x:c>
      <x:c r="V7" s="26" t="str">
        <x:v>CHG-RC1-DOC-02</x:v>
      </x:c>
      <x:c r="W7" s="26"/>
    </x:row>
    <x:row r="8" ht="30" customHeight="1">
      <x:c r="A8" s="26" t="str">
        <x:v>03</x:v>
      </x:c>
      <x:c r="B8" s="26" t="str">
        <x:v>03_Technical_Design_Document.md</x:v>
      </x:c>
      <x:c r="C8" s="26" t="str">
        <x:v>Architecture</x:v>
      </x:c>
      <x:c r="D8" s="26" t="str">
        <x:v>1.0</x:v>
      </x:c>
      <x:c r="E8" s="26" t="str">
        <x:v>2026-07-01</x:v>
      </x:c>
      <x:c r="F8" s="26" t="str">
        <x:v>PRESENT</x:v>
      </x:c>
      <x:c r="G8" s="26" t="str">
        <x:v>CURRENT CANDIDATE</x:v>
      </x:c>
      <x:c r="H8" s="26" t="str">
        <x:v>READY</x:v>
      </x:c>
      <x:c r="I8" s="26" t="str">
        <x:v>No action except propagated corrections</x:v>
      </x:c>
      <x:c r="J8" s="26" t="str">
        <x:v>VRM Games</x:v>
      </x:c>
      <x:c r="K8" s="26" t="n">
        <x:v>101994</x:v>
      </x:c>
      <x:c r="L8" s="26" t="str">
        <x:v>66264703c5ff4959d03093690e9845a98ec0e5025e685b9a639ac8cbb616cd12</x:v>
      </x:c>
      <x:c r="M8" s="26" t="str">
        <x:v>VERIFIED CURRENT</x:v>
      </x:c>
      <x:c r="N8" s="26" t="n">
        <x:v>101994</x:v>
      </x:c>
      <x:c r="O8" s="26" t="str">
        <x:v>66264703c5ff4959d03093690e9845a98ec0e5025e685b9a639ac8cbb616cd12</x:v>
      </x:c>
      <x:c r="P8" s="26" t="str">
        <x:v>NO</x:v>
      </x:c>
      <x:c r="Q8" s="26" t="str">
        <x:v>TDD v0.3–v0.6</x:v>
      </x:c>
      <x:c r="R8" s="26" t="str">
        <x:v>v0.3, v0.4, v0.5, v0.6</x:v>
      </x:c>
      <x:c r="S8" s="26" t="str">
        <x:v>Markdown, PDF</x:v>
      </x:c>
      <x:c r="T8" s="26" t="str">
        <x:v>Current consolidated authority</x:v>
      </x:c>
      <x:c r="U8" s="26" t="str">
        <x:v>Documentation baseline</x:v>
      </x:c>
      <x:c r="V8" s="26" t="str">
        <x:v>CHG-RC1-DOC-03</x:v>
      </x:c>
      <x:c r="W8" s="26"/>
    </x:row>
    <x:row r="9" ht="30" customHeight="1">
      <x:c r="A9" s="26" t="str">
        <x:v>04</x:v>
      </x:c>
      <x:c r="B9" s="26" t="str">
        <x:v>04_Modelo_de_Datos.md</x:v>
      </x:c>
      <x:c r="C9" s="26" t="str">
        <x:v>Data</x:v>
      </x:c>
      <x:c r="D9" s="26" t="str">
        <x:v>1.0</x:v>
      </x:c>
      <x:c r="E9" s="26" t="str">
        <x:v>2026-07-01</x:v>
      </x:c>
      <x:c r="F9" s="26" t="str">
        <x:v>PRESENT</x:v>
      </x:c>
      <x:c r="G9" s="26" t="str">
        <x:v>CURRENT CANDIDATE</x:v>
      </x:c>
      <x:c r="H9" s="26" t="str">
        <x:v>READY</x:v>
      </x:c>
      <x:c r="I9" s="26" t="str">
        <x:v>No action except propagated corrections</x:v>
      </x:c>
      <x:c r="J9" s="26" t="str">
        <x:v>VRM Games</x:v>
      </x:c>
      <x:c r="K9" s="26" t="n">
        <x:v>102948</x:v>
      </x:c>
      <x:c r="L9" s="26" t="str">
        <x:v>d851a72b55742c2c704cc7c002929bc5894e7142511c6af843440bb193fb19d4</x:v>
      </x:c>
      <x:c r="M9" s="26" t="str">
        <x:v>VERIFIED CURRENT</x:v>
      </x:c>
      <x:c r="N9" s="26" t="n">
        <x:v>102948</x:v>
      </x:c>
      <x:c r="O9" s="26" t="str">
        <x:v>d851a72b55742c2c704cc7c002929bc5894e7142511c6af843440bb193fb19d4</x:v>
      </x:c>
      <x:c r="P9" s="26" t="str">
        <x:v>NO</x:v>
      </x:c>
      <x:c r="Q9" s="26" t="str">
        <x:v>Modelo de Datos v0.3–v0.6</x:v>
      </x:c>
      <x:c r="R9" s="26" t="str">
        <x:v>v0.3, v0.4, v0.5, v0.6</x:v>
      </x:c>
      <x:c r="S9" s="26" t="str">
        <x:v>Markdown, PDF</x:v>
      </x:c>
      <x:c r="T9" s="26" t="str">
        <x:v>Current consolidated authority</x:v>
      </x:c>
      <x:c r="U9" s="26" t="str">
        <x:v>Documentation baseline</x:v>
      </x:c>
      <x:c r="V9" s="26" t="str">
        <x:v>CHG-RC1-DOC-04</x:v>
      </x:c>
      <x:c r="W9" s="26"/>
    </x:row>
    <x:row r="10" ht="30" customHeight="1">
      <x:c r="A10" s="26" t="str">
        <x:v>05</x:v>
      </x:c>
      <x:c r="B10" s="26" t="str">
        <x:v>05_UX_Flow.md</x:v>
      </x:c>
      <x:c r="C10" s="26" t="str">
        <x:v>UX</x:v>
      </x:c>
      <x:c r="D10" s="26" t="str">
        <x:v>1.0</x:v>
      </x:c>
      <x:c r="E10" s="26" t="str">
        <x:v>2026-07-01</x:v>
      </x:c>
      <x:c r="F10" s="26" t="str">
        <x:v>PRESENT</x:v>
      </x:c>
      <x:c r="G10" s="26" t="str">
        <x:v>CURRENT CANDIDATE</x:v>
      </x:c>
      <x:c r="H10" s="26" t="str">
        <x:v>READY</x:v>
      </x:c>
      <x:c r="I10" s="26" t="str">
        <x:v>No action except propagated corrections</x:v>
      </x:c>
      <x:c r="J10" s="26" t="str">
        <x:v>VRM Games</x:v>
      </x:c>
      <x:c r="K10" s="26" t="n">
        <x:v>56805</x:v>
      </x:c>
      <x:c r="L10" s="26" t="str">
        <x:v>e08da5ff67fb073a8b950babe325ae58ddb2e121513dc2f553acd4f2c14b867e</x:v>
      </x:c>
      <x:c r="M10" s="26" t="str">
        <x:v>VERIFIED CURRENT</x:v>
      </x:c>
      <x:c r="N10" s="26" t="n">
        <x:v>56805</x:v>
      </x:c>
      <x:c r="O10" s="26" t="str">
        <x:v>e08da5ff67fb073a8b950babe325ae58ddb2e121513dc2f553acd4f2c14b867e</x:v>
      </x:c>
      <x:c r="P10" s="26" t="str">
        <x:v>NO</x:v>
      </x:c>
      <x:c r="Q10" s="26" t="str">
        <x:v>UX Flow v0.3–v0.6</x:v>
      </x:c>
      <x:c r="R10" s="26" t="str">
        <x:v>v0.3, v0.4, v0.5, v0.6</x:v>
      </x:c>
      <x:c r="S10" s="26" t="str">
        <x:v>Markdown, PDF</x:v>
      </x:c>
      <x:c r="T10" s="26" t="str">
        <x:v>Current consolidated authority</x:v>
      </x:c>
      <x:c r="U10" s="26" t="str">
        <x:v>Documentation baseline</x:v>
      </x:c>
      <x:c r="V10" s="26" t="str">
        <x:v>CHG-RC1-DOC-05</x:v>
      </x:c>
      <x:c r="W10" s="26"/>
    </x:row>
    <x:row r="11" ht="30" customHeight="1">
      <x:c r="A11" s="26" t="str">
        <x:v>06</x:v>
      </x:c>
      <x:c r="B11" s="26" t="str">
        <x:v>06_Production_Roadmap_y_Sprint_Plan.md</x:v>
      </x:c>
      <x:c r="C11" s="26" t="str">
        <x:v>Production</x:v>
      </x:c>
      <x:c r="D11" s="26" t="str">
        <x:v>1.0</x:v>
      </x:c>
      <x:c r="E11" s="26" t="str">
        <x:v>2026-07-01</x:v>
      </x:c>
      <x:c r="F11" s="26" t="str">
        <x:v>PRESENT</x:v>
      </x:c>
      <x:c r="G11" s="26" t="str">
        <x:v>CURRENT CANDIDATE</x:v>
      </x:c>
      <x:c r="H11" s="26" t="str">
        <x:v>READY</x:v>
      </x:c>
      <x:c r="I11" s="26" t="str">
        <x:v>No action except propagated corrections</x:v>
      </x:c>
      <x:c r="J11" s="26" t="str">
        <x:v>VRM Games</x:v>
      </x:c>
      <x:c r="K11" s="26" t="n">
        <x:v>61564</x:v>
      </x:c>
      <x:c r="L11" s="26" t="str">
        <x:v>d00b156c0ad1c66069278119c55f76c738a577a3e2835f770208d1a5f2faadff</x:v>
      </x:c>
      <x:c r="M11" s="26" t="str">
        <x:v>VERIFIED CURRENT</x:v>
      </x:c>
      <x:c r="N11" s="26" t="n">
        <x:v>61564</x:v>
      </x:c>
      <x:c r="O11" s="26" t="str">
        <x:v>d00b156c0ad1c66069278119c55f76c738a577a3e2835f770208d1a5f2faadff</x:v>
      </x:c>
      <x:c r="P11" s="26" t="str">
        <x:v>NO</x:v>
      </x:c>
      <x:c r="Q11" s="26" t="str">
        <x:v>Production Roadmap / Sprint Plan v0.3–v0.6</x:v>
      </x:c>
      <x:c r="R11" s="26" t="str">
        <x:v>v0.3, v0.4, v0.5, v0.6</x:v>
      </x:c>
      <x:c r="S11" s="26" t="str">
        <x:v>Markdown, PDF</x:v>
      </x:c>
      <x:c r="T11" s="26" t="str">
        <x:v>Current consolidated authority</x:v>
      </x:c>
      <x:c r="U11" s="26" t="str">
        <x:v>Documentation baseline</x:v>
      </x:c>
      <x:c r="V11" s="26" t="str">
        <x:v>CHG-RC1-DOC-06</x:v>
      </x:c>
      <x:c r="W11" s="26"/>
    </x:row>
    <x:row r="12" ht="30" customHeight="1">
      <x:c r="A12" s="26" t="str">
        <x:v>07</x:v>
      </x:c>
      <x:c r="B12" s="26" t="str">
        <x:v>07_QA_Testing_Plan.md</x:v>
      </x:c>
      <x:c r="C12" s="26" t="str">
        <x:v>QA Strategy</x:v>
      </x:c>
      <x:c r="D12" s="26" t="str">
        <x:v>1.0</x:v>
      </x:c>
      <x:c r="E12" s="26" t="str">
        <x:v>2026-07-01</x:v>
      </x:c>
      <x:c r="F12" s="26" t="str">
        <x:v>PRESENT</x:v>
      </x:c>
      <x:c r="G12" s="26" t="str">
        <x:v>CURRENT CANDIDATE</x:v>
      </x:c>
      <x:c r="H12" s="26" t="str">
        <x:v>READY</x:v>
      </x:c>
      <x:c r="I12" s="26" t="str">
        <x:v>No action except propagated corrections</x:v>
      </x:c>
      <x:c r="J12" s="26" t="str">
        <x:v>VRM Games</x:v>
      </x:c>
      <x:c r="K12" s="26" t="n">
        <x:v>79435</x:v>
      </x:c>
      <x:c r="L12" s="26" t="str">
        <x:v>bc9c05a3737e345546ef16e5390e034295ef35ad66c31647852aec81b4e7affe</x:v>
      </x:c>
      <x:c r="M12" s="26" t="str">
        <x:v>VERIFIED CURRENT</x:v>
      </x:c>
      <x:c r="N12" s="26" t="n">
        <x:v>79435</x:v>
      </x:c>
      <x:c r="O12" s="26" t="str">
        <x:v>bc9c05a3737e345546ef16e5390e034295ef35ad66c31647852aec81b4e7affe</x:v>
      </x:c>
      <x:c r="P12" s="26" t="str">
        <x:v>NO</x:v>
      </x:c>
      <x:c r="Q12" s="26" t="str">
        <x:v>QA Testing Plan v0.3–v0.6</x:v>
      </x:c>
      <x:c r="R12" s="26" t="str">
        <x:v>v0.3, v0.4, v0.5, v0.6</x:v>
      </x:c>
      <x:c r="S12" s="26" t="str">
        <x:v>Markdown, PDF</x:v>
      </x:c>
      <x:c r="T12" s="26" t="str">
        <x:v>Current consolidated authority</x:v>
      </x:c>
      <x:c r="U12" s="26" t="str">
        <x:v>Documentation baseline</x:v>
      </x:c>
      <x:c r="V12" s="26" t="str">
        <x:v>CHG-RC1-DOC-07</x:v>
      </x:c>
      <x:c r="W12" s="26"/>
    </x:row>
    <x:row r="13" ht="30" customHeight="1">
      <x:c r="A13" s="26" t="str">
        <x:v>08</x:v>
      </x:c>
      <x:c r="B13" s="26" t="str">
        <x:v>08_QA_Testing_Matrix.xlsx</x:v>
      </x:c>
      <x:c r="C13" s="26" t="str">
        <x:v>QA Operations</x:v>
      </x:c>
      <x:c r="D13" s="26" t="str">
        <x:v>1.0</x:v>
      </x:c>
      <x:c r="E13" s="26" t="str">
        <x:v>2026-07-01</x:v>
      </x:c>
      <x:c r="F13" s="26" t="str">
        <x:v>PRESENT</x:v>
      </x:c>
      <x:c r="G13" s="26" t="str">
        <x:v>CURRENT CANDIDATE</x:v>
      </x:c>
      <x:c r="H13" s="26" t="str">
        <x:v>READY</x:v>
      </x:c>
      <x:c r="I13" s="26" t="str">
        <x:v>No action except propagated corrections</x:v>
      </x:c>
      <x:c r="J13" s="26" t="str">
        <x:v>VRM Games</x:v>
      </x:c>
      <x:c r="K13" s="26" t="n">
        <x:v>185032</x:v>
      </x:c>
      <x:c r="L13" s="26" t="str">
        <x:v>233e57f01d2468fe13c136c8fcd3ee75b39bd3de6530349626ea98d4ff254214</x:v>
      </x:c>
      <x:c r="M13" s="26" t="str">
        <x:v>VERIFIED CURRENT</x:v>
      </x:c>
      <x:c r="N13" s="26" t="n">
        <x:v>185032</x:v>
      </x:c>
      <x:c r="O13" s="26" t="str">
        <x:v>233e57f01d2468fe13c136c8fcd3ee75b39bd3de6530349626ea98d4ff254214</x:v>
      </x:c>
      <x:c r="P13" s="26" t="str">
        <x:v>NO</x:v>
      </x:c>
      <x:c r="Q13" s="26" t="str">
        <x:v>QA Testing Matrix v0.3–v0.6 y matrices operativas</x:v>
      </x:c>
      <x:c r="R13" s="26" t="str">
        <x:v>v0.3, v0.3.9, v0.4, v0.5, v0.5.0, v0.6</x:v>
      </x:c>
      <x:c r="S13" s="26" t="str">
        <x:v>Excel</x:v>
      </x:c>
      <x:c r="T13" s="26" t="str">
        <x:v>Current consolidated authority</x:v>
      </x:c>
      <x:c r="U13" s="26" t="str">
        <x:v>Documentation baseline</x:v>
      </x:c>
      <x:c r="V13" s="26" t="str">
        <x:v>CHG-RC1-DOC-08</x:v>
      </x:c>
      <x:c r="W13" s="26"/>
    </x:row>
    <x:row r="14" ht="30" customHeight="1">
      <x:c r="A14" s="26" t="str">
        <x:v>09</x:v>
      </x:c>
      <x:c r="B14" s="26" t="str">
        <x:v>09_CSharp_Coding_Standards.md</x:v>
      </x:c>
      <x:c r="C14" s="26" t="str">
        <x:v>Engineering Standards</x:v>
      </x:c>
      <x:c r="D14" s="26" t="str">
        <x:v>1.0</x:v>
      </x:c>
      <x:c r="E14" s="26" t="str">
        <x:v>2026-07-01</x:v>
      </x:c>
      <x:c r="F14" s="26" t="str">
        <x:v>PRESENT</x:v>
      </x:c>
      <x:c r="G14" s="26" t="str">
        <x:v>CURRENT CANDIDATE</x:v>
      </x:c>
      <x:c r="H14" s="26" t="str">
        <x:v>READY</x:v>
      </x:c>
      <x:c r="I14" s="26" t="str">
        <x:v>No action except propagated corrections</x:v>
      </x:c>
      <x:c r="J14" s="26" t="str">
        <x:v>VRM Games</x:v>
      </x:c>
      <x:c r="K14" s="26" t="n">
        <x:v>95321</x:v>
      </x:c>
      <x:c r="L14" s="26" t="str">
        <x:v>3b734d6cd49f31c09c10bb4941625e143f6c634e3fb50c157f0720e73b1c2a68</x:v>
      </x:c>
      <x:c r="M14" s="26" t="str">
        <x:v>VERIFIED CURRENT</x:v>
      </x:c>
      <x:c r="N14" s="26" t="n">
        <x:v>95321</x:v>
      </x:c>
      <x:c r="O14" s="26" t="str">
        <x:v>3b734d6cd49f31c09c10bb4941625e143f6c634e3fb50c157f0720e73b1c2a68</x:v>
      </x:c>
      <x:c r="P14" s="26" t="str">
        <x:v>NO</x:v>
      </x:c>
      <x:c r="Q14" s="26" t="str">
        <x:v>C# Coding Standards v0.3–v0.6</x:v>
      </x:c>
      <x:c r="R14" s="26" t="str">
        <x:v>v0.3, v0.4, v0.5, v0.6</x:v>
      </x:c>
      <x:c r="S14" s="26" t="str">
        <x:v>Markdown, PDF</x:v>
      </x:c>
      <x:c r="T14" s="26" t="str">
        <x:v>Current consolidated authority</x:v>
      </x:c>
      <x:c r="U14" s="26" t="str">
        <x:v>Documentation baseline</x:v>
      </x:c>
      <x:c r="V14" s="26" t="str">
        <x:v>CHG-RC1-DOC-09</x:v>
      </x:c>
      <x:c r="W14" s="26"/>
    </x:row>
    <x:row r="15" ht="30" customHeight="1">
      <x:c r="A15" s="26" t="str">
        <x:v>10</x:v>
      </x:c>
      <x:c r="B15" s="26" t="str">
        <x:v>10_Unity_Project_Setup_Guide.md</x:v>
      </x:c>
      <x:c r="C15" s="26" t="str">
        <x:v>Environment</x:v>
      </x:c>
      <x:c r="D15" s="26" t="str">
        <x:v>1.0</x:v>
      </x:c>
      <x:c r="E15" s="26" t="str">
        <x:v>2026-07-01</x:v>
      </x:c>
      <x:c r="F15" s="26" t="str">
        <x:v>PRESENT</x:v>
      </x:c>
      <x:c r="G15" s="26" t="str">
        <x:v>CURRENT CANDIDATE</x:v>
      </x:c>
      <x:c r="H15" s="26" t="str">
        <x:v>READY</x:v>
      </x:c>
      <x:c r="I15" s="26" t="str">
        <x:v>No action except propagated corrections</x:v>
      </x:c>
      <x:c r="J15" s="26" t="str">
        <x:v>VRM Games</x:v>
      </x:c>
      <x:c r="K15" s="26" t="n">
        <x:v>78408</x:v>
      </x:c>
      <x:c r="L15" s="26" t="str">
        <x:v>31430bb0544edd9577323aa0009d6ca3df8b9fbcf6c8a150fc33df69b9f963a4</x:v>
      </x:c>
      <x:c r="M15" s="26" t="str">
        <x:v>VERIFIED CURRENT</x:v>
      </x:c>
      <x:c r="N15" s="26" t="n">
        <x:v>78408</x:v>
      </x:c>
      <x:c r="O15" s="26" t="str">
        <x:v>31430bb0544edd9577323aa0009d6ca3df8b9fbcf6c8a150fc33df69b9f963a4</x:v>
      </x:c>
      <x:c r="P15" s="26" t="str">
        <x:v>NO</x:v>
      </x:c>
      <x:c r="Q15" s="26" t="str">
        <x:v>Unity Project Setup Guide v0.3–v0.6</x:v>
      </x:c>
      <x:c r="R15" s="26" t="str">
        <x:v>v0.3, v0.4, v0.5, v0.6</x:v>
      </x:c>
      <x:c r="S15" s="26" t="str">
        <x:v>Markdown, PDF</x:v>
      </x:c>
      <x:c r="T15" s="26" t="str">
        <x:v>Current consolidated authority</x:v>
      </x:c>
      <x:c r="U15" s="26" t="str">
        <x:v>Documentation baseline</x:v>
      </x:c>
      <x:c r="V15" s="26" t="str">
        <x:v>CHG-RC1-DOC-10</x:v>
      </x:c>
      <x:c r="W15" s="26"/>
    </x:row>
    <x:row r="16" ht="30" customHeight="1">
      <x:c r="A16" s="26" t="str">
        <x:v>11</x:v>
      </x:c>
      <x:c r="B16" s="26" t="str">
        <x:v>11_Build_y_Versioning_Guide.md</x:v>
      </x:c>
      <x:c r="C16" s="26" t="str">
        <x:v>Build/Release</x:v>
      </x:c>
      <x:c r="D16" s="26" t="str">
        <x:v>1.0</x:v>
      </x:c>
      <x:c r="E16" s="26" t="str">
        <x:v>2026-07-01</x:v>
      </x:c>
      <x:c r="F16" s="26" t="str">
        <x:v>PRESENT</x:v>
      </x:c>
      <x:c r="G16" s="26" t="str">
        <x:v>CURRENT CANDIDATE</x:v>
      </x:c>
      <x:c r="H16" s="26" t="str">
        <x:v>READY</x:v>
      </x:c>
      <x:c r="I16" s="26" t="str">
        <x:v>No action except propagated corrections</x:v>
      </x:c>
      <x:c r="J16" s="26" t="str">
        <x:v>VRM Games</x:v>
      </x:c>
      <x:c r="K16" s="26" t="n">
        <x:v>85324</x:v>
      </x:c>
      <x:c r="L16" s="26" t="str">
        <x:v>38a16a0f97505c0b405509dd3c7e3d1b50e77b89fbe3f4cb1931d3e04f602215</x:v>
      </x:c>
      <x:c r="M16" s="26" t="str">
        <x:v>VERIFIED CURRENT</x:v>
      </x:c>
      <x:c r="N16" s="26" t="n">
        <x:v>85324</x:v>
      </x:c>
      <x:c r="O16" s="26" t="str">
        <x:v>38a16a0f97505c0b405509dd3c7e3d1b50e77b89fbe3f4cb1931d3e04f602215</x:v>
      </x:c>
      <x:c r="P16" s="26" t="str">
        <x:v>NO</x:v>
      </x:c>
      <x:c r="Q16" s="26" t="str">
        <x:v>Build &amp; Versioning Guide v0.3–v0.6</x:v>
      </x:c>
      <x:c r="R16" s="26" t="str">
        <x:v>v0.3, v0.4, v0.5, v0.6</x:v>
      </x:c>
      <x:c r="S16" s="26" t="str">
        <x:v>Markdown, PDF</x:v>
      </x:c>
      <x:c r="T16" s="26" t="str">
        <x:v>Current consolidated authority</x:v>
      </x:c>
      <x:c r="U16" s="26" t="str">
        <x:v>Documentation baseline</x:v>
      </x:c>
      <x:c r="V16" s="26" t="str">
        <x:v>CHG-RC1-DOC-11</x:v>
      </x:c>
      <x:c r="W16" s="26"/>
    </x:row>
    <x:row r="17" ht="30" customHeight="1">
      <x:c r="A17" s="26" t="str">
        <x:v>12</x:v>
      </x:c>
      <x:c r="B17" s="26" t="str">
        <x:v>12_Excel_Maestro_de_Produccion.xlsx</x:v>
      </x:c>
      <x:c r="C17" s="26" t="str">
        <x:v>Production Operations</x:v>
      </x:c>
      <x:c r="D17" s="26" t="str">
        <x:v>1.1-RC1</x:v>
      </x:c>
      <x:c r="E17" s="26" t="str">
        <x:v>2026-07-01</x:v>
      </x:c>
      <x:c r="F17" s="26" t="str">
        <x:v>PRESENT</x:v>
      </x:c>
      <x:c r="G17" s="26" t="str">
        <x:v>CURRENT CANDIDATE</x:v>
      </x:c>
      <x:c r="H17" s="26" t="str">
        <x:v>CANDIDATE REGENERATED</x:v>
      </x:c>
      <x:c r="I17" s="26" t="str">
        <x:v>Replace preconsolidation 12; external hash captured</x:v>
      </x:c>
      <x:c r="J17" s="26" t="str">
        <x:v>VRM Games</x:v>
      </x:c>
      <x:c r="K17" s="26" t="n">
        <x:v>484932</x:v>
      </x:c>
      <x:c r="L17" s="26" t="str">
        <x:v>3d70e97326868389dac977934e6000285c22b3c33c0e62be31313880726b4d7d</x:v>
      </x:c>
      <x:c r="M17" s="26" t="str">
        <x:v>VERIFIED CURRENT</x:v>
      </x:c>
      <x:c r="N17" s="26" t="n">
        <x:v>158100</x:v>
      </x:c>
      <x:c r="O17" s="26" t="str">
        <x:v>405376cb64f49b34f1f842f3840c12654e9f08e2ec4534b5c149fa811e87dd83</x:v>
      </x:c>
      <x:c r="P17" s="26" t="str">
        <x:v>YES</x:v>
      </x:c>
      <x:c r="Q17" s="26" t="str">
        <x:v>Excel Maestro de Producción v0.3–v0.6 y tracking operativo</x:v>
      </x:c>
      <x:c r="R17" s="26" t="str">
        <x:v>v0.3, v0.3.9, v0.4, v0.5, v0.5.0, v0.6</x:v>
      </x:c>
      <x:c r="S17" s="26" t="str">
        <x:v>Excel</x:v>
      </x:c>
      <x:c r="T17" s="26" t="str">
        <x:v>Current consolidated authority</x:v>
      </x:c>
      <x:c r="U17" s="26" t="str">
        <x:v>Documentation baseline</x:v>
      </x:c>
      <x:c r="V17" s="26" t="str">
        <x:v>CHG-RC1-DOC-12</x:v>
      </x:c>
      <x:c r="W17" s="26"/>
    </x:row>
    <x:row r="18" ht="30" customHeight="1">
      <x:c r="A18" s="26" t="str">
        <x:v>13</x:v>
      </x:c>
      <x:c r="B18" s="26" t="str">
        <x:v>13_Trazabilidad_y_Control_de_Cambios.xlsx</x:v>
      </x:c>
      <x:c r="C18" s="26" t="str">
        <x:v>Governance</x:v>
      </x:c>
      <x:c r="D18" s="26" t="str">
        <x:v>1.1-RC1</x:v>
      </x:c>
      <x:c r="E18" s="26" t="str">
        <x:v>2026-07-01</x:v>
      </x:c>
      <x:c r="F18" s="26" t="str">
        <x:v>PRESENT</x:v>
      </x:c>
      <x:c r="G18" s="26" t="str">
        <x:v>CURRENT CANDIDATE</x:v>
      </x:c>
      <x:c r="H18" s="26" t="str">
        <x:v>CANDIDATE REGENERATED</x:v>
      </x:c>
      <x:c r="I18" s="26" t="str">
        <x:v>Replace preconsolidation 13; capture hash externally</x:v>
      </x:c>
      <x:c r="J18" s="26" t="str">
        <x:v>VRM Games</x:v>
      </x:c>
      <x:c r="K18" s="26"/>
      <x:c r="L18" s="26" t="str">
        <x:v>EXTERNAL_AFTER_EXPORT</x:v>
      </x:c>
      <x:c r="M18" s="26" t="str">
        <x:v>SELF-HASH EXTERNAL</x:v>
      </x:c>
      <x:c r="N18" s="26" t="n">
        <x:v>189424</x:v>
      </x:c>
      <x:c r="O18" s="26" t="str">
        <x:v>f674e21d1a3a1f0970a3d339f26f2a2b51a19b5c257c24b9d3fa4118a5cf50eb</x:v>
      </x:c>
      <x:c r="P18" s="26" t="str">
        <x:v>YES — REGENERATED</x:v>
      </x:c>
      <x:c r="Q18" s="26" t="str">
        <x:v>Trazabilidad y Control de Cambios v0.3–v0.6, ADR y entradas de sprint</x:v>
      </x:c>
      <x:c r="R18" s="26" t="str">
        <x:v>v0.3, v0.3.9, v0.4, v0.5, v0.5.0, v0.6</x:v>
      </x:c>
      <x:c r="S18" s="26" t="str">
        <x:v>Excel</x:v>
      </x:c>
      <x:c r="T18" s="26" t="str">
        <x:v>Current consolidated authority</x:v>
      </x:c>
      <x:c r="U18" s="26" t="str">
        <x:v>Documentation baseline</x:v>
      </x:c>
      <x:c r="V18" s="26" t="str">
        <x:v>CHG-RC1-DOC-13</x:v>
      </x:c>
      <x:c r="W18" s="26" t="str">
        <x:v>Self hash recorded outside workbook</x:v>
      </x:c>
    </x:row>
    <x:row r="19" ht="30" customHeight="1">
      <x:c r="A19" s="26" t="str">
        <x:v>14</x:v>
      </x:c>
      <x:c r="B19" s="26" t="str">
        <x:v>14_Project_Binder_Indice_Maestro.md</x:v>
      </x:c>
      <x:c r="C19" s="26" t="str">
        <x:v>Master Index</x:v>
      </x:c>
      <x:c r="D19" s="26" t="str">
        <x:v>1.0</x:v>
      </x:c>
      <x:c r="E19" s="26" t="str">
        <x:v>2026-07-01</x:v>
      </x:c>
      <x:c r="F19" s="26" t="str">
        <x:v>PRESENT</x:v>
      </x:c>
      <x:c r="G19" s="26" t="str">
        <x:v>CURRENT CANDIDATE</x:v>
      </x:c>
      <x:c r="H19" s="26" t="str">
        <x:v>REGENERATE</x:v>
      </x:c>
      <x:c r="I19" s="26" t="str">
        <x:v>Regenerate after document 12/13 sequence</x:v>
      </x:c>
      <x:c r="J19" s="26" t="str">
        <x:v>VRM Games</x:v>
      </x:c>
      <x:c r="K19" s="26" t="n">
        <x:v>92828</x:v>
      </x:c>
      <x:c r="L19" s="26" t="str">
        <x:v>0c24dcd47e0d44793e75e764e3fc2c146e5b1fea04d887d43feb0df558711559</x:v>
      </x:c>
      <x:c r="M19" s="26" t="str">
        <x:v>VERIFIED CURRENT</x:v>
      </x:c>
      <x:c r="N19" s="26" t="n">
        <x:v>92828</x:v>
      </x:c>
      <x:c r="O19" s="26" t="str">
        <x:v>0c24dcd47e0d44793e75e764e3fc2c146e5b1fea04d887d43feb0df558711559</x:v>
      </x:c>
      <x:c r="P19" s="26" t="str">
        <x:v>NO</x:v>
      </x:c>
      <x:c r="Q19" s="26" t="str">
        <x:v>Project Binder v0.3–v0.6 y package navigation</x:v>
      </x:c>
      <x:c r="R19" s="26" t="str">
        <x:v>v0.3, v0.4, v0.5, v0.6</x:v>
      </x:c>
      <x:c r="S19" s="26" t="str">
        <x:v>Markdown, PDF</x:v>
      </x:c>
      <x:c r="T19" s="26" t="str">
        <x:v>Current consolidated authority</x:v>
      </x:c>
      <x:c r="U19" s="26" t="str">
        <x:v>Documentation baseline</x:v>
      </x:c>
      <x:c r="V19" s="26" t="str">
        <x:v>CHG-RC1-DOC-14</x:v>
      </x:c>
      <x:c r="W19" s="26"/>
    </x:row>
    <x:row r="20" ht="30" customHeight="1">
      <x:c r="A20" s="26" t="str">
        <x:v>15</x:v>
      </x:c>
      <x:c r="B20" s="26" t="str">
        <x:v>15_Guia_Maestra.md</x:v>
      </x:c>
      <x:c r="C20" s="26" t="str">
        <x:v>Master Guide</x:v>
      </x:c>
      <x:c r="D20" s="26" t="str">
        <x:v>1.0</x:v>
      </x:c>
      <x:c r="E20" s="26" t="str">
        <x:v>2026-07-01</x:v>
      </x:c>
      <x:c r="F20" s="26" t="str">
        <x:v>PRESENT</x:v>
      </x:c>
      <x:c r="G20" s="26" t="str">
        <x:v>CURRENT CANDIDATE</x:v>
      </x:c>
      <x:c r="H20" s="26" t="str">
        <x:v>REGENERATE</x:v>
      </x:c>
      <x:c r="I20" s="26" t="str">
        <x:v>Regenerate after document 12/13 sequence</x:v>
      </x:c>
      <x:c r="J20" s="26" t="str">
        <x:v>VRM Games</x:v>
      </x:c>
      <x:c r="K20" s="26" t="n">
        <x:v>119920</x:v>
      </x:c>
      <x:c r="L20" s="26" t="str">
        <x:v>879bc1925cccf77e10df6c104302f3afc72f71e8c58dd85ae4f06e84e6f8b624</x:v>
      </x:c>
      <x:c r="M20" s="26" t="str">
        <x:v>VERIFIED CURRENT</x:v>
      </x:c>
      <x:c r="N20" s="26" t="n">
        <x:v>119920</x:v>
      </x:c>
      <x:c r="O20" s="26" t="str">
        <x:v>879bc1925cccf77e10df6c104302f3afc72f71e8c58dd85ae4f06e84e6f8b624</x:v>
      </x:c>
      <x:c r="P20" s="26" t="str">
        <x:v>NO</x:v>
      </x:c>
      <x:c r="Q20" s="26" t="str">
        <x:v>Guide v0.3–v0.6, README y procedimientos de gobierno</x:v>
      </x:c>
      <x:c r="R20" s="26" t="str">
        <x:v>v0.3, v0.4, v0.5, v0.6</x:v>
      </x:c>
      <x:c r="S20" s="26" t="str">
        <x:v>Markdown, PDF</x:v>
      </x:c>
      <x:c r="T20" s="26" t="str">
        <x:v>Current consolidated authority</x:v>
      </x:c>
      <x:c r="U20" s="26" t="str">
        <x:v>Documentation baseline</x:v>
      </x:c>
      <x:c r="V20" s="26" t="str">
        <x:v>CHG-RC1-DOC-15</x:v>
      </x:c>
      <x:c r="W20" s="26"/>
    </x:row>
    <x:row r="21" ht="30" customHeight="1">
      <x:c r="A21" s="26" t="str">
        <x:v>16</x:v>
      </x:c>
      <x:c r="B21" s="26" t="str">
        <x:v>16_Auditoria_Global_de_Coherencia.md</x:v>
      </x:c>
      <x:c r="C21" s="26" t="str">
        <x:v>Audit</x:v>
      </x:c>
      <x:c r="D21" s="26" t="str">
        <x:v>1.0</x:v>
      </x:c>
      <x:c r="E21" s="26" t="str">
        <x:v>2026-07-01</x:v>
      </x:c>
      <x:c r="F21" s="26" t="str">
        <x:v>PRESENT</x:v>
      </x:c>
      <x:c r="G21" s="26" t="str">
        <x:v>CURRENT CANDIDATE</x:v>
      </x:c>
      <x:c r="H21" s="26" t="str">
        <x:v>REGENERATE</x:v>
      </x:c>
      <x:c r="I21" s="26" t="str">
        <x:v>Regenerate after document 12/13 sequence</x:v>
      </x:c>
      <x:c r="J21" s="26" t="str">
        <x:v>VRM Games</x:v>
      </x:c>
      <x:c r="K21" s="26" t="n">
        <x:v>87439</x:v>
      </x:c>
      <x:c r="L21" s="26" t="str">
        <x:v>4a62376b8aee623be40957ae0511d2dcab2919947f3abb2cef3502b9bb60863e</x:v>
      </x:c>
      <x:c r="M21" s="26" t="str">
        <x:v>VERIFIED CURRENT</x:v>
      </x:c>
      <x:c r="N21" s="26" t="n">
        <x:v>87439</x:v>
      </x:c>
      <x:c r="O21" s="26" t="str">
        <x:v>4a62376b8aee623be40957ae0511d2dcab2919947f3abb2cef3502b9bb60863e</x:v>
      </x:c>
      <x:c r="P21" s="26" t="str">
        <x:v>NO</x:v>
      </x:c>
      <x:c r="Q21" s="26" t="str">
        <x:v>Documentation Validation Reports v0.1–v0.4 y auditorías de sprint</x:v>
      </x:c>
      <x:c r="R21" s="26" t="str">
        <x:v>v0.3, v0.4, v0.5, v0.6</x:v>
      </x:c>
      <x:c r="S21" s="26" t="str">
        <x:v>Markdown, PDF</x:v>
      </x:c>
      <x:c r="T21" s="26" t="str">
        <x:v>Current consolidated authority</x:v>
      </x:c>
      <x:c r="U21" s="26" t="str">
        <x:v>Documentation baseline</x:v>
      </x:c>
      <x:c r="V21" s="26" t="str">
        <x:v>CHG-RC1-DOC-16</x:v>
      </x:c>
      <x:c r="W21" s="26"/>
    </x:row>
    <x:row r="22" ht="30" customHeight="1">
      <x:c r="A22" s="26" t="str">
        <x:v>17</x:v>
      </x:c>
      <x:c r="B22" s="26" t="str">
        <x:v>17_Art_Bible.md</x:v>
      </x:c>
      <x:c r="C22" s="26" t="str">
        <x:v>Art</x:v>
      </x:c>
      <x:c r="D22" s="26" t="str">
        <x:v>1.0</x:v>
      </x:c>
      <x:c r="E22" s="26" t="str">
        <x:v>2026-07-01</x:v>
      </x:c>
      <x:c r="F22" s="26" t="str">
        <x:v>PRESENT</x:v>
      </x:c>
      <x:c r="G22" s="26" t="str">
        <x:v>CURRENT CANDIDATE</x:v>
      </x:c>
      <x:c r="H22" s="26" t="str">
        <x:v>READY</x:v>
      </x:c>
      <x:c r="I22" s="26" t="str">
        <x:v>No action except propagated corrections</x:v>
      </x:c>
      <x:c r="J22" s="26" t="str">
        <x:v>VRM Games</x:v>
      </x:c>
      <x:c r="K22" s="26" t="n">
        <x:v>133913</x:v>
      </x:c>
      <x:c r="L22" s="26" t="str">
        <x:v>095c6cc42223a972c7faa68435595fc7c22f839fabc62b2038371a0ef6c14239</x:v>
      </x:c>
      <x:c r="M22" s="26" t="str">
        <x:v>VERIFIED CURRENT</x:v>
      </x:c>
      <x:c r="N22" s="26" t="n">
        <x:v>133913</x:v>
      </x:c>
      <x:c r="O22" s="26" t="str">
        <x:v>095c6cc42223a972c7faa68435595fc7c22f839fabc62b2038371a0ef6c14239</x:v>
      </x:c>
      <x:c r="P22" s="26" t="str">
        <x:v>NO</x:v>
      </x:c>
      <x:c r="Q22" s="26" t="str">
        <x:v>Art Bible v0.3–v0.6 y entregables 3D de Sprint 16</x:v>
      </x:c>
      <x:c r="R22" s="26" t="str">
        <x:v>v0.3, v0.4, v0.5, v0.6</x:v>
      </x:c>
      <x:c r="S22" s="26" t="str">
        <x:v>Markdown, PDF</x:v>
      </x:c>
      <x:c r="T22" s="26" t="str">
        <x:v>Current consolidated authority</x:v>
      </x:c>
      <x:c r="U22" s="26" t="str">
        <x:v>Documentation baseline</x:v>
      </x:c>
      <x:c r="V22" s="26" t="str">
        <x:v>CHG-RC1-DOC-17</x:v>
      </x:c>
      <x:c r="W22" s="26"/>
    </x:row>
    <x:row r="23" ht="30" customHeight="1">
      <x:c r="A23" s="26" t="str">
        <x:v>18</x:v>
      </x:c>
      <x:c r="B23" s="26" t="str">
        <x:v>18_Audio_Bible.md</x:v>
      </x:c>
      <x:c r="C23" s="26" t="str">
        <x:v>Audio</x:v>
      </x:c>
      <x:c r="D23" s="26" t="str">
        <x:v>1.0</x:v>
      </x:c>
      <x:c r="E23" s="26" t="str">
        <x:v>2026-07-01</x:v>
      </x:c>
      <x:c r="F23" s="26" t="str">
        <x:v>PRESENT</x:v>
      </x:c>
      <x:c r="G23" s="26" t="str">
        <x:v>CURRENT CANDIDATE</x:v>
      </x:c>
      <x:c r="H23" s="26" t="str">
        <x:v>READY</x:v>
      </x:c>
      <x:c r="I23" s="26" t="str">
        <x:v>No action except propagated corrections</x:v>
      </x:c>
      <x:c r="J23" s="26" t="str">
        <x:v>VRM Games</x:v>
      </x:c>
      <x:c r="K23" s="26" t="n">
        <x:v>144525</x:v>
      </x:c>
      <x:c r="L23" s="26" t="str">
        <x:v>c2eabe93a7c26f70e1d4d77fb0ddcaa97e2cdd1e70247e637b9db5bd2f07ce92</x:v>
      </x:c>
      <x:c r="M23" s="26" t="str">
        <x:v>VERIFIED CURRENT</x:v>
      </x:c>
      <x:c r="N23" s="26" t="n">
        <x:v>144525</x:v>
      </x:c>
      <x:c r="O23" s="26" t="str">
        <x:v>c2eabe93a7c26f70e1d4d77fb0ddcaa97e2cdd1e70247e637b9db5bd2f07ce92</x:v>
      </x:c>
      <x:c r="P23" s="26" t="str">
        <x:v>NO</x:v>
      </x:c>
      <x:c r="Q23" s="26" t="str">
        <x:v>Audio Bible v0.3–v0.6</x:v>
      </x:c>
      <x:c r="R23" s="26" t="str">
        <x:v>v0.3, v0.4, v0.5, v0.6</x:v>
      </x:c>
      <x:c r="S23" s="26" t="str">
        <x:v>Markdown, PDF</x:v>
      </x:c>
      <x:c r="T23" s="26" t="str">
        <x:v>Current consolidated authority</x:v>
      </x:c>
      <x:c r="U23" s="26" t="str">
        <x:v>Documentation baseline</x:v>
      </x:c>
      <x:c r="V23" s="26" t="str">
        <x:v>CHG-RC1-DOC-18</x:v>
      </x:c>
      <x:c r="W23" s="26"/>
    </x:row>
    <x:row r="24" ht="30" customHeight="1">
      <x:c r="A24" s="26" t="str">
        <x:v>19</x:v>
      </x:c>
      <x:c r="B24" s="26" t="str">
        <x:v>19_UI_Style_Guide.md</x:v>
      </x:c>
      <x:c r="C24" s="26" t="str">
        <x:v>UI</x:v>
      </x:c>
      <x:c r="D24" s="26" t="str">
        <x:v>1.0</x:v>
      </x:c>
      <x:c r="E24" s="26" t="str">
        <x:v>2026-07-01</x:v>
      </x:c>
      <x:c r="F24" s="26" t="str">
        <x:v>PRESENT</x:v>
      </x:c>
      <x:c r="G24" s="26" t="str">
        <x:v>CURRENT CANDIDATE</x:v>
      </x:c>
      <x:c r="H24" s="26" t="str">
        <x:v>READY</x:v>
      </x:c>
      <x:c r="I24" s="26" t="str">
        <x:v>No action except propagated corrections</x:v>
      </x:c>
      <x:c r="J24" s="26" t="str">
        <x:v>VRM Games</x:v>
      </x:c>
      <x:c r="K24" s="26" t="n">
        <x:v>149800</x:v>
      </x:c>
      <x:c r="L24" s="26" t="str">
        <x:v>b34ca4db1eba7a536466b6a9a105d8d92396ade2108aa7dd99fa7d5d4eaebc1a</x:v>
      </x:c>
      <x:c r="M24" s="26" t="str">
        <x:v>VERIFIED CURRENT</x:v>
      </x:c>
      <x:c r="N24" s="26" t="n">
        <x:v>149800</x:v>
      </x:c>
      <x:c r="O24" s="26" t="str">
        <x:v>b34ca4db1eba7a536466b6a9a105d8d92396ade2108aa7dd99fa7d5d4eaebc1a</x:v>
      </x:c>
      <x:c r="P24" s="26" t="str">
        <x:v>NO</x:v>
      </x:c>
      <x:c r="Q24" s="26" t="str">
        <x:v>UI Style Guide v0.3–v0.6</x:v>
      </x:c>
      <x:c r="R24" s="26" t="str">
        <x:v>v0.3, v0.4, v0.5, v0.6</x:v>
      </x:c>
      <x:c r="S24" s="26" t="str">
        <x:v>Markdown, PDF</x:v>
      </x:c>
      <x:c r="T24" s="26" t="str">
        <x:v>Current consolidated authority</x:v>
      </x:c>
      <x:c r="U24" s="26" t="str">
        <x:v>Documentation baseline</x:v>
      </x:c>
      <x:c r="V24" s="26" t="str">
        <x:v>CHG-RC1-DOC-19</x:v>
      </x:c>
      <x:c r="W24" s="26"/>
    </x:row>
    <x:row r="25" ht="30" customHeight="1">
      <x:c r="A25" s="26" t="str">
        <x:v>20</x:v>
      </x:c>
      <x:c r="B25" s="26" t="str">
        <x:v>20_Economy_and_Balance_Specification.md</x:v>
      </x:c>
      <x:c r="C25" s="26" t="str">
        <x:v>Economy/Balance</x:v>
      </x:c>
      <x:c r="D25" s="26" t="str">
        <x:v>1.0</x:v>
      </x:c>
      <x:c r="E25" s="26" t="str">
        <x:v>2026-07-01</x:v>
      </x:c>
      <x:c r="F25" s="26" t="str">
        <x:v>PRESENT</x:v>
      </x:c>
      <x:c r="G25" s="26" t="str">
        <x:v>CURRENT CANDIDATE</x:v>
      </x:c>
      <x:c r="H25" s="26" t="str">
        <x:v>READY</x:v>
      </x:c>
      <x:c r="I25" s="26" t="str">
        <x:v>No action except propagated corrections</x:v>
      </x:c>
      <x:c r="J25" s="26" t="str">
        <x:v>VRM Games</x:v>
      </x:c>
      <x:c r="K25" s="26" t="n">
        <x:v>154547</x:v>
      </x:c>
      <x:c r="L25" s="26" t="str">
        <x:v>908c70772ed35eecdb05c3036c6901523a4caf2c3e708ca8f049c2a160ef2aac</x:v>
      </x:c>
      <x:c r="M25" s="26" t="str">
        <x:v>VERIFIED CURRENT</x:v>
      </x:c>
      <x:c r="N25" s="26" t="n">
        <x:v>154547</x:v>
      </x:c>
      <x:c r="O25" s="26" t="str">
        <x:v>908c70772ed35eecdb05c3036c6901523a4caf2c3e708ca8f049c2a160ef2aac</x:v>
      </x:c>
      <x:c r="P25" s="26" t="str">
        <x:v>NO</x:v>
      </x:c>
      <x:c r="Q25" s="26" t="str">
        <x:v>Economy &amp; Balance Specification v0.1–v0.4</x:v>
      </x:c>
      <x:c r="R25" s="26" t="str">
        <x:v>v0.3, v0.4, v0.5, v0.6</x:v>
      </x:c>
      <x:c r="S25" s="26" t="str">
        <x:v>Markdown, PDF</x:v>
      </x:c>
      <x:c r="T25" s="26" t="str">
        <x:v>Current consolidated authority</x:v>
      </x:c>
      <x:c r="U25" s="26" t="str">
        <x:v>Documentation baseline</x:v>
      </x:c>
      <x:c r="V25" s="26" t="str">
        <x:v>CHG-RC1-DOC-20</x:v>
      </x:c>
      <x:c r="W25" s="26"/>
    </x:row>
    <x:row r="26" ht="30" customHeight="1">
      <x:c r="A26" s="26" t="str">
        <x:v>21</x:v>
      </x:c>
      <x:c r="B26" s="26" t="str">
        <x:v>21_Initial_Content_Catalog.xlsx</x:v>
      </x:c>
      <x:c r="C26" s="26" t="str">
        <x:v>Content</x:v>
      </x:c>
      <x:c r="D26" s="26" t="str">
        <x:v>1.0</x:v>
      </x:c>
      <x:c r="E26" s="26" t="str">
        <x:v>2026-07-01</x:v>
      </x:c>
      <x:c r="F26" s="26" t="str">
        <x:v>PRESENT</x:v>
      </x:c>
      <x:c r="G26" s="26" t="str">
        <x:v>CURRENT CANDIDATE</x:v>
      </x:c>
      <x:c r="H26" s="26" t="str">
        <x:v>UPDATE</x:v>
      </x:c>
      <x:c r="I26" s="26" t="str">
        <x:v>Targeted update after governance refresh</x:v>
      </x:c>
      <x:c r="J26" s="26" t="str">
        <x:v>VRM Games</x:v>
      </x:c>
      <x:c r="K26" s="26" t="n">
        <x:v>174383</x:v>
      </x:c>
      <x:c r="L26" s="26" t="str">
        <x:v>9047299f60cfbd368fc4a2c8bee8d0ff4132dc5642363a9a67d1523559eb9ed3</x:v>
      </x:c>
      <x:c r="M26" s="26" t="str">
        <x:v>VERIFIED CURRENT</x:v>
      </x:c>
      <x:c r="N26" s="26" t="n">
        <x:v>174383</x:v>
      </x:c>
      <x:c r="O26" s="26" t="str">
        <x:v>9047299f60cfbd368fc4a2c8bee8d0ff4132dc5642363a9a67d1523559eb9ed3</x:v>
      </x:c>
      <x:c r="P26" s="26" t="str">
        <x:v>NO</x:v>
      </x:c>
      <x:c r="Q26" s="26" t="str">
        <x:v>Initial Content Catalog v0.1–v0.4</x:v>
      </x:c>
      <x:c r="R26" s="26" t="str">
        <x:v>v0.3, v0.4, v0.5, v0.6</x:v>
      </x:c>
      <x:c r="S26" s="26" t="str">
        <x:v>Markdown, PDF</x:v>
      </x:c>
      <x:c r="T26" s="26" t="str">
        <x:v>Current consolidated authority</x:v>
      </x:c>
      <x:c r="U26" s="26" t="str">
        <x:v>Documentation baseline</x:v>
      </x:c>
      <x:c r="V26" s="26" t="str">
        <x:v>CHG-RC1-DOC-21</x:v>
      </x:c>
      <x:c r="W26" s="26"/>
    </x:row>
    <x:row r="27" ht="30" customHeight="1">
      <x:c r="A27" s="26" t="str">
        <x:v>22</x:v>
      </x:c>
      <x:c r="B27" s="26" t="str">
        <x:v>22_Localization_Plan.md</x:v>
      </x:c>
      <x:c r="C27" s="26" t="str">
        <x:v>Localization</x:v>
      </x:c>
      <x:c r="D27" s="26" t="str">
        <x:v>1.0</x:v>
      </x:c>
      <x:c r="E27" s="26" t="str">
        <x:v>2026-07-01</x:v>
      </x:c>
      <x:c r="F27" s="26" t="str">
        <x:v>PRESENT</x:v>
      </x:c>
      <x:c r="G27" s="26" t="str">
        <x:v>CURRENT CANDIDATE</x:v>
      </x:c>
      <x:c r="H27" s="26" t="str">
        <x:v>READY</x:v>
      </x:c>
      <x:c r="I27" s="26" t="str">
        <x:v>No action except propagated corrections</x:v>
      </x:c>
      <x:c r="J27" s="26" t="str">
        <x:v>VRM Games</x:v>
      </x:c>
      <x:c r="K27" s="26" t="n">
        <x:v>157323</x:v>
      </x:c>
      <x:c r="L27" s="26" t="str">
        <x:v>184a53b2813bc1327a6913e6e88ea4c81142da1ee4ddeff88f75467c784f1ff0</x:v>
      </x:c>
      <x:c r="M27" s="26" t="str">
        <x:v>VERIFIED CURRENT</x:v>
      </x:c>
      <x:c r="N27" s="26" t="n">
        <x:v>157323</x:v>
      </x:c>
      <x:c r="O27" s="26" t="str">
        <x:v>184a53b2813bc1327a6913e6e88ea4c81142da1ee4ddeff88f75467c784f1ff0</x:v>
      </x:c>
      <x:c r="P27" s="26" t="str">
        <x:v>NO</x:v>
      </x:c>
      <x:c r="Q27" s="26" t="str">
        <x:v>Localization Plan v0.3–v0.6</x:v>
      </x:c>
      <x:c r="R27" s="26" t="str">
        <x:v>v0.3, v0.4, v0.5, v0.6</x:v>
      </x:c>
      <x:c r="S27" s="26" t="str">
        <x:v>Markdown, PDF</x:v>
      </x:c>
      <x:c r="T27" s="26" t="str">
        <x:v>Current consolidated authority</x:v>
      </x:c>
      <x:c r="U27" s="26" t="str">
        <x:v>Documentation baseline</x:v>
      </x:c>
      <x:c r="V27" s="26" t="str">
        <x:v>CHG-RC1-DOC-22</x:v>
      </x:c>
      <x:c r="W27" s="26"/>
    </x:row>
    <x:row r="28" ht="30" customHeight="1">
      <x:c r="A28" s="26" t="str">
        <x:v>23</x:v>
      </x:c>
      <x:c r="B28" s="26" t="str">
        <x:v>23_Legal_Credits_and_Licenses_Register.xlsx</x:v>
      </x:c>
      <x:c r="C28" s="26" t="str">
        <x:v>Legal/Licenses</x:v>
      </x:c>
      <x:c r="D28" s="26" t="str">
        <x:v>1.0</x:v>
      </x:c>
      <x:c r="E28" s="26" t="str">
        <x:v>2026-07-01</x:v>
      </x:c>
      <x:c r="F28" s="26" t="str">
        <x:v>PRESENT</x:v>
      </x:c>
      <x:c r="G28" s="26" t="str">
        <x:v>CURRENT CANDIDATE</x:v>
      </x:c>
      <x:c r="H28" s="26" t="str">
        <x:v>UPDATE</x:v>
      </x:c>
      <x:c r="I28" s="26" t="str">
        <x:v>Targeted update after governance refresh</x:v>
      </x:c>
      <x:c r="J28" s="26" t="str">
        <x:v>VRM Games</x:v>
      </x:c>
      <x:c r="K28" s="26" t="n">
        <x:v>465135</x:v>
      </x:c>
      <x:c r="L28" s="26" t="str">
        <x:v>f543b3b5de8900f405910fac5d72697045f8c4969d98fce4c1cf4f12e532b2f1</x:v>
      </x:c>
      <x:c r="M28" s="26" t="str">
        <x:v>VERIFIED CURRENT</x:v>
      </x:c>
      <x:c r="N28" s="26" t="n">
        <x:v>465135</x:v>
      </x:c>
      <x:c r="O28" s="26" t="str">
        <x:v>f543b3b5de8900f405910fac5d72697045f8c4969d98fce4c1cf4f12e532b2f1</x:v>
      </x:c>
      <x:c r="P28" s="26" t="str">
        <x:v>NO</x:v>
      </x:c>
      <x:c r="Q28" s="26" t="str">
        <x:v>Legal, Credits &amp; Licenses Register v0.3–v0.6</x:v>
      </x:c>
      <x:c r="R28" s="26" t="str">
        <x:v>v0.3, v0.4, v0.5, v0.6</x:v>
      </x:c>
      <x:c r="S28" s="26" t="str">
        <x:v>Markdown, PDF</x:v>
      </x:c>
      <x:c r="T28" s="26" t="str">
        <x:v>Current consolidated authority</x:v>
      </x:c>
      <x:c r="U28" s="26" t="str">
        <x:v>Documentation baseline</x:v>
      </x:c>
      <x:c r="V28" s="26" t="str">
        <x:v>CHG-RC1-DOC-23</x:v>
      </x:c>
      <x:c r="W28" s="26"/>
    </x:row>
    <x:row r="29" ht="30" customHeight="1">
      <x:c r="A29" s="26" t="str">
        <x:v>24</x:v>
      </x:c>
      <x:c r="B29" s="26" t="str">
        <x:v>24_Steam_Publishing_Plan.md</x:v>
      </x:c>
      <x:c r="C29" s="26" t="str">
        <x:v>Steam Publishing</x:v>
      </x:c>
      <x:c r="D29" s="26" t="str">
        <x:v>1.0</x:v>
      </x:c>
      <x:c r="E29" s="26" t="str">
        <x:v>2026-07-01</x:v>
      </x:c>
      <x:c r="F29" s="26" t="str">
        <x:v>PRESENT</x:v>
      </x:c>
      <x:c r="G29" s="26" t="str">
        <x:v>CURRENT CANDIDATE</x:v>
      </x:c>
      <x:c r="H29" s="26" t="str">
        <x:v>READY</x:v>
      </x:c>
      <x:c r="I29" s="26" t="str">
        <x:v>No action except propagated corrections</x:v>
      </x:c>
      <x:c r="J29" s="26" t="str">
        <x:v>VRM Games</x:v>
      </x:c>
      <x:c r="K29" s="26" t="n">
        <x:v>171037</x:v>
      </x:c>
      <x:c r="L29" s="26" t="str">
        <x:v>f087e24d3a18f8c4a6651728d5f70d1df804042587e206fdeac2e7e637a87646</x:v>
      </x:c>
      <x:c r="M29" s="26" t="str">
        <x:v>VERIFIED CURRENT</x:v>
      </x:c>
      <x:c r="N29" s="26" t="n">
        <x:v>171037</x:v>
      </x:c>
      <x:c r="O29" s="26" t="str">
        <x:v>f087e24d3a18f8c4a6651728d5f70d1df804042587e206fdeac2e7e637a87646</x:v>
      </x:c>
      <x:c r="P29" s="26" t="str">
        <x:v>NO</x:v>
      </x:c>
      <x:c r="Q29" s="26" t="str">
        <x:v>Steam Publishing Plan v0.3–v0.6</x:v>
      </x:c>
      <x:c r="R29" s="26" t="str">
        <x:v>v0.3, v0.4, v0.5, v0.6</x:v>
      </x:c>
      <x:c r="S29" s="26" t="str">
        <x:v>Markdown, PDF</x:v>
      </x:c>
      <x:c r="T29" s="26" t="str">
        <x:v>Current consolidated authority</x:v>
      </x:c>
      <x:c r="U29" s="26" t="str">
        <x:v>Documentation baseline</x:v>
      </x:c>
      <x:c r="V29" s="26" t="str">
        <x:v>CHG-RC1-DOC-24</x:v>
      </x:c>
      <x:c r="W29" s="26"/>
    </x:row>
    <x:row r="30" ht="30" customHeight="1">
      <x:c r="A30" s="26" t="str">
        <x:v>25</x:v>
      </x:c>
      <x:c r="B30" s="26" t="str">
        <x:v>25_Post_Launch_and_Live_Operations_Plan.md</x:v>
      </x:c>
      <x:c r="C30" s="26" t="str">
        <x:v>Live Operations</x:v>
      </x:c>
      <x:c r="D30" s="26" t="str">
        <x:v>1.0</x:v>
      </x:c>
      <x:c r="E30" s="26" t="str">
        <x:v>2026-07-01</x:v>
      </x:c>
      <x:c r="F30" s="26" t="str">
        <x:v>PRESENT</x:v>
      </x:c>
      <x:c r="G30" s="26" t="str">
        <x:v>CURRENT CANDIDATE</x:v>
      </x:c>
      <x:c r="H30" s="26" t="str">
        <x:v>READY</x:v>
      </x:c>
      <x:c r="I30" s="26" t="str">
        <x:v>No action except propagated corrections</x:v>
      </x:c>
      <x:c r="J30" s="26" t="str">
        <x:v>VRM Games</x:v>
      </x:c>
      <x:c r="K30" s="26" t="n">
        <x:v>327218</x:v>
      </x:c>
      <x:c r="L30" s="26" t="str">
        <x:v>158e1e43514c5d5d6c365f6cd1a73929f54c4a48c5cc460b593530ae5e49bac9</x:v>
      </x:c>
      <x:c r="M30" s="26" t="str">
        <x:v>VERIFIED CURRENT</x:v>
      </x:c>
      <x:c r="N30" s="26" t="n">
        <x:v>327218</x:v>
      </x:c>
      <x:c r="O30" s="26" t="str">
        <x:v>158e1e43514c5d5d6c365f6cd1a73929f54c4a48c5cc460b593530ae5e49bac9</x:v>
      </x:c>
      <x:c r="P30" s="26" t="str">
        <x:v>NO</x:v>
      </x:c>
      <x:c r="Q30" s="26" t="str">
        <x:v>Requisitos postlanzamiento distribuidos en roadmap, Steam, QA y guías</x:v>
      </x:c>
      <x:c r="R30" s="26"/>
      <x:c r="S30" s="26"/>
      <x:c r="T30" s="26" t="str">
        <x:v>Current consolidated authority</x:v>
      </x:c>
      <x:c r="U30" s="26" t="str">
        <x:v>Documentation baseline</x:v>
      </x:c>
      <x:c r="V30" s="26" t="str">
        <x:v>CHG-RC1-DOC-25</x:v>
      </x:c>
      <x:c r="W30" s="26"/>
    </x:row>
    <x:row r="31" ht="30" customHeight="1">
      <x:c r="A31" s="26" t="str">
        <x:v>26</x:v>
      </x:c>
      <x:c r="B31" s="26" t="str">
        <x:v>26_Privacy_Data_and_Telemetry_Plan.md</x:v>
      </x:c>
      <x:c r="C31" s="26" t="str">
        <x:v>Privacy/Data</x:v>
      </x:c>
      <x:c r="D31" s="26" t="str">
        <x:v>1.0</x:v>
      </x:c>
      <x:c r="E31" s="26" t="str">
        <x:v>2026-07-01</x:v>
      </x:c>
      <x:c r="F31" s="26" t="str">
        <x:v>PRESENT</x:v>
      </x:c>
      <x:c r="G31" s="26" t="str">
        <x:v>CURRENT CANDIDATE</x:v>
      </x:c>
      <x:c r="H31" s="26" t="str">
        <x:v>READY</x:v>
      </x:c>
      <x:c r="I31" s="26" t="str">
        <x:v>No action except propagated corrections</x:v>
      </x:c>
      <x:c r="J31" s="26" t="str">
        <x:v>VRM Games</x:v>
      </x:c>
      <x:c r="K31" s="26" t="n">
        <x:v>321182</x:v>
      </x:c>
      <x:c r="L31" s="26" t="str">
        <x:v>284abfe537793c2ec8b0e5cbac484cd9395567c4434aef7f5ad5ee7005e95f36</x:v>
      </x:c>
      <x:c r="M31" s="26" t="str">
        <x:v>VERIFIED CURRENT</x:v>
      </x:c>
      <x:c r="N31" s="26" t="n">
        <x:v>321182</x:v>
      </x:c>
      <x:c r="O31" s="26" t="str">
        <x:v>284abfe537793c2ec8b0e5cbac484cd9395567c4434aef7f5ad5ee7005e95f36</x:v>
      </x:c>
      <x:c r="P31" s="26" t="str">
        <x:v>NO</x:v>
      </x:c>
      <x:c r="Q31" s="26" t="str">
        <x:v>Requisitos de privacidad y datos distribuidos en TDD, QA, Steam y legal</x:v>
      </x:c>
      <x:c r="R31" s="26"/>
      <x:c r="S31" s="26"/>
      <x:c r="T31" s="26" t="str">
        <x:v>Current consolidated authority</x:v>
      </x:c>
      <x:c r="U31" s="26" t="str">
        <x:v>Documentation baseline</x:v>
      </x:c>
      <x:c r="V31" s="26" t="str">
        <x:v>CHG-RC1-DOC-26</x:v>
      </x:c>
      <x:c r="W31" s="26"/>
    </x:row>
    <x:row r="32" ht="30" customHeight="1">
      <x:c r="A32" s="26" t="str">
        <x:v>27</x:v>
      </x:c>
      <x:c r="B32" s="26" t="str">
        <x:v>27_Security_and_Incident_Response_Plan.md</x:v>
      </x:c>
      <x:c r="C32" s="26" t="str">
        <x:v>Security</x:v>
      </x:c>
      <x:c r="D32" s="26" t="str">
        <x:v>1.0</x:v>
      </x:c>
      <x:c r="E32" s="26" t="str">
        <x:v>2026-07-01</x:v>
      </x:c>
      <x:c r="F32" s="26" t="str">
        <x:v>PRESENT</x:v>
      </x:c>
      <x:c r="G32" s="26" t="str">
        <x:v>CURRENT CANDIDATE</x:v>
      </x:c>
      <x:c r="H32" s="26" t="str">
        <x:v>READY</x:v>
      </x:c>
      <x:c r="I32" s="26" t="str">
        <x:v>No action except propagated corrections</x:v>
      </x:c>
      <x:c r="J32" s="26" t="str">
        <x:v>VRM Games</x:v>
      </x:c>
      <x:c r="K32" s="26" t="n">
        <x:v>422182</x:v>
      </x:c>
      <x:c r="L32" s="26" t="str">
        <x:v>f925bfbf3df2000323c12a4486480d06c8ab8181684e5922168b8bdf89d05f92</x:v>
      </x:c>
      <x:c r="M32" s="26" t="str">
        <x:v>VERIFIED CURRENT</x:v>
      </x:c>
      <x:c r="N32" s="26" t="n">
        <x:v>422182</x:v>
      </x:c>
      <x:c r="O32" s="26" t="str">
        <x:v>f925bfbf3df2000323c12a4486480d06c8ab8181684e5922168b8bdf89d05f92</x:v>
      </x:c>
      <x:c r="P32" s="26" t="str">
        <x:v>NO</x:v>
      </x:c>
      <x:c r="Q32" s="26" t="str">
        <x:v>Requisitos de secretos, builds, paquetes, incidentes y recuperación distribuidos en registros técnicos</x:v>
      </x:c>
      <x:c r="R32" s="26"/>
      <x:c r="S32" s="26"/>
      <x:c r="T32" s="26" t="str">
        <x:v>Current consolidated authority</x:v>
      </x:c>
      <x:c r="U32" s="26" t="str">
        <x:v>Documentation baseline</x:v>
      </x:c>
      <x:c r="V32" s="26" t="str">
        <x:v>CHG-RC1-DOC-27</x:v>
      </x:c>
      <x:c r="W32" s="26"/>
    </x:row>
    <x:row r="33" ht="30" customHeight="1">
      <x:c r="A33" s="26" t="str">
        <x:v>28</x:v>
      </x:c>
      <x:c r="B33" s="26" t="str">
        <x:v>28_Marketing_and_Communication_Plan.md</x:v>
      </x:c>
      <x:c r="C33" s="26" t="str">
        <x:v>Marketing/Communication</x:v>
      </x:c>
      <x:c r="D33" s="26" t="str">
        <x:v>1.0</x:v>
      </x:c>
      <x:c r="E33" s="26" t="str">
        <x:v>2026-07-01</x:v>
      </x:c>
      <x:c r="F33" s="26" t="str">
        <x:v>PRESENT</x:v>
      </x:c>
      <x:c r="G33" s="26" t="str">
        <x:v>CURRENT CANDIDATE</x:v>
      </x:c>
      <x:c r="H33" s="26" t="str">
        <x:v>READY</x:v>
      </x:c>
      <x:c r="I33" s="26" t="str">
        <x:v>No action except propagated corrections</x:v>
      </x:c>
      <x:c r="J33" s="26" t="str">
        <x:v>VRM Games</x:v>
      </x:c>
      <x:c r="K33" s="26" t="n">
        <x:v>87510</x:v>
      </x:c>
      <x:c r="L33" s="26" t="str">
        <x:v>28dd332855126558b3da6019f2e546b1e8ab7db81dc530a89f3e3fbfe757cded</x:v>
      </x:c>
      <x:c r="M33" s="26" t="str">
        <x:v>VERIFIED CURRENT</x:v>
      </x:c>
      <x:c r="N33" s="26" t="n">
        <x:v>87510</x:v>
      </x:c>
      <x:c r="O33" s="26" t="str">
        <x:v>28dd332855126558b3da6019f2e546b1e8ab7db81dc530a89f3e3fbfe757cded</x:v>
      </x:c>
      <x:c r="P33" s="26" t="str">
        <x:v>NO</x:v>
      </x:c>
      <x:c r="Q33" s="26" t="str">
        <x:v>Marketing Plan v0.3, v0.4 y v0.5; comunicación dispersa en Steam y governance</x:v>
      </x:c>
      <x:c r="R33" s="26" t="str">
        <x:v>v0.3, v0.4, v0.5, v0.6</x:v>
      </x:c>
      <x:c r="S33" s="26" t="str">
        <x:v>Markdown, PDF</x:v>
      </x:c>
      <x:c r="T33" s="26" t="str">
        <x:v>Current consolidated authority</x:v>
      </x:c>
      <x:c r="U33" s="26" t="str">
        <x:v>Documentation baseline</x:v>
      </x:c>
      <x:c r="V33" s="26" t="str">
        <x:v>CHG-RC1-DOC-28</x:v>
      </x:c>
      <x:c r="W33" s="26"/>
    </x:row>
    <x:row r="34" ht="30" customHeight="1">
      <x:c r="A34" s="26" t="str">
        <x:v>29</x:v>
      </x:c>
      <x:c r="B34" s="26" t="str">
        <x:v>29_Accessibility_and_Inclusive_Design_Plan.md</x:v>
      </x:c>
      <x:c r="C34" s="26" t="str">
        <x:v>Accessibility</x:v>
      </x:c>
      <x:c r="D34" s="26" t="str">
        <x:v>1.0</x:v>
      </x:c>
      <x:c r="E34" s="26" t="str">
        <x:v>2026-07-01</x:v>
      </x:c>
      <x:c r="F34" s="26" t="str">
        <x:v>PRESENT</x:v>
      </x:c>
      <x:c r="G34" s="26" t="str">
        <x:v>CURRENT CANDIDATE</x:v>
      </x:c>
      <x:c r="H34" s="26" t="str">
        <x:v>READY</x:v>
      </x:c>
      <x:c r="I34" s="26" t="str">
        <x:v>No action except propagated corrections</x:v>
      </x:c>
      <x:c r="J34" s="26" t="str">
        <x:v>VRM Games</x:v>
      </x:c>
      <x:c r="K34" s="26" t="n">
        <x:v>105005</x:v>
      </x:c>
      <x:c r="L34" s="26" t="str">
        <x:v>678ceabb509062cd93c7690315397b1cc6204c0da6a5d57324ba11e2fda64333</x:v>
      </x:c>
      <x:c r="M34" s="26" t="str">
        <x:v>VERIFIED CURRENT</x:v>
      </x:c>
      <x:c r="N34" s="26" t="n">
        <x:v>105005</x:v>
      </x:c>
      <x:c r="O34" s="26" t="str">
        <x:v>678ceabb509062cd93c7690315397b1cc6204c0da6a5d57324ba11e2fda64333</x:v>
      </x:c>
      <x:c r="P34" s="26" t="str">
        <x:v>NO</x:v>
      </x:c>
      <x:c r="Q34" s="26" t="str">
        <x:v>Requisitos distribuidos en UX, UI, GDD, QA, localización, arte, audio y Steam</x:v>
      </x:c>
      <x:c r="R34" s="26"/>
      <x:c r="S34" s="26"/>
      <x:c r="T34" s="26" t="str">
        <x:v>Current consolidated authority</x:v>
      </x:c>
      <x:c r="U34" s="26" t="str">
        <x:v>Documentation baseline</x:v>
      </x:c>
      <x:c r="V34" s="26" t="str">
        <x:v>CHG-RC1-DOC-29</x:v>
      </x:c>
      <x:c r="W34" s="26"/>
    </x:row>
    <x:row r="35" ht="30" customHeight="1">
      <x:c r="A35" s="26" t="str">
        <x:v>30</x:v>
      </x:c>
      <x:c r="B35" s="26" t="str">
        <x:v>30_Performance_and_Optimization_Plan.md</x:v>
      </x:c>
      <x:c r="C35" s="26" t="str">
        <x:v>Performance</x:v>
      </x:c>
      <x:c r="D35" s="26" t="str">
        <x:v>1.0</x:v>
      </x:c>
      <x:c r="E35" s="26" t="str">
        <x:v>2026-07-01</x:v>
      </x:c>
      <x:c r="F35" s="26" t="str">
        <x:v>PRESENT</x:v>
      </x:c>
      <x:c r="G35" s="26" t="str">
        <x:v>CURRENT CANDIDATE</x:v>
      </x:c>
      <x:c r="H35" s="26" t="str">
        <x:v>READY</x:v>
      </x:c>
      <x:c r="I35" s="26" t="str">
        <x:v>No action except propagated corrections</x:v>
      </x:c>
      <x:c r="J35" s="26" t="str">
        <x:v>VRM Games</x:v>
      </x:c>
      <x:c r="K35" s="26" t="n">
        <x:v>109482</x:v>
      </x:c>
      <x:c r="L35" s="26" t="str">
        <x:v>18f53eaa61734ad735c02c8b7c70ed37f5f0e80f7c01828b05d092c49b0de260</x:v>
      </x:c>
      <x:c r="M35" s="26" t="str">
        <x:v>VERIFIED CURRENT</x:v>
      </x:c>
      <x:c r="N35" s="26" t="n">
        <x:v>109482</x:v>
      </x:c>
      <x:c r="O35" s="26" t="str">
        <x:v>18f53eaa61734ad735c02c8b7c70ed37f5f0e80f7c01828b05d092c49b0de260</x:v>
      </x:c>
      <x:c r="P35" s="26" t="str">
        <x:v>NO</x:v>
      </x:c>
      <x:c r="Q35" s="26" t="str">
        <x:v>Requisitos distribuidos en TDD, VSS, QA, build, arte, audio, UI y código</x:v>
      </x:c>
      <x:c r="R35" s="26"/>
      <x:c r="S35" s="26"/>
      <x:c r="T35" s="26" t="str">
        <x:v>Current consolidated authority</x:v>
      </x:c>
      <x:c r="U35" s="26" t="str">
        <x:v>Documentation baseline</x:v>
      </x:c>
      <x:c r="V35" s="26" t="str">
        <x:v>CHG-RC1-DOC-30</x:v>
      </x:c>
      <x:c r="W35" s="26"/>
    </x:row>
    <x:row r="36" ht="30" customHeight="1">
      <x:c r="A36" s="26" t="str">
        <x:v>31</x:v>
      </x:c>
      <x:c r="B36" s="26" t="str">
        <x:v>31_H6_and_Release_Readiness_Checklist.xlsx</x:v>
      </x:c>
      <x:c r="C36" s="26" t="str">
        <x:v>H6/Release Readiness</x:v>
      </x:c>
      <x:c r="D36" s="26" t="str">
        <x:v>1.0</x:v>
      </x:c>
      <x:c r="E36" s="26" t="str">
        <x:v>2026-07-01</x:v>
      </x:c>
      <x:c r="F36" s="26" t="str">
        <x:v>PRESENT</x:v>
      </x:c>
      <x:c r="G36" s="26" t="str">
        <x:v>CURRENT CANDIDATE</x:v>
      </x:c>
      <x:c r="H36" s="26" t="str">
        <x:v>UPDATE</x:v>
      </x:c>
      <x:c r="I36" s="26" t="str">
        <x:v>Targeted update after governance refresh</x:v>
      </x:c>
      <x:c r="J36" s="26" t="str">
        <x:v>VRM Games</x:v>
      </x:c>
      <x:c r="K36" s="26" t="n">
        <x:v>194294</x:v>
      </x:c>
      <x:c r="L36" s="26" t="str">
        <x:v>3ec6265ca8009a6f502008a103161492687efbc026a61c55b1205b976c255aee</x:v>
      </x:c>
      <x:c r="M36" s="26" t="str">
        <x:v>VERIFIED CURRENT</x:v>
      </x:c>
      <x:c r="N36" s="26" t="n">
        <x:v>194294</x:v>
      </x:c>
      <x:c r="O36" s="26" t="str">
        <x:v>3ec6265ca8009a6f502008a103161492687efbc026a61c55b1205b976c255aee</x:v>
      </x:c>
      <x:c r="P36" s="26" t="str">
        <x:v>NO</x:v>
      </x:c>
      <x:c r="Q36" s="26" t="str">
        <x:v>VSS, QA Plan/Matrix, validation checklists, acceptance matrices y build records de Sprints 0–16</x:v>
      </x:c>
      <x:c r="R36" s="26" t="str">
        <x:v>v0.4, v0.5, v0.6</x:v>
      </x:c>
      <x:c r="S36" s="26" t="str">
        <x:v>Markdown</x:v>
      </x:c>
      <x:c r="T36" s="26" t="str">
        <x:v>Current consolidated authority</x:v>
      </x:c>
      <x:c r="U36" s="26" t="str">
        <x:v>Documentation baseline</x:v>
      </x:c>
      <x:c r="V36" s="26" t="str">
        <x:v>CHG-RC1-DOC-31</x:v>
      </x:c>
      <x:c r="W36" s="26"/>
    </x:row>
    <x:row r="37" ht="30" customHeight="1">
      <x:c r="A37" s="26" t="str">
        <x:v>32</x:v>
      </x:c>
      <x:c r="B37" s="26" t="str">
        <x:v>32_Documentation_Baseline_Manifest.xlsx</x:v>
      </x:c>
      <x:c r="C37" s="26" t="str">
        <x:v>Baseline Manifest</x:v>
      </x:c>
      <x:c r="D37" s="26" t="str">
        <x:v>1.0</x:v>
      </x:c>
      <x:c r="E37" s="26" t="str">
        <x:v>2026-07-01</x:v>
      </x:c>
      <x:c r="F37" s="26" t="str">
        <x:v>PRESENT</x:v>
      </x:c>
      <x:c r="G37" s="26" t="str">
        <x:v>CURRENT CANDIDATE</x:v>
      </x:c>
      <x:c r="H37" s="26" t="str">
        <x:v>FINALIZE LATER</x:v>
      </x:c>
      <x:c r="I37" s="26" t="str">
        <x:v>Regenerate candidate and final manifest near closure</x:v>
      </x:c>
      <x:c r="J37" s="26" t="str">
        <x:v>VRM Games</x:v>
      </x:c>
      <x:c r="K37" s="26" t="n">
        <x:v>197250</x:v>
      </x:c>
      <x:c r="L37" s="26" t="str">
        <x:v>05ef1aa53febb8015b1eb40be8f43a4f6cee5be3ce1d31c3eda03346b86ebc64</x:v>
      </x:c>
      <x:c r="M37" s="26" t="str">
        <x:v>VERIFIED CURRENT</x:v>
      </x:c>
      <x:c r="N37" s="26" t="n">
        <x:v>197250</x:v>
      </x:c>
      <x:c r="O37" s="26" t="str">
        <x:v>05ef1aa53febb8015b1eb40be8f43a4f6cee5be3ce1d31c3eda03346b86ebc64</x:v>
      </x:c>
      <x:c r="P37" s="26" t="str">
        <x:v>NO</x:v>
      </x:c>
      <x:c r="Q37" s="26" t="str">
        <x:v>Package Manifest, CHECKSUMS, validation reports, migration plans, README y manifests de v0.3–v0.6</x:v>
      </x:c>
      <x:c r="R37" s="26" t="str">
        <x:v>v0.3, v0.4, v0.5, v0.6</x:v>
      </x:c>
      <x:c r="S37" s="26" t="str">
        <x:v>Markdown, PDF, Text</x:v>
      </x:c>
      <x:c r="T37" s="26" t="str">
        <x:v>Current consolidated authority</x:v>
      </x:c>
      <x:c r="U37" s="26" t="str">
        <x:v>Documentation baseline</x:v>
      </x:c>
      <x:c r="V37" s="26" t="str">
        <x:v>CHG-RC1-DOC-32</x:v>
      </x:c>
      <x:c r="W37" s="26"/>
    </x:row>
    <x:row r="38" ht="30" customHeight="1">
      <x:c r="A38" s="26" t="str">
        <x:v>33</x:v>
      </x:c>
      <x:c r="B38" s="26" t="str">
        <x:v>33_Project_Risk_Register_and_Business_Continuity_Plan.xlsx</x:v>
      </x:c>
      <x:c r="C38" s="26" t="str">
        <x:v>Risk/Continuity</x:v>
      </x:c>
      <x:c r="D38" s="26" t="str">
        <x:v>1.0</x:v>
      </x:c>
      <x:c r="E38" s="26" t="str">
        <x:v>2026-07-01</x:v>
      </x:c>
      <x:c r="F38" s="26" t="str">
        <x:v>PRESENT</x:v>
      </x:c>
      <x:c r="G38" s="26" t="str">
        <x:v>CURRENT CANDIDATE</x:v>
      </x:c>
      <x:c r="H38" s="26" t="str">
        <x:v>UPDATE</x:v>
      </x:c>
      <x:c r="I38" s="26" t="str">
        <x:v>Targeted update after governance refresh</x:v>
      </x:c>
      <x:c r="J38" s="26" t="str">
        <x:v>VRM Games</x:v>
      </x:c>
      <x:c r="K38" s="26" t="n">
        <x:v>295103</x:v>
      </x:c>
      <x:c r="L38" s="26" t="str">
        <x:v>aff3d5173017c6e90eae4b743b00af9a5106ad8e8b61f4789ff6857d10a61d88</x:v>
      </x:c>
      <x:c r="M38" s="26" t="str">
        <x:v>VERIFIED CURRENT</x:v>
      </x:c>
      <x:c r="N38" s="26" t="n">
        <x:v>295103</x:v>
      </x:c>
      <x:c r="O38" s="26" t="str">
        <x:v>aff3d5173017c6e90eae4b743b00af9a5106ad8e8b61f4789ff6857d10a61d88</x:v>
      </x:c>
      <x:c r="P38" s="26" t="str">
        <x:v>NO</x:v>
      </x:c>
      <x:c r="Q38" s="26" t="str">
        <x:v>Riesgos distribuidos en roadmap, QA, seguridad, builds, paquetes y handoff</x:v>
      </x:c>
      <x:c r="R38" s="26"/>
      <x:c r="S38" s="26"/>
      <x:c r="T38" s="26" t="str">
        <x:v>Current consolidated authority</x:v>
      </x:c>
      <x:c r="U38" s="26" t="str">
        <x:v>Documentation baseline</x:v>
      </x:c>
      <x:c r="V38" s="26" t="str">
        <x:v>CHG-RC1-DOC-33</x:v>
      </x:c>
      <x:c r="W38" s="26"/>
    </x:row>
    <x:row r="39" ht="30" customHeight="1">
      <x:c r="A39" s="26" t="str">
        <x:v>34</x:v>
      </x:c>
      <x:c r="B39" s="26" t="str">
        <x:v>34_Final_Handoff_and_Project_Operations_Manual.md</x:v>
      </x:c>
      <x:c r="C39" s="26" t="str">
        <x:v>Operations/Handoff</x:v>
      </x:c>
      <x:c r="D39" s="26" t="str">
        <x:v>1.0</x:v>
      </x:c>
      <x:c r="E39" s="26" t="str">
        <x:v>2026-07-01</x:v>
      </x:c>
      <x:c r="F39" s="26" t="str">
        <x:v>PRESENT</x:v>
      </x:c>
      <x:c r="G39" s="26" t="str">
        <x:v>CURRENT CANDIDATE</x:v>
      </x:c>
      <x:c r="H39" s="26" t="str">
        <x:v>UPDATE</x:v>
      </x:c>
      <x:c r="I39" s="26" t="str">
        <x:v>Targeted update after governance refresh</x:v>
      </x:c>
      <x:c r="J39" s="26" t="str">
        <x:v>VRM Games</x:v>
      </x:c>
      <x:c r="K39" s="26" t="n">
        <x:v>102697</x:v>
      </x:c>
      <x:c r="L39" s="26" t="str">
        <x:v>3b3fb3519caa4f899da10bf8bec73d72b5e0c3e3c6839c83157d1351a9ef9001</x:v>
      </x:c>
      <x:c r="M39" s="26" t="str">
        <x:v>VERIFIED CURRENT</x:v>
      </x:c>
      <x:c r="N39" s="26" t="n">
        <x:v>102697</x:v>
      </x:c>
      <x:c r="O39" s="26" t="str">
        <x:v>3b3fb3519caa4f899da10bf8bec73d72b5e0c3e3c6839c83157d1351a9ef9001</x:v>
      </x:c>
      <x:c r="P39" s="26" t="str">
        <x:v>NO</x:v>
      </x:c>
      <x:c r="Q39" s="26" t="str">
        <x:v>Guides, README, handoff records, current status, closure reports y package procedures</x:v>
      </x:c>
      <x:c r="R39" s="26" t="str">
        <x:v>v0.5, v0.6</x:v>
      </x:c>
      <x:c r="S39" s="26" t="str">
        <x:v>Markdown</x:v>
      </x:c>
      <x:c r="T39" s="26" t="str">
        <x:v>Current consolidated authority</x:v>
      </x:c>
      <x:c r="U39" s="26" t="str">
        <x:v>Documentation baseline</x:v>
      </x:c>
      <x:c r="V39" s="26" t="str">
        <x:v>CHG-RC1-DOC-34</x:v>
      </x:c>
      <x:c r="W39" s="26"/>
    </x:row>
  </x:sheetData>
  <x:mergeCells>
    <x:mergeCell ref="A1:W1"/>
    <x:mergeCell ref="A2:W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6" hidden="0" customWidth="1"/>
    <x:col min="11" max="11" width="18" hidden="0" customWidth="1"/>
    <x:col min="12" max="12" width="50" hidden="0" customWidth="1"/>
    <x:col min="13" max="13" width="18" hidden="0" customWidth="1"/>
    <x:col min="14" max="14" width="48" hidden="0" customWidth="1"/>
  </x:cols>
  <x:sheetData>
    <x:row r="1" ht="28" customHeight="1">
      <x:c r="A1" s="31" t="str">
        <x:v>Linaje documental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2" customHeight="1">
      <x:c r="A2" s="35" t="str">
        <x:v>Genealogía 00–34, fuentes históricas, formatos, versiones y reglas de sustitución.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4" ht="30" customHeight="1">
      <x:c r="A4" s="40" t="str">
        <x:v>Current ID</x:v>
      </x:c>
      <x:c r="B4" s="40" t="str">
        <x:v>Current Document</x:v>
      </x:c>
      <x:c r="C4" s="40" t="str">
        <x:v>Direct Standalone Ancestor</x:v>
      </x:c>
      <x:c r="D4" s="40" t="str">
        <x:v>Mapped Historical Files</x:v>
      </x:c>
      <x:c r="E4" s="40" t="str">
        <x:v>Published Baseline Files</x:v>
      </x:c>
      <x:c r="F4" s="40" t="str">
        <x:v>Authoring Sources</x:v>
      </x:c>
      <x:c r="G4" s="40" t="str">
        <x:v>Development Evidence</x:v>
      </x:c>
      <x:c r="H4" s="40" t="str">
        <x:v>Versions Found</x:v>
      </x:c>
      <x:c r="I4" s="40" t="str">
        <x:v>Formats Found</x:v>
      </x:c>
      <x:c r="J4" s="40" t="str">
        <x:v>Earliest Mapped Path</x:v>
      </x:c>
      <x:c r="K4" s="40" t="str">
        <x:v>Latest Mapped Path</x:v>
      </x:c>
      <x:c r="L4" s="40" t="str">
        <x:v>Historical Roots Preserved</x:v>
      </x:c>
      <x:c r="M4" s="40" t="str">
        <x:v>Supersession Rule</x:v>
      </x:c>
      <x:c r="N4" s="40" t="str">
        <x:v>Consolidation Note</x:v>
      </x:c>
    </x:row>
    <x:row r="5" ht="30" customHeight="1">
      <x:c r="A5" s="26" t="str">
        <x:v>00</x:v>
      </x:c>
      <x:c r="B5" s="26" t="str">
        <x:v>00_Enfoque_y_Alcance.md</x:v>
      </x:c>
      <x:c r="C5" s="26" t="str">
        <x:v>YES</x:v>
      </x:c>
      <x:c r="D5" s="26" t="n">
        <x:v>12</x:v>
      </x:c>
      <x:c r="E5" s="26" t="n">
        <x:v>4</x:v>
      </x:c>
      <x:c r="F5" s="26" t="n">
        <x:v>4</x:v>
      </x:c>
      <x:c r="G5" s="26" t="n">
        <x:v>0</x:v>
      </x:c>
      <x:c r="H5" s="26" t="str">
        <x:v>v0.3, v0.4, v0.5, v0.6</x:v>
      </x:c>
      <x:c r="I5" s="26" t="str">
        <x:v>Markdown, PDF</x:v>
      </x:c>
      <x:c r="J5" s="26" t="str">
        <x:v>00_Official_Baseline/v0.3/00_Project_Governance/Cartridge_And_Cloud_Enfoque_v0.6.pdf</x:v>
      </x:c>
      <x:c r="K5" s="26" t="str">
        <x:v>00_Official_Baseline/v0.6/99_Source_Markdown/Cartridge_And_Cloud_Enfoque_v0.8.md</x:v>
      </x:c>
      <x:c r="L5" s="26" t="str">
        <x:v>Enfoque v0.6/v0.7 y declaraciones de alcance previas</x:v>
      </x:c>
      <x:c r="M5" s="26" t="str">
        <x:v>Supersedes historical authority; does not erase evidence, ADR, QA records or source copies.</x:v>
      </x:c>
      <x:c r="N5" s="26" t="str">
        <x:v>Direct historical line captured through filename and collection mapping.</x:v>
      </x:c>
    </x:row>
    <x:row r="6" ht="30" customHeight="1">
      <x:c r="A6" s="26" t="str">
        <x:v>01</x:v>
      </x:c>
      <x:c r="B6" s="26" t="str">
        <x:v>01_Game_Design_Document.md</x:v>
      </x:c>
      <x:c r="C6" s="26" t="str">
        <x:v>YES</x:v>
      </x:c>
      <x:c r="D6" s="26" t="n">
        <x:v>8</x:v>
      </x:c>
      <x:c r="E6" s="26" t="n">
        <x:v>4</x:v>
      </x:c>
      <x:c r="F6" s="26" t="n">
        <x:v>4</x:v>
      </x:c>
      <x:c r="G6" s="26" t="n">
        <x:v>0</x:v>
      </x:c>
      <x:c r="H6" s="26" t="str">
        <x:v>v0.3, v0.4, v0.5, v0.6</x:v>
      </x:c>
      <x:c r="I6" s="26" t="str">
        <x:v>Markdown, PDF</x:v>
      </x:c>
      <x:c r="J6" s="26" t="str">
        <x:v>00_Official_Baseline/v0.3/01_Design/Cartridge_And_Cloud_GDD_v0.4_PCSteam.pdf</x:v>
      </x:c>
      <x:c r="K6" s="26" t="str">
        <x:v>00_Official_Baseline/v0.6/99_Source_Markdown/Cartridge_And_Cloud_GDD_v0.6_PCSteam.md</x:v>
      </x:c>
      <x:c r="L6" s="26" t="str">
        <x:v>GDD v0.4–v0.6 PC/Steam</x:v>
      </x:c>
      <x:c r="M6" s="26" t="str">
        <x:v>Supersedes historical authority; does not erase evidence, ADR, QA records or source copies.</x:v>
      </x:c>
      <x:c r="N6" s="26" t="str">
        <x:v>Direct historical line captured through filename and collection mapping.</x:v>
      </x:c>
    </x:row>
    <x:row r="7" ht="30" customHeight="1">
      <x:c r="A7" s="26" t="str">
        <x:v>02</x:v>
      </x:c>
      <x:c r="B7" s="26" t="str">
        <x:v>02_Vertical_Slice_Specification.md</x:v>
      </x:c>
      <x:c r="C7" s="26" t="str">
        <x:v>YES</x:v>
      </x:c>
      <x:c r="D7" s="26" t="n">
        <x:v>8</x:v>
      </x:c>
      <x:c r="E7" s="26" t="n">
        <x:v>4</x:v>
      </x:c>
      <x:c r="F7" s="26" t="n">
        <x:v>4</x:v>
      </x:c>
      <x:c r="G7" s="26" t="n">
        <x:v>0</x:v>
      </x:c>
      <x:c r="H7" s="26" t="str">
        <x:v>v0.3, v0.4, v0.5, v0.6</x:v>
      </x:c>
      <x:c r="I7" s="26" t="str">
        <x:v>Markdown, PDF</x:v>
      </x:c>
      <x:c r="J7" s="26" t="str">
        <x:v>00_Official_Baseline/v0.3/01_Design/Cartridge_And_Cloud_Vertical_Slice_Specification_v0.1.pdf</x:v>
      </x:c>
      <x:c r="K7" s="26" t="str">
        <x:v>00_Official_Baseline/v0.6/99_Source_Markdown/Cartridge_And_Cloud_Vertical_Slice_Specification_v0.4.md</x:v>
      </x:c>
      <x:c r="L7" s="26" t="str">
        <x:v>Vertical Slice Specification v0.1–v0.4</x:v>
      </x:c>
      <x:c r="M7" s="26" t="str">
        <x:v>Supersedes historical authority; does not erase evidence, ADR, QA records or source copies.</x:v>
      </x:c>
      <x:c r="N7" s="26" t="str">
        <x:v>Direct historical line captured through filename and collection mapping.</x:v>
      </x:c>
    </x:row>
    <x:row r="8" ht="30" customHeight="1">
      <x:c r="A8" s="26" t="str">
        <x:v>03</x:v>
      </x:c>
      <x:c r="B8" s="26" t="str">
        <x:v>03_Technical_Design_Document.md</x:v>
      </x:c>
      <x:c r="C8" s="26" t="str">
        <x:v>YES</x:v>
      </x:c>
      <x:c r="D8" s="26" t="n">
        <x:v>8</x:v>
      </x:c>
      <x:c r="E8" s="26" t="n">
        <x:v>4</x:v>
      </x:c>
      <x:c r="F8" s="26" t="n">
        <x:v>4</x:v>
      </x:c>
      <x:c r="G8" s="26" t="n">
        <x:v>0</x:v>
      </x:c>
      <x:c r="H8" s="26" t="str">
        <x:v>v0.3, v0.4, v0.5, v0.6</x:v>
      </x:c>
      <x:c r="I8" s="26" t="str">
        <x:v>Markdown, PDF</x:v>
      </x:c>
      <x:c r="J8" s="26" t="str">
        <x:v>00_Official_Baseline/v0.3/02_Technical/Cartridge_And_Cloud_TDD_v0.3_Technical_Design_Document.pdf</x:v>
      </x:c>
      <x:c r="K8" s="26" t="str">
        <x:v>00_Official_Baseline/v0.6/99_Source_Markdown/Cartridge_And_Cloud_TDD_v0.6_Technical_Design_Document.md</x:v>
      </x:c>
      <x:c r="L8" s="26" t="str">
        <x:v>TDD v0.3–v0.6</x:v>
      </x:c>
      <x:c r="M8" s="26" t="str">
        <x:v>Supersedes historical authority; does not erase evidence, ADR, QA records or source copies.</x:v>
      </x:c>
      <x:c r="N8" s="26" t="str">
        <x:v>Direct historical line captured through filename and collection mapping.</x:v>
      </x:c>
    </x:row>
    <x:row r="9" ht="30" customHeight="1">
      <x:c r="A9" s="26" t="str">
        <x:v>04</x:v>
      </x:c>
      <x:c r="B9" s="26" t="str">
        <x:v>04_Modelo_de_Datos.md</x:v>
      </x:c>
      <x:c r="C9" s="26" t="str">
        <x:v>YES</x:v>
      </x:c>
      <x:c r="D9" s="26" t="n">
        <x:v>8</x:v>
      </x:c>
      <x:c r="E9" s="26" t="n">
        <x:v>4</x:v>
      </x:c>
      <x:c r="F9" s="26" t="n">
        <x:v>4</x:v>
      </x:c>
      <x:c r="G9" s="26" t="n">
        <x:v>0</x:v>
      </x:c>
      <x:c r="H9" s="26" t="str">
        <x:v>v0.3, v0.4, v0.5, v0.6</x:v>
      </x:c>
      <x:c r="I9" s="26" t="str">
        <x:v>Markdown, PDF</x:v>
      </x:c>
      <x:c r="J9" s="26" t="str">
        <x:v>00_Official_Baseline/v0.3/02_Technical/Cartridge_And_Cloud_Modelo_de_Datos_v0.3.pdf</x:v>
      </x:c>
      <x:c r="K9" s="26" t="str">
        <x:v>00_Official_Baseline/v0.6/99_Source_Markdown/Cartridge_And_Cloud_Modelo_de_Datos_v0.5.md</x:v>
      </x:c>
      <x:c r="L9" s="26" t="str">
        <x:v>Modelo de Datos v0.3–v0.6</x:v>
      </x:c>
      <x:c r="M9" s="26" t="str">
        <x:v>Supersedes historical authority; does not erase evidence, ADR, QA records or source copies.</x:v>
      </x:c>
      <x:c r="N9" s="26" t="str">
        <x:v>Direct historical line captured through filename and collection mapping.</x:v>
      </x:c>
    </x:row>
    <x:row r="10" ht="30" customHeight="1">
      <x:c r="A10" s="26" t="str">
        <x:v>05</x:v>
      </x:c>
      <x:c r="B10" s="26" t="str">
        <x:v>05_UX_Flow.md</x:v>
      </x:c>
      <x:c r="C10" s="26" t="str">
        <x:v>YES</x:v>
      </x:c>
      <x:c r="D10" s="26" t="n">
        <x:v>8</x:v>
      </x:c>
      <x:c r="E10" s="26" t="n">
        <x:v>4</x:v>
      </x:c>
      <x:c r="F10" s="26" t="n">
        <x:v>4</x:v>
      </x:c>
      <x:c r="G10" s="26" t="n">
        <x:v>0</x:v>
      </x:c>
      <x:c r="H10" s="26" t="str">
        <x:v>v0.3, v0.4, v0.5, v0.6</x:v>
      </x:c>
      <x:c r="I10" s="26" t="str">
        <x:v>Markdown, PDF</x:v>
      </x:c>
      <x:c r="J10" s="26" t="str">
        <x:v>00_Official_Baseline/v0.3/01_Design/Cartridge_And_Cloud_UX_Flow_v0.3.pdf</x:v>
      </x:c>
      <x:c r="K10" s="26" t="str">
        <x:v>00_Official_Baseline/v0.6/99_Source_Markdown/Cartridge_And_Cloud_UX_Flow_v0.5.md</x:v>
      </x:c>
      <x:c r="L10" s="26" t="str">
        <x:v>UX Flow v0.3–v0.6</x:v>
      </x:c>
      <x:c r="M10" s="26" t="str">
        <x:v>Supersedes historical authority; does not erase evidence, ADR, QA records or source copies.</x:v>
      </x:c>
      <x:c r="N10" s="26" t="str">
        <x:v>Direct historical line captured through filename and collection mapping.</x:v>
      </x:c>
    </x:row>
    <x:row r="11" ht="30" customHeight="1">
      <x:c r="A11" s="26" t="str">
        <x:v>06</x:v>
      </x:c>
      <x:c r="B11" s="26" t="str">
        <x:v>06_Production_Roadmap_y_Sprint_Plan.md</x:v>
      </x:c>
      <x:c r="C11" s="26" t="str">
        <x:v>YES</x:v>
      </x:c>
      <x:c r="D11" s="26" t="n">
        <x:v>8</x:v>
      </x:c>
      <x:c r="E11" s="26" t="n">
        <x:v>4</x:v>
      </x:c>
      <x:c r="F11" s="26" t="n">
        <x:v>4</x:v>
      </x:c>
      <x:c r="G11" s="26" t="n">
        <x:v>0</x:v>
      </x:c>
      <x:c r="H11" s="26" t="str">
        <x:v>v0.3, v0.4, v0.5, v0.6</x:v>
      </x:c>
      <x:c r="I11" s="26" t="str">
        <x:v>Markdown, PDF</x:v>
      </x:c>
      <x:c r="J11" s="26" t="str">
        <x:v>00_Official_Baseline/v0.3/04_QA_Production/Cartridge_And_Cloud_Production_Roadmap_Sprint_Plan_v0.3.pdf</x:v>
      </x:c>
      <x:c r="K11" s="26" t="str">
        <x:v>00_Official_Baseline/v0.6/99_Source_Markdown/Cartridge_And_Cloud_Production_Roadmap_Sprint_Plan_v0.6.md</x:v>
      </x:c>
      <x:c r="L11" s="26" t="str">
        <x:v>Production Roadmap / Sprint Plan v0.3–v0.6</x:v>
      </x:c>
      <x:c r="M11" s="26" t="str">
        <x:v>Supersedes historical authority; does not erase evidence, ADR, QA records or source copies.</x:v>
      </x:c>
      <x:c r="N11" s="26" t="str">
        <x:v>Direct historical line captured through filename and collection mapping.</x:v>
      </x:c>
    </x:row>
    <x:row r="12" ht="30" customHeight="1">
      <x:c r="A12" s="26" t="str">
        <x:v>07</x:v>
      </x:c>
      <x:c r="B12" s="26" t="str">
        <x:v>07_QA_Testing_Plan.md</x:v>
      </x:c>
      <x:c r="C12" s="26" t="str">
        <x:v>YES</x:v>
      </x:c>
      <x:c r="D12" s="26" t="n">
        <x:v>8</x:v>
      </x:c>
      <x:c r="E12" s="26" t="n">
        <x:v>4</x:v>
      </x:c>
      <x:c r="F12" s="26" t="n">
        <x:v>4</x:v>
      </x:c>
      <x:c r="G12" s="26" t="n">
        <x:v>0</x:v>
      </x:c>
      <x:c r="H12" s="26" t="str">
        <x:v>v0.3, v0.4, v0.5, v0.6</x:v>
      </x:c>
      <x:c r="I12" s="26" t="str">
        <x:v>Markdown, PDF</x:v>
      </x:c>
      <x:c r="J12" s="26" t="str">
        <x:v>00_Official_Baseline/v0.3/04_QA_Production/Cartridge_And_Cloud_QA_Testing_Plan_v0.3.pdf</x:v>
      </x:c>
      <x:c r="K12" s="26" t="str">
        <x:v>00_Official_Baseline/v0.6/99_Source_Markdown/Cartridge_And_Cloud_QA_Testing_Plan_v0.6.md</x:v>
      </x:c>
      <x:c r="L12" s="26" t="str">
        <x:v>QA Testing Plan v0.3–v0.6</x:v>
      </x:c>
      <x:c r="M12" s="26" t="str">
        <x:v>Supersedes historical authority; does not erase evidence, ADR, QA records or source copies.</x:v>
      </x:c>
      <x:c r="N12" s="26" t="str">
        <x:v>Direct historical line captured through filename and collection mapping.</x:v>
      </x:c>
    </x:row>
    <x:row r="13" ht="30" customHeight="1">
      <x:c r="A13" s="26" t="str">
        <x:v>08</x:v>
      </x:c>
      <x:c r="B13" s="26" t="str">
        <x:v>08_QA_Testing_Matrix.xlsx</x:v>
      </x:c>
      <x:c r="C13" s="26" t="str">
        <x:v>YES</x:v>
      </x:c>
      <x:c r="D13" s="26" t="n">
        <x:v>6</x:v>
      </x:c>
      <x:c r="E13" s="26" t="n">
        <x:v>4</x:v>
      </x:c>
      <x:c r="F13" s="26" t="n">
        <x:v>0</x:v>
      </x:c>
      <x:c r="G13" s="26" t="n">
        <x:v>2</x:v>
      </x:c>
      <x:c r="H13" s="26" t="str">
        <x:v>v0.3, v0.3.9, v0.4, v0.5, v0.5.0, v0.6</x:v>
      </x:c>
      <x:c r="I13" s="26" t="str">
        <x:v>Excel</x:v>
      </x:c>
      <x:c r="J13" s="26" t="str">
        <x:v>00_Official_Baseline/v0.3/04_QA_Production/Cartridge_And_Cloud_QA_Testing_Matrix_v0.3.xlsx</x:v>
      </x:c>
      <x:c r="K13" s="26" t="str">
        <x:v>10_Development_Records/Production_Tracking/Cartridge_And_Cloud_QA_Operational_v0.5.0.xlsx</x:v>
      </x:c>
      <x:c r="L13" s="26" t="str">
        <x:v>QA Testing Matrix v0.3–v0.6 y matrices operativas</x:v>
      </x:c>
      <x:c r="M13" s="26" t="str">
        <x:v>Supersedes historical authority; does not erase evidence, ADR, QA records or source copies.</x:v>
      </x:c>
      <x:c r="N13" s="26" t="str">
        <x:v>Direct historical line captured through filename and collection mapping.</x:v>
      </x:c>
    </x:row>
    <x:row r="14" ht="30" customHeight="1">
      <x:c r="A14" s="26" t="str">
        <x:v>09</x:v>
      </x:c>
      <x:c r="B14" s="26" t="str">
        <x:v>09_CSharp_Coding_Standards.md</x:v>
      </x:c>
      <x:c r="C14" s="26" t="str">
        <x:v>YES</x:v>
      </x:c>
      <x:c r="D14" s="26" t="n">
        <x:v>8</x:v>
      </x:c>
      <x:c r="E14" s="26" t="n">
        <x:v>4</x:v>
      </x:c>
      <x:c r="F14" s="26" t="n">
        <x:v>4</x:v>
      </x:c>
      <x:c r="G14" s="26" t="n">
        <x:v>0</x:v>
      </x:c>
      <x:c r="H14" s="26" t="str">
        <x:v>v0.3, v0.4, v0.5, v0.6</x:v>
      </x:c>
      <x:c r="I14" s="26" t="str">
        <x:v>Markdown, PDF</x:v>
      </x:c>
      <x:c r="J14" s="26" t="str">
        <x:v>00_Official_Baseline/v0.3/02_Technical/Cartridge_And_Cloud_CSharp_Coding_Standards_v0.3.pdf</x:v>
      </x:c>
      <x:c r="K14" s="26" t="str">
        <x:v>00_Official_Baseline/v0.6/99_Source_Markdown/Cartridge_And_Cloud_CSharp_Coding_Standards_v0.5.md</x:v>
      </x:c>
      <x:c r="L14" s="26" t="str">
        <x:v>C# Coding Standards v0.3–v0.6</x:v>
      </x:c>
      <x:c r="M14" s="26" t="str">
        <x:v>Supersedes historical authority; does not erase evidence, ADR, QA records or source copies.</x:v>
      </x:c>
      <x:c r="N14" s="26" t="str">
        <x:v>Direct historical line captured through filename and collection mapping.</x:v>
      </x:c>
    </x:row>
    <x:row r="15" ht="30" customHeight="1">
      <x:c r="A15" s="26" t="str">
        <x:v>10</x:v>
      </x:c>
      <x:c r="B15" s="26" t="str">
        <x:v>10_Unity_Project_Setup_Guide.md</x:v>
      </x:c>
      <x:c r="C15" s="26" t="str">
        <x:v>YES</x:v>
      </x:c>
      <x:c r="D15" s="26" t="n">
        <x:v>8</x:v>
      </x:c>
      <x:c r="E15" s="26" t="n">
        <x:v>4</x:v>
      </x:c>
      <x:c r="F15" s="26" t="n">
        <x:v>4</x:v>
      </x:c>
      <x:c r="G15" s="26" t="n">
        <x:v>0</x:v>
      </x:c>
      <x:c r="H15" s="26" t="str">
        <x:v>v0.3, v0.4, v0.5, v0.6</x:v>
      </x:c>
      <x:c r="I15" s="26" t="str">
        <x:v>Markdown, PDF</x:v>
      </x:c>
      <x:c r="J15" s="26" t="str">
        <x:v>00_Official_Baseline/v0.3/02_Technical/Cartridge_And_Cloud_Unity_Project_Setup_Guide_v0.3.pdf</x:v>
      </x:c>
      <x:c r="K15" s="26" t="str">
        <x:v>00_Official_Baseline/v0.6/99_Source_Markdown/Cartridge_And_Cloud_Unity_Project_Setup_Guide_v0.6.md</x:v>
      </x:c>
      <x:c r="L15" s="26" t="str">
        <x:v>Unity Project Setup Guide v0.3–v0.6</x:v>
      </x:c>
      <x:c r="M15" s="26" t="str">
        <x:v>Supersedes historical authority; does not erase evidence, ADR, QA records or source copies.</x:v>
      </x:c>
      <x:c r="N15" s="26" t="str">
        <x:v>Direct historical line captured through filename and collection mapping.</x:v>
      </x:c>
    </x:row>
    <x:row r="16" ht="30" customHeight="1">
      <x:c r="A16" s="26" t="str">
        <x:v>11</x:v>
      </x:c>
      <x:c r="B16" s="26" t="str">
        <x:v>11_Build_y_Versioning_Guide.md</x:v>
      </x:c>
      <x:c r="C16" s="26" t="str">
        <x:v>YES</x:v>
      </x:c>
      <x:c r="D16" s="26" t="n">
        <x:v>8</x:v>
      </x:c>
      <x:c r="E16" s="26" t="n">
        <x:v>4</x:v>
      </x:c>
      <x:c r="F16" s="26" t="n">
        <x:v>4</x:v>
      </x:c>
      <x:c r="G16" s="26" t="n">
        <x:v>0</x:v>
      </x:c>
      <x:c r="H16" s="26" t="str">
        <x:v>v0.3, v0.4, v0.5, v0.6</x:v>
      </x:c>
      <x:c r="I16" s="26" t="str">
        <x:v>Markdown, PDF</x:v>
      </x:c>
      <x:c r="J16" s="26" t="str">
        <x:v>00_Official_Baseline/v0.3/02_Technical/Cartridge_And_Cloud_Build_Versioning_Guide_v0.3.pdf</x:v>
      </x:c>
      <x:c r="K16" s="26" t="str">
        <x:v>00_Official_Baseline/v0.6/99_Source_Markdown/Cartridge_And_Cloud_Build_Versioning_Guide_v0.6.md</x:v>
      </x:c>
      <x:c r="L16" s="26" t="str">
        <x:v>Build &amp; Versioning Guide v0.3–v0.6</x:v>
      </x:c>
      <x:c r="M16" s="26" t="str">
        <x:v>Supersedes historical authority; does not erase evidence, ADR, QA records or source copies.</x:v>
      </x:c>
      <x:c r="N16" s="26" t="str">
        <x:v>Direct historical line captured through filename and collection mapping.</x:v>
      </x:c>
    </x:row>
    <x:row r="17" ht="30" customHeight="1">
      <x:c r="A17" s="26" t="str">
        <x:v>12</x:v>
      </x:c>
      <x:c r="B17" s="26" t="str">
        <x:v>12_Excel_Maestro_de_Produccion.xlsx</x:v>
      </x:c>
      <x:c r="C17" s="26" t="str">
        <x:v>YES</x:v>
      </x:c>
      <x:c r="D17" s="26" t="n">
        <x:v>6</x:v>
      </x:c>
      <x:c r="E17" s="26" t="n">
        <x:v>4</x:v>
      </x:c>
      <x:c r="F17" s="26" t="n">
        <x:v>0</x:v>
      </x:c>
      <x:c r="G17" s="26" t="n">
        <x:v>2</x:v>
      </x:c>
      <x:c r="H17" s="26" t="str">
        <x:v>v0.3, v0.3.9, v0.4, v0.5, v0.5.0, v0.6</x:v>
      </x:c>
      <x:c r="I17" s="26" t="str">
        <x:v>Excel</x:v>
      </x:c>
      <x:c r="J17" s="26" t="str">
        <x:v>00_Official_Baseline/v0.3/04_QA_Production/Cartridge_And_Cloud_Excel_Maestro_Produccion_v0.3.xlsx</x:v>
      </x:c>
      <x:c r="K17" s="26" t="str">
        <x:v>10_Development_Records/Production_Tracking/Cartridge_And_Cloud_Production_Tracking_Operational_v0.5.0.xlsx</x:v>
      </x:c>
      <x:c r="L17" s="26" t="str">
        <x:v>Excel Maestro de Producción v0.3–v0.6 y tracking operativo</x:v>
      </x:c>
      <x:c r="M17" s="26" t="str">
        <x:v>Supersedes historical authority; does not erase evidence, ADR, QA records or source copies.</x:v>
      </x:c>
      <x:c r="N17" s="26" t="str">
        <x:v>Direct historical line captured through filename and collection mapping.</x:v>
      </x:c>
    </x:row>
    <x:row r="18" ht="30" customHeight="1">
      <x:c r="A18" s="26" t="str">
        <x:v>13</x:v>
      </x:c>
      <x:c r="B18" s="26" t="str">
        <x:v>13_Trazabilidad_y_Control_de_Cambios.xlsx</x:v>
      </x:c>
      <x:c r="C18" s="26" t="str">
        <x:v>YES</x:v>
      </x:c>
      <x:c r="D18" s="26" t="n">
        <x:v>6</x:v>
      </x:c>
      <x:c r="E18" s="26" t="n">
        <x:v>4</x:v>
      </x:c>
      <x:c r="F18" s="26" t="n">
        <x:v>0</x:v>
      </x:c>
      <x:c r="G18" s="26" t="n">
        <x:v>2</x:v>
      </x:c>
      <x:c r="H18" s="26" t="str">
        <x:v>v0.3, v0.3.9, v0.4, v0.5, v0.5.0, v0.6</x:v>
      </x:c>
      <x:c r="I18" s="26" t="str">
        <x:v>Excel</x:v>
      </x:c>
      <x:c r="J18" s="26" t="str">
        <x:v>00_Official_Baseline/v0.3/04_QA_Production/Cartridge_And_Cloud_Trazabilidad_Control_Cambios_v0.3.xlsx</x:v>
      </x:c>
      <x:c r="K18" s="26" t="str">
        <x:v>10_Development_Records/Production_Tracking/Cartridge_And_Cloud_Traceability_Operational_v0.5.0.xlsx</x:v>
      </x:c>
      <x:c r="L18" s="26" t="str">
        <x:v>Trazabilidad y Control de Cambios v0.3–v0.6, ADR y entradas de sprint</x:v>
      </x:c>
      <x:c r="M18" s="26" t="str">
        <x:v>Supersedes historical authority; does not erase evidence, ADR, QA records or source copies.</x:v>
      </x:c>
      <x:c r="N18" s="26" t="str">
        <x:v>Direct historical line captured through filename and collection mapping.</x:v>
      </x:c>
    </x:row>
    <x:row r="19" ht="30" customHeight="1">
      <x:c r="A19" s="26" t="str">
        <x:v>14</x:v>
      </x:c>
      <x:c r="B19" s="26" t="str">
        <x:v>14_Project_Binder_Indice_Maestro.md</x:v>
      </x:c>
      <x:c r="C19" s="26" t="str">
        <x:v>YES</x:v>
      </x:c>
      <x:c r="D19" s="26" t="n">
        <x:v>8</x:v>
      </x:c>
      <x:c r="E19" s="26" t="n">
        <x:v>4</x:v>
      </x:c>
      <x:c r="F19" s="26" t="n">
        <x:v>4</x:v>
      </x:c>
      <x:c r="G19" s="26" t="n">
        <x:v>0</x:v>
      </x:c>
      <x:c r="H19" s="26" t="str">
        <x:v>v0.3, v0.4, v0.5, v0.6</x:v>
      </x:c>
      <x:c r="I19" s="26" t="str">
        <x:v>Markdown, PDF</x:v>
      </x:c>
      <x:c r="J19" s="26" t="str">
        <x:v>00_Official_Baseline/v0.3/00_Project_Governance/Cartridge_And_Cloud_Project_Binder_Indice_Maestro_v0.3.pdf</x:v>
      </x:c>
      <x:c r="K19" s="26" t="str">
        <x:v>00_Official_Baseline/v0.6/99_Source_Markdown/Cartridge_And_Cloud_Project_Binder_Indice_Maestro_v0.6.md</x:v>
      </x:c>
      <x:c r="L19" s="26" t="str">
        <x:v>Project Binder v0.3–v0.6 y package navigation</x:v>
      </x:c>
      <x:c r="M19" s="26" t="str">
        <x:v>Supersedes historical authority; does not erase evidence, ADR, QA records or source copies.</x:v>
      </x:c>
      <x:c r="N19" s="26" t="str">
        <x:v>Direct historical line captured through filename and collection mapping.</x:v>
      </x:c>
    </x:row>
    <x:row r="20" ht="30" customHeight="1">
      <x:c r="A20" s="26" t="str">
        <x:v>15</x:v>
      </x:c>
      <x:c r="B20" s="26" t="str">
        <x:v>15_Guia_Maestra.md</x:v>
      </x:c>
      <x:c r="C20" s="26" t="str">
        <x:v>YES</x:v>
      </x:c>
      <x:c r="D20" s="26" t="n">
        <x:v>17</x:v>
      </x:c>
      <x:c r="E20" s="26" t="n">
        <x:v>12</x:v>
      </x:c>
      <x:c r="F20" s="26" t="n">
        <x:v>4</x:v>
      </x:c>
      <x:c r="G20" s="26" t="n">
        <x:v>1</x:v>
      </x:c>
      <x:c r="H20" s="26" t="str">
        <x:v>v0.3, v0.4, v0.5, v0.6</x:v>
      </x:c>
      <x:c r="I20" s="26" t="str">
        <x:v>Markdown, PDF</x:v>
      </x:c>
      <x:c r="J20" s="26" t="str">
        <x:v>00_Official_Baseline/v0.3/00_Project_Governance/00_Cartridge_And_Cloud_Guide_v0.3.pdf</x:v>
      </x:c>
      <x:c r="K20" s="26" t="str">
        <x:v>10_Development_Records/Production_Tracking/README_Production_Tracking.md</x:v>
      </x:c>
      <x:c r="L20" s="26" t="str">
        <x:v>Guide v0.3–v0.6, README y procedimientos de gobierno</x:v>
      </x:c>
      <x:c r="M20" s="26" t="str">
        <x:v>Supersedes historical authority; does not erase evidence, ADR, QA records or source copies.</x:v>
      </x:c>
      <x:c r="N20" s="26" t="str">
        <x:v>Direct historical line captured through filename and collection mapping.</x:v>
      </x:c>
    </x:row>
    <x:row r="21" ht="30" customHeight="1">
      <x:c r="A21" s="26" t="str">
        <x:v>16</x:v>
      </x:c>
      <x:c r="B21" s="26" t="str">
        <x:v>16_Auditoria_Global_de_Coherencia.md</x:v>
      </x:c>
      <x:c r="C21" s="26" t="str">
        <x:v>YES</x:v>
      </x:c>
      <x:c r="D21" s="26" t="n">
        <x:v>12</x:v>
      </x:c>
      <x:c r="E21" s="26" t="n">
        <x:v>8</x:v>
      </x:c>
      <x:c r="F21" s="26" t="n">
        <x:v>4</x:v>
      </x:c>
      <x:c r="G21" s="26" t="n">
        <x:v>0</x:v>
      </x:c>
      <x:c r="H21" s="26" t="str">
        <x:v>v0.3, v0.4, v0.5, v0.6</x:v>
      </x:c>
      <x:c r="I21" s="26" t="str">
        <x:v>Markdown, PDF</x:v>
      </x:c>
      <x:c r="J21" s="26" t="str">
        <x:v>00_Official_Baseline/v0.3/00_Project_Governance/Cartridge_And_Cloud_Documentation_Validation_Report_v0.1.pdf</x:v>
      </x:c>
      <x:c r="K21" s="26" t="str">
        <x:v>00_Official_Baseline/v0.6/DOCUMENTATION_VALIDATION_REPORT.md</x:v>
      </x:c>
      <x:c r="L21" s="26" t="str">
        <x:v>Documentation Validation Reports v0.1–v0.4 y auditorías de sprint</x:v>
      </x:c>
      <x:c r="M21" s="26" t="str">
        <x:v>Supersedes historical authority; does not erase evidence, ADR, QA records or source copies.</x:v>
      </x:c>
      <x:c r="N21" s="26" t="str">
        <x:v>Direct historical line captured through filename and collection mapping.</x:v>
      </x:c>
    </x:row>
    <x:row r="22" ht="30" customHeight="1">
      <x:c r="A22" s="26" t="str">
        <x:v>17</x:v>
      </x:c>
      <x:c r="B22" s="26" t="str">
        <x:v>17_Art_Bible.md</x:v>
      </x:c>
      <x:c r="C22" s="26" t="str">
        <x:v>YES</x:v>
      </x:c>
      <x:c r="D22" s="26" t="n">
        <x:v>8</x:v>
      </x:c>
      <x:c r="E22" s="26" t="n">
        <x:v>4</x:v>
      </x:c>
      <x:c r="F22" s="26" t="n">
        <x:v>4</x:v>
      </x:c>
      <x:c r="G22" s="26" t="n">
        <x:v>0</x:v>
      </x:c>
      <x:c r="H22" s="26" t="str">
        <x:v>v0.3, v0.4, v0.5, v0.6</x:v>
      </x:c>
      <x:c r="I22" s="26" t="str">
        <x:v>Markdown, PDF</x:v>
      </x:c>
      <x:c r="J22" s="26" t="str">
        <x:v>00_Official_Baseline/v0.3/03_Visual_Audio/Cartridge_And_Cloud_Art_Bible_v0.3.pdf</x:v>
      </x:c>
      <x:c r="K22" s="26" t="str">
        <x:v>00_Official_Baseline/v0.6/99_Source_Markdown/Cartridge_And_Cloud_Art_Bible_v0.5.md</x:v>
      </x:c>
      <x:c r="L22" s="26" t="str">
        <x:v>Art Bible v0.3–v0.6 y entregables 3D de Sprint 16</x:v>
      </x:c>
      <x:c r="M22" s="26" t="str">
        <x:v>Supersedes historical authority; does not erase evidence, ADR, QA records or source copies.</x:v>
      </x:c>
      <x:c r="N22" s="26" t="str">
        <x:v>Direct historical line captured through filename and collection mapping.</x:v>
      </x:c>
    </x:row>
    <x:row r="23" ht="30" customHeight="1">
      <x:c r="A23" s="26" t="str">
        <x:v>18</x:v>
      </x:c>
      <x:c r="B23" s="26" t="str">
        <x:v>18_Audio_Bible.md</x:v>
      </x:c>
      <x:c r="C23" s="26" t="str">
        <x:v>YES</x:v>
      </x:c>
      <x:c r="D23" s="26" t="n">
        <x:v>8</x:v>
      </x:c>
      <x:c r="E23" s="26" t="n">
        <x:v>4</x:v>
      </x:c>
      <x:c r="F23" s="26" t="n">
        <x:v>4</x:v>
      </x:c>
      <x:c r="G23" s="26" t="n">
        <x:v>0</x:v>
      </x:c>
      <x:c r="H23" s="26" t="str">
        <x:v>v0.3, v0.4, v0.5, v0.6</x:v>
      </x:c>
      <x:c r="I23" s="26" t="str">
        <x:v>Markdown, PDF</x:v>
      </x:c>
      <x:c r="J23" s="26" t="str">
        <x:v>00_Official_Baseline/v0.3/03_Visual_Audio/Cartridge_And_Cloud_Audio_Bible_v0.3.pdf</x:v>
      </x:c>
      <x:c r="K23" s="26" t="str">
        <x:v>00_Official_Baseline/v0.6/99_Source_Markdown/Cartridge_And_Cloud_Audio_Bible_v0.5.md</x:v>
      </x:c>
      <x:c r="L23" s="26" t="str">
        <x:v>Audio Bible v0.3–v0.6</x:v>
      </x:c>
      <x:c r="M23" s="26" t="str">
        <x:v>Supersedes historical authority; does not erase evidence, ADR, QA records or source copies.</x:v>
      </x:c>
      <x:c r="N23" s="26" t="str">
        <x:v>Direct historical line captured through filename and collection mapping.</x:v>
      </x:c>
    </x:row>
    <x:row r="24" ht="30" customHeight="1">
      <x:c r="A24" s="26" t="str">
        <x:v>19</x:v>
      </x:c>
      <x:c r="B24" s="26" t="str">
        <x:v>19_UI_Style_Guide.md</x:v>
      </x:c>
      <x:c r="C24" s="26" t="str">
        <x:v>YES</x:v>
      </x:c>
      <x:c r="D24" s="26" t="n">
        <x:v>8</x:v>
      </x:c>
      <x:c r="E24" s="26" t="n">
        <x:v>4</x:v>
      </x:c>
      <x:c r="F24" s="26" t="n">
        <x:v>4</x:v>
      </x:c>
      <x:c r="G24" s="26" t="n">
        <x:v>0</x:v>
      </x:c>
      <x:c r="H24" s="26" t="str">
        <x:v>v0.3, v0.4, v0.5, v0.6</x:v>
      </x:c>
      <x:c r="I24" s="26" t="str">
        <x:v>Markdown, PDF</x:v>
      </x:c>
      <x:c r="J24" s="26" t="str">
        <x:v>00_Official_Baseline/v0.3/03_Visual_Audio/Cartridge_And_Cloud_UI_Style_Guide_v0.3.pdf</x:v>
      </x:c>
      <x:c r="K24" s="26" t="str">
        <x:v>00_Official_Baseline/v0.6/99_Source_Markdown/Cartridge_And_Cloud_UI_Style_Guide_v0.5.md</x:v>
      </x:c>
      <x:c r="L24" s="26" t="str">
        <x:v>UI Style Guide v0.3–v0.6</x:v>
      </x:c>
      <x:c r="M24" s="26" t="str">
        <x:v>Supersedes historical authority; does not erase evidence, ADR, QA records or source copies.</x:v>
      </x:c>
      <x:c r="N24" s="26" t="str">
        <x:v>Direct historical line captured through filename and collection mapping.</x:v>
      </x:c>
    </x:row>
    <x:row r="25" ht="30" customHeight="1">
      <x:c r="A25" s="26" t="str">
        <x:v>20</x:v>
      </x:c>
      <x:c r="B25" s="26" t="str">
        <x:v>20_Economy_and_Balance_Specification.md</x:v>
      </x:c>
      <x:c r="C25" s="26" t="str">
        <x:v>YES</x:v>
      </x:c>
      <x:c r="D25" s="26" t="n">
        <x:v>8</x:v>
      </x:c>
      <x:c r="E25" s="26" t="n">
        <x:v>4</x:v>
      </x:c>
      <x:c r="F25" s="26" t="n">
        <x:v>4</x:v>
      </x:c>
      <x:c r="G25" s="26" t="n">
        <x:v>0</x:v>
      </x:c>
      <x:c r="H25" s="26" t="str">
        <x:v>v0.3, v0.4, v0.5, v0.6</x:v>
      </x:c>
      <x:c r="I25" s="26" t="str">
        <x:v>Markdown, PDF</x:v>
      </x:c>
      <x:c r="J25" s="26" t="str">
        <x:v>00_Official_Baseline/v0.3/01_Design/Cartridge_And_Cloud_Economy_Balance_Specification_v0.1.pdf</x:v>
      </x:c>
      <x:c r="K25" s="26" t="str">
        <x:v>00_Official_Baseline/v0.6/99_Source_Markdown/Cartridge_And_Cloud_Economy_Balance_Specification_v0.3.md</x:v>
      </x:c>
      <x:c r="L25" s="26" t="str">
        <x:v>Economy &amp; Balance Specification v0.1–v0.4</x:v>
      </x:c>
      <x:c r="M25" s="26" t="str">
        <x:v>Supersedes historical authority; does not erase evidence, ADR, QA records or source copies.</x:v>
      </x:c>
      <x:c r="N25" s="26" t="str">
        <x:v>Direct historical line captured through filename and collection mapping.</x:v>
      </x:c>
    </x:row>
    <x:row r="26" ht="30" customHeight="1">
      <x:c r="A26" s="26" t="str">
        <x:v>21</x:v>
      </x:c>
      <x:c r="B26" s="26" t="str">
        <x:v>21_Initial_Content_Catalog.xlsx</x:v>
      </x:c>
      <x:c r="C26" s="26" t="str">
        <x:v>YES</x:v>
      </x:c>
      <x:c r="D26" s="26" t="n">
        <x:v>8</x:v>
      </x:c>
      <x:c r="E26" s="26" t="n">
        <x:v>4</x:v>
      </x:c>
      <x:c r="F26" s="26" t="n">
        <x:v>4</x:v>
      </x:c>
      <x:c r="G26" s="26" t="n">
        <x:v>0</x:v>
      </x:c>
      <x:c r="H26" s="26" t="str">
        <x:v>v0.3, v0.4, v0.5, v0.6</x:v>
      </x:c>
      <x:c r="I26" s="26" t="str">
        <x:v>Markdown, PDF</x:v>
      </x:c>
      <x:c r="J26" s="26" t="str">
        <x:v>00_Official_Baseline/v0.3/01_Design/Cartridge_And_Cloud_Initial_Content_Catalog_v0.1.pdf</x:v>
      </x:c>
      <x:c r="K26" s="26" t="str">
        <x:v>00_Official_Baseline/v0.6/99_Source_Markdown/Cartridge_And_Cloud_Initial_Content_Catalog_v0.3.md</x:v>
      </x:c>
      <x:c r="L26" s="26" t="str">
        <x:v>Initial Content Catalog v0.1–v0.4</x:v>
      </x:c>
      <x:c r="M26" s="26" t="str">
        <x:v>Supersedes historical authority; does not erase evidence, ADR, QA records or source copies.</x:v>
      </x:c>
      <x:c r="N26" s="26" t="str">
        <x:v>Direct historical line captured through filename and collection mapping.</x:v>
      </x:c>
    </x:row>
    <x:row r="27" ht="30" customHeight="1">
      <x:c r="A27" s="26" t="str">
        <x:v>22</x:v>
      </x:c>
      <x:c r="B27" s="26" t="str">
        <x:v>22_Localization_Plan.md</x:v>
      </x:c>
      <x:c r="C27" s="26" t="str">
        <x:v>YES</x:v>
      </x:c>
      <x:c r="D27" s="26" t="n">
        <x:v>8</x:v>
      </x:c>
      <x:c r="E27" s="26" t="n">
        <x:v>4</x:v>
      </x:c>
      <x:c r="F27" s="26" t="n">
        <x:v>4</x:v>
      </x:c>
      <x:c r="G27" s="26" t="n">
        <x:v>0</x:v>
      </x:c>
      <x:c r="H27" s="26" t="str">
        <x:v>v0.3, v0.4, v0.5, v0.6</x:v>
      </x:c>
      <x:c r="I27" s="26" t="str">
        <x:v>Markdown, PDF</x:v>
      </x:c>
      <x:c r="J27" s="26" t="str">
        <x:v>00_Official_Baseline/v0.3/05_Business_Release/Cartridge_And_Cloud_Localization_Plan_v0.3.pdf</x:v>
      </x:c>
      <x:c r="K27" s="26" t="str">
        <x:v>00_Official_Baseline/v0.6/99_Source_Markdown/Cartridge_And_Cloud_Localization_Plan_v0.5.md</x:v>
      </x:c>
      <x:c r="L27" s="26" t="str">
        <x:v>Localization Plan v0.3–v0.6</x:v>
      </x:c>
      <x:c r="M27" s="26" t="str">
        <x:v>Supersedes historical authority; does not erase evidence, ADR, QA records or source copies.</x:v>
      </x:c>
      <x:c r="N27" s="26" t="str">
        <x:v>Direct historical line captured through filename and collection mapping.</x:v>
      </x:c>
    </x:row>
    <x:row r="28" ht="30" customHeight="1">
      <x:c r="A28" s="26" t="str">
        <x:v>23</x:v>
      </x:c>
      <x:c r="B28" s="26" t="str">
        <x:v>23_Legal_Credits_and_Licenses_Register.xlsx</x:v>
      </x:c>
      <x:c r="C28" s="26" t="str">
        <x:v>YES</x:v>
      </x:c>
      <x:c r="D28" s="26" t="n">
        <x:v>8</x:v>
      </x:c>
      <x:c r="E28" s="26" t="n">
        <x:v>4</x:v>
      </x:c>
      <x:c r="F28" s="26" t="n">
        <x:v>4</x:v>
      </x:c>
      <x:c r="G28" s="26" t="n">
        <x:v>0</x:v>
      </x:c>
      <x:c r="H28" s="26" t="str">
        <x:v>v0.3, v0.4, v0.5, v0.6</x:v>
      </x:c>
      <x:c r="I28" s="26" t="str">
        <x:v>Markdown, PDF</x:v>
      </x:c>
      <x:c r="J28" s="26" t="str">
        <x:v>00_Official_Baseline/v0.3/05_Business_Release/Cartridge_And_Cloud_Legal_Credits_Licenses_Register_v0.3.pdf</x:v>
      </x:c>
      <x:c r="K28" s="26" t="str">
        <x:v>00_Official_Baseline/v0.6/99_Source_Markdown/Cartridge_And_Cloud_Legal_Credits_Licenses_Register_v0.5.md</x:v>
      </x:c>
      <x:c r="L28" s="26" t="str">
        <x:v>Legal, Credits &amp; Licenses Register v0.3–v0.6</x:v>
      </x:c>
      <x:c r="M28" s="26" t="str">
        <x:v>Supersedes historical authority; does not erase evidence, ADR, QA records or source copies.</x:v>
      </x:c>
      <x:c r="N28" s="26" t="str">
        <x:v>Direct historical line captured through filename and collection mapping.</x:v>
      </x:c>
    </x:row>
    <x:row r="29" ht="30" customHeight="1">
      <x:c r="A29" s="26" t="str">
        <x:v>24</x:v>
      </x:c>
      <x:c r="B29" s="26" t="str">
        <x:v>24_Steam_Publishing_Plan.md</x:v>
      </x:c>
      <x:c r="C29" s="26" t="str">
        <x:v>YES</x:v>
      </x:c>
      <x:c r="D29" s="26" t="n">
        <x:v>8</x:v>
      </x:c>
      <x:c r="E29" s="26" t="n">
        <x:v>4</x:v>
      </x:c>
      <x:c r="F29" s="26" t="n">
        <x:v>4</x:v>
      </x:c>
      <x:c r="G29" s="26" t="n">
        <x:v>0</x:v>
      </x:c>
      <x:c r="H29" s="26" t="str">
        <x:v>v0.3, v0.4, v0.5, v0.6</x:v>
      </x:c>
      <x:c r="I29" s="26" t="str">
        <x:v>Markdown, PDF</x:v>
      </x:c>
      <x:c r="J29" s="26" t="str">
        <x:v>00_Official_Baseline/v0.3/05_Business_Release/Cartridge_And_Cloud_Steam_Publishing_Plan_v0.3.pdf</x:v>
      </x:c>
      <x:c r="K29" s="26" t="str">
        <x:v>00_Official_Baseline/v0.6/99_Source_Markdown/Cartridge_And_Cloud_Steam_Publishing_Plan_v0.5.md</x:v>
      </x:c>
      <x:c r="L29" s="26" t="str">
        <x:v>Steam Publishing Plan v0.3–v0.6</x:v>
      </x:c>
      <x:c r="M29" s="26" t="str">
        <x:v>Supersedes historical authority; does not erase evidence, ADR, QA records or source copies.</x:v>
      </x:c>
      <x:c r="N29" s="26" t="str">
        <x:v>Direct historical line captured through filename and collection mapping.</x:v>
      </x:c>
    </x:row>
    <x:row r="30" ht="30" customHeight="1">
      <x:c r="A30" s="26" t="str">
        <x:v>25</x:v>
      </x:c>
      <x:c r="B30" s="26" t="str">
        <x:v>25_Post_Launch_and_Live_Operations_Plan.md</x:v>
      </x:c>
      <x:c r="C30" s="26" t="str">
        <x:v>NO — distributed antecedents or newly formalized domain</x:v>
      </x:c>
      <x:c r="D30" s="26" t="n">
        <x:v>0</x:v>
      </x:c>
      <x:c r="E30" s="26" t="n">
        <x:v>0</x:v>
      </x:c>
      <x:c r="F30" s="26" t="n">
        <x:v>0</x:v>
      </x:c>
      <x:c r="G30" s="26" t="n">
        <x:v>0</x:v>
      </x:c>
      <x:c r="H30" s="26"/>
      <x:c r="I30" s="26"/>
      <x:c r="J30" s="26"/>
      <x:c r="K30" s="26"/>
      <x:c r="L30" s="26" t="str">
        <x:v>Requisitos postlanzamiento distribuidos en roadmap, Steam, QA y guías</x:v>
      </x:c>
      <x:c r="M30" s="26" t="str">
        <x:v>Supersedes historical authority; does not erase evidence, ADR, QA records or source copies.</x:v>
      </x:c>
      <x:c r="N30" s="26" t="str">
        <x:v>Requisitos postlanzamiento distribuidos en roadmap, Steam, QA y guías</x:v>
      </x:c>
    </x:row>
    <x:row r="31" ht="30" customHeight="1">
      <x:c r="A31" s="26" t="str">
        <x:v>26</x:v>
      </x:c>
      <x:c r="B31" s="26" t="str">
        <x:v>26_Privacy_Data_and_Telemetry_Plan.md</x:v>
      </x:c>
      <x:c r="C31" s="26" t="str">
        <x:v>NO — distributed antecedents or newly formalized domain</x:v>
      </x:c>
      <x:c r="D31" s="26" t="n">
        <x:v>0</x:v>
      </x:c>
      <x:c r="E31" s="26" t="n">
        <x:v>0</x:v>
      </x:c>
      <x:c r="F31" s="26" t="n">
        <x:v>0</x:v>
      </x:c>
      <x:c r="G31" s="26" t="n">
        <x:v>0</x:v>
      </x:c>
      <x:c r="H31" s="26"/>
      <x:c r="I31" s="26"/>
      <x:c r="J31" s="26"/>
      <x:c r="K31" s="26"/>
      <x:c r="L31" s="26" t="str">
        <x:v>Requisitos de privacidad y datos distribuidos en TDD, QA, Steam y legal</x:v>
      </x:c>
      <x:c r="M31" s="26" t="str">
        <x:v>Supersedes historical authority; does not erase evidence, ADR, QA records or source copies.</x:v>
      </x:c>
      <x:c r="N31" s="26" t="str">
        <x:v>Requisitos de privacidad y datos distribuidos en TDD, QA, Steam y legal</x:v>
      </x:c>
    </x:row>
    <x:row r="32" ht="30" customHeight="1">
      <x:c r="A32" s="26" t="str">
        <x:v>27</x:v>
      </x:c>
      <x:c r="B32" s="26" t="str">
        <x:v>27_Security_and_Incident_Response_Plan.md</x:v>
      </x:c>
      <x:c r="C32" s="26" t="str">
        <x:v>NO — distributed antecedents or newly formalized domain</x:v>
      </x:c>
      <x:c r="D32" s="26" t="n">
        <x:v>0</x:v>
      </x:c>
      <x:c r="E32" s="26" t="n">
        <x:v>0</x:v>
      </x:c>
      <x:c r="F32" s="26" t="n">
        <x:v>0</x:v>
      </x:c>
      <x:c r="G32" s="26" t="n">
        <x:v>0</x:v>
      </x:c>
      <x:c r="H32" s="26"/>
      <x:c r="I32" s="26"/>
      <x:c r="J32" s="26"/>
      <x:c r="K32" s="26"/>
      <x:c r="L32" s="26" t="str">
        <x:v>Requisitos de secretos, builds, paquetes, incidentes y recuperación distribuidos en registros técnicos</x:v>
      </x:c>
      <x:c r="M32" s="26" t="str">
        <x:v>Supersedes historical authority; does not erase evidence, ADR, QA records or source copies.</x:v>
      </x:c>
      <x:c r="N32" s="26" t="str">
        <x:v>Requisitos de secretos, builds, paquetes, incidentes y recuperación distribuidos en registros técnicos</x:v>
      </x:c>
    </x:row>
    <x:row r="33" ht="30" customHeight="1">
      <x:c r="A33" s="26" t="str">
        <x:v>28</x:v>
      </x:c>
      <x:c r="B33" s="26" t="str">
        <x:v>28_Marketing_and_Communication_Plan.md</x:v>
      </x:c>
      <x:c r="C33" s="26" t="str">
        <x:v>YES</x:v>
      </x:c>
      <x:c r="D33" s="26" t="n">
        <x:v>8</x:v>
      </x:c>
      <x:c r="E33" s="26" t="n">
        <x:v>4</x:v>
      </x:c>
      <x:c r="F33" s="26" t="n">
        <x:v>4</x:v>
      </x:c>
      <x:c r="G33" s="26" t="n">
        <x:v>0</x:v>
      </x:c>
      <x:c r="H33" s="26" t="str">
        <x:v>v0.3, v0.4, v0.5, v0.6</x:v>
      </x:c>
      <x:c r="I33" s="26" t="str">
        <x:v>Markdown, PDF</x:v>
      </x:c>
      <x:c r="J33" s="26" t="str">
        <x:v>00_Official_Baseline/v0.3/05_Business_Release/Cartridge_And_Cloud_Marketing_Plan_v0.3.pdf</x:v>
      </x:c>
      <x:c r="K33" s="26" t="str">
        <x:v>00_Official_Baseline/v0.6/99_Source_Markdown/Cartridge_And_Cloud_Marketing_Plan_v0.5.md</x:v>
      </x:c>
      <x:c r="L33" s="26" t="str">
        <x:v>Marketing Plan v0.3, v0.4 y v0.5; comunicación dispersa en Steam y governance</x:v>
      </x:c>
      <x:c r="M33" s="26" t="str">
        <x:v>Supersedes historical authority; does not erase evidence, ADR, QA records or source copies.</x:v>
      </x:c>
      <x:c r="N33" s="26" t="str">
        <x:v>Direct historical line captured through filename and collection mapping.</x:v>
      </x:c>
    </x:row>
    <x:row r="34" ht="30" customHeight="1">
      <x:c r="A34" s="26" t="str">
        <x:v>29</x:v>
      </x:c>
      <x:c r="B34" s="26" t="str">
        <x:v>29_Accessibility_and_Inclusive_Design_Plan.md</x:v>
      </x:c>
      <x:c r="C34" s="26" t="str">
        <x:v>NO — distributed antecedents or newly formalized domain</x:v>
      </x:c>
      <x:c r="D34" s="26" t="n">
        <x:v>0</x:v>
      </x:c>
      <x:c r="E34" s="26" t="n">
        <x:v>0</x:v>
      </x:c>
      <x:c r="F34" s="26" t="n">
        <x:v>0</x:v>
      </x:c>
      <x:c r="G34" s="26" t="n">
        <x:v>0</x:v>
      </x:c>
      <x:c r="H34" s="26"/>
      <x:c r="I34" s="26"/>
      <x:c r="J34" s="26"/>
      <x:c r="K34" s="26"/>
      <x:c r="L34" s="26" t="str">
        <x:v>Requisitos distribuidos en UX, UI, GDD, QA, localización, arte, audio y Steam</x:v>
      </x:c>
      <x:c r="M34" s="26" t="str">
        <x:v>Supersedes historical authority; does not erase evidence, ADR, QA records or source copies.</x:v>
      </x:c>
      <x:c r="N34" s="26" t="str">
        <x:v>Requisitos distribuidos en UX, UI, GDD, QA, localización, arte, audio y Steam</x:v>
      </x:c>
    </x:row>
    <x:row r="35" ht="30" customHeight="1">
      <x:c r="A35" s="26" t="str">
        <x:v>30</x:v>
      </x:c>
      <x:c r="B35" s="26" t="str">
        <x:v>30_Performance_and_Optimization_Plan.md</x:v>
      </x:c>
      <x:c r="C35" s="26" t="str">
        <x:v>NO — distributed antecedents or newly formalized domain</x:v>
      </x:c>
      <x:c r="D35" s="26" t="n">
        <x:v>0</x:v>
      </x:c>
      <x:c r="E35" s="26" t="n">
        <x:v>0</x:v>
      </x:c>
      <x:c r="F35" s="26" t="n">
        <x:v>0</x:v>
      </x:c>
      <x:c r="G35" s="26" t="n">
        <x:v>0</x:v>
      </x:c>
      <x:c r="H35" s="26"/>
      <x:c r="I35" s="26"/>
      <x:c r="J35" s="26"/>
      <x:c r="K35" s="26"/>
      <x:c r="L35" s="26" t="str">
        <x:v>Requisitos distribuidos en TDD, VSS, QA, build, arte, audio, UI y código</x:v>
      </x:c>
      <x:c r="M35" s="26" t="str">
        <x:v>Supersedes historical authority; does not erase evidence, ADR, QA records or source copies.</x:v>
      </x:c>
      <x:c r="N35" s="26" t="str">
        <x:v>Requisitos distribuidos en TDD, VSS, QA, build, arte, audio, UI y código</x:v>
      </x:c>
    </x:row>
    <x:row r="36" ht="30" customHeight="1">
      <x:c r="A36" s="26" t="str">
        <x:v>31</x:v>
      </x:c>
      <x:c r="B36" s="26" t="str">
        <x:v>31_H6_and_Release_Readiness_Checklist.xlsx</x:v>
      </x:c>
      <x:c r="C36" s="26" t="str">
        <x:v>YES</x:v>
      </x:c>
      <x:c r="D36" s="26" t="n">
        <x:v>106</x:v>
      </x:c>
      <x:c r="E36" s="26" t="n">
        <x:v>0</x:v>
      </x:c>
      <x:c r="F36" s="26" t="n">
        <x:v>0</x:v>
      </x:c>
      <x:c r="G36" s="26" t="n">
        <x:v>75</x:v>
      </x:c>
      <x:c r="H36" s="26" t="str">
        <x:v>v0.4, v0.5, v0.6</x:v>
      </x:c>
      <x:c r="I36" s="26" t="str">
        <x:v>Markdown</x:v>
      </x:c>
      <x:c r="J36" s="26" t="str">
        <x:v>00_Official_Baseline/v0.4/06_Development_Records/Sprint_00/S0.10_Validation_Checklist.md</x:v>
      </x:c>
      <x:c r="K36" s="26" t="str">
        <x:v>10_Development_Records/Sprints/Sprint_00/S0.9_Validation_Checklist.md</x:v>
      </x:c>
      <x:c r="L36" s="26" t="str">
        <x:v>VSS, QA Plan/Matrix, validation checklists, acceptance matrices y build records de Sprints 0–16</x:v>
      </x:c>
      <x:c r="M36" s="26" t="str">
        <x:v>Supersedes historical authority; does not erase evidence, ADR, QA records or source copies.</x:v>
      </x:c>
      <x:c r="N36" s="26" t="str">
        <x:v>Direct historical line captured through filename and collection mapping.</x:v>
      </x:c>
    </x:row>
    <x:row r="37" ht="30" customHeight="1">
      <x:c r="A37" s="26" t="str">
        <x:v>32</x:v>
      </x:c>
      <x:c r="B37" s="26" t="str">
        <x:v>32_Documentation_Baseline_Manifest.xlsx</x:v>
      </x:c>
      <x:c r="C37" s="26" t="str">
        <x:v>YES</x:v>
      </x:c>
      <x:c r="D37" s="26" t="n">
        <x:v>28</x:v>
      </x:c>
      <x:c r="E37" s="26" t="n">
        <x:v>20</x:v>
      </x:c>
      <x:c r="F37" s="26" t="n">
        <x:v>8</x:v>
      </x:c>
      <x:c r="G37" s="26" t="n">
        <x:v>0</x:v>
      </x:c>
      <x:c r="H37" s="26" t="str">
        <x:v>v0.3, v0.4, v0.5, v0.6</x:v>
      </x:c>
      <x:c r="I37" s="26" t="str">
        <x:v>Markdown, PDF, Text</x:v>
      </x:c>
      <x:c r="J37" s="26" t="str">
        <x:v>00_Official_Baseline/v0.3/00_Project_Governance/Cartridge_And_Cloud_Document_Migration_Plan_v0.1.pdf</x:v>
      </x:c>
      <x:c r="K37" s="26" t="str">
        <x:v>00_Official_Baseline/v0.6/PACKAGE_MANIFEST.md</x:v>
      </x:c>
      <x:c r="L37" s="26" t="str">
        <x:v>Package Manifest, CHECKSUMS, validation reports, migration plans, README y manifests de v0.3–v0.6</x:v>
      </x:c>
      <x:c r="M37" s="26" t="str">
        <x:v>Supersedes historical authority; does not erase evidence, ADR, QA records or source copies.</x:v>
      </x:c>
      <x:c r="N37" s="26" t="str">
        <x:v>Direct historical line captured through filename and collection mapping.</x:v>
      </x:c>
    </x:row>
    <x:row r="38" ht="30" customHeight="1">
      <x:c r="A38" s="26" t="str">
        <x:v>33</x:v>
      </x:c>
      <x:c r="B38" s="26" t="str">
        <x:v>33_Project_Risk_Register_and_Business_Continuity_Plan.xlsx</x:v>
      </x:c>
      <x:c r="C38" s="26" t="str">
        <x:v>NO — distributed antecedents or newly formalized domain</x:v>
      </x:c>
      <x:c r="D38" s="26" t="n">
        <x:v>0</x:v>
      </x:c>
      <x:c r="E38" s="26" t="n">
        <x:v>0</x:v>
      </x:c>
      <x:c r="F38" s="26" t="n">
        <x:v>0</x:v>
      </x:c>
      <x:c r="G38" s="26" t="n">
        <x:v>0</x:v>
      </x:c>
      <x:c r="H38" s="26"/>
      <x:c r="I38" s="26"/>
      <x:c r="J38" s="26"/>
      <x:c r="K38" s="26"/>
      <x:c r="L38" s="26" t="str">
        <x:v>Riesgos distribuidos en roadmap, QA, seguridad, builds, paquetes y handoff</x:v>
      </x:c>
      <x:c r="M38" s="26" t="str">
        <x:v>Pending document; antecedents remain distributed until generated.</x:v>
      </x:c>
      <x:c r="N38" s="26" t="str">
        <x:v>Riesgos distribuidos en roadmap, QA, seguridad, builds, paquetes y handoff</x:v>
      </x:c>
    </x:row>
    <x:row r="39" ht="30" customHeight="1">
      <x:c r="A39" s="26" t="str">
        <x:v>34</x:v>
      </x:c>
      <x:c r="B39" s="26" t="str">
        <x:v>34_Final_Handoff_and_Project_Operations_Manual.md</x:v>
      </x:c>
      <x:c r="C39" s="26" t="str">
        <x:v>YES</x:v>
      </x:c>
      <x:c r="D39" s="26" t="n">
        <x:v>13</x:v>
      </x:c>
      <x:c r="E39" s="26" t="n">
        <x:v>0</x:v>
      </x:c>
      <x:c r="F39" s="26" t="n">
        <x:v>0</x:v>
      </x:c>
      <x:c r="G39" s="26" t="n">
        <x:v>8</x:v>
      </x:c>
      <x:c r="H39" s="26" t="str">
        <x:v>v0.5, v0.6</x:v>
      </x:c>
      <x:c r="I39" s="26" t="str">
        <x:v>Markdown</x:v>
      </x:c>
      <x:c r="J39" s="26" t="str">
        <x:v>00_Official_Baseline/v0.5/06_Development_Records/Handoff/CURRENT_PROJECT_HANDOFF.md</x:v>
      </x:c>
      <x:c r="K39" s="26" t="str">
        <x:v>10_Development_Records/Sprint_14/Governance/S14_Handoff_Update_Template.md</x:v>
      </x:c>
      <x:c r="L39" s="26" t="str">
        <x:v>Guides, README, handoff records, current status, closure reports y package procedures</x:v>
      </x:c>
      <x:c r="M39" s="26" t="str">
        <x:v>Pending document; antecedents remain distributed until generated.</x:v>
      </x:c>
      <x:c r="N39" s="26" t="str">
        <x:v>Direct historical line captured through filename and collection mapping.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4" hidden="0" customWidth="1"/>
    <x:col min="4" max="4" width="18" hidden="0" customWidth="1"/>
    <x:col min="5" max="5" width="44" hidden="0" customWidth="1"/>
    <x:col min="6" max="6" width="18" hidden="0" customWidth="1"/>
    <x:col min="7" max="7" width="52" hidden="0" customWidth="1"/>
    <x:col min="8" max="8" width="58" hidden="0" customWidth="1"/>
    <x:col min="9" max="9" width="18" hidden="0" customWidth="1"/>
  </x:cols>
  <x:sheetData>
    <x:row r="1" ht="28" customHeight="1">
      <x:c r="A1" s="31" t="str">
        <x:v>Relaciones y reglas de propagación</x:v>
      </x:c>
      <x:c r="B1" s="31"/>
      <x:c r="C1" s="31"/>
      <x:c r="D1" s="31"/>
      <x:c r="E1" s="31"/>
      <x:c r="F1" s="31"/>
      <x:c r="G1" s="31"/>
      <x:c r="H1" s="31"/>
      <x:c r="I1" s="31"/>
    </x:row>
    <x:row r="2" ht="32" customHeight="1">
      <x:c r="A2" s="35" t="str">
        <x:v>424 relaciones de dependencia, coherencia, actualización y auditoría entre 00–34.</x:v>
      </x:c>
      <x:c r="B2" s="35"/>
      <x:c r="C2" s="35"/>
      <x:c r="D2" s="35"/>
      <x:c r="E2" s="35"/>
      <x:c r="F2" s="35"/>
      <x:c r="G2" s="35"/>
      <x:c r="H2" s="35"/>
      <x:c r="I2" s="35"/>
    </x:row>
    <x:row r="4" ht="30" customHeight="1">
      <x:c r="A4" s="40" t="str">
        <x:v>Relation ID</x:v>
      </x:c>
      <x:c r="B4" s="40" t="str">
        <x:v>Source ID</x:v>
      </x:c>
      <x:c r="C4" s="40" t="str">
        <x:v>Source Document</x:v>
      </x:c>
      <x:c r="D4" s="40" t="str">
        <x:v>Target ID</x:v>
      </x:c>
      <x:c r="E4" s="40" t="str">
        <x:v>Target Document</x:v>
      </x:c>
      <x:c r="F4" s="40" t="str">
        <x:v>Relation Type</x:v>
      </x:c>
      <x:c r="G4" s="40" t="str">
        <x:v>Requirement</x:v>
      </x:c>
      <x:c r="H4" s="40" t="str">
        <x:v>Update Trigger / Rule</x:v>
      </x:c>
      <x:c r="I4" s="40" t="str">
        <x:v>Current State</x:v>
      </x:c>
    </x:row>
    <x:row r="5" ht="30" customHeight="1">
      <x:c r="A5" s="26" t="str">
        <x:v>REL-0001</x:v>
      </x:c>
      <x:c r="B5" s="26" t="str">
        <x:v>01</x:v>
      </x:c>
      <x:c r="C5" s="26" t="str">
        <x:v>01_Game_Design_Document.md</x:v>
      </x:c>
      <x:c r="D5" s="26" t="str">
        <x:v>00</x:v>
      </x:c>
      <x:c r="E5" s="26" t="str">
        <x:v>00_Enfoque_y_Alcance.md</x:v>
      </x:c>
      <x:c r="F5" s="26" t="str">
        <x:v>DEPENDS ON / MUST REMAIN CONSISTENT WITH</x:v>
      </x:c>
      <x:c r="G5" s="26" t="str">
        <x:v>MANDATORY</x:v>
      </x:c>
      <x:c r="H5" s="26" t="str">
        <x:v>Update source when target changes materially; record impact in 13.</x:v>
      </x:c>
      <x:c r="I5" s="26" t="str">
        <x:v>ACTIVE</x:v>
      </x:c>
    </x:row>
    <x:row r="6" ht="30" customHeight="1">
      <x:c r="A6" s="26" t="str">
        <x:v>REL-0002</x:v>
      </x:c>
      <x:c r="B6" s="26" t="str">
        <x:v>02</x:v>
      </x:c>
      <x:c r="C6" s="26" t="str">
        <x:v>02_Vertical_Slice_Specification.md</x:v>
      </x:c>
      <x:c r="D6" s="26" t="str">
        <x:v>00</x:v>
      </x:c>
      <x:c r="E6" s="26" t="str">
        <x:v>00_Enfoque_y_Alcance.md</x:v>
      </x:c>
      <x:c r="F6" s="26" t="str">
        <x:v>DEPENDS ON / MUST REMAIN CONSISTENT WITH</x:v>
      </x:c>
      <x:c r="G6" s="26" t="str">
        <x:v>MANDATORY</x:v>
      </x:c>
      <x:c r="H6" s="26" t="str">
        <x:v>Update source when target changes materially; record impact in 13.</x:v>
      </x:c>
      <x:c r="I6" s="26" t="str">
        <x:v>ACTIVE</x:v>
      </x:c>
    </x:row>
    <x:row r="7" ht="30" customHeight="1">
      <x:c r="A7" s="26" t="str">
        <x:v>REL-0003</x:v>
      </x:c>
      <x:c r="B7" s="26" t="str">
        <x:v>02</x:v>
      </x:c>
      <x:c r="C7" s="26" t="str">
        <x:v>02_Vertical_Slice_Specification.md</x:v>
      </x:c>
      <x:c r="D7" s="26" t="str">
        <x:v>01</x:v>
      </x:c>
      <x:c r="E7" s="26" t="str">
        <x:v>01_Game_Design_Document.md</x:v>
      </x:c>
      <x:c r="F7" s="26" t="str">
        <x:v>DEPENDS ON / MUST REMAIN CONSISTENT WITH</x:v>
      </x:c>
      <x:c r="G7" s="26" t="str">
        <x:v>MANDATORY</x:v>
      </x:c>
      <x:c r="H7" s="26" t="str">
        <x:v>Update source when target changes materially; record impact in 13.</x:v>
      </x:c>
      <x:c r="I7" s="26" t="str">
        <x:v>ACTIVE</x:v>
      </x:c>
    </x:row>
    <x:row r="8" ht="30" customHeight="1">
      <x:c r="A8" s="26" t="str">
        <x:v>REL-0004</x:v>
      </x:c>
      <x:c r="B8" s="26" t="str">
        <x:v>02</x:v>
      </x:c>
      <x:c r="C8" s="26" t="str">
        <x:v>02_Vertical_Slice_Specification.md</x:v>
      </x:c>
      <x:c r="D8" s="26" t="str">
        <x:v>03</x:v>
      </x:c>
      <x:c r="E8" s="26" t="str">
        <x:v>03_Technical_Design_Document.md</x:v>
      </x:c>
      <x:c r="F8" s="26" t="str">
        <x:v>DEPENDS ON / MUST REMAIN CONSISTENT WITH</x:v>
      </x:c>
      <x:c r="G8" s="26" t="str">
        <x:v>MANDATORY</x:v>
      </x:c>
      <x:c r="H8" s="26" t="str">
        <x:v>Update source when target changes materially; record impact in 13.</x:v>
      </x:c>
      <x:c r="I8" s="26" t="str">
        <x:v>ACTIVE</x:v>
      </x:c>
    </x:row>
    <x:row r="9" ht="30" customHeight="1">
      <x:c r="A9" s="26" t="str">
        <x:v>REL-0005</x:v>
      </x:c>
      <x:c r="B9" s="26" t="str">
        <x:v>02</x:v>
      </x:c>
      <x:c r="C9" s="26" t="str">
        <x:v>02_Vertical_Slice_Specification.md</x:v>
      </x:c>
      <x:c r="D9" s="26" t="str">
        <x:v>05</x:v>
      </x:c>
      <x:c r="E9" s="26" t="str">
        <x:v>05_UX_Flow.md</x:v>
      </x:c>
      <x:c r="F9" s="26" t="str">
        <x:v>DEPENDS ON / MUST REMAIN CONSISTENT WITH</x:v>
      </x:c>
      <x:c r="G9" s="26" t="str">
        <x:v>MANDATORY</x:v>
      </x:c>
      <x:c r="H9" s="26" t="str">
        <x:v>Update source when target changes materially; record impact in 13.</x:v>
      </x:c>
      <x:c r="I9" s="26" t="str">
        <x:v>ACTIVE</x:v>
      </x:c>
    </x:row>
    <x:row r="10" ht="30" customHeight="1">
      <x:c r="A10" s="26" t="str">
        <x:v>REL-0006</x:v>
      </x:c>
      <x:c r="B10" s="26" t="str">
        <x:v>02</x:v>
      </x:c>
      <x:c r="C10" s="26" t="str">
        <x:v>02_Vertical_Slice_Specification.md</x:v>
      </x:c>
      <x:c r="D10" s="26" t="str">
        <x:v>06</x:v>
      </x:c>
      <x:c r="E10" s="26" t="str">
        <x:v>06_Production_Roadmap_y_Sprint_Plan.md</x:v>
      </x:c>
      <x:c r="F10" s="26" t="str">
        <x:v>DEPENDS ON / MUST REMAIN CONSISTENT WITH</x:v>
      </x:c>
      <x:c r="G10" s="26" t="str">
        <x:v>MANDATORY</x:v>
      </x:c>
      <x:c r="H10" s="26" t="str">
        <x:v>Update source when target changes materially; record impact in 13.</x:v>
      </x:c>
      <x:c r="I10" s="26" t="str">
        <x:v>ACTIVE</x:v>
      </x:c>
    </x:row>
    <x:row r="11" ht="30" customHeight="1">
      <x:c r="A11" s="26" t="str">
        <x:v>REL-0007</x:v>
      </x:c>
      <x:c r="B11" s="26" t="str">
        <x:v>02</x:v>
      </x:c>
      <x:c r="C11" s="26" t="str">
        <x:v>02_Vertical_Slice_Specification.md</x:v>
      </x:c>
      <x:c r="D11" s="26" t="str">
        <x:v>07</x:v>
      </x:c>
      <x:c r="E11" s="26" t="str">
        <x:v>07_QA_Testing_Plan.md</x:v>
      </x:c>
      <x:c r="F11" s="26" t="str">
        <x:v>DEPENDS ON / MUST REMAIN CONSISTENT WITH</x:v>
      </x:c>
      <x:c r="G11" s="26" t="str">
        <x:v>MANDATORY</x:v>
      </x:c>
      <x:c r="H11" s="26" t="str">
        <x:v>Update source when target changes materially; record impact in 13.</x:v>
      </x:c>
      <x:c r="I11" s="26" t="str">
        <x:v>ACTIVE</x:v>
      </x:c>
    </x:row>
    <x:row r="12" ht="30" customHeight="1">
      <x:c r="A12" s="26" t="str">
        <x:v>REL-0008</x:v>
      </x:c>
      <x:c r="B12" s="26" t="str">
        <x:v>02</x:v>
      </x:c>
      <x:c r="C12" s="26" t="str">
        <x:v>02_Vertical_Slice_Specification.md</x:v>
      </x:c>
      <x:c r="D12" s="26" t="str">
        <x:v>08</x:v>
      </x:c>
      <x:c r="E12" s="26" t="str">
        <x:v>08_QA_Testing_Matrix.xlsx</x:v>
      </x:c>
      <x:c r="F12" s="26" t="str">
        <x:v>DEPENDS ON / MUST REMAIN CONSISTENT WITH</x:v>
      </x:c>
      <x:c r="G12" s="26" t="str">
        <x:v>MANDATORY</x:v>
      </x:c>
      <x:c r="H12" s="26" t="str">
        <x:v>Update source when target changes materially; record impact in 13.</x:v>
      </x:c>
      <x:c r="I12" s="26" t="str">
        <x:v>ACTIVE</x:v>
      </x:c>
    </x:row>
    <x:row r="13" ht="30" customHeight="1">
      <x:c r="A13" s="26" t="str">
        <x:v>REL-0009</x:v>
      </x:c>
      <x:c r="B13" s="26" t="str">
        <x:v>02</x:v>
      </x:c>
      <x:c r="C13" s="26" t="str">
        <x:v>02_Vertical_Slice_Specification.md</x:v>
      </x:c>
      <x:c r="D13" s="26" t="str">
        <x:v>11</x:v>
      </x:c>
      <x:c r="E13" s="26" t="str">
        <x:v>11_Build_y_Versioning_Guide.md</x:v>
      </x:c>
      <x:c r="F13" s="26" t="str">
        <x:v>DEPENDS ON / MUST REMAIN CONSISTENT WITH</x:v>
      </x:c>
      <x:c r="G13" s="26" t="str">
        <x:v>MANDATORY</x:v>
      </x:c>
      <x:c r="H13" s="26" t="str">
        <x:v>Update source when target changes materially; record impact in 13.</x:v>
      </x:c>
      <x:c r="I13" s="26" t="str">
        <x:v>ACTIVE</x:v>
      </x:c>
    </x:row>
    <x:row r="14" ht="30" customHeight="1">
      <x:c r="A14" s="26" t="str">
        <x:v>REL-0010</x:v>
      </x:c>
      <x:c r="B14" s="26" t="str">
        <x:v>02</x:v>
      </x:c>
      <x:c r="C14" s="26" t="str">
        <x:v>02_Vertical_Slice_Specification.md</x:v>
      </x:c>
      <x:c r="D14" s="26" t="str">
        <x:v>20</x:v>
      </x:c>
      <x:c r="E14" s="26" t="str">
        <x:v>20_Economy_and_Balance_Specification.md</x:v>
      </x:c>
      <x:c r="F14" s="26" t="str">
        <x:v>DEPENDS ON / MUST REMAIN CONSISTENT WITH</x:v>
      </x:c>
      <x:c r="G14" s="26" t="str">
        <x:v>MANDATORY</x:v>
      </x:c>
      <x:c r="H14" s="26" t="str">
        <x:v>Update source when target changes materially; record impact in 13.</x:v>
      </x:c>
      <x:c r="I14" s="26" t="str">
        <x:v>ACTIVE</x:v>
      </x:c>
    </x:row>
    <x:row r="15" ht="30" customHeight="1">
      <x:c r="A15" s="26" t="str">
        <x:v>REL-0011</x:v>
      </x:c>
      <x:c r="B15" s="26" t="str">
        <x:v>02</x:v>
      </x:c>
      <x:c r="C15" s="26" t="str">
        <x:v>02_Vertical_Slice_Specification.md</x:v>
      </x:c>
      <x:c r="D15" s="26" t="str">
        <x:v>21</x:v>
      </x:c>
      <x:c r="E15" s="26" t="str">
        <x:v>21_Initial_Content_Catalog.xlsx</x:v>
      </x:c>
      <x:c r="F15" s="26" t="str">
        <x:v>DEPENDS ON / MUST REMAIN CONSISTENT WITH</x:v>
      </x:c>
      <x:c r="G15" s="26" t="str">
        <x:v>MANDATORY</x:v>
      </x:c>
      <x:c r="H15" s="26" t="str">
        <x:v>Update source when target changes materially; record impact in 13.</x:v>
      </x:c>
      <x:c r="I15" s="26" t="str">
        <x:v>ACTIVE</x:v>
      </x:c>
    </x:row>
    <x:row r="16" ht="30" customHeight="1">
      <x:c r="A16" s="26" t="str">
        <x:v>REL-0012</x:v>
      </x:c>
      <x:c r="B16" s="26" t="str">
        <x:v>03</x:v>
      </x:c>
      <x:c r="C16" s="26" t="str">
        <x:v>03_Technical_Design_Document.md</x:v>
      </x:c>
      <x:c r="D16" s="26" t="str">
        <x:v>00</x:v>
      </x:c>
      <x:c r="E16" s="26" t="str">
        <x:v>00_Enfoque_y_Alcance.md</x:v>
      </x:c>
      <x:c r="F16" s="26" t="str">
        <x:v>DEPENDS ON / MUST REMAIN CONSISTENT WITH</x:v>
      </x:c>
      <x:c r="G16" s="26" t="str">
        <x:v>MANDATORY</x:v>
      </x:c>
      <x:c r="H16" s="26" t="str">
        <x:v>Update source when target changes materially; record impact in 13.</x:v>
      </x:c>
      <x:c r="I16" s="26" t="str">
        <x:v>ACTIVE</x:v>
      </x:c>
    </x:row>
    <x:row r="17" ht="30" customHeight="1">
      <x:c r="A17" s="26" t="str">
        <x:v>REL-0013</x:v>
      </x:c>
      <x:c r="B17" s="26" t="str">
        <x:v>03</x:v>
      </x:c>
      <x:c r="C17" s="26" t="str">
        <x:v>03_Technical_Design_Document.md</x:v>
      </x:c>
      <x:c r="D17" s="26" t="str">
        <x:v>01</x:v>
      </x:c>
      <x:c r="E17" s="26" t="str">
        <x:v>01_Game_Design_Document.md</x:v>
      </x:c>
      <x:c r="F17" s="26" t="str">
        <x:v>DEPENDS ON / MUST REMAIN CONSISTENT WITH</x:v>
      </x:c>
      <x:c r="G17" s="26" t="str">
        <x:v>MANDATORY</x:v>
      </x:c>
      <x:c r="H17" s="26" t="str">
        <x:v>Update source when target changes materially; record impact in 13.</x:v>
      </x:c>
      <x:c r="I17" s="26" t="str">
        <x:v>ACTIVE</x:v>
      </x:c>
    </x:row>
    <x:row r="18" ht="30" customHeight="1">
      <x:c r="A18" s="26" t="str">
        <x:v>REL-0014</x:v>
      </x:c>
      <x:c r="B18" s="26" t="str">
        <x:v>03</x:v>
      </x:c>
      <x:c r="C18" s="26" t="str">
        <x:v>03_Technical_Design_Document.md</x:v>
      </x:c>
      <x:c r="D18" s="26" t="str">
        <x:v>02</x:v>
      </x:c>
      <x:c r="E18" s="26" t="str">
        <x:v>02_Vertical_Slice_Specification.md</x:v>
      </x:c>
      <x:c r="F18" s="26" t="str">
        <x:v>DEPENDS ON / MUST REMAIN CONSISTENT WITH</x:v>
      </x:c>
      <x:c r="G18" s="26" t="str">
        <x:v>MANDATORY</x:v>
      </x:c>
      <x:c r="H18" s="26" t="str">
        <x:v>Update source when target changes materially; record impact in 13.</x:v>
      </x:c>
      <x:c r="I18" s="26" t="str">
        <x:v>ACTIVE</x:v>
      </x:c>
    </x:row>
    <x:row r="19" ht="30" customHeight="1">
      <x:c r="A19" s="26" t="str">
        <x:v>REL-0015</x:v>
      </x:c>
      <x:c r="B19" s="26" t="str">
        <x:v>03</x:v>
      </x:c>
      <x:c r="C19" s="26" t="str">
        <x:v>03_Technical_Design_Document.md</x:v>
      </x:c>
      <x:c r="D19" s="26" t="str">
        <x:v>04</x:v>
      </x:c>
      <x:c r="E19" s="26" t="str">
        <x:v>04_Modelo_de_Datos.md</x:v>
      </x:c>
      <x:c r="F19" s="26" t="str">
        <x:v>DEPENDS ON / MUST REMAIN CONSISTENT WITH</x:v>
      </x:c>
      <x:c r="G19" s="26" t="str">
        <x:v>MANDATORY</x:v>
      </x:c>
      <x:c r="H19" s="26" t="str">
        <x:v>Update source when target changes materially; record impact in 13.</x:v>
      </x:c>
      <x:c r="I19" s="26" t="str">
        <x:v>ACTIVE</x:v>
      </x:c>
    </x:row>
    <x:row r="20" ht="30" customHeight="1">
      <x:c r="A20" s="26" t="str">
        <x:v>REL-0016</x:v>
      </x:c>
      <x:c r="B20" s="26" t="str">
        <x:v>03</x:v>
      </x:c>
      <x:c r="C20" s="26" t="str">
        <x:v>03_Technical_Design_Document.md</x:v>
      </x:c>
      <x:c r="D20" s="26" t="str">
        <x:v>09</x:v>
      </x:c>
      <x:c r="E20" s="26" t="str">
        <x:v>09_CSharp_Coding_Standards.md</x:v>
      </x:c>
      <x:c r="F20" s="26" t="str">
        <x:v>DEPENDS ON / MUST REMAIN CONSISTENT WITH</x:v>
      </x:c>
      <x:c r="G20" s="26" t="str">
        <x:v>MANDATORY</x:v>
      </x:c>
      <x:c r="H20" s="26" t="str">
        <x:v>Update source when target changes materially; record impact in 13.</x:v>
      </x:c>
      <x:c r="I20" s="26" t="str">
        <x:v>ACTIVE</x:v>
      </x:c>
    </x:row>
    <x:row r="21" ht="30" customHeight="1">
      <x:c r="A21" s="26" t="str">
        <x:v>REL-0017</x:v>
      </x:c>
      <x:c r="B21" s="26" t="str">
        <x:v>03</x:v>
      </x:c>
      <x:c r="C21" s="26" t="str">
        <x:v>03_Technical_Design_Document.md</x:v>
      </x:c>
      <x:c r="D21" s="26" t="str">
        <x:v>10</x:v>
      </x:c>
      <x:c r="E21" s="26" t="str">
        <x:v>10_Unity_Project_Setup_Guide.md</x:v>
      </x:c>
      <x:c r="F21" s="26" t="str">
        <x:v>DEPENDS ON / MUST REMAIN CONSISTENT WITH</x:v>
      </x:c>
      <x:c r="G21" s="26" t="str">
        <x:v>MANDATORY</x:v>
      </x:c>
      <x:c r="H21" s="26" t="str">
        <x:v>Update source when target changes materially; record impact in 13.</x:v>
      </x:c>
      <x:c r="I21" s="26" t="str">
        <x:v>ACTIVE</x:v>
      </x:c>
    </x:row>
    <x:row r="22" ht="30" customHeight="1">
      <x:c r="A22" s="26" t="str">
        <x:v>REL-0018</x:v>
      </x:c>
      <x:c r="B22" s="26" t="str">
        <x:v>03</x:v>
      </x:c>
      <x:c r="C22" s="26" t="str">
        <x:v>03_Technical_Design_Document.md</x:v>
      </x:c>
      <x:c r="D22" s="26" t="str">
        <x:v>11</x:v>
      </x:c>
      <x:c r="E22" s="26" t="str">
        <x:v>11_Build_y_Versioning_Guide.md</x:v>
      </x:c>
      <x:c r="F22" s="26" t="str">
        <x:v>DEPENDS ON / MUST REMAIN CONSISTENT WITH</x:v>
      </x:c>
      <x:c r="G22" s="26" t="str">
        <x:v>MANDATORY</x:v>
      </x:c>
      <x:c r="H22" s="26" t="str">
        <x:v>Update source when target changes materially; record impact in 13.</x:v>
      </x:c>
      <x:c r="I22" s="26" t="str">
        <x:v>ACTIVE</x:v>
      </x:c>
    </x:row>
    <x:row r="23" ht="30" customHeight="1">
      <x:c r="A23" s="26" t="str">
        <x:v>REL-0019</x:v>
      </x:c>
      <x:c r="B23" s="26" t="str">
        <x:v>04</x:v>
      </x:c>
      <x:c r="C23" s="26" t="str">
        <x:v>04_Modelo_de_Datos.md</x:v>
      </x:c>
      <x:c r="D23" s="26" t="str">
        <x:v>00</x:v>
      </x:c>
      <x:c r="E23" s="26" t="str">
        <x:v>00_Enfoque_y_Alcance.md</x:v>
      </x:c>
      <x:c r="F23" s="26" t="str">
        <x:v>DEPENDS ON / MUST REMAIN CONSISTENT WITH</x:v>
      </x:c>
      <x:c r="G23" s="26" t="str">
        <x:v>MANDATORY</x:v>
      </x:c>
      <x:c r="H23" s="26" t="str">
        <x:v>Update source when target changes materially; record impact in 13.</x:v>
      </x:c>
      <x:c r="I23" s="26" t="str">
        <x:v>ACTIVE</x:v>
      </x:c>
    </x:row>
    <x:row r="24" ht="30" customHeight="1">
      <x:c r="A24" s="26" t="str">
        <x:v>REL-0020</x:v>
      </x:c>
      <x:c r="B24" s="26" t="str">
        <x:v>04</x:v>
      </x:c>
      <x:c r="C24" s="26" t="str">
        <x:v>04_Modelo_de_Datos.md</x:v>
      </x:c>
      <x:c r="D24" s="26" t="str">
        <x:v>01</x:v>
      </x:c>
      <x:c r="E24" s="26" t="str">
        <x:v>01_Game_Design_Document.md</x:v>
      </x:c>
      <x:c r="F24" s="26" t="str">
        <x:v>DEPENDS ON / MUST REMAIN CONSISTENT WITH</x:v>
      </x:c>
      <x:c r="G24" s="26" t="str">
        <x:v>MANDATORY</x:v>
      </x:c>
      <x:c r="H24" s="26" t="str">
        <x:v>Update source when target changes materially; record impact in 13.</x:v>
      </x:c>
      <x:c r="I24" s="26" t="str">
        <x:v>ACTIVE</x:v>
      </x:c>
    </x:row>
    <x:row r="25" ht="30" customHeight="1">
      <x:c r="A25" s="26" t="str">
        <x:v>REL-0021</x:v>
      </x:c>
      <x:c r="B25" s="26" t="str">
        <x:v>04</x:v>
      </x:c>
      <x:c r="C25" s="26" t="str">
        <x:v>04_Modelo_de_Datos.md</x:v>
      </x:c>
      <x:c r="D25" s="26" t="str">
        <x:v>03</x:v>
      </x:c>
      <x:c r="E25" s="26" t="str">
        <x:v>03_Technical_Design_Document.md</x:v>
      </x:c>
      <x:c r="F25" s="26" t="str">
        <x:v>DEPENDS ON / MUST REMAIN CONSISTENT WITH</x:v>
      </x:c>
      <x:c r="G25" s="26" t="str">
        <x:v>MANDATORY</x:v>
      </x:c>
      <x:c r="H25" s="26" t="str">
        <x:v>Update source when target changes materially; record impact in 13.</x:v>
      </x:c>
      <x:c r="I25" s="26" t="str">
        <x:v>ACTIVE</x:v>
      </x:c>
    </x:row>
    <x:row r="26" ht="30" customHeight="1">
      <x:c r="A26" s="26" t="str">
        <x:v>REL-0022</x:v>
      </x:c>
      <x:c r="B26" s="26" t="str">
        <x:v>05</x:v>
      </x:c>
      <x:c r="C26" s="26" t="str">
        <x:v>05_UX_Flow.md</x:v>
      </x:c>
      <x:c r="D26" s="26" t="str">
        <x:v>00</x:v>
      </x:c>
      <x:c r="E26" s="26" t="str">
        <x:v>00_Enfoque_y_Alcance.md</x:v>
      </x:c>
      <x:c r="F26" s="26" t="str">
        <x:v>DEPENDS ON / MUST REMAIN CONSISTENT WITH</x:v>
      </x:c>
      <x:c r="G26" s="26" t="str">
        <x:v>MANDATORY</x:v>
      </x:c>
      <x:c r="H26" s="26" t="str">
        <x:v>Update source when target changes materially; record impact in 13.</x:v>
      </x:c>
      <x:c r="I26" s="26" t="str">
        <x:v>ACTIVE</x:v>
      </x:c>
    </x:row>
    <x:row r="27" ht="30" customHeight="1">
      <x:c r="A27" s="26" t="str">
        <x:v>REL-0023</x:v>
      </x:c>
      <x:c r="B27" s="26" t="str">
        <x:v>05</x:v>
      </x:c>
      <x:c r="C27" s="26" t="str">
        <x:v>05_UX_Flow.md</x:v>
      </x:c>
      <x:c r="D27" s="26" t="str">
        <x:v>01</x:v>
      </x:c>
      <x:c r="E27" s="26" t="str">
        <x:v>01_Game_Design_Document.md</x:v>
      </x:c>
      <x:c r="F27" s="26" t="str">
        <x:v>DEPENDS ON / MUST REMAIN CONSISTENT WITH</x:v>
      </x:c>
      <x:c r="G27" s="26" t="str">
        <x:v>MANDATORY</x:v>
      </x:c>
      <x:c r="H27" s="26" t="str">
        <x:v>Update source when target changes materially; record impact in 13.</x:v>
      </x:c>
      <x:c r="I27" s="26" t="str">
        <x:v>ACTIVE</x:v>
      </x:c>
    </x:row>
    <x:row r="28" ht="30" customHeight="1">
      <x:c r="A28" s="26" t="str">
        <x:v>REL-0024</x:v>
      </x:c>
      <x:c r="B28" s="26" t="str">
        <x:v>05</x:v>
      </x:c>
      <x:c r="C28" s="26" t="str">
        <x:v>05_UX_Flow.md</x:v>
      </x:c>
      <x:c r="D28" s="26" t="str">
        <x:v>02</x:v>
      </x:c>
      <x:c r="E28" s="26" t="str">
        <x:v>02_Vertical_Slice_Specification.md</x:v>
      </x:c>
      <x:c r="F28" s="26" t="str">
        <x:v>DEPENDS ON / MUST REMAIN CONSISTENT WITH</x:v>
      </x:c>
      <x:c r="G28" s="26" t="str">
        <x:v>MANDATORY</x:v>
      </x:c>
      <x:c r="H28" s="26" t="str">
        <x:v>Update source when target changes materially; record impact in 13.</x:v>
      </x:c>
      <x:c r="I28" s="26" t="str">
        <x:v>ACTIVE</x:v>
      </x:c>
    </x:row>
    <x:row r="29" ht="30" customHeight="1">
      <x:c r="A29" s="26" t="str">
        <x:v>REL-0025</x:v>
      </x:c>
      <x:c r="B29" s="26" t="str">
        <x:v>05</x:v>
      </x:c>
      <x:c r="C29" s="26" t="str">
        <x:v>05_UX_Flow.md</x:v>
      </x:c>
      <x:c r="D29" s="26" t="str">
        <x:v>04</x:v>
      </x:c>
      <x:c r="E29" s="26" t="str">
        <x:v>04_Modelo_de_Datos.md</x:v>
      </x:c>
      <x:c r="F29" s="26" t="str">
        <x:v>DEPENDS ON / MUST REMAIN CONSISTENT WITH</x:v>
      </x:c>
      <x:c r="G29" s="26" t="str">
        <x:v>MANDATORY</x:v>
      </x:c>
      <x:c r="H29" s="26" t="str">
        <x:v>Update source when target changes materially; record impact in 13.</x:v>
      </x:c>
      <x:c r="I29" s="26" t="str">
        <x:v>ACTIVE</x:v>
      </x:c>
    </x:row>
    <x:row r="30" ht="30" customHeight="1">
      <x:c r="A30" s="26" t="str">
        <x:v>REL-0026</x:v>
      </x:c>
      <x:c r="B30" s="26" t="str">
        <x:v>05</x:v>
      </x:c>
      <x:c r="C30" s="26" t="str">
        <x:v>05_UX_Flow.md</x:v>
      </x:c>
      <x:c r="D30" s="26" t="str">
        <x:v>19</x:v>
      </x:c>
      <x:c r="E30" s="26" t="str">
        <x:v>19_UI_Style_Guide.md</x:v>
      </x:c>
      <x:c r="F30" s="26" t="str">
        <x:v>DEPENDS ON / MUST REMAIN CONSISTENT WITH</x:v>
      </x:c>
      <x:c r="G30" s="26" t="str">
        <x:v>MANDATORY</x:v>
      </x:c>
      <x:c r="H30" s="26" t="str">
        <x:v>Update source when target changes materially; record impact in 13.</x:v>
      </x:c>
      <x:c r="I30" s="26" t="str">
        <x:v>ACTIVE</x:v>
      </x:c>
    </x:row>
    <x:row r="31" ht="30" customHeight="1">
      <x:c r="A31" s="26" t="str">
        <x:v>REL-0027</x:v>
      </x:c>
      <x:c r="B31" s="26" t="str">
        <x:v>05</x:v>
      </x:c>
      <x:c r="C31" s="26" t="str">
        <x:v>05_UX_Flow.md</x:v>
      </x:c>
      <x:c r="D31" s="26" t="str">
        <x:v>22</x:v>
      </x:c>
      <x:c r="E31" s="26" t="str">
        <x:v>22_Localization_Plan.md</x:v>
      </x:c>
      <x:c r="F31" s="26" t="str">
        <x:v>DEPENDS ON / MUST REMAIN CONSISTENT WITH</x:v>
      </x:c>
      <x:c r="G31" s="26" t="str">
        <x:v>MANDATORY</x:v>
      </x:c>
      <x:c r="H31" s="26" t="str">
        <x:v>Update source when target changes materially; record impact in 13.</x:v>
      </x:c>
      <x:c r="I31" s="26" t="str">
        <x:v>ACTIVE</x:v>
      </x:c>
    </x:row>
    <x:row r="32" ht="30" customHeight="1">
      <x:c r="A32" s="26" t="str">
        <x:v>REL-0028</x:v>
      </x:c>
      <x:c r="B32" s="26" t="str">
        <x:v>05</x:v>
      </x:c>
      <x:c r="C32" s="26" t="str">
        <x:v>05_UX_Flow.md</x:v>
      </x:c>
      <x:c r="D32" s="26" t="str">
        <x:v>29</x:v>
      </x:c>
      <x:c r="E32" s="26" t="str">
        <x:v>29_Accessibility_and_Inclusive_Design_Plan.md</x:v>
      </x:c>
      <x:c r="F32" s="26" t="str">
        <x:v>DEPENDS ON / MUST REMAIN CONSISTENT WITH</x:v>
      </x:c>
      <x:c r="G32" s="26" t="str">
        <x:v>MANDATORY</x:v>
      </x:c>
      <x:c r="H32" s="26" t="str">
        <x:v>Update source when target changes materially; record impact in 13.</x:v>
      </x:c>
      <x:c r="I32" s="26" t="str">
        <x:v>ACTIVE</x:v>
      </x:c>
    </x:row>
    <x:row r="33" ht="30" customHeight="1">
      <x:c r="A33" s="26" t="str">
        <x:v>REL-0029</x:v>
      </x:c>
      <x:c r="B33" s="26" t="str">
        <x:v>06</x:v>
      </x:c>
      <x:c r="C33" s="26" t="str">
        <x:v>06_Production_Roadmap_y_Sprint_Plan.md</x:v>
      </x:c>
      <x:c r="D33" s="26" t="str">
        <x:v>00</x:v>
      </x:c>
      <x:c r="E33" s="26" t="str">
        <x:v>00_Enfoque_y_Alcance.md</x:v>
      </x:c>
      <x:c r="F33" s="26" t="str">
        <x:v>DEPENDS ON / MUST REMAIN CONSISTENT WITH</x:v>
      </x:c>
      <x:c r="G33" s="26" t="str">
        <x:v>MANDATORY</x:v>
      </x:c>
      <x:c r="H33" s="26" t="str">
        <x:v>Update source when target changes materially; record impact in 13.</x:v>
      </x:c>
      <x:c r="I33" s="26" t="str">
        <x:v>ACTIVE</x:v>
      </x:c>
    </x:row>
    <x:row r="34" ht="30" customHeight="1">
      <x:c r="A34" s="26" t="str">
        <x:v>REL-0030</x:v>
      </x:c>
      <x:c r="B34" s="26" t="str">
        <x:v>06</x:v>
      </x:c>
      <x:c r="C34" s="26" t="str">
        <x:v>06_Production_Roadmap_y_Sprint_Plan.md</x:v>
      </x:c>
      <x:c r="D34" s="26" t="str">
        <x:v>01</x:v>
      </x:c>
      <x:c r="E34" s="26" t="str">
        <x:v>01_Game_Design_Document.md</x:v>
      </x:c>
      <x:c r="F34" s="26" t="str">
        <x:v>DEPENDS ON / MUST REMAIN CONSISTENT WITH</x:v>
      </x:c>
      <x:c r="G34" s="26" t="str">
        <x:v>MANDATORY</x:v>
      </x:c>
      <x:c r="H34" s="26" t="str">
        <x:v>Update source when target changes materially; record impact in 13.</x:v>
      </x:c>
      <x:c r="I34" s="26" t="str">
        <x:v>ACTIVE</x:v>
      </x:c>
    </x:row>
    <x:row r="35" ht="30" customHeight="1">
      <x:c r="A35" s="26" t="str">
        <x:v>REL-0031</x:v>
      </x:c>
      <x:c r="B35" s="26" t="str">
        <x:v>06</x:v>
      </x:c>
      <x:c r="C35" s="26" t="str">
        <x:v>06_Production_Roadmap_y_Sprint_Plan.md</x:v>
      </x:c>
      <x:c r="D35" s="26" t="str">
        <x:v>02</x:v>
      </x:c>
      <x:c r="E35" s="26" t="str">
        <x:v>02_Vertical_Slice_Specification.md</x:v>
      </x:c>
      <x:c r="F35" s="26" t="str">
        <x:v>DEPENDS ON / MUST REMAIN CONSISTENT WITH</x:v>
      </x:c>
      <x:c r="G35" s="26" t="str">
        <x:v>MANDATORY</x:v>
      </x:c>
      <x:c r="H35" s="26" t="str">
        <x:v>Update source when target changes materially; record impact in 13.</x:v>
      </x:c>
      <x:c r="I35" s="26" t="str">
        <x:v>ACTIVE</x:v>
      </x:c>
    </x:row>
    <x:row r="36" ht="30" customHeight="1">
      <x:c r="A36" s="26" t="str">
        <x:v>REL-0032</x:v>
      </x:c>
      <x:c r="B36" s="26" t="str">
        <x:v>06</x:v>
      </x:c>
      <x:c r="C36" s="26" t="str">
        <x:v>06_Production_Roadmap_y_Sprint_Plan.md</x:v>
      </x:c>
      <x:c r="D36" s="26" t="str">
        <x:v>03</x:v>
      </x:c>
      <x:c r="E36" s="26" t="str">
        <x:v>03_Technical_Design_Document.md</x:v>
      </x:c>
      <x:c r="F36" s="26" t="str">
        <x:v>DEPENDS ON / MUST REMAIN CONSISTENT WITH</x:v>
      </x:c>
      <x:c r="G36" s="26" t="str">
        <x:v>MANDATORY</x:v>
      </x:c>
      <x:c r="H36" s="26" t="str">
        <x:v>Update source when target changes materially; record impact in 13.</x:v>
      </x:c>
      <x:c r="I36" s="26" t="str">
        <x:v>ACTIVE</x:v>
      </x:c>
    </x:row>
    <x:row r="37" ht="30" customHeight="1">
      <x:c r="A37" s="26" t="str">
        <x:v>REL-0033</x:v>
      </x:c>
      <x:c r="B37" s="26" t="str">
        <x:v>06</x:v>
      </x:c>
      <x:c r="C37" s="26" t="str">
        <x:v>06_Production_Roadmap_y_Sprint_Plan.md</x:v>
      </x:c>
      <x:c r="D37" s="26" t="str">
        <x:v>07</x:v>
      </x:c>
      <x:c r="E37" s="26" t="str">
        <x:v>07_QA_Testing_Plan.md</x:v>
      </x:c>
      <x:c r="F37" s="26" t="str">
        <x:v>DEPENDS ON / MUST REMAIN CONSISTENT WITH</x:v>
      </x:c>
      <x:c r="G37" s="26" t="str">
        <x:v>MANDATORY</x:v>
      </x:c>
      <x:c r="H37" s="26" t="str">
        <x:v>Update source when target changes materially; record impact in 13.</x:v>
      </x:c>
      <x:c r="I37" s="26" t="str">
        <x:v>ACTIVE</x:v>
      </x:c>
    </x:row>
    <x:row r="38" ht="30" customHeight="1">
      <x:c r="A38" s="26" t="str">
        <x:v>REL-0034</x:v>
      </x:c>
      <x:c r="B38" s="26" t="str">
        <x:v>06</x:v>
      </x:c>
      <x:c r="C38" s="26" t="str">
        <x:v>06_Production_Roadmap_y_Sprint_Plan.md</x:v>
      </x:c>
      <x:c r="D38" s="26" t="str">
        <x:v>08</x:v>
      </x:c>
      <x:c r="E38" s="26" t="str">
        <x:v>08_QA_Testing_Matrix.xlsx</x:v>
      </x:c>
      <x:c r="F38" s="26" t="str">
        <x:v>DEPENDS ON / MUST REMAIN CONSISTENT WITH</x:v>
      </x:c>
      <x:c r="G38" s="26" t="str">
        <x:v>MANDATORY</x:v>
      </x:c>
      <x:c r="H38" s="26" t="str">
        <x:v>Update source when target changes materially; record impact in 13.</x:v>
      </x:c>
      <x:c r="I38" s="26" t="str">
        <x:v>ACTIVE</x:v>
      </x:c>
    </x:row>
    <x:row r="39" ht="30" customHeight="1">
      <x:c r="A39" s="26" t="str">
        <x:v>REL-0035</x:v>
      </x:c>
      <x:c r="B39" s="26" t="str">
        <x:v>06</x:v>
      </x:c>
      <x:c r="C39" s="26" t="str">
        <x:v>06_Production_Roadmap_y_Sprint_Plan.md</x:v>
      </x:c>
      <x:c r="D39" s="26" t="str">
        <x:v>11</x:v>
      </x:c>
      <x:c r="E39" s="26" t="str">
        <x:v>11_Build_y_Versioning_Guide.md</x:v>
      </x:c>
      <x:c r="F39" s="26" t="str">
        <x:v>DEPENDS ON / MUST REMAIN CONSISTENT WITH</x:v>
      </x:c>
      <x:c r="G39" s="26" t="str">
        <x:v>MANDATORY</x:v>
      </x:c>
      <x:c r="H39" s="26" t="str">
        <x:v>Update source when target changes materially; record impact in 13.</x:v>
      </x:c>
      <x:c r="I39" s="26" t="str">
        <x:v>ACTIVE</x:v>
      </x:c>
    </x:row>
    <x:row r="40" ht="30" customHeight="1">
      <x:c r="A40" s="26" t="str">
        <x:v>REL-0036</x:v>
      </x:c>
      <x:c r="B40" s="26" t="str">
        <x:v>06</x:v>
      </x:c>
      <x:c r="C40" s="26" t="str">
        <x:v>06_Production_Roadmap_y_Sprint_Plan.md</x:v>
      </x:c>
      <x:c r="D40" s="26" t="str">
        <x:v>12</x:v>
      </x:c>
      <x:c r="E40" s="26" t="str">
        <x:v>12_Excel_Maestro_de_Produccion.xlsx</x:v>
      </x:c>
      <x:c r="F40" s="26" t="str">
        <x:v>DEPENDS ON / MUST REMAIN CONSISTENT WITH</x:v>
      </x:c>
      <x:c r="G40" s="26" t="str">
        <x:v>MANDATORY</x:v>
      </x:c>
      <x:c r="H40" s="26" t="str">
        <x:v>Update source when target changes materially; record impact in 13.</x:v>
      </x:c>
      <x:c r="I40" s="26" t="str">
        <x:v>ACTIVE</x:v>
      </x:c>
    </x:row>
    <x:row r="41" ht="30" customHeight="1">
      <x:c r="A41" s="26" t="str">
        <x:v>REL-0037</x:v>
      </x:c>
      <x:c r="B41" s="26" t="str">
        <x:v>06</x:v>
      </x:c>
      <x:c r="C41" s="26" t="str">
        <x:v>06_Production_Roadmap_y_Sprint_Plan.md</x:v>
      </x:c>
      <x:c r="D41" s="26" t="str">
        <x:v>13</x:v>
      </x:c>
      <x:c r="E41" s="26" t="str">
        <x:v>13_Trazabilidad_y_Control_de_Cambios.xlsx</x:v>
      </x:c>
      <x:c r="F41" s="26" t="str">
        <x:v>DEPENDS ON / MUST REMAIN CONSISTENT WITH</x:v>
      </x:c>
      <x:c r="G41" s="26" t="str">
        <x:v>MANDATORY</x:v>
      </x:c>
      <x:c r="H41" s="26" t="str">
        <x:v>Update source when target changes materially; record impact in 13.</x:v>
      </x:c>
      <x:c r="I41" s="26" t="str">
        <x:v>ACTIVE</x:v>
      </x:c>
    </x:row>
    <x:row r="42" ht="30" customHeight="1">
      <x:c r="A42" s="26" t="str">
        <x:v>REL-0038</x:v>
      </x:c>
      <x:c r="B42" s="26" t="str">
        <x:v>07</x:v>
      </x:c>
      <x:c r="C42" s="26" t="str">
        <x:v>07_QA_Testing_Plan.md</x:v>
      </x:c>
      <x:c r="D42" s="26" t="str">
        <x:v>00</x:v>
      </x:c>
      <x:c r="E42" s="26" t="str">
        <x:v>00_Enfoque_y_Alcance.md</x:v>
      </x:c>
      <x:c r="F42" s="26" t="str">
        <x:v>DEPENDS ON / MUST REMAIN CONSISTENT WITH</x:v>
      </x:c>
      <x:c r="G42" s="26" t="str">
        <x:v>MANDATORY</x:v>
      </x:c>
      <x:c r="H42" s="26" t="str">
        <x:v>Update source when target changes materially; record impact in 13.</x:v>
      </x:c>
      <x:c r="I42" s="26" t="str">
        <x:v>ACTIVE</x:v>
      </x:c>
    </x:row>
    <x:row r="43" ht="30" customHeight="1">
      <x:c r="A43" s="26" t="str">
        <x:v>REL-0039</x:v>
      </x:c>
      <x:c r="B43" s="26" t="str">
        <x:v>07</x:v>
      </x:c>
      <x:c r="C43" s="26" t="str">
        <x:v>07_QA_Testing_Plan.md</x:v>
      </x:c>
      <x:c r="D43" s="26" t="str">
        <x:v>02</x:v>
      </x:c>
      <x:c r="E43" s="26" t="str">
        <x:v>02_Vertical_Slice_Specification.md</x:v>
      </x:c>
      <x:c r="F43" s="26" t="str">
        <x:v>DEPENDS ON / MUST REMAIN CONSISTENT WITH</x:v>
      </x:c>
      <x:c r="G43" s="26" t="str">
        <x:v>MANDATORY</x:v>
      </x:c>
      <x:c r="H43" s="26" t="str">
        <x:v>Update source when target changes materially; record impact in 13.</x:v>
      </x:c>
      <x:c r="I43" s="26" t="str">
        <x:v>ACTIVE</x:v>
      </x:c>
    </x:row>
    <x:row r="44" ht="30" customHeight="1">
      <x:c r="A44" s="26" t="str">
        <x:v>REL-0040</x:v>
      </x:c>
      <x:c r="B44" s="26" t="str">
        <x:v>07</x:v>
      </x:c>
      <x:c r="C44" s="26" t="str">
        <x:v>07_QA_Testing_Plan.md</x:v>
      </x:c>
      <x:c r="D44" s="26" t="str">
        <x:v>03</x:v>
      </x:c>
      <x:c r="E44" s="26" t="str">
        <x:v>03_Technical_Design_Document.md</x:v>
      </x:c>
      <x:c r="F44" s="26" t="str">
        <x:v>DEPENDS ON / MUST REMAIN CONSISTENT WITH</x:v>
      </x:c>
      <x:c r="G44" s="26" t="str">
        <x:v>MANDATORY</x:v>
      </x:c>
      <x:c r="H44" s="26" t="str">
        <x:v>Update source when target changes materially; record impact in 13.</x:v>
      </x:c>
      <x:c r="I44" s="26" t="str">
        <x:v>ACTIVE</x:v>
      </x:c>
    </x:row>
    <x:row r="45" ht="30" customHeight="1">
      <x:c r="A45" s="26" t="str">
        <x:v>REL-0041</x:v>
      </x:c>
      <x:c r="B45" s="26" t="str">
        <x:v>07</x:v>
      </x:c>
      <x:c r="C45" s="26" t="str">
        <x:v>07_QA_Testing_Plan.md</x:v>
      </x:c>
      <x:c r="D45" s="26" t="str">
        <x:v>04</x:v>
      </x:c>
      <x:c r="E45" s="26" t="str">
        <x:v>04_Modelo_de_Datos.md</x:v>
      </x:c>
      <x:c r="F45" s="26" t="str">
        <x:v>DEPENDS ON / MUST REMAIN CONSISTENT WITH</x:v>
      </x:c>
      <x:c r="G45" s="26" t="str">
        <x:v>MANDATORY</x:v>
      </x:c>
      <x:c r="H45" s="26" t="str">
        <x:v>Update source when target changes materially; record impact in 13.</x:v>
      </x:c>
      <x:c r="I45" s="26" t="str">
        <x:v>ACTIVE</x:v>
      </x:c>
    </x:row>
    <x:row r="46" ht="30" customHeight="1">
      <x:c r="A46" s="26" t="str">
        <x:v>REL-0042</x:v>
      </x:c>
      <x:c r="B46" s="26" t="str">
        <x:v>07</x:v>
      </x:c>
      <x:c r="C46" s="26" t="str">
        <x:v>07_QA_Testing_Plan.md</x:v>
      </x:c>
      <x:c r="D46" s="26" t="str">
        <x:v>05</x:v>
      </x:c>
      <x:c r="E46" s="26" t="str">
        <x:v>05_UX_Flow.md</x:v>
      </x:c>
      <x:c r="F46" s="26" t="str">
        <x:v>DEPENDS ON / MUST REMAIN CONSISTENT WITH</x:v>
      </x:c>
      <x:c r="G46" s="26" t="str">
        <x:v>MANDATORY</x:v>
      </x:c>
      <x:c r="H46" s="26" t="str">
        <x:v>Update source when target changes materially; record impact in 13.</x:v>
      </x:c>
      <x:c r="I46" s="26" t="str">
        <x:v>ACTIVE</x:v>
      </x:c>
    </x:row>
    <x:row r="47" ht="30" customHeight="1">
      <x:c r="A47" s="26" t="str">
        <x:v>REL-0043</x:v>
      </x:c>
      <x:c r="B47" s="26" t="str">
        <x:v>07</x:v>
      </x:c>
      <x:c r="C47" s="26" t="str">
        <x:v>07_QA_Testing_Plan.md</x:v>
      </x:c>
      <x:c r="D47" s="26" t="str">
        <x:v>06</x:v>
      </x:c>
      <x:c r="E47" s="26" t="str">
        <x:v>06_Production_Roadmap_y_Sprint_Plan.md</x:v>
      </x:c>
      <x:c r="F47" s="26" t="str">
        <x:v>DEPENDS ON / MUST REMAIN CONSISTENT WITH</x:v>
      </x:c>
      <x:c r="G47" s="26" t="str">
        <x:v>MANDATORY</x:v>
      </x:c>
      <x:c r="H47" s="26" t="str">
        <x:v>Update source when target changes materially; record impact in 13.</x:v>
      </x:c>
      <x:c r="I47" s="26" t="str">
        <x:v>ACTIVE</x:v>
      </x:c>
    </x:row>
    <x:row r="48" ht="30" customHeight="1">
      <x:c r="A48" s="26" t="str">
        <x:v>REL-0044</x:v>
      </x:c>
      <x:c r="B48" s="26" t="str">
        <x:v>07</x:v>
      </x:c>
      <x:c r="C48" s="26" t="str">
        <x:v>07_QA_Testing_Plan.md</x:v>
      </x:c>
      <x:c r="D48" s="26" t="str">
        <x:v>08</x:v>
      </x:c>
      <x:c r="E48" s="26" t="str">
        <x:v>08_QA_Testing_Matrix.xlsx</x:v>
      </x:c>
      <x:c r="F48" s="26" t="str">
        <x:v>DEPENDS ON / MUST REMAIN CONSISTENT WITH</x:v>
      </x:c>
      <x:c r="G48" s="26" t="str">
        <x:v>MANDATORY</x:v>
      </x:c>
      <x:c r="H48" s="26" t="str">
        <x:v>Update source when target changes materially; record impact in 13.</x:v>
      </x:c>
      <x:c r="I48" s="26" t="str">
        <x:v>ACTIVE</x:v>
      </x:c>
    </x:row>
    <x:row r="49" ht="30" customHeight="1">
      <x:c r="A49" s="26" t="str">
        <x:v>REL-0045</x:v>
      </x:c>
      <x:c r="B49" s="26" t="str">
        <x:v>07</x:v>
      </x:c>
      <x:c r="C49" s="26" t="str">
        <x:v>07_QA_Testing_Plan.md</x:v>
      </x:c>
      <x:c r="D49" s="26" t="str">
        <x:v>11</x:v>
      </x:c>
      <x:c r="E49" s="26" t="str">
        <x:v>11_Build_y_Versioning_Guide.md</x:v>
      </x:c>
      <x:c r="F49" s="26" t="str">
        <x:v>DEPENDS ON / MUST REMAIN CONSISTENT WITH</x:v>
      </x:c>
      <x:c r="G49" s="26" t="str">
        <x:v>MANDATORY</x:v>
      </x:c>
      <x:c r="H49" s="26" t="str">
        <x:v>Update source when target changes materially; record impact in 13.</x:v>
      </x:c>
      <x:c r="I49" s="26" t="str">
        <x:v>ACTIVE</x:v>
      </x:c>
    </x:row>
    <x:row r="50" ht="30" customHeight="1">
      <x:c r="A50" s="26" t="str">
        <x:v>REL-0046</x:v>
      </x:c>
      <x:c r="B50" s="26" t="str">
        <x:v>07</x:v>
      </x:c>
      <x:c r="C50" s="26" t="str">
        <x:v>07_QA_Testing_Plan.md</x:v>
      </x:c>
      <x:c r="D50" s="26" t="str">
        <x:v>29</x:v>
      </x:c>
      <x:c r="E50" s="26" t="str">
        <x:v>29_Accessibility_and_Inclusive_Design_Plan.md</x:v>
      </x:c>
      <x:c r="F50" s="26" t="str">
        <x:v>DEPENDS ON / MUST REMAIN CONSISTENT WITH</x:v>
      </x:c>
      <x:c r="G50" s="26" t="str">
        <x:v>MANDATORY</x:v>
      </x:c>
      <x:c r="H50" s="26" t="str">
        <x:v>Update source when target changes materially; record impact in 13.</x:v>
      </x:c>
      <x:c r="I50" s="26" t="str">
        <x:v>ACTIVE</x:v>
      </x:c>
    </x:row>
    <x:row r="51" ht="30" customHeight="1">
      <x:c r="A51" s="26" t="str">
        <x:v>REL-0047</x:v>
      </x:c>
      <x:c r="B51" s="26" t="str">
        <x:v>07</x:v>
      </x:c>
      <x:c r="C51" s="26" t="str">
        <x:v>07_QA_Testing_Plan.md</x:v>
      </x:c>
      <x:c r="D51" s="26" t="str">
        <x:v>30</x:v>
      </x:c>
      <x:c r="E51" s="26" t="str">
        <x:v>30_Performance_and_Optimization_Plan.md</x:v>
      </x:c>
      <x:c r="F51" s="26" t="str">
        <x:v>DEPENDS ON / MUST REMAIN CONSISTENT WITH</x:v>
      </x:c>
      <x:c r="G51" s="26" t="str">
        <x:v>MANDATORY</x:v>
      </x:c>
      <x:c r="H51" s="26" t="str">
        <x:v>Update source when target changes materially; record impact in 13.</x:v>
      </x:c>
      <x:c r="I51" s="26" t="str">
        <x:v>ACTIVE</x:v>
      </x:c>
    </x:row>
    <x:row r="52" ht="30" customHeight="1">
      <x:c r="A52" s="26" t="str">
        <x:v>REL-0048</x:v>
      </x:c>
      <x:c r="B52" s="26" t="str">
        <x:v>08</x:v>
      </x:c>
      <x:c r="C52" s="26" t="str">
        <x:v>08_QA_Testing_Matrix.xlsx</x:v>
      </x:c>
      <x:c r="D52" s="26" t="str">
        <x:v>02</x:v>
      </x:c>
      <x:c r="E52" s="26" t="str">
        <x:v>02_Vertical_Slice_Specification.md</x:v>
      </x:c>
      <x:c r="F52" s="26" t="str">
        <x:v>DEPENDS ON / MUST REMAIN CONSISTENT WITH</x:v>
      </x:c>
      <x:c r="G52" s="26" t="str">
        <x:v>MANDATORY</x:v>
      </x:c>
      <x:c r="H52" s="26" t="str">
        <x:v>Update source when target changes materially; record impact in 13.</x:v>
      </x:c>
      <x:c r="I52" s="26" t="str">
        <x:v>ACTIVE</x:v>
      </x:c>
    </x:row>
    <x:row r="53" ht="30" customHeight="1">
      <x:c r="A53" s="26" t="str">
        <x:v>REL-0049</x:v>
      </x:c>
      <x:c r="B53" s="26" t="str">
        <x:v>08</x:v>
      </x:c>
      <x:c r="C53" s="26" t="str">
        <x:v>08_QA_Testing_Matrix.xlsx</x:v>
      </x:c>
      <x:c r="D53" s="26" t="str">
        <x:v>07</x:v>
      </x:c>
      <x:c r="E53" s="26" t="str">
        <x:v>07_QA_Testing_Plan.md</x:v>
      </x:c>
      <x:c r="F53" s="26" t="str">
        <x:v>DEPENDS ON / MUST REMAIN CONSISTENT WITH</x:v>
      </x:c>
      <x:c r="G53" s="26" t="str">
        <x:v>MANDATORY</x:v>
      </x:c>
      <x:c r="H53" s="26" t="str">
        <x:v>Update source when target changes materially; record impact in 13.</x:v>
      </x:c>
      <x:c r="I53" s="26" t="str">
        <x:v>ACTIVE</x:v>
      </x:c>
    </x:row>
    <x:row r="54" ht="30" customHeight="1">
      <x:c r="A54" s="26" t="str">
        <x:v>REL-0050</x:v>
      </x:c>
      <x:c r="B54" s="26" t="str">
        <x:v>08</x:v>
      </x:c>
      <x:c r="C54" s="26" t="str">
        <x:v>08_QA_Testing_Matrix.xlsx</x:v>
      </x:c>
      <x:c r="D54" s="26" t="str">
        <x:v>21</x:v>
      </x:c>
      <x:c r="E54" s="26" t="str">
        <x:v>21_Initial_Content_Catalog.xlsx</x:v>
      </x:c>
      <x:c r="F54" s="26" t="str">
        <x:v>DEPENDS ON / MUST REMAIN CONSISTENT WITH</x:v>
      </x:c>
      <x:c r="G54" s="26" t="str">
        <x:v>MANDATORY</x:v>
      </x:c>
      <x:c r="H54" s="26" t="str">
        <x:v>Update source when target changes materially; record impact in 13.</x:v>
      </x:c>
      <x:c r="I54" s="26" t="str">
        <x:v>ACTIVE</x:v>
      </x:c>
    </x:row>
    <x:row r="55" ht="30" customHeight="1">
      <x:c r="A55" s="26" t="str">
        <x:v>REL-0051</x:v>
      </x:c>
      <x:c r="B55" s="26" t="str">
        <x:v>08</x:v>
      </x:c>
      <x:c r="C55" s="26" t="str">
        <x:v>08_QA_Testing_Matrix.xlsx</x:v>
      </x:c>
      <x:c r="D55" s="26" t="str">
        <x:v>29</x:v>
      </x:c>
      <x:c r="E55" s="26" t="str">
        <x:v>29_Accessibility_and_Inclusive_Design_Plan.md</x:v>
      </x:c>
      <x:c r="F55" s="26" t="str">
        <x:v>DEPENDS ON / MUST REMAIN CONSISTENT WITH</x:v>
      </x:c>
      <x:c r="G55" s="26" t="str">
        <x:v>MANDATORY</x:v>
      </x:c>
      <x:c r="H55" s="26" t="str">
        <x:v>Update source when target changes materially; record impact in 13.</x:v>
      </x:c>
      <x:c r="I55" s="26" t="str">
        <x:v>ACTIVE</x:v>
      </x:c>
    </x:row>
    <x:row r="56" ht="30" customHeight="1">
      <x:c r="A56" s="26" t="str">
        <x:v>REL-0052</x:v>
      </x:c>
      <x:c r="B56" s="26" t="str">
        <x:v>08</x:v>
      </x:c>
      <x:c r="C56" s="26" t="str">
        <x:v>08_QA_Testing_Matrix.xlsx</x:v>
      </x:c>
      <x:c r="D56" s="26" t="str">
        <x:v>30</x:v>
      </x:c>
      <x:c r="E56" s="26" t="str">
        <x:v>30_Performance_and_Optimization_Plan.md</x:v>
      </x:c>
      <x:c r="F56" s="26" t="str">
        <x:v>DEPENDS ON / MUST REMAIN CONSISTENT WITH</x:v>
      </x:c>
      <x:c r="G56" s="26" t="str">
        <x:v>MANDATORY</x:v>
      </x:c>
      <x:c r="H56" s="26" t="str">
        <x:v>Update source when target changes materially; record impact in 13.</x:v>
      </x:c>
      <x:c r="I56" s="26" t="str">
        <x:v>ACTIVE</x:v>
      </x:c>
    </x:row>
    <x:row r="57" ht="30" customHeight="1">
      <x:c r="A57" s="26" t="str">
        <x:v>REL-0053</x:v>
      </x:c>
      <x:c r="B57" s="26" t="str">
        <x:v>09</x:v>
      </x:c>
      <x:c r="C57" s="26" t="str">
        <x:v>09_CSharp_Coding_Standards.md</x:v>
      </x:c>
      <x:c r="D57" s="26" t="str">
        <x:v>03</x:v>
      </x:c>
      <x:c r="E57" s="26" t="str">
        <x:v>03_Technical_Design_Document.md</x:v>
      </x:c>
      <x:c r="F57" s="26" t="str">
        <x:v>DEPENDS ON / MUST REMAIN CONSISTENT WITH</x:v>
      </x:c>
      <x:c r="G57" s="26" t="str">
        <x:v>MANDATORY</x:v>
      </x:c>
      <x:c r="H57" s="26" t="str">
        <x:v>Update source when target changes materially; record impact in 13.</x:v>
      </x:c>
      <x:c r="I57" s="26" t="str">
        <x:v>ACTIVE</x:v>
      </x:c>
    </x:row>
    <x:row r="58" ht="30" customHeight="1">
      <x:c r="A58" s="26" t="str">
        <x:v>REL-0054</x:v>
      </x:c>
      <x:c r="B58" s="26" t="str">
        <x:v>09</x:v>
      </x:c>
      <x:c r="C58" s="26" t="str">
        <x:v>09_CSharp_Coding_Standards.md</x:v>
      </x:c>
      <x:c r="D58" s="26" t="str">
        <x:v>10</x:v>
      </x:c>
      <x:c r="E58" s="26" t="str">
        <x:v>10_Unity_Project_Setup_Guide.md</x:v>
      </x:c>
      <x:c r="F58" s="26" t="str">
        <x:v>DEPENDS ON / MUST REMAIN CONSISTENT WITH</x:v>
      </x:c>
      <x:c r="G58" s="26" t="str">
        <x:v>MANDATORY</x:v>
      </x:c>
      <x:c r="H58" s="26" t="str">
        <x:v>Update source when target changes materially; record impact in 13.</x:v>
      </x:c>
      <x:c r="I58" s="26" t="str">
        <x:v>ACTIVE</x:v>
      </x:c>
    </x:row>
    <x:row r="59" ht="30" customHeight="1">
      <x:c r="A59" s="26" t="str">
        <x:v>REL-0055</x:v>
      </x:c>
      <x:c r="B59" s="26" t="str">
        <x:v>10</x:v>
      </x:c>
      <x:c r="C59" s="26" t="str">
        <x:v>10_Unity_Project_Setup_Guide.md</x:v>
      </x:c>
      <x:c r="D59" s="26" t="str">
        <x:v>03</x:v>
      </x:c>
      <x:c r="E59" s="26" t="str">
        <x:v>03_Technical_Design_Document.md</x:v>
      </x:c>
      <x:c r="F59" s="26" t="str">
        <x:v>DEPENDS ON / MUST REMAIN CONSISTENT WITH</x:v>
      </x:c>
      <x:c r="G59" s="26" t="str">
        <x:v>MANDATORY</x:v>
      </x:c>
      <x:c r="H59" s="26" t="str">
        <x:v>Update source when target changes materially; record impact in 13.</x:v>
      </x:c>
      <x:c r="I59" s="26" t="str">
        <x:v>ACTIVE</x:v>
      </x:c>
    </x:row>
    <x:row r="60" ht="30" customHeight="1">
      <x:c r="A60" s="26" t="str">
        <x:v>REL-0056</x:v>
      </x:c>
      <x:c r="B60" s="26" t="str">
        <x:v>10</x:v>
      </x:c>
      <x:c r="C60" s="26" t="str">
        <x:v>10_Unity_Project_Setup_Guide.md</x:v>
      </x:c>
      <x:c r="D60" s="26" t="str">
        <x:v>09</x:v>
      </x:c>
      <x:c r="E60" s="26" t="str">
        <x:v>09_CSharp_Coding_Standards.md</x:v>
      </x:c>
      <x:c r="F60" s="26" t="str">
        <x:v>DEPENDS ON / MUST REMAIN CONSISTENT WITH</x:v>
      </x:c>
      <x:c r="G60" s="26" t="str">
        <x:v>MANDATORY</x:v>
      </x:c>
      <x:c r="H60" s="26" t="str">
        <x:v>Update source when target changes materially; record impact in 13.</x:v>
      </x:c>
      <x:c r="I60" s="26" t="str">
        <x:v>ACTIVE</x:v>
      </x:c>
    </x:row>
    <x:row r="61" ht="30" customHeight="1">
      <x:c r="A61" s="26" t="str">
        <x:v>REL-0057</x:v>
      </x:c>
      <x:c r="B61" s="26" t="str">
        <x:v>10</x:v>
      </x:c>
      <x:c r="C61" s="26" t="str">
        <x:v>10_Unity_Project_Setup_Guide.md</x:v>
      </x:c>
      <x:c r="D61" s="26" t="str">
        <x:v>11</x:v>
      </x:c>
      <x:c r="E61" s="26" t="str">
        <x:v>11_Build_y_Versioning_Guide.md</x:v>
      </x:c>
      <x:c r="F61" s="26" t="str">
        <x:v>DEPENDS ON / MUST REMAIN CONSISTENT WITH</x:v>
      </x:c>
      <x:c r="G61" s="26" t="str">
        <x:v>MANDATORY</x:v>
      </x:c>
      <x:c r="H61" s="26" t="str">
        <x:v>Update source when target changes materially; record impact in 13.</x:v>
      </x:c>
      <x:c r="I61" s="26" t="str">
        <x:v>ACTIVE</x:v>
      </x:c>
    </x:row>
    <x:row r="62" ht="30" customHeight="1">
      <x:c r="A62" s="26" t="str">
        <x:v>REL-0058</x:v>
      </x:c>
      <x:c r="B62" s="26" t="str">
        <x:v>11</x:v>
      </x:c>
      <x:c r="C62" s="26" t="str">
        <x:v>11_Build_y_Versioning_Guide.md</x:v>
      </x:c>
      <x:c r="D62" s="26" t="str">
        <x:v>02</x:v>
      </x:c>
      <x:c r="E62" s="26" t="str">
        <x:v>02_Vertical_Slice_Specification.md</x:v>
      </x:c>
      <x:c r="F62" s="26" t="str">
        <x:v>DEPENDS ON / MUST REMAIN CONSISTENT WITH</x:v>
      </x:c>
      <x:c r="G62" s="26" t="str">
        <x:v>MANDATORY</x:v>
      </x:c>
      <x:c r="H62" s="26" t="str">
        <x:v>Update source when target changes materially; record impact in 13.</x:v>
      </x:c>
      <x:c r="I62" s="26" t="str">
        <x:v>ACTIVE</x:v>
      </x:c>
    </x:row>
    <x:row r="63" ht="30" customHeight="1">
      <x:c r="A63" s="26" t="str">
        <x:v>REL-0059</x:v>
      </x:c>
      <x:c r="B63" s="26" t="str">
        <x:v>11</x:v>
      </x:c>
      <x:c r="C63" s="26" t="str">
        <x:v>11_Build_y_Versioning_Guide.md</x:v>
      </x:c>
      <x:c r="D63" s="26" t="str">
        <x:v>03</x:v>
      </x:c>
      <x:c r="E63" s="26" t="str">
        <x:v>03_Technical_Design_Document.md</x:v>
      </x:c>
      <x:c r="F63" s="26" t="str">
        <x:v>DEPENDS ON / MUST REMAIN CONSISTENT WITH</x:v>
      </x:c>
      <x:c r="G63" s="26" t="str">
        <x:v>MANDATORY</x:v>
      </x:c>
      <x:c r="H63" s="26" t="str">
        <x:v>Update source when target changes materially; record impact in 13.</x:v>
      </x:c>
      <x:c r="I63" s="26" t="str">
        <x:v>ACTIVE</x:v>
      </x:c>
    </x:row>
    <x:row r="64" ht="30" customHeight="1">
      <x:c r="A64" s="26" t="str">
        <x:v>REL-0060</x:v>
      </x:c>
      <x:c r="B64" s="26" t="str">
        <x:v>11</x:v>
      </x:c>
      <x:c r="C64" s="26" t="str">
        <x:v>11_Build_y_Versioning_Guide.md</x:v>
      </x:c>
      <x:c r="D64" s="26" t="str">
        <x:v>06</x:v>
      </x:c>
      <x:c r="E64" s="26" t="str">
        <x:v>06_Production_Roadmap_y_Sprint_Plan.md</x:v>
      </x:c>
      <x:c r="F64" s="26" t="str">
        <x:v>DEPENDS ON / MUST REMAIN CONSISTENT WITH</x:v>
      </x:c>
      <x:c r="G64" s="26" t="str">
        <x:v>MANDATORY</x:v>
      </x:c>
      <x:c r="H64" s="26" t="str">
        <x:v>Update source when target changes materially; record impact in 13.</x:v>
      </x:c>
      <x:c r="I64" s="26" t="str">
        <x:v>ACTIVE</x:v>
      </x:c>
    </x:row>
    <x:row r="65" ht="30" customHeight="1">
      <x:c r="A65" s="26" t="str">
        <x:v>REL-0061</x:v>
      </x:c>
      <x:c r="B65" s="26" t="str">
        <x:v>11</x:v>
      </x:c>
      <x:c r="C65" s="26" t="str">
        <x:v>11_Build_y_Versioning_Guide.md</x:v>
      </x:c>
      <x:c r="D65" s="26" t="str">
        <x:v>07</x:v>
      </x:c>
      <x:c r="E65" s="26" t="str">
        <x:v>07_QA_Testing_Plan.md</x:v>
      </x:c>
      <x:c r="F65" s="26" t="str">
        <x:v>DEPENDS ON / MUST REMAIN CONSISTENT WITH</x:v>
      </x:c>
      <x:c r="G65" s="26" t="str">
        <x:v>MANDATORY</x:v>
      </x:c>
      <x:c r="H65" s="26" t="str">
        <x:v>Update source when target changes materially; record impact in 13.</x:v>
      </x:c>
      <x:c r="I65" s="26" t="str">
        <x:v>ACTIVE</x:v>
      </x:c>
    </x:row>
    <x:row r="66" ht="30" customHeight="1">
      <x:c r="A66" s="26" t="str">
        <x:v>REL-0062</x:v>
      </x:c>
      <x:c r="B66" s="26" t="str">
        <x:v>11</x:v>
      </x:c>
      <x:c r="C66" s="26" t="str">
        <x:v>11_Build_y_Versioning_Guide.md</x:v>
      </x:c>
      <x:c r="D66" s="26" t="str">
        <x:v>10</x:v>
      </x:c>
      <x:c r="E66" s="26" t="str">
        <x:v>10_Unity_Project_Setup_Guide.md</x:v>
      </x:c>
      <x:c r="F66" s="26" t="str">
        <x:v>DEPENDS ON / MUST REMAIN CONSISTENT WITH</x:v>
      </x:c>
      <x:c r="G66" s="26" t="str">
        <x:v>MANDATORY</x:v>
      </x:c>
      <x:c r="H66" s="26" t="str">
        <x:v>Update source when target changes materially; record impact in 13.</x:v>
      </x:c>
      <x:c r="I66" s="26" t="str">
        <x:v>ACTIVE</x:v>
      </x:c>
    </x:row>
    <x:row r="67" ht="30" customHeight="1">
      <x:c r="A67" s="26" t="str">
        <x:v>REL-0063</x:v>
      </x:c>
      <x:c r="B67" s="26" t="str">
        <x:v>12</x:v>
      </x:c>
      <x:c r="C67" s="26" t="str">
        <x:v>12_Excel_Maestro_de_Produccion.xlsx</x:v>
      </x:c>
      <x:c r="D67" s="26" t="str">
        <x:v>06</x:v>
      </x:c>
      <x:c r="E67" s="26" t="str">
        <x:v>06_Production_Roadmap_y_Sprint_Plan.md</x:v>
      </x:c>
      <x:c r="F67" s="26" t="str">
        <x:v>DEPENDS ON / MUST REMAIN CONSISTENT WITH</x:v>
      </x:c>
      <x:c r="G67" s="26" t="str">
        <x:v>MANDATORY</x:v>
      </x:c>
      <x:c r="H67" s="26" t="str">
        <x:v>Update source when target changes materially; record impact in 13.</x:v>
      </x:c>
      <x:c r="I67" s="26" t="str">
        <x:v>ACTIVE</x:v>
      </x:c>
    </x:row>
    <x:row r="68" ht="30" customHeight="1">
      <x:c r="A68" s="26" t="str">
        <x:v>REL-0064</x:v>
      </x:c>
      <x:c r="B68" s="26" t="str">
        <x:v>12</x:v>
      </x:c>
      <x:c r="C68" s="26" t="str">
        <x:v>12_Excel_Maestro_de_Produccion.xlsx</x:v>
      </x:c>
      <x:c r="D68" s="26" t="str">
        <x:v>07</x:v>
      </x:c>
      <x:c r="E68" s="26" t="str">
        <x:v>07_QA_Testing_Plan.md</x:v>
      </x:c>
      <x:c r="F68" s="26" t="str">
        <x:v>DEPENDS ON / MUST REMAIN CONSISTENT WITH</x:v>
      </x:c>
      <x:c r="G68" s="26" t="str">
        <x:v>MANDATORY</x:v>
      </x:c>
      <x:c r="H68" s="26" t="str">
        <x:v>Update source when target changes materially; record impact in 13.</x:v>
      </x:c>
      <x:c r="I68" s="26" t="str">
        <x:v>ACTIVE</x:v>
      </x:c>
    </x:row>
    <x:row r="69" ht="30" customHeight="1">
      <x:c r="A69" s="26" t="str">
        <x:v>REL-0065</x:v>
      </x:c>
      <x:c r="B69" s="26" t="str">
        <x:v>12</x:v>
      </x:c>
      <x:c r="C69" s="26" t="str">
        <x:v>12_Excel_Maestro_de_Produccion.xlsx</x:v>
      </x:c>
      <x:c r="D69" s="26" t="str">
        <x:v>08</x:v>
      </x:c>
      <x:c r="E69" s="26" t="str">
        <x:v>08_QA_Testing_Matrix.xlsx</x:v>
      </x:c>
      <x:c r="F69" s="26" t="str">
        <x:v>DEPENDS ON / MUST REMAIN CONSISTENT WITH</x:v>
      </x:c>
      <x:c r="G69" s="26" t="str">
        <x:v>MANDATORY</x:v>
      </x:c>
      <x:c r="H69" s="26" t="str">
        <x:v>Update source when target changes materially; record impact in 13.</x:v>
      </x:c>
      <x:c r="I69" s="26" t="str">
        <x:v>ACTIVE</x:v>
      </x:c>
    </x:row>
    <x:row r="70" ht="30" customHeight="1">
      <x:c r="A70" s="26" t="str">
        <x:v>REL-0066</x:v>
      </x:c>
      <x:c r="B70" s="26" t="str">
        <x:v>12</x:v>
      </x:c>
      <x:c r="C70" s="26" t="str">
        <x:v>12_Excel_Maestro_de_Produccion.xlsx</x:v>
      </x:c>
      <x:c r="D70" s="26" t="str">
        <x:v>13</x:v>
      </x:c>
      <x:c r="E70" s="26" t="str">
        <x:v>13_Trazabilidad_y_Control_de_Cambios.xlsx</x:v>
      </x:c>
      <x:c r="F70" s="26" t="str">
        <x:v>DEPENDS ON / MUST REMAIN CONSISTENT WITH</x:v>
      </x:c>
      <x:c r="G70" s="26" t="str">
        <x:v>MANDATORY</x:v>
      </x:c>
      <x:c r="H70" s="26" t="str">
        <x:v>Update source when target changes materially; record impact in 13.</x:v>
      </x:c>
      <x:c r="I70" s="26" t="str">
        <x:v>ACTIVE</x:v>
      </x:c>
    </x:row>
    <x:row r="71" ht="30" customHeight="1">
      <x:c r="A71" s="26" t="str">
        <x:v>REL-0067</x:v>
      </x:c>
      <x:c r="B71" s="26" t="str">
        <x:v>12</x:v>
      </x:c>
      <x:c r="C71" s="26" t="str">
        <x:v>12_Excel_Maestro_de_Produccion.xlsx</x:v>
      </x:c>
      <x:c r="D71" s="26" t="str">
        <x:v>31</x:v>
      </x:c>
      <x:c r="E71" s="26" t="str">
        <x:v>31_H6_and_Release_Readiness_Checklist.xlsx</x:v>
      </x:c>
      <x:c r="F71" s="26" t="str">
        <x:v>DEPENDS ON / MUST REMAIN CONSISTENT WITH</x:v>
      </x:c>
      <x:c r="G71" s="26" t="str">
        <x:v>MANDATORY</x:v>
      </x:c>
      <x:c r="H71" s="26" t="str">
        <x:v>Update source when target changes materially; record impact in 13.</x:v>
      </x:c>
      <x:c r="I71" s="26" t="str">
        <x:v>PENDING FINAL REVALIDATION</x:v>
      </x:c>
    </x:row>
    <x:row r="72" ht="30" customHeight="1">
      <x:c r="A72" s="26" t="str">
        <x:v>REL-0068</x:v>
      </x:c>
      <x:c r="B72" s="26" t="str">
        <x:v>13</x:v>
      </x:c>
      <x:c r="C72" s="26" t="str">
        <x:v>13_Trazabilidad_y_Control_de_Cambios.xlsx</x:v>
      </x:c>
      <x:c r="D72" s="26" t="str">
        <x:v>00</x:v>
      </x:c>
      <x:c r="E72" s="26" t="str">
        <x:v>00_Enfoque_y_Alcance.md</x:v>
      </x:c>
      <x:c r="F72" s="26" t="str">
        <x:v>DEPENDS ON / MUST REMAIN CONSISTENT WITH</x:v>
      </x:c>
      <x:c r="G72" s="26" t="str">
        <x:v>MANDATORY</x:v>
      </x:c>
      <x:c r="H72" s="26" t="str">
        <x:v>Update source when target changes materially; record impact in 13.</x:v>
      </x:c>
      <x:c r="I72" s="26" t="str">
        <x:v>ACTIVE</x:v>
      </x:c>
    </x:row>
    <x:row r="73" ht="30" customHeight="1">
      <x:c r="A73" s="26" t="str">
        <x:v>REL-0069</x:v>
      </x:c>
      <x:c r="B73" s="26" t="str">
        <x:v>13</x:v>
      </x:c>
      <x:c r="C73" s="26" t="str">
        <x:v>13_Trazabilidad_y_Control_de_Cambios.xlsx</x:v>
      </x:c>
      <x:c r="D73" s="26" t="str">
        <x:v>01</x:v>
      </x:c>
      <x:c r="E73" s="26" t="str">
        <x:v>01_Game_Design_Document.md</x:v>
      </x:c>
      <x:c r="F73" s="26" t="str">
        <x:v>DEPENDS ON / MUST REMAIN CONSISTENT WITH</x:v>
      </x:c>
      <x:c r="G73" s="26" t="str">
        <x:v>MANDATORY</x:v>
      </x:c>
      <x:c r="H73" s="26" t="str">
        <x:v>Update source when target changes materially; record impact in 13.</x:v>
      </x:c>
      <x:c r="I73" s="26" t="str">
        <x:v>ACTIVE</x:v>
      </x:c>
    </x:row>
    <x:row r="74" ht="30" customHeight="1">
      <x:c r="A74" s="26" t="str">
        <x:v>REL-0070</x:v>
      </x:c>
      <x:c r="B74" s="26" t="str">
        <x:v>13</x:v>
      </x:c>
      <x:c r="C74" s="26" t="str">
        <x:v>13_Trazabilidad_y_Control_de_Cambios.xlsx</x:v>
      </x:c>
      <x:c r="D74" s="26" t="str">
        <x:v>02</x:v>
      </x:c>
      <x:c r="E74" s="26" t="str">
        <x:v>02_Vertical_Slice_Specification.md</x:v>
      </x:c>
      <x:c r="F74" s="26" t="str">
        <x:v>DEPENDS ON / MUST REMAIN CONSISTENT WITH</x:v>
      </x:c>
      <x:c r="G74" s="26" t="str">
        <x:v>MANDATORY</x:v>
      </x:c>
      <x:c r="H74" s="26" t="str">
        <x:v>Update source when target changes materially; record impact in 13.</x:v>
      </x:c>
      <x:c r="I74" s="26" t="str">
        <x:v>ACTIVE</x:v>
      </x:c>
    </x:row>
    <x:row r="75" ht="30" customHeight="1">
      <x:c r="A75" s="26" t="str">
        <x:v>REL-0071</x:v>
      </x:c>
      <x:c r="B75" s="26" t="str">
        <x:v>13</x:v>
      </x:c>
      <x:c r="C75" s="26" t="str">
        <x:v>13_Trazabilidad_y_Control_de_Cambios.xlsx</x:v>
      </x:c>
      <x:c r="D75" s="26" t="str">
        <x:v>03</x:v>
      </x:c>
      <x:c r="E75" s="26" t="str">
        <x:v>03_Technical_Design_Document.md</x:v>
      </x:c>
      <x:c r="F75" s="26" t="str">
        <x:v>DEPENDS ON / MUST REMAIN CONSISTENT WITH</x:v>
      </x:c>
      <x:c r="G75" s="26" t="str">
        <x:v>MANDATORY</x:v>
      </x:c>
      <x:c r="H75" s="26" t="str">
        <x:v>Update source when target changes materially; record impact in 13.</x:v>
      </x:c>
      <x:c r="I75" s="26" t="str">
        <x:v>ACTIVE</x:v>
      </x:c>
    </x:row>
    <x:row r="76" ht="30" customHeight="1">
      <x:c r="A76" s="26" t="str">
        <x:v>REL-0072</x:v>
      </x:c>
      <x:c r="B76" s="26" t="str">
        <x:v>13</x:v>
      </x:c>
      <x:c r="C76" s="26" t="str">
        <x:v>13_Trazabilidad_y_Control_de_Cambios.xlsx</x:v>
      </x:c>
      <x:c r="D76" s="26" t="str">
        <x:v>04</x:v>
      </x:c>
      <x:c r="E76" s="26" t="str">
        <x:v>04_Modelo_de_Datos.md</x:v>
      </x:c>
      <x:c r="F76" s="26" t="str">
        <x:v>DEPENDS ON / MUST REMAIN CONSISTENT WITH</x:v>
      </x:c>
      <x:c r="G76" s="26" t="str">
        <x:v>MANDATORY</x:v>
      </x:c>
      <x:c r="H76" s="26" t="str">
        <x:v>Update source when target changes materially; record impact in 13.</x:v>
      </x:c>
      <x:c r="I76" s="26" t="str">
        <x:v>ACTIVE</x:v>
      </x:c>
    </x:row>
    <x:row r="77" ht="30" customHeight="1">
      <x:c r="A77" s="26" t="str">
        <x:v>REL-0073</x:v>
      </x:c>
      <x:c r="B77" s="26" t="str">
        <x:v>13</x:v>
      </x:c>
      <x:c r="C77" s="26" t="str">
        <x:v>13_Trazabilidad_y_Control_de_Cambios.xlsx</x:v>
      </x:c>
      <x:c r="D77" s="26" t="str">
        <x:v>05</x:v>
      </x:c>
      <x:c r="E77" s="26" t="str">
        <x:v>05_UX_Flow.md</x:v>
      </x:c>
      <x:c r="F77" s="26" t="str">
        <x:v>DEPENDS ON / MUST REMAIN CONSISTENT WITH</x:v>
      </x:c>
      <x:c r="G77" s="26" t="str">
        <x:v>MANDATORY</x:v>
      </x:c>
      <x:c r="H77" s="26" t="str">
        <x:v>Update source when target changes materially; record impact in 13.</x:v>
      </x:c>
      <x:c r="I77" s="26" t="str">
        <x:v>ACTIVE</x:v>
      </x:c>
    </x:row>
    <x:row r="78" ht="30" customHeight="1">
      <x:c r="A78" s="26" t="str">
        <x:v>REL-0074</x:v>
      </x:c>
      <x:c r="B78" s="26" t="str">
        <x:v>13</x:v>
      </x:c>
      <x:c r="C78" s="26" t="str">
        <x:v>13_Trazabilidad_y_Control_de_Cambios.xlsx</x:v>
      </x:c>
      <x:c r="D78" s="26" t="str">
        <x:v>06</x:v>
      </x:c>
      <x:c r="E78" s="26" t="str">
        <x:v>06_Production_Roadmap_y_Sprint_Plan.md</x:v>
      </x:c>
      <x:c r="F78" s="26" t="str">
        <x:v>DEPENDS ON / MUST REMAIN CONSISTENT WITH</x:v>
      </x:c>
      <x:c r="G78" s="26" t="str">
        <x:v>MANDATORY</x:v>
      </x:c>
      <x:c r="H78" s="26" t="str">
        <x:v>Update source when target changes materially; record impact in 13.</x:v>
      </x:c>
      <x:c r="I78" s="26" t="str">
        <x:v>ACTIVE</x:v>
      </x:c>
    </x:row>
    <x:row r="79" ht="30" customHeight="1">
      <x:c r="A79" s="26" t="str">
        <x:v>REL-0075</x:v>
      </x:c>
      <x:c r="B79" s="26" t="str">
        <x:v>13</x:v>
      </x:c>
      <x:c r="C79" s="26" t="str">
        <x:v>13_Trazabilidad_y_Control_de_Cambios.xlsx</x:v>
      </x:c>
      <x:c r="D79" s="26" t="str">
        <x:v>07</x:v>
      </x:c>
      <x:c r="E79" s="26" t="str">
        <x:v>07_QA_Testing_Plan.md</x:v>
      </x:c>
      <x:c r="F79" s="26" t="str">
        <x:v>DEPENDS ON / MUST REMAIN CONSISTENT WITH</x:v>
      </x:c>
      <x:c r="G79" s="26" t="str">
        <x:v>MANDATORY</x:v>
      </x:c>
      <x:c r="H79" s="26" t="str">
        <x:v>Update source when target changes materially; record impact in 13.</x:v>
      </x:c>
      <x:c r="I79" s="26" t="str">
        <x:v>ACTIVE</x:v>
      </x:c>
    </x:row>
    <x:row r="80" ht="30" customHeight="1">
      <x:c r="A80" s="26" t="str">
        <x:v>REL-0076</x:v>
      </x:c>
      <x:c r="B80" s="26" t="str">
        <x:v>13</x:v>
      </x:c>
      <x:c r="C80" s="26" t="str">
        <x:v>13_Trazabilidad_y_Control_de_Cambios.xlsx</x:v>
      </x:c>
      <x:c r="D80" s="26" t="str">
        <x:v>08</x:v>
      </x:c>
      <x:c r="E80" s="26" t="str">
        <x:v>08_QA_Testing_Matrix.xlsx</x:v>
      </x:c>
      <x:c r="F80" s="26" t="str">
        <x:v>DEPENDS ON / MUST REMAIN CONSISTENT WITH</x:v>
      </x:c>
      <x:c r="G80" s="26" t="str">
        <x:v>MANDATORY</x:v>
      </x:c>
      <x:c r="H80" s="26" t="str">
        <x:v>Update source when target changes materially; record impact in 13.</x:v>
      </x:c>
      <x:c r="I80" s="26" t="str">
        <x:v>ACTIVE</x:v>
      </x:c>
    </x:row>
    <x:row r="81" ht="30" customHeight="1">
      <x:c r="A81" s="26" t="str">
        <x:v>REL-0077</x:v>
      </x:c>
      <x:c r="B81" s="26" t="str">
        <x:v>13</x:v>
      </x:c>
      <x:c r="C81" s="26" t="str">
        <x:v>13_Trazabilidad_y_Control_de_Cambios.xlsx</x:v>
      </x:c>
      <x:c r="D81" s="26" t="str">
        <x:v>09</x:v>
      </x:c>
      <x:c r="E81" s="26" t="str">
        <x:v>09_CSharp_Coding_Standards.md</x:v>
      </x:c>
      <x:c r="F81" s="26" t="str">
        <x:v>DEPENDS ON / MUST REMAIN CONSISTENT WITH</x:v>
      </x:c>
      <x:c r="G81" s="26" t="str">
        <x:v>MANDATORY</x:v>
      </x:c>
      <x:c r="H81" s="26" t="str">
        <x:v>Update source when target changes materially; record impact in 13.</x:v>
      </x:c>
      <x:c r="I81" s="26" t="str">
        <x:v>ACTIVE</x:v>
      </x:c>
    </x:row>
    <x:row r="82" ht="30" customHeight="1">
      <x:c r="A82" s="26" t="str">
        <x:v>REL-0078</x:v>
      </x:c>
      <x:c r="B82" s="26" t="str">
        <x:v>13</x:v>
      </x:c>
      <x:c r="C82" s="26" t="str">
        <x:v>13_Trazabilidad_y_Control_de_Cambios.xlsx</x:v>
      </x:c>
      <x:c r="D82" s="26" t="str">
        <x:v>10</x:v>
      </x:c>
      <x:c r="E82" s="26" t="str">
        <x:v>10_Unity_Project_Setup_Guide.md</x:v>
      </x:c>
      <x:c r="F82" s="26" t="str">
        <x:v>DEPENDS ON / MUST REMAIN CONSISTENT WITH</x:v>
      </x:c>
      <x:c r="G82" s="26" t="str">
        <x:v>MANDATORY</x:v>
      </x:c>
      <x:c r="H82" s="26" t="str">
        <x:v>Update source when target changes materially; record impact in 13.</x:v>
      </x:c>
      <x:c r="I82" s="26" t="str">
        <x:v>ACTIVE</x:v>
      </x:c>
    </x:row>
    <x:row r="83" ht="30" customHeight="1">
      <x:c r="A83" s="26" t="str">
        <x:v>REL-0079</x:v>
      </x:c>
      <x:c r="B83" s="26" t="str">
        <x:v>13</x:v>
      </x:c>
      <x:c r="C83" s="26" t="str">
        <x:v>13_Trazabilidad_y_Control_de_Cambios.xlsx</x:v>
      </x:c>
      <x:c r="D83" s="26" t="str">
        <x:v>11</x:v>
      </x:c>
      <x:c r="E83" s="26" t="str">
        <x:v>11_Build_y_Versioning_Guide.md</x:v>
      </x:c>
      <x:c r="F83" s="26" t="str">
        <x:v>DEPENDS ON / MUST REMAIN CONSISTENT WITH</x:v>
      </x:c>
      <x:c r="G83" s="26" t="str">
        <x:v>MANDATORY</x:v>
      </x:c>
      <x:c r="H83" s="26" t="str">
        <x:v>Update source when target changes materially; record impact in 13.</x:v>
      </x:c>
      <x:c r="I83" s="26" t="str">
        <x:v>ACTIVE</x:v>
      </x:c>
    </x:row>
    <x:row r="84" ht="30" customHeight="1">
      <x:c r="A84" s="26" t="str">
        <x:v>REL-0080</x:v>
      </x:c>
      <x:c r="B84" s="26" t="str">
        <x:v>14</x:v>
      </x:c>
      <x:c r="C84" s="26" t="str">
        <x:v>14_Project_Binder_Indice_Maestro.md</x:v>
      </x:c>
      <x:c r="D84" s="26" t="str">
        <x:v>00</x:v>
      </x:c>
      <x:c r="E84" s="26" t="str">
        <x:v>00_Enfoque_y_Alcance.md</x:v>
      </x:c>
      <x:c r="F84" s="26" t="str">
        <x:v>DEPENDS ON / MUST REMAIN CONSISTENT WITH</x:v>
      </x:c>
      <x:c r="G84" s="26" t="str">
        <x:v>MANDATORY</x:v>
      </x:c>
      <x:c r="H84" s="26" t="str">
        <x:v>Update source when target changes materially; record impact in 13.</x:v>
      </x:c>
      <x:c r="I84" s="26" t="str">
        <x:v>ACTIVE</x:v>
      </x:c>
    </x:row>
    <x:row r="85" ht="30" customHeight="1">
      <x:c r="A85" s="26" t="str">
        <x:v>REL-0081</x:v>
      </x:c>
      <x:c r="B85" s="26" t="str">
        <x:v>14</x:v>
      </x:c>
      <x:c r="C85" s="26" t="str">
        <x:v>14_Project_Binder_Indice_Maestro.md</x:v>
      </x:c>
      <x:c r="D85" s="26" t="str">
        <x:v>01</x:v>
      </x:c>
      <x:c r="E85" s="26" t="str">
        <x:v>01_Game_Design_Document.md</x:v>
      </x:c>
      <x:c r="F85" s="26" t="str">
        <x:v>DEPENDS ON / MUST REMAIN CONSISTENT WITH</x:v>
      </x:c>
      <x:c r="G85" s="26" t="str">
        <x:v>MANDATORY</x:v>
      </x:c>
      <x:c r="H85" s="26" t="str">
        <x:v>Update source when target changes materially; record impact in 13.</x:v>
      </x:c>
      <x:c r="I85" s="26" t="str">
        <x:v>ACTIVE</x:v>
      </x:c>
    </x:row>
    <x:row r="86" ht="30" customHeight="1">
      <x:c r="A86" s="26" t="str">
        <x:v>REL-0082</x:v>
      </x:c>
      <x:c r="B86" s="26" t="str">
        <x:v>14</x:v>
      </x:c>
      <x:c r="C86" s="26" t="str">
        <x:v>14_Project_Binder_Indice_Maestro.md</x:v>
      </x:c>
      <x:c r="D86" s="26" t="str">
        <x:v>02</x:v>
      </x:c>
      <x:c r="E86" s="26" t="str">
        <x:v>02_Vertical_Slice_Specification.md</x:v>
      </x:c>
      <x:c r="F86" s="26" t="str">
        <x:v>DEPENDS ON / MUST REMAIN CONSISTENT WITH</x:v>
      </x:c>
      <x:c r="G86" s="26" t="str">
        <x:v>MANDATORY</x:v>
      </x:c>
      <x:c r="H86" s="26" t="str">
        <x:v>Update source when target changes materially; record impact in 13.</x:v>
      </x:c>
      <x:c r="I86" s="26" t="str">
        <x:v>ACTIVE</x:v>
      </x:c>
    </x:row>
    <x:row r="87" ht="30" customHeight="1">
      <x:c r="A87" s="26" t="str">
        <x:v>REL-0083</x:v>
      </x:c>
      <x:c r="B87" s="26" t="str">
        <x:v>14</x:v>
      </x:c>
      <x:c r="C87" s="26" t="str">
        <x:v>14_Project_Binder_Indice_Maestro.md</x:v>
      </x:c>
      <x:c r="D87" s="26" t="str">
        <x:v>03</x:v>
      </x:c>
      <x:c r="E87" s="26" t="str">
        <x:v>03_Technical_Design_Document.md</x:v>
      </x:c>
      <x:c r="F87" s="26" t="str">
        <x:v>DEPENDS ON / MUST REMAIN CONSISTENT WITH</x:v>
      </x:c>
      <x:c r="G87" s="26" t="str">
        <x:v>MANDATORY</x:v>
      </x:c>
      <x:c r="H87" s="26" t="str">
        <x:v>Update source when target changes materially; record impact in 13.</x:v>
      </x:c>
      <x:c r="I87" s="26" t="str">
        <x:v>ACTIVE</x:v>
      </x:c>
    </x:row>
    <x:row r="88" ht="30" customHeight="1">
      <x:c r="A88" s="26" t="str">
        <x:v>REL-0084</x:v>
      </x:c>
      <x:c r="B88" s="26" t="str">
        <x:v>14</x:v>
      </x:c>
      <x:c r="C88" s="26" t="str">
        <x:v>14_Project_Binder_Indice_Maestro.md</x:v>
      </x:c>
      <x:c r="D88" s="26" t="str">
        <x:v>04</x:v>
      </x:c>
      <x:c r="E88" s="26" t="str">
        <x:v>04_Modelo_de_Datos.md</x:v>
      </x:c>
      <x:c r="F88" s="26" t="str">
        <x:v>DEPENDS ON / MUST REMAIN CONSISTENT WITH</x:v>
      </x:c>
      <x:c r="G88" s="26" t="str">
        <x:v>MANDATORY</x:v>
      </x:c>
      <x:c r="H88" s="26" t="str">
        <x:v>Update source when target changes materially; record impact in 13.</x:v>
      </x:c>
      <x:c r="I88" s="26" t="str">
        <x:v>ACTIVE</x:v>
      </x:c>
    </x:row>
    <x:row r="89" ht="30" customHeight="1">
      <x:c r="A89" s="26" t="str">
        <x:v>REL-0085</x:v>
      </x:c>
      <x:c r="B89" s="26" t="str">
        <x:v>14</x:v>
      </x:c>
      <x:c r="C89" s="26" t="str">
        <x:v>14_Project_Binder_Indice_Maestro.md</x:v>
      </x:c>
      <x:c r="D89" s="26" t="str">
        <x:v>05</x:v>
      </x:c>
      <x:c r="E89" s="26" t="str">
        <x:v>05_UX_Flow.md</x:v>
      </x:c>
      <x:c r="F89" s="26" t="str">
        <x:v>DEPENDS ON / MUST REMAIN CONSISTENT WITH</x:v>
      </x:c>
      <x:c r="G89" s="26" t="str">
        <x:v>MANDATORY</x:v>
      </x:c>
      <x:c r="H89" s="26" t="str">
        <x:v>Update source when target changes materially; record impact in 13.</x:v>
      </x:c>
      <x:c r="I89" s="26" t="str">
        <x:v>ACTIVE</x:v>
      </x:c>
    </x:row>
    <x:row r="90" ht="30" customHeight="1">
      <x:c r="A90" s="26" t="str">
        <x:v>REL-0086</x:v>
      </x:c>
      <x:c r="B90" s="26" t="str">
        <x:v>14</x:v>
      </x:c>
      <x:c r="C90" s="26" t="str">
        <x:v>14_Project_Binder_Indice_Maestro.md</x:v>
      </x:c>
      <x:c r="D90" s="26" t="str">
        <x:v>06</x:v>
      </x:c>
      <x:c r="E90" s="26" t="str">
        <x:v>06_Production_Roadmap_y_Sprint_Plan.md</x:v>
      </x:c>
      <x:c r="F90" s="26" t="str">
        <x:v>DEPENDS ON / MUST REMAIN CONSISTENT WITH</x:v>
      </x:c>
      <x:c r="G90" s="26" t="str">
        <x:v>MANDATORY</x:v>
      </x:c>
      <x:c r="H90" s="26" t="str">
        <x:v>Update source when target changes materially; record impact in 13.</x:v>
      </x:c>
      <x:c r="I90" s="26" t="str">
        <x:v>ACTIVE</x:v>
      </x:c>
    </x:row>
    <x:row r="91" ht="30" customHeight="1">
      <x:c r="A91" s="26" t="str">
        <x:v>REL-0087</x:v>
      </x:c>
      <x:c r="B91" s="26" t="str">
        <x:v>14</x:v>
      </x:c>
      <x:c r="C91" s="26" t="str">
        <x:v>14_Project_Binder_Indice_Maestro.md</x:v>
      </x:c>
      <x:c r="D91" s="26" t="str">
        <x:v>07</x:v>
      </x:c>
      <x:c r="E91" s="26" t="str">
        <x:v>07_QA_Testing_Plan.md</x:v>
      </x:c>
      <x:c r="F91" s="26" t="str">
        <x:v>DEPENDS ON / MUST REMAIN CONSISTENT WITH</x:v>
      </x:c>
      <x:c r="G91" s="26" t="str">
        <x:v>MANDATORY</x:v>
      </x:c>
      <x:c r="H91" s="26" t="str">
        <x:v>Update source when target changes materially; record impact in 13.</x:v>
      </x:c>
      <x:c r="I91" s="26" t="str">
        <x:v>ACTIVE</x:v>
      </x:c>
    </x:row>
    <x:row r="92" ht="30" customHeight="1">
      <x:c r="A92" s="26" t="str">
        <x:v>REL-0088</x:v>
      </x:c>
      <x:c r="B92" s="26" t="str">
        <x:v>14</x:v>
      </x:c>
      <x:c r="C92" s="26" t="str">
        <x:v>14_Project_Binder_Indice_Maestro.md</x:v>
      </x:c>
      <x:c r="D92" s="26" t="str">
        <x:v>08</x:v>
      </x:c>
      <x:c r="E92" s="26" t="str">
        <x:v>08_QA_Testing_Matrix.xlsx</x:v>
      </x:c>
      <x:c r="F92" s="26" t="str">
        <x:v>DEPENDS ON / MUST REMAIN CONSISTENT WITH</x:v>
      </x:c>
      <x:c r="G92" s="26" t="str">
        <x:v>MANDATORY</x:v>
      </x:c>
      <x:c r="H92" s="26" t="str">
        <x:v>Update source when target changes materially; record impact in 13.</x:v>
      </x:c>
      <x:c r="I92" s="26" t="str">
        <x:v>ACTIVE</x:v>
      </x:c>
    </x:row>
    <x:row r="93" ht="30" customHeight="1">
      <x:c r="A93" s="26" t="str">
        <x:v>REL-0089</x:v>
      </x:c>
      <x:c r="B93" s="26" t="str">
        <x:v>14</x:v>
      </x:c>
      <x:c r="C93" s="26" t="str">
        <x:v>14_Project_Binder_Indice_Maestro.md</x:v>
      </x:c>
      <x:c r="D93" s="26" t="str">
        <x:v>09</x:v>
      </x:c>
      <x:c r="E93" s="26" t="str">
        <x:v>09_CSharp_Coding_Standards.md</x:v>
      </x:c>
      <x:c r="F93" s="26" t="str">
        <x:v>DEPENDS ON / MUST REMAIN CONSISTENT WITH</x:v>
      </x:c>
      <x:c r="G93" s="26" t="str">
        <x:v>MANDATORY</x:v>
      </x:c>
      <x:c r="H93" s="26" t="str">
        <x:v>Update source when target changes materially; record impact in 13.</x:v>
      </x:c>
      <x:c r="I93" s="26" t="str">
        <x:v>ACTIVE</x:v>
      </x:c>
    </x:row>
    <x:row r="94" ht="30" customHeight="1">
      <x:c r="A94" s="26" t="str">
        <x:v>REL-0090</x:v>
      </x:c>
      <x:c r="B94" s="26" t="str">
        <x:v>14</x:v>
      </x:c>
      <x:c r="C94" s="26" t="str">
        <x:v>14_Project_Binder_Indice_Maestro.md</x:v>
      </x:c>
      <x:c r="D94" s="26" t="str">
        <x:v>10</x:v>
      </x:c>
      <x:c r="E94" s="26" t="str">
        <x:v>10_Unity_Project_Setup_Guide.md</x:v>
      </x:c>
      <x:c r="F94" s="26" t="str">
        <x:v>DEPENDS ON / MUST REMAIN CONSISTENT WITH</x:v>
      </x:c>
      <x:c r="G94" s="26" t="str">
        <x:v>MANDATORY</x:v>
      </x:c>
      <x:c r="H94" s="26" t="str">
        <x:v>Update source when target changes materially; record impact in 13.</x:v>
      </x:c>
      <x:c r="I94" s="26" t="str">
        <x:v>ACTIVE</x:v>
      </x:c>
    </x:row>
    <x:row r="95" ht="30" customHeight="1">
      <x:c r="A95" s="26" t="str">
        <x:v>REL-0091</x:v>
      </x:c>
      <x:c r="B95" s="26" t="str">
        <x:v>14</x:v>
      </x:c>
      <x:c r="C95" s="26" t="str">
        <x:v>14_Project_Binder_Indice_Maestro.md</x:v>
      </x:c>
      <x:c r="D95" s="26" t="str">
        <x:v>11</x:v>
      </x:c>
      <x:c r="E95" s="26" t="str">
        <x:v>11_Build_y_Versioning_Guide.md</x:v>
      </x:c>
      <x:c r="F95" s="26" t="str">
        <x:v>DEPENDS ON / MUST REMAIN CONSISTENT WITH</x:v>
      </x:c>
      <x:c r="G95" s="26" t="str">
        <x:v>MANDATORY</x:v>
      </x:c>
      <x:c r="H95" s="26" t="str">
        <x:v>Update source when target changes materially; record impact in 13.</x:v>
      </x:c>
      <x:c r="I95" s="26" t="str">
        <x:v>ACTIVE</x:v>
      </x:c>
    </x:row>
    <x:row r="96" ht="30" customHeight="1">
      <x:c r="A96" s="26" t="str">
        <x:v>REL-0092</x:v>
      </x:c>
      <x:c r="B96" s="26" t="str">
        <x:v>14</x:v>
      </x:c>
      <x:c r="C96" s="26" t="str">
        <x:v>14_Project_Binder_Indice_Maestro.md</x:v>
      </x:c>
      <x:c r="D96" s="26" t="str">
        <x:v>12</x:v>
      </x:c>
      <x:c r="E96" s="26" t="str">
        <x:v>12_Excel_Maestro_de_Produccion.xlsx</x:v>
      </x:c>
      <x:c r="F96" s="26" t="str">
        <x:v>DEPENDS ON / MUST REMAIN CONSISTENT WITH</x:v>
      </x:c>
      <x:c r="G96" s="26" t="str">
        <x:v>MANDATORY</x:v>
      </x:c>
      <x:c r="H96" s="26" t="str">
        <x:v>Update source when target changes materially; record impact in 13.</x:v>
      </x:c>
      <x:c r="I96" s="26" t="str">
        <x:v>ACTIVE</x:v>
      </x:c>
    </x:row>
    <x:row r="97" ht="30" customHeight="1">
      <x:c r="A97" s="26" t="str">
        <x:v>REL-0093</x:v>
      </x:c>
      <x:c r="B97" s="26" t="str">
        <x:v>14</x:v>
      </x:c>
      <x:c r="C97" s="26" t="str">
        <x:v>14_Project_Binder_Indice_Maestro.md</x:v>
      </x:c>
      <x:c r="D97" s="26" t="str">
        <x:v>13</x:v>
      </x:c>
      <x:c r="E97" s="26" t="str">
        <x:v>13_Trazabilidad_y_Control_de_Cambios.xlsx</x:v>
      </x:c>
      <x:c r="F97" s="26" t="str">
        <x:v>DEPENDS ON / MUST REMAIN CONSISTENT WITH</x:v>
      </x:c>
      <x:c r="G97" s="26" t="str">
        <x:v>MANDATORY</x:v>
      </x:c>
      <x:c r="H97" s="26" t="str">
        <x:v>Update source when target changes materially; record impact in 13.</x:v>
      </x:c>
      <x:c r="I97" s="26" t="str">
        <x:v>ACTIVE</x:v>
      </x:c>
    </x:row>
    <x:row r="98" ht="30" customHeight="1">
      <x:c r="A98" s="26" t="str">
        <x:v>REL-0094</x:v>
      </x:c>
      <x:c r="B98" s="26" t="str">
        <x:v>15</x:v>
      </x:c>
      <x:c r="C98" s="26" t="str">
        <x:v>15_Guia_Maestra.md</x:v>
      </x:c>
      <x:c r="D98" s="26" t="str">
        <x:v>00</x:v>
      </x:c>
      <x:c r="E98" s="26" t="str">
        <x:v>00_Enfoque_y_Alcance.md</x:v>
      </x:c>
      <x:c r="F98" s="26" t="str">
        <x:v>DEPENDS ON / MUST REMAIN CONSISTENT WITH</x:v>
      </x:c>
      <x:c r="G98" s="26" t="str">
        <x:v>MANDATORY</x:v>
      </x:c>
      <x:c r="H98" s="26" t="str">
        <x:v>Update source when target changes materially; record impact in 13.</x:v>
      </x:c>
      <x:c r="I98" s="26" t="str">
        <x:v>ACTIVE</x:v>
      </x:c>
    </x:row>
    <x:row r="99" ht="30" customHeight="1">
      <x:c r="A99" s="26" t="str">
        <x:v>REL-0095</x:v>
      </x:c>
      <x:c r="B99" s="26" t="str">
        <x:v>15</x:v>
      </x:c>
      <x:c r="C99" s="26" t="str">
        <x:v>15_Guia_Maestra.md</x:v>
      </x:c>
      <x:c r="D99" s="26" t="str">
        <x:v>01</x:v>
      </x:c>
      <x:c r="E99" s="26" t="str">
        <x:v>01_Game_Design_Document.md</x:v>
      </x:c>
      <x:c r="F99" s="26" t="str">
        <x:v>DEPENDS ON / MUST REMAIN CONSISTENT WITH</x:v>
      </x:c>
      <x:c r="G99" s="26" t="str">
        <x:v>MANDATORY</x:v>
      </x:c>
      <x:c r="H99" s="26" t="str">
        <x:v>Update source when target changes materially; record impact in 13.</x:v>
      </x:c>
      <x:c r="I99" s="26" t="str">
        <x:v>ACTIVE</x:v>
      </x:c>
    </x:row>
    <x:row r="100" ht="30" customHeight="1">
      <x:c r="A100" s="26" t="str">
        <x:v>REL-0096</x:v>
      </x:c>
      <x:c r="B100" s="26" t="str">
        <x:v>15</x:v>
      </x:c>
      <x:c r="C100" s="26" t="str">
        <x:v>15_Guia_Maestra.md</x:v>
      </x:c>
      <x:c r="D100" s="26" t="str">
        <x:v>02</x:v>
      </x:c>
      <x:c r="E100" s="26" t="str">
        <x:v>02_Vertical_Slice_Specification.md</x:v>
      </x:c>
      <x:c r="F100" s="26" t="str">
        <x:v>DEPENDS ON / MUST REMAIN CONSISTENT WITH</x:v>
      </x:c>
      <x:c r="G100" s="26" t="str">
        <x:v>MANDATORY</x:v>
      </x:c>
      <x:c r="H100" s="26" t="str">
        <x:v>Update source when target changes materially; record impact in 13.</x:v>
      </x:c>
      <x:c r="I100" s="26" t="str">
        <x:v>ACTIVE</x:v>
      </x:c>
    </x:row>
    <x:row r="101" ht="30" customHeight="1">
      <x:c r="A101" s="26" t="str">
        <x:v>REL-0097</x:v>
      </x:c>
      <x:c r="B101" s="26" t="str">
        <x:v>15</x:v>
      </x:c>
      <x:c r="C101" s="26" t="str">
        <x:v>15_Guia_Maestra.md</x:v>
      </x:c>
      <x:c r="D101" s="26" t="str">
        <x:v>03</x:v>
      </x:c>
      <x:c r="E101" s="26" t="str">
        <x:v>03_Technical_Design_Document.md</x:v>
      </x:c>
      <x:c r="F101" s="26" t="str">
        <x:v>DEPENDS ON / MUST REMAIN CONSISTENT WITH</x:v>
      </x:c>
      <x:c r="G101" s="26" t="str">
        <x:v>MANDATORY</x:v>
      </x:c>
      <x:c r="H101" s="26" t="str">
        <x:v>Update source when target changes materially; record impact in 13.</x:v>
      </x:c>
      <x:c r="I101" s="26" t="str">
        <x:v>ACTIVE</x:v>
      </x:c>
    </x:row>
    <x:row r="102" ht="30" customHeight="1">
      <x:c r="A102" s="26" t="str">
        <x:v>REL-0098</x:v>
      </x:c>
      <x:c r="B102" s="26" t="str">
        <x:v>15</x:v>
      </x:c>
      <x:c r="C102" s="26" t="str">
        <x:v>15_Guia_Maestra.md</x:v>
      </x:c>
      <x:c r="D102" s="26" t="str">
        <x:v>04</x:v>
      </x:c>
      <x:c r="E102" s="26" t="str">
        <x:v>04_Modelo_de_Datos.md</x:v>
      </x:c>
      <x:c r="F102" s="26" t="str">
        <x:v>DEPENDS ON / MUST REMAIN CONSISTENT WITH</x:v>
      </x:c>
      <x:c r="G102" s="26" t="str">
        <x:v>MANDATORY</x:v>
      </x:c>
      <x:c r="H102" s="26" t="str">
        <x:v>Update source when target changes materially; record impact in 13.</x:v>
      </x:c>
      <x:c r="I102" s="26" t="str">
        <x:v>ACTIVE</x:v>
      </x:c>
    </x:row>
    <x:row r="103" ht="30" customHeight="1">
      <x:c r="A103" s="26" t="str">
        <x:v>REL-0099</x:v>
      </x:c>
      <x:c r="B103" s="26" t="str">
        <x:v>15</x:v>
      </x:c>
      <x:c r="C103" s="26" t="str">
        <x:v>15_Guia_Maestra.md</x:v>
      </x:c>
      <x:c r="D103" s="26" t="str">
        <x:v>05</x:v>
      </x:c>
      <x:c r="E103" s="26" t="str">
        <x:v>05_UX_Flow.md</x:v>
      </x:c>
      <x:c r="F103" s="26" t="str">
        <x:v>DEPENDS ON / MUST REMAIN CONSISTENT WITH</x:v>
      </x:c>
      <x:c r="G103" s="26" t="str">
        <x:v>MANDATORY</x:v>
      </x:c>
      <x:c r="H103" s="26" t="str">
        <x:v>Update source when target changes materially; record impact in 13.</x:v>
      </x:c>
      <x:c r="I103" s="26" t="str">
        <x:v>ACTIVE</x:v>
      </x:c>
    </x:row>
    <x:row r="104" ht="30" customHeight="1">
      <x:c r="A104" s="26" t="str">
        <x:v>REL-0100</x:v>
      </x:c>
      <x:c r="B104" s="26" t="str">
        <x:v>15</x:v>
      </x:c>
      <x:c r="C104" s="26" t="str">
        <x:v>15_Guia_Maestra.md</x:v>
      </x:c>
      <x:c r="D104" s="26" t="str">
        <x:v>06</x:v>
      </x:c>
      <x:c r="E104" s="26" t="str">
        <x:v>06_Production_Roadmap_y_Sprint_Plan.md</x:v>
      </x:c>
      <x:c r="F104" s="26" t="str">
        <x:v>DEPENDS ON / MUST REMAIN CONSISTENT WITH</x:v>
      </x:c>
      <x:c r="G104" s="26" t="str">
        <x:v>MANDATORY</x:v>
      </x:c>
      <x:c r="H104" s="26" t="str">
        <x:v>Update source when target changes materially; record impact in 13.</x:v>
      </x:c>
      <x:c r="I104" s="26" t="str">
        <x:v>ACTIVE</x:v>
      </x:c>
    </x:row>
    <x:row r="105" ht="30" customHeight="1">
      <x:c r="A105" s="26" t="str">
        <x:v>REL-0101</x:v>
      </x:c>
      <x:c r="B105" s="26" t="str">
        <x:v>15</x:v>
      </x:c>
      <x:c r="C105" s="26" t="str">
        <x:v>15_Guia_Maestra.md</x:v>
      </x:c>
      <x:c r="D105" s="26" t="str">
        <x:v>07</x:v>
      </x:c>
      <x:c r="E105" s="26" t="str">
        <x:v>07_QA_Testing_Plan.md</x:v>
      </x:c>
      <x:c r="F105" s="26" t="str">
        <x:v>DEPENDS ON / MUST REMAIN CONSISTENT WITH</x:v>
      </x:c>
      <x:c r="G105" s="26" t="str">
        <x:v>MANDATORY</x:v>
      </x:c>
      <x:c r="H105" s="26" t="str">
        <x:v>Update source when target changes materially; record impact in 13.</x:v>
      </x:c>
      <x:c r="I105" s="26" t="str">
        <x:v>ACTIVE</x:v>
      </x:c>
    </x:row>
    <x:row r="106" ht="30" customHeight="1">
      <x:c r="A106" s="26" t="str">
        <x:v>REL-0102</x:v>
      </x:c>
      <x:c r="B106" s="26" t="str">
        <x:v>15</x:v>
      </x:c>
      <x:c r="C106" s="26" t="str">
        <x:v>15_Guia_Maestra.md</x:v>
      </x:c>
      <x:c r="D106" s="26" t="str">
        <x:v>08</x:v>
      </x:c>
      <x:c r="E106" s="26" t="str">
        <x:v>08_QA_Testing_Matrix.xlsx</x:v>
      </x:c>
      <x:c r="F106" s="26" t="str">
        <x:v>DEPENDS ON / MUST REMAIN CONSISTENT WITH</x:v>
      </x:c>
      <x:c r="G106" s="26" t="str">
        <x:v>MANDATORY</x:v>
      </x:c>
      <x:c r="H106" s="26" t="str">
        <x:v>Update source when target changes materially; record impact in 13.</x:v>
      </x:c>
      <x:c r="I106" s="26" t="str">
        <x:v>ACTIVE</x:v>
      </x:c>
    </x:row>
    <x:row r="107" ht="30" customHeight="1">
      <x:c r="A107" s="26" t="str">
        <x:v>REL-0103</x:v>
      </x:c>
      <x:c r="B107" s="26" t="str">
        <x:v>15</x:v>
      </x:c>
      <x:c r="C107" s="26" t="str">
        <x:v>15_Guia_Maestra.md</x:v>
      </x:c>
      <x:c r="D107" s="26" t="str">
        <x:v>09</x:v>
      </x:c>
      <x:c r="E107" s="26" t="str">
        <x:v>09_CSharp_Coding_Standards.md</x:v>
      </x:c>
      <x:c r="F107" s="26" t="str">
        <x:v>DEPENDS ON / MUST REMAIN CONSISTENT WITH</x:v>
      </x:c>
      <x:c r="G107" s="26" t="str">
        <x:v>MANDATORY</x:v>
      </x:c>
      <x:c r="H107" s="26" t="str">
        <x:v>Update source when target changes materially; record impact in 13.</x:v>
      </x:c>
      <x:c r="I107" s="26" t="str">
        <x:v>ACTIVE</x:v>
      </x:c>
    </x:row>
    <x:row r="108" ht="30" customHeight="1">
      <x:c r="A108" s="26" t="str">
        <x:v>REL-0104</x:v>
      </x:c>
      <x:c r="B108" s="26" t="str">
        <x:v>15</x:v>
      </x:c>
      <x:c r="C108" s="26" t="str">
        <x:v>15_Guia_Maestra.md</x:v>
      </x:c>
      <x:c r="D108" s="26" t="str">
        <x:v>10</x:v>
      </x:c>
      <x:c r="E108" s="26" t="str">
        <x:v>10_Unity_Project_Setup_Guide.md</x:v>
      </x:c>
      <x:c r="F108" s="26" t="str">
        <x:v>DEPENDS ON / MUST REMAIN CONSISTENT WITH</x:v>
      </x:c>
      <x:c r="G108" s="26" t="str">
        <x:v>MANDATORY</x:v>
      </x:c>
      <x:c r="H108" s="26" t="str">
        <x:v>Update source when target changes materially; record impact in 13.</x:v>
      </x:c>
      <x:c r="I108" s="26" t="str">
        <x:v>ACTIVE</x:v>
      </x:c>
    </x:row>
    <x:row r="109" ht="30" customHeight="1">
      <x:c r="A109" s="26" t="str">
        <x:v>REL-0105</x:v>
      </x:c>
      <x:c r="B109" s="26" t="str">
        <x:v>15</x:v>
      </x:c>
      <x:c r="C109" s="26" t="str">
        <x:v>15_Guia_Maestra.md</x:v>
      </x:c>
      <x:c r="D109" s="26" t="str">
        <x:v>11</x:v>
      </x:c>
      <x:c r="E109" s="26" t="str">
        <x:v>11_Build_y_Versioning_Guide.md</x:v>
      </x:c>
      <x:c r="F109" s="26" t="str">
        <x:v>DEPENDS ON / MUST REMAIN CONSISTENT WITH</x:v>
      </x:c>
      <x:c r="G109" s="26" t="str">
        <x:v>MANDATORY</x:v>
      </x:c>
      <x:c r="H109" s="26" t="str">
        <x:v>Update source when target changes materially; record impact in 13.</x:v>
      </x:c>
      <x:c r="I109" s="26" t="str">
        <x:v>ACTIVE</x:v>
      </x:c>
    </x:row>
    <x:row r="110" ht="30" customHeight="1">
      <x:c r="A110" s="26" t="str">
        <x:v>REL-0106</x:v>
      </x:c>
      <x:c r="B110" s="26" t="str">
        <x:v>15</x:v>
      </x:c>
      <x:c r="C110" s="26" t="str">
        <x:v>15_Guia_Maestra.md</x:v>
      </x:c>
      <x:c r="D110" s="26" t="str">
        <x:v>12</x:v>
      </x:c>
      <x:c r="E110" s="26" t="str">
        <x:v>12_Excel_Maestro_de_Produccion.xlsx</x:v>
      </x:c>
      <x:c r="F110" s="26" t="str">
        <x:v>DEPENDS ON / MUST REMAIN CONSISTENT WITH</x:v>
      </x:c>
      <x:c r="G110" s="26" t="str">
        <x:v>MANDATORY</x:v>
      </x:c>
      <x:c r="H110" s="26" t="str">
        <x:v>Update source when target changes materially; record impact in 13.</x:v>
      </x:c>
      <x:c r="I110" s="26" t="str">
        <x:v>ACTIVE</x:v>
      </x:c>
    </x:row>
    <x:row r="111" ht="30" customHeight="1">
      <x:c r="A111" s="26" t="str">
        <x:v>REL-0107</x:v>
      </x:c>
      <x:c r="B111" s="26" t="str">
        <x:v>15</x:v>
      </x:c>
      <x:c r="C111" s="26" t="str">
        <x:v>15_Guia_Maestra.md</x:v>
      </x:c>
      <x:c r="D111" s="26" t="str">
        <x:v>13</x:v>
      </x:c>
      <x:c r="E111" s="26" t="str">
        <x:v>13_Trazabilidad_y_Control_de_Cambios.xlsx</x:v>
      </x:c>
      <x:c r="F111" s="26" t="str">
        <x:v>DEPENDS ON / MUST REMAIN CONSISTENT WITH</x:v>
      </x:c>
      <x:c r="G111" s="26" t="str">
        <x:v>MANDATORY</x:v>
      </x:c>
      <x:c r="H111" s="26" t="str">
        <x:v>Update source when target changes materially; record impact in 13.</x:v>
      </x:c>
      <x:c r="I111" s="26" t="str">
        <x:v>ACTIVE</x:v>
      </x:c>
    </x:row>
    <x:row r="112" ht="30" customHeight="1">
      <x:c r="A112" s="26" t="str">
        <x:v>REL-0108</x:v>
      </x:c>
      <x:c r="B112" s="26" t="str">
        <x:v>15</x:v>
      </x:c>
      <x:c r="C112" s="26" t="str">
        <x:v>15_Guia_Maestra.md</x:v>
      </x:c>
      <x:c r="D112" s="26" t="str">
        <x:v>14</x:v>
      </x:c>
      <x:c r="E112" s="26" t="str">
        <x:v>14_Project_Binder_Indice_Maestro.md</x:v>
      </x:c>
      <x:c r="F112" s="26" t="str">
        <x:v>DEPENDS ON / MUST REMAIN CONSISTENT WITH</x:v>
      </x:c>
      <x:c r="G112" s="26" t="str">
        <x:v>MANDATORY</x:v>
      </x:c>
      <x:c r="H112" s="26" t="str">
        <x:v>Update source when target changes materially; record impact in 13.</x:v>
      </x:c>
      <x:c r="I112" s="26" t="str">
        <x:v>ACTIVE</x:v>
      </x:c>
    </x:row>
    <x:row r="113" ht="30" customHeight="1">
      <x:c r="A113" s="26" t="str">
        <x:v>REL-0109</x:v>
      </x:c>
      <x:c r="B113" s="26" t="str">
        <x:v>16</x:v>
      </x:c>
      <x:c r="C113" s="26" t="str">
        <x:v>16_Auditoria_Global_de_Coherencia.md</x:v>
      </x:c>
      <x:c r="D113" s="26" t="str">
        <x:v>00</x:v>
      </x:c>
      <x:c r="E113" s="26" t="str">
        <x:v>00_Enfoque_y_Alcance.md</x:v>
      </x:c>
      <x:c r="F113" s="26" t="str">
        <x:v>DEPENDS ON / MUST REMAIN CONSISTENT WITH</x:v>
      </x:c>
      <x:c r="G113" s="26" t="str">
        <x:v>MANDATORY</x:v>
      </x:c>
      <x:c r="H113" s="26" t="str">
        <x:v>Update source when target changes materially; record impact in 13.</x:v>
      </x:c>
      <x:c r="I113" s="26" t="str">
        <x:v>ACTIVE</x:v>
      </x:c>
    </x:row>
    <x:row r="114" ht="30" customHeight="1">
      <x:c r="A114" s="26" t="str">
        <x:v>REL-0110</x:v>
      </x:c>
      <x:c r="B114" s="26" t="str">
        <x:v>16</x:v>
      </x:c>
      <x:c r="C114" s="26" t="str">
        <x:v>16_Auditoria_Global_de_Coherencia.md</x:v>
      </x:c>
      <x:c r="D114" s="26" t="str">
        <x:v>01</x:v>
      </x:c>
      <x:c r="E114" s="26" t="str">
        <x:v>01_Game_Design_Document.md</x:v>
      </x:c>
      <x:c r="F114" s="26" t="str">
        <x:v>DEPENDS ON / MUST REMAIN CONSISTENT WITH</x:v>
      </x:c>
      <x:c r="G114" s="26" t="str">
        <x:v>MANDATORY</x:v>
      </x:c>
      <x:c r="H114" s="26" t="str">
        <x:v>Update source when target changes materially; record impact in 13.</x:v>
      </x:c>
      <x:c r="I114" s="26" t="str">
        <x:v>ACTIVE</x:v>
      </x:c>
    </x:row>
    <x:row r="115" ht="30" customHeight="1">
      <x:c r="A115" s="26" t="str">
        <x:v>REL-0111</x:v>
      </x:c>
      <x:c r="B115" s="26" t="str">
        <x:v>16</x:v>
      </x:c>
      <x:c r="C115" s="26" t="str">
        <x:v>16_Auditoria_Global_de_Coherencia.md</x:v>
      </x:c>
      <x:c r="D115" s="26" t="str">
        <x:v>02</x:v>
      </x:c>
      <x:c r="E115" s="26" t="str">
        <x:v>02_Vertical_Slice_Specification.md</x:v>
      </x:c>
      <x:c r="F115" s="26" t="str">
        <x:v>DEPENDS ON / MUST REMAIN CONSISTENT WITH</x:v>
      </x:c>
      <x:c r="G115" s="26" t="str">
        <x:v>MANDATORY</x:v>
      </x:c>
      <x:c r="H115" s="26" t="str">
        <x:v>Update source when target changes materially; record impact in 13.</x:v>
      </x:c>
      <x:c r="I115" s="26" t="str">
        <x:v>ACTIVE</x:v>
      </x:c>
    </x:row>
    <x:row r="116" ht="30" customHeight="1">
      <x:c r="A116" s="26" t="str">
        <x:v>REL-0112</x:v>
      </x:c>
      <x:c r="B116" s="26" t="str">
        <x:v>16</x:v>
      </x:c>
      <x:c r="C116" s="26" t="str">
        <x:v>16_Auditoria_Global_de_Coherencia.md</x:v>
      </x:c>
      <x:c r="D116" s="26" t="str">
        <x:v>03</x:v>
      </x:c>
      <x:c r="E116" s="26" t="str">
        <x:v>03_Technical_Design_Document.md</x:v>
      </x:c>
      <x:c r="F116" s="26" t="str">
        <x:v>DEPENDS ON / MUST REMAIN CONSISTENT WITH</x:v>
      </x:c>
      <x:c r="G116" s="26" t="str">
        <x:v>MANDATORY</x:v>
      </x:c>
      <x:c r="H116" s="26" t="str">
        <x:v>Update source when target changes materially; record impact in 13.</x:v>
      </x:c>
      <x:c r="I116" s="26" t="str">
        <x:v>ACTIVE</x:v>
      </x:c>
    </x:row>
    <x:row r="117" ht="30" customHeight="1">
      <x:c r="A117" s="26" t="str">
        <x:v>REL-0113</x:v>
      </x:c>
      <x:c r="B117" s="26" t="str">
        <x:v>16</x:v>
      </x:c>
      <x:c r="C117" s="26" t="str">
        <x:v>16_Auditoria_Global_de_Coherencia.md</x:v>
      </x:c>
      <x:c r="D117" s="26" t="str">
        <x:v>04</x:v>
      </x:c>
      <x:c r="E117" s="26" t="str">
        <x:v>04_Modelo_de_Datos.md</x:v>
      </x:c>
      <x:c r="F117" s="26" t="str">
        <x:v>DEPENDS ON / MUST REMAIN CONSISTENT WITH</x:v>
      </x:c>
      <x:c r="G117" s="26" t="str">
        <x:v>MANDATORY</x:v>
      </x:c>
      <x:c r="H117" s="26" t="str">
        <x:v>Update source when target changes materially; record impact in 13.</x:v>
      </x:c>
      <x:c r="I117" s="26" t="str">
        <x:v>ACTIVE</x:v>
      </x:c>
    </x:row>
    <x:row r="118" ht="30" customHeight="1">
      <x:c r="A118" s="26" t="str">
        <x:v>REL-0114</x:v>
      </x:c>
      <x:c r="B118" s="26" t="str">
        <x:v>16</x:v>
      </x:c>
      <x:c r="C118" s="26" t="str">
        <x:v>16_Auditoria_Global_de_Coherencia.md</x:v>
      </x:c>
      <x:c r="D118" s="26" t="str">
        <x:v>05</x:v>
      </x:c>
      <x:c r="E118" s="26" t="str">
        <x:v>05_UX_Flow.md</x:v>
      </x:c>
      <x:c r="F118" s="26" t="str">
        <x:v>DEPENDS ON / MUST REMAIN CONSISTENT WITH</x:v>
      </x:c>
      <x:c r="G118" s="26" t="str">
        <x:v>MANDATORY</x:v>
      </x:c>
      <x:c r="H118" s="26" t="str">
        <x:v>Update source when target changes materially; record impact in 13.</x:v>
      </x:c>
      <x:c r="I118" s="26" t="str">
        <x:v>ACTIVE</x:v>
      </x:c>
    </x:row>
    <x:row r="119" ht="30" customHeight="1">
      <x:c r="A119" s="26" t="str">
        <x:v>REL-0115</x:v>
      </x:c>
      <x:c r="B119" s="26" t="str">
        <x:v>16</x:v>
      </x:c>
      <x:c r="C119" s="26" t="str">
        <x:v>16_Auditoria_Global_de_Coherencia.md</x:v>
      </x:c>
      <x:c r="D119" s="26" t="str">
        <x:v>06</x:v>
      </x:c>
      <x:c r="E119" s="26" t="str">
        <x:v>06_Production_Roadmap_y_Sprint_Plan.md</x:v>
      </x:c>
      <x:c r="F119" s="26" t="str">
        <x:v>DEPENDS ON / MUST REMAIN CONSISTENT WITH</x:v>
      </x:c>
      <x:c r="G119" s="26" t="str">
        <x:v>MANDATORY</x:v>
      </x:c>
      <x:c r="H119" s="26" t="str">
        <x:v>Update source when target changes materially; record impact in 13.</x:v>
      </x:c>
      <x:c r="I119" s="26" t="str">
        <x:v>ACTIVE</x:v>
      </x:c>
    </x:row>
    <x:row r="120" ht="30" customHeight="1">
      <x:c r="A120" s="26" t="str">
        <x:v>REL-0116</x:v>
      </x:c>
      <x:c r="B120" s="26" t="str">
        <x:v>16</x:v>
      </x:c>
      <x:c r="C120" s="26" t="str">
        <x:v>16_Auditoria_Global_de_Coherencia.md</x:v>
      </x:c>
      <x:c r="D120" s="26" t="str">
        <x:v>07</x:v>
      </x:c>
      <x:c r="E120" s="26" t="str">
        <x:v>07_QA_Testing_Plan.md</x:v>
      </x:c>
      <x:c r="F120" s="26" t="str">
        <x:v>DEPENDS ON / MUST REMAIN CONSISTENT WITH</x:v>
      </x:c>
      <x:c r="G120" s="26" t="str">
        <x:v>MANDATORY</x:v>
      </x:c>
      <x:c r="H120" s="26" t="str">
        <x:v>Update source when target changes materially; record impact in 13.</x:v>
      </x:c>
      <x:c r="I120" s="26" t="str">
        <x:v>ACTIVE</x:v>
      </x:c>
    </x:row>
    <x:row r="121" ht="30" customHeight="1">
      <x:c r="A121" s="26" t="str">
        <x:v>REL-0117</x:v>
      </x:c>
      <x:c r="B121" s="26" t="str">
        <x:v>16</x:v>
      </x:c>
      <x:c r="C121" s="26" t="str">
        <x:v>16_Auditoria_Global_de_Coherencia.md</x:v>
      </x:c>
      <x:c r="D121" s="26" t="str">
        <x:v>08</x:v>
      </x:c>
      <x:c r="E121" s="26" t="str">
        <x:v>08_QA_Testing_Matrix.xlsx</x:v>
      </x:c>
      <x:c r="F121" s="26" t="str">
        <x:v>DEPENDS ON / MUST REMAIN CONSISTENT WITH</x:v>
      </x:c>
      <x:c r="G121" s="26" t="str">
        <x:v>MANDATORY</x:v>
      </x:c>
      <x:c r="H121" s="26" t="str">
        <x:v>Update source when target changes materially; record impact in 13.</x:v>
      </x:c>
      <x:c r="I121" s="26" t="str">
        <x:v>ACTIVE</x:v>
      </x:c>
    </x:row>
    <x:row r="122" ht="30" customHeight="1">
      <x:c r="A122" s="26" t="str">
        <x:v>REL-0118</x:v>
      </x:c>
      <x:c r="B122" s="26" t="str">
        <x:v>16</x:v>
      </x:c>
      <x:c r="C122" s="26" t="str">
        <x:v>16_Auditoria_Global_de_Coherencia.md</x:v>
      </x:c>
      <x:c r="D122" s="26" t="str">
        <x:v>09</x:v>
      </x:c>
      <x:c r="E122" s="26" t="str">
        <x:v>09_CSharp_Coding_Standards.md</x:v>
      </x:c>
      <x:c r="F122" s="26" t="str">
        <x:v>DEPENDS ON / MUST REMAIN CONSISTENT WITH</x:v>
      </x:c>
      <x:c r="G122" s="26" t="str">
        <x:v>MANDATORY</x:v>
      </x:c>
      <x:c r="H122" s="26" t="str">
        <x:v>Update source when target changes materially; record impact in 13.</x:v>
      </x:c>
      <x:c r="I122" s="26" t="str">
        <x:v>ACTIVE</x:v>
      </x:c>
    </x:row>
    <x:row r="123" ht="30" customHeight="1">
      <x:c r="A123" s="26" t="str">
        <x:v>REL-0119</x:v>
      </x:c>
      <x:c r="B123" s="26" t="str">
        <x:v>16</x:v>
      </x:c>
      <x:c r="C123" s="26" t="str">
        <x:v>16_Auditoria_Global_de_Coherencia.md</x:v>
      </x:c>
      <x:c r="D123" s="26" t="str">
        <x:v>10</x:v>
      </x:c>
      <x:c r="E123" s="26" t="str">
        <x:v>10_Unity_Project_Setup_Guide.md</x:v>
      </x:c>
      <x:c r="F123" s="26" t="str">
        <x:v>DEPENDS ON / MUST REMAIN CONSISTENT WITH</x:v>
      </x:c>
      <x:c r="G123" s="26" t="str">
        <x:v>MANDATORY</x:v>
      </x:c>
      <x:c r="H123" s="26" t="str">
        <x:v>Update source when target changes materially; record impact in 13.</x:v>
      </x:c>
      <x:c r="I123" s="26" t="str">
        <x:v>ACTIVE</x:v>
      </x:c>
    </x:row>
    <x:row r="124" ht="30" customHeight="1">
      <x:c r="A124" s="26" t="str">
        <x:v>REL-0120</x:v>
      </x:c>
      <x:c r="B124" s="26" t="str">
        <x:v>16</x:v>
      </x:c>
      <x:c r="C124" s="26" t="str">
        <x:v>16_Auditoria_Global_de_Coherencia.md</x:v>
      </x:c>
      <x:c r="D124" s="26" t="str">
        <x:v>11</x:v>
      </x:c>
      <x:c r="E124" s="26" t="str">
        <x:v>11_Build_y_Versioning_Guide.md</x:v>
      </x:c>
      <x:c r="F124" s="26" t="str">
        <x:v>DEPENDS ON / MUST REMAIN CONSISTENT WITH</x:v>
      </x:c>
      <x:c r="G124" s="26" t="str">
        <x:v>MANDATORY</x:v>
      </x:c>
      <x:c r="H124" s="26" t="str">
        <x:v>Update source when target changes materially; record impact in 13.</x:v>
      </x:c>
      <x:c r="I124" s="26" t="str">
        <x:v>ACTIVE</x:v>
      </x:c>
    </x:row>
    <x:row r="125" ht="30" customHeight="1">
      <x:c r="A125" s="26" t="str">
        <x:v>REL-0121</x:v>
      </x:c>
      <x:c r="B125" s="26" t="str">
        <x:v>16</x:v>
      </x:c>
      <x:c r="C125" s="26" t="str">
        <x:v>16_Auditoria_Global_de_Coherencia.md</x:v>
      </x:c>
      <x:c r="D125" s="26" t="str">
        <x:v>12</x:v>
      </x:c>
      <x:c r="E125" s="26" t="str">
        <x:v>12_Excel_Maestro_de_Produccion.xlsx</x:v>
      </x:c>
      <x:c r="F125" s="26" t="str">
        <x:v>DEPENDS ON / MUST REMAIN CONSISTENT WITH</x:v>
      </x:c>
      <x:c r="G125" s="26" t="str">
        <x:v>MANDATORY</x:v>
      </x:c>
      <x:c r="H125" s="26" t="str">
        <x:v>Update source when target changes materially; record impact in 13.</x:v>
      </x:c>
      <x:c r="I125" s="26" t="str">
        <x:v>ACTIVE</x:v>
      </x:c>
    </x:row>
    <x:row r="126" ht="30" customHeight="1">
      <x:c r="A126" s="26" t="str">
        <x:v>REL-0122</x:v>
      </x:c>
      <x:c r="B126" s="26" t="str">
        <x:v>16</x:v>
      </x:c>
      <x:c r="C126" s="26" t="str">
        <x:v>16_Auditoria_Global_de_Coherencia.md</x:v>
      </x:c>
      <x:c r="D126" s="26" t="str">
        <x:v>13</x:v>
      </x:c>
      <x:c r="E126" s="26" t="str">
        <x:v>13_Trazabilidad_y_Control_de_Cambios.xlsx</x:v>
      </x:c>
      <x:c r="F126" s="26" t="str">
        <x:v>DEPENDS ON / MUST REMAIN CONSISTENT WITH</x:v>
      </x:c>
      <x:c r="G126" s="26" t="str">
        <x:v>MANDATORY</x:v>
      </x:c>
      <x:c r="H126" s="26" t="str">
        <x:v>Update source when target changes materially; record impact in 13.</x:v>
      </x:c>
      <x:c r="I126" s="26" t="str">
        <x:v>ACTIVE</x:v>
      </x:c>
    </x:row>
    <x:row r="127" ht="30" customHeight="1">
      <x:c r="A127" s="26" t="str">
        <x:v>REL-0123</x:v>
      </x:c>
      <x:c r="B127" s="26" t="str">
        <x:v>16</x:v>
      </x:c>
      <x:c r="C127" s="26" t="str">
        <x:v>16_Auditoria_Global_de_Coherencia.md</x:v>
      </x:c>
      <x:c r="D127" s="26" t="str">
        <x:v>14</x:v>
      </x:c>
      <x:c r="E127" s="26" t="str">
        <x:v>14_Project_Binder_Indice_Maestro.md</x:v>
      </x:c>
      <x:c r="F127" s="26" t="str">
        <x:v>DEPENDS ON / MUST REMAIN CONSISTENT WITH</x:v>
      </x:c>
      <x:c r="G127" s="26" t="str">
        <x:v>MANDATORY</x:v>
      </x:c>
      <x:c r="H127" s="26" t="str">
        <x:v>Update source when target changes materially; record impact in 13.</x:v>
      </x:c>
      <x:c r="I127" s="26" t="str">
        <x:v>ACTIVE</x:v>
      </x:c>
    </x:row>
    <x:row r="128" ht="30" customHeight="1">
      <x:c r="A128" s="26" t="str">
        <x:v>REL-0124</x:v>
      </x:c>
      <x:c r="B128" s="26" t="str">
        <x:v>16</x:v>
      </x:c>
      <x:c r="C128" s="26" t="str">
        <x:v>16_Auditoria_Global_de_Coherencia.md</x:v>
      </x:c>
      <x:c r="D128" s="26" t="str">
        <x:v>15</x:v>
      </x:c>
      <x:c r="E128" s="26" t="str">
        <x:v>15_Guia_Maestra.md</x:v>
      </x:c>
      <x:c r="F128" s="26" t="str">
        <x:v>DEPENDS ON / MUST REMAIN CONSISTENT WITH</x:v>
      </x:c>
      <x:c r="G128" s="26" t="str">
        <x:v>MANDATORY</x:v>
      </x:c>
      <x:c r="H128" s="26" t="str">
        <x:v>Update source when target changes materially; record impact in 13.</x:v>
      </x:c>
      <x:c r="I128" s="26" t="str">
        <x:v>ACTIVE</x:v>
      </x:c>
    </x:row>
    <x:row r="129" ht="30" customHeight="1">
      <x:c r="A129" s="26" t="str">
        <x:v>REL-0125</x:v>
      </x:c>
      <x:c r="B129" s="26" t="str">
        <x:v>17</x:v>
      </x:c>
      <x:c r="C129" s="26" t="str">
        <x:v>17_Art_Bible.md</x:v>
      </x:c>
      <x:c r="D129" s="26" t="str">
        <x:v>00</x:v>
      </x:c>
      <x:c r="E129" s="26" t="str">
        <x:v>00_Enfoque_y_Alcance.md</x:v>
      </x:c>
      <x:c r="F129" s="26" t="str">
        <x:v>DEPENDS ON / MUST REMAIN CONSISTENT WITH</x:v>
      </x:c>
      <x:c r="G129" s="26" t="str">
        <x:v>MANDATORY</x:v>
      </x:c>
      <x:c r="H129" s="26" t="str">
        <x:v>Update source when target changes materially; record impact in 13.</x:v>
      </x:c>
      <x:c r="I129" s="26" t="str">
        <x:v>ACTIVE</x:v>
      </x:c>
    </x:row>
    <x:row r="130" ht="30" customHeight="1">
      <x:c r="A130" s="26" t="str">
        <x:v>REL-0126</x:v>
      </x:c>
      <x:c r="B130" s="26" t="str">
        <x:v>17</x:v>
      </x:c>
      <x:c r="C130" s="26" t="str">
        <x:v>17_Art_Bible.md</x:v>
      </x:c>
      <x:c r="D130" s="26" t="str">
        <x:v>01</x:v>
      </x:c>
      <x:c r="E130" s="26" t="str">
        <x:v>01_Game_Design_Document.md</x:v>
      </x:c>
      <x:c r="F130" s="26" t="str">
        <x:v>DEPENDS ON / MUST REMAIN CONSISTENT WITH</x:v>
      </x:c>
      <x:c r="G130" s="26" t="str">
        <x:v>MANDATORY</x:v>
      </x:c>
      <x:c r="H130" s="26" t="str">
        <x:v>Update source when target changes materially; record impact in 13.</x:v>
      </x:c>
      <x:c r="I130" s="26" t="str">
        <x:v>ACTIVE</x:v>
      </x:c>
    </x:row>
    <x:row r="131" ht="30" customHeight="1">
      <x:c r="A131" s="26" t="str">
        <x:v>REL-0127</x:v>
      </x:c>
      <x:c r="B131" s="26" t="str">
        <x:v>17</x:v>
      </x:c>
      <x:c r="C131" s="26" t="str">
        <x:v>17_Art_Bible.md</x:v>
      </x:c>
      <x:c r="D131" s="26" t="str">
        <x:v>02</x:v>
      </x:c>
      <x:c r="E131" s="26" t="str">
        <x:v>02_Vertical_Slice_Specification.md</x:v>
      </x:c>
      <x:c r="F131" s="26" t="str">
        <x:v>DEPENDS ON / MUST REMAIN CONSISTENT WITH</x:v>
      </x:c>
      <x:c r="G131" s="26" t="str">
        <x:v>MANDATORY</x:v>
      </x:c>
      <x:c r="H131" s="26" t="str">
        <x:v>Update source when target changes materially; record impact in 13.</x:v>
      </x:c>
      <x:c r="I131" s="26" t="str">
        <x:v>ACTIVE</x:v>
      </x:c>
    </x:row>
    <x:row r="132" ht="30" customHeight="1">
      <x:c r="A132" s="26" t="str">
        <x:v>REL-0128</x:v>
      </x:c>
      <x:c r="B132" s="26" t="str">
        <x:v>17</x:v>
      </x:c>
      <x:c r="C132" s="26" t="str">
        <x:v>17_Art_Bible.md</x:v>
      </x:c>
      <x:c r="D132" s="26" t="str">
        <x:v>05</x:v>
      </x:c>
      <x:c r="E132" s="26" t="str">
        <x:v>05_UX_Flow.md</x:v>
      </x:c>
      <x:c r="F132" s="26" t="str">
        <x:v>DEPENDS ON / MUST REMAIN CONSISTENT WITH</x:v>
      </x:c>
      <x:c r="G132" s="26" t="str">
        <x:v>MANDATORY</x:v>
      </x:c>
      <x:c r="H132" s="26" t="str">
        <x:v>Update source when target changes materially; record impact in 13.</x:v>
      </x:c>
      <x:c r="I132" s="26" t="str">
        <x:v>ACTIVE</x:v>
      </x:c>
    </x:row>
    <x:row r="133" ht="30" customHeight="1">
      <x:c r="A133" s="26" t="str">
        <x:v>REL-0129</x:v>
      </x:c>
      <x:c r="B133" s="26" t="str">
        <x:v>17</x:v>
      </x:c>
      <x:c r="C133" s="26" t="str">
        <x:v>17_Art_Bible.md</x:v>
      </x:c>
      <x:c r="D133" s="26" t="str">
        <x:v>06</x:v>
      </x:c>
      <x:c r="E133" s="26" t="str">
        <x:v>06_Production_Roadmap_y_Sprint_Plan.md</x:v>
      </x:c>
      <x:c r="F133" s="26" t="str">
        <x:v>DEPENDS ON / MUST REMAIN CONSISTENT WITH</x:v>
      </x:c>
      <x:c r="G133" s="26" t="str">
        <x:v>MANDATORY</x:v>
      </x:c>
      <x:c r="H133" s="26" t="str">
        <x:v>Update source when target changes materially; record impact in 13.</x:v>
      </x:c>
      <x:c r="I133" s="26" t="str">
        <x:v>ACTIVE</x:v>
      </x:c>
    </x:row>
    <x:row r="134" ht="30" customHeight="1">
      <x:c r="A134" s="26" t="str">
        <x:v>REL-0130</x:v>
      </x:c>
      <x:c r="B134" s="26" t="str">
        <x:v>17</x:v>
      </x:c>
      <x:c r="C134" s="26" t="str">
        <x:v>17_Art_Bible.md</x:v>
      </x:c>
      <x:c r="D134" s="26" t="str">
        <x:v>10</x:v>
      </x:c>
      <x:c r="E134" s="26" t="str">
        <x:v>10_Unity_Project_Setup_Guide.md</x:v>
      </x:c>
      <x:c r="F134" s="26" t="str">
        <x:v>DEPENDS ON / MUST REMAIN CONSISTENT WITH</x:v>
      </x:c>
      <x:c r="G134" s="26" t="str">
        <x:v>MANDATORY</x:v>
      </x:c>
      <x:c r="H134" s="26" t="str">
        <x:v>Update source when target changes materially; record impact in 13.</x:v>
      </x:c>
      <x:c r="I134" s="26" t="str">
        <x:v>ACTIVE</x:v>
      </x:c>
    </x:row>
    <x:row r="135" ht="30" customHeight="1">
      <x:c r="A135" s="26" t="str">
        <x:v>REL-0131</x:v>
      </x:c>
      <x:c r="B135" s="26" t="str">
        <x:v>17</x:v>
      </x:c>
      <x:c r="C135" s="26" t="str">
        <x:v>17_Art_Bible.md</x:v>
      </x:c>
      <x:c r="D135" s="26" t="str">
        <x:v>19</x:v>
      </x:c>
      <x:c r="E135" s="26" t="str">
        <x:v>19_UI_Style_Guide.md</x:v>
      </x:c>
      <x:c r="F135" s="26" t="str">
        <x:v>DEPENDS ON / MUST REMAIN CONSISTENT WITH</x:v>
      </x:c>
      <x:c r="G135" s="26" t="str">
        <x:v>MANDATORY</x:v>
      </x:c>
      <x:c r="H135" s="26" t="str">
        <x:v>Update source when target changes materially; record impact in 13.</x:v>
      </x:c>
      <x:c r="I135" s="26" t="str">
        <x:v>ACTIVE</x:v>
      </x:c>
    </x:row>
    <x:row r="136" ht="30" customHeight="1">
      <x:c r="A136" s="26" t="str">
        <x:v>REL-0132</x:v>
      </x:c>
      <x:c r="B136" s="26" t="str">
        <x:v>17</x:v>
      </x:c>
      <x:c r="C136" s="26" t="str">
        <x:v>17_Art_Bible.md</x:v>
      </x:c>
      <x:c r="D136" s="26" t="str">
        <x:v>21</x:v>
      </x:c>
      <x:c r="E136" s="26" t="str">
        <x:v>21_Initial_Content_Catalog.xlsx</x:v>
      </x:c>
      <x:c r="F136" s="26" t="str">
        <x:v>DEPENDS ON / MUST REMAIN CONSISTENT WITH</x:v>
      </x:c>
      <x:c r="G136" s="26" t="str">
        <x:v>MANDATORY</x:v>
      </x:c>
      <x:c r="H136" s="26" t="str">
        <x:v>Update source when target changes materially; record impact in 13.</x:v>
      </x:c>
      <x:c r="I136" s="26" t="str">
        <x:v>ACTIVE</x:v>
      </x:c>
    </x:row>
    <x:row r="137" ht="30" customHeight="1">
      <x:c r="A137" s="26" t="str">
        <x:v>REL-0133</x:v>
      </x:c>
      <x:c r="B137" s="26" t="str">
        <x:v>17</x:v>
      </x:c>
      <x:c r="C137" s="26" t="str">
        <x:v>17_Art_Bible.md</x:v>
      </x:c>
      <x:c r="D137" s="26" t="str">
        <x:v>23</x:v>
      </x:c>
      <x:c r="E137" s="26" t="str">
        <x:v>23_Legal_Credits_and_Licenses_Register.xlsx</x:v>
      </x:c>
      <x:c r="F137" s="26" t="str">
        <x:v>DEPENDS ON / MUST REMAIN CONSISTENT WITH</x:v>
      </x:c>
      <x:c r="G137" s="26" t="str">
        <x:v>MANDATORY</x:v>
      </x:c>
      <x:c r="H137" s="26" t="str">
        <x:v>Update source when target changes materially; record impact in 13.</x:v>
      </x:c>
      <x:c r="I137" s="26" t="str">
        <x:v>ACTIVE</x:v>
      </x:c>
    </x:row>
    <x:row r="138" ht="30" customHeight="1">
      <x:c r="A138" s="26" t="str">
        <x:v>REL-0134</x:v>
      </x:c>
      <x:c r="B138" s="26" t="str">
        <x:v>17</x:v>
      </x:c>
      <x:c r="C138" s="26" t="str">
        <x:v>17_Art_Bible.md</x:v>
      </x:c>
      <x:c r="D138" s="26" t="str">
        <x:v>29</x:v>
      </x:c>
      <x:c r="E138" s="26" t="str">
        <x:v>29_Accessibility_and_Inclusive_Design_Plan.md</x:v>
      </x:c>
      <x:c r="F138" s="26" t="str">
        <x:v>DEPENDS ON / MUST REMAIN CONSISTENT WITH</x:v>
      </x:c>
      <x:c r="G138" s="26" t="str">
        <x:v>MANDATORY</x:v>
      </x:c>
      <x:c r="H138" s="26" t="str">
        <x:v>Update source when target changes materially; record impact in 13.</x:v>
      </x:c>
      <x:c r="I138" s="26" t="str">
        <x:v>ACTIVE</x:v>
      </x:c>
    </x:row>
    <x:row r="139" ht="30" customHeight="1">
      <x:c r="A139" s="26" t="str">
        <x:v>REL-0135</x:v>
      </x:c>
      <x:c r="B139" s="26" t="str">
        <x:v>17</x:v>
      </x:c>
      <x:c r="C139" s="26" t="str">
        <x:v>17_Art_Bible.md</x:v>
      </x:c>
      <x:c r="D139" s="26" t="str">
        <x:v>30</x:v>
      </x:c>
      <x:c r="E139" s="26" t="str">
        <x:v>30_Performance_and_Optimization_Plan.md</x:v>
      </x:c>
      <x:c r="F139" s="26" t="str">
        <x:v>DEPENDS ON / MUST REMAIN CONSISTENT WITH</x:v>
      </x:c>
      <x:c r="G139" s="26" t="str">
        <x:v>MANDATORY</x:v>
      </x:c>
      <x:c r="H139" s="26" t="str">
        <x:v>Update source when target changes materially; record impact in 13.</x:v>
      </x:c>
      <x:c r="I139" s="26" t="str">
        <x:v>ACTIVE</x:v>
      </x:c>
    </x:row>
    <x:row r="140" ht="30" customHeight="1">
      <x:c r="A140" s="26" t="str">
        <x:v>REL-0136</x:v>
      </x:c>
      <x:c r="B140" s="26" t="str">
        <x:v>18</x:v>
      </x:c>
      <x:c r="C140" s="26" t="str">
        <x:v>18_Audio_Bible.md</x:v>
      </x:c>
      <x:c r="D140" s="26" t="str">
        <x:v>00</x:v>
      </x:c>
      <x:c r="E140" s="26" t="str">
        <x:v>00_Enfoque_y_Alcance.md</x:v>
      </x:c>
      <x:c r="F140" s="26" t="str">
        <x:v>DEPENDS ON / MUST REMAIN CONSISTENT WITH</x:v>
      </x:c>
      <x:c r="G140" s="26" t="str">
        <x:v>MANDATORY</x:v>
      </x:c>
      <x:c r="H140" s="26" t="str">
        <x:v>Update source when target changes materially; record impact in 13.</x:v>
      </x:c>
      <x:c r="I140" s="26" t="str">
        <x:v>ACTIVE</x:v>
      </x:c>
    </x:row>
    <x:row r="141" ht="30" customHeight="1">
      <x:c r="A141" s="26" t="str">
        <x:v>REL-0137</x:v>
      </x:c>
      <x:c r="B141" s="26" t="str">
        <x:v>18</x:v>
      </x:c>
      <x:c r="C141" s="26" t="str">
        <x:v>18_Audio_Bible.md</x:v>
      </x:c>
      <x:c r="D141" s="26" t="str">
        <x:v>01</x:v>
      </x:c>
      <x:c r="E141" s="26" t="str">
        <x:v>01_Game_Design_Document.md</x:v>
      </x:c>
      <x:c r="F141" s="26" t="str">
        <x:v>DEPENDS ON / MUST REMAIN CONSISTENT WITH</x:v>
      </x:c>
      <x:c r="G141" s="26" t="str">
        <x:v>MANDATORY</x:v>
      </x:c>
      <x:c r="H141" s="26" t="str">
        <x:v>Update source when target changes materially; record impact in 13.</x:v>
      </x:c>
      <x:c r="I141" s="26" t="str">
        <x:v>ACTIVE</x:v>
      </x:c>
    </x:row>
    <x:row r="142" ht="30" customHeight="1">
      <x:c r="A142" s="26" t="str">
        <x:v>REL-0138</x:v>
      </x:c>
      <x:c r="B142" s="26" t="str">
        <x:v>18</x:v>
      </x:c>
      <x:c r="C142" s="26" t="str">
        <x:v>18_Audio_Bible.md</x:v>
      </x:c>
      <x:c r="D142" s="26" t="str">
        <x:v>02</x:v>
      </x:c>
      <x:c r="E142" s="26" t="str">
        <x:v>02_Vertical_Slice_Specification.md</x:v>
      </x:c>
      <x:c r="F142" s="26" t="str">
        <x:v>DEPENDS ON / MUST REMAIN CONSISTENT WITH</x:v>
      </x:c>
      <x:c r="G142" s="26" t="str">
        <x:v>MANDATORY</x:v>
      </x:c>
      <x:c r="H142" s="26" t="str">
        <x:v>Update source when target changes materially; record impact in 13.</x:v>
      </x:c>
      <x:c r="I142" s="26" t="str">
        <x:v>ACTIVE</x:v>
      </x:c>
    </x:row>
    <x:row r="143" ht="30" customHeight="1">
      <x:c r="A143" s="26" t="str">
        <x:v>REL-0139</x:v>
      </x:c>
      <x:c r="B143" s="26" t="str">
        <x:v>18</x:v>
      </x:c>
      <x:c r="C143" s="26" t="str">
        <x:v>18_Audio_Bible.md</x:v>
      </x:c>
      <x:c r="D143" s="26" t="str">
        <x:v>05</x:v>
      </x:c>
      <x:c r="E143" s="26" t="str">
        <x:v>05_UX_Flow.md</x:v>
      </x:c>
      <x:c r="F143" s="26" t="str">
        <x:v>DEPENDS ON / MUST REMAIN CONSISTENT WITH</x:v>
      </x:c>
      <x:c r="G143" s="26" t="str">
        <x:v>MANDATORY</x:v>
      </x:c>
      <x:c r="H143" s="26" t="str">
        <x:v>Update source when target changes materially; record impact in 13.</x:v>
      </x:c>
      <x:c r="I143" s="26" t="str">
        <x:v>ACTIVE</x:v>
      </x:c>
    </x:row>
    <x:row r="144" ht="30" customHeight="1">
      <x:c r="A144" s="26" t="str">
        <x:v>REL-0140</x:v>
      </x:c>
      <x:c r="B144" s="26" t="str">
        <x:v>18</x:v>
      </x:c>
      <x:c r="C144" s="26" t="str">
        <x:v>18_Audio_Bible.md</x:v>
      </x:c>
      <x:c r="D144" s="26" t="str">
        <x:v>06</x:v>
      </x:c>
      <x:c r="E144" s="26" t="str">
        <x:v>06_Production_Roadmap_y_Sprint_Plan.md</x:v>
      </x:c>
      <x:c r="F144" s="26" t="str">
        <x:v>DEPENDS ON / MUST REMAIN CONSISTENT WITH</x:v>
      </x:c>
      <x:c r="G144" s="26" t="str">
        <x:v>MANDATORY</x:v>
      </x:c>
      <x:c r="H144" s="26" t="str">
        <x:v>Update source when target changes materially; record impact in 13.</x:v>
      </x:c>
      <x:c r="I144" s="26" t="str">
        <x:v>ACTIVE</x:v>
      </x:c>
    </x:row>
    <x:row r="145" ht="30" customHeight="1">
      <x:c r="A145" s="26" t="str">
        <x:v>REL-0141</x:v>
      </x:c>
      <x:c r="B145" s="26" t="str">
        <x:v>18</x:v>
      </x:c>
      <x:c r="C145" s="26" t="str">
        <x:v>18_Audio_Bible.md</x:v>
      </x:c>
      <x:c r="D145" s="26" t="str">
        <x:v>22</x:v>
      </x:c>
      <x:c r="E145" s="26" t="str">
        <x:v>22_Localization_Plan.md</x:v>
      </x:c>
      <x:c r="F145" s="26" t="str">
        <x:v>DEPENDS ON / MUST REMAIN CONSISTENT WITH</x:v>
      </x:c>
      <x:c r="G145" s="26" t="str">
        <x:v>MANDATORY</x:v>
      </x:c>
      <x:c r="H145" s="26" t="str">
        <x:v>Update source when target changes materially; record impact in 13.</x:v>
      </x:c>
      <x:c r="I145" s="26" t="str">
        <x:v>ACTIVE</x:v>
      </x:c>
    </x:row>
    <x:row r="146" ht="30" customHeight="1">
      <x:c r="A146" s="26" t="str">
        <x:v>REL-0142</x:v>
      </x:c>
      <x:c r="B146" s="26" t="str">
        <x:v>18</x:v>
      </x:c>
      <x:c r="C146" s="26" t="str">
        <x:v>18_Audio_Bible.md</x:v>
      </x:c>
      <x:c r="D146" s="26" t="str">
        <x:v>23</x:v>
      </x:c>
      <x:c r="E146" s="26" t="str">
        <x:v>23_Legal_Credits_and_Licenses_Register.xlsx</x:v>
      </x:c>
      <x:c r="F146" s="26" t="str">
        <x:v>DEPENDS ON / MUST REMAIN CONSISTENT WITH</x:v>
      </x:c>
      <x:c r="G146" s="26" t="str">
        <x:v>MANDATORY</x:v>
      </x:c>
      <x:c r="H146" s="26" t="str">
        <x:v>Update source when target changes materially; record impact in 13.</x:v>
      </x:c>
      <x:c r="I146" s="26" t="str">
        <x:v>ACTIVE</x:v>
      </x:c>
    </x:row>
    <x:row r="147" ht="30" customHeight="1">
      <x:c r="A147" s="26" t="str">
        <x:v>REL-0143</x:v>
      </x:c>
      <x:c r="B147" s="26" t="str">
        <x:v>18</x:v>
      </x:c>
      <x:c r="C147" s="26" t="str">
        <x:v>18_Audio_Bible.md</x:v>
      </x:c>
      <x:c r="D147" s="26" t="str">
        <x:v>29</x:v>
      </x:c>
      <x:c r="E147" s="26" t="str">
        <x:v>29_Accessibility_and_Inclusive_Design_Plan.md</x:v>
      </x:c>
      <x:c r="F147" s="26" t="str">
        <x:v>DEPENDS ON / MUST REMAIN CONSISTENT WITH</x:v>
      </x:c>
      <x:c r="G147" s="26" t="str">
        <x:v>MANDATORY</x:v>
      </x:c>
      <x:c r="H147" s="26" t="str">
        <x:v>Update source when target changes materially; record impact in 13.</x:v>
      </x:c>
      <x:c r="I147" s="26" t="str">
        <x:v>ACTIVE</x:v>
      </x:c>
    </x:row>
    <x:row r="148" ht="30" customHeight="1">
      <x:c r="A148" s="26" t="str">
        <x:v>REL-0144</x:v>
      </x:c>
      <x:c r="B148" s="26" t="str">
        <x:v>18</x:v>
      </x:c>
      <x:c r="C148" s="26" t="str">
        <x:v>18_Audio_Bible.md</x:v>
      </x:c>
      <x:c r="D148" s="26" t="str">
        <x:v>30</x:v>
      </x:c>
      <x:c r="E148" s="26" t="str">
        <x:v>30_Performance_and_Optimization_Plan.md</x:v>
      </x:c>
      <x:c r="F148" s="26" t="str">
        <x:v>DEPENDS ON / MUST REMAIN CONSISTENT WITH</x:v>
      </x:c>
      <x:c r="G148" s="26" t="str">
        <x:v>MANDATORY</x:v>
      </x:c>
      <x:c r="H148" s="26" t="str">
        <x:v>Update source when target changes materially; record impact in 13.</x:v>
      </x:c>
      <x:c r="I148" s="26" t="str">
        <x:v>ACTIVE</x:v>
      </x:c>
    </x:row>
    <x:row r="149" ht="30" customHeight="1">
      <x:c r="A149" s="26" t="str">
        <x:v>REL-0145</x:v>
      </x:c>
      <x:c r="B149" s="26" t="str">
        <x:v>19</x:v>
      </x:c>
      <x:c r="C149" s="26" t="str">
        <x:v>19_UI_Style_Guide.md</x:v>
      </x:c>
      <x:c r="D149" s="26" t="str">
        <x:v>00</x:v>
      </x:c>
      <x:c r="E149" s="26" t="str">
        <x:v>00_Enfoque_y_Alcance.md</x:v>
      </x:c>
      <x:c r="F149" s="26" t="str">
        <x:v>DEPENDS ON / MUST REMAIN CONSISTENT WITH</x:v>
      </x:c>
      <x:c r="G149" s="26" t="str">
        <x:v>MANDATORY</x:v>
      </x:c>
      <x:c r="H149" s="26" t="str">
        <x:v>Update source when target changes materially; record impact in 13.</x:v>
      </x:c>
      <x:c r="I149" s="26" t="str">
        <x:v>ACTIVE</x:v>
      </x:c>
    </x:row>
    <x:row r="150" ht="30" customHeight="1">
      <x:c r="A150" s="26" t="str">
        <x:v>REL-0146</x:v>
      </x:c>
      <x:c r="B150" s="26" t="str">
        <x:v>19</x:v>
      </x:c>
      <x:c r="C150" s="26" t="str">
        <x:v>19_UI_Style_Guide.md</x:v>
      </x:c>
      <x:c r="D150" s="26" t="str">
        <x:v>01</x:v>
      </x:c>
      <x:c r="E150" s="26" t="str">
        <x:v>01_Game_Design_Document.md</x:v>
      </x:c>
      <x:c r="F150" s="26" t="str">
        <x:v>DEPENDS ON / MUST REMAIN CONSISTENT WITH</x:v>
      </x:c>
      <x:c r="G150" s="26" t="str">
        <x:v>MANDATORY</x:v>
      </x:c>
      <x:c r="H150" s="26" t="str">
        <x:v>Update source when target changes materially; record impact in 13.</x:v>
      </x:c>
      <x:c r="I150" s="26" t="str">
        <x:v>ACTIVE</x:v>
      </x:c>
    </x:row>
    <x:row r="151" ht="30" customHeight="1">
      <x:c r="A151" s="26" t="str">
        <x:v>REL-0147</x:v>
      </x:c>
      <x:c r="B151" s="26" t="str">
        <x:v>19</x:v>
      </x:c>
      <x:c r="C151" s="26" t="str">
        <x:v>19_UI_Style_Guide.md</x:v>
      </x:c>
      <x:c r="D151" s="26" t="str">
        <x:v>02</x:v>
      </x:c>
      <x:c r="E151" s="26" t="str">
        <x:v>02_Vertical_Slice_Specification.md</x:v>
      </x:c>
      <x:c r="F151" s="26" t="str">
        <x:v>DEPENDS ON / MUST REMAIN CONSISTENT WITH</x:v>
      </x:c>
      <x:c r="G151" s="26" t="str">
        <x:v>MANDATORY</x:v>
      </x:c>
      <x:c r="H151" s="26" t="str">
        <x:v>Update source when target changes materially; record impact in 13.</x:v>
      </x:c>
      <x:c r="I151" s="26" t="str">
        <x:v>ACTIVE</x:v>
      </x:c>
    </x:row>
    <x:row r="152" ht="30" customHeight="1">
      <x:c r="A152" s="26" t="str">
        <x:v>REL-0148</x:v>
      </x:c>
      <x:c r="B152" s="26" t="str">
        <x:v>19</x:v>
      </x:c>
      <x:c r="C152" s="26" t="str">
        <x:v>19_UI_Style_Guide.md</x:v>
      </x:c>
      <x:c r="D152" s="26" t="str">
        <x:v>05</x:v>
      </x:c>
      <x:c r="E152" s="26" t="str">
        <x:v>05_UX_Flow.md</x:v>
      </x:c>
      <x:c r="F152" s="26" t="str">
        <x:v>DEPENDS ON / MUST REMAIN CONSISTENT WITH</x:v>
      </x:c>
      <x:c r="G152" s="26" t="str">
        <x:v>MANDATORY</x:v>
      </x:c>
      <x:c r="H152" s="26" t="str">
        <x:v>Update source when target changes materially; record impact in 13.</x:v>
      </x:c>
      <x:c r="I152" s="26" t="str">
        <x:v>ACTIVE</x:v>
      </x:c>
    </x:row>
    <x:row r="153" ht="30" customHeight="1">
      <x:c r="A153" s="26" t="str">
        <x:v>REL-0149</x:v>
      </x:c>
      <x:c r="B153" s="26" t="str">
        <x:v>19</x:v>
      </x:c>
      <x:c r="C153" s="26" t="str">
        <x:v>19_UI_Style_Guide.md</x:v>
      </x:c>
      <x:c r="D153" s="26" t="str">
        <x:v>17</x:v>
      </x:c>
      <x:c r="E153" s="26" t="str">
        <x:v>17_Art_Bible.md</x:v>
      </x:c>
      <x:c r="F153" s="26" t="str">
        <x:v>DEPENDS ON / MUST REMAIN CONSISTENT WITH</x:v>
      </x:c>
      <x:c r="G153" s="26" t="str">
        <x:v>MANDATORY</x:v>
      </x:c>
      <x:c r="H153" s="26" t="str">
        <x:v>Update source when target changes materially; record impact in 13.</x:v>
      </x:c>
      <x:c r="I153" s="26" t="str">
        <x:v>ACTIVE</x:v>
      </x:c>
    </x:row>
    <x:row r="154" ht="30" customHeight="1">
      <x:c r="A154" s="26" t="str">
        <x:v>REL-0150</x:v>
      </x:c>
      <x:c r="B154" s="26" t="str">
        <x:v>19</x:v>
      </x:c>
      <x:c r="C154" s="26" t="str">
        <x:v>19_UI_Style_Guide.md</x:v>
      </x:c>
      <x:c r="D154" s="26" t="str">
        <x:v>22</x:v>
      </x:c>
      <x:c r="E154" s="26" t="str">
        <x:v>22_Localization_Plan.md</x:v>
      </x:c>
      <x:c r="F154" s="26" t="str">
        <x:v>DEPENDS ON / MUST REMAIN CONSISTENT WITH</x:v>
      </x:c>
      <x:c r="G154" s="26" t="str">
        <x:v>MANDATORY</x:v>
      </x:c>
      <x:c r="H154" s="26" t="str">
        <x:v>Update source when target changes materially; record impact in 13.</x:v>
      </x:c>
      <x:c r="I154" s="26" t="str">
        <x:v>ACTIVE</x:v>
      </x:c>
    </x:row>
    <x:row r="155" ht="30" customHeight="1">
      <x:c r="A155" s="26" t="str">
        <x:v>REL-0151</x:v>
      </x:c>
      <x:c r="B155" s="26" t="str">
        <x:v>19</x:v>
      </x:c>
      <x:c r="C155" s="26" t="str">
        <x:v>19_UI_Style_Guide.md</x:v>
      </x:c>
      <x:c r="D155" s="26" t="str">
        <x:v>29</x:v>
      </x:c>
      <x:c r="E155" s="26" t="str">
        <x:v>29_Accessibility_and_Inclusive_Design_Plan.md</x:v>
      </x:c>
      <x:c r="F155" s="26" t="str">
        <x:v>DEPENDS ON / MUST REMAIN CONSISTENT WITH</x:v>
      </x:c>
      <x:c r="G155" s="26" t="str">
        <x:v>MANDATORY</x:v>
      </x:c>
      <x:c r="H155" s="26" t="str">
        <x:v>Update source when target changes materially; record impact in 13.</x:v>
      </x:c>
      <x:c r="I155" s="26" t="str">
        <x:v>ACTIVE</x:v>
      </x:c>
    </x:row>
    <x:row r="156" ht="30" customHeight="1">
      <x:c r="A156" s="26" t="str">
        <x:v>REL-0152</x:v>
      </x:c>
      <x:c r="B156" s="26" t="str">
        <x:v>19</x:v>
      </x:c>
      <x:c r="C156" s="26" t="str">
        <x:v>19_UI_Style_Guide.md</x:v>
      </x:c>
      <x:c r="D156" s="26" t="str">
        <x:v>30</x:v>
      </x:c>
      <x:c r="E156" s="26" t="str">
        <x:v>30_Performance_and_Optimization_Plan.md</x:v>
      </x:c>
      <x:c r="F156" s="26" t="str">
        <x:v>DEPENDS ON / MUST REMAIN CONSISTENT WITH</x:v>
      </x:c>
      <x:c r="G156" s="26" t="str">
        <x:v>MANDATORY</x:v>
      </x:c>
      <x:c r="H156" s="26" t="str">
        <x:v>Update source when target changes materially; record impact in 13.</x:v>
      </x:c>
      <x:c r="I156" s="26" t="str">
        <x:v>ACTIVE</x:v>
      </x:c>
    </x:row>
    <x:row r="157" ht="30" customHeight="1">
      <x:c r="A157" s="26" t="str">
        <x:v>REL-0153</x:v>
      </x:c>
      <x:c r="B157" s="26" t="str">
        <x:v>20</x:v>
      </x:c>
      <x:c r="C157" s="26" t="str">
        <x:v>20_Economy_and_Balance_Specification.md</x:v>
      </x:c>
      <x:c r="D157" s="26" t="str">
        <x:v>00</x:v>
      </x:c>
      <x:c r="E157" s="26" t="str">
        <x:v>00_Enfoque_y_Alcance.md</x:v>
      </x:c>
      <x:c r="F157" s="26" t="str">
        <x:v>DEPENDS ON / MUST REMAIN CONSISTENT WITH</x:v>
      </x:c>
      <x:c r="G157" s="26" t="str">
        <x:v>MANDATORY</x:v>
      </x:c>
      <x:c r="H157" s="26" t="str">
        <x:v>Update source when target changes materially; record impact in 13.</x:v>
      </x:c>
      <x:c r="I157" s="26" t="str">
        <x:v>ACTIVE</x:v>
      </x:c>
    </x:row>
    <x:row r="158" ht="30" customHeight="1">
      <x:c r="A158" s="26" t="str">
        <x:v>REL-0154</x:v>
      </x:c>
      <x:c r="B158" s="26" t="str">
        <x:v>20</x:v>
      </x:c>
      <x:c r="C158" s="26" t="str">
        <x:v>20_Economy_and_Balance_Specification.md</x:v>
      </x:c>
      <x:c r="D158" s="26" t="str">
        <x:v>01</x:v>
      </x:c>
      <x:c r="E158" s="26" t="str">
        <x:v>01_Game_Design_Document.md</x:v>
      </x:c>
      <x:c r="F158" s="26" t="str">
        <x:v>DEPENDS ON / MUST REMAIN CONSISTENT WITH</x:v>
      </x:c>
      <x:c r="G158" s="26" t="str">
        <x:v>MANDATORY</x:v>
      </x:c>
      <x:c r="H158" s="26" t="str">
        <x:v>Update source when target changes materially; record impact in 13.</x:v>
      </x:c>
      <x:c r="I158" s="26" t="str">
        <x:v>ACTIVE</x:v>
      </x:c>
    </x:row>
    <x:row r="159" ht="30" customHeight="1">
      <x:c r="A159" s="26" t="str">
        <x:v>REL-0155</x:v>
      </x:c>
      <x:c r="B159" s="26" t="str">
        <x:v>20</x:v>
      </x:c>
      <x:c r="C159" s="26" t="str">
        <x:v>20_Economy_and_Balance_Specification.md</x:v>
      </x:c>
      <x:c r="D159" s="26" t="str">
        <x:v>02</x:v>
      </x:c>
      <x:c r="E159" s="26" t="str">
        <x:v>02_Vertical_Slice_Specification.md</x:v>
      </x:c>
      <x:c r="F159" s="26" t="str">
        <x:v>DEPENDS ON / MUST REMAIN CONSISTENT WITH</x:v>
      </x:c>
      <x:c r="G159" s="26" t="str">
        <x:v>MANDATORY</x:v>
      </x:c>
      <x:c r="H159" s="26" t="str">
        <x:v>Update source when target changes materially; record impact in 13.</x:v>
      </x:c>
      <x:c r="I159" s="26" t="str">
        <x:v>ACTIVE</x:v>
      </x:c>
    </x:row>
    <x:row r="160" ht="30" customHeight="1">
      <x:c r="A160" s="26" t="str">
        <x:v>REL-0156</x:v>
      </x:c>
      <x:c r="B160" s="26" t="str">
        <x:v>20</x:v>
      </x:c>
      <x:c r="C160" s="26" t="str">
        <x:v>20_Economy_and_Balance_Specification.md</x:v>
      </x:c>
      <x:c r="D160" s="26" t="str">
        <x:v>04</x:v>
      </x:c>
      <x:c r="E160" s="26" t="str">
        <x:v>04_Modelo_de_Datos.md</x:v>
      </x:c>
      <x:c r="F160" s="26" t="str">
        <x:v>DEPENDS ON / MUST REMAIN CONSISTENT WITH</x:v>
      </x:c>
      <x:c r="G160" s="26" t="str">
        <x:v>MANDATORY</x:v>
      </x:c>
      <x:c r="H160" s="26" t="str">
        <x:v>Update source when target changes materially; record impact in 13.</x:v>
      </x:c>
      <x:c r="I160" s="26" t="str">
        <x:v>ACTIVE</x:v>
      </x:c>
    </x:row>
    <x:row r="161" ht="30" customHeight="1">
      <x:c r="A161" s="26" t="str">
        <x:v>REL-0157</x:v>
      </x:c>
      <x:c r="B161" s="26" t="str">
        <x:v>20</x:v>
      </x:c>
      <x:c r="C161" s="26" t="str">
        <x:v>20_Economy_and_Balance_Specification.md</x:v>
      </x:c>
      <x:c r="D161" s="26" t="str">
        <x:v>06</x:v>
      </x:c>
      <x:c r="E161" s="26" t="str">
        <x:v>06_Production_Roadmap_y_Sprint_Plan.md</x:v>
      </x:c>
      <x:c r="F161" s="26" t="str">
        <x:v>DEPENDS ON / MUST REMAIN CONSISTENT WITH</x:v>
      </x:c>
      <x:c r="G161" s="26" t="str">
        <x:v>MANDATORY</x:v>
      </x:c>
      <x:c r="H161" s="26" t="str">
        <x:v>Update source when target changes materially; record impact in 13.</x:v>
      </x:c>
      <x:c r="I161" s="26" t="str">
        <x:v>ACTIVE</x:v>
      </x:c>
    </x:row>
    <x:row r="162" ht="30" customHeight="1">
      <x:c r="A162" s="26" t="str">
        <x:v>REL-0158</x:v>
      </x:c>
      <x:c r="B162" s="26" t="str">
        <x:v>20</x:v>
      </x:c>
      <x:c r="C162" s="26" t="str">
        <x:v>20_Economy_and_Balance_Specification.md</x:v>
      </x:c>
      <x:c r="D162" s="26" t="str">
        <x:v>07</x:v>
      </x:c>
      <x:c r="E162" s="26" t="str">
        <x:v>07_QA_Testing_Plan.md</x:v>
      </x:c>
      <x:c r="F162" s="26" t="str">
        <x:v>DEPENDS ON / MUST REMAIN CONSISTENT WITH</x:v>
      </x:c>
      <x:c r="G162" s="26" t="str">
        <x:v>MANDATORY</x:v>
      </x:c>
      <x:c r="H162" s="26" t="str">
        <x:v>Update source when target changes materially; record impact in 13.</x:v>
      </x:c>
      <x:c r="I162" s="26" t="str">
        <x:v>ACTIVE</x:v>
      </x:c>
    </x:row>
    <x:row r="163" ht="30" customHeight="1">
      <x:c r="A163" s="26" t="str">
        <x:v>REL-0159</x:v>
      </x:c>
      <x:c r="B163" s="26" t="str">
        <x:v>20</x:v>
      </x:c>
      <x:c r="C163" s="26" t="str">
        <x:v>20_Economy_and_Balance_Specification.md</x:v>
      </x:c>
      <x:c r="D163" s="26" t="str">
        <x:v>08</x:v>
      </x:c>
      <x:c r="E163" s="26" t="str">
        <x:v>08_QA_Testing_Matrix.xlsx</x:v>
      </x:c>
      <x:c r="F163" s="26" t="str">
        <x:v>DEPENDS ON / MUST REMAIN CONSISTENT WITH</x:v>
      </x:c>
      <x:c r="G163" s="26" t="str">
        <x:v>MANDATORY</x:v>
      </x:c>
      <x:c r="H163" s="26" t="str">
        <x:v>Update source when target changes materially; record impact in 13.</x:v>
      </x:c>
      <x:c r="I163" s="26" t="str">
        <x:v>ACTIVE</x:v>
      </x:c>
    </x:row>
    <x:row r="164" ht="30" customHeight="1">
      <x:c r="A164" s="26" t="str">
        <x:v>REL-0160</x:v>
      </x:c>
      <x:c r="B164" s="26" t="str">
        <x:v>20</x:v>
      </x:c>
      <x:c r="C164" s="26" t="str">
        <x:v>20_Economy_and_Balance_Specification.md</x:v>
      </x:c>
      <x:c r="D164" s="26" t="str">
        <x:v>21</x:v>
      </x:c>
      <x:c r="E164" s="26" t="str">
        <x:v>21_Initial_Content_Catalog.xlsx</x:v>
      </x:c>
      <x:c r="F164" s="26" t="str">
        <x:v>DEPENDS ON / MUST REMAIN CONSISTENT WITH</x:v>
      </x:c>
      <x:c r="G164" s="26" t="str">
        <x:v>MANDATORY</x:v>
      </x:c>
      <x:c r="H164" s="26" t="str">
        <x:v>Update source when target changes materially; record impact in 13.</x:v>
      </x:c>
      <x:c r="I164" s="26" t="str">
        <x:v>ACTIVE</x:v>
      </x:c>
    </x:row>
    <x:row r="165" ht="30" customHeight="1">
      <x:c r="A165" s="26" t="str">
        <x:v>REL-0161</x:v>
      </x:c>
      <x:c r="B165" s="26" t="str">
        <x:v>20</x:v>
      </x:c>
      <x:c r="C165" s="26" t="str">
        <x:v>20_Economy_and_Balance_Specification.md</x:v>
      </x:c>
      <x:c r="D165" s="26" t="str">
        <x:v>30</x:v>
      </x:c>
      <x:c r="E165" s="26" t="str">
        <x:v>30_Performance_and_Optimization_Plan.md</x:v>
      </x:c>
      <x:c r="F165" s="26" t="str">
        <x:v>DEPENDS ON / MUST REMAIN CONSISTENT WITH</x:v>
      </x:c>
      <x:c r="G165" s="26" t="str">
        <x:v>MANDATORY</x:v>
      </x:c>
      <x:c r="H165" s="26" t="str">
        <x:v>Update source when target changes materially; record impact in 13.</x:v>
      </x:c>
      <x:c r="I165" s="26" t="str">
        <x:v>ACTIVE</x:v>
      </x:c>
    </x:row>
    <x:row r="166" ht="30" customHeight="1">
      <x:c r="A166" s="26" t="str">
        <x:v>REL-0162</x:v>
      </x:c>
      <x:c r="B166" s="26" t="str">
        <x:v>21</x:v>
      </x:c>
      <x:c r="C166" s="26" t="str">
        <x:v>21_Initial_Content_Catalog.xlsx</x:v>
      </x:c>
      <x:c r="D166" s="26" t="str">
        <x:v>01</x:v>
      </x:c>
      <x:c r="E166" s="26" t="str">
        <x:v>01_Game_Design_Document.md</x:v>
      </x:c>
      <x:c r="F166" s="26" t="str">
        <x:v>DEPENDS ON / MUST REMAIN CONSISTENT WITH</x:v>
      </x:c>
      <x:c r="G166" s="26" t="str">
        <x:v>MANDATORY</x:v>
      </x:c>
      <x:c r="H166" s="26" t="str">
        <x:v>Update source when target changes materially; record impact in 13.</x:v>
      </x:c>
      <x:c r="I166" s="26" t="str">
        <x:v>ACTIVE</x:v>
      </x:c>
    </x:row>
    <x:row r="167" ht="30" customHeight="1">
      <x:c r="A167" s="26" t="str">
        <x:v>REL-0163</x:v>
      </x:c>
      <x:c r="B167" s="26" t="str">
        <x:v>21</x:v>
      </x:c>
      <x:c r="C167" s="26" t="str">
        <x:v>21_Initial_Content_Catalog.xlsx</x:v>
      </x:c>
      <x:c r="D167" s="26" t="str">
        <x:v>02</x:v>
      </x:c>
      <x:c r="E167" s="26" t="str">
        <x:v>02_Vertical_Slice_Specification.md</x:v>
      </x:c>
      <x:c r="F167" s="26" t="str">
        <x:v>DEPENDS ON / MUST REMAIN CONSISTENT WITH</x:v>
      </x:c>
      <x:c r="G167" s="26" t="str">
        <x:v>MANDATORY</x:v>
      </x:c>
      <x:c r="H167" s="26" t="str">
        <x:v>Update source when target changes materially; record impact in 13.</x:v>
      </x:c>
      <x:c r="I167" s="26" t="str">
        <x:v>ACTIVE</x:v>
      </x:c>
    </x:row>
    <x:row r="168" ht="30" customHeight="1">
      <x:c r="A168" s="26" t="str">
        <x:v>REL-0164</x:v>
      </x:c>
      <x:c r="B168" s="26" t="str">
        <x:v>21</x:v>
      </x:c>
      <x:c r="C168" s="26" t="str">
        <x:v>21_Initial_Content_Catalog.xlsx</x:v>
      </x:c>
      <x:c r="D168" s="26" t="str">
        <x:v>04</x:v>
      </x:c>
      <x:c r="E168" s="26" t="str">
        <x:v>04_Modelo_de_Datos.md</x:v>
      </x:c>
      <x:c r="F168" s="26" t="str">
        <x:v>DEPENDS ON / MUST REMAIN CONSISTENT WITH</x:v>
      </x:c>
      <x:c r="G168" s="26" t="str">
        <x:v>MANDATORY</x:v>
      </x:c>
      <x:c r="H168" s="26" t="str">
        <x:v>Update source when target changes materially; record impact in 13.</x:v>
      </x:c>
      <x:c r="I168" s="26" t="str">
        <x:v>ACTIVE</x:v>
      </x:c>
    </x:row>
    <x:row r="169" ht="30" customHeight="1">
      <x:c r="A169" s="26" t="str">
        <x:v>REL-0165</x:v>
      </x:c>
      <x:c r="B169" s="26" t="str">
        <x:v>21</x:v>
      </x:c>
      <x:c r="C169" s="26" t="str">
        <x:v>21_Initial_Content_Catalog.xlsx</x:v>
      </x:c>
      <x:c r="D169" s="26" t="str">
        <x:v>17</x:v>
      </x:c>
      <x:c r="E169" s="26" t="str">
        <x:v>17_Art_Bible.md</x:v>
      </x:c>
      <x:c r="F169" s="26" t="str">
        <x:v>DEPENDS ON / MUST REMAIN CONSISTENT WITH</x:v>
      </x:c>
      <x:c r="G169" s="26" t="str">
        <x:v>MANDATORY</x:v>
      </x:c>
      <x:c r="H169" s="26" t="str">
        <x:v>Update source when target changes materially; record impact in 13.</x:v>
      </x:c>
      <x:c r="I169" s="26" t="str">
        <x:v>ACTIVE</x:v>
      </x:c>
    </x:row>
    <x:row r="170" ht="30" customHeight="1">
      <x:c r="A170" s="26" t="str">
        <x:v>REL-0166</x:v>
      </x:c>
      <x:c r="B170" s="26" t="str">
        <x:v>21</x:v>
      </x:c>
      <x:c r="C170" s="26" t="str">
        <x:v>21_Initial_Content_Catalog.xlsx</x:v>
      </x:c>
      <x:c r="D170" s="26" t="str">
        <x:v>20</x:v>
      </x:c>
      <x:c r="E170" s="26" t="str">
        <x:v>20_Economy_and_Balance_Specification.md</x:v>
      </x:c>
      <x:c r="F170" s="26" t="str">
        <x:v>DEPENDS ON / MUST REMAIN CONSISTENT WITH</x:v>
      </x:c>
      <x:c r="G170" s="26" t="str">
        <x:v>MANDATORY</x:v>
      </x:c>
      <x:c r="H170" s="26" t="str">
        <x:v>Update source when target changes materially; record impact in 13.</x:v>
      </x:c>
      <x:c r="I170" s="26" t="str">
        <x:v>ACTIVE</x:v>
      </x:c>
    </x:row>
    <x:row r="171" ht="30" customHeight="1">
      <x:c r="A171" s="26" t="str">
        <x:v>REL-0167</x:v>
      </x:c>
      <x:c r="B171" s="26" t="str">
        <x:v>21</x:v>
      </x:c>
      <x:c r="C171" s="26" t="str">
        <x:v>21_Initial_Content_Catalog.xlsx</x:v>
      </x:c>
      <x:c r="D171" s="26" t="str">
        <x:v>22</x:v>
      </x:c>
      <x:c r="E171" s="26" t="str">
        <x:v>22_Localization_Plan.md</x:v>
      </x:c>
      <x:c r="F171" s="26" t="str">
        <x:v>DEPENDS ON / MUST REMAIN CONSISTENT WITH</x:v>
      </x:c>
      <x:c r="G171" s="26" t="str">
        <x:v>MANDATORY</x:v>
      </x:c>
      <x:c r="H171" s="26" t="str">
        <x:v>Update source when target changes materially; record impact in 13.</x:v>
      </x:c>
      <x:c r="I171" s="26" t="str">
        <x:v>ACTIVE</x:v>
      </x:c>
    </x:row>
    <x:row r="172" ht="30" customHeight="1">
      <x:c r="A172" s="26" t="str">
        <x:v>REL-0168</x:v>
      </x:c>
      <x:c r="B172" s="26" t="str">
        <x:v>21</x:v>
      </x:c>
      <x:c r="C172" s="26" t="str">
        <x:v>21_Initial_Content_Catalog.xlsx</x:v>
      </x:c>
      <x:c r="D172" s="26" t="str">
        <x:v>23</x:v>
      </x:c>
      <x:c r="E172" s="26" t="str">
        <x:v>23_Legal_Credits_and_Licenses_Register.xlsx</x:v>
      </x:c>
      <x:c r="F172" s="26" t="str">
        <x:v>DEPENDS ON / MUST REMAIN CONSISTENT WITH</x:v>
      </x:c>
      <x:c r="G172" s="26" t="str">
        <x:v>MANDATORY</x:v>
      </x:c>
      <x:c r="H172" s="26" t="str">
        <x:v>Update source when target changes materially; record impact in 13.</x:v>
      </x:c>
      <x:c r="I172" s="26" t="str">
        <x:v>ACTIVE</x:v>
      </x:c>
    </x:row>
    <x:row r="173" ht="30" customHeight="1">
      <x:c r="A173" s="26" t="str">
        <x:v>REL-0169</x:v>
      </x:c>
      <x:c r="B173" s="26" t="str">
        <x:v>22</x:v>
      </x:c>
      <x:c r="C173" s="26" t="str">
        <x:v>22_Localization_Plan.md</x:v>
      </x:c>
      <x:c r="D173" s="26" t="str">
        <x:v>00</x:v>
      </x:c>
      <x:c r="E173" s="26" t="str">
        <x:v>00_Enfoque_y_Alcance.md</x:v>
      </x:c>
      <x:c r="F173" s="26" t="str">
        <x:v>DEPENDS ON / MUST REMAIN CONSISTENT WITH</x:v>
      </x:c>
      <x:c r="G173" s="26" t="str">
        <x:v>MANDATORY</x:v>
      </x:c>
      <x:c r="H173" s="26" t="str">
        <x:v>Update source when target changes materially; record impact in 13.</x:v>
      </x:c>
      <x:c r="I173" s="26" t="str">
        <x:v>ACTIVE</x:v>
      </x:c>
    </x:row>
    <x:row r="174" ht="30" customHeight="1">
      <x:c r="A174" s="26" t="str">
        <x:v>REL-0170</x:v>
      </x:c>
      <x:c r="B174" s="26" t="str">
        <x:v>22</x:v>
      </x:c>
      <x:c r="C174" s="26" t="str">
        <x:v>22_Localization_Plan.md</x:v>
      </x:c>
      <x:c r="D174" s="26" t="str">
        <x:v>01</x:v>
      </x:c>
      <x:c r="E174" s="26" t="str">
        <x:v>01_Game_Design_Document.md</x:v>
      </x:c>
      <x:c r="F174" s="26" t="str">
        <x:v>DEPENDS ON / MUST REMAIN CONSISTENT WITH</x:v>
      </x:c>
      <x:c r="G174" s="26" t="str">
        <x:v>MANDATORY</x:v>
      </x:c>
      <x:c r="H174" s="26" t="str">
        <x:v>Update source when target changes materially; record impact in 13.</x:v>
      </x:c>
      <x:c r="I174" s="26" t="str">
        <x:v>ACTIVE</x:v>
      </x:c>
    </x:row>
    <x:row r="175" ht="30" customHeight="1">
      <x:c r="A175" s="26" t="str">
        <x:v>REL-0171</x:v>
      </x:c>
      <x:c r="B175" s="26" t="str">
        <x:v>22</x:v>
      </x:c>
      <x:c r="C175" s="26" t="str">
        <x:v>22_Localization_Plan.md</x:v>
      </x:c>
      <x:c r="D175" s="26" t="str">
        <x:v>02</x:v>
      </x:c>
      <x:c r="E175" s="26" t="str">
        <x:v>02_Vertical_Slice_Specification.md</x:v>
      </x:c>
      <x:c r="F175" s="26" t="str">
        <x:v>DEPENDS ON / MUST REMAIN CONSISTENT WITH</x:v>
      </x:c>
      <x:c r="G175" s="26" t="str">
        <x:v>MANDATORY</x:v>
      </x:c>
      <x:c r="H175" s="26" t="str">
        <x:v>Update source when target changes materially; record impact in 13.</x:v>
      </x:c>
      <x:c r="I175" s="26" t="str">
        <x:v>ACTIVE</x:v>
      </x:c>
    </x:row>
    <x:row r="176" ht="30" customHeight="1">
      <x:c r="A176" s="26" t="str">
        <x:v>REL-0172</x:v>
      </x:c>
      <x:c r="B176" s="26" t="str">
        <x:v>22</x:v>
      </x:c>
      <x:c r="C176" s="26" t="str">
        <x:v>22_Localization_Plan.md</x:v>
      </x:c>
      <x:c r="D176" s="26" t="str">
        <x:v>05</x:v>
      </x:c>
      <x:c r="E176" s="26" t="str">
        <x:v>05_UX_Flow.md</x:v>
      </x:c>
      <x:c r="F176" s="26" t="str">
        <x:v>DEPENDS ON / MUST REMAIN CONSISTENT WITH</x:v>
      </x:c>
      <x:c r="G176" s="26" t="str">
        <x:v>MANDATORY</x:v>
      </x:c>
      <x:c r="H176" s="26" t="str">
        <x:v>Update source when target changes materially; record impact in 13.</x:v>
      </x:c>
      <x:c r="I176" s="26" t="str">
        <x:v>ACTIVE</x:v>
      </x:c>
    </x:row>
    <x:row r="177" ht="30" customHeight="1">
      <x:c r="A177" s="26" t="str">
        <x:v>REL-0173</x:v>
      </x:c>
      <x:c r="B177" s="26" t="str">
        <x:v>22</x:v>
      </x:c>
      <x:c r="C177" s="26" t="str">
        <x:v>22_Localization_Plan.md</x:v>
      </x:c>
      <x:c r="D177" s="26" t="str">
        <x:v>17</x:v>
      </x:c>
      <x:c r="E177" s="26" t="str">
        <x:v>17_Art_Bible.md</x:v>
      </x:c>
      <x:c r="F177" s="26" t="str">
        <x:v>DEPENDS ON / MUST REMAIN CONSISTENT WITH</x:v>
      </x:c>
      <x:c r="G177" s="26" t="str">
        <x:v>MANDATORY</x:v>
      </x:c>
      <x:c r="H177" s="26" t="str">
        <x:v>Update source when target changes materially; record impact in 13.</x:v>
      </x:c>
      <x:c r="I177" s="26" t="str">
        <x:v>ACTIVE</x:v>
      </x:c>
    </x:row>
    <x:row r="178" ht="30" customHeight="1">
      <x:c r="A178" s="26" t="str">
        <x:v>REL-0174</x:v>
      </x:c>
      <x:c r="B178" s="26" t="str">
        <x:v>22</x:v>
      </x:c>
      <x:c r="C178" s="26" t="str">
        <x:v>22_Localization_Plan.md</x:v>
      </x:c>
      <x:c r="D178" s="26" t="str">
        <x:v>18</x:v>
      </x:c>
      <x:c r="E178" s="26" t="str">
        <x:v>18_Audio_Bible.md</x:v>
      </x:c>
      <x:c r="F178" s="26" t="str">
        <x:v>DEPENDS ON / MUST REMAIN CONSISTENT WITH</x:v>
      </x:c>
      <x:c r="G178" s="26" t="str">
        <x:v>MANDATORY</x:v>
      </x:c>
      <x:c r="H178" s="26" t="str">
        <x:v>Update source when target changes materially; record impact in 13.</x:v>
      </x:c>
      <x:c r="I178" s="26" t="str">
        <x:v>ACTIVE</x:v>
      </x:c>
    </x:row>
    <x:row r="179" ht="30" customHeight="1">
      <x:c r="A179" s="26" t="str">
        <x:v>REL-0175</x:v>
      </x:c>
      <x:c r="B179" s="26" t="str">
        <x:v>22</x:v>
      </x:c>
      <x:c r="C179" s="26" t="str">
        <x:v>22_Localization_Plan.md</x:v>
      </x:c>
      <x:c r="D179" s="26" t="str">
        <x:v>19</x:v>
      </x:c>
      <x:c r="E179" s="26" t="str">
        <x:v>19_UI_Style_Guide.md</x:v>
      </x:c>
      <x:c r="F179" s="26" t="str">
        <x:v>DEPENDS ON / MUST REMAIN CONSISTENT WITH</x:v>
      </x:c>
      <x:c r="G179" s="26" t="str">
        <x:v>MANDATORY</x:v>
      </x:c>
      <x:c r="H179" s="26" t="str">
        <x:v>Update source when target changes materially; record impact in 13.</x:v>
      </x:c>
      <x:c r="I179" s="26" t="str">
        <x:v>ACTIVE</x:v>
      </x:c>
    </x:row>
    <x:row r="180" ht="30" customHeight="1">
      <x:c r="A180" s="26" t="str">
        <x:v>REL-0176</x:v>
      </x:c>
      <x:c r="B180" s="26" t="str">
        <x:v>22</x:v>
      </x:c>
      <x:c r="C180" s="26" t="str">
        <x:v>22_Localization_Plan.md</x:v>
      </x:c>
      <x:c r="D180" s="26" t="str">
        <x:v>21</x:v>
      </x:c>
      <x:c r="E180" s="26" t="str">
        <x:v>21_Initial_Content_Catalog.xlsx</x:v>
      </x:c>
      <x:c r="F180" s="26" t="str">
        <x:v>DEPENDS ON / MUST REMAIN CONSISTENT WITH</x:v>
      </x:c>
      <x:c r="G180" s="26" t="str">
        <x:v>MANDATORY</x:v>
      </x:c>
      <x:c r="H180" s="26" t="str">
        <x:v>Update source when target changes materially; record impact in 13.</x:v>
      </x:c>
      <x:c r="I180" s="26" t="str">
        <x:v>ACTIVE</x:v>
      </x:c>
    </x:row>
    <x:row r="181" ht="30" customHeight="1">
      <x:c r="A181" s="26" t="str">
        <x:v>REL-0177</x:v>
      </x:c>
      <x:c r="B181" s="26" t="str">
        <x:v>22</x:v>
      </x:c>
      <x:c r="C181" s="26" t="str">
        <x:v>22_Localization_Plan.md</x:v>
      </x:c>
      <x:c r="D181" s="26" t="str">
        <x:v>23</x:v>
      </x:c>
      <x:c r="E181" s="26" t="str">
        <x:v>23_Legal_Credits_and_Licenses_Register.xlsx</x:v>
      </x:c>
      <x:c r="F181" s="26" t="str">
        <x:v>DEPENDS ON / MUST REMAIN CONSISTENT WITH</x:v>
      </x:c>
      <x:c r="G181" s="26" t="str">
        <x:v>MANDATORY</x:v>
      </x:c>
      <x:c r="H181" s="26" t="str">
        <x:v>Update source when target changes materially; record impact in 13.</x:v>
      </x:c>
      <x:c r="I181" s="26" t="str">
        <x:v>ACTIVE</x:v>
      </x:c>
    </x:row>
    <x:row r="182" ht="30" customHeight="1">
      <x:c r="A182" s="26" t="str">
        <x:v>REL-0178</x:v>
      </x:c>
      <x:c r="B182" s="26" t="str">
        <x:v>22</x:v>
      </x:c>
      <x:c r="C182" s="26" t="str">
        <x:v>22_Localization_Plan.md</x:v>
      </x:c>
      <x:c r="D182" s="26" t="str">
        <x:v>24</x:v>
      </x:c>
      <x:c r="E182" s="26" t="str">
        <x:v>24_Steam_Publishing_Plan.md</x:v>
      </x:c>
      <x:c r="F182" s="26" t="str">
        <x:v>DEPENDS ON / MUST REMAIN CONSISTENT WITH</x:v>
      </x:c>
      <x:c r="G182" s="26" t="str">
        <x:v>MANDATORY</x:v>
      </x:c>
      <x:c r="H182" s="26" t="str">
        <x:v>Update source when target changes materially; record impact in 13.</x:v>
      </x:c>
      <x:c r="I182" s="26" t="str">
        <x:v>ACTIVE</x:v>
      </x:c>
    </x:row>
    <x:row r="183" ht="30" customHeight="1">
      <x:c r="A183" s="26" t="str">
        <x:v>REL-0179</x:v>
      </x:c>
      <x:c r="B183" s="26" t="str">
        <x:v>22</x:v>
      </x:c>
      <x:c r="C183" s="26" t="str">
        <x:v>22_Localization_Plan.md</x:v>
      </x:c>
      <x:c r="D183" s="26" t="str">
        <x:v>29</x:v>
      </x:c>
      <x:c r="E183" s="26" t="str">
        <x:v>29_Accessibility_and_Inclusive_Design_Plan.md</x:v>
      </x:c>
      <x:c r="F183" s="26" t="str">
        <x:v>DEPENDS ON / MUST REMAIN CONSISTENT WITH</x:v>
      </x:c>
      <x:c r="G183" s="26" t="str">
        <x:v>MANDATORY</x:v>
      </x:c>
      <x:c r="H183" s="26" t="str">
        <x:v>Update source when target changes materially; record impact in 13.</x:v>
      </x:c>
      <x:c r="I183" s="26" t="str">
        <x:v>ACTIVE</x:v>
      </x:c>
    </x:row>
    <x:row r="184" ht="30" customHeight="1">
      <x:c r="A184" s="26" t="str">
        <x:v>REL-0180</x:v>
      </x:c>
      <x:c r="B184" s="26" t="str">
        <x:v>23</x:v>
      </x:c>
      <x:c r="C184" s="26" t="str">
        <x:v>23_Legal_Credits_and_Licenses_Register.xlsx</x:v>
      </x:c>
      <x:c r="D184" s="26" t="str">
        <x:v>17</x:v>
      </x:c>
      <x:c r="E184" s="26" t="str">
        <x:v>17_Art_Bible.md</x:v>
      </x:c>
      <x:c r="F184" s="26" t="str">
        <x:v>DEPENDS ON / MUST REMAIN CONSISTENT WITH</x:v>
      </x:c>
      <x:c r="G184" s="26" t="str">
        <x:v>MANDATORY</x:v>
      </x:c>
      <x:c r="H184" s="26" t="str">
        <x:v>Update source when target changes materially; record impact in 13.</x:v>
      </x:c>
      <x:c r="I184" s="26" t="str">
        <x:v>ACTIVE</x:v>
      </x:c>
    </x:row>
    <x:row r="185" ht="30" customHeight="1">
      <x:c r="A185" s="26" t="str">
        <x:v>REL-0181</x:v>
      </x:c>
      <x:c r="B185" s="26" t="str">
        <x:v>23</x:v>
      </x:c>
      <x:c r="C185" s="26" t="str">
        <x:v>23_Legal_Credits_and_Licenses_Register.xlsx</x:v>
      </x:c>
      <x:c r="D185" s="26" t="str">
        <x:v>18</x:v>
      </x:c>
      <x:c r="E185" s="26" t="str">
        <x:v>18_Audio_Bible.md</x:v>
      </x:c>
      <x:c r="F185" s="26" t="str">
        <x:v>DEPENDS ON / MUST REMAIN CONSISTENT WITH</x:v>
      </x:c>
      <x:c r="G185" s="26" t="str">
        <x:v>MANDATORY</x:v>
      </x:c>
      <x:c r="H185" s="26" t="str">
        <x:v>Update source when target changes materially; record impact in 13.</x:v>
      </x:c>
      <x:c r="I185" s="26" t="str">
        <x:v>ACTIVE</x:v>
      </x:c>
    </x:row>
    <x:row r="186" ht="30" customHeight="1">
      <x:c r="A186" s="26" t="str">
        <x:v>REL-0182</x:v>
      </x:c>
      <x:c r="B186" s="26" t="str">
        <x:v>23</x:v>
      </x:c>
      <x:c r="C186" s="26" t="str">
        <x:v>23_Legal_Credits_and_Licenses_Register.xlsx</x:v>
      </x:c>
      <x:c r="D186" s="26" t="str">
        <x:v>19</x:v>
      </x:c>
      <x:c r="E186" s="26" t="str">
        <x:v>19_UI_Style_Guide.md</x:v>
      </x:c>
      <x:c r="F186" s="26" t="str">
        <x:v>DEPENDS ON / MUST REMAIN CONSISTENT WITH</x:v>
      </x:c>
      <x:c r="G186" s="26" t="str">
        <x:v>MANDATORY</x:v>
      </x:c>
      <x:c r="H186" s="26" t="str">
        <x:v>Update source when target changes materially; record impact in 13.</x:v>
      </x:c>
      <x:c r="I186" s="26" t="str">
        <x:v>ACTIVE</x:v>
      </x:c>
    </x:row>
    <x:row r="187" ht="30" customHeight="1">
      <x:c r="A187" s="26" t="str">
        <x:v>REL-0183</x:v>
      </x:c>
      <x:c r="B187" s="26" t="str">
        <x:v>23</x:v>
      </x:c>
      <x:c r="C187" s="26" t="str">
        <x:v>23_Legal_Credits_and_Licenses_Register.xlsx</x:v>
      </x:c>
      <x:c r="D187" s="26" t="str">
        <x:v>21</x:v>
      </x:c>
      <x:c r="E187" s="26" t="str">
        <x:v>21_Initial_Content_Catalog.xlsx</x:v>
      </x:c>
      <x:c r="F187" s="26" t="str">
        <x:v>DEPENDS ON / MUST REMAIN CONSISTENT WITH</x:v>
      </x:c>
      <x:c r="G187" s="26" t="str">
        <x:v>MANDATORY</x:v>
      </x:c>
      <x:c r="H187" s="26" t="str">
        <x:v>Update source when target changes materially; record impact in 13.</x:v>
      </x:c>
      <x:c r="I187" s="26" t="str">
        <x:v>ACTIVE</x:v>
      </x:c>
    </x:row>
    <x:row r="188" ht="30" customHeight="1">
      <x:c r="A188" s="26" t="str">
        <x:v>REL-0184</x:v>
      </x:c>
      <x:c r="B188" s="26" t="str">
        <x:v>23</x:v>
      </x:c>
      <x:c r="C188" s="26" t="str">
        <x:v>23_Legal_Credits_and_Licenses_Register.xlsx</x:v>
      </x:c>
      <x:c r="D188" s="26" t="str">
        <x:v>22</x:v>
      </x:c>
      <x:c r="E188" s="26" t="str">
        <x:v>22_Localization_Plan.md</x:v>
      </x:c>
      <x:c r="F188" s="26" t="str">
        <x:v>DEPENDS ON / MUST REMAIN CONSISTENT WITH</x:v>
      </x:c>
      <x:c r="G188" s="26" t="str">
        <x:v>MANDATORY</x:v>
      </x:c>
      <x:c r="H188" s="26" t="str">
        <x:v>Update source when target changes materially; record impact in 13.</x:v>
      </x:c>
      <x:c r="I188" s="26" t="str">
        <x:v>ACTIVE</x:v>
      </x:c>
    </x:row>
    <x:row r="189" ht="30" customHeight="1">
      <x:c r="A189" s="26" t="str">
        <x:v>REL-0185</x:v>
      </x:c>
      <x:c r="B189" s="26" t="str">
        <x:v>23</x:v>
      </x:c>
      <x:c r="C189" s="26" t="str">
        <x:v>23_Legal_Credits_and_Licenses_Register.xlsx</x:v>
      </x:c>
      <x:c r="D189" s="26" t="str">
        <x:v>24</x:v>
      </x:c>
      <x:c r="E189" s="26" t="str">
        <x:v>24_Steam_Publishing_Plan.md</x:v>
      </x:c>
      <x:c r="F189" s="26" t="str">
        <x:v>DEPENDS ON / MUST REMAIN CONSISTENT WITH</x:v>
      </x:c>
      <x:c r="G189" s="26" t="str">
        <x:v>MANDATORY</x:v>
      </x:c>
      <x:c r="H189" s="26" t="str">
        <x:v>Update source when target changes materially; record impact in 13.</x:v>
      </x:c>
      <x:c r="I189" s="26" t="str">
        <x:v>ACTIVE</x:v>
      </x:c>
    </x:row>
    <x:row r="190" ht="30" customHeight="1">
      <x:c r="A190" s="26" t="str">
        <x:v>REL-0186</x:v>
      </x:c>
      <x:c r="B190" s="26" t="str">
        <x:v>23</x:v>
      </x:c>
      <x:c r="C190" s="26" t="str">
        <x:v>23_Legal_Credits_and_Licenses_Register.xlsx</x:v>
      </x:c>
      <x:c r="D190" s="26" t="str">
        <x:v>28</x:v>
      </x:c>
      <x:c r="E190" s="26" t="str">
        <x:v>28_Marketing_and_Communication_Plan.md</x:v>
      </x:c>
      <x:c r="F190" s="26" t="str">
        <x:v>DEPENDS ON / MUST REMAIN CONSISTENT WITH</x:v>
      </x:c>
      <x:c r="G190" s="26" t="str">
        <x:v>MANDATORY</x:v>
      </x:c>
      <x:c r="H190" s="26" t="str">
        <x:v>Update source when target changes materially; record impact in 13.</x:v>
      </x:c>
      <x:c r="I190" s="26" t="str">
        <x:v>ACTIVE</x:v>
      </x:c>
    </x:row>
    <x:row r="191" ht="30" customHeight="1">
      <x:c r="A191" s="26" t="str">
        <x:v>REL-0187</x:v>
      </x:c>
      <x:c r="B191" s="26" t="str">
        <x:v>24</x:v>
      </x:c>
      <x:c r="C191" s="26" t="str">
        <x:v>24_Steam_Publishing_Plan.md</x:v>
      </x:c>
      <x:c r="D191" s="26" t="str">
        <x:v>00</x:v>
      </x:c>
      <x:c r="E191" s="26" t="str">
        <x:v>00_Enfoque_y_Alcance.md</x:v>
      </x:c>
      <x:c r="F191" s="26" t="str">
        <x:v>DEPENDS ON / MUST REMAIN CONSISTENT WITH</x:v>
      </x:c>
      <x:c r="G191" s="26" t="str">
        <x:v>MANDATORY</x:v>
      </x:c>
      <x:c r="H191" s="26" t="str">
        <x:v>Update source when target changes materially; record impact in 13.</x:v>
      </x:c>
      <x:c r="I191" s="26" t="str">
        <x:v>ACTIVE</x:v>
      </x:c>
    </x:row>
    <x:row r="192" ht="30" customHeight="1">
      <x:c r="A192" s="26" t="str">
        <x:v>REL-0188</x:v>
      </x:c>
      <x:c r="B192" s="26" t="str">
        <x:v>24</x:v>
      </x:c>
      <x:c r="C192" s="26" t="str">
        <x:v>24_Steam_Publishing_Plan.md</x:v>
      </x:c>
      <x:c r="D192" s="26" t="str">
        <x:v>02</x:v>
      </x:c>
      <x:c r="E192" s="26" t="str">
        <x:v>02_Vertical_Slice_Specification.md</x:v>
      </x:c>
      <x:c r="F192" s="26" t="str">
        <x:v>DEPENDS ON / MUST REMAIN CONSISTENT WITH</x:v>
      </x:c>
      <x:c r="G192" s="26" t="str">
        <x:v>MANDATORY</x:v>
      </x:c>
      <x:c r="H192" s="26" t="str">
        <x:v>Update source when target changes materially; record impact in 13.</x:v>
      </x:c>
      <x:c r="I192" s="26" t="str">
        <x:v>ACTIVE</x:v>
      </x:c>
    </x:row>
    <x:row r="193" ht="30" customHeight="1">
      <x:c r="A193" s="26" t="str">
        <x:v>REL-0189</x:v>
      </x:c>
      <x:c r="B193" s="26" t="str">
        <x:v>24</x:v>
      </x:c>
      <x:c r="C193" s="26" t="str">
        <x:v>24_Steam_Publishing_Plan.md</x:v>
      </x:c>
      <x:c r="D193" s="26" t="str">
        <x:v>06</x:v>
      </x:c>
      <x:c r="E193" s="26" t="str">
        <x:v>06_Production_Roadmap_y_Sprint_Plan.md</x:v>
      </x:c>
      <x:c r="F193" s="26" t="str">
        <x:v>DEPENDS ON / MUST REMAIN CONSISTENT WITH</x:v>
      </x:c>
      <x:c r="G193" s="26" t="str">
        <x:v>MANDATORY</x:v>
      </x:c>
      <x:c r="H193" s="26" t="str">
        <x:v>Update source when target changes materially; record impact in 13.</x:v>
      </x:c>
      <x:c r="I193" s="26" t="str">
        <x:v>ACTIVE</x:v>
      </x:c>
    </x:row>
    <x:row r="194" ht="30" customHeight="1">
      <x:c r="A194" s="26" t="str">
        <x:v>REL-0190</x:v>
      </x:c>
      <x:c r="B194" s="26" t="str">
        <x:v>24</x:v>
      </x:c>
      <x:c r="C194" s="26" t="str">
        <x:v>24_Steam_Publishing_Plan.md</x:v>
      </x:c>
      <x:c r="D194" s="26" t="str">
        <x:v>07</x:v>
      </x:c>
      <x:c r="E194" s="26" t="str">
        <x:v>07_QA_Testing_Plan.md</x:v>
      </x:c>
      <x:c r="F194" s="26" t="str">
        <x:v>DEPENDS ON / MUST REMAIN CONSISTENT WITH</x:v>
      </x:c>
      <x:c r="G194" s="26" t="str">
        <x:v>MANDATORY</x:v>
      </x:c>
      <x:c r="H194" s="26" t="str">
        <x:v>Update source when target changes materially; record impact in 13.</x:v>
      </x:c>
      <x:c r="I194" s="26" t="str">
        <x:v>ACTIVE</x:v>
      </x:c>
    </x:row>
    <x:row r="195" ht="30" customHeight="1">
      <x:c r="A195" s="26" t="str">
        <x:v>REL-0191</x:v>
      </x:c>
      <x:c r="B195" s="26" t="str">
        <x:v>24</x:v>
      </x:c>
      <x:c r="C195" s="26" t="str">
        <x:v>24_Steam_Publishing_Plan.md</x:v>
      </x:c>
      <x:c r="D195" s="26" t="str">
        <x:v>08</x:v>
      </x:c>
      <x:c r="E195" s="26" t="str">
        <x:v>08_QA_Testing_Matrix.xlsx</x:v>
      </x:c>
      <x:c r="F195" s="26" t="str">
        <x:v>DEPENDS ON / MUST REMAIN CONSISTENT WITH</x:v>
      </x:c>
      <x:c r="G195" s="26" t="str">
        <x:v>MANDATORY</x:v>
      </x:c>
      <x:c r="H195" s="26" t="str">
        <x:v>Update source when target changes materially; record impact in 13.</x:v>
      </x:c>
      <x:c r="I195" s="26" t="str">
        <x:v>ACTIVE</x:v>
      </x:c>
    </x:row>
    <x:row r="196" ht="30" customHeight="1">
      <x:c r="A196" s="26" t="str">
        <x:v>REL-0192</x:v>
      </x:c>
      <x:c r="B196" s="26" t="str">
        <x:v>24</x:v>
      </x:c>
      <x:c r="C196" s="26" t="str">
        <x:v>24_Steam_Publishing_Plan.md</x:v>
      </x:c>
      <x:c r="D196" s="26" t="str">
        <x:v>11</x:v>
      </x:c>
      <x:c r="E196" s="26" t="str">
        <x:v>11_Build_y_Versioning_Guide.md</x:v>
      </x:c>
      <x:c r="F196" s="26" t="str">
        <x:v>DEPENDS ON / MUST REMAIN CONSISTENT WITH</x:v>
      </x:c>
      <x:c r="G196" s="26" t="str">
        <x:v>MANDATORY</x:v>
      </x:c>
      <x:c r="H196" s="26" t="str">
        <x:v>Update source when target changes materially; record impact in 13.</x:v>
      </x:c>
      <x:c r="I196" s="26" t="str">
        <x:v>ACTIVE</x:v>
      </x:c>
    </x:row>
    <x:row r="197" ht="30" customHeight="1">
      <x:c r="A197" s="26" t="str">
        <x:v>REL-0193</x:v>
      </x:c>
      <x:c r="B197" s="26" t="str">
        <x:v>24</x:v>
      </x:c>
      <x:c r="C197" s="26" t="str">
        <x:v>24_Steam_Publishing_Plan.md</x:v>
      </x:c>
      <x:c r="D197" s="26" t="str">
        <x:v>22</x:v>
      </x:c>
      <x:c r="E197" s="26" t="str">
        <x:v>22_Localization_Plan.md</x:v>
      </x:c>
      <x:c r="F197" s="26" t="str">
        <x:v>DEPENDS ON / MUST REMAIN CONSISTENT WITH</x:v>
      </x:c>
      <x:c r="G197" s="26" t="str">
        <x:v>MANDATORY</x:v>
      </x:c>
      <x:c r="H197" s="26" t="str">
        <x:v>Update source when target changes materially; record impact in 13.</x:v>
      </x:c>
      <x:c r="I197" s="26" t="str">
        <x:v>ACTIVE</x:v>
      </x:c>
    </x:row>
    <x:row r="198" ht="30" customHeight="1">
      <x:c r="A198" s="26" t="str">
        <x:v>REL-0194</x:v>
      </x:c>
      <x:c r="B198" s="26" t="str">
        <x:v>24</x:v>
      </x:c>
      <x:c r="C198" s="26" t="str">
        <x:v>24_Steam_Publishing_Plan.md</x:v>
      </x:c>
      <x:c r="D198" s="26" t="str">
        <x:v>23</x:v>
      </x:c>
      <x:c r="E198" s="26" t="str">
        <x:v>23_Legal_Credits_and_Licenses_Register.xlsx</x:v>
      </x:c>
      <x:c r="F198" s="26" t="str">
        <x:v>DEPENDS ON / MUST REMAIN CONSISTENT WITH</x:v>
      </x:c>
      <x:c r="G198" s="26" t="str">
        <x:v>MANDATORY</x:v>
      </x:c>
      <x:c r="H198" s="26" t="str">
        <x:v>Update source when target changes materially; record impact in 13.</x:v>
      </x:c>
      <x:c r="I198" s="26" t="str">
        <x:v>ACTIVE</x:v>
      </x:c>
    </x:row>
    <x:row r="199" ht="30" customHeight="1">
      <x:c r="A199" s="26" t="str">
        <x:v>REL-0195</x:v>
      </x:c>
      <x:c r="B199" s="26" t="str">
        <x:v>24</x:v>
      </x:c>
      <x:c r="C199" s="26" t="str">
        <x:v>24_Steam_Publishing_Plan.md</x:v>
      </x:c>
      <x:c r="D199" s="26" t="str">
        <x:v>25</x:v>
      </x:c>
      <x:c r="E199" s="26" t="str">
        <x:v>25_Post_Launch_and_Live_Operations_Plan.md</x:v>
      </x:c>
      <x:c r="F199" s="26" t="str">
        <x:v>DEPENDS ON / MUST REMAIN CONSISTENT WITH</x:v>
      </x:c>
      <x:c r="G199" s="26" t="str">
        <x:v>MANDATORY</x:v>
      </x:c>
      <x:c r="H199" s="26" t="str">
        <x:v>Update source when target changes materially; record impact in 13.</x:v>
      </x:c>
      <x:c r="I199" s="26" t="str">
        <x:v>ACTIVE</x:v>
      </x:c>
    </x:row>
    <x:row r="200" ht="30" customHeight="1">
      <x:c r="A200" s="26" t="str">
        <x:v>REL-0196</x:v>
      </x:c>
      <x:c r="B200" s="26" t="str">
        <x:v>24</x:v>
      </x:c>
      <x:c r="C200" s="26" t="str">
        <x:v>24_Steam_Publishing_Plan.md</x:v>
      </x:c>
      <x:c r="D200" s="26" t="str">
        <x:v>26</x:v>
      </x:c>
      <x:c r="E200" s="26" t="str">
        <x:v>26_Privacy_Data_and_Telemetry_Plan.md</x:v>
      </x:c>
      <x:c r="F200" s="26" t="str">
        <x:v>DEPENDS ON / MUST REMAIN CONSISTENT WITH</x:v>
      </x:c>
      <x:c r="G200" s="26" t="str">
        <x:v>MANDATORY</x:v>
      </x:c>
      <x:c r="H200" s="26" t="str">
        <x:v>Update source when target changes materially; record impact in 13.</x:v>
      </x:c>
      <x:c r="I200" s="26" t="str">
        <x:v>ACTIVE</x:v>
      </x:c>
    </x:row>
    <x:row r="201" ht="30" customHeight="1">
      <x:c r="A201" s="26" t="str">
        <x:v>REL-0197</x:v>
      </x:c>
      <x:c r="B201" s="26" t="str">
        <x:v>24</x:v>
      </x:c>
      <x:c r="C201" s="26" t="str">
        <x:v>24_Steam_Publishing_Plan.md</x:v>
      </x:c>
      <x:c r="D201" s="26" t="str">
        <x:v>27</x:v>
      </x:c>
      <x:c r="E201" s="26" t="str">
        <x:v>27_Security_and_Incident_Response_Plan.md</x:v>
      </x:c>
      <x:c r="F201" s="26" t="str">
        <x:v>DEPENDS ON / MUST REMAIN CONSISTENT WITH</x:v>
      </x:c>
      <x:c r="G201" s="26" t="str">
        <x:v>MANDATORY</x:v>
      </x:c>
      <x:c r="H201" s="26" t="str">
        <x:v>Update source when target changes materially; record impact in 13.</x:v>
      </x:c>
      <x:c r="I201" s="26" t="str">
        <x:v>ACTIVE</x:v>
      </x:c>
    </x:row>
    <x:row r="202" ht="30" customHeight="1">
      <x:c r="A202" s="26" t="str">
        <x:v>REL-0198</x:v>
      </x:c>
      <x:c r="B202" s="26" t="str">
        <x:v>24</x:v>
      </x:c>
      <x:c r="C202" s="26" t="str">
        <x:v>24_Steam_Publishing_Plan.md</x:v>
      </x:c>
      <x:c r="D202" s="26" t="str">
        <x:v>28</x:v>
      </x:c>
      <x:c r="E202" s="26" t="str">
        <x:v>28_Marketing_and_Communication_Plan.md</x:v>
      </x:c>
      <x:c r="F202" s="26" t="str">
        <x:v>DEPENDS ON / MUST REMAIN CONSISTENT WITH</x:v>
      </x:c>
      <x:c r="G202" s="26" t="str">
        <x:v>MANDATORY</x:v>
      </x:c>
      <x:c r="H202" s="26" t="str">
        <x:v>Update source when target changes materially; record impact in 13.</x:v>
      </x:c>
      <x:c r="I202" s="26" t="str">
        <x:v>ACTIVE</x:v>
      </x:c>
    </x:row>
    <x:row r="203" ht="30" customHeight="1">
      <x:c r="A203" s="26" t="str">
        <x:v>REL-0199</x:v>
      </x:c>
      <x:c r="B203" s="26" t="str">
        <x:v>24</x:v>
      </x:c>
      <x:c r="C203" s="26" t="str">
        <x:v>24_Steam_Publishing_Plan.md</x:v>
      </x:c>
      <x:c r="D203" s="26" t="str">
        <x:v>29</x:v>
      </x:c>
      <x:c r="E203" s="26" t="str">
        <x:v>29_Accessibility_and_Inclusive_Design_Plan.md</x:v>
      </x:c>
      <x:c r="F203" s="26" t="str">
        <x:v>DEPENDS ON / MUST REMAIN CONSISTENT WITH</x:v>
      </x:c>
      <x:c r="G203" s="26" t="str">
        <x:v>MANDATORY</x:v>
      </x:c>
      <x:c r="H203" s="26" t="str">
        <x:v>Update source when target changes materially; record impact in 13.</x:v>
      </x:c>
      <x:c r="I203" s="26" t="str">
        <x:v>ACTIVE</x:v>
      </x:c>
    </x:row>
    <x:row r="204" ht="30" customHeight="1">
      <x:c r="A204" s="26" t="str">
        <x:v>REL-0200</x:v>
      </x:c>
      <x:c r="B204" s="26" t="str">
        <x:v>24</x:v>
      </x:c>
      <x:c r="C204" s="26" t="str">
        <x:v>24_Steam_Publishing_Plan.md</x:v>
      </x:c>
      <x:c r="D204" s="26" t="str">
        <x:v>30</x:v>
      </x:c>
      <x:c r="E204" s="26" t="str">
        <x:v>30_Performance_and_Optimization_Plan.md</x:v>
      </x:c>
      <x:c r="F204" s="26" t="str">
        <x:v>DEPENDS ON / MUST REMAIN CONSISTENT WITH</x:v>
      </x:c>
      <x:c r="G204" s="26" t="str">
        <x:v>MANDATORY</x:v>
      </x:c>
      <x:c r="H204" s="26" t="str">
        <x:v>Update source when target changes materially; record impact in 13.</x:v>
      </x:c>
      <x:c r="I204" s="26" t="str">
        <x:v>ACTIVE</x:v>
      </x:c>
    </x:row>
    <x:row r="205" ht="30" customHeight="1">
      <x:c r="A205" s="26" t="str">
        <x:v>REL-0201</x:v>
      </x:c>
      <x:c r="B205" s="26" t="str">
        <x:v>24</x:v>
      </x:c>
      <x:c r="C205" s="26" t="str">
        <x:v>24_Steam_Publishing_Plan.md</x:v>
      </x:c>
      <x:c r="D205" s="26" t="str">
        <x:v>31</x:v>
      </x:c>
      <x:c r="E205" s="26" t="str">
        <x:v>31_H6_and_Release_Readiness_Checklist.xlsx</x:v>
      </x:c>
      <x:c r="F205" s="26" t="str">
        <x:v>DEPENDS ON / MUST REMAIN CONSISTENT WITH</x:v>
      </x:c>
      <x:c r="G205" s="26" t="str">
        <x:v>MANDATORY</x:v>
      </x:c>
      <x:c r="H205" s="26" t="str">
        <x:v>Update source when target changes materially; record impact in 13.</x:v>
      </x:c>
      <x:c r="I205" s="26" t="str">
        <x:v>PENDING FINAL REVALIDATION</x:v>
      </x:c>
    </x:row>
    <x:row r="206" ht="30" customHeight="1">
      <x:c r="A206" s="26" t="str">
        <x:v>REL-0202</x:v>
      </x:c>
      <x:c r="B206" s="26" t="str">
        <x:v>25</x:v>
      </x:c>
      <x:c r="C206" s="26" t="str">
        <x:v>25_Post_Launch_and_Live_Operations_Plan.md</x:v>
      </x:c>
      <x:c r="D206" s="26" t="str">
        <x:v>00</x:v>
      </x:c>
      <x:c r="E206" s="26" t="str">
        <x:v>00_Enfoque_y_Alcance.md</x:v>
      </x:c>
      <x:c r="F206" s="26" t="str">
        <x:v>DEPENDS ON / MUST REMAIN CONSISTENT WITH</x:v>
      </x:c>
      <x:c r="G206" s="26" t="str">
        <x:v>MANDATORY</x:v>
      </x:c>
      <x:c r="H206" s="26" t="str">
        <x:v>Update source when target changes materially; record impact in 13.</x:v>
      </x:c>
      <x:c r="I206" s="26" t="str">
        <x:v>ACTIVE</x:v>
      </x:c>
    </x:row>
    <x:row r="207" ht="30" customHeight="1">
      <x:c r="A207" s="26" t="str">
        <x:v>REL-0203</x:v>
      </x:c>
      <x:c r="B207" s="26" t="str">
        <x:v>25</x:v>
      </x:c>
      <x:c r="C207" s="26" t="str">
        <x:v>25_Post_Launch_and_Live_Operations_Plan.md</x:v>
      </x:c>
      <x:c r="D207" s="26" t="str">
        <x:v>01</x:v>
      </x:c>
      <x:c r="E207" s="26" t="str">
        <x:v>01_Game_Design_Document.md</x:v>
      </x:c>
      <x:c r="F207" s="26" t="str">
        <x:v>DEPENDS ON / MUST REMAIN CONSISTENT WITH</x:v>
      </x:c>
      <x:c r="G207" s="26" t="str">
        <x:v>MANDATORY</x:v>
      </x:c>
      <x:c r="H207" s="26" t="str">
        <x:v>Update source when target changes materially; record impact in 13.</x:v>
      </x:c>
      <x:c r="I207" s="26" t="str">
        <x:v>ACTIVE</x:v>
      </x:c>
    </x:row>
    <x:row r="208" ht="30" customHeight="1">
      <x:c r="A208" s="26" t="str">
        <x:v>REL-0204</x:v>
      </x:c>
      <x:c r="B208" s="26" t="str">
        <x:v>25</x:v>
      </x:c>
      <x:c r="C208" s="26" t="str">
        <x:v>25_Post_Launch_and_Live_Operations_Plan.md</x:v>
      </x:c>
      <x:c r="D208" s="26" t="str">
        <x:v>06</x:v>
      </x:c>
      <x:c r="E208" s="26" t="str">
        <x:v>06_Production_Roadmap_y_Sprint_Plan.md</x:v>
      </x:c>
      <x:c r="F208" s="26" t="str">
        <x:v>DEPENDS ON / MUST REMAIN CONSISTENT WITH</x:v>
      </x:c>
      <x:c r="G208" s="26" t="str">
        <x:v>MANDATORY</x:v>
      </x:c>
      <x:c r="H208" s="26" t="str">
        <x:v>Update source when target changes materially; record impact in 13.</x:v>
      </x:c>
      <x:c r="I208" s="26" t="str">
        <x:v>ACTIVE</x:v>
      </x:c>
    </x:row>
    <x:row r="209" ht="30" customHeight="1">
      <x:c r="A209" s="26" t="str">
        <x:v>REL-0205</x:v>
      </x:c>
      <x:c r="B209" s="26" t="str">
        <x:v>25</x:v>
      </x:c>
      <x:c r="C209" s="26" t="str">
        <x:v>25_Post_Launch_and_Live_Operations_Plan.md</x:v>
      </x:c>
      <x:c r="D209" s="26" t="str">
        <x:v>07</x:v>
      </x:c>
      <x:c r="E209" s="26" t="str">
        <x:v>07_QA_Testing_Plan.md</x:v>
      </x:c>
      <x:c r="F209" s="26" t="str">
        <x:v>DEPENDS ON / MUST REMAIN CONSISTENT WITH</x:v>
      </x:c>
      <x:c r="G209" s="26" t="str">
        <x:v>MANDATORY</x:v>
      </x:c>
      <x:c r="H209" s="26" t="str">
        <x:v>Update source when target changes materially; record impact in 13.</x:v>
      </x:c>
      <x:c r="I209" s="26" t="str">
        <x:v>ACTIVE</x:v>
      </x:c>
    </x:row>
    <x:row r="210" ht="30" customHeight="1">
      <x:c r="A210" s="26" t="str">
        <x:v>REL-0206</x:v>
      </x:c>
      <x:c r="B210" s="26" t="str">
        <x:v>25</x:v>
      </x:c>
      <x:c r="C210" s="26" t="str">
        <x:v>25_Post_Launch_and_Live_Operations_Plan.md</x:v>
      </x:c>
      <x:c r="D210" s="26" t="str">
        <x:v>08</x:v>
      </x:c>
      <x:c r="E210" s="26" t="str">
        <x:v>08_QA_Testing_Matrix.xlsx</x:v>
      </x:c>
      <x:c r="F210" s="26" t="str">
        <x:v>DEPENDS ON / MUST REMAIN CONSISTENT WITH</x:v>
      </x:c>
      <x:c r="G210" s="26" t="str">
        <x:v>MANDATORY</x:v>
      </x:c>
      <x:c r="H210" s="26" t="str">
        <x:v>Update source when target changes materially; record impact in 13.</x:v>
      </x:c>
      <x:c r="I210" s="26" t="str">
        <x:v>ACTIVE</x:v>
      </x:c>
    </x:row>
    <x:row r="211" ht="30" customHeight="1">
      <x:c r="A211" s="26" t="str">
        <x:v>REL-0207</x:v>
      </x:c>
      <x:c r="B211" s="26" t="str">
        <x:v>25</x:v>
      </x:c>
      <x:c r="C211" s="26" t="str">
        <x:v>25_Post_Launch_and_Live_Operations_Plan.md</x:v>
      </x:c>
      <x:c r="D211" s="26" t="str">
        <x:v>11</x:v>
      </x:c>
      <x:c r="E211" s="26" t="str">
        <x:v>11_Build_y_Versioning_Guide.md</x:v>
      </x:c>
      <x:c r="F211" s="26" t="str">
        <x:v>DEPENDS ON / MUST REMAIN CONSISTENT WITH</x:v>
      </x:c>
      <x:c r="G211" s="26" t="str">
        <x:v>MANDATORY</x:v>
      </x:c>
      <x:c r="H211" s="26" t="str">
        <x:v>Update source when target changes materially; record impact in 13.</x:v>
      </x:c>
      <x:c r="I211" s="26" t="str">
        <x:v>ACTIVE</x:v>
      </x:c>
    </x:row>
    <x:row r="212" ht="30" customHeight="1">
      <x:c r="A212" s="26" t="str">
        <x:v>REL-0208</x:v>
      </x:c>
      <x:c r="B212" s="26" t="str">
        <x:v>25</x:v>
      </x:c>
      <x:c r="C212" s="26" t="str">
        <x:v>25_Post_Launch_and_Live_Operations_Plan.md</x:v>
      </x:c>
      <x:c r="D212" s="26" t="str">
        <x:v>22</x:v>
      </x:c>
      <x:c r="E212" s="26" t="str">
        <x:v>22_Localization_Plan.md</x:v>
      </x:c>
      <x:c r="F212" s="26" t="str">
        <x:v>DEPENDS ON / MUST REMAIN CONSISTENT WITH</x:v>
      </x:c>
      <x:c r="G212" s="26" t="str">
        <x:v>MANDATORY</x:v>
      </x:c>
      <x:c r="H212" s="26" t="str">
        <x:v>Update source when target changes materially; record impact in 13.</x:v>
      </x:c>
      <x:c r="I212" s="26" t="str">
        <x:v>ACTIVE</x:v>
      </x:c>
    </x:row>
    <x:row r="213" ht="30" customHeight="1">
      <x:c r="A213" s="26" t="str">
        <x:v>REL-0209</x:v>
      </x:c>
      <x:c r="B213" s="26" t="str">
        <x:v>25</x:v>
      </x:c>
      <x:c r="C213" s="26" t="str">
        <x:v>25_Post_Launch_and_Live_Operations_Plan.md</x:v>
      </x:c>
      <x:c r="D213" s="26" t="str">
        <x:v>23</x:v>
      </x:c>
      <x:c r="E213" s="26" t="str">
        <x:v>23_Legal_Credits_and_Licenses_Register.xlsx</x:v>
      </x:c>
      <x:c r="F213" s="26" t="str">
        <x:v>DEPENDS ON / MUST REMAIN CONSISTENT WITH</x:v>
      </x:c>
      <x:c r="G213" s="26" t="str">
        <x:v>MANDATORY</x:v>
      </x:c>
      <x:c r="H213" s="26" t="str">
        <x:v>Update source when target changes materially; record impact in 13.</x:v>
      </x:c>
      <x:c r="I213" s="26" t="str">
        <x:v>ACTIVE</x:v>
      </x:c>
    </x:row>
    <x:row r="214" ht="30" customHeight="1">
      <x:c r="A214" s="26" t="str">
        <x:v>REL-0210</x:v>
      </x:c>
      <x:c r="B214" s="26" t="str">
        <x:v>25</x:v>
      </x:c>
      <x:c r="C214" s="26" t="str">
        <x:v>25_Post_Launch_and_Live_Operations_Plan.md</x:v>
      </x:c>
      <x:c r="D214" s="26" t="str">
        <x:v>24</x:v>
      </x:c>
      <x:c r="E214" s="26" t="str">
        <x:v>24_Steam_Publishing_Plan.md</x:v>
      </x:c>
      <x:c r="F214" s="26" t="str">
        <x:v>DEPENDS ON / MUST REMAIN CONSISTENT WITH</x:v>
      </x:c>
      <x:c r="G214" s="26" t="str">
        <x:v>MANDATORY</x:v>
      </x:c>
      <x:c r="H214" s="26" t="str">
        <x:v>Update source when target changes materially; record impact in 13.</x:v>
      </x:c>
      <x:c r="I214" s="26" t="str">
        <x:v>ACTIVE</x:v>
      </x:c>
    </x:row>
    <x:row r="215" ht="30" customHeight="1">
      <x:c r="A215" s="26" t="str">
        <x:v>REL-0211</x:v>
      </x:c>
      <x:c r="B215" s="26" t="str">
        <x:v>25</x:v>
      </x:c>
      <x:c r="C215" s="26" t="str">
        <x:v>25_Post_Launch_and_Live_Operations_Plan.md</x:v>
      </x:c>
      <x:c r="D215" s="26" t="str">
        <x:v>26</x:v>
      </x:c>
      <x:c r="E215" s="26" t="str">
        <x:v>26_Privacy_Data_and_Telemetry_Plan.md</x:v>
      </x:c>
      <x:c r="F215" s="26" t="str">
        <x:v>DEPENDS ON / MUST REMAIN CONSISTENT WITH</x:v>
      </x:c>
      <x:c r="G215" s="26" t="str">
        <x:v>MANDATORY</x:v>
      </x:c>
      <x:c r="H215" s="26" t="str">
        <x:v>Update source when target changes materially; record impact in 13.</x:v>
      </x:c>
      <x:c r="I215" s="26" t="str">
        <x:v>ACTIVE</x:v>
      </x:c>
    </x:row>
    <x:row r="216" ht="30" customHeight="1">
      <x:c r="A216" s="26" t="str">
        <x:v>REL-0212</x:v>
      </x:c>
      <x:c r="B216" s="26" t="str">
        <x:v>25</x:v>
      </x:c>
      <x:c r="C216" s="26" t="str">
        <x:v>25_Post_Launch_and_Live_Operations_Plan.md</x:v>
      </x:c>
      <x:c r="D216" s="26" t="str">
        <x:v>27</x:v>
      </x:c>
      <x:c r="E216" s="26" t="str">
        <x:v>27_Security_and_Incident_Response_Plan.md</x:v>
      </x:c>
      <x:c r="F216" s="26" t="str">
        <x:v>DEPENDS ON / MUST REMAIN CONSISTENT WITH</x:v>
      </x:c>
      <x:c r="G216" s="26" t="str">
        <x:v>MANDATORY</x:v>
      </x:c>
      <x:c r="H216" s="26" t="str">
        <x:v>Update source when target changes materially; record impact in 13.</x:v>
      </x:c>
      <x:c r="I216" s="26" t="str">
        <x:v>ACTIVE</x:v>
      </x:c>
    </x:row>
    <x:row r="217" ht="30" customHeight="1">
      <x:c r="A217" s="26" t="str">
        <x:v>REL-0213</x:v>
      </x:c>
      <x:c r="B217" s="26" t="str">
        <x:v>25</x:v>
      </x:c>
      <x:c r="C217" s="26" t="str">
        <x:v>25_Post_Launch_and_Live_Operations_Plan.md</x:v>
      </x:c>
      <x:c r="D217" s="26" t="str">
        <x:v>28</x:v>
      </x:c>
      <x:c r="E217" s="26" t="str">
        <x:v>28_Marketing_and_Communication_Plan.md</x:v>
      </x:c>
      <x:c r="F217" s="26" t="str">
        <x:v>DEPENDS ON / MUST REMAIN CONSISTENT WITH</x:v>
      </x:c>
      <x:c r="G217" s="26" t="str">
        <x:v>MANDATORY</x:v>
      </x:c>
      <x:c r="H217" s="26" t="str">
        <x:v>Update source when target changes materially; record impact in 13.</x:v>
      </x:c>
      <x:c r="I217" s="26" t="str">
        <x:v>ACTIVE</x:v>
      </x:c>
    </x:row>
    <x:row r="218" ht="30" customHeight="1">
      <x:c r="A218" s="26" t="str">
        <x:v>REL-0214</x:v>
      </x:c>
      <x:c r="B218" s="26" t="str">
        <x:v>25</x:v>
      </x:c>
      <x:c r="C218" s="26" t="str">
        <x:v>25_Post_Launch_and_Live_Operations_Plan.md</x:v>
      </x:c>
      <x:c r="D218" s="26" t="str">
        <x:v>29</x:v>
      </x:c>
      <x:c r="E218" s="26" t="str">
        <x:v>29_Accessibility_and_Inclusive_Design_Plan.md</x:v>
      </x:c>
      <x:c r="F218" s="26" t="str">
        <x:v>DEPENDS ON / MUST REMAIN CONSISTENT WITH</x:v>
      </x:c>
      <x:c r="G218" s="26" t="str">
        <x:v>MANDATORY</x:v>
      </x:c>
      <x:c r="H218" s="26" t="str">
        <x:v>Update source when target changes materially; record impact in 13.</x:v>
      </x:c>
      <x:c r="I218" s="26" t="str">
        <x:v>ACTIVE</x:v>
      </x:c>
    </x:row>
    <x:row r="219" ht="30" customHeight="1">
      <x:c r="A219" s="26" t="str">
        <x:v>REL-0215</x:v>
      </x:c>
      <x:c r="B219" s="26" t="str">
        <x:v>25</x:v>
      </x:c>
      <x:c r="C219" s="26" t="str">
        <x:v>25_Post_Launch_and_Live_Operations_Plan.md</x:v>
      </x:c>
      <x:c r="D219" s="26" t="str">
        <x:v>30</x:v>
      </x:c>
      <x:c r="E219" s="26" t="str">
        <x:v>30_Performance_and_Optimization_Plan.md</x:v>
      </x:c>
      <x:c r="F219" s="26" t="str">
        <x:v>DEPENDS ON / MUST REMAIN CONSISTENT WITH</x:v>
      </x:c>
      <x:c r="G219" s="26" t="str">
        <x:v>MANDATORY</x:v>
      </x:c>
      <x:c r="H219" s="26" t="str">
        <x:v>Update source when target changes materially; record impact in 13.</x:v>
      </x:c>
      <x:c r="I219" s="26" t="str">
        <x:v>ACTIVE</x:v>
      </x:c>
    </x:row>
    <x:row r="220" ht="30" customHeight="1">
      <x:c r="A220" s="26" t="str">
        <x:v>REL-0216</x:v>
      </x:c>
      <x:c r="B220" s="26" t="str">
        <x:v>26</x:v>
      </x:c>
      <x:c r="C220" s="26" t="str">
        <x:v>26_Privacy_Data_and_Telemetry_Plan.md</x:v>
      </x:c>
      <x:c r="D220" s="26" t="str">
        <x:v>00</x:v>
      </x:c>
      <x:c r="E220" s="26" t="str">
        <x:v>00_Enfoque_y_Alcance.md</x:v>
      </x:c>
      <x:c r="F220" s="26" t="str">
        <x:v>DEPENDS ON / MUST REMAIN CONSISTENT WITH</x:v>
      </x:c>
      <x:c r="G220" s="26" t="str">
        <x:v>MANDATORY</x:v>
      </x:c>
      <x:c r="H220" s="26" t="str">
        <x:v>Update source when target changes materially; record impact in 13.</x:v>
      </x:c>
      <x:c r="I220" s="26" t="str">
        <x:v>ACTIVE</x:v>
      </x:c>
    </x:row>
    <x:row r="221" ht="30" customHeight="1">
      <x:c r="A221" s="26" t="str">
        <x:v>REL-0217</x:v>
      </x:c>
      <x:c r="B221" s="26" t="str">
        <x:v>26</x:v>
      </x:c>
      <x:c r="C221" s="26" t="str">
        <x:v>26_Privacy_Data_and_Telemetry_Plan.md</x:v>
      </x:c>
      <x:c r="D221" s="26" t="str">
        <x:v>03</x:v>
      </x:c>
      <x:c r="E221" s="26" t="str">
        <x:v>03_Technical_Design_Document.md</x:v>
      </x:c>
      <x:c r="F221" s="26" t="str">
        <x:v>DEPENDS ON / MUST REMAIN CONSISTENT WITH</x:v>
      </x:c>
      <x:c r="G221" s="26" t="str">
        <x:v>MANDATORY</x:v>
      </x:c>
      <x:c r="H221" s="26" t="str">
        <x:v>Update source when target changes materially; record impact in 13.</x:v>
      </x:c>
      <x:c r="I221" s="26" t="str">
        <x:v>ACTIVE</x:v>
      </x:c>
    </x:row>
    <x:row r="222" ht="30" customHeight="1">
      <x:c r="A222" s="26" t="str">
        <x:v>REL-0218</x:v>
      </x:c>
      <x:c r="B222" s="26" t="str">
        <x:v>26</x:v>
      </x:c>
      <x:c r="C222" s="26" t="str">
        <x:v>26_Privacy_Data_and_Telemetry_Plan.md</x:v>
      </x:c>
      <x:c r="D222" s="26" t="str">
        <x:v>04</x:v>
      </x:c>
      <x:c r="E222" s="26" t="str">
        <x:v>04_Modelo_de_Datos.md</x:v>
      </x:c>
      <x:c r="F222" s="26" t="str">
        <x:v>DEPENDS ON / MUST REMAIN CONSISTENT WITH</x:v>
      </x:c>
      <x:c r="G222" s="26" t="str">
        <x:v>MANDATORY</x:v>
      </x:c>
      <x:c r="H222" s="26" t="str">
        <x:v>Update source when target changes materially; record impact in 13.</x:v>
      </x:c>
      <x:c r="I222" s="26" t="str">
        <x:v>ACTIVE</x:v>
      </x:c>
    </x:row>
    <x:row r="223" ht="30" customHeight="1">
      <x:c r="A223" s="26" t="str">
        <x:v>REL-0219</x:v>
      </x:c>
      <x:c r="B223" s="26" t="str">
        <x:v>26</x:v>
      </x:c>
      <x:c r="C223" s="26" t="str">
        <x:v>26_Privacy_Data_and_Telemetry_Plan.md</x:v>
      </x:c>
      <x:c r="D223" s="26" t="str">
        <x:v>05</x:v>
      </x:c>
      <x:c r="E223" s="26" t="str">
        <x:v>05_UX_Flow.md</x:v>
      </x:c>
      <x:c r="F223" s="26" t="str">
        <x:v>DEPENDS ON / MUST REMAIN CONSISTENT WITH</x:v>
      </x:c>
      <x:c r="G223" s="26" t="str">
        <x:v>MANDATORY</x:v>
      </x:c>
      <x:c r="H223" s="26" t="str">
        <x:v>Update source when target changes materially; record impact in 13.</x:v>
      </x:c>
      <x:c r="I223" s="26" t="str">
        <x:v>ACTIVE</x:v>
      </x:c>
    </x:row>
    <x:row r="224" ht="30" customHeight="1">
      <x:c r="A224" s="26" t="str">
        <x:v>REL-0220</x:v>
      </x:c>
      <x:c r="B224" s="26" t="str">
        <x:v>26</x:v>
      </x:c>
      <x:c r="C224" s="26" t="str">
        <x:v>26_Privacy_Data_and_Telemetry_Plan.md</x:v>
      </x:c>
      <x:c r="D224" s="26" t="str">
        <x:v>07</x:v>
      </x:c>
      <x:c r="E224" s="26" t="str">
        <x:v>07_QA_Testing_Plan.md</x:v>
      </x:c>
      <x:c r="F224" s="26" t="str">
        <x:v>DEPENDS ON / MUST REMAIN CONSISTENT WITH</x:v>
      </x:c>
      <x:c r="G224" s="26" t="str">
        <x:v>MANDATORY</x:v>
      </x:c>
      <x:c r="H224" s="26" t="str">
        <x:v>Update source when target changes materially; record impact in 13.</x:v>
      </x:c>
      <x:c r="I224" s="26" t="str">
        <x:v>ACTIVE</x:v>
      </x:c>
    </x:row>
    <x:row r="225" ht="30" customHeight="1">
      <x:c r="A225" s="26" t="str">
        <x:v>REL-0221</x:v>
      </x:c>
      <x:c r="B225" s="26" t="str">
        <x:v>26</x:v>
      </x:c>
      <x:c r="C225" s="26" t="str">
        <x:v>26_Privacy_Data_and_Telemetry_Plan.md</x:v>
      </x:c>
      <x:c r="D225" s="26" t="str">
        <x:v>22</x:v>
      </x:c>
      <x:c r="E225" s="26" t="str">
        <x:v>22_Localization_Plan.md</x:v>
      </x:c>
      <x:c r="F225" s="26" t="str">
        <x:v>DEPENDS ON / MUST REMAIN CONSISTENT WITH</x:v>
      </x:c>
      <x:c r="G225" s="26" t="str">
        <x:v>MANDATORY</x:v>
      </x:c>
      <x:c r="H225" s="26" t="str">
        <x:v>Update source when target changes materially; record impact in 13.</x:v>
      </x:c>
      <x:c r="I225" s="26" t="str">
        <x:v>ACTIVE</x:v>
      </x:c>
    </x:row>
    <x:row r="226" ht="30" customHeight="1">
      <x:c r="A226" s="26" t="str">
        <x:v>REL-0222</x:v>
      </x:c>
      <x:c r="B226" s="26" t="str">
        <x:v>26</x:v>
      </x:c>
      <x:c r="C226" s="26" t="str">
        <x:v>26_Privacy_Data_and_Telemetry_Plan.md</x:v>
      </x:c>
      <x:c r="D226" s="26" t="str">
        <x:v>24</x:v>
      </x:c>
      <x:c r="E226" s="26" t="str">
        <x:v>24_Steam_Publishing_Plan.md</x:v>
      </x:c>
      <x:c r="F226" s="26" t="str">
        <x:v>DEPENDS ON / MUST REMAIN CONSISTENT WITH</x:v>
      </x:c>
      <x:c r="G226" s="26" t="str">
        <x:v>MANDATORY</x:v>
      </x:c>
      <x:c r="H226" s="26" t="str">
        <x:v>Update source when target changes materially; record impact in 13.</x:v>
      </x:c>
      <x:c r="I226" s="26" t="str">
        <x:v>ACTIVE</x:v>
      </x:c>
    </x:row>
    <x:row r="227" ht="30" customHeight="1">
      <x:c r="A227" s="26" t="str">
        <x:v>REL-0223</x:v>
      </x:c>
      <x:c r="B227" s="26" t="str">
        <x:v>26</x:v>
      </x:c>
      <x:c r="C227" s="26" t="str">
        <x:v>26_Privacy_Data_and_Telemetry_Plan.md</x:v>
      </x:c>
      <x:c r="D227" s="26" t="str">
        <x:v>25</x:v>
      </x:c>
      <x:c r="E227" s="26" t="str">
        <x:v>25_Post_Launch_and_Live_Operations_Plan.md</x:v>
      </x:c>
      <x:c r="F227" s="26" t="str">
        <x:v>DEPENDS ON / MUST REMAIN CONSISTENT WITH</x:v>
      </x:c>
      <x:c r="G227" s="26" t="str">
        <x:v>MANDATORY</x:v>
      </x:c>
      <x:c r="H227" s="26" t="str">
        <x:v>Update source when target changes materially; record impact in 13.</x:v>
      </x:c>
      <x:c r="I227" s="26" t="str">
        <x:v>ACTIVE</x:v>
      </x:c>
    </x:row>
    <x:row r="228" ht="30" customHeight="1">
      <x:c r="A228" s="26" t="str">
        <x:v>REL-0224</x:v>
      </x:c>
      <x:c r="B228" s="26" t="str">
        <x:v>26</x:v>
      </x:c>
      <x:c r="C228" s="26" t="str">
        <x:v>26_Privacy_Data_and_Telemetry_Plan.md</x:v>
      </x:c>
      <x:c r="D228" s="26" t="str">
        <x:v>27</x:v>
      </x:c>
      <x:c r="E228" s="26" t="str">
        <x:v>27_Security_and_Incident_Response_Plan.md</x:v>
      </x:c>
      <x:c r="F228" s="26" t="str">
        <x:v>DEPENDS ON / MUST REMAIN CONSISTENT WITH</x:v>
      </x:c>
      <x:c r="G228" s="26" t="str">
        <x:v>MANDATORY</x:v>
      </x:c>
      <x:c r="H228" s="26" t="str">
        <x:v>Update source when target changes materially; record impact in 13.</x:v>
      </x:c>
      <x:c r="I228" s="26" t="str">
        <x:v>ACTIVE</x:v>
      </x:c>
    </x:row>
    <x:row r="229" ht="30" customHeight="1">
      <x:c r="A229" s="26" t="str">
        <x:v>REL-0225</x:v>
      </x:c>
      <x:c r="B229" s="26" t="str">
        <x:v>26</x:v>
      </x:c>
      <x:c r="C229" s="26" t="str">
        <x:v>26_Privacy_Data_and_Telemetry_Plan.md</x:v>
      </x:c>
      <x:c r="D229" s="26" t="str">
        <x:v>28</x:v>
      </x:c>
      <x:c r="E229" s="26" t="str">
        <x:v>28_Marketing_and_Communication_Plan.md</x:v>
      </x:c>
      <x:c r="F229" s="26" t="str">
        <x:v>DEPENDS ON / MUST REMAIN CONSISTENT WITH</x:v>
      </x:c>
      <x:c r="G229" s="26" t="str">
        <x:v>MANDATORY</x:v>
      </x:c>
      <x:c r="H229" s="26" t="str">
        <x:v>Update source when target changes materially; record impact in 13.</x:v>
      </x:c>
      <x:c r="I229" s="26" t="str">
        <x:v>ACTIVE</x:v>
      </x:c>
    </x:row>
    <x:row r="230" ht="30" customHeight="1">
      <x:c r="A230" s="26" t="str">
        <x:v>REL-0226</x:v>
      </x:c>
      <x:c r="B230" s="26" t="str">
        <x:v>26</x:v>
      </x:c>
      <x:c r="C230" s="26" t="str">
        <x:v>26_Privacy_Data_and_Telemetry_Plan.md</x:v>
      </x:c>
      <x:c r="D230" s="26" t="str">
        <x:v>29</x:v>
      </x:c>
      <x:c r="E230" s="26" t="str">
        <x:v>29_Accessibility_and_Inclusive_Design_Plan.md</x:v>
      </x:c>
      <x:c r="F230" s="26" t="str">
        <x:v>DEPENDS ON / MUST REMAIN CONSISTENT WITH</x:v>
      </x:c>
      <x:c r="G230" s="26" t="str">
        <x:v>MANDATORY</x:v>
      </x:c>
      <x:c r="H230" s="26" t="str">
        <x:v>Update source when target changes materially; record impact in 13.</x:v>
      </x:c>
      <x:c r="I230" s="26" t="str">
        <x:v>ACTIVE</x:v>
      </x:c>
    </x:row>
    <x:row r="231" ht="30" customHeight="1">
      <x:c r="A231" s="26" t="str">
        <x:v>REL-0227</x:v>
      </x:c>
      <x:c r="B231" s="26" t="str">
        <x:v>27</x:v>
      </x:c>
      <x:c r="C231" s="26" t="str">
        <x:v>27_Security_and_Incident_Response_Plan.md</x:v>
      </x:c>
      <x:c r="D231" s="26" t="str">
        <x:v>00</x:v>
      </x:c>
      <x:c r="E231" s="26" t="str">
        <x:v>00_Enfoque_y_Alcance.md</x:v>
      </x:c>
      <x:c r="F231" s="26" t="str">
        <x:v>DEPENDS ON / MUST REMAIN CONSISTENT WITH</x:v>
      </x:c>
      <x:c r="G231" s="26" t="str">
        <x:v>MANDATORY</x:v>
      </x:c>
      <x:c r="H231" s="26" t="str">
        <x:v>Update source when target changes materially; record impact in 13.</x:v>
      </x:c>
      <x:c r="I231" s="26" t="str">
        <x:v>ACTIVE</x:v>
      </x:c>
    </x:row>
    <x:row r="232" ht="30" customHeight="1">
      <x:c r="A232" s="26" t="str">
        <x:v>REL-0228</x:v>
      </x:c>
      <x:c r="B232" s="26" t="str">
        <x:v>27</x:v>
      </x:c>
      <x:c r="C232" s="26" t="str">
        <x:v>27_Security_and_Incident_Response_Plan.md</x:v>
      </x:c>
      <x:c r="D232" s="26" t="str">
        <x:v>03</x:v>
      </x:c>
      <x:c r="E232" s="26" t="str">
        <x:v>03_Technical_Design_Document.md</x:v>
      </x:c>
      <x:c r="F232" s="26" t="str">
        <x:v>DEPENDS ON / MUST REMAIN CONSISTENT WITH</x:v>
      </x:c>
      <x:c r="G232" s="26" t="str">
        <x:v>MANDATORY</x:v>
      </x:c>
      <x:c r="H232" s="26" t="str">
        <x:v>Update source when target changes materially; record impact in 13.</x:v>
      </x:c>
      <x:c r="I232" s="26" t="str">
        <x:v>ACTIVE</x:v>
      </x:c>
    </x:row>
    <x:row r="233" ht="30" customHeight="1">
      <x:c r="A233" s="26" t="str">
        <x:v>REL-0229</x:v>
      </x:c>
      <x:c r="B233" s="26" t="str">
        <x:v>27</x:v>
      </x:c>
      <x:c r="C233" s="26" t="str">
        <x:v>27_Security_and_Incident_Response_Plan.md</x:v>
      </x:c>
      <x:c r="D233" s="26" t="str">
        <x:v>07</x:v>
      </x:c>
      <x:c r="E233" s="26" t="str">
        <x:v>07_QA_Testing_Plan.md</x:v>
      </x:c>
      <x:c r="F233" s="26" t="str">
        <x:v>DEPENDS ON / MUST REMAIN CONSISTENT WITH</x:v>
      </x:c>
      <x:c r="G233" s="26" t="str">
        <x:v>MANDATORY</x:v>
      </x:c>
      <x:c r="H233" s="26" t="str">
        <x:v>Update source when target changes materially; record impact in 13.</x:v>
      </x:c>
      <x:c r="I233" s="26" t="str">
        <x:v>ACTIVE</x:v>
      </x:c>
    </x:row>
    <x:row r="234" ht="30" customHeight="1">
      <x:c r="A234" s="26" t="str">
        <x:v>REL-0230</x:v>
      </x:c>
      <x:c r="B234" s="26" t="str">
        <x:v>27</x:v>
      </x:c>
      <x:c r="C234" s="26" t="str">
        <x:v>27_Security_and_Incident_Response_Plan.md</x:v>
      </x:c>
      <x:c r="D234" s="26" t="str">
        <x:v>10</x:v>
      </x:c>
      <x:c r="E234" s="26" t="str">
        <x:v>10_Unity_Project_Setup_Guide.md</x:v>
      </x:c>
      <x:c r="F234" s="26" t="str">
        <x:v>DEPENDS ON / MUST REMAIN CONSISTENT WITH</x:v>
      </x:c>
      <x:c r="G234" s="26" t="str">
        <x:v>MANDATORY</x:v>
      </x:c>
      <x:c r="H234" s="26" t="str">
        <x:v>Update source when target changes materially; record impact in 13.</x:v>
      </x:c>
      <x:c r="I234" s="26" t="str">
        <x:v>ACTIVE</x:v>
      </x:c>
    </x:row>
    <x:row r="235" ht="30" customHeight="1">
      <x:c r="A235" s="26" t="str">
        <x:v>REL-0231</x:v>
      </x:c>
      <x:c r="B235" s="26" t="str">
        <x:v>27</x:v>
      </x:c>
      <x:c r="C235" s="26" t="str">
        <x:v>27_Security_and_Incident_Response_Plan.md</x:v>
      </x:c>
      <x:c r="D235" s="26" t="str">
        <x:v>11</x:v>
      </x:c>
      <x:c r="E235" s="26" t="str">
        <x:v>11_Build_y_Versioning_Guide.md</x:v>
      </x:c>
      <x:c r="F235" s="26" t="str">
        <x:v>DEPENDS ON / MUST REMAIN CONSISTENT WITH</x:v>
      </x:c>
      <x:c r="G235" s="26" t="str">
        <x:v>MANDATORY</x:v>
      </x:c>
      <x:c r="H235" s="26" t="str">
        <x:v>Update source when target changes materially; record impact in 13.</x:v>
      </x:c>
      <x:c r="I235" s="26" t="str">
        <x:v>ACTIVE</x:v>
      </x:c>
    </x:row>
    <x:row r="236" ht="30" customHeight="1">
      <x:c r="A236" s="26" t="str">
        <x:v>REL-0232</x:v>
      </x:c>
      <x:c r="B236" s="26" t="str">
        <x:v>27</x:v>
      </x:c>
      <x:c r="C236" s="26" t="str">
        <x:v>27_Security_and_Incident_Response_Plan.md</x:v>
      </x:c>
      <x:c r="D236" s="26" t="str">
        <x:v>23</x:v>
      </x:c>
      <x:c r="E236" s="26" t="str">
        <x:v>23_Legal_Credits_and_Licenses_Register.xlsx</x:v>
      </x:c>
      <x:c r="F236" s="26" t="str">
        <x:v>DEPENDS ON / MUST REMAIN CONSISTENT WITH</x:v>
      </x:c>
      <x:c r="G236" s="26" t="str">
        <x:v>MANDATORY</x:v>
      </x:c>
      <x:c r="H236" s="26" t="str">
        <x:v>Update source when target changes materially; record impact in 13.</x:v>
      </x:c>
      <x:c r="I236" s="26" t="str">
        <x:v>ACTIVE</x:v>
      </x:c>
    </x:row>
    <x:row r="237" ht="30" customHeight="1">
      <x:c r="A237" s="26" t="str">
        <x:v>REL-0233</x:v>
      </x:c>
      <x:c r="B237" s="26" t="str">
        <x:v>27</x:v>
      </x:c>
      <x:c r="C237" s="26" t="str">
        <x:v>27_Security_and_Incident_Response_Plan.md</x:v>
      </x:c>
      <x:c r="D237" s="26" t="str">
        <x:v>24</x:v>
      </x:c>
      <x:c r="E237" s="26" t="str">
        <x:v>24_Steam_Publishing_Plan.md</x:v>
      </x:c>
      <x:c r="F237" s="26" t="str">
        <x:v>DEPENDS ON / MUST REMAIN CONSISTENT WITH</x:v>
      </x:c>
      <x:c r="G237" s="26" t="str">
        <x:v>MANDATORY</x:v>
      </x:c>
      <x:c r="H237" s="26" t="str">
        <x:v>Update source when target changes materially; record impact in 13.</x:v>
      </x:c>
      <x:c r="I237" s="26" t="str">
        <x:v>ACTIVE</x:v>
      </x:c>
    </x:row>
    <x:row r="238" ht="30" customHeight="1">
      <x:c r="A238" s="26" t="str">
        <x:v>REL-0234</x:v>
      </x:c>
      <x:c r="B238" s="26" t="str">
        <x:v>27</x:v>
      </x:c>
      <x:c r="C238" s="26" t="str">
        <x:v>27_Security_and_Incident_Response_Plan.md</x:v>
      </x:c>
      <x:c r="D238" s="26" t="str">
        <x:v>25</x:v>
      </x:c>
      <x:c r="E238" s="26" t="str">
        <x:v>25_Post_Launch_and_Live_Operations_Plan.md</x:v>
      </x:c>
      <x:c r="F238" s="26" t="str">
        <x:v>DEPENDS ON / MUST REMAIN CONSISTENT WITH</x:v>
      </x:c>
      <x:c r="G238" s="26" t="str">
        <x:v>MANDATORY</x:v>
      </x:c>
      <x:c r="H238" s="26" t="str">
        <x:v>Update source when target changes materially; record impact in 13.</x:v>
      </x:c>
      <x:c r="I238" s="26" t="str">
        <x:v>ACTIVE</x:v>
      </x:c>
    </x:row>
    <x:row r="239" ht="30" customHeight="1">
      <x:c r="A239" s="26" t="str">
        <x:v>REL-0235</x:v>
      </x:c>
      <x:c r="B239" s="26" t="str">
        <x:v>27</x:v>
      </x:c>
      <x:c r="C239" s="26" t="str">
        <x:v>27_Security_and_Incident_Response_Plan.md</x:v>
      </x:c>
      <x:c r="D239" s="26" t="str">
        <x:v>26</x:v>
      </x:c>
      <x:c r="E239" s="26" t="str">
        <x:v>26_Privacy_Data_and_Telemetry_Plan.md</x:v>
      </x:c>
      <x:c r="F239" s="26" t="str">
        <x:v>DEPENDS ON / MUST REMAIN CONSISTENT WITH</x:v>
      </x:c>
      <x:c r="G239" s="26" t="str">
        <x:v>MANDATORY</x:v>
      </x:c>
      <x:c r="H239" s="26" t="str">
        <x:v>Update source when target changes materially; record impact in 13.</x:v>
      </x:c>
      <x:c r="I239" s="26" t="str">
        <x:v>ACTIVE</x:v>
      </x:c>
    </x:row>
    <x:row r="240" ht="30" customHeight="1">
      <x:c r="A240" s="26" t="str">
        <x:v>REL-0236</x:v>
      </x:c>
      <x:c r="B240" s="26" t="str">
        <x:v>27</x:v>
      </x:c>
      <x:c r="C240" s="26" t="str">
        <x:v>27_Security_and_Incident_Response_Plan.md</x:v>
      </x:c>
      <x:c r="D240" s="26" t="str">
        <x:v>31</x:v>
      </x:c>
      <x:c r="E240" s="26" t="str">
        <x:v>31_H6_and_Release_Readiness_Checklist.xlsx</x:v>
      </x:c>
      <x:c r="F240" s="26" t="str">
        <x:v>DEPENDS ON / MUST REMAIN CONSISTENT WITH</x:v>
      </x:c>
      <x:c r="G240" s="26" t="str">
        <x:v>MANDATORY</x:v>
      </x:c>
      <x:c r="H240" s="26" t="str">
        <x:v>Update source when target changes materially; record impact in 13.</x:v>
      </x:c>
      <x:c r="I240" s="26" t="str">
        <x:v>PENDING FINAL REVALIDATION</x:v>
      </x:c>
    </x:row>
    <x:row r="241" ht="30" customHeight="1">
      <x:c r="A241" s="26" t="str">
        <x:v>REL-0237</x:v>
      </x:c>
      <x:c r="B241" s="26" t="str">
        <x:v>27</x:v>
      </x:c>
      <x:c r="C241" s="26" t="str">
        <x:v>27_Security_and_Incident_Response_Plan.md</x:v>
      </x:c>
      <x:c r="D241" s="26" t="str">
        <x:v>33</x:v>
      </x:c>
      <x:c r="E241" s="26" t="str">
        <x:v>33_Project_Risk_Register_and_Business_Continuity_Plan.xlsx</x:v>
      </x:c>
      <x:c r="F241" s="26" t="str">
        <x:v>DEPENDS ON / MUST REMAIN CONSISTENT WITH</x:v>
      </x:c>
      <x:c r="G241" s="26" t="str">
        <x:v>MANDATORY</x:v>
      </x:c>
      <x:c r="H241" s="26" t="str">
        <x:v>Update source when target changes materially; record impact in 13.</x:v>
      </x:c>
      <x:c r="I241" s="26" t="str">
        <x:v>PENDING FINAL REVALIDATION</x:v>
      </x:c>
    </x:row>
    <x:row r="242" ht="30" customHeight="1">
      <x:c r="A242" s="26" t="str">
        <x:v>REL-0238</x:v>
      </x:c>
      <x:c r="B242" s="26" t="str">
        <x:v>28</x:v>
      </x:c>
      <x:c r="C242" s="26" t="str">
        <x:v>28_Marketing_and_Communication_Plan.md</x:v>
      </x:c>
      <x:c r="D242" s="26" t="str">
        <x:v>00</x:v>
      </x:c>
      <x:c r="E242" s="26" t="str">
        <x:v>00_Enfoque_y_Alcance.md</x:v>
      </x:c>
      <x:c r="F242" s="26" t="str">
        <x:v>DEPENDS ON / MUST REMAIN CONSISTENT WITH</x:v>
      </x:c>
      <x:c r="G242" s="26" t="str">
        <x:v>MANDATORY</x:v>
      </x:c>
      <x:c r="H242" s="26" t="str">
        <x:v>Update source when target changes materially; record impact in 13.</x:v>
      </x:c>
      <x:c r="I242" s="26" t="str">
        <x:v>ACTIVE</x:v>
      </x:c>
    </x:row>
    <x:row r="243" ht="30" customHeight="1">
      <x:c r="A243" s="26" t="str">
        <x:v>REL-0239</x:v>
      </x:c>
      <x:c r="B243" s="26" t="str">
        <x:v>28</x:v>
      </x:c>
      <x:c r="C243" s="26" t="str">
        <x:v>28_Marketing_and_Communication_Plan.md</x:v>
      </x:c>
      <x:c r="D243" s="26" t="str">
        <x:v>01</x:v>
      </x:c>
      <x:c r="E243" s="26" t="str">
        <x:v>01_Game_Design_Document.md</x:v>
      </x:c>
      <x:c r="F243" s="26" t="str">
        <x:v>DEPENDS ON / MUST REMAIN CONSISTENT WITH</x:v>
      </x:c>
      <x:c r="G243" s="26" t="str">
        <x:v>MANDATORY</x:v>
      </x:c>
      <x:c r="H243" s="26" t="str">
        <x:v>Update source when target changes materially; record impact in 13.</x:v>
      </x:c>
      <x:c r="I243" s="26" t="str">
        <x:v>ACTIVE</x:v>
      </x:c>
    </x:row>
    <x:row r="244" ht="30" customHeight="1">
      <x:c r="A244" s="26" t="str">
        <x:v>REL-0240</x:v>
      </x:c>
      <x:c r="B244" s="26" t="str">
        <x:v>28</x:v>
      </x:c>
      <x:c r="C244" s="26" t="str">
        <x:v>28_Marketing_and_Communication_Plan.md</x:v>
      </x:c>
      <x:c r="D244" s="26" t="str">
        <x:v>02</x:v>
      </x:c>
      <x:c r="E244" s="26" t="str">
        <x:v>02_Vertical_Slice_Specification.md</x:v>
      </x:c>
      <x:c r="F244" s="26" t="str">
        <x:v>DEPENDS ON / MUST REMAIN CONSISTENT WITH</x:v>
      </x:c>
      <x:c r="G244" s="26" t="str">
        <x:v>MANDATORY</x:v>
      </x:c>
      <x:c r="H244" s="26" t="str">
        <x:v>Update source when target changes materially; record impact in 13.</x:v>
      </x:c>
      <x:c r="I244" s="26" t="str">
        <x:v>ACTIVE</x:v>
      </x:c>
    </x:row>
    <x:row r="245" ht="30" customHeight="1">
      <x:c r="A245" s="26" t="str">
        <x:v>REL-0241</x:v>
      </x:c>
      <x:c r="B245" s="26" t="str">
        <x:v>28</x:v>
      </x:c>
      <x:c r="C245" s="26" t="str">
        <x:v>28_Marketing_and_Communication_Plan.md</x:v>
      </x:c>
      <x:c r="D245" s="26" t="str">
        <x:v>06</x:v>
      </x:c>
      <x:c r="E245" s="26" t="str">
        <x:v>06_Production_Roadmap_y_Sprint_Plan.md</x:v>
      </x:c>
      <x:c r="F245" s="26" t="str">
        <x:v>DEPENDS ON / MUST REMAIN CONSISTENT WITH</x:v>
      </x:c>
      <x:c r="G245" s="26" t="str">
        <x:v>MANDATORY</x:v>
      </x:c>
      <x:c r="H245" s="26" t="str">
        <x:v>Update source when target changes materially; record impact in 13.</x:v>
      </x:c>
      <x:c r="I245" s="26" t="str">
        <x:v>ACTIVE</x:v>
      </x:c>
    </x:row>
    <x:row r="246" ht="30" customHeight="1">
      <x:c r="A246" s="26" t="str">
        <x:v>REL-0242</x:v>
      </x:c>
      <x:c r="B246" s="26" t="str">
        <x:v>28</x:v>
      </x:c>
      <x:c r="C246" s="26" t="str">
        <x:v>28_Marketing_and_Communication_Plan.md</x:v>
      </x:c>
      <x:c r="D246" s="26" t="str">
        <x:v>17</x:v>
      </x:c>
      <x:c r="E246" s="26" t="str">
        <x:v>17_Art_Bible.md</x:v>
      </x:c>
      <x:c r="F246" s="26" t="str">
        <x:v>DEPENDS ON / MUST REMAIN CONSISTENT WITH</x:v>
      </x:c>
      <x:c r="G246" s="26" t="str">
        <x:v>MANDATORY</x:v>
      </x:c>
      <x:c r="H246" s="26" t="str">
        <x:v>Update source when target changes materially; record impact in 13.</x:v>
      </x:c>
      <x:c r="I246" s="26" t="str">
        <x:v>ACTIVE</x:v>
      </x:c>
    </x:row>
    <x:row r="247" ht="30" customHeight="1">
      <x:c r="A247" s="26" t="str">
        <x:v>REL-0243</x:v>
      </x:c>
      <x:c r="B247" s="26" t="str">
        <x:v>28</x:v>
      </x:c>
      <x:c r="C247" s="26" t="str">
        <x:v>28_Marketing_and_Communication_Plan.md</x:v>
      </x:c>
      <x:c r="D247" s="26" t="str">
        <x:v>18</x:v>
      </x:c>
      <x:c r="E247" s="26" t="str">
        <x:v>18_Audio_Bible.md</x:v>
      </x:c>
      <x:c r="F247" s="26" t="str">
        <x:v>DEPENDS ON / MUST REMAIN CONSISTENT WITH</x:v>
      </x:c>
      <x:c r="G247" s="26" t="str">
        <x:v>MANDATORY</x:v>
      </x:c>
      <x:c r="H247" s="26" t="str">
        <x:v>Update source when target changes materially; record impact in 13.</x:v>
      </x:c>
      <x:c r="I247" s="26" t="str">
        <x:v>ACTIVE</x:v>
      </x:c>
    </x:row>
    <x:row r="248" ht="30" customHeight="1">
      <x:c r="A248" s="26" t="str">
        <x:v>REL-0244</x:v>
      </x:c>
      <x:c r="B248" s="26" t="str">
        <x:v>28</x:v>
      </x:c>
      <x:c r="C248" s="26" t="str">
        <x:v>28_Marketing_and_Communication_Plan.md</x:v>
      </x:c>
      <x:c r="D248" s="26" t="str">
        <x:v>19</x:v>
      </x:c>
      <x:c r="E248" s="26" t="str">
        <x:v>19_UI_Style_Guide.md</x:v>
      </x:c>
      <x:c r="F248" s="26" t="str">
        <x:v>DEPENDS ON / MUST REMAIN CONSISTENT WITH</x:v>
      </x:c>
      <x:c r="G248" s="26" t="str">
        <x:v>MANDATORY</x:v>
      </x:c>
      <x:c r="H248" s="26" t="str">
        <x:v>Update source when target changes materially; record impact in 13.</x:v>
      </x:c>
      <x:c r="I248" s="26" t="str">
        <x:v>ACTIVE</x:v>
      </x:c>
    </x:row>
    <x:row r="249" ht="30" customHeight="1">
      <x:c r="A249" s="26" t="str">
        <x:v>REL-0245</x:v>
      </x:c>
      <x:c r="B249" s="26" t="str">
        <x:v>28</x:v>
      </x:c>
      <x:c r="C249" s="26" t="str">
        <x:v>28_Marketing_and_Communication_Plan.md</x:v>
      </x:c>
      <x:c r="D249" s="26" t="str">
        <x:v>22</x:v>
      </x:c>
      <x:c r="E249" s="26" t="str">
        <x:v>22_Localization_Plan.md</x:v>
      </x:c>
      <x:c r="F249" s="26" t="str">
        <x:v>DEPENDS ON / MUST REMAIN CONSISTENT WITH</x:v>
      </x:c>
      <x:c r="G249" s="26" t="str">
        <x:v>MANDATORY</x:v>
      </x:c>
      <x:c r="H249" s="26" t="str">
        <x:v>Update source when target changes materially; record impact in 13.</x:v>
      </x:c>
      <x:c r="I249" s="26" t="str">
        <x:v>ACTIVE</x:v>
      </x:c>
    </x:row>
    <x:row r="250" ht="30" customHeight="1">
      <x:c r="A250" s="26" t="str">
        <x:v>REL-0246</x:v>
      </x:c>
      <x:c r="B250" s="26" t="str">
        <x:v>28</x:v>
      </x:c>
      <x:c r="C250" s="26" t="str">
        <x:v>28_Marketing_and_Communication_Plan.md</x:v>
      </x:c>
      <x:c r="D250" s="26" t="str">
        <x:v>23</x:v>
      </x:c>
      <x:c r="E250" s="26" t="str">
        <x:v>23_Legal_Credits_and_Licenses_Register.xlsx</x:v>
      </x:c>
      <x:c r="F250" s="26" t="str">
        <x:v>DEPENDS ON / MUST REMAIN CONSISTENT WITH</x:v>
      </x:c>
      <x:c r="G250" s="26" t="str">
        <x:v>MANDATORY</x:v>
      </x:c>
      <x:c r="H250" s="26" t="str">
        <x:v>Update source when target changes materially; record impact in 13.</x:v>
      </x:c>
      <x:c r="I250" s="26" t="str">
        <x:v>ACTIVE</x:v>
      </x:c>
    </x:row>
    <x:row r="251" ht="30" customHeight="1">
      <x:c r="A251" s="26" t="str">
        <x:v>REL-0247</x:v>
      </x:c>
      <x:c r="B251" s="26" t="str">
        <x:v>28</x:v>
      </x:c>
      <x:c r="C251" s="26" t="str">
        <x:v>28_Marketing_and_Communication_Plan.md</x:v>
      </x:c>
      <x:c r="D251" s="26" t="str">
        <x:v>24</x:v>
      </x:c>
      <x:c r="E251" s="26" t="str">
        <x:v>24_Steam_Publishing_Plan.md</x:v>
      </x:c>
      <x:c r="F251" s="26" t="str">
        <x:v>DEPENDS ON / MUST REMAIN CONSISTENT WITH</x:v>
      </x:c>
      <x:c r="G251" s="26" t="str">
        <x:v>MANDATORY</x:v>
      </x:c>
      <x:c r="H251" s="26" t="str">
        <x:v>Update source when target changes materially; record impact in 13.</x:v>
      </x:c>
      <x:c r="I251" s="26" t="str">
        <x:v>ACTIVE</x:v>
      </x:c>
    </x:row>
    <x:row r="252" ht="30" customHeight="1">
      <x:c r="A252" s="26" t="str">
        <x:v>REL-0248</x:v>
      </x:c>
      <x:c r="B252" s="26" t="str">
        <x:v>28</x:v>
      </x:c>
      <x:c r="C252" s="26" t="str">
        <x:v>28_Marketing_and_Communication_Plan.md</x:v>
      </x:c>
      <x:c r="D252" s="26" t="str">
        <x:v>25</x:v>
      </x:c>
      <x:c r="E252" s="26" t="str">
        <x:v>25_Post_Launch_and_Live_Operations_Plan.md</x:v>
      </x:c>
      <x:c r="F252" s="26" t="str">
        <x:v>DEPENDS ON / MUST REMAIN CONSISTENT WITH</x:v>
      </x:c>
      <x:c r="G252" s="26" t="str">
        <x:v>MANDATORY</x:v>
      </x:c>
      <x:c r="H252" s="26" t="str">
        <x:v>Update source when target changes materially; record impact in 13.</x:v>
      </x:c>
      <x:c r="I252" s="26" t="str">
        <x:v>ACTIVE</x:v>
      </x:c>
    </x:row>
    <x:row r="253" ht="30" customHeight="1">
      <x:c r="A253" s="26" t="str">
        <x:v>REL-0249</x:v>
      </x:c>
      <x:c r="B253" s="26" t="str">
        <x:v>28</x:v>
      </x:c>
      <x:c r="C253" s="26" t="str">
        <x:v>28_Marketing_and_Communication_Plan.md</x:v>
      </x:c>
      <x:c r="D253" s="26" t="str">
        <x:v>26</x:v>
      </x:c>
      <x:c r="E253" s="26" t="str">
        <x:v>26_Privacy_Data_and_Telemetry_Plan.md</x:v>
      </x:c>
      <x:c r="F253" s="26" t="str">
        <x:v>DEPENDS ON / MUST REMAIN CONSISTENT WITH</x:v>
      </x:c>
      <x:c r="G253" s="26" t="str">
        <x:v>MANDATORY</x:v>
      </x:c>
      <x:c r="H253" s="26" t="str">
        <x:v>Update source when target changes materially; record impact in 13.</x:v>
      </x:c>
      <x:c r="I253" s="26" t="str">
        <x:v>ACTIVE</x:v>
      </x:c>
    </x:row>
    <x:row r="254" ht="30" customHeight="1">
      <x:c r="A254" s="26" t="str">
        <x:v>REL-0250</x:v>
      </x:c>
      <x:c r="B254" s="26" t="str">
        <x:v>28</x:v>
      </x:c>
      <x:c r="C254" s="26" t="str">
        <x:v>28_Marketing_and_Communication_Plan.md</x:v>
      </x:c>
      <x:c r="D254" s="26" t="str">
        <x:v>27</x:v>
      </x:c>
      <x:c r="E254" s="26" t="str">
        <x:v>27_Security_and_Incident_Response_Plan.md</x:v>
      </x:c>
      <x:c r="F254" s="26" t="str">
        <x:v>DEPENDS ON / MUST REMAIN CONSISTENT WITH</x:v>
      </x:c>
      <x:c r="G254" s="26" t="str">
        <x:v>MANDATORY</x:v>
      </x:c>
      <x:c r="H254" s="26" t="str">
        <x:v>Update source when target changes materially; record impact in 13.</x:v>
      </x:c>
      <x:c r="I254" s="26" t="str">
        <x:v>ACTIVE</x:v>
      </x:c>
    </x:row>
    <x:row r="255" ht="30" customHeight="1">
      <x:c r="A255" s="26" t="str">
        <x:v>REL-0251</x:v>
      </x:c>
      <x:c r="B255" s="26" t="str">
        <x:v>28</x:v>
      </x:c>
      <x:c r="C255" s="26" t="str">
        <x:v>28_Marketing_and_Communication_Plan.md</x:v>
      </x:c>
      <x:c r="D255" s="26" t="str">
        <x:v>29</x:v>
      </x:c>
      <x:c r="E255" s="26" t="str">
        <x:v>29_Accessibility_and_Inclusive_Design_Plan.md</x:v>
      </x:c>
      <x:c r="F255" s="26" t="str">
        <x:v>DEPENDS ON / MUST REMAIN CONSISTENT WITH</x:v>
      </x:c>
      <x:c r="G255" s="26" t="str">
        <x:v>MANDATORY</x:v>
      </x:c>
      <x:c r="H255" s="26" t="str">
        <x:v>Update source when target changes materially; record impact in 13.</x:v>
      </x:c>
      <x:c r="I255" s="26" t="str">
        <x:v>ACTIVE</x:v>
      </x:c>
    </x:row>
    <x:row r="256" ht="30" customHeight="1">
      <x:c r="A256" s="26" t="str">
        <x:v>REL-0252</x:v>
      </x:c>
      <x:c r="B256" s="26" t="str">
        <x:v>28</x:v>
      </x:c>
      <x:c r="C256" s="26" t="str">
        <x:v>28_Marketing_and_Communication_Plan.md</x:v>
      </x:c>
      <x:c r="D256" s="26" t="str">
        <x:v>30</x:v>
      </x:c>
      <x:c r="E256" s="26" t="str">
        <x:v>30_Performance_and_Optimization_Plan.md</x:v>
      </x:c>
      <x:c r="F256" s="26" t="str">
        <x:v>DEPENDS ON / MUST REMAIN CONSISTENT WITH</x:v>
      </x:c>
      <x:c r="G256" s="26" t="str">
        <x:v>MANDATORY</x:v>
      </x:c>
      <x:c r="H256" s="26" t="str">
        <x:v>Update source when target changes materially; record impact in 13.</x:v>
      </x:c>
      <x:c r="I256" s="26" t="str">
        <x:v>ACTIVE</x:v>
      </x:c>
    </x:row>
    <x:row r="257" ht="30" customHeight="1">
      <x:c r="A257" s="26" t="str">
        <x:v>REL-0253</x:v>
      </x:c>
      <x:c r="B257" s="26" t="str">
        <x:v>28</x:v>
      </x:c>
      <x:c r="C257" s="26" t="str">
        <x:v>28_Marketing_and_Communication_Plan.md</x:v>
      </x:c>
      <x:c r="D257" s="26" t="str">
        <x:v>31</x:v>
      </x:c>
      <x:c r="E257" s="26" t="str">
        <x:v>31_H6_and_Release_Readiness_Checklist.xlsx</x:v>
      </x:c>
      <x:c r="F257" s="26" t="str">
        <x:v>DEPENDS ON / MUST REMAIN CONSISTENT WITH</x:v>
      </x:c>
      <x:c r="G257" s="26" t="str">
        <x:v>MANDATORY</x:v>
      </x:c>
      <x:c r="H257" s="26" t="str">
        <x:v>Update source when target changes materially; record impact in 13.</x:v>
      </x:c>
      <x:c r="I257" s="26" t="str">
        <x:v>PENDING FINAL REVALIDATION</x:v>
      </x:c>
    </x:row>
    <x:row r="258" ht="30" customHeight="1">
      <x:c r="A258" s="26" t="str">
        <x:v>REL-0254</x:v>
      </x:c>
      <x:c r="B258" s="26" t="str">
        <x:v>29</x:v>
      </x:c>
      <x:c r="C258" s="26" t="str">
        <x:v>29_Accessibility_and_Inclusive_Design_Plan.md</x:v>
      </x:c>
      <x:c r="D258" s="26" t="str">
        <x:v>00</x:v>
      </x:c>
      <x:c r="E258" s="26" t="str">
        <x:v>00_Enfoque_y_Alcance.md</x:v>
      </x:c>
      <x:c r="F258" s="26" t="str">
        <x:v>DEPENDS ON / MUST REMAIN CONSISTENT WITH</x:v>
      </x:c>
      <x:c r="G258" s="26" t="str">
        <x:v>MANDATORY</x:v>
      </x:c>
      <x:c r="H258" s="26" t="str">
        <x:v>Update source when target changes materially; record impact in 13.</x:v>
      </x:c>
      <x:c r="I258" s="26" t="str">
        <x:v>ACTIVE</x:v>
      </x:c>
    </x:row>
    <x:row r="259" ht="30" customHeight="1">
      <x:c r="A259" s="26" t="str">
        <x:v>REL-0255</x:v>
      </x:c>
      <x:c r="B259" s="26" t="str">
        <x:v>29</x:v>
      </x:c>
      <x:c r="C259" s="26" t="str">
        <x:v>29_Accessibility_and_Inclusive_Design_Plan.md</x:v>
      </x:c>
      <x:c r="D259" s="26" t="str">
        <x:v>01</x:v>
      </x:c>
      <x:c r="E259" s="26" t="str">
        <x:v>01_Game_Design_Document.md</x:v>
      </x:c>
      <x:c r="F259" s="26" t="str">
        <x:v>DEPENDS ON / MUST REMAIN CONSISTENT WITH</x:v>
      </x:c>
      <x:c r="G259" s="26" t="str">
        <x:v>MANDATORY</x:v>
      </x:c>
      <x:c r="H259" s="26" t="str">
        <x:v>Update source when target changes materially; record impact in 13.</x:v>
      </x:c>
      <x:c r="I259" s="26" t="str">
        <x:v>ACTIVE</x:v>
      </x:c>
    </x:row>
    <x:row r="260" ht="30" customHeight="1">
      <x:c r="A260" s="26" t="str">
        <x:v>REL-0256</x:v>
      </x:c>
      <x:c r="B260" s="26" t="str">
        <x:v>29</x:v>
      </x:c>
      <x:c r="C260" s="26" t="str">
        <x:v>29_Accessibility_and_Inclusive_Design_Plan.md</x:v>
      </x:c>
      <x:c r="D260" s="26" t="str">
        <x:v>02</x:v>
      </x:c>
      <x:c r="E260" s="26" t="str">
        <x:v>02_Vertical_Slice_Specification.md</x:v>
      </x:c>
      <x:c r="F260" s="26" t="str">
        <x:v>DEPENDS ON / MUST REMAIN CONSISTENT WITH</x:v>
      </x:c>
      <x:c r="G260" s="26" t="str">
        <x:v>MANDATORY</x:v>
      </x:c>
      <x:c r="H260" s="26" t="str">
        <x:v>Update source when target changes materially; record impact in 13.</x:v>
      </x:c>
      <x:c r="I260" s="26" t="str">
        <x:v>ACTIVE</x:v>
      </x:c>
    </x:row>
    <x:row r="261" ht="30" customHeight="1">
      <x:c r="A261" s="26" t="str">
        <x:v>REL-0257</x:v>
      </x:c>
      <x:c r="B261" s="26" t="str">
        <x:v>29</x:v>
      </x:c>
      <x:c r="C261" s="26" t="str">
        <x:v>29_Accessibility_and_Inclusive_Design_Plan.md</x:v>
      </x:c>
      <x:c r="D261" s="26" t="str">
        <x:v>03</x:v>
      </x:c>
      <x:c r="E261" s="26" t="str">
        <x:v>03_Technical_Design_Document.md</x:v>
      </x:c>
      <x:c r="F261" s="26" t="str">
        <x:v>DEPENDS ON / MUST REMAIN CONSISTENT WITH</x:v>
      </x:c>
      <x:c r="G261" s="26" t="str">
        <x:v>MANDATORY</x:v>
      </x:c>
      <x:c r="H261" s="26" t="str">
        <x:v>Update source when target changes materially; record impact in 13.</x:v>
      </x:c>
      <x:c r="I261" s="26" t="str">
        <x:v>ACTIVE</x:v>
      </x:c>
    </x:row>
    <x:row r="262" ht="30" customHeight="1">
      <x:c r="A262" s="26" t="str">
        <x:v>REL-0258</x:v>
      </x:c>
      <x:c r="B262" s="26" t="str">
        <x:v>29</x:v>
      </x:c>
      <x:c r="C262" s="26" t="str">
        <x:v>29_Accessibility_and_Inclusive_Design_Plan.md</x:v>
      </x:c>
      <x:c r="D262" s="26" t="str">
        <x:v>04</x:v>
      </x:c>
      <x:c r="E262" s="26" t="str">
        <x:v>04_Modelo_de_Datos.md</x:v>
      </x:c>
      <x:c r="F262" s="26" t="str">
        <x:v>DEPENDS ON / MUST REMAIN CONSISTENT WITH</x:v>
      </x:c>
      <x:c r="G262" s="26" t="str">
        <x:v>MANDATORY</x:v>
      </x:c>
      <x:c r="H262" s="26" t="str">
        <x:v>Update source when target changes materially; record impact in 13.</x:v>
      </x:c>
      <x:c r="I262" s="26" t="str">
        <x:v>ACTIVE</x:v>
      </x:c>
    </x:row>
    <x:row r="263" ht="30" customHeight="1">
      <x:c r="A263" s="26" t="str">
        <x:v>REL-0259</x:v>
      </x:c>
      <x:c r="B263" s="26" t="str">
        <x:v>29</x:v>
      </x:c>
      <x:c r="C263" s="26" t="str">
        <x:v>29_Accessibility_and_Inclusive_Design_Plan.md</x:v>
      </x:c>
      <x:c r="D263" s="26" t="str">
        <x:v>05</x:v>
      </x:c>
      <x:c r="E263" s="26" t="str">
        <x:v>05_UX_Flow.md</x:v>
      </x:c>
      <x:c r="F263" s="26" t="str">
        <x:v>DEPENDS ON / MUST REMAIN CONSISTENT WITH</x:v>
      </x:c>
      <x:c r="G263" s="26" t="str">
        <x:v>MANDATORY</x:v>
      </x:c>
      <x:c r="H263" s="26" t="str">
        <x:v>Update source when target changes materially; record impact in 13.</x:v>
      </x:c>
      <x:c r="I263" s="26" t="str">
        <x:v>ACTIVE</x:v>
      </x:c>
    </x:row>
    <x:row r="264" ht="30" customHeight="1">
      <x:c r="A264" s="26" t="str">
        <x:v>REL-0260</x:v>
      </x:c>
      <x:c r="B264" s="26" t="str">
        <x:v>29</x:v>
      </x:c>
      <x:c r="C264" s="26" t="str">
        <x:v>29_Accessibility_and_Inclusive_Design_Plan.md</x:v>
      </x:c>
      <x:c r="D264" s="26" t="str">
        <x:v>07</x:v>
      </x:c>
      <x:c r="E264" s="26" t="str">
        <x:v>07_QA_Testing_Plan.md</x:v>
      </x:c>
      <x:c r="F264" s="26" t="str">
        <x:v>DEPENDS ON / MUST REMAIN CONSISTENT WITH</x:v>
      </x:c>
      <x:c r="G264" s="26" t="str">
        <x:v>MANDATORY</x:v>
      </x:c>
      <x:c r="H264" s="26" t="str">
        <x:v>Update source when target changes materially; record impact in 13.</x:v>
      </x:c>
      <x:c r="I264" s="26" t="str">
        <x:v>ACTIVE</x:v>
      </x:c>
    </x:row>
    <x:row r="265" ht="30" customHeight="1">
      <x:c r="A265" s="26" t="str">
        <x:v>REL-0261</x:v>
      </x:c>
      <x:c r="B265" s="26" t="str">
        <x:v>29</x:v>
      </x:c>
      <x:c r="C265" s="26" t="str">
        <x:v>29_Accessibility_and_Inclusive_Design_Plan.md</x:v>
      </x:c>
      <x:c r="D265" s="26" t="str">
        <x:v>08</x:v>
      </x:c>
      <x:c r="E265" s="26" t="str">
        <x:v>08_QA_Testing_Matrix.xlsx</x:v>
      </x:c>
      <x:c r="F265" s="26" t="str">
        <x:v>DEPENDS ON / MUST REMAIN CONSISTENT WITH</x:v>
      </x:c>
      <x:c r="G265" s="26" t="str">
        <x:v>MANDATORY</x:v>
      </x:c>
      <x:c r="H265" s="26" t="str">
        <x:v>Update source when target changes materially; record impact in 13.</x:v>
      </x:c>
      <x:c r="I265" s="26" t="str">
        <x:v>ACTIVE</x:v>
      </x:c>
    </x:row>
    <x:row r="266" ht="30" customHeight="1">
      <x:c r="A266" s="26" t="str">
        <x:v>REL-0262</x:v>
      </x:c>
      <x:c r="B266" s="26" t="str">
        <x:v>29</x:v>
      </x:c>
      <x:c r="C266" s="26" t="str">
        <x:v>29_Accessibility_and_Inclusive_Design_Plan.md</x:v>
      </x:c>
      <x:c r="D266" s="26" t="str">
        <x:v>17</x:v>
      </x:c>
      <x:c r="E266" s="26" t="str">
        <x:v>17_Art_Bible.md</x:v>
      </x:c>
      <x:c r="F266" s="26" t="str">
        <x:v>DEPENDS ON / MUST REMAIN CONSISTENT WITH</x:v>
      </x:c>
      <x:c r="G266" s="26" t="str">
        <x:v>MANDATORY</x:v>
      </x:c>
      <x:c r="H266" s="26" t="str">
        <x:v>Update source when target changes materially; record impact in 13.</x:v>
      </x:c>
      <x:c r="I266" s="26" t="str">
        <x:v>ACTIVE</x:v>
      </x:c>
    </x:row>
    <x:row r="267" ht="30" customHeight="1">
      <x:c r="A267" s="26" t="str">
        <x:v>REL-0263</x:v>
      </x:c>
      <x:c r="B267" s="26" t="str">
        <x:v>29</x:v>
      </x:c>
      <x:c r="C267" s="26" t="str">
        <x:v>29_Accessibility_and_Inclusive_Design_Plan.md</x:v>
      </x:c>
      <x:c r="D267" s="26" t="str">
        <x:v>18</x:v>
      </x:c>
      <x:c r="E267" s="26" t="str">
        <x:v>18_Audio_Bible.md</x:v>
      </x:c>
      <x:c r="F267" s="26" t="str">
        <x:v>DEPENDS ON / MUST REMAIN CONSISTENT WITH</x:v>
      </x:c>
      <x:c r="G267" s="26" t="str">
        <x:v>MANDATORY</x:v>
      </x:c>
      <x:c r="H267" s="26" t="str">
        <x:v>Update source when target changes materially; record impact in 13.</x:v>
      </x:c>
      <x:c r="I267" s="26" t="str">
        <x:v>ACTIVE</x:v>
      </x:c>
    </x:row>
    <x:row r="268" ht="30" customHeight="1">
      <x:c r="A268" s="26" t="str">
        <x:v>REL-0264</x:v>
      </x:c>
      <x:c r="B268" s="26" t="str">
        <x:v>29</x:v>
      </x:c>
      <x:c r="C268" s="26" t="str">
        <x:v>29_Accessibility_and_Inclusive_Design_Plan.md</x:v>
      </x:c>
      <x:c r="D268" s="26" t="str">
        <x:v>19</x:v>
      </x:c>
      <x:c r="E268" s="26" t="str">
        <x:v>19_UI_Style_Guide.md</x:v>
      </x:c>
      <x:c r="F268" s="26" t="str">
        <x:v>DEPENDS ON / MUST REMAIN CONSISTENT WITH</x:v>
      </x:c>
      <x:c r="G268" s="26" t="str">
        <x:v>MANDATORY</x:v>
      </x:c>
      <x:c r="H268" s="26" t="str">
        <x:v>Update source when target changes materially; record impact in 13.</x:v>
      </x:c>
      <x:c r="I268" s="26" t="str">
        <x:v>ACTIVE</x:v>
      </x:c>
    </x:row>
    <x:row r="269" ht="30" customHeight="1">
      <x:c r="A269" s="26" t="str">
        <x:v>REL-0265</x:v>
      </x:c>
      <x:c r="B269" s="26" t="str">
        <x:v>29</x:v>
      </x:c>
      <x:c r="C269" s="26" t="str">
        <x:v>29_Accessibility_and_Inclusive_Design_Plan.md</x:v>
      </x:c>
      <x:c r="D269" s="26" t="str">
        <x:v>22</x:v>
      </x:c>
      <x:c r="E269" s="26" t="str">
        <x:v>22_Localization_Plan.md</x:v>
      </x:c>
      <x:c r="F269" s="26" t="str">
        <x:v>DEPENDS ON / MUST REMAIN CONSISTENT WITH</x:v>
      </x:c>
      <x:c r="G269" s="26" t="str">
        <x:v>MANDATORY</x:v>
      </x:c>
      <x:c r="H269" s="26" t="str">
        <x:v>Update source when target changes materially; record impact in 13.</x:v>
      </x:c>
      <x:c r="I269" s="26" t="str">
        <x:v>ACTIVE</x:v>
      </x:c>
    </x:row>
    <x:row r="270" ht="30" customHeight="1">
      <x:c r="A270" s="26" t="str">
        <x:v>REL-0266</x:v>
      </x:c>
      <x:c r="B270" s="26" t="str">
        <x:v>29</x:v>
      </x:c>
      <x:c r="C270" s="26" t="str">
        <x:v>29_Accessibility_and_Inclusive_Design_Plan.md</x:v>
      </x:c>
      <x:c r="D270" s="26" t="str">
        <x:v>24</x:v>
      </x:c>
      <x:c r="E270" s="26" t="str">
        <x:v>24_Steam_Publishing_Plan.md</x:v>
      </x:c>
      <x:c r="F270" s="26" t="str">
        <x:v>DEPENDS ON / MUST REMAIN CONSISTENT WITH</x:v>
      </x:c>
      <x:c r="G270" s="26" t="str">
        <x:v>MANDATORY</x:v>
      </x:c>
      <x:c r="H270" s="26" t="str">
        <x:v>Update source when target changes materially; record impact in 13.</x:v>
      </x:c>
      <x:c r="I270" s="26" t="str">
        <x:v>ACTIVE</x:v>
      </x:c>
    </x:row>
    <x:row r="271" ht="30" customHeight="1">
      <x:c r="A271" s="26" t="str">
        <x:v>REL-0267</x:v>
      </x:c>
      <x:c r="B271" s="26" t="str">
        <x:v>29</x:v>
      </x:c>
      <x:c r="C271" s="26" t="str">
        <x:v>29_Accessibility_and_Inclusive_Design_Plan.md</x:v>
      </x:c>
      <x:c r="D271" s="26" t="str">
        <x:v>26</x:v>
      </x:c>
      <x:c r="E271" s="26" t="str">
        <x:v>26_Privacy_Data_and_Telemetry_Plan.md</x:v>
      </x:c>
      <x:c r="F271" s="26" t="str">
        <x:v>DEPENDS ON / MUST REMAIN CONSISTENT WITH</x:v>
      </x:c>
      <x:c r="G271" s="26" t="str">
        <x:v>MANDATORY</x:v>
      </x:c>
      <x:c r="H271" s="26" t="str">
        <x:v>Update source when target changes materially; record impact in 13.</x:v>
      </x:c>
      <x:c r="I271" s="26" t="str">
        <x:v>ACTIVE</x:v>
      </x:c>
    </x:row>
    <x:row r="272" ht="30" customHeight="1">
      <x:c r="A272" s="26" t="str">
        <x:v>REL-0268</x:v>
      </x:c>
      <x:c r="B272" s="26" t="str">
        <x:v>29</x:v>
      </x:c>
      <x:c r="C272" s="26" t="str">
        <x:v>29_Accessibility_and_Inclusive_Design_Plan.md</x:v>
      </x:c>
      <x:c r="D272" s="26" t="str">
        <x:v>28</x:v>
      </x:c>
      <x:c r="E272" s="26" t="str">
        <x:v>28_Marketing_and_Communication_Plan.md</x:v>
      </x:c>
      <x:c r="F272" s="26" t="str">
        <x:v>DEPENDS ON / MUST REMAIN CONSISTENT WITH</x:v>
      </x:c>
      <x:c r="G272" s="26" t="str">
        <x:v>MANDATORY</x:v>
      </x:c>
      <x:c r="H272" s="26" t="str">
        <x:v>Update source when target changes materially; record impact in 13.</x:v>
      </x:c>
      <x:c r="I272" s="26" t="str">
        <x:v>ACTIVE</x:v>
      </x:c>
    </x:row>
    <x:row r="273" ht="30" customHeight="1">
      <x:c r="A273" s="26" t="str">
        <x:v>REL-0269</x:v>
      </x:c>
      <x:c r="B273" s="26" t="str">
        <x:v>29</x:v>
      </x:c>
      <x:c r="C273" s="26" t="str">
        <x:v>29_Accessibility_and_Inclusive_Design_Plan.md</x:v>
      </x:c>
      <x:c r="D273" s="26" t="str">
        <x:v>30</x:v>
      </x:c>
      <x:c r="E273" s="26" t="str">
        <x:v>30_Performance_and_Optimization_Plan.md</x:v>
      </x:c>
      <x:c r="F273" s="26" t="str">
        <x:v>DEPENDS ON / MUST REMAIN CONSISTENT WITH</x:v>
      </x:c>
      <x:c r="G273" s="26" t="str">
        <x:v>MANDATORY</x:v>
      </x:c>
      <x:c r="H273" s="26" t="str">
        <x:v>Update source when target changes materially; record impact in 13.</x:v>
      </x:c>
      <x:c r="I273" s="26" t="str">
        <x:v>ACTIVE</x:v>
      </x:c>
    </x:row>
    <x:row r="274" ht="30" customHeight="1">
      <x:c r="A274" s="26" t="str">
        <x:v>REL-0270</x:v>
      </x:c>
      <x:c r="B274" s="26" t="str">
        <x:v>29</x:v>
      </x:c>
      <x:c r="C274" s="26" t="str">
        <x:v>29_Accessibility_and_Inclusive_Design_Plan.md</x:v>
      </x:c>
      <x:c r="D274" s="26" t="str">
        <x:v>31</x:v>
      </x:c>
      <x:c r="E274" s="26" t="str">
        <x:v>31_H6_and_Release_Readiness_Checklist.xlsx</x:v>
      </x:c>
      <x:c r="F274" s="26" t="str">
        <x:v>DEPENDS ON / MUST REMAIN CONSISTENT WITH</x:v>
      </x:c>
      <x:c r="G274" s="26" t="str">
        <x:v>MANDATORY</x:v>
      </x:c>
      <x:c r="H274" s="26" t="str">
        <x:v>Update source when target changes materially; record impact in 13.</x:v>
      </x:c>
      <x:c r="I274" s="26" t="str">
        <x:v>PENDING FINAL REVALIDATION</x:v>
      </x:c>
    </x:row>
    <x:row r="275" ht="30" customHeight="1">
      <x:c r="A275" s="26" t="str">
        <x:v>REL-0271</x:v>
      </x:c>
      <x:c r="B275" s="26" t="str">
        <x:v>30</x:v>
      </x:c>
      <x:c r="C275" s="26" t="str">
        <x:v>30_Performance_and_Optimization_Plan.md</x:v>
      </x:c>
      <x:c r="D275" s="26" t="str">
        <x:v>00</x:v>
      </x:c>
      <x:c r="E275" s="26" t="str">
        <x:v>00_Enfoque_y_Alcance.md</x:v>
      </x:c>
      <x:c r="F275" s="26" t="str">
        <x:v>DEPENDS ON / MUST REMAIN CONSISTENT WITH</x:v>
      </x:c>
      <x:c r="G275" s="26" t="str">
        <x:v>MANDATORY</x:v>
      </x:c>
      <x:c r="H275" s="26" t="str">
        <x:v>Update source when target changes materially; record impact in 13.</x:v>
      </x:c>
      <x:c r="I275" s="26" t="str">
        <x:v>ACTIVE</x:v>
      </x:c>
    </x:row>
    <x:row r="276" ht="30" customHeight="1">
      <x:c r="A276" s="26" t="str">
        <x:v>REL-0272</x:v>
      </x:c>
      <x:c r="B276" s="26" t="str">
        <x:v>30</x:v>
      </x:c>
      <x:c r="C276" s="26" t="str">
        <x:v>30_Performance_and_Optimization_Plan.md</x:v>
      </x:c>
      <x:c r="D276" s="26" t="str">
        <x:v>02</x:v>
      </x:c>
      <x:c r="E276" s="26" t="str">
        <x:v>02_Vertical_Slice_Specification.md</x:v>
      </x:c>
      <x:c r="F276" s="26" t="str">
        <x:v>DEPENDS ON / MUST REMAIN CONSISTENT WITH</x:v>
      </x:c>
      <x:c r="G276" s="26" t="str">
        <x:v>MANDATORY</x:v>
      </x:c>
      <x:c r="H276" s="26" t="str">
        <x:v>Update source when target changes materially; record impact in 13.</x:v>
      </x:c>
      <x:c r="I276" s="26" t="str">
        <x:v>ACTIVE</x:v>
      </x:c>
    </x:row>
    <x:row r="277" ht="30" customHeight="1">
      <x:c r="A277" s="26" t="str">
        <x:v>REL-0273</x:v>
      </x:c>
      <x:c r="B277" s="26" t="str">
        <x:v>30</x:v>
      </x:c>
      <x:c r="C277" s="26" t="str">
        <x:v>30_Performance_and_Optimization_Plan.md</x:v>
      </x:c>
      <x:c r="D277" s="26" t="str">
        <x:v>03</x:v>
      </x:c>
      <x:c r="E277" s="26" t="str">
        <x:v>03_Technical_Design_Document.md</x:v>
      </x:c>
      <x:c r="F277" s="26" t="str">
        <x:v>DEPENDS ON / MUST REMAIN CONSISTENT WITH</x:v>
      </x:c>
      <x:c r="G277" s="26" t="str">
        <x:v>MANDATORY</x:v>
      </x:c>
      <x:c r="H277" s="26" t="str">
        <x:v>Update source when target changes materially; record impact in 13.</x:v>
      </x:c>
      <x:c r="I277" s="26" t="str">
        <x:v>ACTIVE</x:v>
      </x:c>
    </x:row>
    <x:row r="278" ht="30" customHeight="1">
      <x:c r="A278" s="26" t="str">
        <x:v>REL-0274</x:v>
      </x:c>
      <x:c r="B278" s="26" t="str">
        <x:v>30</x:v>
      </x:c>
      <x:c r="C278" s="26" t="str">
        <x:v>30_Performance_and_Optimization_Plan.md</x:v>
      </x:c>
      <x:c r="D278" s="26" t="str">
        <x:v>06</x:v>
      </x:c>
      <x:c r="E278" s="26" t="str">
        <x:v>06_Production_Roadmap_y_Sprint_Plan.md</x:v>
      </x:c>
      <x:c r="F278" s="26" t="str">
        <x:v>DEPENDS ON / MUST REMAIN CONSISTENT WITH</x:v>
      </x:c>
      <x:c r="G278" s="26" t="str">
        <x:v>MANDATORY</x:v>
      </x:c>
      <x:c r="H278" s="26" t="str">
        <x:v>Update source when target changes materially; record impact in 13.</x:v>
      </x:c>
      <x:c r="I278" s="26" t="str">
        <x:v>ACTIVE</x:v>
      </x:c>
    </x:row>
    <x:row r="279" ht="30" customHeight="1">
      <x:c r="A279" s="26" t="str">
        <x:v>REL-0275</x:v>
      </x:c>
      <x:c r="B279" s="26" t="str">
        <x:v>30</x:v>
      </x:c>
      <x:c r="C279" s="26" t="str">
        <x:v>30_Performance_and_Optimization_Plan.md</x:v>
      </x:c>
      <x:c r="D279" s="26" t="str">
        <x:v>07</x:v>
      </x:c>
      <x:c r="E279" s="26" t="str">
        <x:v>07_QA_Testing_Plan.md</x:v>
      </x:c>
      <x:c r="F279" s="26" t="str">
        <x:v>DEPENDS ON / MUST REMAIN CONSISTENT WITH</x:v>
      </x:c>
      <x:c r="G279" s="26" t="str">
        <x:v>MANDATORY</x:v>
      </x:c>
      <x:c r="H279" s="26" t="str">
        <x:v>Update source when target changes materially; record impact in 13.</x:v>
      </x:c>
      <x:c r="I279" s="26" t="str">
        <x:v>ACTIVE</x:v>
      </x:c>
    </x:row>
    <x:row r="280" ht="30" customHeight="1">
      <x:c r="A280" s="26" t="str">
        <x:v>REL-0276</x:v>
      </x:c>
      <x:c r="B280" s="26" t="str">
        <x:v>30</x:v>
      </x:c>
      <x:c r="C280" s="26" t="str">
        <x:v>30_Performance_and_Optimization_Plan.md</x:v>
      </x:c>
      <x:c r="D280" s="26" t="str">
        <x:v>08</x:v>
      </x:c>
      <x:c r="E280" s="26" t="str">
        <x:v>08_QA_Testing_Matrix.xlsx</x:v>
      </x:c>
      <x:c r="F280" s="26" t="str">
        <x:v>DEPENDS ON / MUST REMAIN CONSISTENT WITH</x:v>
      </x:c>
      <x:c r="G280" s="26" t="str">
        <x:v>MANDATORY</x:v>
      </x:c>
      <x:c r="H280" s="26" t="str">
        <x:v>Update source when target changes materially; record impact in 13.</x:v>
      </x:c>
      <x:c r="I280" s="26" t="str">
        <x:v>ACTIVE</x:v>
      </x:c>
    </x:row>
    <x:row r="281" ht="30" customHeight="1">
      <x:c r="A281" s="26" t="str">
        <x:v>REL-0277</x:v>
      </x:c>
      <x:c r="B281" s="26" t="str">
        <x:v>30</x:v>
      </x:c>
      <x:c r="C281" s="26" t="str">
        <x:v>30_Performance_and_Optimization_Plan.md</x:v>
      </x:c>
      <x:c r="D281" s="26" t="str">
        <x:v>10</x:v>
      </x:c>
      <x:c r="E281" s="26" t="str">
        <x:v>10_Unity_Project_Setup_Guide.md</x:v>
      </x:c>
      <x:c r="F281" s="26" t="str">
        <x:v>DEPENDS ON / MUST REMAIN CONSISTENT WITH</x:v>
      </x:c>
      <x:c r="G281" s="26" t="str">
        <x:v>MANDATORY</x:v>
      </x:c>
      <x:c r="H281" s="26" t="str">
        <x:v>Update source when target changes materially; record impact in 13.</x:v>
      </x:c>
      <x:c r="I281" s="26" t="str">
        <x:v>ACTIVE</x:v>
      </x:c>
    </x:row>
    <x:row r="282" ht="30" customHeight="1">
      <x:c r="A282" s="26" t="str">
        <x:v>REL-0278</x:v>
      </x:c>
      <x:c r="B282" s="26" t="str">
        <x:v>30</x:v>
      </x:c>
      <x:c r="C282" s="26" t="str">
        <x:v>30_Performance_and_Optimization_Plan.md</x:v>
      </x:c>
      <x:c r="D282" s="26" t="str">
        <x:v>11</x:v>
      </x:c>
      <x:c r="E282" s="26" t="str">
        <x:v>11_Build_y_Versioning_Guide.md</x:v>
      </x:c>
      <x:c r="F282" s="26" t="str">
        <x:v>DEPENDS ON / MUST REMAIN CONSISTENT WITH</x:v>
      </x:c>
      <x:c r="G282" s="26" t="str">
        <x:v>MANDATORY</x:v>
      </x:c>
      <x:c r="H282" s="26" t="str">
        <x:v>Update source when target changes materially; record impact in 13.</x:v>
      </x:c>
      <x:c r="I282" s="26" t="str">
        <x:v>ACTIVE</x:v>
      </x:c>
    </x:row>
    <x:row r="283" ht="30" customHeight="1">
      <x:c r="A283" s="26" t="str">
        <x:v>REL-0279</x:v>
      </x:c>
      <x:c r="B283" s="26" t="str">
        <x:v>30</x:v>
      </x:c>
      <x:c r="C283" s="26" t="str">
        <x:v>30_Performance_and_Optimization_Plan.md</x:v>
      </x:c>
      <x:c r="D283" s="26" t="str">
        <x:v>17</x:v>
      </x:c>
      <x:c r="E283" s="26" t="str">
        <x:v>17_Art_Bible.md</x:v>
      </x:c>
      <x:c r="F283" s="26" t="str">
        <x:v>DEPENDS ON / MUST REMAIN CONSISTENT WITH</x:v>
      </x:c>
      <x:c r="G283" s="26" t="str">
        <x:v>MANDATORY</x:v>
      </x:c>
      <x:c r="H283" s="26" t="str">
        <x:v>Update source when target changes materially; record impact in 13.</x:v>
      </x:c>
      <x:c r="I283" s="26" t="str">
        <x:v>ACTIVE</x:v>
      </x:c>
    </x:row>
    <x:row r="284" ht="30" customHeight="1">
      <x:c r="A284" s="26" t="str">
        <x:v>REL-0280</x:v>
      </x:c>
      <x:c r="B284" s="26" t="str">
        <x:v>30</x:v>
      </x:c>
      <x:c r="C284" s="26" t="str">
        <x:v>30_Performance_and_Optimization_Plan.md</x:v>
      </x:c>
      <x:c r="D284" s="26" t="str">
        <x:v>18</x:v>
      </x:c>
      <x:c r="E284" s="26" t="str">
        <x:v>18_Audio_Bible.md</x:v>
      </x:c>
      <x:c r="F284" s="26" t="str">
        <x:v>DEPENDS ON / MUST REMAIN CONSISTENT WITH</x:v>
      </x:c>
      <x:c r="G284" s="26" t="str">
        <x:v>MANDATORY</x:v>
      </x:c>
      <x:c r="H284" s="26" t="str">
        <x:v>Update source when target changes materially; record impact in 13.</x:v>
      </x:c>
      <x:c r="I284" s="26" t="str">
        <x:v>ACTIVE</x:v>
      </x:c>
    </x:row>
    <x:row r="285" ht="30" customHeight="1">
      <x:c r="A285" s="26" t="str">
        <x:v>REL-0281</x:v>
      </x:c>
      <x:c r="B285" s="26" t="str">
        <x:v>30</x:v>
      </x:c>
      <x:c r="C285" s="26" t="str">
        <x:v>30_Performance_and_Optimization_Plan.md</x:v>
      </x:c>
      <x:c r="D285" s="26" t="str">
        <x:v>19</x:v>
      </x:c>
      <x:c r="E285" s="26" t="str">
        <x:v>19_UI_Style_Guide.md</x:v>
      </x:c>
      <x:c r="F285" s="26" t="str">
        <x:v>DEPENDS ON / MUST REMAIN CONSISTENT WITH</x:v>
      </x:c>
      <x:c r="G285" s="26" t="str">
        <x:v>MANDATORY</x:v>
      </x:c>
      <x:c r="H285" s="26" t="str">
        <x:v>Update source when target changes materially; record impact in 13.</x:v>
      </x:c>
      <x:c r="I285" s="26" t="str">
        <x:v>ACTIVE</x:v>
      </x:c>
    </x:row>
    <x:row r="286" ht="30" customHeight="1">
      <x:c r="A286" s="26" t="str">
        <x:v>REL-0282</x:v>
      </x:c>
      <x:c r="B286" s="26" t="str">
        <x:v>30</x:v>
      </x:c>
      <x:c r="C286" s="26" t="str">
        <x:v>30_Performance_and_Optimization_Plan.md</x:v>
      </x:c>
      <x:c r="D286" s="26" t="str">
        <x:v>20</x:v>
      </x:c>
      <x:c r="E286" s="26" t="str">
        <x:v>20_Economy_and_Balance_Specification.md</x:v>
      </x:c>
      <x:c r="F286" s="26" t="str">
        <x:v>DEPENDS ON / MUST REMAIN CONSISTENT WITH</x:v>
      </x:c>
      <x:c r="G286" s="26" t="str">
        <x:v>MANDATORY</x:v>
      </x:c>
      <x:c r="H286" s="26" t="str">
        <x:v>Update source when target changes materially; record impact in 13.</x:v>
      </x:c>
      <x:c r="I286" s="26" t="str">
        <x:v>ACTIVE</x:v>
      </x:c>
    </x:row>
    <x:row r="287" ht="30" customHeight="1">
      <x:c r="A287" s="26" t="str">
        <x:v>REL-0283</x:v>
      </x:c>
      <x:c r="B287" s="26" t="str">
        <x:v>30</x:v>
      </x:c>
      <x:c r="C287" s="26" t="str">
        <x:v>30_Performance_and_Optimization_Plan.md</x:v>
      </x:c>
      <x:c r="D287" s="26" t="str">
        <x:v>21</x:v>
      </x:c>
      <x:c r="E287" s="26" t="str">
        <x:v>21_Initial_Content_Catalog.xlsx</x:v>
      </x:c>
      <x:c r="F287" s="26" t="str">
        <x:v>DEPENDS ON / MUST REMAIN CONSISTENT WITH</x:v>
      </x:c>
      <x:c r="G287" s="26" t="str">
        <x:v>MANDATORY</x:v>
      </x:c>
      <x:c r="H287" s="26" t="str">
        <x:v>Update source when target changes materially; record impact in 13.</x:v>
      </x:c>
      <x:c r="I287" s="26" t="str">
        <x:v>ACTIVE</x:v>
      </x:c>
    </x:row>
    <x:row r="288" ht="30" customHeight="1">
      <x:c r="A288" s="26" t="str">
        <x:v>REL-0284</x:v>
      </x:c>
      <x:c r="B288" s="26" t="str">
        <x:v>30</x:v>
      </x:c>
      <x:c r="C288" s="26" t="str">
        <x:v>30_Performance_and_Optimization_Plan.md</x:v>
      </x:c>
      <x:c r="D288" s="26" t="str">
        <x:v>24</x:v>
      </x:c>
      <x:c r="E288" s="26" t="str">
        <x:v>24_Steam_Publishing_Plan.md</x:v>
      </x:c>
      <x:c r="F288" s="26" t="str">
        <x:v>DEPENDS ON / MUST REMAIN CONSISTENT WITH</x:v>
      </x:c>
      <x:c r="G288" s="26" t="str">
        <x:v>MANDATORY</x:v>
      </x:c>
      <x:c r="H288" s="26" t="str">
        <x:v>Update source when target changes materially; record impact in 13.</x:v>
      </x:c>
      <x:c r="I288" s="26" t="str">
        <x:v>ACTIVE</x:v>
      </x:c>
    </x:row>
    <x:row r="289" ht="30" customHeight="1">
      <x:c r="A289" s="26" t="str">
        <x:v>REL-0285</x:v>
      </x:c>
      <x:c r="B289" s="26" t="str">
        <x:v>30</x:v>
      </x:c>
      <x:c r="C289" s="26" t="str">
        <x:v>30_Performance_and_Optimization_Plan.md</x:v>
      </x:c>
      <x:c r="D289" s="26" t="str">
        <x:v>25</x:v>
      </x:c>
      <x:c r="E289" s="26" t="str">
        <x:v>25_Post_Launch_and_Live_Operations_Plan.md</x:v>
      </x:c>
      <x:c r="F289" s="26" t="str">
        <x:v>DEPENDS ON / MUST REMAIN CONSISTENT WITH</x:v>
      </x:c>
      <x:c r="G289" s="26" t="str">
        <x:v>MANDATORY</x:v>
      </x:c>
      <x:c r="H289" s="26" t="str">
        <x:v>Update source when target changes materially; record impact in 13.</x:v>
      </x:c>
      <x:c r="I289" s="26" t="str">
        <x:v>ACTIVE</x:v>
      </x:c>
    </x:row>
    <x:row r="290" ht="30" customHeight="1">
      <x:c r="A290" s="26" t="str">
        <x:v>REL-0286</x:v>
      </x:c>
      <x:c r="B290" s="26" t="str">
        <x:v>30</x:v>
      </x:c>
      <x:c r="C290" s="26" t="str">
        <x:v>30_Performance_and_Optimization_Plan.md</x:v>
      </x:c>
      <x:c r="D290" s="26" t="str">
        <x:v>29</x:v>
      </x:c>
      <x:c r="E290" s="26" t="str">
        <x:v>29_Accessibility_and_Inclusive_Design_Plan.md</x:v>
      </x:c>
      <x:c r="F290" s="26" t="str">
        <x:v>DEPENDS ON / MUST REMAIN CONSISTENT WITH</x:v>
      </x:c>
      <x:c r="G290" s="26" t="str">
        <x:v>MANDATORY</x:v>
      </x:c>
      <x:c r="H290" s="26" t="str">
        <x:v>Update source when target changes materially; record impact in 13.</x:v>
      </x:c>
      <x:c r="I290" s="26" t="str">
        <x:v>ACTIVE</x:v>
      </x:c>
    </x:row>
    <x:row r="291" ht="30" customHeight="1">
      <x:c r="A291" s="26" t="str">
        <x:v>REL-0287</x:v>
      </x:c>
      <x:c r="B291" s="26" t="str">
        <x:v>30</x:v>
      </x:c>
      <x:c r="C291" s="26" t="str">
        <x:v>30_Performance_and_Optimization_Plan.md</x:v>
      </x:c>
      <x:c r="D291" s="26" t="str">
        <x:v>31</x:v>
      </x:c>
      <x:c r="E291" s="26" t="str">
        <x:v>31_H6_and_Release_Readiness_Checklist.xlsx</x:v>
      </x:c>
      <x:c r="F291" s="26" t="str">
        <x:v>DEPENDS ON / MUST REMAIN CONSISTENT WITH</x:v>
      </x:c>
      <x:c r="G291" s="26" t="str">
        <x:v>MANDATORY</x:v>
      </x:c>
      <x:c r="H291" s="26" t="str">
        <x:v>Update source when target changes materially; record impact in 13.</x:v>
      </x:c>
      <x:c r="I291" s="26" t="str">
        <x:v>PENDING FINAL REVALIDATION</x:v>
      </x:c>
    </x:row>
    <x:row r="292" ht="30" customHeight="1">
      <x:c r="A292" s="26" t="str">
        <x:v>REL-0288</x:v>
      </x:c>
      <x:c r="B292" s="26" t="str">
        <x:v>31</x:v>
      </x:c>
      <x:c r="C292" s="26" t="str">
        <x:v>31_H6_and_Release_Readiness_Checklist.xlsx</x:v>
      </x:c>
      <x:c r="D292" s="26" t="str">
        <x:v>02</x:v>
      </x:c>
      <x:c r="E292" s="26" t="str">
        <x:v>02_Vertical_Slice_Specification.md</x:v>
      </x:c>
      <x:c r="F292" s="26" t="str">
        <x:v>DEPENDS ON / MUST REMAIN CONSISTENT WITH</x:v>
      </x:c>
      <x:c r="G292" s="26" t="str">
        <x:v>MANDATORY</x:v>
      </x:c>
      <x:c r="H292" s="26" t="str">
        <x:v>Update source when target changes materially; record impact in 13.</x:v>
      </x:c>
      <x:c r="I292" s="26" t="str">
        <x:v>PENDING FINAL REVALIDATION</x:v>
      </x:c>
    </x:row>
    <x:row r="293" ht="30" customHeight="1">
      <x:c r="A293" s="26" t="str">
        <x:v>REL-0289</x:v>
      </x:c>
      <x:c r="B293" s="26" t="str">
        <x:v>31</x:v>
      </x:c>
      <x:c r="C293" s="26" t="str">
        <x:v>31_H6_and_Release_Readiness_Checklist.xlsx</x:v>
      </x:c>
      <x:c r="D293" s="26" t="str">
        <x:v>06</x:v>
      </x:c>
      <x:c r="E293" s="26" t="str">
        <x:v>06_Production_Roadmap_y_Sprint_Plan.md</x:v>
      </x:c>
      <x:c r="F293" s="26" t="str">
        <x:v>DEPENDS ON / MUST REMAIN CONSISTENT WITH</x:v>
      </x:c>
      <x:c r="G293" s="26" t="str">
        <x:v>MANDATORY</x:v>
      </x:c>
      <x:c r="H293" s="26" t="str">
        <x:v>Update source when target changes materially; record impact in 13.</x:v>
      </x:c>
      <x:c r="I293" s="26" t="str">
        <x:v>PENDING FINAL REVALIDATION</x:v>
      </x:c>
    </x:row>
    <x:row r="294" ht="30" customHeight="1">
      <x:c r="A294" s="26" t="str">
        <x:v>REL-0290</x:v>
      </x:c>
      <x:c r="B294" s="26" t="str">
        <x:v>31</x:v>
      </x:c>
      <x:c r="C294" s="26" t="str">
        <x:v>31_H6_and_Release_Readiness_Checklist.xlsx</x:v>
      </x:c>
      <x:c r="D294" s="26" t="str">
        <x:v>07</x:v>
      </x:c>
      <x:c r="E294" s="26" t="str">
        <x:v>07_QA_Testing_Plan.md</x:v>
      </x:c>
      <x:c r="F294" s="26" t="str">
        <x:v>DEPENDS ON / MUST REMAIN CONSISTENT WITH</x:v>
      </x:c>
      <x:c r="G294" s="26" t="str">
        <x:v>MANDATORY</x:v>
      </x:c>
      <x:c r="H294" s="26" t="str">
        <x:v>Update source when target changes materially; record impact in 13.</x:v>
      </x:c>
      <x:c r="I294" s="26" t="str">
        <x:v>PENDING FINAL REVALIDATION</x:v>
      </x:c>
    </x:row>
    <x:row r="295" ht="30" customHeight="1">
      <x:c r="A295" s="26" t="str">
        <x:v>REL-0291</x:v>
      </x:c>
      <x:c r="B295" s="26" t="str">
        <x:v>31</x:v>
      </x:c>
      <x:c r="C295" s="26" t="str">
        <x:v>31_H6_and_Release_Readiness_Checklist.xlsx</x:v>
      </x:c>
      <x:c r="D295" s="26" t="str">
        <x:v>08</x:v>
      </x:c>
      <x:c r="E295" s="26" t="str">
        <x:v>08_QA_Testing_Matrix.xlsx</x:v>
      </x:c>
      <x:c r="F295" s="26" t="str">
        <x:v>DEPENDS ON / MUST REMAIN CONSISTENT WITH</x:v>
      </x:c>
      <x:c r="G295" s="26" t="str">
        <x:v>MANDATORY</x:v>
      </x:c>
      <x:c r="H295" s="26" t="str">
        <x:v>Update source when target changes materially; record impact in 13.</x:v>
      </x:c>
      <x:c r="I295" s="26" t="str">
        <x:v>PENDING FINAL REVALIDATION</x:v>
      </x:c>
    </x:row>
    <x:row r="296" ht="30" customHeight="1">
      <x:c r="A296" s="26" t="str">
        <x:v>REL-0292</x:v>
      </x:c>
      <x:c r="B296" s="26" t="str">
        <x:v>31</x:v>
      </x:c>
      <x:c r="C296" s="26" t="str">
        <x:v>31_H6_and_Release_Readiness_Checklist.xlsx</x:v>
      </x:c>
      <x:c r="D296" s="26" t="str">
        <x:v>11</x:v>
      </x:c>
      <x:c r="E296" s="26" t="str">
        <x:v>11_Build_y_Versioning_Guide.md</x:v>
      </x:c>
      <x:c r="F296" s="26" t="str">
        <x:v>DEPENDS ON / MUST REMAIN CONSISTENT WITH</x:v>
      </x:c>
      <x:c r="G296" s="26" t="str">
        <x:v>MANDATORY</x:v>
      </x:c>
      <x:c r="H296" s="26" t="str">
        <x:v>Update source when target changes materially; record impact in 13.</x:v>
      </x:c>
      <x:c r="I296" s="26" t="str">
        <x:v>PENDING FINAL REVALIDATION</x:v>
      </x:c>
    </x:row>
    <x:row r="297" ht="30" customHeight="1">
      <x:c r="A297" s="26" t="str">
        <x:v>REL-0293</x:v>
      </x:c>
      <x:c r="B297" s="26" t="str">
        <x:v>31</x:v>
      </x:c>
      <x:c r="C297" s="26" t="str">
        <x:v>31_H6_and_Release_Readiness_Checklist.xlsx</x:v>
      </x:c>
      <x:c r="D297" s="26" t="str">
        <x:v>12</x:v>
      </x:c>
      <x:c r="E297" s="26" t="str">
        <x:v>12_Excel_Maestro_de_Produccion.xlsx</x:v>
      </x:c>
      <x:c r="F297" s="26" t="str">
        <x:v>DEPENDS ON / MUST REMAIN CONSISTENT WITH</x:v>
      </x:c>
      <x:c r="G297" s="26" t="str">
        <x:v>MANDATORY</x:v>
      </x:c>
      <x:c r="H297" s="26" t="str">
        <x:v>Update source when target changes materially; record impact in 13.</x:v>
      </x:c>
      <x:c r="I297" s="26" t="str">
        <x:v>PENDING FINAL REVALIDATION</x:v>
      </x:c>
    </x:row>
    <x:row r="298" ht="30" customHeight="1">
      <x:c r="A298" s="26" t="str">
        <x:v>REL-0294</x:v>
      </x:c>
      <x:c r="B298" s="26" t="str">
        <x:v>31</x:v>
      </x:c>
      <x:c r="C298" s="26" t="str">
        <x:v>31_H6_and_Release_Readiness_Checklist.xlsx</x:v>
      </x:c>
      <x:c r="D298" s="26" t="str">
        <x:v>13</x:v>
      </x:c>
      <x:c r="E298" s="26" t="str">
        <x:v>13_Trazabilidad_y_Control_de_Cambios.xlsx</x:v>
      </x:c>
      <x:c r="F298" s="26" t="str">
        <x:v>DEPENDS ON / MUST REMAIN CONSISTENT WITH</x:v>
      </x:c>
      <x:c r="G298" s="26" t="str">
        <x:v>MANDATORY</x:v>
      </x:c>
      <x:c r="H298" s="26" t="str">
        <x:v>Update source when target changes materially; record impact in 13.</x:v>
      </x:c>
      <x:c r="I298" s="26" t="str">
        <x:v>PENDING FINAL REVALIDATION</x:v>
      </x:c>
    </x:row>
    <x:row r="299" ht="30" customHeight="1">
      <x:c r="A299" s="26" t="str">
        <x:v>REL-0295</x:v>
      </x:c>
      <x:c r="B299" s="26" t="str">
        <x:v>31</x:v>
      </x:c>
      <x:c r="C299" s="26" t="str">
        <x:v>31_H6_and_Release_Readiness_Checklist.xlsx</x:v>
      </x:c>
      <x:c r="D299" s="26" t="str">
        <x:v>16</x:v>
      </x:c>
      <x:c r="E299" s="26" t="str">
        <x:v>16_Auditoria_Global_de_Coherencia.md</x:v>
      </x:c>
      <x:c r="F299" s="26" t="str">
        <x:v>DEPENDS ON / MUST REMAIN CONSISTENT WITH</x:v>
      </x:c>
      <x:c r="G299" s="26" t="str">
        <x:v>MANDATORY</x:v>
      </x:c>
      <x:c r="H299" s="26" t="str">
        <x:v>Update source when target changes materially; record impact in 13.</x:v>
      </x:c>
      <x:c r="I299" s="26" t="str">
        <x:v>PENDING FINAL REVALIDATION</x:v>
      </x:c>
    </x:row>
    <x:row r="300" ht="30" customHeight="1">
      <x:c r="A300" s="26" t="str">
        <x:v>REL-0296</x:v>
      </x:c>
      <x:c r="B300" s="26" t="str">
        <x:v>31</x:v>
      </x:c>
      <x:c r="C300" s="26" t="str">
        <x:v>31_H6_and_Release_Readiness_Checklist.xlsx</x:v>
      </x:c>
      <x:c r="D300" s="26" t="str">
        <x:v>17</x:v>
      </x:c>
      <x:c r="E300" s="26" t="str">
        <x:v>17_Art_Bible.md</x:v>
      </x:c>
      <x:c r="F300" s="26" t="str">
        <x:v>DEPENDS ON / MUST REMAIN CONSISTENT WITH</x:v>
      </x:c>
      <x:c r="G300" s="26" t="str">
        <x:v>MANDATORY</x:v>
      </x:c>
      <x:c r="H300" s="26" t="str">
        <x:v>Update source when target changes materially; record impact in 13.</x:v>
      </x:c>
      <x:c r="I300" s="26" t="str">
        <x:v>PENDING FINAL REVALIDATION</x:v>
      </x:c>
    </x:row>
    <x:row r="301" ht="30" customHeight="1">
      <x:c r="A301" s="26" t="str">
        <x:v>REL-0297</x:v>
      </x:c>
      <x:c r="B301" s="26" t="str">
        <x:v>31</x:v>
      </x:c>
      <x:c r="C301" s="26" t="str">
        <x:v>31_H6_and_Release_Readiness_Checklist.xlsx</x:v>
      </x:c>
      <x:c r="D301" s="26" t="str">
        <x:v>18</x:v>
      </x:c>
      <x:c r="E301" s="26" t="str">
        <x:v>18_Audio_Bible.md</x:v>
      </x:c>
      <x:c r="F301" s="26" t="str">
        <x:v>DEPENDS ON / MUST REMAIN CONSISTENT WITH</x:v>
      </x:c>
      <x:c r="G301" s="26" t="str">
        <x:v>MANDATORY</x:v>
      </x:c>
      <x:c r="H301" s="26" t="str">
        <x:v>Update source when target changes materially; record impact in 13.</x:v>
      </x:c>
      <x:c r="I301" s="26" t="str">
        <x:v>PENDING FINAL REVALIDATION</x:v>
      </x:c>
    </x:row>
    <x:row r="302" ht="30" customHeight="1">
      <x:c r="A302" s="26" t="str">
        <x:v>REL-0298</x:v>
      </x:c>
      <x:c r="B302" s="26" t="str">
        <x:v>31</x:v>
      </x:c>
      <x:c r="C302" s="26" t="str">
        <x:v>31_H6_and_Release_Readiness_Checklist.xlsx</x:v>
      </x:c>
      <x:c r="D302" s="26" t="str">
        <x:v>19</x:v>
      </x:c>
      <x:c r="E302" s="26" t="str">
        <x:v>19_UI_Style_Guide.md</x:v>
      </x:c>
      <x:c r="F302" s="26" t="str">
        <x:v>DEPENDS ON / MUST REMAIN CONSISTENT WITH</x:v>
      </x:c>
      <x:c r="G302" s="26" t="str">
        <x:v>MANDATORY</x:v>
      </x:c>
      <x:c r="H302" s="26" t="str">
        <x:v>Update source when target changes materially; record impact in 13.</x:v>
      </x:c>
      <x:c r="I302" s="26" t="str">
        <x:v>PENDING FINAL REVALIDATION</x:v>
      </x:c>
    </x:row>
    <x:row r="303" ht="30" customHeight="1">
      <x:c r="A303" s="26" t="str">
        <x:v>REL-0299</x:v>
      </x:c>
      <x:c r="B303" s="26" t="str">
        <x:v>31</x:v>
      </x:c>
      <x:c r="C303" s="26" t="str">
        <x:v>31_H6_and_Release_Readiness_Checklist.xlsx</x:v>
      </x:c>
      <x:c r="D303" s="26" t="str">
        <x:v>20</x:v>
      </x:c>
      <x:c r="E303" s="26" t="str">
        <x:v>20_Economy_and_Balance_Specification.md</x:v>
      </x:c>
      <x:c r="F303" s="26" t="str">
        <x:v>DEPENDS ON / MUST REMAIN CONSISTENT WITH</x:v>
      </x:c>
      <x:c r="G303" s="26" t="str">
        <x:v>MANDATORY</x:v>
      </x:c>
      <x:c r="H303" s="26" t="str">
        <x:v>Update source when target changes materially; record impact in 13.</x:v>
      </x:c>
      <x:c r="I303" s="26" t="str">
        <x:v>PENDING FINAL REVALIDATION</x:v>
      </x:c>
    </x:row>
    <x:row r="304" ht="30" customHeight="1">
      <x:c r="A304" s="26" t="str">
        <x:v>REL-0300</x:v>
      </x:c>
      <x:c r="B304" s="26" t="str">
        <x:v>31</x:v>
      </x:c>
      <x:c r="C304" s="26" t="str">
        <x:v>31_H6_and_Release_Readiness_Checklist.xlsx</x:v>
      </x:c>
      <x:c r="D304" s="26" t="str">
        <x:v>21</x:v>
      </x:c>
      <x:c r="E304" s="26" t="str">
        <x:v>21_Initial_Content_Catalog.xlsx</x:v>
      </x:c>
      <x:c r="F304" s="26" t="str">
        <x:v>DEPENDS ON / MUST REMAIN CONSISTENT WITH</x:v>
      </x:c>
      <x:c r="G304" s="26" t="str">
        <x:v>MANDATORY</x:v>
      </x:c>
      <x:c r="H304" s="26" t="str">
        <x:v>Update source when target changes materially; record impact in 13.</x:v>
      </x:c>
      <x:c r="I304" s="26" t="str">
        <x:v>PENDING FINAL REVALIDATION</x:v>
      </x:c>
    </x:row>
    <x:row r="305" ht="30" customHeight="1">
      <x:c r="A305" s="26" t="str">
        <x:v>REL-0301</x:v>
      </x:c>
      <x:c r="B305" s="26" t="str">
        <x:v>31</x:v>
      </x:c>
      <x:c r="C305" s="26" t="str">
        <x:v>31_H6_and_Release_Readiness_Checklist.xlsx</x:v>
      </x:c>
      <x:c r="D305" s="26" t="str">
        <x:v>22</x:v>
      </x:c>
      <x:c r="E305" s="26" t="str">
        <x:v>22_Localization_Plan.md</x:v>
      </x:c>
      <x:c r="F305" s="26" t="str">
        <x:v>DEPENDS ON / MUST REMAIN CONSISTENT WITH</x:v>
      </x:c>
      <x:c r="G305" s="26" t="str">
        <x:v>MANDATORY</x:v>
      </x:c>
      <x:c r="H305" s="26" t="str">
        <x:v>Update source when target changes materially; record impact in 13.</x:v>
      </x:c>
      <x:c r="I305" s="26" t="str">
        <x:v>PENDING FINAL REVALIDATION</x:v>
      </x:c>
    </x:row>
    <x:row r="306" ht="30" customHeight="1">
      <x:c r="A306" s="26" t="str">
        <x:v>REL-0302</x:v>
      </x:c>
      <x:c r="B306" s="26" t="str">
        <x:v>31</x:v>
      </x:c>
      <x:c r="C306" s="26" t="str">
        <x:v>31_H6_and_Release_Readiness_Checklist.xlsx</x:v>
      </x:c>
      <x:c r="D306" s="26" t="str">
        <x:v>23</x:v>
      </x:c>
      <x:c r="E306" s="26" t="str">
        <x:v>23_Legal_Credits_and_Licenses_Register.xlsx</x:v>
      </x:c>
      <x:c r="F306" s="26" t="str">
        <x:v>DEPENDS ON / MUST REMAIN CONSISTENT WITH</x:v>
      </x:c>
      <x:c r="G306" s="26" t="str">
        <x:v>MANDATORY</x:v>
      </x:c>
      <x:c r="H306" s="26" t="str">
        <x:v>Update source when target changes materially; record impact in 13.</x:v>
      </x:c>
      <x:c r="I306" s="26" t="str">
        <x:v>PENDING FINAL REVALIDATION</x:v>
      </x:c>
    </x:row>
    <x:row r="307" ht="30" customHeight="1">
      <x:c r="A307" s="26" t="str">
        <x:v>REL-0303</x:v>
      </x:c>
      <x:c r="B307" s="26" t="str">
        <x:v>31</x:v>
      </x:c>
      <x:c r="C307" s="26" t="str">
        <x:v>31_H6_and_Release_Readiness_Checklist.xlsx</x:v>
      </x:c>
      <x:c r="D307" s="26" t="str">
        <x:v>24</x:v>
      </x:c>
      <x:c r="E307" s="26" t="str">
        <x:v>24_Steam_Publishing_Plan.md</x:v>
      </x:c>
      <x:c r="F307" s="26" t="str">
        <x:v>DEPENDS ON / MUST REMAIN CONSISTENT WITH</x:v>
      </x:c>
      <x:c r="G307" s="26" t="str">
        <x:v>MANDATORY</x:v>
      </x:c>
      <x:c r="H307" s="26" t="str">
        <x:v>Update source when target changes materially; record impact in 13.</x:v>
      </x:c>
      <x:c r="I307" s="26" t="str">
        <x:v>PENDING FINAL REVALIDATION</x:v>
      </x:c>
    </x:row>
    <x:row r="308" ht="30" customHeight="1">
      <x:c r="A308" s="26" t="str">
        <x:v>REL-0304</x:v>
      </x:c>
      <x:c r="B308" s="26" t="str">
        <x:v>31</x:v>
      </x:c>
      <x:c r="C308" s="26" t="str">
        <x:v>31_H6_and_Release_Readiness_Checklist.xlsx</x:v>
      </x:c>
      <x:c r="D308" s="26" t="str">
        <x:v>25</x:v>
      </x:c>
      <x:c r="E308" s="26" t="str">
        <x:v>25_Post_Launch_and_Live_Operations_Plan.md</x:v>
      </x:c>
      <x:c r="F308" s="26" t="str">
        <x:v>DEPENDS ON / MUST REMAIN CONSISTENT WITH</x:v>
      </x:c>
      <x:c r="G308" s="26" t="str">
        <x:v>MANDATORY</x:v>
      </x:c>
      <x:c r="H308" s="26" t="str">
        <x:v>Update source when target changes materially; record impact in 13.</x:v>
      </x:c>
      <x:c r="I308" s="26" t="str">
        <x:v>PENDING FINAL REVALIDATION</x:v>
      </x:c>
    </x:row>
    <x:row r="309" ht="30" customHeight="1">
      <x:c r="A309" s="26" t="str">
        <x:v>REL-0305</x:v>
      </x:c>
      <x:c r="B309" s="26" t="str">
        <x:v>31</x:v>
      </x:c>
      <x:c r="C309" s="26" t="str">
        <x:v>31_H6_and_Release_Readiness_Checklist.xlsx</x:v>
      </x:c>
      <x:c r="D309" s="26" t="str">
        <x:v>26</x:v>
      </x:c>
      <x:c r="E309" s="26" t="str">
        <x:v>26_Privacy_Data_and_Telemetry_Plan.md</x:v>
      </x:c>
      <x:c r="F309" s="26" t="str">
        <x:v>DEPENDS ON / MUST REMAIN CONSISTENT WITH</x:v>
      </x:c>
      <x:c r="G309" s="26" t="str">
        <x:v>MANDATORY</x:v>
      </x:c>
      <x:c r="H309" s="26" t="str">
        <x:v>Update source when target changes materially; record impact in 13.</x:v>
      </x:c>
      <x:c r="I309" s="26" t="str">
        <x:v>PENDING FINAL REVALIDATION</x:v>
      </x:c>
    </x:row>
    <x:row r="310" ht="30" customHeight="1">
      <x:c r="A310" s="26" t="str">
        <x:v>REL-0306</x:v>
      </x:c>
      <x:c r="B310" s="26" t="str">
        <x:v>31</x:v>
      </x:c>
      <x:c r="C310" s="26" t="str">
        <x:v>31_H6_and_Release_Readiness_Checklist.xlsx</x:v>
      </x:c>
      <x:c r="D310" s="26" t="str">
        <x:v>27</x:v>
      </x:c>
      <x:c r="E310" s="26" t="str">
        <x:v>27_Security_and_Incident_Response_Plan.md</x:v>
      </x:c>
      <x:c r="F310" s="26" t="str">
        <x:v>DEPENDS ON / MUST REMAIN CONSISTENT WITH</x:v>
      </x:c>
      <x:c r="G310" s="26" t="str">
        <x:v>MANDATORY</x:v>
      </x:c>
      <x:c r="H310" s="26" t="str">
        <x:v>Update source when target changes materially; record impact in 13.</x:v>
      </x:c>
      <x:c r="I310" s="26" t="str">
        <x:v>PENDING FINAL REVALIDATION</x:v>
      </x:c>
    </x:row>
    <x:row r="311" ht="30" customHeight="1">
      <x:c r="A311" s="26" t="str">
        <x:v>REL-0307</x:v>
      </x:c>
      <x:c r="B311" s="26" t="str">
        <x:v>31</x:v>
      </x:c>
      <x:c r="C311" s="26" t="str">
        <x:v>31_H6_and_Release_Readiness_Checklist.xlsx</x:v>
      </x:c>
      <x:c r="D311" s="26" t="str">
        <x:v>28</x:v>
      </x:c>
      <x:c r="E311" s="26" t="str">
        <x:v>28_Marketing_and_Communication_Plan.md</x:v>
      </x:c>
      <x:c r="F311" s="26" t="str">
        <x:v>DEPENDS ON / MUST REMAIN CONSISTENT WITH</x:v>
      </x:c>
      <x:c r="G311" s="26" t="str">
        <x:v>MANDATORY</x:v>
      </x:c>
      <x:c r="H311" s="26" t="str">
        <x:v>Update source when target changes materially; record impact in 13.</x:v>
      </x:c>
      <x:c r="I311" s="26" t="str">
        <x:v>PENDING FINAL REVALIDATION</x:v>
      </x:c>
    </x:row>
    <x:row r="312" ht="30" customHeight="1">
      <x:c r="A312" s="26" t="str">
        <x:v>REL-0308</x:v>
      </x:c>
      <x:c r="B312" s="26" t="str">
        <x:v>31</x:v>
      </x:c>
      <x:c r="C312" s="26" t="str">
        <x:v>31_H6_and_Release_Readiness_Checklist.xlsx</x:v>
      </x:c>
      <x:c r="D312" s="26" t="str">
        <x:v>29</x:v>
      </x:c>
      <x:c r="E312" s="26" t="str">
        <x:v>29_Accessibility_and_Inclusive_Design_Plan.md</x:v>
      </x:c>
      <x:c r="F312" s="26" t="str">
        <x:v>DEPENDS ON / MUST REMAIN CONSISTENT WITH</x:v>
      </x:c>
      <x:c r="G312" s="26" t="str">
        <x:v>MANDATORY</x:v>
      </x:c>
      <x:c r="H312" s="26" t="str">
        <x:v>Update source when target changes materially; record impact in 13.</x:v>
      </x:c>
      <x:c r="I312" s="26" t="str">
        <x:v>PENDING FINAL REVALIDATION</x:v>
      </x:c>
    </x:row>
    <x:row r="313" ht="30" customHeight="1">
      <x:c r="A313" s="26" t="str">
        <x:v>REL-0309</x:v>
      </x:c>
      <x:c r="B313" s="26" t="str">
        <x:v>31</x:v>
      </x:c>
      <x:c r="C313" s="26" t="str">
        <x:v>31_H6_and_Release_Readiness_Checklist.xlsx</x:v>
      </x:c>
      <x:c r="D313" s="26" t="str">
        <x:v>30</x:v>
      </x:c>
      <x:c r="E313" s="26" t="str">
        <x:v>30_Performance_and_Optimization_Plan.md</x:v>
      </x:c>
      <x:c r="F313" s="26" t="str">
        <x:v>DEPENDS ON / MUST REMAIN CONSISTENT WITH</x:v>
      </x:c>
      <x:c r="G313" s="26" t="str">
        <x:v>MANDATORY</x:v>
      </x:c>
      <x:c r="H313" s="26" t="str">
        <x:v>Update source when target changes materially; record impact in 13.</x:v>
      </x:c>
      <x:c r="I313" s="26" t="str">
        <x:v>PENDING FINAL REVALIDATION</x:v>
      </x:c>
    </x:row>
    <x:row r="314" ht="30" customHeight="1">
      <x:c r="A314" s="26" t="str">
        <x:v>REL-0310</x:v>
      </x:c>
      <x:c r="B314" s="26" t="str">
        <x:v>32</x:v>
      </x:c>
      <x:c r="C314" s="26" t="str">
        <x:v>32_Documentation_Baseline_Manifest.xlsx</x:v>
      </x:c>
      <x:c r="D314" s="26" t="str">
        <x:v>00</x:v>
      </x:c>
      <x:c r="E314" s="26" t="str">
        <x:v>00_Enfoque_y_Alcance.md</x:v>
      </x:c>
      <x:c r="F314" s="26" t="str">
        <x:v>DEPENDS ON / MUST REMAIN CONSISTENT WITH</x:v>
      </x:c>
      <x:c r="G314" s="26" t="str">
        <x:v>MANDATORY</x:v>
      </x:c>
      <x:c r="H314" s="26" t="str">
        <x:v>Update source when target changes materially; record impact in 13.</x:v>
      </x:c>
      <x:c r="I314" s="26" t="str">
        <x:v>PENDING FINAL REVALIDATION</x:v>
      </x:c>
    </x:row>
    <x:row r="315" ht="30" customHeight="1">
      <x:c r="A315" s="26" t="str">
        <x:v>REL-0311</x:v>
      </x:c>
      <x:c r="B315" s="26" t="str">
        <x:v>32</x:v>
      </x:c>
      <x:c r="C315" s="26" t="str">
        <x:v>32_Documentation_Baseline_Manifest.xlsx</x:v>
      </x:c>
      <x:c r="D315" s="26" t="str">
        <x:v>01</x:v>
      </x:c>
      <x:c r="E315" s="26" t="str">
        <x:v>01_Game_Design_Document.md</x:v>
      </x:c>
      <x:c r="F315" s="26" t="str">
        <x:v>DEPENDS ON / MUST REMAIN CONSISTENT WITH</x:v>
      </x:c>
      <x:c r="G315" s="26" t="str">
        <x:v>MANDATORY</x:v>
      </x:c>
      <x:c r="H315" s="26" t="str">
        <x:v>Update source when target changes materially; record impact in 13.</x:v>
      </x:c>
      <x:c r="I315" s="26" t="str">
        <x:v>PENDING FINAL REVALIDATION</x:v>
      </x:c>
    </x:row>
    <x:row r="316" ht="30" customHeight="1">
      <x:c r="A316" s="26" t="str">
        <x:v>REL-0312</x:v>
      </x:c>
      <x:c r="B316" s="26" t="str">
        <x:v>32</x:v>
      </x:c>
      <x:c r="C316" s="26" t="str">
        <x:v>32_Documentation_Baseline_Manifest.xlsx</x:v>
      </x:c>
      <x:c r="D316" s="26" t="str">
        <x:v>02</x:v>
      </x:c>
      <x:c r="E316" s="26" t="str">
        <x:v>02_Vertical_Slice_Specification.md</x:v>
      </x:c>
      <x:c r="F316" s="26" t="str">
        <x:v>DEPENDS ON / MUST REMAIN CONSISTENT WITH</x:v>
      </x:c>
      <x:c r="G316" s="26" t="str">
        <x:v>MANDATORY</x:v>
      </x:c>
      <x:c r="H316" s="26" t="str">
        <x:v>Update source when target changes materially; record impact in 13.</x:v>
      </x:c>
      <x:c r="I316" s="26" t="str">
        <x:v>PENDING FINAL REVALIDATION</x:v>
      </x:c>
    </x:row>
    <x:row r="317" ht="30" customHeight="1">
      <x:c r="A317" s="26" t="str">
        <x:v>REL-0313</x:v>
      </x:c>
      <x:c r="B317" s="26" t="str">
        <x:v>32</x:v>
      </x:c>
      <x:c r="C317" s="26" t="str">
        <x:v>32_Documentation_Baseline_Manifest.xlsx</x:v>
      </x:c>
      <x:c r="D317" s="26" t="str">
        <x:v>03</x:v>
      </x:c>
      <x:c r="E317" s="26" t="str">
        <x:v>03_Technical_Design_Document.md</x:v>
      </x:c>
      <x:c r="F317" s="26" t="str">
        <x:v>DEPENDS ON / MUST REMAIN CONSISTENT WITH</x:v>
      </x:c>
      <x:c r="G317" s="26" t="str">
        <x:v>MANDATORY</x:v>
      </x:c>
      <x:c r="H317" s="26" t="str">
        <x:v>Update source when target changes materially; record impact in 13.</x:v>
      </x:c>
      <x:c r="I317" s="26" t="str">
        <x:v>PENDING FINAL REVALIDATION</x:v>
      </x:c>
    </x:row>
    <x:row r="318" ht="30" customHeight="1">
      <x:c r="A318" s="26" t="str">
        <x:v>REL-0314</x:v>
      </x:c>
      <x:c r="B318" s="26" t="str">
        <x:v>32</x:v>
      </x:c>
      <x:c r="C318" s="26" t="str">
        <x:v>32_Documentation_Baseline_Manifest.xlsx</x:v>
      </x:c>
      <x:c r="D318" s="26" t="str">
        <x:v>04</x:v>
      </x:c>
      <x:c r="E318" s="26" t="str">
        <x:v>04_Modelo_de_Datos.md</x:v>
      </x:c>
      <x:c r="F318" s="26" t="str">
        <x:v>DEPENDS ON / MUST REMAIN CONSISTENT WITH</x:v>
      </x:c>
      <x:c r="G318" s="26" t="str">
        <x:v>MANDATORY</x:v>
      </x:c>
      <x:c r="H318" s="26" t="str">
        <x:v>Update source when target changes materially; record impact in 13.</x:v>
      </x:c>
      <x:c r="I318" s="26" t="str">
        <x:v>PENDING FINAL REVALIDATION</x:v>
      </x:c>
    </x:row>
    <x:row r="319" ht="30" customHeight="1">
      <x:c r="A319" s="26" t="str">
        <x:v>REL-0315</x:v>
      </x:c>
      <x:c r="B319" s="26" t="str">
        <x:v>32</x:v>
      </x:c>
      <x:c r="C319" s="26" t="str">
        <x:v>32_Documentation_Baseline_Manifest.xlsx</x:v>
      </x:c>
      <x:c r="D319" s="26" t="str">
        <x:v>05</x:v>
      </x:c>
      <x:c r="E319" s="26" t="str">
        <x:v>05_UX_Flow.md</x:v>
      </x:c>
      <x:c r="F319" s="26" t="str">
        <x:v>DEPENDS ON / MUST REMAIN CONSISTENT WITH</x:v>
      </x:c>
      <x:c r="G319" s="26" t="str">
        <x:v>MANDATORY</x:v>
      </x:c>
      <x:c r="H319" s="26" t="str">
        <x:v>Update source when target changes materially; record impact in 13.</x:v>
      </x:c>
      <x:c r="I319" s="26" t="str">
        <x:v>PENDING FINAL REVALIDATION</x:v>
      </x:c>
    </x:row>
    <x:row r="320" ht="30" customHeight="1">
      <x:c r="A320" s="26" t="str">
        <x:v>REL-0316</x:v>
      </x:c>
      <x:c r="B320" s="26" t="str">
        <x:v>32</x:v>
      </x:c>
      <x:c r="C320" s="26" t="str">
        <x:v>32_Documentation_Baseline_Manifest.xlsx</x:v>
      </x:c>
      <x:c r="D320" s="26" t="str">
        <x:v>06</x:v>
      </x:c>
      <x:c r="E320" s="26" t="str">
        <x:v>06_Production_Roadmap_y_Sprint_Plan.md</x:v>
      </x:c>
      <x:c r="F320" s="26" t="str">
        <x:v>DEPENDS ON / MUST REMAIN CONSISTENT WITH</x:v>
      </x:c>
      <x:c r="G320" s="26" t="str">
        <x:v>MANDATORY</x:v>
      </x:c>
      <x:c r="H320" s="26" t="str">
        <x:v>Update source when target changes materially; record impact in 13.</x:v>
      </x:c>
      <x:c r="I320" s="26" t="str">
        <x:v>PENDING FINAL REVALIDATION</x:v>
      </x:c>
    </x:row>
    <x:row r="321" ht="30" customHeight="1">
      <x:c r="A321" s="26" t="str">
        <x:v>REL-0317</x:v>
      </x:c>
      <x:c r="B321" s="26" t="str">
        <x:v>32</x:v>
      </x:c>
      <x:c r="C321" s="26" t="str">
        <x:v>32_Documentation_Baseline_Manifest.xlsx</x:v>
      </x:c>
      <x:c r="D321" s="26" t="str">
        <x:v>07</x:v>
      </x:c>
      <x:c r="E321" s="26" t="str">
        <x:v>07_QA_Testing_Plan.md</x:v>
      </x:c>
      <x:c r="F321" s="26" t="str">
        <x:v>DEPENDS ON / MUST REMAIN CONSISTENT WITH</x:v>
      </x:c>
      <x:c r="G321" s="26" t="str">
        <x:v>MANDATORY</x:v>
      </x:c>
      <x:c r="H321" s="26" t="str">
        <x:v>Update source when target changes materially; record impact in 13.</x:v>
      </x:c>
      <x:c r="I321" s="26" t="str">
        <x:v>PENDING FINAL REVALIDATION</x:v>
      </x:c>
    </x:row>
    <x:row r="322" ht="30" customHeight="1">
      <x:c r="A322" s="26" t="str">
        <x:v>REL-0318</x:v>
      </x:c>
      <x:c r="B322" s="26" t="str">
        <x:v>32</x:v>
      </x:c>
      <x:c r="C322" s="26" t="str">
        <x:v>32_Documentation_Baseline_Manifest.xlsx</x:v>
      </x:c>
      <x:c r="D322" s="26" t="str">
        <x:v>08</x:v>
      </x:c>
      <x:c r="E322" s="26" t="str">
        <x:v>08_QA_Testing_Matrix.xlsx</x:v>
      </x:c>
      <x:c r="F322" s="26" t="str">
        <x:v>DEPENDS ON / MUST REMAIN CONSISTENT WITH</x:v>
      </x:c>
      <x:c r="G322" s="26" t="str">
        <x:v>MANDATORY</x:v>
      </x:c>
      <x:c r="H322" s="26" t="str">
        <x:v>Update source when target changes materially; record impact in 13.</x:v>
      </x:c>
      <x:c r="I322" s="26" t="str">
        <x:v>PENDING FINAL REVALIDATION</x:v>
      </x:c>
    </x:row>
    <x:row r="323" ht="30" customHeight="1">
      <x:c r="A323" s="26" t="str">
        <x:v>REL-0319</x:v>
      </x:c>
      <x:c r="B323" s="26" t="str">
        <x:v>32</x:v>
      </x:c>
      <x:c r="C323" s="26" t="str">
        <x:v>32_Documentation_Baseline_Manifest.xlsx</x:v>
      </x:c>
      <x:c r="D323" s="26" t="str">
        <x:v>09</x:v>
      </x:c>
      <x:c r="E323" s="26" t="str">
        <x:v>09_CSharp_Coding_Standards.md</x:v>
      </x:c>
      <x:c r="F323" s="26" t="str">
        <x:v>DEPENDS ON / MUST REMAIN CONSISTENT WITH</x:v>
      </x:c>
      <x:c r="G323" s="26" t="str">
        <x:v>MANDATORY</x:v>
      </x:c>
      <x:c r="H323" s="26" t="str">
        <x:v>Update source when target changes materially; record impact in 13.</x:v>
      </x:c>
      <x:c r="I323" s="26" t="str">
        <x:v>PENDING FINAL REVALIDATION</x:v>
      </x:c>
    </x:row>
    <x:row r="324" ht="30" customHeight="1">
      <x:c r="A324" s="26" t="str">
        <x:v>REL-0320</x:v>
      </x:c>
      <x:c r="B324" s="26" t="str">
        <x:v>32</x:v>
      </x:c>
      <x:c r="C324" s="26" t="str">
        <x:v>32_Documentation_Baseline_Manifest.xlsx</x:v>
      </x:c>
      <x:c r="D324" s="26" t="str">
        <x:v>10</x:v>
      </x:c>
      <x:c r="E324" s="26" t="str">
        <x:v>10_Unity_Project_Setup_Guide.md</x:v>
      </x:c>
      <x:c r="F324" s="26" t="str">
        <x:v>DEPENDS ON / MUST REMAIN CONSISTENT WITH</x:v>
      </x:c>
      <x:c r="G324" s="26" t="str">
        <x:v>MANDATORY</x:v>
      </x:c>
      <x:c r="H324" s="26" t="str">
        <x:v>Update source when target changes materially; record impact in 13.</x:v>
      </x:c>
      <x:c r="I324" s="26" t="str">
        <x:v>PENDING FINAL REVALIDATION</x:v>
      </x:c>
    </x:row>
    <x:row r="325" ht="30" customHeight="1">
      <x:c r="A325" s="26" t="str">
        <x:v>REL-0321</x:v>
      </x:c>
      <x:c r="B325" s="26" t="str">
        <x:v>32</x:v>
      </x:c>
      <x:c r="C325" s="26" t="str">
        <x:v>32_Documentation_Baseline_Manifest.xlsx</x:v>
      </x:c>
      <x:c r="D325" s="26" t="str">
        <x:v>11</x:v>
      </x:c>
      <x:c r="E325" s="26" t="str">
        <x:v>11_Build_y_Versioning_Guide.md</x:v>
      </x:c>
      <x:c r="F325" s="26" t="str">
        <x:v>DEPENDS ON / MUST REMAIN CONSISTENT WITH</x:v>
      </x:c>
      <x:c r="G325" s="26" t="str">
        <x:v>MANDATORY</x:v>
      </x:c>
      <x:c r="H325" s="26" t="str">
        <x:v>Update source when target changes materially; record impact in 13.</x:v>
      </x:c>
      <x:c r="I325" s="26" t="str">
        <x:v>PENDING FINAL REVALIDATION</x:v>
      </x:c>
    </x:row>
    <x:row r="326" ht="30" customHeight="1">
      <x:c r="A326" s="26" t="str">
        <x:v>REL-0322</x:v>
      </x:c>
      <x:c r="B326" s="26" t="str">
        <x:v>32</x:v>
      </x:c>
      <x:c r="C326" s="26" t="str">
        <x:v>32_Documentation_Baseline_Manifest.xlsx</x:v>
      </x:c>
      <x:c r="D326" s="26" t="str">
        <x:v>12</x:v>
      </x:c>
      <x:c r="E326" s="26" t="str">
        <x:v>12_Excel_Maestro_de_Produccion.xlsx</x:v>
      </x:c>
      <x:c r="F326" s="26" t="str">
        <x:v>DEPENDS ON / MUST REMAIN CONSISTENT WITH</x:v>
      </x:c>
      <x:c r="G326" s="26" t="str">
        <x:v>MANDATORY</x:v>
      </x:c>
      <x:c r="H326" s="26" t="str">
        <x:v>Update source when target changes materially; record impact in 13.</x:v>
      </x:c>
      <x:c r="I326" s="26" t="str">
        <x:v>PENDING FINAL REVALIDATION</x:v>
      </x:c>
    </x:row>
    <x:row r="327" ht="30" customHeight="1">
      <x:c r="A327" s="26" t="str">
        <x:v>REL-0323</x:v>
      </x:c>
      <x:c r="B327" s="26" t="str">
        <x:v>32</x:v>
      </x:c>
      <x:c r="C327" s="26" t="str">
        <x:v>32_Documentation_Baseline_Manifest.xlsx</x:v>
      </x:c>
      <x:c r="D327" s="26" t="str">
        <x:v>13</x:v>
      </x:c>
      <x:c r="E327" s="26" t="str">
        <x:v>13_Trazabilidad_y_Control_de_Cambios.xlsx</x:v>
      </x:c>
      <x:c r="F327" s="26" t="str">
        <x:v>DEPENDS ON / MUST REMAIN CONSISTENT WITH</x:v>
      </x:c>
      <x:c r="G327" s="26" t="str">
        <x:v>MANDATORY</x:v>
      </x:c>
      <x:c r="H327" s="26" t="str">
        <x:v>Update source when target changes materially; record impact in 13.</x:v>
      </x:c>
      <x:c r="I327" s="26" t="str">
        <x:v>PENDING FINAL REVALIDATION</x:v>
      </x:c>
    </x:row>
    <x:row r="328" ht="30" customHeight="1">
      <x:c r="A328" s="26" t="str">
        <x:v>REL-0324</x:v>
      </x:c>
      <x:c r="B328" s="26" t="str">
        <x:v>32</x:v>
      </x:c>
      <x:c r="C328" s="26" t="str">
        <x:v>32_Documentation_Baseline_Manifest.xlsx</x:v>
      </x:c>
      <x:c r="D328" s="26" t="str">
        <x:v>14</x:v>
      </x:c>
      <x:c r="E328" s="26" t="str">
        <x:v>14_Project_Binder_Indice_Maestro.md</x:v>
      </x:c>
      <x:c r="F328" s="26" t="str">
        <x:v>DEPENDS ON / MUST REMAIN CONSISTENT WITH</x:v>
      </x:c>
      <x:c r="G328" s="26" t="str">
        <x:v>MANDATORY</x:v>
      </x:c>
      <x:c r="H328" s="26" t="str">
        <x:v>Update source when target changes materially; record impact in 13.</x:v>
      </x:c>
      <x:c r="I328" s="26" t="str">
        <x:v>PENDING FINAL REVALIDATION</x:v>
      </x:c>
    </x:row>
    <x:row r="329" ht="30" customHeight="1">
      <x:c r="A329" s="26" t="str">
        <x:v>REL-0325</x:v>
      </x:c>
      <x:c r="B329" s="26" t="str">
        <x:v>32</x:v>
      </x:c>
      <x:c r="C329" s="26" t="str">
        <x:v>32_Documentation_Baseline_Manifest.xlsx</x:v>
      </x:c>
      <x:c r="D329" s="26" t="str">
        <x:v>15</x:v>
      </x:c>
      <x:c r="E329" s="26" t="str">
        <x:v>15_Guia_Maestra.md</x:v>
      </x:c>
      <x:c r="F329" s="26" t="str">
        <x:v>DEPENDS ON / MUST REMAIN CONSISTENT WITH</x:v>
      </x:c>
      <x:c r="G329" s="26" t="str">
        <x:v>MANDATORY</x:v>
      </x:c>
      <x:c r="H329" s="26" t="str">
        <x:v>Update source when target changes materially; record impact in 13.</x:v>
      </x:c>
      <x:c r="I329" s="26" t="str">
        <x:v>PENDING FINAL REVALIDATION</x:v>
      </x:c>
    </x:row>
    <x:row r="330" ht="30" customHeight="1">
      <x:c r="A330" s="26" t="str">
        <x:v>REL-0326</x:v>
      </x:c>
      <x:c r="B330" s="26" t="str">
        <x:v>32</x:v>
      </x:c>
      <x:c r="C330" s="26" t="str">
        <x:v>32_Documentation_Baseline_Manifest.xlsx</x:v>
      </x:c>
      <x:c r="D330" s="26" t="str">
        <x:v>16</x:v>
      </x:c>
      <x:c r="E330" s="26" t="str">
        <x:v>16_Auditoria_Global_de_Coherencia.md</x:v>
      </x:c>
      <x:c r="F330" s="26" t="str">
        <x:v>DEPENDS ON / MUST REMAIN CONSISTENT WITH</x:v>
      </x:c>
      <x:c r="G330" s="26" t="str">
        <x:v>MANDATORY</x:v>
      </x:c>
      <x:c r="H330" s="26" t="str">
        <x:v>Update source when target changes materially; record impact in 13.</x:v>
      </x:c>
      <x:c r="I330" s="26" t="str">
        <x:v>PENDING FINAL REVALIDATION</x:v>
      </x:c>
    </x:row>
    <x:row r="331" ht="30" customHeight="1">
      <x:c r="A331" s="26" t="str">
        <x:v>REL-0327</x:v>
      </x:c>
      <x:c r="B331" s="26" t="str">
        <x:v>32</x:v>
      </x:c>
      <x:c r="C331" s="26" t="str">
        <x:v>32_Documentation_Baseline_Manifest.xlsx</x:v>
      </x:c>
      <x:c r="D331" s="26" t="str">
        <x:v>17</x:v>
      </x:c>
      <x:c r="E331" s="26" t="str">
        <x:v>17_Art_Bible.md</x:v>
      </x:c>
      <x:c r="F331" s="26" t="str">
        <x:v>DEPENDS ON / MUST REMAIN CONSISTENT WITH</x:v>
      </x:c>
      <x:c r="G331" s="26" t="str">
        <x:v>MANDATORY</x:v>
      </x:c>
      <x:c r="H331" s="26" t="str">
        <x:v>Update source when target changes materially; record impact in 13.</x:v>
      </x:c>
      <x:c r="I331" s="26" t="str">
        <x:v>PENDING FINAL REVALIDATION</x:v>
      </x:c>
    </x:row>
    <x:row r="332" ht="30" customHeight="1">
      <x:c r="A332" s="26" t="str">
        <x:v>REL-0328</x:v>
      </x:c>
      <x:c r="B332" s="26" t="str">
        <x:v>32</x:v>
      </x:c>
      <x:c r="C332" s="26" t="str">
        <x:v>32_Documentation_Baseline_Manifest.xlsx</x:v>
      </x:c>
      <x:c r="D332" s="26" t="str">
        <x:v>18</x:v>
      </x:c>
      <x:c r="E332" s="26" t="str">
        <x:v>18_Audio_Bible.md</x:v>
      </x:c>
      <x:c r="F332" s="26" t="str">
        <x:v>DEPENDS ON / MUST REMAIN CONSISTENT WITH</x:v>
      </x:c>
      <x:c r="G332" s="26" t="str">
        <x:v>MANDATORY</x:v>
      </x:c>
      <x:c r="H332" s="26" t="str">
        <x:v>Update source when target changes materially; record impact in 13.</x:v>
      </x:c>
      <x:c r="I332" s="26" t="str">
        <x:v>PENDING FINAL REVALIDATION</x:v>
      </x:c>
    </x:row>
    <x:row r="333" ht="30" customHeight="1">
      <x:c r="A333" s="26" t="str">
        <x:v>REL-0329</x:v>
      </x:c>
      <x:c r="B333" s="26" t="str">
        <x:v>32</x:v>
      </x:c>
      <x:c r="C333" s="26" t="str">
        <x:v>32_Documentation_Baseline_Manifest.xlsx</x:v>
      </x:c>
      <x:c r="D333" s="26" t="str">
        <x:v>19</x:v>
      </x:c>
      <x:c r="E333" s="26" t="str">
        <x:v>19_UI_Style_Guide.md</x:v>
      </x:c>
      <x:c r="F333" s="26" t="str">
        <x:v>DEPENDS ON / MUST REMAIN CONSISTENT WITH</x:v>
      </x:c>
      <x:c r="G333" s="26" t="str">
        <x:v>MANDATORY</x:v>
      </x:c>
      <x:c r="H333" s="26" t="str">
        <x:v>Update source when target changes materially; record impact in 13.</x:v>
      </x:c>
      <x:c r="I333" s="26" t="str">
        <x:v>PENDING FINAL REVALIDATION</x:v>
      </x:c>
    </x:row>
    <x:row r="334" ht="30" customHeight="1">
      <x:c r="A334" s="26" t="str">
        <x:v>REL-0330</x:v>
      </x:c>
      <x:c r="B334" s="26" t="str">
        <x:v>32</x:v>
      </x:c>
      <x:c r="C334" s="26" t="str">
        <x:v>32_Documentation_Baseline_Manifest.xlsx</x:v>
      </x:c>
      <x:c r="D334" s="26" t="str">
        <x:v>20</x:v>
      </x:c>
      <x:c r="E334" s="26" t="str">
        <x:v>20_Economy_and_Balance_Specification.md</x:v>
      </x:c>
      <x:c r="F334" s="26" t="str">
        <x:v>DEPENDS ON / MUST REMAIN CONSISTENT WITH</x:v>
      </x:c>
      <x:c r="G334" s="26" t="str">
        <x:v>MANDATORY</x:v>
      </x:c>
      <x:c r="H334" s="26" t="str">
        <x:v>Update source when target changes materially; record impact in 13.</x:v>
      </x:c>
      <x:c r="I334" s="26" t="str">
        <x:v>PENDING FINAL REVALIDATION</x:v>
      </x:c>
    </x:row>
    <x:row r="335" ht="30" customHeight="1">
      <x:c r="A335" s="26" t="str">
        <x:v>REL-0331</x:v>
      </x:c>
      <x:c r="B335" s="26" t="str">
        <x:v>32</x:v>
      </x:c>
      <x:c r="C335" s="26" t="str">
        <x:v>32_Documentation_Baseline_Manifest.xlsx</x:v>
      </x:c>
      <x:c r="D335" s="26" t="str">
        <x:v>21</x:v>
      </x:c>
      <x:c r="E335" s="26" t="str">
        <x:v>21_Initial_Content_Catalog.xlsx</x:v>
      </x:c>
      <x:c r="F335" s="26" t="str">
        <x:v>DEPENDS ON / MUST REMAIN CONSISTENT WITH</x:v>
      </x:c>
      <x:c r="G335" s="26" t="str">
        <x:v>MANDATORY</x:v>
      </x:c>
      <x:c r="H335" s="26" t="str">
        <x:v>Update source when target changes materially; record impact in 13.</x:v>
      </x:c>
      <x:c r="I335" s="26" t="str">
        <x:v>PENDING FINAL REVALIDATION</x:v>
      </x:c>
    </x:row>
    <x:row r="336" ht="30" customHeight="1">
      <x:c r="A336" s="26" t="str">
        <x:v>REL-0332</x:v>
      </x:c>
      <x:c r="B336" s="26" t="str">
        <x:v>32</x:v>
      </x:c>
      <x:c r="C336" s="26" t="str">
        <x:v>32_Documentation_Baseline_Manifest.xlsx</x:v>
      </x:c>
      <x:c r="D336" s="26" t="str">
        <x:v>22</x:v>
      </x:c>
      <x:c r="E336" s="26" t="str">
        <x:v>22_Localization_Plan.md</x:v>
      </x:c>
      <x:c r="F336" s="26" t="str">
        <x:v>DEPENDS ON / MUST REMAIN CONSISTENT WITH</x:v>
      </x:c>
      <x:c r="G336" s="26" t="str">
        <x:v>MANDATORY</x:v>
      </x:c>
      <x:c r="H336" s="26" t="str">
        <x:v>Update source when target changes materially; record impact in 13.</x:v>
      </x:c>
      <x:c r="I336" s="26" t="str">
        <x:v>PENDING FINAL REVALIDATION</x:v>
      </x:c>
    </x:row>
    <x:row r="337" ht="30" customHeight="1">
      <x:c r="A337" s="26" t="str">
        <x:v>REL-0333</x:v>
      </x:c>
      <x:c r="B337" s="26" t="str">
        <x:v>32</x:v>
      </x:c>
      <x:c r="C337" s="26" t="str">
        <x:v>32_Documentation_Baseline_Manifest.xlsx</x:v>
      </x:c>
      <x:c r="D337" s="26" t="str">
        <x:v>23</x:v>
      </x:c>
      <x:c r="E337" s="26" t="str">
        <x:v>23_Legal_Credits_and_Licenses_Register.xlsx</x:v>
      </x:c>
      <x:c r="F337" s="26" t="str">
        <x:v>DEPENDS ON / MUST REMAIN CONSISTENT WITH</x:v>
      </x:c>
      <x:c r="G337" s="26" t="str">
        <x:v>MANDATORY</x:v>
      </x:c>
      <x:c r="H337" s="26" t="str">
        <x:v>Update source when target changes materially; record impact in 13.</x:v>
      </x:c>
      <x:c r="I337" s="26" t="str">
        <x:v>PENDING FINAL REVALIDATION</x:v>
      </x:c>
    </x:row>
    <x:row r="338" ht="30" customHeight="1">
      <x:c r="A338" s="26" t="str">
        <x:v>REL-0334</x:v>
      </x:c>
      <x:c r="B338" s="26" t="str">
        <x:v>32</x:v>
      </x:c>
      <x:c r="C338" s="26" t="str">
        <x:v>32_Documentation_Baseline_Manifest.xlsx</x:v>
      </x:c>
      <x:c r="D338" s="26" t="str">
        <x:v>24</x:v>
      </x:c>
      <x:c r="E338" s="26" t="str">
        <x:v>24_Steam_Publishing_Plan.md</x:v>
      </x:c>
      <x:c r="F338" s="26" t="str">
        <x:v>DEPENDS ON / MUST REMAIN CONSISTENT WITH</x:v>
      </x:c>
      <x:c r="G338" s="26" t="str">
        <x:v>MANDATORY</x:v>
      </x:c>
      <x:c r="H338" s="26" t="str">
        <x:v>Update source when target changes materially; record impact in 13.</x:v>
      </x:c>
      <x:c r="I338" s="26" t="str">
        <x:v>PENDING FINAL REVALIDATION</x:v>
      </x:c>
    </x:row>
    <x:row r="339" ht="30" customHeight="1">
      <x:c r="A339" s="26" t="str">
        <x:v>REL-0335</x:v>
      </x:c>
      <x:c r="B339" s="26" t="str">
        <x:v>32</x:v>
      </x:c>
      <x:c r="C339" s="26" t="str">
        <x:v>32_Documentation_Baseline_Manifest.xlsx</x:v>
      </x:c>
      <x:c r="D339" s="26" t="str">
        <x:v>25</x:v>
      </x:c>
      <x:c r="E339" s="26" t="str">
        <x:v>25_Post_Launch_and_Live_Operations_Plan.md</x:v>
      </x:c>
      <x:c r="F339" s="26" t="str">
        <x:v>DEPENDS ON / MUST REMAIN CONSISTENT WITH</x:v>
      </x:c>
      <x:c r="G339" s="26" t="str">
        <x:v>MANDATORY</x:v>
      </x:c>
      <x:c r="H339" s="26" t="str">
        <x:v>Update source when target changes materially; record impact in 13.</x:v>
      </x:c>
      <x:c r="I339" s="26" t="str">
        <x:v>PENDING FINAL REVALIDATION</x:v>
      </x:c>
    </x:row>
    <x:row r="340" ht="30" customHeight="1">
      <x:c r="A340" s="26" t="str">
        <x:v>REL-0336</x:v>
      </x:c>
      <x:c r="B340" s="26" t="str">
        <x:v>32</x:v>
      </x:c>
      <x:c r="C340" s="26" t="str">
        <x:v>32_Documentation_Baseline_Manifest.xlsx</x:v>
      </x:c>
      <x:c r="D340" s="26" t="str">
        <x:v>26</x:v>
      </x:c>
      <x:c r="E340" s="26" t="str">
        <x:v>26_Privacy_Data_and_Telemetry_Plan.md</x:v>
      </x:c>
      <x:c r="F340" s="26" t="str">
        <x:v>DEPENDS ON / MUST REMAIN CONSISTENT WITH</x:v>
      </x:c>
      <x:c r="G340" s="26" t="str">
        <x:v>MANDATORY</x:v>
      </x:c>
      <x:c r="H340" s="26" t="str">
        <x:v>Update source when target changes materially; record impact in 13.</x:v>
      </x:c>
      <x:c r="I340" s="26" t="str">
        <x:v>PENDING FINAL REVALIDATION</x:v>
      </x:c>
    </x:row>
    <x:row r="341" ht="30" customHeight="1">
      <x:c r="A341" s="26" t="str">
        <x:v>REL-0337</x:v>
      </x:c>
      <x:c r="B341" s="26" t="str">
        <x:v>32</x:v>
      </x:c>
      <x:c r="C341" s="26" t="str">
        <x:v>32_Documentation_Baseline_Manifest.xlsx</x:v>
      </x:c>
      <x:c r="D341" s="26" t="str">
        <x:v>27</x:v>
      </x:c>
      <x:c r="E341" s="26" t="str">
        <x:v>27_Security_and_Incident_Response_Plan.md</x:v>
      </x:c>
      <x:c r="F341" s="26" t="str">
        <x:v>DEPENDS ON / MUST REMAIN CONSISTENT WITH</x:v>
      </x:c>
      <x:c r="G341" s="26" t="str">
        <x:v>MANDATORY</x:v>
      </x:c>
      <x:c r="H341" s="26" t="str">
        <x:v>Update source when target changes materially; record impact in 13.</x:v>
      </x:c>
      <x:c r="I341" s="26" t="str">
        <x:v>PENDING FINAL REVALIDATION</x:v>
      </x:c>
    </x:row>
    <x:row r="342" ht="30" customHeight="1">
      <x:c r="A342" s="26" t="str">
        <x:v>REL-0338</x:v>
      </x:c>
      <x:c r="B342" s="26" t="str">
        <x:v>32</x:v>
      </x:c>
      <x:c r="C342" s="26" t="str">
        <x:v>32_Documentation_Baseline_Manifest.xlsx</x:v>
      </x:c>
      <x:c r="D342" s="26" t="str">
        <x:v>28</x:v>
      </x:c>
      <x:c r="E342" s="26" t="str">
        <x:v>28_Marketing_and_Communication_Plan.md</x:v>
      </x:c>
      <x:c r="F342" s="26" t="str">
        <x:v>DEPENDS ON / MUST REMAIN CONSISTENT WITH</x:v>
      </x:c>
      <x:c r="G342" s="26" t="str">
        <x:v>MANDATORY</x:v>
      </x:c>
      <x:c r="H342" s="26" t="str">
        <x:v>Update source when target changes materially; record impact in 13.</x:v>
      </x:c>
      <x:c r="I342" s="26" t="str">
        <x:v>PENDING FINAL REVALIDATION</x:v>
      </x:c>
    </x:row>
    <x:row r="343" ht="30" customHeight="1">
      <x:c r="A343" s="26" t="str">
        <x:v>REL-0339</x:v>
      </x:c>
      <x:c r="B343" s="26" t="str">
        <x:v>32</x:v>
      </x:c>
      <x:c r="C343" s="26" t="str">
        <x:v>32_Documentation_Baseline_Manifest.xlsx</x:v>
      </x:c>
      <x:c r="D343" s="26" t="str">
        <x:v>29</x:v>
      </x:c>
      <x:c r="E343" s="26" t="str">
        <x:v>29_Accessibility_and_Inclusive_Design_Plan.md</x:v>
      </x:c>
      <x:c r="F343" s="26" t="str">
        <x:v>DEPENDS ON / MUST REMAIN CONSISTENT WITH</x:v>
      </x:c>
      <x:c r="G343" s="26" t="str">
        <x:v>MANDATORY</x:v>
      </x:c>
      <x:c r="H343" s="26" t="str">
        <x:v>Update source when target changes materially; record impact in 13.</x:v>
      </x:c>
      <x:c r="I343" s="26" t="str">
        <x:v>PENDING FINAL REVALIDATION</x:v>
      </x:c>
    </x:row>
    <x:row r="344" ht="30" customHeight="1">
      <x:c r="A344" s="26" t="str">
        <x:v>REL-0340</x:v>
      </x:c>
      <x:c r="B344" s="26" t="str">
        <x:v>32</x:v>
      </x:c>
      <x:c r="C344" s="26" t="str">
        <x:v>32_Documentation_Baseline_Manifest.xlsx</x:v>
      </x:c>
      <x:c r="D344" s="26" t="str">
        <x:v>30</x:v>
      </x:c>
      <x:c r="E344" s="26" t="str">
        <x:v>30_Performance_and_Optimization_Plan.md</x:v>
      </x:c>
      <x:c r="F344" s="26" t="str">
        <x:v>DEPENDS ON / MUST REMAIN CONSISTENT WITH</x:v>
      </x:c>
      <x:c r="G344" s="26" t="str">
        <x:v>MANDATORY</x:v>
      </x:c>
      <x:c r="H344" s="26" t="str">
        <x:v>Update source when target changes materially; record impact in 13.</x:v>
      </x:c>
      <x:c r="I344" s="26" t="str">
        <x:v>PENDING FINAL REVALIDATION</x:v>
      </x:c>
    </x:row>
    <x:row r="345" ht="30" customHeight="1">
      <x:c r="A345" s="26" t="str">
        <x:v>REL-0341</x:v>
      </x:c>
      <x:c r="B345" s="26" t="str">
        <x:v>32</x:v>
      </x:c>
      <x:c r="C345" s="26" t="str">
        <x:v>32_Documentation_Baseline_Manifest.xlsx</x:v>
      </x:c>
      <x:c r="D345" s="26" t="str">
        <x:v>31</x:v>
      </x:c>
      <x:c r="E345" s="26" t="str">
        <x:v>31_H6_and_Release_Readiness_Checklist.xlsx</x:v>
      </x:c>
      <x:c r="F345" s="26" t="str">
        <x:v>DEPENDS ON / MUST REMAIN CONSISTENT WITH</x:v>
      </x:c>
      <x:c r="G345" s="26" t="str">
        <x:v>MANDATORY</x:v>
      </x:c>
      <x:c r="H345" s="26" t="str">
        <x:v>Update source when target changes materially; record impact in 13.</x:v>
      </x:c>
      <x:c r="I345" s="26" t="str">
        <x:v>PENDING FINAL REVALIDATION</x:v>
      </x:c>
    </x:row>
    <x:row r="346" ht="30" customHeight="1">
      <x:c r="A346" s="26" t="str">
        <x:v>REL-0342</x:v>
      </x:c>
      <x:c r="B346" s="26" t="str">
        <x:v>33</x:v>
      </x:c>
      <x:c r="C346" s="26" t="str">
        <x:v>33_Project_Risk_Register_and_Business_Continuity_Plan.xlsx</x:v>
      </x:c>
      <x:c r="D346" s="26" t="str">
        <x:v>00</x:v>
      </x:c>
      <x:c r="E346" s="26" t="str">
        <x:v>00_Enfoque_y_Alcance.md</x:v>
      </x:c>
      <x:c r="F346" s="26" t="str">
        <x:v>DEPENDS ON / MUST REMAIN CONSISTENT WITH</x:v>
      </x:c>
      <x:c r="G346" s="26" t="str">
        <x:v>MANDATORY</x:v>
      </x:c>
      <x:c r="H346" s="26" t="str">
        <x:v>Update source when target changes materially; record impact in 13.</x:v>
      </x:c>
      <x:c r="I346" s="26" t="str">
        <x:v>PENDING FINAL REVALIDATION</x:v>
      </x:c>
    </x:row>
    <x:row r="347" ht="30" customHeight="1">
      <x:c r="A347" s="26" t="str">
        <x:v>REL-0343</x:v>
      </x:c>
      <x:c r="B347" s="26" t="str">
        <x:v>33</x:v>
      </x:c>
      <x:c r="C347" s="26" t="str">
        <x:v>33_Project_Risk_Register_and_Business_Continuity_Plan.xlsx</x:v>
      </x:c>
      <x:c r="D347" s="26" t="str">
        <x:v>06</x:v>
      </x:c>
      <x:c r="E347" s="26" t="str">
        <x:v>06_Production_Roadmap_y_Sprint_Plan.md</x:v>
      </x:c>
      <x:c r="F347" s="26" t="str">
        <x:v>DEPENDS ON / MUST REMAIN CONSISTENT WITH</x:v>
      </x:c>
      <x:c r="G347" s="26" t="str">
        <x:v>MANDATORY</x:v>
      </x:c>
      <x:c r="H347" s="26" t="str">
        <x:v>Update source when target changes materially; record impact in 13.</x:v>
      </x:c>
      <x:c r="I347" s="26" t="str">
        <x:v>PENDING FINAL REVALIDATION</x:v>
      </x:c>
    </x:row>
    <x:row r="348" ht="30" customHeight="1">
      <x:c r="A348" s="26" t="str">
        <x:v>REL-0344</x:v>
      </x:c>
      <x:c r="B348" s="26" t="str">
        <x:v>33</x:v>
      </x:c>
      <x:c r="C348" s="26" t="str">
        <x:v>33_Project_Risk_Register_and_Business_Continuity_Plan.xlsx</x:v>
      </x:c>
      <x:c r="D348" s="26" t="str">
        <x:v>07</x:v>
      </x:c>
      <x:c r="E348" s="26" t="str">
        <x:v>07_QA_Testing_Plan.md</x:v>
      </x:c>
      <x:c r="F348" s="26" t="str">
        <x:v>DEPENDS ON / MUST REMAIN CONSISTENT WITH</x:v>
      </x:c>
      <x:c r="G348" s="26" t="str">
        <x:v>MANDATORY</x:v>
      </x:c>
      <x:c r="H348" s="26" t="str">
        <x:v>Update source when target changes materially; record impact in 13.</x:v>
      </x:c>
      <x:c r="I348" s="26" t="str">
        <x:v>PENDING FINAL REVALIDATION</x:v>
      </x:c>
    </x:row>
    <x:row r="349" ht="30" customHeight="1">
      <x:c r="A349" s="26" t="str">
        <x:v>REL-0345</x:v>
      </x:c>
      <x:c r="B349" s="26" t="str">
        <x:v>33</x:v>
      </x:c>
      <x:c r="C349" s="26" t="str">
        <x:v>33_Project_Risk_Register_and_Business_Continuity_Plan.xlsx</x:v>
      </x:c>
      <x:c r="D349" s="26" t="str">
        <x:v>11</x:v>
      </x:c>
      <x:c r="E349" s="26" t="str">
        <x:v>11_Build_y_Versioning_Guide.md</x:v>
      </x:c>
      <x:c r="F349" s="26" t="str">
        <x:v>DEPENDS ON / MUST REMAIN CONSISTENT WITH</x:v>
      </x:c>
      <x:c r="G349" s="26" t="str">
        <x:v>MANDATORY</x:v>
      </x:c>
      <x:c r="H349" s="26" t="str">
        <x:v>Update source when target changes materially; record impact in 13.</x:v>
      </x:c>
      <x:c r="I349" s="26" t="str">
        <x:v>PENDING FINAL REVALIDATION</x:v>
      </x:c>
    </x:row>
    <x:row r="350" ht="30" customHeight="1">
      <x:c r="A350" s="26" t="str">
        <x:v>REL-0346</x:v>
      </x:c>
      <x:c r="B350" s="26" t="str">
        <x:v>33</x:v>
      </x:c>
      <x:c r="C350" s="26" t="str">
        <x:v>33_Project_Risk_Register_and_Business_Continuity_Plan.xlsx</x:v>
      </x:c>
      <x:c r="D350" s="26" t="str">
        <x:v>12</x:v>
      </x:c>
      <x:c r="E350" s="26" t="str">
        <x:v>12_Excel_Maestro_de_Produccion.xlsx</x:v>
      </x:c>
      <x:c r="F350" s="26" t="str">
        <x:v>DEPENDS ON / MUST REMAIN CONSISTENT WITH</x:v>
      </x:c>
      <x:c r="G350" s="26" t="str">
        <x:v>MANDATORY</x:v>
      </x:c>
      <x:c r="H350" s="26" t="str">
        <x:v>Update source when target changes materially; record impact in 13.</x:v>
      </x:c>
      <x:c r="I350" s="26" t="str">
        <x:v>PENDING FINAL REVALIDATION</x:v>
      </x:c>
    </x:row>
    <x:row r="351" ht="30" customHeight="1">
      <x:c r="A351" s="26" t="str">
        <x:v>REL-0347</x:v>
      </x:c>
      <x:c r="B351" s="26" t="str">
        <x:v>33</x:v>
      </x:c>
      <x:c r="C351" s="26" t="str">
        <x:v>33_Project_Risk_Register_and_Business_Continuity_Plan.xlsx</x:v>
      </x:c>
      <x:c r="D351" s="26" t="str">
        <x:v>13</x:v>
      </x:c>
      <x:c r="E351" s="26" t="str">
        <x:v>13_Trazabilidad_y_Control_de_Cambios.xlsx</x:v>
      </x:c>
      <x:c r="F351" s="26" t="str">
        <x:v>DEPENDS ON / MUST REMAIN CONSISTENT WITH</x:v>
      </x:c>
      <x:c r="G351" s="26" t="str">
        <x:v>MANDATORY</x:v>
      </x:c>
      <x:c r="H351" s="26" t="str">
        <x:v>Update source when target changes materially; record impact in 13.</x:v>
      </x:c>
      <x:c r="I351" s="26" t="str">
        <x:v>PENDING FINAL REVALIDATION</x:v>
      </x:c>
    </x:row>
    <x:row r="352" ht="30" customHeight="1">
      <x:c r="A352" s="26" t="str">
        <x:v>REL-0348</x:v>
      </x:c>
      <x:c r="B352" s="26" t="str">
        <x:v>33</x:v>
      </x:c>
      <x:c r="C352" s="26" t="str">
        <x:v>33_Project_Risk_Register_and_Business_Continuity_Plan.xlsx</x:v>
      </x:c>
      <x:c r="D352" s="26" t="str">
        <x:v>16</x:v>
      </x:c>
      <x:c r="E352" s="26" t="str">
        <x:v>16_Auditoria_Global_de_Coherencia.md</x:v>
      </x:c>
      <x:c r="F352" s="26" t="str">
        <x:v>DEPENDS ON / MUST REMAIN CONSISTENT WITH</x:v>
      </x:c>
      <x:c r="G352" s="26" t="str">
        <x:v>MANDATORY</x:v>
      </x:c>
      <x:c r="H352" s="26" t="str">
        <x:v>Update source when target changes materially; record impact in 13.</x:v>
      </x:c>
      <x:c r="I352" s="26" t="str">
        <x:v>PENDING FINAL REVALIDATION</x:v>
      </x:c>
    </x:row>
    <x:row r="353" ht="30" customHeight="1">
      <x:c r="A353" s="26" t="str">
        <x:v>REL-0349</x:v>
      </x:c>
      <x:c r="B353" s="26" t="str">
        <x:v>33</x:v>
      </x:c>
      <x:c r="C353" s="26" t="str">
        <x:v>33_Project_Risk_Register_and_Business_Continuity_Plan.xlsx</x:v>
      </x:c>
      <x:c r="D353" s="26" t="str">
        <x:v>23</x:v>
      </x:c>
      <x:c r="E353" s="26" t="str">
        <x:v>23_Legal_Credits_and_Licenses_Register.xlsx</x:v>
      </x:c>
      <x:c r="F353" s="26" t="str">
        <x:v>DEPENDS ON / MUST REMAIN CONSISTENT WITH</x:v>
      </x:c>
      <x:c r="G353" s="26" t="str">
        <x:v>MANDATORY</x:v>
      </x:c>
      <x:c r="H353" s="26" t="str">
        <x:v>Update source when target changes materially; record impact in 13.</x:v>
      </x:c>
      <x:c r="I353" s="26" t="str">
        <x:v>PENDING FINAL REVALIDATION</x:v>
      </x:c>
    </x:row>
    <x:row r="354" ht="30" customHeight="1">
      <x:c r="A354" s="26" t="str">
        <x:v>REL-0350</x:v>
      </x:c>
      <x:c r="B354" s="26" t="str">
        <x:v>33</x:v>
      </x:c>
      <x:c r="C354" s="26" t="str">
        <x:v>33_Project_Risk_Register_and_Business_Continuity_Plan.xlsx</x:v>
      </x:c>
      <x:c r="D354" s="26" t="str">
        <x:v>24</x:v>
      </x:c>
      <x:c r="E354" s="26" t="str">
        <x:v>24_Steam_Publishing_Plan.md</x:v>
      </x:c>
      <x:c r="F354" s="26" t="str">
        <x:v>DEPENDS ON / MUST REMAIN CONSISTENT WITH</x:v>
      </x:c>
      <x:c r="G354" s="26" t="str">
        <x:v>MANDATORY</x:v>
      </x:c>
      <x:c r="H354" s="26" t="str">
        <x:v>Update source when target changes materially; record impact in 13.</x:v>
      </x:c>
      <x:c r="I354" s="26" t="str">
        <x:v>PENDING FINAL REVALIDATION</x:v>
      </x:c>
    </x:row>
    <x:row r="355" ht="30" customHeight="1">
      <x:c r="A355" s="26" t="str">
        <x:v>REL-0351</x:v>
      </x:c>
      <x:c r="B355" s="26" t="str">
        <x:v>33</x:v>
      </x:c>
      <x:c r="C355" s="26" t="str">
        <x:v>33_Project_Risk_Register_and_Business_Continuity_Plan.xlsx</x:v>
      </x:c>
      <x:c r="D355" s="26" t="str">
        <x:v>25</x:v>
      </x:c>
      <x:c r="E355" s="26" t="str">
        <x:v>25_Post_Launch_and_Live_Operations_Plan.md</x:v>
      </x:c>
      <x:c r="F355" s="26" t="str">
        <x:v>DEPENDS ON / MUST REMAIN CONSISTENT WITH</x:v>
      </x:c>
      <x:c r="G355" s="26" t="str">
        <x:v>MANDATORY</x:v>
      </x:c>
      <x:c r="H355" s="26" t="str">
        <x:v>Update source when target changes materially; record impact in 13.</x:v>
      </x:c>
      <x:c r="I355" s="26" t="str">
        <x:v>PENDING FINAL REVALIDATION</x:v>
      </x:c>
    </x:row>
    <x:row r="356" ht="30" customHeight="1">
      <x:c r="A356" s="26" t="str">
        <x:v>REL-0352</x:v>
      </x:c>
      <x:c r="B356" s="26" t="str">
        <x:v>33</x:v>
      </x:c>
      <x:c r="C356" s="26" t="str">
        <x:v>33_Project_Risk_Register_and_Business_Continuity_Plan.xlsx</x:v>
      </x:c>
      <x:c r="D356" s="26" t="str">
        <x:v>26</x:v>
      </x:c>
      <x:c r="E356" s="26" t="str">
        <x:v>26_Privacy_Data_and_Telemetry_Plan.md</x:v>
      </x:c>
      <x:c r="F356" s="26" t="str">
        <x:v>DEPENDS ON / MUST REMAIN CONSISTENT WITH</x:v>
      </x:c>
      <x:c r="G356" s="26" t="str">
        <x:v>MANDATORY</x:v>
      </x:c>
      <x:c r="H356" s="26" t="str">
        <x:v>Update source when target changes materially; record impact in 13.</x:v>
      </x:c>
      <x:c r="I356" s="26" t="str">
        <x:v>PENDING FINAL REVALIDATION</x:v>
      </x:c>
    </x:row>
    <x:row r="357" ht="30" customHeight="1">
      <x:c r="A357" s="26" t="str">
        <x:v>REL-0353</x:v>
      </x:c>
      <x:c r="B357" s="26" t="str">
        <x:v>33</x:v>
      </x:c>
      <x:c r="C357" s="26" t="str">
        <x:v>33_Project_Risk_Register_and_Business_Continuity_Plan.xlsx</x:v>
      </x:c>
      <x:c r="D357" s="26" t="str">
        <x:v>27</x:v>
      </x:c>
      <x:c r="E357" s="26" t="str">
        <x:v>27_Security_and_Incident_Response_Plan.md</x:v>
      </x:c>
      <x:c r="F357" s="26" t="str">
        <x:v>DEPENDS ON / MUST REMAIN CONSISTENT WITH</x:v>
      </x:c>
      <x:c r="G357" s="26" t="str">
        <x:v>MANDATORY</x:v>
      </x:c>
      <x:c r="H357" s="26" t="str">
        <x:v>Update source when target changes materially; record impact in 13.</x:v>
      </x:c>
      <x:c r="I357" s="26" t="str">
        <x:v>PENDING FINAL REVALIDATION</x:v>
      </x:c>
    </x:row>
    <x:row r="358" ht="30" customHeight="1">
      <x:c r="A358" s="26" t="str">
        <x:v>REL-0354</x:v>
      </x:c>
      <x:c r="B358" s="26" t="str">
        <x:v>33</x:v>
      </x:c>
      <x:c r="C358" s="26" t="str">
        <x:v>33_Project_Risk_Register_and_Business_Continuity_Plan.xlsx</x:v>
      </x:c>
      <x:c r="D358" s="26" t="str">
        <x:v>30</x:v>
      </x:c>
      <x:c r="E358" s="26" t="str">
        <x:v>30_Performance_and_Optimization_Plan.md</x:v>
      </x:c>
      <x:c r="F358" s="26" t="str">
        <x:v>DEPENDS ON / MUST REMAIN CONSISTENT WITH</x:v>
      </x:c>
      <x:c r="G358" s="26" t="str">
        <x:v>MANDATORY</x:v>
      </x:c>
      <x:c r="H358" s="26" t="str">
        <x:v>Update source when target changes materially; record impact in 13.</x:v>
      </x:c>
      <x:c r="I358" s="26" t="str">
        <x:v>PENDING FINAL REVALIDATION</x:v>
      </x:c>
    </x:row>
    <x:row r="359" ht="30" customHeight="1">
      <x:c r="A359" s="26" t="str">
        <x:v>REL-0355</x:v>
      </x:c>
      <x:c r="B359" s="26" t="str">
        <x:v>33</x:v>
      </x:c>
      <x:c r="C359" s="26" t="str">
        <x:v>33_Project_Risk_Register_and_Business_Continuity_Plan.xlsx</x:v>
      </x:c>
      <x:c r="D359" s="26" t="str">
        <x:v>31</x:v>
      </x:c>
      <x:c r="E359" s="26" t="str">
        <x:v>31_H6_and_Release_Readiness_Checklist.xlsx</x:v>
      </x:c>
      <x:c r="F359" s="26" t="str">
        <x:v>DEPENDS ON / MUST REMAIN CONSISTENT WITH</x:v>
      </x:c>
      <x:c r="G359" s="26" t="str">
        <x:v>MANDATORY</x:v>
      </x:c>
      <x:c r="H359" s="26" t="str">
        <x:v>Update source when target changes materially; record impact in 13.</x:v>
      </x:c>
      <x:c r="I359" s="26" t="str">
        <x:v>PENDING FINAL REVALIDATION</x:v>
      </x:c>
    </x:row>
    <x:row r="360" ht="30" customHeight="1">
      <x:c r="A360" s="26" t="str">
        <x:v>REL-0356</x:v>
      </x:c>
      <x:c r="B360" s="26" t="str">
        <x:v>33</x:v>
      </x:c>
      <x:c r="C360" s="26" t="str">
        <x:v>33_Project_Risk_Register_and_Business_Continuity_Plan.xlsx</x:v>
      </x:c>
      <x:c r="D360" s="26" t="str">
        <x:v>32</x:v>
      </x:c>
      <x:c r="E360" s="26" t="str">
        <x:v>32_Documentation_Baseline_Manifest.xlsx</x:v>
      </x:c>
      <x:c r="F360" s="26" t="str">
        <x:v>DEPENDS ON / MUST REMAIN CONSISTENT WITH</x:v>
      </x:c>
      <x:c r="G360" s="26" t="str">
        <x:v>MANDATORY</x:v>
      </x:c>
      <x:c r="H360" s="26" t="str">
        <x:v>Update source when target changes materially; record impact in 13.</x:v>
      </x:c>
      <x:c r="I360" s="26" t="str">
        <x:v>PENDING FINAL REVALIDATION</x:v>
      </x:c>
    </x:row>
    <x:row r="361" ht="30" customHeight="1">
      <x:c r="A361" s="26" t="str">
        <x:v>REL-0357</x:v>
      </x:c>
      <x:c r="B361" s="26" t="str">
        <x:v>34</x:v>
      </x:c>
      <x:c r="C361" s="26" t="str">
        <x:v>34_Final_Handoff_and_Project_Operations_Manual.md</x:v>
      </x:c>
      <x:c r="D361" s="26" t="str">
        <x:v>00</x:v>
      </x:c>
      <x:c r="E361" s="26" t="str">
        <x:v>00_Enfoque_y_Alcance.md</x:v>
      </x:c>
      <x:c r="F361" s="26" t="str">
        <x:v>DEPENDS ON / MUST REMAIN CONSISTENT WITH</x:v>
      </x:c>
      <x:c r="G361" s="26" t="str">
        <x:v>MANDATORY</x:v>
      </x:c>
      <x:c r="H361" s="26" t="str">
        <x:v>Update source when target changes materially; record impact in 13.</x:v>
      </x:c>
      <x:c r="I361" s="26" t="str">
        <x:v>PENDING FINAL REVALIDATION</x:v>
      </x:c>
    </x:row>
    <x:row r="362" ht="30" customHeight="1">
      <x:c r="A362" s="26" t="str">
        <x:v>REL-0358</x:v>
      </x:c>
      <x:c r="B362" s="26" t="str">
        <x:v>34</x:v>
      </x:c>
      <x:c r="C362" s="26" t="str">
        <x:v>34_Final_Handoff_and_Project_Operations_Manual.md</x:v>
      </x:c>
      <x:c r="D362" s="26" t="str">
        <x:v>01</x:v>
      </x:c>
      <x:c r="E362" s="26" t="str">
        <x:v>01_Game_Design_Document.md</x:v>
      </x:c>
      <x:c r="F362" s="26" t="str">
        <x:v>DEPENDS ON / MUST REMAIN CONSISTENT WITH</x:v>
      </x:c>
      <x:c r="G362" s="26" t="str">
        <x:v>MANDATORY</x:v>
      </x:c>
      <x:c r="H362" s="26" t="str">
        <x:v>Update source when target changes materially; record impact in 13.</x:v>
      </x:c>
      <x:c r="I362" s="26" t="str">
        <x:v>PENDING FINAL REVALIDATION</x:v>
      </x:c>
    </x:row>
    <x:row r="363" ht="30" customHeight="1">
      <x:c r="A363" s="26" t="str">
        <x:v>REL-0359</x:v>
      </x:c>
      <x:c r="B363" s="26" t="str">
        <x:v>34</x:v>
      </x:c>
      <x:c r="C363" s="26" t="str">
        <x:v>34_Final_Handoff_and_Project_Operations_Manual.md</x:v>
      </x:c>
      <x:c r="D363" s="26" t="str">
        <x:v>02</x:v>
      </x:c>
      <x:c r="E363" s="26" t="str">
        <x:v>02_Vertical_Slice_Specification.md</x:v>
      </x:c>
      <x:c r="F363" s="26" t="str">
        <x:v>DEPENDS ON / MUST REMAIN CONSISTENT WITH</x:v>
      </x:c>
      <x:c r="G363" s="26" t="str">
        <x:v>MANDATORY</x:v>
      </x:c>
      <x:c r="H363" s="26" t="str">
        <x:v>Update source when target changes materially; record impact in 13.</x:v>
      </x:c>
      <x:c r="I363" s="26" t="str">
        <x:v>PENDING FINAL REVALIDATION</x:v>
      </x:c>
    </x:row>
    <x:row r="364" ht="30" customHeight="1">
      <x:c r="A364" s="26" t="str">
        <x:v>REL-0360</x:v>
      </x:c>
      <x:c r="B364" s="26" t="str">
        <x:v>34</x:v>
      </x:c>
      <x:c r="C364" s="26" t="str">
        <x:v>34_Final_Handoff_and_Project_Operations_Manual.md</x:v>
      </x:c>
      <x:c r="D364" s="26" t="str">
        <x:v>03</x:v>
      </x:c>
      <x:c r="E364" s="26" t="str">
        <x:v>03_Technical_Design_Document.md</x:v>
      </x:c>
      <x:c r="F364" s="26" t="str">
        <x:v>DEPENDS ON / MUST REMAIN CONSISTENT WITH</x:v>
      </x:c>
      <x:c r="G364" s="26" t="str">
        <x:v>MANDATORY</x:v>
      </x:c>
      <x:c r="H364" s="26" t="str">
        <x:v>Update source when target changes materially; record impact in 13.</x:v>
      </x:c>
      <x:c r="I364" s="26" t="str">
        <x:v>PENDING FINAL REVALIDATION</x:v>
      </x:c>
    </x:row>
    <x:row r="365" ht="30" customHeight="1">
      <x:c r="A365" s="26" t="str">
        <x:v>REL-0361</x:v>
      </x:c>
      <x:c r="B365" s="26" t="str">
        <x:v>34</x:v>
      </x:c>
      <x:c r="C365" s="26" t="str">
        <x:v>34_Final_Handoff_and_Project_Operations_Manual.md</x:v>
      </x:c>
      <x:c r="D365" s="26" t="str">
        <x:v>04</x:v>
      </x:c>
      <x:c r="E365" s="26" t="str">
        <x:v>04_Modelo_de_Datos.md</x:v>
      </x:c>
      <x:c r="F365" s="26" t="str">
        <x:v>DEPENDS ON / MUST REMAIN CONSISTENT WITH</x:v>
      </x:c>
      <x:c r="G365" s="26" t="str">
        <x:v>MANDATORY</x:v>
      </x:c>
      <x:c r="H365" s="26" t="str">
        <x:v>Update source when target changes materially; record impact in 13.</x:v>
      </x:c>
      <x:c r="I365" s="26" t="str">
        <x:v>PENDING FINAL REVALIDATION</x:v>
      </x:c>
    </x:row>
    <x:row r="366" ht="30" customHeight="1">
      <x:c r="A366" s="26" t="str">
        <x:v>REL-0362</x:v>
      </x:c>
      <x:c r="B366" s="26" t="str">
        <x:v>34</x:v>
      </x:c>
      <x:c r="C366" s="26" t="str">
        <x:v>34_Final_Handoff_and_Project_Operations_Manual.md</x:v>
      </x:c>
      <x:c r="D366" s="26" t="str">
        <x:v>05</x:v>
      </x:c>
      <x:c r="E366" s="26" t="str">
        <x:v>05_UX_Flow.md</x:v>
      </x:c>
      <x:c r="F366" s="26" t="str">
        <x:v>DEPENDS ON / MUST REMAIN CONSISTENT WITH</x:v>
      </x:c>
      <x:c r="G366" s="26" t="str">
        <x:v>MANDATORY</x:v>
      </x:c>
      <x:c r="H366" s="26" t="str">
        <x:v>Update source when target changes materially; record impact in 13.</x:v>
      </x:c>
      <x:c r="I366" s="26" t="str">
        <x:v>PENDING FINAL REVALIDATION</x:v>
      </x:c>
    </x:row>
    <x:row r="367" ht="30" customHeight="1">
      <x:c r="A367" s="26" t="str">
        <x:v>REL-0363</x:v>
      </x:c>
      <x:c r="B367" s="26" t="str">
        <x:v>34</x:v>
      </x:c>
      <x:c r="C367" s="26" t="str">
        <x:v>34_Final_Handoff_and_Project_Operations_Manual.md</x:v>
      </x:c>
      <x:c r="D367" s="26" t="str">
        <x:v>06</x:v>
      </x:c>
      <x:c r="E367" s="26" t="str">
        <x:v>06_Production_Roadmap_y_Sprint_Plan.md</x:v>
      </x:c>
      <x:c r="F367" s="26" t="str">
        <x:v>DEPENDS ON / MUST REMAIN CONSISTENT WITH</x:v>
      </x:c>
      <x:c r="G367" s="26" t="str">
        <x:v>MANDATORY</x:v>
      </x:c>
      <x:c r="H367" s="26" t="str">
        <x:v>Update source when target changes materially; record impact in 13.</x:v>
      </x:c>
      <x:c r="I367" s="26" t="str">
        <x:v>PENDING FINAL REVALIDATION</x:v>
      </x:c>
    </x:row>
    <x:row r="368" ht="30" customHeight="1">
      <x:c r="A368" s="26" t="str">
        <x:v>REL-0364</x:v>
      </x:c>
      <x:c r="B368" s="26" t="str">
        <x:v>34</x:v>
      </x:c>
      <x:c r="C368" s="26" t="str">
        <x:v>34_Final_Handoff_and_Project_Operations_Manual.md</x:v>
      </x:c>
      <x:c r="D368" s="26" t="str">
        <x:v>07</x:v>
      </x:c>
      <x:c r="E368" s="26" t="str">
        <x:v>07_QA_Testing_Plan.md</x:v>
      </x:c>
      <x:c r="F368" s="26" t="str">
        <x:v>DEPENDS ON / MUST REMAIN CONSISTENT WITH</x:v>
      </x:c>
      <x:c r="G368" s="26" t="str">
        <x:v>MANDATORY</x:v>
      </x:c>
      <x:c r="H368" s="26" t="str">
        <x:v>Update source when target changes materially; record impact in 13.</x:v>
      </x:c>
      <x:c r="I368" s="26" t="str">
        <x:v>PENDING FINAL REVALIDATION</x:v>
      </x:c>
    </x:row>
    <x:row r="369" ht="30" customHeight="1">
      <x:c r="A369" s="26" t="str">
        <x:v>REL-0365</x:v>
      </x:c>
      <x:c r="B369" s="26" t="str">
        <x:v>34</x:v>
      </x:c>
      <x:c r="C369" s="26" t="str">
        <x:v>34_Final_Handoff_and_Project_Operations_Manual.md</x:v>
      </x:c>
      <x:c r="D369" s="26" t="str">
        <x:v>08</x:v>
      </x:c>
      <x:c r="E369" s="26" t="str">
        <x:v>08_QA_Testing_Matrix.xlsx</x:v>
      </x:c>
      <x:c r="F369" s="26" t="str">
        <x:v>DEPENDS ON / MUST REMAIN CONSISTENT WITH</x:v>
      </x:c>
      <x:c r="G369" s="26" t="str">
        <x:v>MANDATORY</x:v>
      </x:c>
      <x:c r="H369" s="26" t="str">
        <x:v>Update source when target changes materially; record impact in 13.</x:v>
      </x:c>
      <x:c r="I369" s="26" t="str">
        <x:v>PENDING FINAL REVALIDATION</x:v>
      </x:c>
    </x:row>
    <x:row r="370" ht="30" customHeight="1">
      <x:c r="A370" s="26" t="str">
        <x:v>REL-0366</x:v>
      </x:c>
      <x:c r="B370" s="26" t="str">
        <x:v>34</x:v>
      </x:c>
      <x:c r="C370" s="26" t="str">
        <x:v>34_Final_Handoff_and_Project_Operations_Manual.md</x:v>
      </x:c>
      <x:c r="D370" s="26" t="str">
        <x:v>09</x:v>
      </x:c>
      <x:c r="E370" s="26" t="str">
        <x:v>09_CSharp_Coding_Standards.md</x:v>
      </x:c>
      <x:c r="F370" s="26" t="str">
        <x:v>DEPENDS ON / MUST REMAIN CONSISTENT WITH</x:v>
      </x:c>
      <x:c r="G370" s="26" t="str">
        <x:v>MANDATORY</x:v>
      </x:c>
      <x:c r="H370" s="26" t="str">
        <x:v>Update source when target changes materially; record impact in 13.</x:v>
      </x:c>
      <x:c r="I370" s="26" t="str">
        <x:v>PENDING FINAL REVALIDATION</x:v>
      </x:c>
    </x:row>
    <x:row r="371" ht="30" customHeight="1">
      <x:c r="A371" s="26" t="str">
        <x:v>REL-0367</x:v>
      </x:c>
      <x:c r="B371" s="26" t="str">
        <x:v>34</x:v>
      </x:c>
      <x:c r="C371" s="26" t="str">
        <x:v>34_Final_Handoff_and_Project_Operations_Manual.md</x:v>
      </x:c>
      <x:c r="D371" s="26" t="str">
        <x:v>10</x:v>
      </x:c>
      <x:c r="E371" s="26" t="str">
        <x:v>10_Unity_Project_Setup_Guide.md</x:v>
      </x:c>
      <x:c r="F371" s="26" t="str">
        <x:v>DEPENDS ON / MUST REMAIN CONSISTENT WITH</x:v>
      </x:c>
      <x:c r="G371" s="26" t="str">
        <x:v>MANDATORY</x:v>
      </x:c>
      <x:c r="H371" s="26" t="str">
        <x:v>Update source when target changes materially; record impact in 13.</x:v>
      </x:c>
      <x:c r="I371" s="26" t="str">
        <x:v>PENDING FINAL REVALIDATION</x:v>
      </x:c>
    </x:row>
    <x:row r="372" ht="30" customHeight="1">
      <x:c r="A372" s="26" t="str">
        <x:v>REL-0368</x:v>
      </x:c>
      <x:c r="B372" s="26" t="str">
        <x:v>34</x:v>
      </x:c>
      <x:c r="C372" s="26" t="str">
        <x:v>34_Final_Handoff_and_Project_Operations_Manual.md</x:v>
      </x:c>
      <x:c r="D372" s="26" t="str">
        <x:v>11</x:v>
      </x:c>
      <x:c r="E372" s="26" t="str">
        <x:v>11_Build_y_Versioning_Guide.md</x:v>
      </x:c>
      <x:c r="F372" s="26" t="str">
        <x:v>DEPENDS ON / MUST REMAIN CONSISTENT WITH</x:v>
      </x:c>
      <x:c r="G372" s="26" t="str">
        <x:v>MANDATORY</x:v>
      </x:c>
      <x:c r="H372" s="26" t="str">
        <x:v>Update source when target changes materially; record impact in 13.</x:v>
      </x:c>
      <x:c r="I372" s="26" t="str">
        <x:v>PENDING FINAL REVALIDATION</x:v>
      </x:c>
    </x:row>
    <x:row r="373" ht="30" customHeight="1">
      <x:c r="A373" s="26" t="str">
        <x:v>REL-0369</x:v>
      </x:c>
      <x:c r="B373" s="26" t="str">
        <x:v>34</x:v>
      </x:c>
      <x:c r="C373" s="26" t="str">
        <x:v>34_Final_Handoff_and_Project_Operations_Manual.md</x:v>
      </x:c>
      <x:c r="D373" s="26" t="str">
        <x:v>12</x:v>
      </x:c>
      <x:c r="E373" s="26" t="str">
        <x:v>12_Excel_Maestro_de_Produccion.xlsx</x:v>
      </x:c>
      <x:c r="F373" s="26" t="str">
        <x:v>DEPENDS ON / MUST REMAIN CONSISTENT WITH</x:v>
      </x:c>
      <x:c r="G373" s="26" t="str">
        <x:v>MANDATORY</x:v>
      </x:c>
      <x:c r="H373" s="26" t="str">
        <x:v>Update source when target changes materially; record impact in 13.</x:v>
      </x:c>
      <x:c r="I373" s="26" t="str">
        <x:v>PENDING FINAL REVALIDATION</x:v>
      </x:c>
    </x:row>
    <x:row r="374" ht="30" customHeight="1">
      <x:c r="A374" s="26" t="str">
        <x:v>REL-0370</x:v>
      </x:c>
      <x:c r="B374" s="26" t="str">
        <x:v>34</x:v>
      </x:c>
      <x:c r="C374" s="26" t="str">
        <x:v>34_Final_Handoff_and_Project_Operations_Manual.md</x:v>
      </x:c>
      <x:c r="D374" s="26" t="str">
        <x:v>13</x:v>
      </x:c>
      <x:c r="E374" s="26" t="str">
        <x:v>13_Trazabilidad_y_Control_de_Cambios.xlsx</x:v>
      </x:c>
      <x:c r="F374" s="26" t="str">
        <x:v>DEPENDS ON / MUST REMAIN CONSISTENT WITH</x:v>
      </x:c>
      <x:c r="G374" s="26" t="str">
        <x:v>MANDATORY</x:v>
      </x:c>
      <x:c r="H374" s="26" t="str">
        <x:v>Update source when target changes materially; record impact in 13.</x:v>
      </x:c>
      <x:c r="I374" s="26" t="str">
        <x:v>PENDING FINAL REVALIDATION</x:v>
      </x:c>
    </x:row>
    <x:row r="375" ht="30" customHeight="1">
      <x:c r="A375" s="26" t="str">
        <x:v>REL-0371</x:v>
      </x:c>
      <x:c r="B375" s="26" t="str">
        <x:v>34</x:v>
      </x:c>
      <x:c r="C375" s="26" t="str">
        <x:v>34_Final_Handoff_and_Project_Operations_Manual.md</x:v>
      </x:c>
      <x:c r="D375" s="26" t="str">
        <x:v>14</x:v>
      </x:c>
      <x:c r="E375" s="26" t="str">
        <x:v>14_Project_Binder_Indice_Maestro.md</x:v>
      </x:c>
      <x:c r="F375" s="26" t="str">
        <x:v>DEPENDS ON / MUST REMAIN CONSISTENT WITH</x:v>
      </x:c>
      <x:c r="G375" s="26" t="str">
        <x:v>MANDATORY</x:v>
      </x:c>
      <x:c r="H375" s="26" t="str">
        <x:v>Update source when target changes materially; record impact in 13.</x:v>
      </x:c>
      <x:c r="I375" s="26" t="str">
        <x:v>PENDING FINAL REVALIDATION</x:v>
      </x:c>
    </x:row>
    <x:row r="376" ht="30" customHeight="1">
      <x:c r="A376" s="26" t="str">
        <x:v>REL-0372</x:v>
      </x:c>
      <x:c r="B376" s="26" t="str">
        <x:v>34</x:v>
      </x:c>
      <x:c r="C376" s="26" t="str">
        <x:v>34_Final_Handoff_and_Project_Operations_Manual.md</x:v>
      </x:c>
      <x:c r="D376" s="26" t="str">
        <x:v>15</x:v>
      </x:c>
      <x:c r="E376" s="26" t="str">
        <x:v>15_Guia_Maestra.md</x:v>
      </x:c>
      <x:c r="F376" s="26" t="str">
        <x:v>DEPENDS ON / MUST REMAIN CONSISTENT WITH</x:v>
      </x:c>
      <x:c r="G376" s="26" t="str">
        <x:v>MANDATORY</x:v>
      </x:c>
      <x:c r="H376" s="26" t="str">
        <x:v>Update source when target changes materially; record impact in 13.</x:v>
      </x:c>
      <x:c r="I376" s="26" t="str">
        <x:v>PENDING FINAL REVALIDATION</x:v>
      </x:c>
    </x:row>
    <x:row r="377" ht="30" customHeight="1">
      <x:c r="A377" s="26" t="str">
        <x:v>REL-0373</x:v>
      </x:c>
      <x:c r="B377" s="26" t="str">
        <x:v>34</x:v>
      </x:c>
      <x:c r="C377" s="26" t="str">
        <x:v>34_Final_Handoff_and_Project_Operations_Manual.md</x:v>
      </x:c>
      <x:c r="D377" s="26" t="str">
        <x:v>16</x:v>
      </x:c>
      <x:c r="E377" s="26" t="str">
        <x:v>16_Auditoria_Global_de_Coherencia.md</x:v>
      </x:c>
      <x:c r="F377" s="26" t="str">
        <x:v>DEPENDS ON / MUST REMAIN CONSISTENT WITH</x:v>
      </x:c>
      <x:c r="G377" s="26" t="str">
        <x:v>MANDATORY</x:v>
      </x:c>
      <x:c r="H377" s="26" t="str">
        <x:v>Update source when target changes materially; record impact in 13.</x:v>
      </x:c>
      <x:c r="I377" s="26" t="str">
        <x:v>PENDING FINAL REVALIDATION</x:v>
      </x:c>
    </x:row>
    <x:row r="378" ht="30" customHeight="1">
      <x:c r="A378" s="26" t="str">
        <x:v>REL-0374</x:v>
      </x:c>
      <x:c r="B378" s="26" t="str">
        <x:v>34</x:v>
      </x:c>
      <x:c r="C378" s="26" t="str">
        <x:v>34_Final_Handoff_and_Project_Operations_Manual.md</x:v>
      </x:c>
      <x:c r="D378" s="26" t="str">
        <x:v>17</x:v>
      </x:c>
      <x:c r="E378" s="26" t="str">
        <x:v>17_Art_Bible.md</x:v>
      </x:c>
      <x:c r="F378" s="26" t="str">
        <x:v>DEPENDS ON / MUST REMAIN CONSISTENT WITH</x:v>
      </x:c>
      <x:c r="G378" s="26" t="str">
        <x:v>MANDATORY</x:v>
      </x:c>
      <x:c r="H378" s="26" t="str">
        <x:v>Update source when target changes materially; record impact in 13.</x:v>
      </x:c>
      <x:c r="I378" s="26" t="str">
        <x:v>PENDING FINAL REVALIDATION</x:v>
      </x:c>
    </x:row>
    <x:row r="379" ht="30" customHeight="1">
      <x:c r="A379" s="26" t="str">
        <x:v>REL-0375</x:v>
      </x:c>
      <x:c r="B379" s="26" t="str">
        <x:v>34</x:v>
      </x:c>
      <x:c r="C379" s="26" t="str">
        <x:v>34_Final_Handoff_and_Project_Operations_Manual.md</x:v>
      </x:c>
      <x:c r="D379" s="26" t="str">
        <x:v>18</x:v>
      </x:c>
      <x:c r="E379" s="26" t="str">
        <x:v>18_Audio_Bible.md</x:v>
      </x:c>
      <x:c r="F379" s="26" t="str">
        <x:v>DEPENDS ON / MUST REMAIN CONSISTENT WITH</x:v>
      </x:c>
      <x:c r="G379" s="26" t="str">
        <x:v>MANDATORY</x:v>
      </x:c>
      <x:c r="H379" s="26" t="str">
        <x:v>Update source when target changes materially; record impact in 13.</x:v>
      </x:c>
      <x:c r="I379" s="26" t="str">
        <x:v>PENDING FINAL REVALIDATION</x:v>
      </x:c>
    </x:row>
    <x:row r="380" ht="30" customHeight="1">
      <x:c r="A380" s="26" t="str">
        <x:v>REL-0376</x:v>
      </x:c>
      <x:c r="B380" s="26" t="str">
        <x:v>34</x:v>
      </x:c>
      <x:c r="C380" s="26" t="str">
        <x:v>34_Final_Handoff_and_Project_Operations_Manual.md</x:v>
      </x:c>
      <x:c r="D380" s="26" t="str">
        <x:v>19</x:v>
      </x:c>
      <x:c r="E380" s="26" t="str">
        <x:v>19_UI_Style_Guide.md</x:v>
      </x:c>
      <x:c r="F380" s="26" t="str">
        <x:v>DEPENDS ON / MUST REMAIN CONSISTENT WITH</x:v>
      </x:c>
      <x:c r="G380" s="26" t="str">
        <x:v>MANDATORY</x:v>
      </x:c>
      <x:c r="H380" s="26" t="str">
        <x:v>Update source when target changes materially; record impact in 13.</x:v>
      </x:c>
      <x:c r="I380" s="26" t="str">
        <x:v>PENDING FINAL REVALIDATION</x:v>
      </x:c>
    </x:row>
    <x:row r="381" ht="30" customHeight="1">
      <x:c r="A381" s="26" t="str">
        <x:v>REL-0377</x:v>
      </x:c>
      <x:c r="B381" s="26" t="str">
        <x:v>34</x:v>
      </x:c>
      <x:c r="C381" s="26" t="str">
        <x:v>34_Final_Handoff_and_Project_Operations_Manual.md</x:v>
      </x:c>
      <x:c r="D381" s="26" t="str">
        <x:v>20</x:v>
      </x:c>
      <x:c r="E381" s="26" t="str">
        <x:v>20_Economy_and_Balance_Specification.md</x:v>
      </x:c>
      <x:c r="F381" s="26" t="str">
        <x:v>DEPENDS ON / MUST REMAIN CONSISTENT WITH</x:v>
      </x:c>
      <x:c r="G381" s="26" t="str">
        <x:v>MANDATORY</x:v>
      </x:c>
      <x:c r="H381" s="26" t="str">
        <x:v>Update source when target changes materially; record impact in 13.</x:v>
      </x:c>
      <x:c r="I381" s="26" t="str">
        <x:v>PENDING FINAL REVALIDATION</x:v>
      </x:c>
    </x:row>
    <x:row r="382" ht="30" customHeight="1">
      <x:c r="A382" s="26" t="str">
        <x:v>REL-0378</x:v>
      </x:c>
      <x:c r="B382" s="26" t="str">
        <x:v>34</x:v>
      </x:c>
      <x:c r="C382" s="26" t="str">
        <x:v>34_Final_Handoff_and_Project_Operations_Manual.md</x:v>
      </x:c>
      <x:c r="D382" s="26" t="str">
        <x:v>21</x:v>
      </x:c>
      <x:c r="E382" s="26" t="str">
        <x:v>21_Initial_Content_Catalog.xlsx</x:v>
      </x:c>
      <x:c r="F382" s="26" t="str">
        <x:v>DEPENDS ON / MUST REMAIN CONSISTENT WITH</x:v>
      </x:c>
      <x:c r="G382" s="26" t="str">
        <x:v>MANDATORY</x:v>
      </x:c>
      <x:c r="H382" s="26" t="str">
        <x:v>Update source when target changes materially; record impact in 13.</x:v>
      </x:c>
      <x:c r="I382" s="26" t="str">
        <x:v>PENDING FINAL REVALIDATION</x:v>
      </x:c>
    </x:row>
    <x:row r="383" ht="30" customHeight="1">
      <x:c r="A383" s="26" t="str">
        <x:v>REL-0379</x:v>
      </x:c>
      <x:c r="B383" s="26" t="str">
        <x:v>34</x:v>
      </x:c>
      <x:c r="C383" s="26" t="str">
        <x:v>34_Final_Handoff_and_Project_Operations_Manual.md</x:v>
      </x:c>
      <x:c r="D383" s="26" t="str">
        <x:v>22</x:v>
      </x:c>
      <x:c r="E383" s="26" t="str">
        <x:v>22_Localization_Plan.md</x:v>
      </x:c>
      <x:c r="F383" s="26" t="str">
        <x:v>DEPENDS ON / MUST REMAIN CONSISTENT WITH</x:v>
      </x:c>
      <x:c r="G383" s="26" t="str">
        <x:v>MANDATORY</x:v>
      </x:c>
      <x:c r="H383" s="26" t="str">
        <x:v>Update source when target changes materially; record impact in 13.</x:v>
      </x:c>
      <x:c r="I383" s="26" t="str">
        <x:v>PENDING FINAL REVALIDATION</x:v>
      </x:c>
    </x:row>
    <x:row r="384" ht="30" customHeight="1">
      <x:c r="A384" s="26" t="str">
        <x:v>REL-0380</x:v>
      </x:c>
      <x:c r="B384" s="26" t="str">
        <x:v>34</x:v>
      </x:c>
      <x:c r="C384" s="26" t="str">
        <x:v>34_Final_Handoff_and_Project_Operations_Manual.md</x:v>
      </x:c>
      <x:c r="D384" s="26" t="str">
        <x:v>23</x:v>
      </x:c>
      <x:c r="E384" s="26" t="str">
        <x:v>23_Legal_Credits_and_Licenses_Register.xlsx</x:v>
      </x:c>
      <x:c r="F384" s="26" t="str">
        <x:v>DEPENDS ON / MUST REMAIN CONSISTENT WITH</x:v>
      </x:c>
      <x:c r="G384" s="26" t="str">
        <x:v>MANDATORY</x:v>
      </x:c>
      <x:c r="H384" s="26" t="str">
        <x:v>Update source when target changes materially; record impact in 13.</x:v>
      </x:c>
      <x:c r="I384" s="26" t="str">
        <x:v>PENDING FINAL REVALIDATION</x:v>
      </x:c>
    </x:row>
    <x:row r="385" ht="30" customHeight="1">
      <x:c r="A385" s="26" t="str">
        <x:v>REL-0381</x:v>
      </x:c>
      <x:c r="B385" s="26" t="str">
        <x:v>34</x:v>
      </x:c>
      <x:c r="C385" s="26" t="str">
        <x:v>34_Final_Handoff_and_Project_Operations_Manual.md</x:v>
      </x:c>
      <x:c r="D385" s="26" t="str">
        <x:v>24</x:v>
      </x:c>
      <x:c r="E385" s="26" t="str">
        <x:v>24_Steam_Publishing_Plan.md</x:v>
      </x:c>
      <x:c r="F385" s="26" t="str">
        <x:v>DEPENDS ON / MUST REMAIN CONSISTENT WITH</x:v>
      </x:c>
      <x:c r="G385" s="26" t="str">
        <x:v>MANDATORY</x:v>
      </x:c>
      <x:c r="H385" s="26" t="str">
        <x:v>Update source when target changes materially; record impact in 13.</x:v>
      </x:c>
      <x:c r="I385" s="26" t="str">
        <x:v>PENDING FINAL REVALIDATION</x:v>
      </x:c>
    </x:row>
    <x:row r="386" ht="30" customHeight="1">
      <x:c r="A386" s="26" t="str">
        <x:v>REL-0382</x:v>
      </x:c>
      <x:c r="B386" s="26" t="str">
        <x:v>34</x:v>
      </x:c>
      <x:c r="C386" s="26" t="str">
        <x:v>34_Final_Handoff_and_Project_Operations_Manual.md</x:v>
      </x:c>
      <x:c r="D386" s="26" t="str">
        <x:v>25</x:v>
      </x:c>
      <x:c r="E386" s="26" t="str">
        <x:v>25_Post_Launch_and_Live_Operations_Plan.md</x:v>
      </x:c>
      <x:c r="F386" s="26" t="str">
        <x:v>DEPENDS ON / MUST REMAIN CONSISTENT WITH</x:v>
      </x:c>
      <x:c r="G386" s="26" t="str">
        <x:v>MANDATORY</x:v>
      </x:c>
      <x:c r="H386" s="26" t="str">
        <x:v>Update source when target changes materially; record impact in 13.</x:v>
      </x:c>
      <x:c r="I386" s="26" t="str">
        <x:v>PENDING FINAL REVALIDATION</x:v>
      </x:c>
    </x:row>
    <x:row r="387" ht="30" customHeight="1">
      <x:c r="A387" s="26" t="str">
        <x:v>REL-0383</x:v>
      </x:c>
      <x:c r="B387" s="26" t="str">
        <x:v>34</x:v>
      </x:c>
      <x:c r="C387" s="26" t="str">
        <x:v>34_Final_Handoff_and_Project_Operations_Manual.md</x:v>
      </x:c>
      <x:c r="D387" s="26" t="str">
        <x:v>26</x:v>
      </x:c>
      <x:c r="E387" s="26" t="str">
        <x:v>26_Privacy_Data_and_Telemetry_Plan.md</x:v>
      </x:c>
      <x:c r="F387" s="26" t="str">
        <x:v>DEPENDS ON / MUST REMAIN CONSISTENT WITH</x:v>
      </x:c>
      <x:c r="G387" s="26" t="str">
        <x:v>MANDATORY</x:v>
      </x:c>
      <x:c r="H387" s="26" t="str">
        <x:v>Update source when target changes materially; record impact in 13.</x:v>
      </x:c>
      <x:c r="I387" s="26" t="str">
        <x:v>PENDING FINAL REVALIDATION</x:v>
      </x:c>
    </x:row>
    <x:row r="388" ht="30" customHeight="1">
      <x:c r="A388" s="26" t="str">
        <x:v>REL-0384</x:v>
      </x:c>
      <x:c r="B388" s="26" t="str">
        <x:v>34</x:v>
      </x:c>
      <x:c r="C388" s="26" t="str">
        <x:v>34_Final_Handoff_and_Project_Operations_Manual.md</x:v>
      </x:c>
      <x:c r="D388" s="26" t="str">
        <x:v>27</x:v>
      </x:c>
      <x:c r="E388" s="26" t="str">
        <x:v>27_Security_and_Incident_Response_Plan.md</x:v>
      </x:c>
      <x:c r="F388" s="26" t="str">
        <x:v>DEPENDS ON / MUST REMAIN CONSISTENT WITH</x:v>
      </x:c>
      <x:c r="G388" s="26" t="str">
        <x:v>MANDATORY</x:v>
      </x:c>
      <x:c r="H388" s="26" t="str">
        <x:v>Update source when target changes materially; record impact in 13.</x:v>
      </x:c>
      <x:c r="I388" s="26" t="str">
        <x:v>PENDING FINAL REVALIDATION</x:v>
      </x:c>
    </x:row>
    <x:row r="389" ht="30" customHeight="1">
      <x:c r="A389" s="26" t="str">
        <x:v>REL-0385</x:v>
      </x:c>
      <x:c r="B389" s="26" t="str">
        <x:v>34</x:v>
      </x:c>
      <x:c r="C389" s="26" t="str">
        <x:v>34_Final_Handoff_and_Project_Operations_Manual.md</x:v>
      </x:c>
      <x:c r="D389" s="26" t="str">
        <x:v>28</x:v>
      </x:c>
      <x:c r="E389" s="26" t="str">
        <x:v>28_Marketing_and_Communication_Plan.md</x:v>
      </x:c>
      <x:c r="F389" s="26" t="str">
        <x:v>DEPENDS ON / MUST REMAIN CONSISTENT WITH</x:v>
      </x:c>
      <x:c r="G389" s="26" t="str">
        <x:v>MANDATORY</x:v>
      </x:c>
      <x:c r="H389" s="26" t="str">
        <x:v>Update source when target changes materially; record impact in 13.</x:v>
      </x:c>
      <x:c r="I389" s="26" t="str">
        <x:v>PENDING FINAL REVALIDATION</x:v>
      </x:c>
    </x:row>
    <x:row r="390" ht="30" customHeight="1">
      <x:c r="A390" s="26" t="str">
        <x:v>REL-0386</x:v>
      </x:c>
      <x:c r="B390" s="26" t="str">
        <x:v>34</x:v>
      </x:c>
      <x:c r="C390" s="26" t="str">
        <x:v>34_Final_Handoff_and_Project_Operations_Manual.md</x:v>
      </x:c>
      <x:c r="D390" s="26" t="str">
        <x:v>29</x:v>
      </x:c>
      <x:c r="E390" s="26" t="str">
        <x:v>29_Accessibility_and_Inclusive_Design_Plan.md</x:v>
      </x:c>
      <x:c r="F390" s="26" t="str">
        <x:v>DEPENDS ON / MUST REMAIN CONSISTENT WITH</x:v>
      </x:c>
      <x:c r="G390" s="26" t="str">
        <x:v>MANDATORY</x:v>
      </x:c>
      <x:c r="H390" s="26" t="str">
        <x:v>Update source when target changes materially; record impact in 13.</x:v>
      </x:c>
      <x:c r="I390" s="26" t="str">
        <x:v>PENDING FINAL REVALIDATION</x:v>
      </x:c>
    </x:row>
    <x:row r="391" ht="30" customHeight="1">
      <x:c r="A391" s="26" t="str">
        <x:v>REL-0387</x:v>
      </x:c>
      <x:c r="B391" s="26" t="str">
        <x:v>34</x:v>
      </x:c>
      <x:c r="C391" s="26" t="str">
        <x:v>34_Final_Handoff_and_Project_Operations_Manual.md</x:v>
      </x:c>
      <x:c r="D391" s="26" t="str">
        <x:v>30</x:v>
      </x:c>
      <x:c r="E391" s="26" t="str">
        <x:v>30_Performance_and_Optimization_Plan.md</x:v>
      </x:c>
      <x:c r="F391" s="26" t="str">
        <x:v>DEPENDS ON / MUST REMAIN CONSISTENT WITH</x:v>
      </x:c>
      <x:c r="G391" s="26" t="str">
        <x:v>MANDATORY</x:v>
      </x:c>
      <x:c r="H391" s="26" t="str">
        <x:v>Update source when target changes materially; record impact in 13.</x:v>
      </x:c>
      <x:c r="I391" s="26" t="str">
        <x:v>PENDING FINAL REVALIDATION</x:v>
      </x:c>
    </x:row>
    <x:row r="392" ht="30" customHeight="1">
      <x:c r="A392" s="26" t="str">
        <x:v>REL-0388</x:v>
      </x:c>
      <x:c r="B392" s="26" t="str">
        <x:v>34</x:v>
      </x:c>
      <x:c r="C392" s="26" t="str">
        <x:v>34_Final_Handoff_and_Project_Operations_Manual.md</x:v>
      </x:c>
      <x:c r="D392" s="26" t="str">
        <x:v>31</x:v>
      </x:c>
      <x:c r="E392" s="26" t="str">
        <x:v>31_H6_and_Release_Readiness_Checklist.xlsx</x:v>
      </x:c>
      <x:c r="F392" s="26" t="str">
        <x:v>DEPENDS ON / MUST REMAIN CONSISTENT WITH</x:v>
      </x:c>
      <x:c r="G392" s="26" t="str">
        <x:v>MANDATORY</x:v>
      </x:c>
      <x:c r="H392" s="26" t="str">
        <x:v>Update source when target changes materially; record impact in 13.</x:v>
      </x:c>
      <x:c r="I392" s="26" t="str">
        <x:v>PENDING FINAL REVALIDATION</x:v>
      </x:c>
    </x:row>
    <x:row r="393" ht="30" customHeight="1">
      <x:c r="A393" s="26" t="str">
        <x:v>REL-0389</x:v>
      </x:c>
      <x:c r="B393" s="26" t="str">
        <x:v>34</x:v>
      </x:c>
      <x:c r="C393" s="26" t="str">
        <x:v>34_Final_Handoff_and_Project_Operations_Manual.md</x:v>
      </x:c>
      <x:c r="D393" s="26" t="str">
        <x:v>32</x:v>
      </x:c>
      <x:c r="E393" s="26" t="str">
        <x:v>32_Documentation_Baseline_Manifest.xlsx</x:v>
      </x:c>
      <x:c r="F393" s="26" t="str">
        <x:v>DEPENDS ON / MUST REMAIN CONSISTENT WITH</x:v>
      </x:c>
      <x:c r="G393" s="26" t="str">
        <x:v>MANDATORY</x:v>
      </x:c>
      <x:c r="H393" s="26" t="str">
        <x:v>Update source when target changes materially; record impact in 13.</x:v>
      </x:c>
      <x:c r="I393" s="26" t="str">
        <x:v>PENDING FINAL REVALIDATION</x:v>
      </x:c>
    </x:row>
    <x:row r="394" ht="30" customHeight="1">
      <x:c r="A394" s="26" t="str">
        <x:v>REL-0390</x:v>
      </x:c>
      <x:c r="B394" s="26" t="str">
        <x:v>34</x:v>
      </x:c>
      <x:c r="C394" s="26" t="str">
        <x:v>34_Final_Handoff_and_Project_Operations_Manual.md</x:v>
      </x:c>
      <x:c r="D394" s="26" t="str">
        <x:v>33</x:v>
      </x:c>
      <x:c r="E394" s="26" t="str">
        <x:v>33_Project_Risk_Register_and_Business_Continuity_Plan.xlsx</x:v>
      </x:c>
      <x:c r="F394" s="26" t="str">
        <x:v>DEPENDS ON / MUST REMAIN CONSISTENT WITH</x:v>
      </x:c>
      <x:c r="G394" s="26" t="str">
        <x:v>MANDATORY</x:v>
      </x:c>
      <x:c r="H394" s="26" t="str">
        <x:v>Update source when target changes materially; record impact in 13.</x:v>
      </x:c>
      <x:c r="I394" s="26" t="str">
        <x:v>PENDING FINAL REVALIDATION</x:v>
      </x:c>
    </x:row>
    <x:row r="395" ht="30" customHeight="1">
      <x:c r="A395" s="26" t="str">
        <x:v>REL-0391</x:v>
      </x:c>
      <x:c r="B395" s="26" t="str">
        <x:v>16</x:v>
      </x:c>
      <x:c r="C395" s="26" t="str">
        <x:v>16_Auditoria_Global_de_Coherencia.md</x:v>
      </x:c>
      <x:c r="D395" s="26" t="str">
        <x:v>00</x:v>
      </x:c>
      <x:c r="E395" s="26" t="str">
        <x:v>00_Enfoque_y_Alcance.md</x:v>
      </x:c>
      <x:c r="F395" s="26" t="str">
        <x:v>AUDITS / VALIDATES</x:v>
      </x:c>
      <x:c r="G395" s="26" t="str">
        <x:v>MANDATORY AT BASELINE CLOSE</x:v>
      </x:c>
      <x:c r="H395" s="26" t="str">
        <x:v>Regenerate 16 against complete 00–34 set.</x:v>
      </x:c>
      <x:c r="I395" s="26" t="str">
        <x:v>PENDING FINAL REAUDIT</x:v>
      </x:c>
    </x:row>
    <x:row r="396" ht="30" customHeight="1">
      <x:c r="A396" s="26" t="str">
        <x:v>REL-0392</x:v>
      </x:c>
      <x:c r="B396" s="26" t="str">
        <x:v>16</x:v>
      </x:c>
      <x:c r="C396" s="26" t="str">
        <x:v>16_Auditoria_Global_de_Coherencia.md</x:v>
      </x:c>
      <x:c r="D396" s="26" t="str">
        <x:v>01</x:v>
      </x:c>
      <x:c r="E396" s="26" t="str">
        <x:v>01_Game_Design_Document.md</x:v>
      </x:c>
      <x:c r="F396" s="26" t="str">
        <x:v>AUDITS / VALIDATES</x:v>
      </x:c>
      <x:c r="G396" s="26" t="str">
        <x:v>MANDATORY AT BASELINE CLOSE</x:v>
      </x:c>
      <x:c r="H396" s="26" t="str">
        <x:v>Regenerate 16 against complete 00–34 set.</x:v>
      </x:c>
      <x:c r="I396" s="26" t="str">
        <x:v>PENDING FINAL REAUDIT</x:v>
      </x:c>
    </x:row>
    <x:row r="397" ht="30" customHeight="1">
      <x:c r="A397" s="26" t="str">
        <x:v>REL-0393</x:v>
      </x:c>
      <x:c r="B397" s="26" t="str">
        <x:v>16</x:v>
      </x:c>
      <x:c r="C397" s="26" t="str">
        <x:v>16_Auditoria_Global_de_Coherencia.md</x:v>
      </x:c>
      <x:c r="D397" s="26" t="str">
        <x:v>02</x:v>
      </x:c>
      <x:c r="E397" s="26" t="str">
        <x:v>02_Vertical_Slice_Specification.md</x:v>
      </x:c>
      <x:c r="F397" s="26" t="str">
        <x:v>AUDITS / VALIDATES</x:v>
      </x:c>
      <x:c r="G397" s="26" t="str">
        <x:v>MANDATORY AT BASELINE CLOSE</x:v>
      </x:c>
      <x:c r="H397" s="26" t="str">
        <x:v>Regenerate 16 against complete 00–34 set.</x:v>
      </x:c>
      <x:c r="I397" s="26" t="str">
        <x:v>PENDING FINAL REAUDIT</x:v>
      </x:c>
    </x:row>
    <x:row r="398" ht="30" customHeight="1">
      <x:c r="A398" s="26" t="str">
        <x:v>REL-0394</x:v>
      </x:c>
      <x:c r="B398" s="26" t="str">
        <x:v>16</x:v>
      </x:c>
      <x:c r="C398" s="26" t="str">
        <x:v>16_Auditoria_Global_de_Coherencia.md</x:v>
      </x:c>
      <x:c r="D398" s="26" t="str">
        <x:v>03</x:v>
      </x:c>
      <x:c r="E398" s="26" t="str">
        <x:v>03_Technical_Design_Document.md</x:v>
      </x:c>
      <x:c r="F398" s="26" t="str">
        <x:v>AUDITS / VALIDATES</x:v>
      </x:c>
      <x:c r="G398" s="26" t="str">
        <x:v>MANDATORY AT BASELINE CLOSE</x:v>
      </x:c>
      <x:c r="H398" s="26" t="str">
        <x:v>Regenerate 16 against complete 00–34 set.</x:v>
      </x:c>
      <x:c r="I398" s="26" t="str">
        <x:v>PENDING FINAL REAUDIT</x:v>
      </x:c>
    </x:row>
    <x:row r="399" ht="30" customHeight="1">
      <x:c r="A399" s="26" t="str">
        <x:v>REL-0395</x:v>
      </x:c>
      <x:c r="B399" s="26" t="str">
        <x:v>16</x:v>
      </x:c>
      <x:c r="C399" s="26" t="str">
        <x:v>16_Auditoria_Global_de_Coherencia.md</x:v>
      </x:c>
      <x:c r="D399" s="26" t="str">
        <x:v>04</x:v>
      </x:c>
      <x:c r="E399" s="26" t="str">
        <x:v>04_Modelo_de_Datos.md</x:v>
      </x:c>
      <x:c r="F399" s="26" t="str">
        <x:v>AUDITS / VALIDATES</x:v>
      </x:c>
      <x:c r="G399" s="26" t="str">
        <x:v>MANDATORY AT BASELINE CLOSE</x:v>
      </x:c>
      <x:c r="H399" s="26" t="str">
        <x:v>Regenerate 16 against complete 00–34 set.</x:v>
      </x:c>
      <x:c r="I399" s="26" t="str">
        <x:v>PENDING FINAL REAUDIT</x:v>
      </x:c>
    </x:row>
    <x:row r="400" ht="30" customHeight="1">
      <x:c r="A400" s="26" t="str">
        <x:v>REL-0396</x:v>
      </x:c>
      <x:c r="B400" s="26" t="str">
        <x:v>16</x:v>
      </x:c>
      <x:c r="C400" s="26" t="str">
        <x:v>16_Auditoria_Global_de_Coherencia.md</x:v>
      </x:c>
      <x:c r="D400" s="26" t="str">
        <x:v>05</x:v>
      </x:c>
      <x:c r="E400" s="26" t="str">
        <x:v>05_UX_Flow.md</x:v>
      </x:c>
      <x:c r="F400" s="26" t="str">
        <x:v>AUDITS / VALIDATES</x:v>
      </x:c>
      <x:c r="G400" s="26" t="str">
        <x:v>MANDATORY AT BASELINE CLOSE</x:v>
      </x:c>
      <x:c r="H400" s="26" t="str">
        <x:v>Regenerate 16 against complete 00–34 set.</x:v>
      </x:c>
      <x:c r="I400" s="26" t="str">
        <x:v>PENDING FINAL REAUDIT</x:v>
      </x:c>
    </x:row>
    <x:row r="401" ht="30" customHeight="1">
      <x:c r="A401" s="26" t="str">
        <x:v>REL-0397</x:v>
      </x:c>
      <x:c r="B401" s="26" t="str">
        <x:v>16</x:v>
      </x:c>
      <x:c r="C401" s="26" t="str">
        <x:v>16_Auditoria_Global_de_Coherencia.md</x:v>
      </x:c>
      <x:c r="D401" s="26" t="str">
        <x:v>06</x:v>
      </x:c>
      <x:c r="E401" s="26" t="str">
        <x:v>06_Production_Roadmap_y_Sprint_Plan.md</x:v>
      </x:c>
      <x:c r="F401" s="26" t="str">
        <x:v>AUDITS / VALIDATES</x:v>
      </x:c>
      <x:c r="G401" s="26" t="str">
        <x:v>MANDATORY AT BASELINE CLOSE</x:v>
      </x:c>
      <x:c r="H401" s="26" t="str">
        <x:v>Regenerate 16 against complete 00–34 set.</x:v>
      </x:c>
      <x:c r="I401" s="26" t="str">
        <x:v>PENDING FINAL REAUDIT</x:v>
      </x:c>
    </x:row>
    <x:row r="402" ht="30" customHeight="1">
      <x:c r="A402" s="26" t="str">
        <x:v>REL-0398</x:v>
      </x:c>
      <x:c r="B402" s="26" t="str">
        <x:v>16</x:v>
      </x:c>
      <x:c r="C402" s="26" t="str">
        <x:v>16_Auditoria_Global_de_Coherencia.md</x:v>
      </x:c>
      <x:c r="D402" s="26" t="str">
        <x:v>07</x:v>
      </x:c>
      <x:c r="E402" s="26" t="str">
        <x:v>07_QA_Testing_Plan.md</x:v>
      </x:c>
      <x:c r="F402" s="26" t="str">
        <x:v>AUDITS / VALIDATES</x:v>
      </x:c>
      <x:c r="G402" s="26" t="str">
        <x:v>MANDATORY AT BASELINE CLOSE</x:v>
      </x:c>
      <x:c r="H402" s="26" t="str">
        <x:v>Regenerate 16 against complete 00–34 set.</x:v>
      </x:c>
      <x:c r="I402" s="26" t="str">
        <x:v>PENDING FINAL REAUDIT</x:v>
      </x:c>
    </x:row>
    <x:row r="403" ht="30" customHeight="1">
      <x:c r="A403" s="26" t="str">
        <x:v>REL-0399</x:v>
      </x:c>
      <x:c r="B403" s="26" t="str">
        <x:v>16</x:v>
      </x:c>
      <x:c r="C403" s="26" t="str">
        <x:v>16_Auditoria_Global_de_Coherencia.md</x:v>
      </x:c>
      <x:c r="D403" s="26" t="str">
        <x:v>08</x:v>
      </x:c>
      <x:c r="E403" s="26" t="str">
        <x:v>08_QA_Testing_Matrix.xlsx</x:v>
      </x:c>
      <x:c r="F403" s="26" t="str">
        <x:v>AUDITS / VALIDATES</x:v>
      </x:c>
      <x:c r="G403" s="26" t="str">
        <x:v>MANDATORY AT BASELINE CLOSE</x:v>
      </x:c>
      <x:c r="H403" s="26" t="str">
        <x:v>Regenerate 16 against complete 00–34 set.</x:v>
      </x:c>
      <x:c r="I403" s="26" t="str">
        <x:v>PENDING FINAL REAUDIT</x:v>
      </x:c>
    </x:row>
    <x:row r="404" ht="30" customHeight="1">
      <x:c r="A404" s="26" t="str">
        <x:v>REL-0400</x:v>
      </x:c>
      <x:c r="B404" s="26" t="str">
        <x:v>16</x:v>
      </x:c>
      <x:c r="C404" s="26" t="str">
        <x:v>16_Auditoria_Global_de_Coherencia.md</x:v>
      </x:c>
      <x:c r="D404" s="26" t="str">
        <x:v>09</x:v>
      </x:c>
      <x:c r="E404" s="26" t="str">
        <x:v>09_CSharp_Coding_Standards.md</x:v>
      </x:c>
      <x:c r="F404" s="26" t="str">
        <x:v>AUDITS / VALIDATES</x:v>
      </x:c>
      <x:c r="G404" s="26" t="str">
        <x:v>MANDATORY AT BASELINE CLOSE</x:v>
      </x:c>
      <x:c r="H404" s="26" t="str">
        <x:v>Regenerate 16 against complete 00–34 set.</x:v>
      </x:c>
      <x:c r="I404" s="26" t="str">
        <x:v>PENDING FINAL REAUDIT</x:v>
      </x:c>
    </x:row>
    <x:row r="405" ht="30" customHeight="1">
      <x:c r="A405" s="26" t="str">
        <x:v>REL-0401</x:v>
      </x:c>
      <x:c r="B405" s="26" t="str">
        <x:v>16</x:v>
      </x:c>
      <x:c r="C405" s="26" t="str">
        <x:v>16_Auditoria_Global_de_Coherencia.md</x:v>
      </x:c>
      <x:c r="D405" s="26" t="str">
        <x:v>10</x:v>
      </x:c>
      <x:c r="E405" s="26" t="str">
        <x:v>10_Unity_Project_Setup_Guide.md</x:v>
      </x:c>
      <x:c r="F405" s="26" t="str">
        <x:v>AUDITS / VALIDATES</x:v>
      </x:c>
      <x:c r="G405" s="26" t="str">
        <x:v>MANDATORY AT BASELINE CLOSE</x:v>
      </x:c>
      <x:c r="H405" s="26" t="str">
        <x:v>Regenerate 16 against complete 00–34 set.</x:v>
      </x:c>
      <x:c r="I405" s="26" t="str">
        <x:v>PENDING FINAL REAUDIT</x:v>
      </x:c>
    </x:row>
    <x:row r="406" ht="30" customHeight="1">
      <x:c r="A406" s="26" t="str">
        <x:v>REL-0402</x:v>
      </x:c>
      <x:c r="B406" s="26" t="str">
        <x:v>16</x:v>
      </x:c>
      <x:c r="C406" s="26" t="str">
        <x:v>16_Auditoria_Global_de_Coherencia.md</x:v>
      </x:c>
      <x:c r="D406" s="26" t="str">
        <x:v>11</x:v>
      </x:c>
      <x:c r="E406" s="26" t="str">
        <x:v>11_Build_y_Versioning_Guide.md</x:v>
      </x:c>
      <x:c r="F406" s="26" t="str">
        <x:v>AUDITS / VALIDATES</x:v>
      </x:c>
      <x:c r="G406" s="26" t="str">
        <x:v>MANDATORY AT BASELINE CLOSE</x:v>
      </x:c>
      <x:c r="H406" s="26" t="str">
        <x:v>Regenerate 16 against complete 00–34 set.</x:v>
      </x:c>
      <x:c r="I406" s="26" t="str">
        <x:v>PENDING FINAL REAUDIT</x:v>
      </x:c>
    </x:row>
    <x:row r="407" ht="30" customHeight="1">
      <x:c r="A407" s="26" t="str">
        <x:v>REL-0403</x:v>
      </x:c>
      <x:c r="B407" s="26" t="str">
        <x:v>16</x:v>
      </x:c>
      <x:c r="C407" s="26" t="str">
        <x:v>16_Auditoria_Global_de_Coherencia.md</x:v>
      </x:c>
      <x:c r="D407" s="26" t="str">
        <x:v>12</x:v>
      </x:c>
      <x:c r="E407" s="26" t="str">
        <x:v>12_Excel_Maestro_de_Produccion.xlsx</x:v>
      </x:c>
      <x:c r="F407" s="26" t="str">
        <x:v>AUDITS / VALIDATES</x:v>
      </x:c>
      <x:c r="G407" s="26" t="str">
        <x:v>MANDATORY AT BASELINE CLOSE</x:v>
      </x:c>
      <x:c r="H407" s="26" t="str">
        <x:v>Regenerate 16 against complete 00–34 set.</x:v>
      </x:c>
      <x:c r="I407" s="26" t="str">
        <x:v>PENDING FINAL REAUDIT</x:v>
      </x:c>
    </x:row>
    <x:row r="408" ht="30" customHeight="1">
      <x:c r="A408" s="26" t="str">
        <x:v>REL-0404</x:v>
      </x:c>
      <x:c r="B408" s="26" t="str">
        <x:v>16</x:v>
      </x:c>
      <x:c r="C408" s="26" t="str">
        <x:v>16_Auditoria_Global_de_Coherencia.md</x:v>
      </x:c>
      <x:c r="D408" s="26" t="str">
        <x:v>13</x:v>
      </x:c>
      <x:c r="E408" s="26" t="str">
        <x:v>13_Trazabilidad_y_Control_de_Cambios.xlsx</x:v>
      </x:c>
      <x:c r="F408" s="26" t="str">
        <x:v>AUDITS / VALIDATES</x:v>
      </x:c>
      <x:c r="G408" s="26" t="str">
        <x:v>MANDATORY AT BASELINE CLOSE</x:v>
      </x:c>
      <x:c r="H408" s="26" t="str">
        <x:v>Regenerate 16 against complete 00–34 set.</x:v>
      </x:c>
      <x:c r="I408" s="26" t="str">
        <x:v>PENDING FINAL REAUDIT</x:v>
      </x:c>
    </x:row>
    <x:row r="409" ht="30" customHeight="1">
      <x:c r="A409" s="26" t="str">
        <x:v>REL-0405</x:v>
      </x:c>
      <x:c r="B409" s="26" t="str">
        <x:v>16</x:v>
      </x:c>
      <x:c r="C409" s="26" t="str">
        <x:v>16_Auditoria_Global_de_Coherencia.md</x:v>
      </x:c>
      <x:c r="D409" s="26" t="str">
        <x:v>14</x:v>
      </x:c>
      <x:c r="E409" s="26" t="str">
        <x:v>14_Project_Binder_Indice_Maestro.md</x:v>
      </x:c>
      <x:c r="F409" s="26" t="str">
        <x:v>AUDITS / VALIDATES</x:v>
      </x:c>
      <x:c r="G409" s="26" t="str">
        <x:v>MANDATORY AT BASELINE CLOSE</x:v>
      </x:c>
      <x:c r="H409" s="26" t="str">
        <x:v>Regenerate 16 against complete 00–34 set.</x:v>
      </x:c>
      <x:c r="I409" s="26" t="str">
        <x:v>PENDING FINAL REAUDIT</x:v>
      </x:c>
    </x:row>
    <x:row r="410" ht="30" customHeight="1">
      <x:c r="A410" s="26" t="str">
        <x:v>REL-0406</x:v>
      </x:c>
      <x:c r="B410" s="26" t="str">
        <x:v>16</x:v>
      </x:c>
      <x:c r="C410" s="26" t="str">
        <x:v>16_Auditoria_Global_de_Coherencia.md</x:v>
      </x:c>
      <x:c r="D410" s="26" t="str">
        <x:v>15</x:v>
      </x:c>
      <x:c r="E410" s="26" t="str">
        <x:v>15_Guia_Maestra.md</x:v>
      </x:c>
      <x:c r="F410" s="26" t="str">
        <x:v>AUDITS / VALIDATES</x:v>
      </x:c>
      <x:c r="G410" s="26" t="str">
        <x:v>MANDATORY AT BASELINE CLOSE</x:v>
      </x:c>
      <x:c r="H410" s="26" t="str">
        <x:v>Regenerate 16 against complete 00–34 set.</x:v>
      </x:c>
      <x:c r="I410" s="26" t="str">
        <x:v>PENDING FINAL REAUDIT</x:v>
      </x:c>
    </x:row>
    <x:row r="411" ht="30" customHeight="1">
      <x:c r="A411" s="26" t="str">
        <x:v>REL-0407</x:v>
      </x:c>
      <x:c r="B411" s="26" t="str">
        <x:v>16</x:v>
      </x:c>
      <x:c r="C411" s="26" t="str">
        <x:v>16_Auditoria_Global_de_Coherencia.md</x:v>
      </x:c>
      <x:c r="D411" s="26" t="str">
        <x:v>17</x:v>
      </x:c>
      <x:c r="E411" s="26" t="str">
        <x:v>17_Art_Bible.md</x:v>
      </x:c>
      <x:c r="F411" s="26" t="str">
        <x:v>AUDITS / VALIDATES</x:v>
      </x:c>
      <x:c r="G411" s="26" t="str">
        <x:v>MANDATORY AT BASELINE CLOSE</x:v>
      </x:c>
      <x:c r="H411" s="26" t="str">
        <x:v>Regenerate 16 against complete 00–34 set.</x:v>
      </x:c>
      <x:c r="I411" s="26" t="str">
        <x:v>PENDING FINAL REAUDIT</x:v>
      </x:c>
    </x:row>
    <x:row r="412" ht="30" customHeight="1">
      <x:c r="A412" s="26" t="str">
        <x:v>REL-0408</x:v>
      </x:c>
      <x:c r="B412" s="26" t="str">
        <x:v>16</x:v>
      </x:c>
      <x:c r="C412" s="26" t="str">
        <x:v>16_Auditoria_Global_de_Coherencia.md</x:v>
      </x:c>
      <x:c r="D412" s="26" t="str">
        <x:v>18</x:v>
      </x:c>
      <x:c r="E412" s="26" t="str">
        <x:v>18_Audio_Bible.md</x:v>
      </x:c>
      <x:c r="F412" s="26" t="str">
        <x:v>AUDITS / VALIDATES</x:v>
      </x:c>
      <x:c r="G412" s="26" t="str">
        <x:v>MANDATORY AT BASELINE CLOSE</x:v>
      </x:c>
      <x:c r="H412" s="26" t="str">
        <x:v>Regenerate 16 against complete 00–34 set.</x:v>
      </x:c>
      <x:c r="I412" s="26" t="str">
        <x:v>PENDING FINAL REAUDIT</x:v>
      </x:c>
    </x:row>
    <x:row r="413" ht="30" customHeight="1">
      <x:c r="A413" s="26" t="str">
        <x:v>REL-0409</x:v>
      </x:c>
      <x:c r="B413" s="26" t="str">
        <x:v>16</x:v>
      </x:c>
      <x:c r="C413" s="26" t="str">
        <x:v>16_Auditoria_Global_de_Coherencia.md</x:v>
      </x:c>
      <x:c r="D413" s="26" t="str">
        <x:v>19</x:v>
      </x:c>
      <x:c r="E413" s="26" t="str">
        <x:v>19_UI_Style_Guide.md</x:v>
      </x:c>
      <x:c r="F413" s="26" t="str">
        <x:v>AUDITS / VALIDATES</x:v>
      </x:c>
      <x:c r="G413" s="26" t="str">
        <x:v>MANDATORY AT BASELINE CLOSE</x:v>
      </x:c>
      <x:c r="H413" s="26" t="str">
        <x:v>Regenerate 16 against complete 00–34 set.</x:v>
      </x:c>
      <x:c r="I413" s="26" t="str">
        <x:v>PENDING FINAL REAUDIT</x:v>
      </x:c>
    </x:row>
    <x:row r="414" ht="30" customHeight="1">
      <x:c r="A414" s="26" t="str">
        <x:v>REL-0410</x:v>
      </x:c>
      <x:c r="B414" s="26" t="str">
        <x:v>16</x:v>
      </x:c>
      <x:c r="C414" s="26" t="str">
        <x:v>16_Auditoria_Global_de_Coherencia.md</x:v>
      </x:c>
      <x:c r="D414" s="26" t="str">
        <x:v>20</x:v>
      </x:c>
      <x:c r="E414" s="26" t="str">
        <x:v>20_Economy_and_Balance_Specification.md</x:v>
      </x:c>
      <x:c r="F414" s="26" t="str">
        <x:v>AUDITS / VALIDATES</x:v>
      </x:c>
      <x:c r="G414" s="26" t="str">
        <x:v>MANDATORY AT BASELINE CLOSE</x:v>
      </x:c>
      <x:c r="H414" s="26" t="str">
        <x:v>Regenerate 16 against complete 00–34 set.</x:v>
      </x:c>
      <x:c r="I414" s="26" t="str">
        <x:v>PENDING FINAL REAUDIT</x:v>
      </x:c>
    </x:row>
    <x:row r="415" ht="30" customHeight="1">
      <x:c r="A415" s="26" t="str">
        <x:v>REL-0411</x:v>
      </x:c>
      <x:c r="B415" s="26" t="str">
        <x:v>16</x:v>
      </x:c>
      <x:c r="C415" s="26" t="str">
        <x:v>16_Auditoria_Global_de_Coherencia.md</x:v>
      </x:c>
      <x:c r="D415" s="26" t="str">
        <x:v>21</x:v>
      </x:c>
      <x:c r="E415" s="26" t="str">
        <x:v>21_Initial_Content_Catalog.xlsx</x:v>
      </x:c>
      <x:c r="F415" s="26" t="str">
        <x:v>AUDITS / VALIDATES</x:v>
      </x:c>
      <x:c r="G415" s="26" t="str">
        <x:v>MANDATORY AT BASELINE CLOSE</x:v>
      </x:c>
      <x:c r="H415" s="26" t="str">
        <x:v>Regenerate 16 against complete 00–34 set.</x:v>
      </x:c>
      <x:c r="I415" s="26" t="str">
        <x:v>PENDING FINAL REAUDIT</x:v>
      </x:c>
    </x:row>
    <x:row r="416" ht="30" customHeight="1">
      <x:c r="A416" s="26" t="str">
        <x:v>REL-0412</x:v>
      </x:c>
      <x:c r="B416" s="26" t="str">
        <x:v>16</x:v>
      </x:c>
      <x:c r="C416" s="26" t="str">
        <x:v>16_Auditoria_Global_de_Coherencia.md</x:v>
      </x:c>
      <x:c r="D416" s="26" t="str">
        <x:v>22</x:v>
      </x:c>
      <x:c r="E416" s="26" t="str">
        <x:v>22_Localization_Plan.md</x:v>
      </x:c>
      <x:c r="F416" s="26" t="str">
        <x:v>AUDITS / VALIDATES</x:v>
      </x:c>
      <x:c r="G416" s="26" t="str">
        <x:v>MANDATORY AT BASELINE CLOSE</x:v>
      </x:c>
      <x:c r="H416" s="26" t="str">
        <x:v>Regenerate 16 against complete 00–34 set.</x:v>
      </x:c>
      <x:c r="I416" s="26" t="str">
        <x:v>PENDING FINAL REAUDIT</x:v>
      </x:c>
    </x:row>
    <x:row r="417" ht="30" customHeight="1">
      <x:c r="A417" s="26" t="str">
        <x:v>REL-0413</x:v>
      </x:c>
      <x:c r="B417" s="26" t="str">
        <x:v>16</x:v>
      </x:c>
      <x:c r="C417" s="26" t="str">
        <x:v>16_Auditoria_Global_de_Coherencia.md</x:v>
      </x:c>
      <x:c r="D417" s="26" t="str">
        <x:v>23</x:v>
      </x:c>
      <x:c r="E417" s="26" t="str">
        <x:v>23_Legal_Credits_and_Licenses_Register.xlsx</x:v>
      </x:c>
      <x:c r="F417" s="26" t="str">
        <x:v>AUDITS / VALIDATES</x:v>
      </x:c>
      <x:c r="G417" s="26" t="str">
        <x:v>MANDATORY AT BASELINE CLOSE</x:v>
      </x:c>
      <x:c r="H417" s="26" t="str">
        <x:v>Regenerate 16 against complete 00–34 set.</x:v>
      </x:c>
      <x:c r="I417" s="26" t="str">
        <x:v>PENDING FINAL REAUDIT</x:v>
      </x:c>
    </x:row>
    <x:row r="418" ht="30" customHeight="1">
      <x:c r="A418" s="26" t="str">
        <x:v>REL-0414</x:v>
      </x:c>
      <x:c r="B418" s="26" t="str">
        <x:v>16</x:v>
      </x:c>
      <x:c r="C418" s="26" t="str">
        <x:v>16_Auditoria_Global_de_Coherencia.md</x:v>
      </x:c>
      <x:c r="D418" s="26" t="str">
        <x:v>24</x:v>
      </x:c>
      <x:c r="E418" s="26" t="str">
        <x:v>24_Steam_Publishing_Plan.md</x:v>
      </x:c>
      <x:c r="F418" s="26" t="str">
        <x:v>AUDITS / VALIDATES</x:v>
      </x:c>
      <x:c r="G418" s="26" t="str">
        <x:v>MANDATORY AT BASELINE CLOSE</x:v>
      </x:c>
      <x:c r="H418" s="26" t="str">
        <x:v>Regenerate 16 against complete 00–34 set.</x:v>
      </x:c>
      <x:c r="I418" s="26" t="str">
        <x:v>PENDING FINAL REAUDIT</x:v>
      </x:c>
    </x:row>
    <x:row r="419" ht="30" customHeight="1">
      <x:c r="A419" s="26" t="str">
        <x:v>REL-0415</x:v>
      </x:c>
      <x:c r="B419" s="26" t="str">
        <x:v>16</x:v>
      </x:c>
      <x:c r="C419" s="26" t="str">
        <x:v>16_Auditoria_Global_de_Coherencia.md</x:v>
      </x:c>
      <x:c r="D419" s="26" t="str">
        <x:v>25</x:v>
      </x:c>
      <x:c r="E419" s="26" t="str">
        <x:v>25_Post_Launch_and_Live_Operations_Plan.md</x:v>
      </x:c>
      <x:c r="F419" s="26" t="str">
        <x:v>AUDITS / VALIDATES</x:v>
      </x:c>
      <x:c r="G419" s="26" t="str">
        <x:v>MANDATORY AT BASELINE CLOSE</x:v>
      </x:c>
      <x:c r="H419" s="26" t="str">
        <x:v>Regenerate 16 against complete 00–34 set.</x:v>
      </x:c>
      <x:c r="I419" s="26" t="str">
        <x:v>PENDING FINAL REAUDIT</x:v>
      </x:c>
    </x:row>
    <x:row r="420" ht="30" customHeight="1">
      <x:c r="A420" s="26" t="str">
        <x:v>REL-0416</x:v>
      </x:c>
      <x:c r="B420" s="26" t="str">
        <x:v>16</x:v>
      </x:c>
      <x:c r="C420" s="26" t="str">
        <x:v>16_Auditoria_Global_de_Coherencia.md</x:v>
      </x:c>
      <x:c r="D420" s="26" t="str">
        <x:v>26</x:v>
      </x:c>
      <x:c r="E420" s="26" t="str">
        <x:v>26_Privacy_Data_and_Telemetry_Plan.md</x:v>
      </x:c>
      <x:c r="F420" s="26" t="str">
        <x:v>AUDITS / VALIDATES</x:v>
      </x:c>
      <x:c r="G420" s="26" t="str">
        <x:v>MANDATORY AT BASELINE CLOSE</x:v>
      </x:c>
      <x:c r="H420" s="26" t="str">
        <x:v>Regenerate 16 against complete 00–34 set.</x:v>
      </x:c>
      <x:c r="I420" s="26" t="str">
        <x:v>PENDING FINAL REAUDIT</x:v>
      </x:c>
    </x:row>
    <x:row r="421" ht="30" customHeight="1">
      <x:c r="A421" s="26" t="str">
        <x:v>REL-0417</x:v>
      </x:c>
      <x:c r="B421" s="26" t="str">
        <x:v>16</x:v>
      </x:c>
      <x:c r="C421" s="26" t="str">
        <x:v>16_Auditoria_Global_de_Coherencia.md</x:v>
      </x:c>
      <x:c r="D421" s="26" t="str">
        <x:v>27</x:v>
      </x:c>
      <x:c r="E421" s="26" t="str">
        <x:v>27_Security_and_Incident_Response_Plan.md</x:v>
      </x:c>
      <x:c r="F421" s="26" t="str">
        <x:v>AUDITS / VALIDATES</x:v>
      </x:c>
      <x:c r="G421" s="26" t="str">
        <x:v>MANDATORY AT BASELINE CLOSE</x:v>
      </x:c>
      <x:c r="H421" s="26" t="str">
        <x:v>Regenerate 16 against complete 00–34 set.</x:v>
      </x:c>
      <x:c r="I421" s="26" t="str">
        <x:v>PENDING FINAL REAUDIT</x:v>
      </x:c>
    </x:row>
    <x:row r="422" ht="30" customHeight="1">
      <x:c r="A422" s="26" t="str">
        <x:v>REL-0418</x:v>
      </x:c>
      <x:c r="B422" s="26" t="str">
        <x:v>16</x:v>
      </x:c>
      <x:c r="C422" s="26" t="str">
        <x:v>16_Auditoria_Global_de_Coherencia.md</x:v>
      </x:c>
      <x:c r="D422" s="26" t="str">
        <x:v>28</x:v>
      </x:c>
      <x:c r="E422" s="26" t="str">
        <x:v>28_Marketing_and_Communication_Plan.md</x:v>
      </x:c>
      <x:c r="F422" s="26" t="str">
        <x:v>AUDITS / VALIDATES</x:v>
      </x:c>
      <x:c r="G422" s="26" t="str">
        <x:v>MANDATORY AT BASELINE CLOSE</x:v>
      </x:c>
      <x:c r="H422" s="26" t="str">
        <x:v>Regenerate 16 against complete 00–34 set.</x:v>
      </x:c>
      <x:c r="I422" s="26" t="str">
        <x:v>PENDING FINAL REAUDIT</x:v>
      </x:c>
    </x:row>
    <x:row r="423" ht="30" customHeight="1">
      <x:c r="A423" s="26" t="str">
        <x:v>REL-0419</x:v>
      </x:c>
      <x:c r="B423" s="26" t="str">
        <x:v>16</x:v>
      </x:c>
      <x:c r="C423" s="26" t="str">
        <x:v>16_Auditoria_Global_de_Coherencia.md</x:v>
      </x:c>
      <x:c r="D423" s="26" t="str">
        <x:v>29</x:v>
      </x:c>
      <x:c r="E423" s="26" t="str">
        <x:v>29_Accessibility_and_Inclusive_Design_Plan.md</x:v>
      </x:c>
      <x:c r="F423" s="26" t="str">
        <x:v>AUDITS / VALIDATES</x:v>
      </x:c>
      <x:c r="G423" s="26" t="str">
        <x:v>MANDATORY AT BASELINE CLOSE</x:v>
      </x:c>
      <x:c r="H423" s="26" t="str">
        <x:v>Regenerate 16 against complete 00–34 set.</x:v>
      </x:c>
      <x:c r="I423" s="26" t="str">
        <x:v>PENDING FINAL REAUDIT</x:v>
      </x:c>
    </x:row>
    <x:row r="424" ht="30" customHeight="1">
      <x:c r="A424" s="26" t="str">
        <x:v>REL-0420</x:v>
      </x:c>
      <x:c r="B424" s="26" t="str">
        <x:v>16</x:v>
      </x:c>
      <x:c r="C424" s="26" t="str">
        <x:v>16_Auditoria_Global_de_Coherencia.md</x:v>
      </x:c>
      <x:c r="D424" s="26" t="str">
        <x:v>30</x:v>
      </x:c>
      <x:c r="E424" s="26" t="str">
        <x:v>30_Performance_and_Optimization_Plan.md</x:v>
      </x:c>
      <x:c r="F424" s="26" t="str">
        <x:v>AUDITS / VALIDATES</x:v>
      </x:c>
      <x:c r="G424" s="26" t="str">
        <x:v>MANDATORY AT BASELINE CLOSE</x:v>
      </x:c>
      <x:c r="H424" s="26" t="str">
        <x:v>Regenerate 16 against complete 00–34 set.</x:v>
      </x:c>
      <x:c r="I424" s="26" t="str">
        <x:v>PENDING FINAL REAUDIT</x:v>
      </x:c>
    </x:row>
    <x:row r="425" ht="30" customHeight="1">
      <x:c r="A425" s="26" t="str">
        <x:v>REL-0421</x:v>
      </x:c>
      <x:c r="B425" s="26" t="str">
        <x:v>16</x:v>
      </x:c>
      <x:c r="C425" s="26" t="str">
        <x:v>16_Auditoria_Global_de_Coherencia.md</x:v>
      </x:c>
      <x:c r="D425" s="26" t="str">
        <x:v>31</x:v>
      </x:c>
      <x:c r="E425" s="26" t="str">
        <x:v>31_H6_and_Release_Readiness_Checklist.xlsx</x:v>
      </x:c>
      <x:c r="F425" s="26" t="str">
        <x:v>AUDITS / VALIDATES</x:v>
      </x:c>
      <x:c r="G425" s="26" t="str">
        <x:v>MANDATORY AT BASELINE CLOSE</x:v>
      </x:c>
      <x:c r="H425" s="26" t="str">
        <x:v>Regenerate 16 against complete 00–34 set.</x:v>
      </x:c>
      <x:c r="I425" s="26" t="str">
        <x:v>PENDING FINAL REAUDIT</x:v>
      </x:c>
    </x:row>
    <x:row r="426" ht="30" customHeight="1">
      <x:c r="A426" s="26" t="str">
        <x:v>REL-0422</x:v>
      </x:c>
      <x:c r="B426" s="26" t="str">
        <x:v>16</x:v>
      </x:c>
      <x:c r="C426" s="26" t="str">
        <x:v>16_Auditoria_Global_de_Coherencia.md</x:v>
      </x:c>
      <x:c r="D426" s="26" t="str">
        <x:v>32</x:v>
      </x:c>
      <x:c r="E426" s="26" t="str">
        <x:v>32_Documentation_Baseline_Manifest.xlsx</x:v>
      </x:c>
      <x:c r="F426" s="26" t="str">
        <x:v>AUDITS / VALIDATES</x:v>
      </x:c>
      <x:c r="G426" s="26" t="str">
        <x:v>MANDATORY AT BASELINE CLOSE</x:v>
      </x:c>
      <x:c r="H426" s="26" t="str">
        <x:v>Regenerate 16 against complete 00–34 set.</x:v>
      </x:c>
      <x:c r="I426" s="26" t="str">
        <x:v>PENDING FINAL REAUDIT</x:v>
      </x:c>
    </x:row>
    <x:row r="427" ht="30" customHeight="1">
      <x:c r="A427" s="26" t="str">
        <x:v>REL-0423</x:v>
      </x:c>
      <x:c r="B427" s="26" t="str">
        <x:v>16</x:v>
      </x:c>
      <x:c r="C427" s="26" t="str">
        <x:v>16_Auditoria_Global_de_Coherencia.md</x:v>
      </x:c>
      <x:c r="D427" s="26" t="str">
        <x:v>33</x:v>
      </x:c>
      <x:c r="E427" s="26" t="str">
        <x:v>33_Project_Risk_Register_and_Business_Continuity_Plan.xlsx</x:v>
      </x:c>
      <x:c r="F427" s="26" t="str">
        <x:v>AUDITS / VALIDATES</x:v>
      </x:c>
      <x:c r="G427" s="26" t="str">
        <x:v>MANDATORY AT BASELINE CLOSE</x:v>
      </x:c>
      <x:c r="H427" s="26" t="str">
        <x:v>Regenerate 16 against complete 00–34 set.</x:v>
      </x:c>
      <x:c r="I427" s="26" t="str">
        <x:v>PENDING FINAL REAUDIT</x:v>
      </x:c>
    </x:row>
    <x:row r="428" ht="30" customHeight="1">
      <x:c r="A428" s="26" t="str">
        <x:v>REL-0424</x:v>
      </x:c>
      <x:c r="B428" s="26" t="str">
        <x:v>16</x:v>
      </x:c>
      <x:c r="C428" s="26" t="str">
        <x:v>16_Auditoria_Global_de_Coherencia.md</x:v>
      </x:c>
      <x:c r="D428" s="26" t="str">
        <x:v>34</x:v>
      </x:c>
      <x:c r="E428" s="26" t="str">
        <x:v>34_Final_Handoff_and_Project_Operations_Manual.md</x:v>
      </x:c>
      <x:c r="F428" s="26" t="str">
        <x:v>AUDITS / VALIDATES</x:v>
      </x:c>
      <x:c r="G428" s="26" t="str">
        <x:v>MANDATORY AT BASELINE CLOSE</x:v>
      </x:c>
      <x:c r="H428" s="26" t="str">
        <x:v>Regenerate 16 against complete 00–34 set.</x:v>
      </x:c>
      <x:c r="I428" s="26" t="str">
        <x:v>PENDING FINAL REAUDIT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2" hidden="0" customWidth="1"/>
    <x:col min="9" max="9" width="42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28" customHeight="1">
      <x:c r="A1" s="31" t="str">
        <x:v>Plan de consolidación RC1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2" customHeight="1">
      <x:c r="A2" s="35" t="str">
        <x:v>Secuencia ejecutable desde freeze hasta H6/continuidad; CNS-003 cerrado.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4" ht="30" customHeight="1">
      <x:c r="A4" s="40" t="str">
        <x:v>ID</x:v>
      </x:c>
      <x:c r="B4" s="40" t="str">
        <x:v>Acción de cierre</x:v>
      </x:c>
      <x:c r="C4" s="40" t="str">
        <x:v>Estado</x:v>
      </x:c>
      <x:c r="D4" s="40" t="str">
        <x:v>Validación</x:v>
      </x:c>
      <x:c r="E4" s="40" t="str">
        <x:v>Prioridad</x:v>
      </x:c>
      <x:c r="F4" s="40" t="str">
        <x:v>Owner</x:v>
      </x:c>
      <x:c r="G4" s="40" t="str">
        <x:v>Dependencias</x:v>
      </x:c>
      <x:c r="H4" s="40" t="str">
        <x:v>Resultado esperado</x:v>
      </x:c>
      <x:c r="I4" s="40" t="str">
        <x:v>Evidencia</x:v>
      </x:c>
      <x:c r="J4" s="40" t="str">
        <x:v>Fuente</x:v>
      </x:c>
      <x:c r="K4" s="40" t="str">
        <x:v>Notas</x:v>
      </x:c>
      <x:c r="L4" s="40" t="str">
        <x:v>Completion %</x:v>
      </x:c>
      <x:c r="M4" s="40" t="str">
        <x:v>Blocking</x:v>
      </x:c>
    </x:row>
    <x:row r="5" ht="30" customHeight="1">
      <x:c r="A5" s="26" t="str">
        <x:v>CNS-001</x:v>
      </x:c>
      <x:c r="B5" s="26" t="str">
        <x:v>Congelar copia candidata 00–34</x:v>
      </x:c>
      <x:c r="C5" s="26" t="str">
        <x:v>Done</x:v>
      </x:c>
      <x:c r="D5" s="26" t="str">
        <x:v>PASS</x:v>
      </x:c>
      <x:c r="E5" s="26" t="str">
        <x:v>P0</x:v>
      </x:c>
      <x:c r="F5" s="26" t="str">
        <x:v>Documentation/Production</x:v>
      </x:c>
      <x:c r="G5" s="26"/>
      <x:c r="H5" s="26" t="str">
        <x:v>Carpeta preconsolidación con 35 archivos y checksums</x:v>
      </x:c>
      <x:c r="I5" s="26" t="str">
        <x:v>FILE_LIST.txt + PRECONSOLIDATION_SHA256.txt</x:v>
      </x:c>
      <x:c r="J5" s="26" t="str">
        <x:v>34 / secuencia acordada</x:v>
      </x:c>
      <x:c r="K5" s="26" t="str">
        <x:v>Baseline preconsolidación inmutable creada.</x:v>
      </x:c>
      <x:c r="L5" s="90" t="n">
        <x:v>1</x:v>
      </x:c>
      <x:c r="M5" s="26" t="str">
        <x:v>NO</x:v>
      </x:c>
    </x:row>
    <x:row r="6" ht="30" customHeight="1">
      <x:c r="A6" s="26" t="str">
        <x:v>CNS-002</x:v>
      </x:c>
      <x:c r="B6" s="26" t="str">
        <x:v>Regenerar 12_Excel_Maestro_de_Produccion.xlsx</x:v>
      </x:c>
      <x:c r="C6" s="26" t="str">
        <x:v>Done</x:v>
      </x:c>
      <x:c r="D6" s="26" t="str">
        <x:v>PASS</x:v>
      </x:c>
      <x:c r="E6" s="26" t="str">
        <x:v>P0</x:v>
      </x:c>
      <x:c r="F6" s="26" t="str">
        <x:v>Production/Documentation</x:v>
      </x:c>
      <x:c r="G6" s="26" t="str">
        <x:v>CNS-001</x:v>
      </x:c>
      <x:c r="H6" s="26" t="str">
        <x:v>Excel maestro 00–34, riesgos, WPs, H6 e historia</x:v>
      </x:c>
      <x:c r="I6" s="26" t="str">
        <x:v>XLSX validado y hash externo</x:v>
      </x:c>
      <x:c r="J6" s="26" t="str">
        <x:v>34 OPS-13</x:v>
      </x:c>
      <x:c r="K6" s="26" t="str">
        <x:v>Entregable de esta ejecución.</x:v>
      </x:c>
      <x:c r="L6" s="90" t="n">
        <x:v>1</x:v>
      </x:c>
      <x:c r="M6" s="26" t="str">
        <x:v>NO</x:v>
      </x:c>
    </x:row>
    <x:row r="7" ht="30" customHeight="1">
      <x:c r="A7" s="26" t="str">
        <x:v>CNS-003</x:v>
      </x:c>
      <x:c r="B7" s="26" t="str">
        <x:v>Regenerar 13_Trazabilidad_y_Control_de_Cambios.xlsx</x:v>
      </x:c>
      <x:c r="C7" s="26" t="str">
        <x:v>Done</x:v>
      </x:c>
      <x:c r="D7" s="26" t="str">
        <x:v>PASS</x:v>
      </x:c>
      <x:c r="E7" s="26" t="str">
        <x:v>P0</x:v>
      </x:c>
      <x:c r="F7" s="26" t="str">
        <x:v>Documentation/Production</x:v>
      </x:c>
      <x:c r="G7" s="26" t="str">
        <x:v>CNS-002</x:v>
      </x:c>
      <x:c r="H7" s="26" t="str">
        <x:v>Linaje, cambios y trazabilidad completos</x:v>
      </x:c>
      <x:c r="I7" s="26" t="str">
        <x:v>XLSX validado</x:v>
      </x:c>
      <x:c r="J7" s="26" t="str">
        <x:v>34 OPS-14</x:v>
      </x:c>
      <x:c r="K7" s="26" t="str">
        <x:v>Documento 13 regenerado como candidato; hash externo tras exportación.</x:v>
      </x:c>
      <x:c r="L7" s="90" t="n">
        <x:v>1</x:v>
      </x:c>
      <x:c r="M7" s="26" t="str">
        <x:v>NO</x:v>
      </x:c>
    </x:row>
    <x:row r="8" ht="30" customHeight="1">
      <x:c r="A8" s="26" t="str">
        <x:v>CNS-004</x:v>
      </x:c>
      <x:c r="B8" s="26" t="str">
        <x:v>Actualizar 14_Project_Binder_Indice_Maestro.md</x:v>
      </x:c>
      <x:c r="C8" s="26" t="str">
        <x:v>Planned</x:v>
      </x:c>
      <x:c r="D8" s="26" t="str">
        <x:v>NOT RUN</x:v>
      </x:c>
      <x:c r="E8" s="26" t="str">
        <x:v>P0</x:v>
      </x:c>
      <x:c r="F8" s="26" t="str">
        <x:v>Documentation</x:v>
      </x:c>
      <x:c r="G8" s="26" t="str">
        <x:v>CNS-003</x:v>
      </x:c>
      <x:c r="H8" s="26" t="str">
        <x:v>Índice 00–34 actualizado</x:v>
      </x:c>
      <x:c r="I8" s="26" t="str">
        <x:v>Markdown validado</x:v>
      </x:c>
      <x:c r="J8" s="26" t="str">
        <x:v>34 OPS-15</x:v>
      </x:c>
      <x:c r="K8" s="26"/>
      <x:c r="L8" s="90" t="n">
        <x:v>0</x:v>
      </x:c>
      <x:c r="M8" s="26" t="str">
        <x:v>NO</x:v>
      </x:c>
    </x:row>
    <x:row r="9" ht="30" customHeight="1">
      <x:c r="A9" s="26" t="str">
        <x:v>CNS-005</x:v>
      </x:c>
      <x:c r="B9" s="26" t="str">
        <x:v>Actualizar 15_Guia_Maestra.md</x:v>
      </x:c>
      <x:c r="C9" s="26" t="str">
        <x:v>Planned</x:v>
      </x:c>
      <x:c r="D9" s="26" t="str">
        <x:v>NOT RUN</x:v>
      </x:c>
      <x:c r="E9" s="26" t="str">
        <x:v>P0</x:v>
      </x:c>
      <x:c r="F9" s="26" t="str">
        <x:v>Documentation</x:v>
      </x:c>
      <x:c r="G9" s="26" t="str">
        <x:v>CNS-004</x:v>
      </x:c>
      <x:c r="H9" s="26" t="str">
        <x:v>Guía completa de uso y retoma</x:v>
      </x:c>
      <x:c r="I9" s="26" t="str">
        <x:v>Markdown validado</x:v>
      </x:c>
      <x:c r="J9" s="26" t="str">
        <x:v>34 OPS-16</x:v>
      </x:c>
      <x:c r="K9" s="26"/>
      <x:c r="L9" s="90" t="n">
        <x:v>0</x:v>
      </x:c>
      <x:c r="M9" s="26" t="str">
        <x:v>NO</x:v>
      </x:c>
    </x:row>
    <x:row r="10" ht="30" customHeight="1">
      <x:c r="A10" s="26" t="str">
        <x:v>CNS-006</x:v>
      </x:c>
      <x:c r="B10" s="26" t="str">
        <x:v>Actualizar 21_Initial_Content_Catalog.xlsx</x:v>
      </x:c>
      <x:c r="C10" s="26" t="str">
        <x:v>Planned</x:v>
      </x:c>
      <x:c r="D10" s="26" t="str">
        <x:v>NOT RUN</x:v>
      </x:c>
      <x:c r="E10" s="26" t="str">
        <x:v>P1</x:v>
      </x:c>
      <x:c r="F10" s="26" t="str">
        <x:v>Content/Documentation</x:v>
      </x:c>
      <x:c r="G10" s="26" t="str">
        <x:v>CNS-003</x:v>
      </x:c>
      <x:c r="H10" s="26" t="str">
        <x:v>Referencias y hashes vigentes</x:v>
      </x:c>
      <x:c r="I10" s="26" t="str">
        <x:v>XLSX validado</x:v>
      </x:c>
      <x:c r="J10" s="26" t="str">
        <x:v>Secuencia de cierre</x:v>
      </x:c>
      <x:c r="K10" s="26"/>
      <x:c r="L10" s="90" t="n">
        <x:v>0</x:v>
      </x:c>
      <x:c r="M10" s="26" t="str">
        <x:v>NO</x:v>
      </x:c>
    </x:row>
    <x:row r="11" ht="30" customHeight="1">
      <x:c r="A11" s="26" t="str">
        <x:v>CNS-007</x:v>
      </x:c>
      <x:c r="B11" s="26" t="str">
        <x:v>Actualizar 23_Legal_Credits_and_Licenses_Register.xlsx</x:v>
      </x:c>
      <x:c r="C11" s="26" t="str">
        <x:v>Planned</x:v>
      </x:c>
      <x:c r="D11" s="26" t="str">
        <x:v>NOT RUN</x:v>
      </x:c>
      <x:c r="E11" s="26" t="str">
        <x:v>P0</x:v>
      </x:c>
      <x:c r="F11" s="26" t="str">
        <x:v>Legal/Documentation</x:v>
      </x:c>
      <x:c r="G11" s="26" t="str">
        <x:v>CNS-003</x:v>
      </x:c>
      <x:c r="H11" s="26" t="str">
        <x:v>Referencias, licencias y hashes vigentes</x:v>
      </x:c>
      <x:c r="I11" s="26" t="str">
        <x:v>XLSX validado</x:v>
      </x:c>
      <x:c r="J11" s="26" t="str">
        <x:v>34 OPS-18</x:v>
      </x:c>
      <x:c r="K11" s="26"/>
      <x:c r="L11" s="90" t="n">
        <x:v>0</x:v>
      </x:c>
      <x:c r="M11" s="26" t="str">
        <x:v>NO</x:v>
      </x:c>
    </x:row>
    <x:row r="12" ht="30" customHeight="1">
      <x:c r="A12" s="26" t="str">
        <x:v>CNS-008</x:v>
      </x:c>
      <x:c r="B12" s="26" t="str">
        <x:v>Actualizar 31_H6_and_Release_Readiness_Checklist.xlsx</x:v>
      </x:c>
      <x:c r="C12" s="26" t="str">
        <x:v>Planned</x:v>
      </x:c>
      <x:c r="D12" s="26" t="str">
        <x:v>NOT RUN</x:v>
      </x:c>
      <x:c r="E12" s="26" t="str">
        <x:v>P0</x:v>
      </x:c>
      <x:c r="F12" s="26" t="str">
        <x:v>QA/Production</x:v>
      </x:c>
      <x:c r="G12" s="26" t="str">
        <x:v>CNS-003,CNS-004,CNS-005</x:v>
      </x:c>
      <x:c r="H12" s="26" t="str">
        <x:v>Referencias 32–34 y controles de cierre</x:v>
      </x:c>
      <x:c r="I12" s="26" t="str">
        <x:v>XLSX validado</x:v>
      </x:c>
      <x:c r="J12" s="26" t="str">
        <x:v>34 OPS-19</x:v>
      </x:c>
      <x:c r="K12" s="26"/>
      <x:c r="L12" s="90" t="n">
        <x:v>0</x:v>
      </x:c>
      <x:c r="M12" s="26" t="str">
        <x:v>NO</x:v>
      </x:c>
    </x:row>
    <x:row r="13" ht="30" customHeight="1">
      <x:c r="A13" s="26" t="str">
        <x:v>CNS-009</x:v>
      </x:c>
      <x:c r="B13" s="26" t="str">
        <x:v>Actualizar 33_Project_Risk_Register_and_Business_Continuity_Plan.xlsx</x:v>
      </x:c>
      <x:c r="C13" s="26" t="str">
        <x:v>Planned</x:v>
      </x:c>
      <x:c r="D13" s="26" t="str">
        <x:v>NOT RUN</x:v>
      </x:c>
      <x:c r="E13" s="26" t="str">
        <x:v>P0</x:v>
      </x:c>
      <x:c r="F13" s="26" t="str">
        <x:v>Risk/Continuity</x:v>
      </x:c>
      <x:c r="G13" s="26" t="str">
        <x:v>CNS-003,CNS-008</x:v>
      </x:c>
      <x:c r="H13" s="26" t="str">
        <x:v>Fuentes 00–34 y riesgos de cierre</x:v>
      </x:c>
      <x:c r="I13" s="26" t="str">
        <x:v>XLSX validado</x:v>
      </x:c>
      <x:c r="J13" s="26" t="str">
        <x:v>Secuencia de cierre</x:v>
      </x:c>
      <x:c r="K13" s="26"/>
      <x:c r="L13" s="90" t="n">
        <x:v>0</x:v>
      </x:c>
      <x:c r="M13" s="26" t="str">
        <x:v>NO</x:v>
      </x:c>
    </x:row>
    <x:row r="14" ht="30" customHeight="1">
      <x:c r="A14" s="26" t="str">
        <x:v>CNS-010</x:v>
      </x:c>
      <x:c r="B14" s="26" t="str">
        <x:v>Actualizar 34_Final_Handoff_and_Project_Operations_Manual.md</x:v>
      </x:c>
      <x:c r="C14" s="26" t="str">
        <x:v>Planned</x:v>
      </x:c>
      <x:c r="D14" s="26" t="str">
        <x:v>NOT RUN</x:v>
      </x:c>
      <x:c r="E14" s="26" t="str">
        <x:v>P1</x:v>
      </x:c>
      <x:c r="F14" s="26" t="str">
        <x:v>Operations/Documentation</x:v>
      </x:c>
      <x:c r="G14" s="26" t="str">
        <x:v>CNS-003,CNS-004,CNS-005</x:v>
      </x:c>
      <x:c r="H14" s="26" t="str">
        <x:v>Rutas y baseline definitivas</x:v>
      </x:c>
      <x:c r="I14" s="26" t="str">
        <x:v>Markdown validado</x:v>
      </x:c>
      <x:c r="J14" s="26" t="str">
        <x:v>Secuencia de cierre</x:v>
      </x:c>
      <x:c r="K14" s="26"/>
      <x:c r="L14" s="90" t="n">
        <x:v>0</x:v>
      </x:c>
      <x:c r="M14" s="26" t="str">
        <x:v>NO</x:v>
      </x:c>
    </x:row>
    <x:row r="15" ht="30" customHeight="1">
      <x:c r="A15" s="26" t="str">
        <x:v>CNS-011</x:v>
      </x:c>
      <x:c r="B15" s="26" t="str">
        <x:v>Generar 32_Documentation_Baseline_Manifest.xlsx candidato</x:v>
      </x:c>
      <x:c r="C15" s="26" t="str">
        <x:v>Planned</x:v>
      </x:c>
      <x:c r="D15" s="26" t="str">
        <x:v>NOT RUN</x:v>
      </x:c>
      <x:c r="E15" s="26" t="str">
        <x:v>P0</x:v>
      </x:c>
      <x:c r="F15" s="26" t="str">
        <x:v>Documentation/Integrity</x:v>
      </x:c>
      <x:c r="G15" s="26" t="str">
        <x:v>CNS-006,CNS-007,CNS-008,CNS-009,CNS-010</x:v>
      </x:c>
      <x:c r="H15" s="26" t="str">
        <x:v>Manifiesto candidato con hashes actuales</x:v>
      </x:c>
      <x:c r="I15" s="26" t="str">
        <x:v>XLSX validado</x:v>
      </x:c>
      <x:c r="J15" s="26" t="str">
        <x:v>34 OPS-19</x:v>
      </x:c>
      <x:c r="K15" s="26"/>
      <x:c r="L15" s="90" t="n">
        <x:v>0</x:v>
      </x:c>
      <x:c r="M15" s="26" t="str">
        <x:v>NO</x:v>
      </x:c>
    </x:row>
    <x:row r="16" ht="30" customHeight="1">
      <x:c r="A16" s="26" t="str">
        <x:v>CNS-012</x:v>
      </x:c>
      <x:c r="B16" s="26" t="str">
        <x:v>Regenerar 16_Auditoria_Global_de_Coherencia.md candidata</x:v>
      </x:c>
      <x:c r="C16" s="26" t="str">
        <x:v>Planned</x:v>
      </x:c>
      <x:c r="D16" s="26" t="str">
        <x:v>NOT RUN</x:v>
      </x:c>
      <x:c r="E16" s="26" t="str">
        <x:v>P0</x:v>
      </x:c>
      <x:c r="F16" s="26" t="str">
        <x:v>Audit/Documentation</x:v>
      </x:c>
      <x:c r="G16" s="26" t="str">
        <x:v>CNS-011</x:v>
      </x:c>
      <x:c r="H16" s="26" t="str">
        <x:v>Auditoría 00–34 completa</x:v>
      </x:c>
      <x:c r="I16" s="26" t="str">
        <x:v>Informe de hallazgos</x:v>
      </x:c>
      <x:c r="J16" s="26" t="str">
        <x:v>34 OPS-17</x:v>
      </x:c>
      <x:c r="K16" s="26"/>
      <x:c r="L16" s="90" t="n">
        <x:v>0</x:v>
      </x:c>
      <x:c r="M16" s="26" t="str">
        <x:v>NO</x:v>
      </x:c>
    </x:row>
    <x:row r="17" ht="30" customHeight="1">
      <x:c r="A17" s="26" t="str">
        <x:v>CNS-013</x:v>
      </x:c>
      <x:c r="B17" s="26" t="str">
        <x:v>Resolver hallazgos de auditoría</x:v>
      </x:c>
      <x:c r="C17" s="26" t="str">
        <x:v>Planned</x:v>
      </x:c>
      <x:c r="D17" s="26" t="str">
        <x:v>NOT RUN</x:v>
      </x:c>
      <x:c r="E17" s="26" t="str">
        <x:v>P0</x:v>
      </x:c>
      <x:c r="F17" s="26" t="str">
        <x:v>All Owners</x:v>
      </x:c>
      <x:c r="G17" s="26" t="str">
        <x:v>CNS-012</x:v>
      </x:c>
      <x:c r="H17" s="26" t="str">
        <x:v>Sin BLOCKER/HIGH abiertos o excepción formal</x:v>
      </x:c>
      <x:c r="I17" s="26" t="str">
        <x:v>Registro de correcciones</x:v>
      </x:c>
      <x:c r="J17" s="26" t="str">
        <x:v>Secuencia de cierre</x:v>
      </x:c>
      <x:c r="K17" s="26"/>
      <x:c r="L17" s="90" t="n">
        <x:v>0</x:v>
      </x:c>
      <x:c r="M17" s="26" t="str">
        <x:v>NO</x:v>
      </x:c>
    </x:row>
    <x:row r="18" ht="30" customHeight="1">
      <x:c r="A18" s="26" t="str">
        <x:v>CNS-014</x:v>
      </x:c>
      <x:c r="B18" s="26" t="str">
        <x:v>Regenerar 16_Auditoria_Global_de_Coherencia.md final</x:v>
      </x:c>
      <x:c r="C18" s="26" t="str">
        <x:v>Planned</x:v>
      </x:c>
      <x:c r="D18" s="26" t="str">
        <x:v>NOT RUN</x:v>
      </x:c>
      <x:c r="E18" s="26" t="str">
        <x:v>P0</x:v>
      </x:c>
      <x:c r="F18" s="26" t="str">
        <x:v>Audit/Documentation</x:v>
      </x:c>
      <x:c r="G18" s="26" t="str">
        <x:v>CNS-013</x:v>
      </x:c>
      <x:c r="H18" s="26" t="str">
        <x:v>Auditoría final PASS/PASS WITH EXCEPTIONS</x:v>
      </x:c>
      <x:c r="I18" s="26" t="str">
        <x:v>Informe final</x:v>
      </x:c>
      <x:c r="J18" s="26" t="str">
        <x:v>34 OPS-17</x:v>
      </x:c>
      <x:c r="K18" s="26"/>
      <x:c r="L18" s="90" t="n">
        <x:v>0</x:v>
      </x:c>
      <x:c r="M18" s="26" t="str">
        <x:v>NO</x:v>
      </x:c>
    </x:row>
    <x:row r="19" ht="30" customHeight="1">
      <x:c r="A19" s="26" t="str">
        <x:v>CNS-015</x:v>
      </x:c>
      <x:c r="B19" s="26" t="str">
        <x:v>Regenerar 32_Documentation_Baseline_Manifest.xlsx definitivo</x:v>
      </x:c>
      <x:c r="C19" s="26" t="str">
        <x:v>Planned</x:v>
      </x:c>
      <x:c r="D19" s="26" t="str">
        <x:v>NOT RUN</x:v>
      </x:c>
      <x:c r="E19" s="26" t="str">
        <x:v>P0</x:v>
      </x:c>
      <x:c r="F19" s="26" t="str">
        <x:v>Documentation/Integrity</x:v>
      </x:c>
      <x:c r="G19" s="26" t="str">
        <x:v>CNS-014</x:v>
      </x:c>
      <x:c r="H19" s="26" t="str">
        <x:v>Manifiesto definitivo</x:v>
      </x:c>
      <x:c r="I19" s="26" t="str">
        <x:v>XLSX + hash externo</x:v>
      </x:c>
      <x:c r="J19" s="26" t="str">
        <x:v>34 OPS-19</x:v>
      </x:c>
      <x:c r="K19" s="26"/>
      <x:c r="L19" s="90" t="n">
        <x:v>0</x:v>
      </x:c>
      <x:c r="M19" s="26" t="str">
        <x:v>NO</x:v>
      </x:c>
    </x:row>
    <x:row r="20" ht="30" customHeight="1">
      <x:c r="A20" s="26" t="str">
        <x:v>CNS-016</x:v>
      </x:c>
      <x:c r="B20" s="26" t="str">
        <x:v>Generar PACKAGE_MANIFEST.md</x:v>
      </x:c>
      <x:c r="C20" s="26" t="str">
        <x:v>Planned</x:v>
      </x:c>
      <x:c r="D20" s="26" t="str">
        <x:v>NOT RUN</x:v>
      </x:c>
      <x:c r="E20" s="26" t="str">
        <x:v>P0</x:v>
      </x:c>
      <x:c r="F20" s="26" t="str">
        <x:v>Documentation/Integrity</x:v>
      </x:c>
      <x:c r="G20" s="26" t="str">
        <x:v>CNS-015</x:v>
      </x:c>
      <x:c r="H20" s="26" t="str">
        <x:v>Manifiesto externo de paquete</x:v>
      </x:c>
      <x:c r="I20" s="26" t="str">
        <x:v>Markdown validado</x:v>
      </x:c>
      <x:c r="J20" s="26" t="str">
        <x:v>34 OPS-20</x:v>
      </x:c>
      <x:c r="K20" s="26"/>
      <x:c r="L20" s="90" t="n">
        <x:v>0</x:v>
      </x:c>
      <x:c r="M20" s="26" t="str">
        <x:v>NO</x:v>
      </x:c>
    </x:row>
    <x:row r="21" ht="30" customHeight="1">
      <x:c r="A21" s="26" t="str">
        <x:v>CNS-017</x:v>
      </x:c>
      <x:c r="B21" s="26" t="str">
        <x:v>Generar CHECKSUMS_SHA256.txt</x:v>
      </x:c>
      <x:c r="C21" s="26" t="str">
        <x:v>Planned</x:v>
      </x:c>
      <x:c r="D21" s="26" t="str">
        <x:v>NOT RUN</x:v>
      </x:c>
      <x:c r="E21" s="26" t="str">
        <x:v>P0</x:v>
      </x:c>
      <x:c r="F21" s="26" t="str">
        <x:v>Integrity</x:v>
      </x:c>
      <x:c r="G21" s="26" t="str">
        <x:v>CNS-016</x:v>
      </x:c>
      <x:c r="H21" s="26" t="str">
        <x:v>Checksums de todos los artefactos</x:v>
      </x:c>
      <x:c r="I21" s="26" t="str">
        <x:v>Verificación hash</x:v>
      </x:c>
      <x:c r="J21" s="26" t="str">
        <x:v>34 OPS-21</x:v>
      </x:c>
      <x:c r="K21" s="26"/>
      <x:c r="L21" s="90" t="n">
        <x:v>0</x:v>
      </x:c>
      <x:c r="M21" s="26" t="str">
        <x:v>NO</x:v>
      </x:c>
    </x:row>
    <x:row r="22" ht="30" customHeight="1">
      <x:c r="A22" s="26" t="str">
        <x:v>CNS-018</x:v>
      </x:c>
      <x:c r="B22" s="26" t="str">
        <x:v>Generar DOCUMENTATION_VALIDATION_REPORT.md</x:v>
      </x:c>
      <x:c r="C22" s="26" t="str">
        <x:v>Planned</x:v>
      </x:c>
      <x:c r="D22" s="26" t="str">
        <x:v>NOT RUN</x:v>
      </x:c>
      <x:c r="E22" s="26" t="str">
        <x:v>P0</x:v>
      </x:c>
      <x:c r="F22" s="26" t="str">
        <x:v>QA/Documentation</x:v>
      </x:c>
      <x:c r="G22" s="26" t="str">
        <x:v>CNS-017</x:v>
      </x:c>
      <x:c r="H22" s="26" t="str">
        <x:v>Informe PASS/PASS WITH EXCEPTIONS</x:v>
      </x:c>
      <x:c r="I22" s="26" t="str">
        <x:v>Reporte validado</x:v>
      </x:c>
      <x:c r="J22" s="26" t="str">
        <x:v>34 OPS-22</x:v>
      </x:c>
      <x:c r="K22" s="26"/>
      <x:c r="L22" s="90" t="n">
        <x:v>0</x:v>
      </x:c>
      <x:c r="M22" s="26" t="str">
        <x:v>NO</x:v>
      </x:c>
    </x:row>
    <x:row r="23" ht="30" customHeight="1">
      <x:c r="A23" s="26" t="str">
        <x:v>CNS-019</x:v>
      </x:c>
      <x:c r="B23" s="26" t="str">
        <x:v>Crear y verificar ZIP inmutable</x:v>
      </x:c>
      <x:c r="C23" s="26" t="str">
        <x:v>Planned</x:v>
      </x:c>
      <x:c r="D23" s="26" t="str">
        <x:v>NOT RUN</x:v>
      </x:c>
      <x:c r="E23" s="26" t="str">
        <x:v>P0</x:v>
      </x:c>
      <x:c r="F23" s="26" t="str">
        <x:v>Release/Integrity</x:v>
      </x:c>
      <x:c r="G23" s="26" t="str">
        <x:v>CNS-018</x:v>
      </x:c>
      <x:c r="H23" s="26" t="str">
        <x:v>ZIP extraído y verificado</x:v>
      </x:c>
      <x:c r="I23" s="26" t="str">
        <x:v>Hash externo + restore test</x:v>
      </x:c>
      <x:c r="J23" s="26" t="str">
        <x:v>34 OPS-23</x:v>
      </x:c>
      <x:c r="K23" s="26"/>
      <x:c r="L23" s="90" t="n">
        <x:v>0</x:v>
      </x:c>
      <x:c r="M23" s="26" t="str">
        <x:v>NO</x:v>
      </x:c>
    </x:row>
    <x:row r="24" ht="30" customHeight="1">
      <x:c r="A24" s="26" t="str">
        <x:v>CNS-020</x:v>
      </x:c>
      <x:c r="B24" s="26" t="str">
        <x:v>Asociar baseline a commit y tag Git</x:v>
      </x:c>
      <x:c r="C24" s="26" t="str">
        <x:v>Planned</x:v>
      </x:c>
      <x:c r="D24" s="26" t="str">
        <x:v>NOT RUN</x:v>
      </x:c>
      <x:c r="E24" s="26" t="str">
        <x:v>P0</x:v>
      </x:c>
      <x:c r="F24" s="26" t="str">
        <x:v>Production/Engineering</x:v>
      </x:c>
      <x:c r="G24" s="26" t="str">
        <x:v>CNS-019</x:v>
      </x:c>
      <x:c r="H24" s="26" t="str">
        <x:v>Commit/tag registrados en manifest y handoff</x:v>
      </x:c>
      <x:c r="I24" s="26" t="str">
        <x:v>Git evidence</x:v>
      </x:c>
      <x:c r="J24" s="26" t="str">
        <x:v>Secuencia de cierre</x:v>
      </x:c>
      <x:c r="K24" s="26"/>
      <x:c r="L24" s="90" t="n">
        <x:v>0</x:v>
      </x:c>
      <x:c r="M24" s="26" t="str">
        <x:v>NO</x:v>
      </x:c>
    </x:row>
    <x:row r="25" ht="30" customHeight="1">
      <x:c r="A25" s="26" t="str">
        <x:v>CNS-021</x:v>
      </x:c>
      <x:c r="B25" s="26" t="str">
        <x:v>Ejecutar H6 mediante documento 31</x:v>
      </x:c>
      <x:c r="C25" s="26" t="str">
        <x:v>Planned</x:v>
      </x:c>
      <x:c r="D25" s="26" t="str">
        <x:v>NOT RUN</x:v>
      </x:c>
      <x:c r="E25" s="26" t="str">
        <x:v>P0</x:v>
      </x:c>
      <x:c r="F25" s="26" t="str">
        <x:v>Production/QA</x:v>
      </x:c>
      <x:c r="G25" s="26" t="str">
        <x:v>CNS-008,CNS-020</x:v>
      </x:c>
      <x:c r="H25" s="26" t="str">
        <x:v>Controles H6 ejecutados con evidencia</x:v>
      </x:c>
      <x:c r="I25" s="26" t="str">
        <x:v>Signoff H6</x:v>
      </x:c>
      <x:c r="J25" s="26" t="str">
        <x:v>34 OPS-12</x:v>
      </x:c>
      <x:c r="K25" s="26" t="str">
        <x:v>No confundir cierre documental con H6 PASS.</x:v>
      </x:c>
      <x:c r="L25" s="90" t="n">
        <x:v>0</x:v>
      </x:c>
      <x:c r="M25" s="26" t="str">
        <x:v>NO</x:v>
      </x:c>
    </x:row>
    <x:row r="26" ht="30" customHeight="1">
      <x:c r="A26" s="26" t="str">
        <x:v>CNS-022</x:v>
      </x:c>
      <x:c r="B26" s="26" t="str">
        <x:v>Validar continuidad y riesgos mediante documento 33</x:v>
      </x:c>
      <x:c r="C26" s="26" t="str">
        <x:v>Planned</x:v>
      </x:c>
      <x:c r="D26" s="26" t="str">
        <x:v>NOT RUN</x:v>
      </x:c>
      <x:c r="E26" s="26" t="str">
        <x:v>P0</x:v>
      </x:c>
      <x:c r="F26" s="26" t="str">
        <x:v>Risk/Continuity</x:v>
      </x:c>
      <x:c r="G26" s="26" t="str">
        <x:v>CNS-009,CNS-020</x:v>
      </x:c>
      <x:c r="H26" s="26" t="str">
        <x:v>Backups, restores, RTO/RPO y riesgos verificados</x:v>
      </x:c>
      <x:c r="I26" s="26" t="str">
        <x:v>Exercise evidence</x:v>
      </x:c>
      <x:c r="J26" s="26" t="str">
        <x:v>34 OPS-03/26/27</x:v>
      </x:c>
      <x:c r="K26" s="26"/>
      <x:c r="L26" s="90" t="n">
        <x:v>0</x:v>
      </x:c>
      <x:c r="M26" s="26" t="str">
        <x:v>NO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6" hidden="0" customWidth="1"/>
    <x:col min="13" max="13" width="48" hidden="0" customWidth="1"/>
    <x:col min="14" max="14" width="18" hidden="0" customWidth="1"/>
    <x:col min="15" max="15" width="4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8" customHeight="1">
      <x:c r="A1" s="31" t="str">
        <x:v>Work packages especializados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</x:row>
    <x:row r="2" ht="32" customHeight="1">
      <x:c r="A2" s="35" t="str">
        <x:v>224 paquetes de planes 18–30 y 34; existencia documental no implica implementación.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</x:row>
    <x:row r="4" ht="30" customHeight="1">
      <x:c r="A4" s="40" t="str">
        <x:v>WP ID</x:v>
      </x:c>
      <x:c r="B4" s="40" t="str">
        <x:v>Dominio</x:v>
      </x:c>
      <x:c r="C4" s="40" t="str">
        <x:v>Paquete</x:v>
      </x:c>
      <x:c r="D4" s="40" t="str">
        <x:v>Prioridad</x:v>
      </x:c>
      <x:c r="E4" s="40" t="str">
        <x:v>Ventana/Fase</x:v>
      </x:c>
      <x:c r="F4" s="40" t="str">
        <x:v>Estado</x:v>
      </x:c>
      <x:c r="G4" s="40" t="str">
        <x:v>Validación</x:v>
      </x:c>
      <x:c r="H4" s="40" t="str">
        <x:v>Owner</x:v>
      </x:c>
      <x:c r="I4" s="40" t="str">
        <x:v>Reviewer</x:v>
      </x:c>
      <x:c r="J4" s="40" t="str">
        <x:v>Dependencias</x:v>
      </x:c>
      <x:c r="K4" s="40" t="str">
        <x:v>Salida</x:v>
      </x:c>
      <x:c r="L4" s="40" t="str">
        <x:v>Objetivo/Alcance/Ejecución</x:v>
      </x:c>
      <x:c r="M4" s="40" t="str">
        <x:v>Criterio de aceptación</x:v>
      </x:c>
      <x:c r="N4" s="40" t="str">
        <x:v>Evidencia</x:v>
      </x:c>
      <x:c r="O4" s="40" t="str">
        <x:v>Fuente actual</x:v>
      </x:c>
      <x:c r="P4" s="40" t="str">
        <x:v>Base histórica</x:v>
      </x:c>
      <x:c r="Q4" s="40" t="str">
        <x:v>Relevancia H6</x:v>
      </x:c>
      <x:c r="R4" s="40" t="str">
        <x:v>Relevancia Release</x:v>
      </x:c>
      <x:c r="S4" s="40" t="str">
        <x:v>Notas</x:v>
      </x:c>
      <x:c r="T4" s="40" t="str">
        <x:v>Completion %</x:v>
      </x:c>
    </x:row>
    <x:row r="5" ht="30" customHeight="1">
      <x:c r="A5" s="26" t="str">
        <x:v>ACC-WP-001</x:v>
      </x:c>
      <x:c r="B5" s="26" t="str">
        <x:v>Accesibilidad</x:v>
      </x:c>
      <x:c r="C5" s="26" t="str">
        <x:v>Auditoría de implementación Sprint 15</x:v>
      </x:c>
      <x:c r="D5" s="26" t="str">
        <x:v>P0</x:v>
      </x:c>
      <x:c r="E5" s="26" t="str">
        <x:v>Post-H6 / Release preparation</x:v>
      </x:c>
      <x:c r="F5" s="26" t="str">
        <x:v>Planned</x:v>
      </x:c>
      <x:c r="G5" s="26" t="str">
        <x:v>NOT RUN</x:v>
      </x:c>
      <x:c r="H5" s="26" t="str">
        <x:v>UX/Engineering/QA</x:v>
      </x:c>
      <x:c r="I5" s="26" t="str">
        <x:v>Production/QA</x:v>
      </x:c>
      <x:c r="J5" s="26" t="str">
        <x:v>código/build</x:v>
      </x:c>
      <x:c r="K5" s="26" t="str">
        <x:v>mapa real de capacidades y deuda</x:v>
      </x:c>
      <x:c r="L5" s="26"/>
      <x:c r="M5" s="26" t="str">
        <x:v>Entregable verificable, evidencia registrada y dependencias satisfechas.</x:v>
      </x:c>
      <x:c r="N5" s="26" t="str">
        <x:v>Registro, artefacto y validación reproducible</x:v>
      </x:c>
      <x:c r="O5" s="26" t="str">
        <x:v>29_Accessibility_and_Inclusive_Design_Plan.md</x:v>
      </x:c>
      <x:c r="P5" s="26" t="str">
        <x:v>UX, UI, input, QA y accesibilidad repartida v0.3–v0.6</x:v>
      </x:c>
      <x:c r="Q5" s="26" t="str">
        <x:v>YES</x:v>
      </x:c>
      <x:c r="R5" s="26" t="str">
        <x:v>YES</x:v>
      </x:c>
      <x:c r="S5" s="26"/>
      <x:c r="T5" s="90" t="n">
        <x:v>0</x:v>
      </x:c>
    </x:row>
    <x:row r="6" ht="30" customHeight="1">
      <x:c r="A6" s="26" t="str">
        <x:v>ACC-WP-002</x:v>
      </x:c>
      <x:c r="B6" s="26" t="str">
        <x:v>Accesibilidad</x:v>
      </x:c>
      <x:c r="C6" s="26" t="str">
        <x:v>Centralización de settings y versionado</x:v>
      </x:c>
      <x:c r="D6" s="26" t="str">
        <x:v>P0</x:v>
      </x:c>
      <x:c r="E6" s="26" t="str">
        <x:v>Post-H6 / Release preparation</x:v>
      </x:c>
      <x:c r="F6" s="26" t="str">
        <x:v>Planned</x:v>
      </x:c>
      <x:c r="G6" s="26" t="str">
        <x:v>NOT RUN</x:v>
      </x:c>
      <x:c r="H6" s="26" t="str">
        <x:v>UX/Engineering/QA</x:v>
      </x:c>
      <x:c r="I6" s="26" t="str">
        <x:v>Production/QA</x:v>
      </x:c>
      <x:c r="J6" s="26" t="str">
        <x:v>TDD/modelo</x:v>
      </x:c>
      <x:c r="K6" s="26" t="str">
        <x:v>schema migrable</x:v>
      </x:c>
      <x:c r="L6" s="26"/>
      <x:c r="M6" s="26" t="str">
        <x:v>Entregable verificable, evidencia registrada y dependencias satisfechas.</x:v>
      </x:c>
      <x:c r="N6" s="26" t="str">
        <x:v>Registro, artefacto y validación reproducible</x:v>
      </x:c>
      <x:c r="O6" s="26" t="str">
        <x:v>29_Accessibility_and_Inclusive_Design_Plan.md</x:v>
      </x:c>
      <x:c r="P6" s="26" t="str">
        <x:v>UX, UI, input, QA y accesibilidad repartida v0.3–v0.6</x:v>
      </x:c>
      <x:c r="Q6" s="26" t="str">
        <x:v>YES</x:v>
      </x:c>
      <x:c r="R6" s="26" t="str">
        <x:v>YES</x:v>
      </x:c>
      <x:c r="S6" s="26"/>
      <x:c r="T6" s="90" t="n">
        <x:v>0</x:v>
      </x:c>
    </x:row>
    <x:row r="7" ht="30" customHeight="1">
      <x:c r="A7" s="26" t="str">
        <x:v>ACC-WP-003</x:v>
      </x:c>
      <x:c r="B7" s="26" t="str">
        <x:v>Accesibilidad</x:v>
      </x:c>
      <x:c r="C7" s="26" t="str">
        <x:v>UI final de accesibilidad</x:v>
      </x:c>
      <x:c r="D7" s="26" t="str">
        <x:v>P0</x:v>
      </x:c>
      <x:c r="E7" s="26" t="str">
        <x:v>Post-H6 / Release preparation</x:v>
      </x:c>
      <x:c r="F7" s="26" t="str">
        <x:v>Planned</x:v>
      </x:c>
      <x:c r="G7" s="26" t="str">
        <x:v>NOT RUN</x:v>
      </x:c>
      <x:c r="H7" s="26" t="str">
        <x:v>UX/Engineering/QA</x:v>
      </x:c>
      <x:c r="I7" s="26" t="str">
        <x:v>Production/QA</x:v>
      </x:c>
      <x:c r="J7" s="26" t="str">
        <x:v>UI Style Guide</x:v>
      </x:c>
      <x:c r="K7" s="26" t="str">
        <x:v>menú en MainMenu y pausa</x:v>
      </x:c>
      <x:c r="L7" s="26"/>
      <x:c r="M7" s="26" t="str">
        <x:v>Entregable verificable, evidencia registrada y dependencias satisfechas.</x:v>
      </x:c>
      <x:c r="N7" s="26" t="str">
        <x:v>Registro, artefacto y validación reproducible</x:v>
      </x:c>
      <x:c r="O7" s="26" t="str">
        <x:v>29_Accessibility_and_Inclusive_Design_Plan.md</x:v>
      </x:c>
      <x:c r="P7" s="26" t="str">
        <x:v>UX, UI, input, QA y accesibilidad repartida v0.3–v0.6</x:v>
      </x:c>
      <x:c r="Q7" s="26" t="str">
        <x:v>YES</x:v>
      </x:c>
      <x:c r="R7" s="26" t="str">
        <x:v>YES</x:v>
      </x:c>
      <x:c r="S7" s="26"/>
      <x:c r="T7" s="90" t="n">
        <x:v>0</x:v>
      </x:c>
    </x:row>
    <x:row r="8" ht="30" customHeight="1">
      <x:c r="A8" s="26" t="str">
        <x:v>ACC-WP-004</x:v>
      </x:c>
      <x:c r="B8" s="26" t="str">
        <x:v>Accesibilidad</x:v>
      </x:c>
      <x:c r="C8" s="26" t="str">
        <x:v>Cobertura UI/texto 150 %</x:v>
      </x:c>
      <x:c r="D8" s="26" t="str">
        <x:v>P0</x:v>
      </x:c>
      <x:c r="E8" s="26" t="str">
        <x:v>Post-H6 / Release preparation</x:v>
      </x:c>
      <x:c r="F8" s="26" t="str">
        <x:v>Planned</x:v>
      </x:c>
      <x:c r="G8" s="26" t="str">
        <x:v>NOT RUN</x:v>
      </x:c>
      <x:c r="H8" s="26" t="str">
        <x:v>UX/Engineering/QA</x:v>
      </x:c>
      <x:c r="I8" s="26" t="str">
        <x:v>Production/QA</x:v>
      </x:c>
      <x:c r="J8" s="26" t="str">
        <x:v>UI final/localización</x:v>
      </x:c>
      <x:c r="K8" s="26" t="str">
        <x:v>layouts validados</x:v>
      </x:c>
      <x:c r="L8" s="26"/>
      <x:c r="M8" s="26" t="str">
        <x:v>Entregable verificable, evidencia registrada y dependencias satisfechas.</x:v>
      </x:c>
      <x:c r="N8" s="26" t="str">
        <x:v>Registro, artefacto y validación reproducible</x:v>
      </x:c>
      <x:c r="O8" s="26" t="str">
        <x:v>29_Accessibility_and_Inclusive_Design_Plan.md</x:v>
      </x:c>
      <x:c r="P8" s="26" t="str">
        <x:v>UX, UI, input, QA y accesibilidad repartida v0.3–v0.6</x:v>
      </x:c>
      <x:c r="Q8" s="26" t="str">
        <x:v>YES</x:v>
      </x:c>
      <x:c r="R8" s="26" t="str">
        <x:v>YES</x:v>
      </x:c>
      <x:c r="S8" s="26"/>
      <x:c r="T8" s="90" t="n">
        <x:v>0</x:v>
      </x:c>
    </x:row>
    <x:row r="9" ht="30" customHeight="1">
      <x:c r="A9" s="26" t="str">
        <x:v>ACC-WP-005</x:v>
      </x:c>
      <x:c r="B9" s="26" t="str">
        <x:v>Accesibilidad</x:v>
      </x:c>
      <x:c r="C9" s="26" t="str">
        <x:v>Foco y navegación integral</x:v>
      </x:c>
      <x:c r="D9" s="26" t="str">
        <x:v>P0</x:v>
      </x:c>
      <x:c r="E9" s="26" t="str">
        <x:v>Post-H6 / Release preparation</x:v>
      </x:c>
      <x:c r="F9" s="26" t="str">
        <x:v>Planned</x:v>
      </x:c>
      <x:c r="G9" s="26" t="str">
        <x:v>NOT RUN</x:v>
      </x:c>
      <x:c r="H9" s="26" t="str">
        <x:v>UX/Engineering/QA</x:v>
      </x:c>
      <x:c r="I9" s="26" t="str">
        <x:v>Production/QA</x:v>
      </x:c>
      <x:c r="J9" s="26" t="str">
        <x:v>input/UI</x:v>
      </x:c>
      <x:c r="K9" s="26" t="str">
        <x:v>Golden Path teclado</x:v>
      </x:c>
      <x:c r="L9" s="26"/>
      <x:c r="M9" s="26" t="str">
        <x:v>Entregable verificable, evidencia registrada y dependencias satisfechas.</x:v>
      </x:c>
      <x:c r="N9" s="26" t="str">
        <x:v>Registro, artefacto y validación reproducible</x:v>
      </x:c>
      <x:c r="O9" s="26" t="str">
        <x:v>29_Accessibility_and_Inclusive_Design_Plan.md</x:v>
      </x:c>
      <x:c r="P9" s="26" t="str">
        <x:v>UX, UI, input, QA y accesibilidad repartida v0.3–v0.6</x:v>
      </x:c>
      <x:c r="Q9" s="26" t="str">
        <x:v>YES</x:v>
      </x:c>
      <x:c r="R9" s="26" t="str">
        <x:v>YES</x:v>
      </x:c>
      <x:c r="S9" s="26"/>
      <x:c r="T9" s="90" t="n">
        <x:v>0</x:v>
      </x:c>
    </x:row>
    <x:row r="10" ht="30" customHeight="1">
      <x:c r="A10" s="26" t="str">
        <x:v>ACC-WP-006</x:v>
      </x:c>
      <x:c r="B10" s="26" t="str">
        <x:v>Accesibilidad</x:v>
      </x:c>
      <x:c r="C10" s="26" t="str">
        <x:v>Sistema de prompts dinámicos</x:v>
      </x:c>
      <x:c r="D10" s="26" t="str">
        <x:v>P0</x:v>
      </x:c>
      <x:c r="E10" s="26" t="str">
        <x:v>Post-H6 / Release preparation</x:v>
      </x:c>
      <x:c r="F10" s="26" t="str">
        <x:v>Planned</x:v>
      </x:c>
      <x:c r="G10" s="26" t="str">
        <x:v>NOT RUN</x:v>
      </x:c>
      <x:c r="H10" s="26" t="str">
        <x:v>UX/Engineering/QA</x:v>
      </x:c>
      <x:c r="I10" s="26" t="str">
        <x:v>Production/QA</x:v>
      </x:c>
      <x:c r="J10" s="26" t="str">
        <x:v>Input System</x:v>
      </x:c>
      <x:c r="K10" s="26" t="str">
        <x:v>prompts por binding/dispositivo</x:v>
      </x:c>
      <x:c r="L10" s="26"/>
      <x:c r="M10" s="26" t="str">
        <x:v>Entregable verificable, evidencia registrada y dependencias satisfechas.</x:v>
      </x:c>
      <x:c r="N10" s="26" t="str">
        <x:v>Registro, artefacto y validación reproducible</x:v>
      </x:c>
      <x:c r="O10" s="26" t="str">
        <x:v>29_Accessibility_and_Inclusive_Design_Plan.md</x:v>
      </x:c>
      <x:c r="P10" s="26" t="str">
        <x:v>UX, UI, input, QA y accesibilidad repartida v0.3–v0.6</x:v>
      </x:c>
      <x:c r="Q10" s="26" t="str">
        <x:v>YES</x:v>
      </x:c>
      <x:c r="R10" s="26" t="str">
        <x:v>YES</x:v>
      </x:c>
      <x:c r="S10" s="26"/>
      <x:c r="T10" s="90" t="n">
        <x:v>0</x:v>
      </x:c>
    </x:row>
    <x:row r="11" ht="30" customHeight="1">
      <x:c r="A11" s="26" t="str">
        <x:v>ACC-WP-007</x:v>
      </x:c>
      <x:c r="B11" s="26" t="str">
        <x:v>Accesibilidad</x:v>
      </x:c>
      <x:c r="C11" s="26" t="str">
        <x:v>Runtime rebinding</x:v>
      </x:c>
      <x:c r="D11" s="26" t="str">
        <x:v>P1</x:v>
      </x:c>
      <x:c r="E11" s="26" t="str">
        <x:v>Post-H6 / Release preparation</x:v>
      </x:c>
      <x:c r="F11" s="26" t="str">
        <x:v>Planned</x:v>
      </x:c>
      <x:c r="G11" s="26" t="str">
        <x:v>NOT RUN</x:v>
      </x:c>
      <x:c r="H11" s="26" t="str">
        <x:v>UX/Engineering/QA</x:v>
      </x:c>
      <x:c r="I11" s="26" t="str">
        <x:v>Production/QA</x:v>
      </x:c>
      <x:c r="J11" s="26" t="str">
        <x:v>action map</x:v>
      </x:c>
      <x:c r="K11" s="26" t="str">
        <x:v>remapeo, conflictos y persistencia</x:v>
      </x:c>
      <x:c r="L11" s="26"/>
      <x:c r="M11" s="26" t="str">
        <x:v>Entregable verificable, evidencia registrada y dependencias satisfechas.</x:v>
      </x:c>
      <x:c r="N11" s="26" t="str">
        <x:v>Registro, artefacto y validación reproducible</x:v>
      </x:c>
      <x:c r="O11" s="26" t="str">
        <x:v>29_Accessibility_and_Inclusive_Design_Plan.md</x:v>
      </x:c>
      <x:c r="P11" s="26" t="str">
        <x:v>UX, UI, input, QA y accesibilidad repartida v0.3–v0.6</x:v>
      </x:c>
      <x:c r="Q11" s="26" t="str">
        <x:v>YES</x:v>
      </x:c>
      <x:c r="R11" s="26" t="str">
        <x:v>YES</x:v>
      </x:c>
      <x:c r="S11" s="26"/>
      <x:c r="T11" s="90" t="n">
        <x:v>0</x:v>
      </x:c>
    </x:row>
    <x:row r="12" ht="30" customHeight="1">
      <x:c r="A12" s="26" t="str">
        <x:v>ACC-WP-008</x:v>
      </x:c>
      <x:c r="B12" s="26" t="str">
        <x:v>Accesibilidad</x:v>
      </x:c>
      <x:c r="C12" s="26" t="str">
        <x:v>Mouse-only audit</x:v>
      </x:c>
      <x:c r="D12" s="26" t="str">
        <x:v>P1</x:v>
      </x:c>
      <x:c r="E12" s="26" t="str">
        <x:v>Post-H6 / Release preparation</x:v>
      </x:c>
      <x:c r="F12" s="26" t="str">
        <x:v>Planned</x:v>
      </x:c>
      <x:c r="G12" s="26" t="str">
        <x:v>NOT RUN</x:v>
      </x:c>
      <x:c r="H12" s="26" t="str">
        <x:v>UX/Engineering/QA</x:v>
      </x:c>
      <x:c r="I12" s="26" t="str">
        <x:v>Production/QA</x:v>
      </x:c>
      <x:c r="J12" s="26" t="str">
        <x:v>controles en pantalla</x:v>
      </x:c>
      <x:c r="K12" s="26" t="str">
        <x:v>decisión de claim</x:v>
      </x:c>
      <x:c r="L12" s="26"/>
      <x:c r="M12" s="26" t="str">
        <x:v>Entregable verificable, evidencia registrada y dependencias satisfechas.</x:v>
      </x:c>
      <x:c r="N12" s="26" t="str">
        <x:v>Registro, artefacto y validación reproducible</x:v>
      </x:c>
      <x:c r="O12" s="26" t="str">
        <x:v>29_Accessibility_and_Inclusive_Design_Plan.md</x:v>
      </x:c>
      <x:c r="P12" s="26" t="str">
        <x:v>UX, UI, input, QA y accesibilidad repartida v0.3–v0.6</x:v>
      </x:c>
      <x:c r="Q12" s="26" t="str">
        <x:v>YES</x:v>
      </x:c>
      <x:c r="R12" s="26" t="str">
        <x:v>YES</x:v>
      </x:c>
      <x:c r="S12" s="26"/>
      <x:c r="T12" s="90" t="n">
        <x:v>0</x:v>
      </x:c>
    </x:row>
    <x:row r="13" ht="30" customHeight="1">
      <x:c r="A13" s="26" t="str">
        <x:v>ACC-WP-009</x:v>
      </x:c>
      <x:c r="B13" s="26" t="str">
        <x:v>Accesibilidad</x:v>
      </x:c>
      <x:c r="C13" s="26" t="str">
        <x:v>Gamepad complete path</x:v>
      </x:c>
      <x:c r="D13" s="26" t="str">
        <x:v>P1</x:v>
      </x:c>
      <x:c r="E13" s="26" t="str">
        <x:v>Post-H6 / Release preparation</x:v>
      </x:c>
      <x:c r="F13" s="26" t="str">
        <x:v>Planned</x:v>
      </x:c>
      <x:c r="G13" s="26" t="str">
        <x:v>NOT RUN</x:v>
      </x:c>
      <x:c r="H13" s="26" t="str">
        <x:v>UX/Engineering/QA</x:v>
      </x:c>
      <x:c r="I13" s="26" t="str">
        <x:v>Production/QA</x:v>
      </x:c>
      <x:c r="J13" s="26" t="str">
        <x:v>UI/input/Steam</x:v>
      </x:c>
      <x:c r="K13" s="26" t="str">
        <x:v>decisión de soporte</x:v>
      </x:c>
      <x:c r="L13" s="26"/>
      <x:c r="M13" s="26" t="str">
        <x:v>Entregable verificable, evidencia registrada y dependencias satisfechas.</x:v>
      </x:c>
      <x:c r="N13" s="26" t="str">
        <x:v>Registro, artefacto y validación reproducible</x:v>
      </x:c>
      <x:c r="O13" s="26" t="str">
        <x:v>29_Accessibility_and_Inclusive_Design_Plan.md</x:v>
      </x:c>
      <x:c r="P13" s="26" t="str">
        <x:v>UX, UI, input, QA y accesibilidad repartida v0.3–v0.6</x:v>
      </x:c>
      <x:c r="Q13" s="26" t="str">
        <x:v>YES</x:v>
      </x:c>
      <x:c r="R13" s="26" t="str">
        <x:v>YES</x:v>
      </x:c>
      <x:c r="S13" s="26"/>
      <x:c r="T13" s="90" t="n">
        <x:v>0</x:v>
      </x:c>
    </x:row>
    <x:row r="14" ht="30" customHeight="1">
      <x:c r="A14" s="26" t="str">
        <x:v>ACC-WP-010</x:v>
      </x:c>
      <x:c r="B14" s="26" t="str">
        <x:v>Accesibilidad</x:v>
      </x:c>
      <x:c r="C14" s="26" t="str">
        <x:v>Camera comfort</x:v>
      </x:c>
      <x:c r="D14" s="26" t="str">
        <x:v>P0</x:v>
      </x:c>
      <x:c r="E14" s="26" t="str">
        <x:v>Post-H6 / Release preparation</x:v>
      </x:c>
      <x:c r="F14" s="26" t="str">
        <x:v>Planned</x:v>
      </x:c>
      <x:c r="G14" s="26" t="str">
        <x:v>NOT RUN</x:v>
      </x:c>
      <x:c r="H14" s="26" t="str">
        <x:v>UX/Engineering/QA</x:v>
      </x:c>
      <x:c r="I14" s="26" t="str">
        <x:v>Production/QA</x:v>
      </x:c>
      <x:c r="J14" s="26" t="str">
        <x:v>cámara/VFX</x:v>
      </x:c>
      <x:c r="K14" s="26" t="str">
        <x:v>sliders y ReduceMotion conectado</x:v>
      </x:c>
      <x:c r="L14" s="26"/>
      <x:c r="M14" s="26" t="str">
        <x:v>Entregable verificable, evidencia registrada y dependencias satisfechas.</x:v>
      </x:c>
      <x:c r="N14" s="26" t="str">
        <x:v>Registro, artefacto y validación reproducible</x:v>
      </x:c>
      <x:c r="O14" s="26" t="str">
        <x:v>29_Accessibility_and_Inclusive_Design_Plan.md</x:v>
      </x:c>
      <x:c r="P14" s="26" t="str">
        <x:v>UX, UI, input, QA y accesibilidad repartida v0.3–v0.6</x:v>
      </x:c>
      <x:c r="Q14" s="26" t="str">
        <x:v>YES</x:v>
      </x:c>
      <x:c r="R14" s="26" t="str">
        <x:v>YES</x:v>
      </x:c>
      <x:c r="S14" s="26"/>
      <x:c r="T14" s="90" t="n">
        <x:v>0</x:v>
      </x:c>
    </x:row>
    <x:row r="15" ht="30" customHeight="1">
      <x:c r="A15" s="26" t="str">
        <x:v>ACC-WP-011</x:v>
      </x:c>
      <x:c r="B15" s="26" t="str">
        <x:v>Accesibilidad</x:v>
      </x:c>
      <x:c r="C15" s="26" t="str">
        <x:v>Color/contrast audit</x:v>
      </x:c>
      <x:c r="D15" s="26" t="str">
        <x:v>P0</x:v>
      </x:c>
      <x:c r="E15" s="26" t="str">
        <x:v>Post-H6 / Release preparation</x:v>
      </x:c>
      <x:c r="F15" s="26" t="str">
        <x:v>Planned</x:v>
      </x:c>
      <x:c r="G15" s="26" t="str">
        <x:v>NOT RUN</x:v>
      </x:c>
      <x:c r="H15" s="26" t="str">
        <x:v>UX/Engineering/QA</x:v>
      </x:c>
      <x:c r="I15" s="26" t="str">
        <x:v>Production/QA</x:v>
      </x:c>
      <x:c r="J15" s="26" t="str">
        <x:v>arte/UI</x:v>
      </x:c>
      <x:c r="K15" s="26" t="str">
        <x:v>matriz de señales redundantes</x:v>
      </x:c>
      <x:c r="L15" s="26"/>
      <x:c r="M15" s="26" t="str">
        <x:v>Entregable verificable, evidencia registrada y dependencias satisfechas.</x:v>
      </x:c>
      <x:c r="N15" s="26" t="str">
        <x:v>Registro, artefacto y validación reproducible</x:v>
      </x:c>
      <x:c r="O15" s="26" t="str">
        <x:v>29_Accessibility_and_Inclusive_Design_Plan.md</x:v>
      </x:c>
      <x:c r="P15" s="26" t="str">
        <x:v>UX, UI, input, QA y accesibilidad repartida v0.3–v0.6</x:v>
      </x:c>
      <x:c r="Q15" s="26" t="str">
        <x:v>YES</x:v>
      </x:c>
      <x:c r="R15" s="26" t="str">
        <x:v>YES</x:v>
      </x:c>
      <x:c r="S15" s="26"/>
      <x:c r="T15" s="90" t="n">
        <x:v>0</x:v>
      </x:c>
    </x:row>
    <x:row r="16" ht="30" customHeight="1">
      <x:c r="A16" s="26" t="str">
        <x:v>ACC-WP-012</x:v>
      </x:c>
      <x:c r="B16" s="26" t="str">
        <x:v>Accesibilidad</x:v>
      </x:c>
      <x:c r="C16" s="26" t="str">
        <x:v>Cursor/foco visible</x:v>
      </x:c>
      <x:c r="D16" s="26" t="str">
        <x:v>P0</x:v>
      </x:c>
      <x:c r="E16" s="26" t="str">
        <x:v>Post-H6 / Release preparation</x:v>
      </x:c>
      <x:c r="F16" s="26" t="str">
        <x:v>Planned</x:v>
      </x:c>
      <x:c r="G16" s="26" t="str">
        <x:v>NOT RUN</x:v>
      </x:c>
      <x:c r="H16" s="26" t="str">
        <x:v>UX/Engineering/QA</x:v>
      </x:c>
      <x:c r="I16" s="26" t="str">
        <x:v>Production/QA</x:v>
      </x:c>
      <x:c r="J16" s="26" t="str">
        <x:v>UI/arte</x:v>
      </x:c>
      <x:c r="K16" s="26" t="str">
        <x:v>variantes y test</x:v>
      </x:c>
      <x:c r="L16" s="26"/>
      <x:c r="M16" s="26" t="str">
        <x:v>Entregable verificable, evidencia registrada y dependencias satisfechas.</x:v>
      </x:c>
      <x:c r="N16" s="26" t="str">
        <x:v>Registro, artefacto y validación reproducible</x:v>
      </x:c>
      <x:c r="O16" s="26" t="str">
        <x:v>29_Accessibility_and_Inclusive_Design_Plan.md</x:v>
      </x:c>
      <x:c r="P16" s="26" t="str">
        <x:v>UX, UI, input, QA y accesibilidad repartida v0.3–v0.6</x:v>
      </x:c>
      <x:c r="Q16" s="26" t="str">
        <x:v>YES</x:v>
      </x:c>
      <x:c r="R16" s="26" t="str">
        <x:v>YES</x:v>
      </x:c>
      <x:c r="S16" s="26"/>
      <x:c r="T16" s="90" t="n">
        <x:v>0</x:v>
      </x:c>
    </x:row>
    <x:row r="17" ht="30" customHeight="1">
      <x:c r="A17" s="26" t="str">
        <x:v>ACC-WP-013</x:v>
      </x:c>
      <x:c r="B17" s="26" t="str">
        <x:v>Accesibilidad</x:v>
      </x:c>
      <x:c r="C17" s="26" t="str">
        <x:v>Audio settings integration</x:v>
      </x:c>
      <x:c r="D17" s="26" t="str">
        <x:v>P0</x:v>
      </x:c>
      <x:c r="E17" s="26" t="str">
        <x:v>Post-H6 / Release preparation</x:v>
      </x:c>
      <x:c r="F17" s="26" t="str">
        <x:v>Planned</x:v>
      </x:c>
      <x:c r="G17" s="26" t="str">
        <x:v>NOT RUN</x:v>
      </x:c>
      <x:c r="H17" s="26" t="str">
        <x:v>UX/Engineering/QA</x:v>
      </x:c>
      <x:c r="I17" s="26" t="str">
        <x:v>Production/QA</x:v>
      </x:c>
      <x:c r="J17" s="26" t="str">
        <x:v>Audio Bible</x:v>
      </x:c>
      <x:c r="K17" s="26" t="str">
        <x:v>mixer UI y persistencia</x:v>
      </x:c>
      <x:c r="L17" s="26"/>
      <x:c r="M17" s="26" t="str">
        <x:v>Entregable verificable, evidencia registrada y dependencias satisfechas.</x:v>
      </x:c>
      <x:c r="N17" s="26" t="str">
        <x:v>Registro, artefacto y validación reproducible</x:v>
      </x:c>
      <x:c r="O17" s="26" t="str">
        <x:v>29_Accessibility_and_Inclusive_Design_Plan.md</x:v>
      </x:c>
      <x:c r="P17" s="26" t="str">
        <x:v>UX, UI, input, QA y accesibilidad repartida v0.3–v0.6</x:v>
      </x:c>
      <x:c r="Q17" s="26" t="str">
        <x:v>YES</x:v>
      </x:c>
      <x:c r="R17" s="26" t="str">
        <x:v>YES</x:v>
      </x:c>
      <x:c r="S17" s="26"/>
      <x:c r="T17" s="90" t="n">
        <x:v>0</x:v>
      </x:c>
    </x:row>
    <x:row r="18" ht="30" customHeight="1">
      <x:c r="A18" s="26" t="str">
        <x:v>ACC-WP-014</x:v>
      </x:c>
      <x:c r="B18" s="26" t="str">
        <x:v>Accesibilidad</x:v>
      </x:c>
      <x:c r="C18" s="26" t="str">
        <x:v>Visual alternatives to audio</x:v>
      </x:c>
      <x:c r="D18" s="26" t="str">
        <x:v>P0</x:v>
      </x:c>
      <x:c r="E18" s="26" t="str">
        <x:v>Post-H6 / Release preparation</x:v>
      </x:c>
      <x:c r="F18" s="26" t="str">
        <x:v>Planned</x:v>
      </x:c>
      <x:c r="G18" s="26" t="str">
        <x:v>NOT RUN</x:v>
      </x:c>
      <x:c r="H18" s="26" t="str">
        <x:v>UX/Engineering/QA</x:v>
      </x:c>
      <x:c r="I18" s="26" t="str">
        <x:v>Production/QA</x:v>
      </x:c>
      <x:c r="J18" s="26" t="str">
        <x:v>audio/UI</x:v>
      </x:c>
      <x:c r="K18" s="26" t="str">
        <x:v>event matrix</x:v>
      </x:c>
      <x:c r="L18" s="26"/>
      <x:c r="M18" s="26" t="str">
        <x:v>Entregable verificable, evidencia registrada y dependencias satisfechas.</x:v>
      </x:c>
      <x:c r="N18" s="26" t="str">
        <x:v>Registro, artefacto y validación reproducible</x:v>
      </x:c>
      <x:c r="O18" s="26" t="str">
        <x:v>29_Accessibility_and_Inclusive_Design_Plan.md</x:v>
      </x:c>
      <x:c r="P18" s="26" t="str">
        <x:v>UX, UI, input, QA y accesibilidad repartida v0.3–v0.6</x:v>
      </x:c>
      <x:c r="Q18" s="26" t="str">
        <x:v>YES</x:v>
      </x:c>
      <x:c r="R18" s="26" t="str">
        <x:v>YES</x:v>
      </x:c>
      <x:c r="S18" s="26"/>
      <x:c r="T18" s="90" t="n">
        <x:v>0</x:v>
      </x:c>
    </x:row>
    <x:row r="19" ht="30" customHeight="1">
      <x:c r="A19" s="26" t="str">
        <x:v>ACC-WP-015</x:v>
      </x:c>
      <x:c r="B19" s="26" t="str">
        <x:v>Accesibilidad</x:v>
      </x:c>
      <x:c r="C19" s="26" t="str">
        <x:v>Photosensitivity review</x:v>
      </x:c>
      <x:c r="D19" s="26" t="str">
        <x:v>P0</x:v>
      </x:c>
      <x:c r="E19" s="26" t="str">
        <x:v>Post-H6 / Release preparation</x:v>
      </x:c>
      <x:c r="F19" s="26" t="str">
        <x:v>Planned</x:v>
      </x:c>
      <x:c r="G19" s="26" t="str">
        <x:v>NOT RUN</x:v>
      </x:c>
      <x:c r="H19" s="26" t="str">
        <x:v>UX/Engineering/QA</x:v>
      </x:c>
      <x:c r="I19" s="26" t="str">
        <x:v>Production/QA</x:v>
      </x:c>
      <x:c r="J19" s="26" t="str">
        <x:v>VFX/marketing</x:v>
      </x:c>
      <x:c r="K19" s="26" t="str">
        <x:v>informe y correcciones</x:v>
      </x:c>
      <x:c r="L19" s="26"/>
      <x:c r="M19" s="26" t="str">
        <x:v>Entregable verificable, evidencia registrada y dependencias satisfechas.</x:v>
      </x:c>
      <x:c r="N19" s="26" t="str">
        <x:v>Registro, artefacto y validación reproducible</x:v>
      </x:c>
      <x:c r="O19" s="26" t="str">
        <x:v>29_Accessibility_and_Inclusive_Design_Plan.md</x:v>
      </x:c>
      <x:c r="P19" s="26" t="str">
        <x:v>UX, UI, input, QA y accesibilidad repartida v0.3–v0.6</x:v>
      </x:c>
      <x:c r="Q19" s="26" t="str">
        <x:v>YES</x:v>
      </x:c>
      <x:c r="R19" s="26" t="str">
        <x:v>YES</x:v>
      </x:c>
      <x:c r="S19" s="26"/>
      <x:c r="T19" s="90" t="n">
        <x:v>0</x:v>
      </x:c>
    </x:row>
    <x:row r="20" ht="30" customHeight="1">
      <x:c r="A20" s="26" t="str">
        <x:v>ACC-WP-016</x:v>
      </x:c>
      <x:c r="B20" s="26" t="str">
        <x:v>Accesibilidad</x:v>
      </x:c>
      <x:c r="C20" s="26" t="str">
        <x:v>Message duration/history</x:v>
      </x:c>
      <x:c r="D20" s="26" t="str">
        <x:v>P1</x:v>
      </x:c>
      <x:c r="E20" s="26" t="str">
        <x:v>Post-H6 / Release preparation</x:v>
      </x:c>
      <x:c r="F20" s="26" t="str">
        <x:v>Planned</x:v>
      </x:c>
      <x:c r="G20" s="26" t="str">
        <x:v>NOT RUN</x:v>
      </x:c>
      <x:c r="H20" s="26" t="str">
        <x:v>UX/Engineering/QA</x:v>
      </x:c>
      <x:c r="I20" s="26" t="str">
        <x:v>Production/QA</x:v>
      </x:c>
      <x:c r="J20" s="26" t="str">
        <x:v>UX</x:v>
      </x:c>
      <x:c r="K20" s="26" t="str">
        <x:v>control visible e historial</x:v>
      </x:c>
      <x:c r="L20" s="26"/>
      <x:c r="M20" s="26" t="str">
        <x:v>Entregable verificable, evidencia registrada y dependencias satisfechas.</x:v>
      </x:c>
      <x:c r="N20" s="26" t="str">
        <x:v>Registro, artefacto y validación reproducible</x:v>
      </x:c>
      <x:c r="O20" s="26" t="str">
        <x:v>29_Accessibility_and_Inclusive_Design_Plan.md</x:v>
      </x:c>
      <x:c r="P20" s="26" t="str">
        <x:v>UX, UI, input, QA y accesibilidad repartida v0.3–v0.6</x:v>
      </x:c>
      <x:c r="Q20" s="26" t="str">
        <x:v>YES</x:v>
      </x:c>
      <x:c r="R20" s="26" t="str">
        <x:v>YES</x:v>
      </x:c>
      <x:c r="S20" s="26"/>
      <x:c r="T20" s="90" t="n">
        <x:v>0</x:v>
      </x:c>
    </x:row>
    <x:row r="21" ht="30" customHeight="1">
      <x:c r="A21" s="26" t="str">
        <x:v>ACC-WP-017</x:v>
      </x:c>
      <x:c r="B21" s="26" t="str">
        <x:v>Accesibilidad</x:v>
      </x:c>
      <x:c r="C21" s="26" t="str">
        <x:v>Tutorial accessibility pass</x:v>
      </x:c>
      <x:c r="D21" s="26" t="str">
        <x:v>P0</x:v>
      </x:c>
      <x:c r="E21" s="26" t="str">
        <x:v>Post-H6 / Release preparation</x:v>
      </x:c>
      <x:c r="F21" s="26" t="str">
        <x:v>Planned</x:v>
      </x:c>
      <x:c r="G21" s="26" t="str">
        <x:v>NOT RUN</x:v>
      </x:c>
      <x:c r="H21" s="26" t="str">
        <x:v>UX/Engineering/QA</x:v>
      </x:c>
      <x:c r="I21" s="26" t="str">
        <x:v>Production/QA</x:v>
      </x:c>
      <x:c r="J21" s="26" t="str">
        <x:v>tutorial/localización</x:v>
      </x:c>
      <x:c r="K21" s="26" t="str">
        <x:v>escalado, prompts y replay</x:v>
      </x:c>
      <x:c r="L21" s="26"/>
      <x:c r="M21" s="26" t="str">
        <x:v>Entregable verificable, evidencia registrada y dependencias satisfechas.</x:v>
      </x:c>
      <x:c r="N21" s="26" t="str">
        <x:v>Registro, artefacto y validación reproducible</x:v>
      </x:c>
      <x:c r="O21" s="26" t="str">
        <x:v>29_Accessibility_and_Inclusive_Design_Plan.md</x:v>
      </x:c>
      <x:c r="P21" s="26" t="str">
        <x:v>UX, UI, input, QA y accesibilidad repartida v0.3–v0.6</x:v>
      </x:c>
      <x:c r="Q21" s="26" t="str">
        <x:v>YES</x:v>
      </x:c>
      <x:c r="R21" s="26" t="str">
        <x:v>YES</x:v>
      </x:c>
      <x:c r="S21" s="26"/>
      <x:c r="T21" s="90" t="n">
        <x:v>0</x:v>
      </x:c>
    </x:row>
    <x:row r="22" ht="30" customHeight="1">
      <x:c r="A22" s="26" t="str">
        <x:v>ACC-WP-018</x:v>
      </x:c>
      <x:c r="B22" s="26" t="str">
        <x:v>Accesibilidad</x:v>
      </x:c>
      <x:c r="C22" s="26" t="str">
        <x:v>Save/pause interruption review</x:v>
      </x:c>
      <x:c r="D22" s="26" t="str">
        <x:v>P0</x:v>
      </x:c>
      <x:c r="E22" s="26" t="str">
        <x:v>Post-H6 / Release preparation</x:v>
      </x:c>
      <x:c r="F22" s="26" t="str">
        <x:v>Planned</x:v>
      </x:c>
      <x:c r="G22" s="26" t="str">
        <x:v>NOT RUN</x:v>
      </x:c>
      <x:c r="H22" s="26" t="str">
        <x:v>UX/Engineering/QA</x:v>
      </x:c>
      <x:c r="I22" s="26" t="str">
        <x:v>Production/QA</x:v>
      </x:c>
      <x:c r="J22" s="26" t="str">
        <x:v>persistencia/day cycle</x:v>
      </x:c>
      <x:c r="K22" s="26" t="str">
        <x:v>decisión Save Anytime</x:v>
      </x:c>
      <x:c r="L22" s="26"/>
      <x:c r="M22" s="26" t="str">
        <x:v>Entregable verificable, evidencia registrada y dependencias satisfechas.</x:v>
      </x:c>
      <x:c r="N22" s="26" t="str">
        <x:v>Registro, artefacto y validación reproducible</x:v>
      </x:c>
      <x:c r="O22" s="26" t="str">
        <x:v>29_Accessibility_and_Inclusive_Design_Plan.md</x:v>
      </x:c>
      <x:c r="P22" s="26" t="str">
        <x:v>UX, UI, input, QA y accesibilidad repartida v0.3–v0.6</x:v>
      </x:c>
      <x:c r="Q22" s="26" t="str">
        <x:v>YES</x:v>
      </x:c>
      <x:c r="R22" s="26" t="str">
        <x:v>YES</x:v>
      </x:c>
      <x:c r="S22" s="26"/>
      <x:c r="T22" s="90" t="n">
        <x:v>0</x:v>
      </x:c>
    </x:row>
    <x:row r="23" ht="30" customHeight="1">
      <x:c r="A23" s="26" t="str">
        <x:v>ACC-WP-019</x:v>
      </x:c>
      <x:c r="B23" s="26" t="str">
        <x:v>Accesibilidad</x:v>
      </x:c>
      <x:c r="C23" s="26" t="str">
        <x:v>Difficulty explanation</x:v>
      </x:c>
      <x:c r="D23" s="26" t="str">
        <x:v>P1</x:v>
      </x:c>
      <x:c r="E23" s="26" t="str">
        <x:v>Post-H6 / Release preparation</x:v>
      </x:c>
      <x:c r="F23" s="26" t="str">
        <x:v>Planned</x:v>
      </x:c>
      <x:c r="G23" s="26" t="str">
        <x:v>NOT RUN</x:v>
      </x:c>
      <x:c r="H23" s="26" t="str">
        <x:v>UX/Engineering/QA</x:v>
      </x:c>
      <x:c r="I23" s="26" t="str">
        <x:v>Production/QA</x:v>
      </x:c>
      <x:c r="J23" s="26" t="str">
        <x:v>balance/UI</x:v>
      </x:c>
      <x:c r="K23" s="26" t="str">
        <x:v>presets claros</x:v>
      </x:c>
      <x:c r="L23" s="26"/>
      <x:c r="M23" s="26" t="str">
        <x:v>Entregable verificable, evidencia registrada y dependencias satisfechas.</x:v>
      </x:c>
      <x:c r="N23" s="26" t="str">
        <x:v>Registro, artefacto y validación reproducible</x:v>
      </x:c>
      <x:c r="O23" s="26" t="str">
        <x:v>29_Accessibility_and_Inclusive_Design_Plan.md</x:v>
      </x:c>
      <x:c r="P23" s="26" t="str">
        <x:v>UX, UI, input, QA y accesibilidad repartida v0.3–v0.6</x:v>
      </x:c>
      <x:c r="Q23" s="26" t="str">
        <x:v>YES</x:v>
      </x:c>
      <x:c r="R23" s="26" t="str">
        <x:v>YES</x:v>
      </x:c>
      <x:c r="S23" s="26"/>
      <x:c r="T23" s="90" t="n">
        <x:v>0</x:v>
      </x:c>
    </x:row>
    <x:row r="24" ht="30" customHeight="1">
      <x:c r="A24" s="26" t="str">
        <x:v>ACC-WP-020</x:v>
      </x:c>
      <x:c r="B24" s="26" t="str">
        <x:v>Accesibilidad</x:v>
      </x:c>
      <x:c r="C24" s="26" t="str">
        <x:v>Localization + pseudolocale matrix</x:v>
      </x:c>
      <x:c r="D24" s="26" t="str">
        <x:v>P0</x:v>
      </x:c>
      <x:c r="E24" s="26" t="str">
        <x:v>Post-H6 / Release preparation</x:v>
      </x:c>
      <x:c r="F24" s="26" t="str">
        <x:v>Planned</x:v>
      </x:c>
      <x:c r="G24" s="26" t="str">
        <x:v>NOT RUN</x:v>
      </x:c>
      <x:c r="H24" s="26" t="str">
        <x:v>UX/Engineering/QA</x:v>
      </x:c>
      <x:c r="I24" s="26" t="str">
        <x:v>Production/QA</x:v>
      </x:c>
      <x:c r="J24" s="26" t="str">
        <x:v>doc 22</x:v>
      </x:c>
      <x:c r="K24" s="26" t="str">
        <x:v>ES/EN sin bloqueo</x:v>
      </x:c>
      <x:c r="L24" s="26"/>
      <x:c r="M24" s="26" t="str">
        <x:v>Entregable verificable, evidencia registrada y dependencias satisfechas.</x:v>
      </x:c>
      <x:c r="N24" s="26" t="str">
        <x:v>Registro, artefacto y validación reproducible</x:v>
      </x:c>
      <x:c r="O24" s="26" t="str">
        <x:v>29_Accessibility_and_Inclusive_Design_Plan.md</x:v>
      </x:c>
      <x:c r="P24" s="26" t="str">
        <x:v>UX, UI, input, QA y accesibilidad repartida v0.3–v0.6</x:v>
      </x:c>
      <x:c r="Q24" s="26" t="str">
        <x:v>YES</x:v>
      </x:c>
      <x:c r="R24" s="26" t="str">
        <x:v>YES</x:v>
      </x:c>
      <x:c r="S24" s="26"/>
      <x:c r="T24" s="90" t="n">
        <x:v>0</x:v>
      </x:c>
    </x:row>
    <x:row r="25" ht="30" customHeight="1">
      <x:c r="A25" s="26" t="str">
        <x:v>ACC-WP-021</x:v>
      </x:c>
      <x:c r="B25" s="26" t="str">
        <x:v>Accesibilidad</x:v>
      </x:c>
      <x:c r="C25" s="26" t="str">
        <x:v>Subtitle framework readiness</x:v>
      </x:c>
      <x:c r="D25" s="26" t="str">
        <x:v>P2</x:v>
      </x:c>
      <x:c r="E25" s="26" t="str">
        <x:v>Post-H6 / Release preparation</x:v>
      </x:c>
      <x:c r="F25" s="26" t="str">
        <x:v>Planned</x:v>
      </x:c>
      <x:c r="G25" s="26" t="str">
        <x:v>NOT RUN</x:v>
      </x:c>
      <x:c r="H25" s="26" t="str">
        <x:v>UX/Engineering/QA</x:v>
      </x:c>
      <x:c r="I25" s="26" t="str">
        <x:v>Production/QA</x:v>
      </x:c>
      <x:c r="J25" s="26" t="str">
        <x:v>audio/loc</x:v>
      </x:c>
      <x:c r="K25" s="26" t="str">
        <x:v>arquitectura antes de voz</x:v>
      </x:c>
      <x:c r="L25" s="26"/>
      <x:c r="M25" s="26" t="str">
        <x:v>Entregable verificable, evidencia registrada y dependencias satisfechas.</x:v>
      </x:c>
      <x:c r="N25" s="26" t="str">
        <x:v>Registro, artefacto y validación reproducible</x:v>
      </x:c>
      <x:c r="O25" s="26" t="str">
        <x:v>29_Accessibility_and_Inclusive_Design_Plan.md</x:v>
      </x:c>
      <x:c r="P25" s="26" t="str">
        <x:v>UX, UI, input, QA y accesibilidad repartida v0.3–v0.6</x:v>
      </x:c>
      <x:c r="Q25" s="26" t="str">
        <x:v>YES</x:v>
      </x:c>
      <x:c r="R25" s="26" t="str">
        <x:v>YES</x:v>
      </x:c>
      <x:c r="S25" s="26"/>
      <x:c r="T25" s="90" t="n">
        <x:v>0</x:v>
      </x:c>
    </x:row>
    <x:row r="26" ht="30" customHeight="1">
      <x:c r="A26" s="26" t="str">
        <x:v>ACC-WP-022</x:v>
      </x:c>
      <x:c r="B26" s="26" t="str">
        <x:v>Accesibilidad</x:v>
      </x:c>
      <x:c r="C26" s="26" t="str">
        <x:v>Inclusive character review</x:v>
      </x:c>
      <x:c r="D26" s="26" t="str">
        <x:v>P1</x:v>
      </x:c>
      <x:c r="E26" s="26" t="str">
        <x:v>Post-H6 / Release preparation</x:v>
      </x:c>
      <x:c r="F26" s="26" t="str">
        <x:v>Planned</x:v>
      </x:c>
      <x:c r="G26" s="26" t="str">
        <x:v>NOT RUN</x:v>
      </x:c>
      <x:c r="H26" s="26" t="str">
        <x:v>UX/Engineering/QA</x:v>
      </x:c>
      <x:c r="I26" s="26" t="str">
        <x:v>Production/QA</x:v>
      </x:c>
      <x:c r="J26" s="26" t="str">
        <x:v>Art Bible</x:v>
      </x:c>
      <x:c r="K26" s="26" t="str">
        <x:v>checklist y aprobación</x:v>
      </x:c>
      <x:c r="L26" s="26"/>
      <x:c r="M26" s="26" t="str">
        <x:v>Entregable verificable, evidencia registrada y dependencias satisfechas.</x:v>
      </x:c>
      <x:c r="N26" s="26" t="str">
        <x:v>Registro, artefacto y validación reproducible</x:v>
      </x:c>
      <x:c r="O26" s="26" t="str">
        <x:v>29_Accessibility_and_Inclusive_Design_Plan.md</x:v>
      </x:c>
      <x:c r="P26" s="26" t="str">
        <x:v>UX, UI, input, QA y accesibilidad repartida v0.3–v0.6</x:v>
      </x:c>
      <x:c r="Q26" s="26" t="str">
        <x:v>YES</x:v>
      </x:c>
      <x:c r="R26" s="26" t="str">
        <x:v>YES</x:v>
      </x:c>
      <x:c r="S26" s="26"/>
      <x:c r="T26" s="90" t="n">
        <x:v>0</x:v>
      </x:c>
    </x:row>
    <x:row r="27" ht="30" customHeight="1">
      <x:c r="A27" s="26" t="str">
        <x:v>ACC-WP-023</x:v>
      </x:c>
      <x:c r="B27" s="26" t="str">
        <x:v>Accesibilidad</x:v>
      </x:c>
      <x:c r="C27" s="26" t="str">
        <x:v>Accessibility QA suite</x:v>
      </x:c>
      <x:c r="D27" s="26" t="str">
        <x:v>P0</x:v>
      </x:c>
      <x:c r="E27" s="26" t="str">
        <x:v>Post-H6 / Release preparation</x:v>
      </x:c>
      <x:c r="F27" s="26" t="str">
        <x:v>Planned</x:v>
      </x:c>
      <x:c r="G27" s="26" t="str">
        <x:v>NOT RUN</x:v>
      </x:c>
      <x:c r="H27" s="26" t="str">
        <x:v>UX/Engineering/QA</x:v>
      </x:c>
      <x:c r="I27" s="26" t="str">
        <x:v>Production/QA</x:v>
      </x:c>
      <x:c r="J27" s="26" t="str">
        <x:v>QA plan</x:v>
      </x:c>
      <x:c r="K27" s="26" t="str">
        <x:v>casos automáticos/manuales</x:v>
      </x:c>
      <x:c r="L27" s="26"/>
      <x:c r="M27" s="26" t="str">
        <x:v>Entregable verificable, evidencia registrada y dependencias satisfechas.</x:v>
      </x:c>
      <x:c r="N27" s="26" t="str">
        <x:v>Registro, artefacto y validación reproducible</x:v>
      </x:c>
      <x:c r="O27" s="26" t="str">
        <x:v>29_Accessibility_and_Inclusive_Design_Plan.md</x:v>
      </x:c>
      <x:c r="P27" s="26" t="str">
        <x:v>UX, UI, input, QA y accesibilidad repartida v0.3–v0.6</x:v>
      </x:c>
      <x:c r="Q27" s="26" t="str">
        <x:v>YES</x:v>
      </x:c>
      <x:c r="R27" s="26" t="str">
        <x:v>YES</x:v>
      </x:c>
      <x:c r="S27" s="26"/>
      <x:c r="T27" s="90" t="n">
        <x:v>0</x:v>
      </x:c>
    </x:row>
    <x:row r="28" ht="30" customHeight="1">
      <x:c r="A28" s="26" t="str">
        <x:v>ACC-WP-024</x:v>
      </x:c>
      <x:c r="B28" s="26" t="str">
        <x:v>Accesibilidad</x:v>
      </x:c>
      <x:c r="C28" s="26" t="str">
        <x:v>Inclusive playtest</x:v>
      </x:c>
      <x:c r="D28" s="26" t="str">
        <x:v>P1</x:v>
      </x:c>
      <x:c r="E28" s="26" t="str">
        <x:v>Post-H6 / Release preparation</x:v>
      </x:c>
      <x:c r="F28" s="26" t="str">
        <x:v>Planned</x:v>
      </x:c>
      <x:c r="G28" s="26" t="str">
        <x:v>NOT RUN</x:v>
      </x:c>
      <x:c r="H28" s="26" t="str">
        <x:v>UX/Engineering/QA</x:v>
      </x:c>
      <x:c r="I28" s="26" t="str">
        <x:v>Production/QA</x:v>
      </x:c>
      <x:c r="J28" s="26" t="str">
        <x:v>build estable/privacy</x:v>
      </x:c>
      <x:c r="K28" s="26" t="str">
        <x:v>informe de barreras</x:v>
      </x:c>
      <x:c r="L28" s="26"/>
      <x:c r="M28" s="26" t="str">
        <x:v>Entregable verificable, evidencia registrada y dependencias satisfechas.</x:v>
      </x:c>
      <x:c r="N28" s="26" t="str">
        <x:v>Registro, artefacto y validación reproducible</x:v>
      </x:c>
      <x:c r="O28" s="26" t="str">
        <x:v>29_Accessibility_and_Inclusive_Design_Plan.md</x:v>
      </x:c>
      <x:c r="P28" s="26" t="str">
        <x:v>UX, UI, input, QA y accesibilidad repartida v0.3–v0.6</x:v>
      </x:c>
      <x:c r="Q28" s="26" t="str">
        <x:v>YES</x:v>
      </x:c>
      <x:c r="R28" s="26" t="str">
        <x:v>YES</x:v>
      </x:c>
      <x:c r="S28" s="26"/>
      <x:c r="T28" s="90" t="n">
        <x:v>0</x:v>
      </x:c>
    </x:row>
    <x:row r="29" ht="30" customHeight="1">
      <x:c r="A29" s="26" t="str">
        <x:v>ACC-WP-025</x:v>
      </x:c>
      <x:c r="B29" s="26" t="str">
        <x:v>Accesibilidad</x:v>
      </x:c>
      <x:c r="C29" s="26" t="str">
        <x:v>Steam feature wizard evidence</x:v>
      </x:c>
      <x:c r="D29" s="26" t="str">
        <x:v>P0</x:v>
      </x:c>
      <x:c r="E29" s="26" t="str">
        <x:v>Post-H6 / Release preparation</x:v>
      </x:c>
      <x:c r="F29" s="26" t="str">
        <x:v>Planned</x:v>
      </x:c>
      <x:c r="G29" s="26" t="str">
        <x:v>NOT RUN</x:v>
      </x:c>
      <x:c r="H29" s="26" t="str">
        <x:v>UX/Engineering/QA</x:v>
      </x:c>
      <x:c r="I29" s="26" t="str">
        <x:v>Production/QA</x:v>
      </x:c>
      <x:c r="J29" s="26" t="str">
        <x:v>doc 24/RC</x:v>
      </x:c>
      <x:c r="K29" s="26" t="str">
        <x:v>matriz aprobada</x:v>
      </x:c>
      <x:c r="L29" s="26"/>
      <x:c r="M29" s="26" t="str">
        <x:v>Entregable verificable, evidencia registrada y dependencias satisfechas.</x:v>
      </x:c>
      <x:c r="N29" s="26" t="str">
        <x:v>Registro, artefacto y validación reproducible</x:v>
      </x:c>
      <x:c r="O29" s="26" t="str">
        <x:v>29_Accessibility_and_Inclusive_Design_Plan.md</x:v>
      </x:c>
      <x:c r="P29" s="26" t="str">
        <x:v>UX, UI, input, QA y accesibilidad repartida v0.3–v0.6</x:v>
      </x:c>
      <x:c r="Q29" s="26" t="str">
        <x:v>YES</x:v>
      </x:c>
      <x:c r="R29" s="26" t="str">
        <x:v>YES</x:v>
      </x:c>
      <x:c r="S29" s="26"/>
      <x:c r="T29" s="90" t="n">
        <x:v>0</x:v>
      </x:c>
    </x:row>
    <x:row r="30" ht="30" customHeight="1">
      <x:c r="A30" s="26" t="str">
        <x:v>ACC-WP-026</x:v>
      </x:c>
      <x:c r="B30" s="26" t="str">
        <x:v>Accesibilidad</x:v>
      </x:c>
      <x:c r="C30" s="26" t="str">
        <x:v>Accessible marketing assets</x:v>
      </x:c>
      <x:c r="D30" s="26" t="str">
        <x:v>P0</x:v>
      </x:c>
      <x:c r="E30" s="26" t="str">
        <x:v>Post-H6 / Release preparation</x:v>
      </x:c>
      <x:c r="F30" s="26" t="str">
        <x:v>Planned</x:v>
      </x:c>
      <x:c r="G30" s="26" t="str">
        <x:v>NOT RUN</x:v>
      </x:c>
      <x:c r="H30" s="26" t="str">
        <x:v>UX/Engineering/QA</x:v>
      </x:c>
      <x:c r="I30" s="26" t="str">
        <x:v>Production/QA</x:v>
      </x:c>
      <x:c r="J30" s="26" t="str">
        <x:v>doc 28</x:v>
      </x:c>
      <x:c r="K30" s="26" t="str">
        <x:v>alt text/subtitles/contrast</x:v>
      </x:c>
      <x:c r="L30" s="26"/>
      <x:c r="M30" s="26" t="str">
        <x:v>Entregable verificable, evidencia registrada y dependencias satisfechas.</x:v>
      </x:c>
      <x:c r="N30" s="26" t="str">
        <x:v>Registro, artefacto y validación reproducible</x:v>
      </x:c>
      <x:c r="O30" s="26" t="str">
        <x:v>29_Accessibility_and_Inclusive_Design_Plan.md</x:v>
      </x:c>
      <x:c r="P30" s="26" t="str">
        <x:v>UX, UI, input, QA y accesibilidad repartida v0.3–v0.6</x:v>
      </x:c>
      <x:c r="Q30" s="26" t="str">
        <x:v>YES</x:v>
      </x:c>
      <x:c r="R30" s="26" t="str">
        <x:v>YES</x:v>
      </x:c>
      <x:c r="S30" s="26"/>
      <x:c r="T30" s="90" t="n">
        <x:v>0</x:v>
      </x:c>
    </x:row>
    <x:row r="31" ht="30" customHeight="1">
      <x:c r="A31" s="26" t="str">
        <x:v>ACC-WP-027</x:v>
      </x:c>
      <x:c r="B31" s="26" t="str">
        <x:v>Accesibilidad</x:v>
      </x:c>
      <x:c r="C31" s="26" t="str">
        <x:v>Support knowledge base</x:v>
      </x:c>
      <x:c r="D31" s="26" t="str">
        <x:v>P1</x:v>
      </x:c>
      <x:c r="E31" s="26" t="str">
        <x:v>Post-H6 / Release preparation</x:v>
      </x:c>
      <x:c r="F31" s="26" t="str">
        <x:v>Planned</x:v>
      </x:c>
      <x:c r="G31" s="26" t="str">
        <x:v>NOT RUN</x:v>
      </x:c>
      <x:c r="H31" s="26" t="str">
        <x:v>UX/Engineering/QA</x:v>
      </x:c>
      <x:c r="I31" s="26" t="str">
        <x:v>Production/QA</x:v>
      </x:c>
      <x:c r="J31" s="26" t="str">
        <x:v>postlaunch</x:v>
      </x:c>
      <x:c r="K31" s="26" t="str">
        <x:v>respuestas y intake</x:v>
      </x:c>
      <x:c r="L31" s="26"/>
      <x:c r="M31" s="26" t="str">
        <x:v>Entregable verificable, evidencia registrada y dependencias satisfechas.</x:v>
      </x:c>
      <x:c r="N31" s="26" t="str">
        <x:v>Registro, artefacto y validación reproducible</x:v>
      </x:c>
      <x:c r="O31" s="26" t="str">
        <x:v>29_Accessibility_and_Inclusive_Design_Plan.md</x:v>
      </x:c>
      <x:c r="P31" s="26" t="str">
        <x:v>UX, UI, input, QA y accesibilidad repartida v0.3–v0.6</x:v>
      </x:c>
      <x:c r="Q31" s="26" t="str">
        <x:v>YES</x:v>
      </x:c>
      <x:c r="R31" s="26" t="str">
        <x:v>YES</x:v>
      </x:c>
      <x:c r="S31" s="26"/>
      <x:c r="T31" s="90" t="n">
        <x:v>0</x:v>
      </x:c>
    </x:row>
    <x:row r="32" ht="30" customHeight="1">
      <x:c r="A32" s="26" t="str">
        <x:v>ACC-WP-028</x:v>
      </x:c>
      <x:c r="B32" s="26" t="str">
        <x:v>Accesibilidad</x:v>
      </x:c>
      <x:c r="C32" s="26" t="str">
        <x:v>Postlaunch regression pack</x:v>
      </x:c>
      <x:c r="D32" s="26" t="str">
        <x:v>P0</x:v>
      </x:c>
      <x:c r="E32" s="26" t="str">
        <x:v>Post-H6 / Release preparation</x:v>
      </x:c>
      <x:c r="F32" s="26" t="str">
        <x:v>Planned</x:v>
      </x:c>
      <x:c r="G32" s="26" t="str">
        <x:v>NOT RUN</x:v>
      </x:c>
      <x:c r="H32" s="26" t="str">
        <x:v>UX/Engineering/QA</x:v>
      </x:c>
      <x:c r="I32" s="26" t="str">
        <x:v>Production/QA</x:v>
      </x:c>
      <x:c r="J32" s="26" t="str">
        <x:v>CI/build</x:v>
      </x:c>
      <x:c r="K32" s="26" t="str">
        <x:v>suite permanente</x:v>
      </x:c>
      <x:c r="L32" s="26"/>
      <x:c r="M32" s="26" t="str">
        <x:v>Entregable verificable, evidencia registrada y dependencias satisfechas.</x:v>
      </x:c>
      <x:c r="N32" s="26" t="str">
        <x:v>Registro, artefacto y validación reproducible</x:v>
      </x:c>
      <x:c r="O32" s="26" t="str">
        <x:v>29_Accessibility_and_Inclusive_Design_Plan.md</x:v>
      </x:c>
      <x:c r="P32" s="26" t="str">
        <x:v>UX, UI, input, QA y accesibilidad repartida v0.3–v0.6</x:v>
      </x:c>
      <x:c r="Q32" s="26" t="str">
        <x:v>YES</x:v>
      </x:c>
      <x:c r="R32" s="26" t="str">
        <x:v>YES</x:v>
      </x:c>
      <x:c r="S32" s="26"/>
      <x:c r="T32" s="90" t="n">
        <x:v>0</x:v>
      </x:c>
    </x:row>
    <x:row r="33" ht="30" customHeight="1">
      <x:c r="A33" s="26" t="str">
        <x:v>AUD-WP-01</x:v>
      </x:c>
      <x:c r="B33" s="26" t="str">
        <x:v>Audio</x:v>
      </x:c>
      <x:c r="C33" s="26" t="str">
        <x:v>Auditar gain efectivo del router</x:v>
      </x:c>
      <x:c r="D33" s="26" t="str">
        <x:v>P1</x:v>
      </x:c>
      <x:c r="E33" s="26" t="str">
        <x:v>Sprint 16</x:v>
      </x:c>
      <x:c r="F33" s="26" t="str">
        <x:v>Planned</x:v>
      </x:c>
      <x:c r="G33" s="26" t="str">
        <x:v>NOT RUN</x:v>
      </x:c>
      <x:c r="H33" s="26" t="str">
        <x:v>Audio/Engineering</x:v>
      </x:c>
      <x:c r="I33" s="26" t="str">
        <x:v>Production/QA</x:v>
      </x:c>
      <x:c r="J33" s="26"/>
      <x:c r="K33" s="26" t="str">
        <x:v>test instrumental y corrección</x:v>
      </x:c>
      <x:c r="L33" s="26" t="str">
        <x:v>Este paquete produce test instrumental y corrección y se planifica para Sprint 16.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3" s="26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3" s="26" t="str">
        <x:v>Registro, artefacto y validación reproducible</x:v>
      </x:c>
      <x:c r="O33" s="26" t="str">
        <x:v>18_Audio_Bible.md</x:v>
      </x:c>
      <x:c r="P33" s="26" t="str">
        <x:v>Audio Bible y registros de audio v0.3–v0.6; Sprint 16</x:v>
      </x:c>
      <x:c r="Q33" s="26" t="str">
        <x:v>YES</x:v>
      </x:c>
      <x:c r="R33" s="26" t="str">
        <x:v>CONDITIONAL</x:v>
      </x:c>
      <x:c r="S33" s="26"/>
      <x:c r="T33" s="90" t="n">
        <x:v>0</x:v>
      </x:c>
    </x:row>
    <x:row r="34" ht="30" customHeight="1">
      <x:c r="A34" s="26" t="str">
        <x:v>AUD-WP-02</x:v>
      </x:c>
      <x:c r="B34" s="26" t="str">
        <x:v>Audio</x:v>
      </x:c>
      <x:c r="C34" s="26" t="str">
        <x:v>Añadir diagnóstico rate-limited</x:v>
      </x:c>
      <x:c r="D34" s="26" t="str">
        <x:v>P1</x:v>
      </x:c>
      <x:c r="E34" s="26" t="str">
        <x:v>Sprint 16</x:v>
      </x:c>
      <x:c r="F34" s="26" t="str">
        <x:v>Planned</x:v>
      </x:c>
      <x:c r="G34" s="26" t="str">
        <x:v>NOT RUN</x:v>
      </x:c>
      <x:c r="H34" s="26" t="str">
        <x:v>Audio/Engineering</x:v>
      </x:c>
      <x:c r="I34" s="26" t="str">
        <x:v>Production/QA</x:v>
      </x:c>
      <x:c r="J34" s="26"/>
      <x:c r="K34" s="26" t="str">
        <x:v>missing ID/clip visible en desarrollo</x:v>
      </x:c>
      <x:c r="L34" s="26" t="str">
        <x:v>Este paquete produce missing ID/clip visible en desarrollo y se planifica para Sprint 16.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4" s="26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4" s="26" t="str">
        <x:v>Registro, artefacto y validación reproducible</x:v>
      </x:c>
      <x:c r="O34" s="26" t="str">
        <x:v>18_Audio_Bible.md</x:v>
      </x:c>
      <x:c r="P34" s="26" t="str">
        <x:v>Audio Bible y registros de audio v0.3–v0.6; Sprint 16</x:v>
      </x:c>
      <x:c r="Q34" s="26" t="str">
        <x:v>YES</x:v>
      </x:c>
      <x:c r="R34" s="26" t="str">
        <x:v>CONDITIONAL</x:v>
      </x:c>
      <x:c r="S34" s="26"/>
      <x:c r="T34" s="90" t="n">
        <x:v>0</x:v>
      </x:c>
    </x:row>
    <x:row r="35" ht="30" customHeight="1">
      <x:c r="A35" s="26" t="str">
        <x:v>AUD-WP-03</x:v>
      </x:c>
      <x:c r="B35" s="26" t="str">
        <x:v>Audio</x:v>
      </x:c>
      <x:c r="C35" s="26" t="str">
        <x:v>Separar queue/checkout/revenue</x:v>
      </x:c>
      <x:c r="D35" s="26" t="str">
        <x:v>P2</x:v>
      </x:c>
      <x:c r="E35" s="26" t="str">
        <x:v>Sprint 17</x:v>
      </x:c>
      <x:c r="F35" s="26" t="str">
        <x:v>Planned</x:v>
      </x:c>
      <x:c r="G35" s="26" t="str">
        <x:v>NOT RUN</x:v>
      </x:c>
      <x:c r="H35" s="26" t="str">
        <x:v>Audio/Engineering</x:v>
      </x:c>
      <x:c r="I35" s="26" t="str">
        <x:v>Production/QA</x:v>
      </x:c>
      <x:c r="J35" s="26"/>
      <x:c r="K35" s="26" t="str">
        <x:v>una firma por transacción</x:v>
      </x:c>
      <x:c r="L35" s="26" t="str">
        <x:v>Este paquete produce una firma por transacción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5" s="26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5" s="26" t="str">
        <x:v>Registro, artefacto y validación reproducible</x:v>
      </x:c>
      <x:c r="O35" s="26" t="str">
        <x:v>18_Audio_Bible.md</x:v>
      </x:c>
      <x:c r="P35" s="26" t="str">
        <x:v>Audio Bible y registros de audio v0.3–v0.6; Sprint 16</x:v>
      </x:c>
      <x:c r="Q35" s="26" t="str">
        <x:v>CONDITIONAL</x:v>
      </x:c>
      <x:c r="R35" s="26" t="str">
        <x:v>CONDITIONAL</x:v>
      </x:c>
      <x:c r="S35" s="26"/>
      <x:c r="T35" s="90" t="n">
        <x:v>0</x:v>
      </x:c>
    </x:row>
    <x:row r="36" ht="30" customHeight="1">
      <x:c r="A36" s="26" t="str">
        <x:v>AUD-WP-04</x:v>
      </x:c>
      <x:c r="B36" s="26" t="str">
        <x:v>Audio</x:v>
      </x:c>
      <x:c r="C36" s="26" t="str">
        <x:v>Separar warning/day closed</x:v>
      </x:c>
      <x:c r="D36" s="26" t="str">
        <x:v>P2</x:v>
      </x:c>
      <x:c r="E36" s="26" t="str">
        <x:v>Sprint 17</x:v>
      </x:c>
      <x:c r="F36" s="26" t="str">
        <x:v>Planned</x:v>
      </x:c>
      <x:c r="G36" s="26" t="str">
        <x:v>NOT RUN</x:v>
      </x:c>
      <x:c r="H36" s="26" t="str">
        <x:v>Audio/Engineering</x:v>
      </x:c>
      <x:c r="I36" s="26" t="str">
        <x:v>Production/QA</x:v>
      </x:c>
      <x:c r="J36" s="26"/>
      <x:c r="K36" s="26" t="str">
        <x:v>dos firmas y prioridad</x:v>
      </x:c>
      <x:c r="L36" s="26" t="str">
        <x:v>Este paquete produce dos firmas y prioridad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6" s="26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6" s="26" t="str">
        <x:v>Registro, artefacto y validación reproducible</x:v>
      </x:c>
      <x:c r="O36" s="26" t="str">
        <x:v>18_Audio_Bible.md</x:v>
      </x:c>
      <x:c r="P36" s="26" t="str">
        <x:v>Audio Bible y registros de audio v0.3–v0.6; Sprint 16</x:v>
      </x:c>
      <x:c r="Q36" s="26" t="str">
        <x:v>CONDITIONAL</x:v>
      </x:c>
      <x:c r="R36" s="26" t="str">
        <x:v>CONDITIONAL</x:v>
      </x:c>
      <x:c r="S36" s="26"/>
      <x:c r="T36" s="90" t="n">
        <x:v>0</x:v>
      </x:c>
    </x:row>
    <x:row r="37" ht="30" customHeight="1">
      <x:c r="A37" s="26" t="str">
        <x:v>AUD-WP-05</x:v>
      </x:c>
      <x:c r="B37" s="26" t="str">
        <x:v>Audio</x:v>
      </x:c>
      <x:c r="C37" s="26" t="str">
        <x:v>Puerta 3D</x:v>
      </x:c>
      <x:c r="D37" s="26" t="str">
        <x:v>P2</x:v>
      </x:c>
      <x:c r="E37" s="26" t="str">
        <x:v>Sprint 17</x:v>
      </x:c>
      <x:c r="F37" s="26" t="str">
        <x:v>Planned</x:v>
      </x:c>
      <x:c r="G37" s="26" t="str">
        <x:v>NOT RUN</x:v>
      </x:c>
      <x:c r="H37" s="26" t="str">
        <x:v>Audio/Engineering</x:v>
      </x:c>
      <x:c r="I37" s="26" t="str">
        <x:v>Production/QA</x:v>
      </x:c>
      <x:c r="J37" s="26"/>
      <x:c r="K37" s="26" t="str">
        <x:v>anchor, dos variantes, cooldown</x:v>
      </x:c>
      <x:c r="L37" s="26" t="str">
        <x:v>Este paquete produce anchor, dos variantes, cooldown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7" s="26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7" s="26" t="str">
        <x:v>Registro, artefacto y validación reproducible</x:v>
      </x:c>
      <x:c r="O37" s="26" t="str">
        <x:v>18_Audio_Bible.md</x:v>
      </x:c>
      <x:c r="P37" s="26" t="str">
        <x:v>Audio Bible y registros de audio v0.3–v0.6; Sprint 16</x:v>
      </x:c>
      <x:c r="Q37" s="26" t="str">
        <x:v>CONDITIONAL</x:v>
      </x:c>
      <x:c r="R37" s="26" t="str">
        <x:v>CONDITIONAL</x:v>
      </x:c>
      <x:c r="S37" s="26"/>
      <x:c r="T37" s="90" t="n">
        <x:v>0</x:v>
      </x:c>
    </x:row>
    <x:row r="38" ht="30" customHeight="1">
      <x:c r="A38" s="26" t="str">
        <x:v>AUD-WP-06</x:v>
      </x:c>
      <x:c r="B38" s="26" t="str">
        <x:v>Audio</x:v>
      </x:c>
      <x:c r="C38" s="26" t="str">
        <x:v>Sustituir loops de 4 s</x:v>
      </x:c>
      <x:c r="D38" s="26" t="str">
        <x:v>P1</x:v>
      </x:c>
      <x:c r="E38" s="26" t="str">
        <x:v>Sprint 17/H6</x:v>
      </x:c>
      <x:c r="F38" s="26" t="str">
        <x:v>Planned</x:v>
      </x:c>
      <x:c r="G38" s="26" t="str">
        <x:v>NOT RUN</x:v>
      </x:c>
      <x:c r="H38" s="26" t="str">
        <x:v>Audio/Engineering</x:v>
      </x:c>
      <x:c r="I38" s="26" t="str">
        <x:v>Production/QA</x:v>
      </x:c>
      <x:c r="J38" s="26"/>
      <x:c r="K38" s="26" t="str">
        <x:v>música/ambiente representativos</x:v>
      </x:c>
      <x:c r="L38" s="26" t="str">
        <x:v>Este paquete produce música/ambiente representativos y se planifica para Sprint 17/H6.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8" s="26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8" s="26" t="str">
        <x:v>Registro, artefacto y validación reproducible</x:v>
      </x:c>
      <x:c r="O38" s="26" t="str">
        <x:v>18_Audio_Bible.md</x:v>
      </x:c>
      <x:c r="P38" s="26" t="str">
        <x:v>Audio Bible y registros de audio v0.3–v0.6; Sprint 16</x:v>
      </x:c>
      <x:c r="Q38" s="26" t="str">
        <x:v>YES</x:v>
      </x:c>
      <x:c r="R38" s="26" t="str">
        <x:v>CONDITIONAL</x:v>
      </x:c>
      <x:c r="S38" s="26"/>
      <x:c r="T38" s="90" t="n">
        <x:v>0</x:v>
      </x:c>
    </x:row>
    <x:row r="39" ht="30" customHeight="1">
      <x:c r="A39" s="26" t="str">
        <x:v>AUD-WP-07</x:v>
      </x:c>
      <x:c r="B39" s="26" t="str">
        <x:v>Audio</x:v>
      </x:c>
      <x:c r="C39" s="26" t="str">
        <x:v>Variación y concurrency</x:v>
      </x:c>
      <x:c r="D39" s="26" t="str">
        <x:v>P2</x:v>
      </x:c>
      <x:c r="E39" s="26" t="str">
        <x:v>Sprint 17</x:v>
      </x:c>
      <x:c r="F39" s="26" t="str">
        <x:v>Planned</x:v>
      </x:c>
      <x:c r="G39" s="26" t="str">
        <x:v>NOT RUN</x:v>
      </x:c>
      <x:c r="H39" s="26" t="str">
        <x:v>Audio/Engineering</x:v>
      </x:c>
      <x:c r="I39" s="26" t="str">
        <x:v>Production/QA</x:v>
      </x:c>
      <x:c r="J39" s="26"/>
      <x:c r="K39" s="26" t="str">
        <x:v>política por familia</x:v>
      </x:c>
      <x:c r="L39" s="26" t="str">
        <x:v>Este paquete produce política por familia y se planifica para Sprint 17.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39" s="26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39" s="26" t="str">
        <x:v>Registro, artefacto y validación reproducible</x:v>
      </x:c>
      <x:c r="O39" s="26" t="str">
        <x:v>18_Audio_Bible.md</x:v>
      </x:c>
      <x:c r="P39" s="26" t="str">
        <x:v>Audio Bible y registros de audio v0.3–v0.6; Sprint 16</x:v>
      </x:c>
      <x:c r="Q39" s="26" t="str">
        <x:v>CONDITIONAL</x:v>
      </x:c>
      <x:c r="R39" s="26" t="str">
        <x:v>CONDITIONAL</x:v>
      </x:c>
      <x:c r="S39" s="26"/>
      <x:c r="T39" s="90" t="n">
        <x:v>0</x:v>
      </x:c>
    </x:row>
    <x:row r="40" ht="30" customHeight="1">
      <x:c r="A40" s="26" t="str">
        <x:v>AUD-WP-08</x:v>
      </x:c>
      <x:c r="B40" s="26" t="str">
        <x:v>Audio</x:v>
      </x:c>
      <x:c r="C40" s="26" t="str">
        <x:v>Opciones de audio final</x:v>
      </x:c>
      <x:c r="D40" s="26" t="str">
        <x:v>P1</x:v>
      </x:c>
      <x:c r="E40" s="26" t="str">
        <x:v>H6/post-H6</x:v>
      </x:c>
      <x:c r="F40" s="26" t="str">
        <x:v>Planned</x:v>
      </x:c>
      <x:c r="G40" s="26" t="str">
        <x:v>NOT RUN</x:v>
      </x:c>
      <x:c r="H40" s="26" t="str">
        <x:v>Audio/Engineering</x:v>
      </x:c>
      <x:c r="I40" s="26" t="str">
        <x:v>Production/QA</x:v>
      </x:c>
      <x:c r="J40" s="26"/>
      <x:c r="K40" s="26" t="str">
        <x:v>Master/categorías/mute/persistencia</x:v>
      </x:c>
      <x:c r="L40" s="26" t="str">
        <x:v>Este paquete produce Master/categorías/mute/persistencia y se planifica para H6/post-H6.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40" s="26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40" s="26" t="str">
        <x:v>Registro, artefacto y validación reproducible</x:v>
      </x:c>
      <x:c r="O40" s="26" t="str">
        <x:v>18_Audio_Bible.md</x:v>
      </x:c>
      <x:c r="P40" s="26" t="str">
        <x:v>Audio Bible y registros de audio v0.3–v0.6; Sprint 16</x:v>
      </x:c>
      <x:c r="Q40" s="26" t="str">
        <x:v>YES</x:v>
      </x:c>
      <x:c r="R40" s="26" t="str">
        <x:v>CONDITIONAL</x:v>
      </x:c>
      <x:c r="S40" s="26"/>
      <x:c r="T40" s="90" t="n">
        <x:v>0</x:v>
      </x:c>
    </x:row>
    <x:row r="41" ht="30" customHeight="1">
      <x:c r="A41" s="26" t="str">
        <x:v>AUD-WP-09</x:v>
      </x:c>
      <x:c r="B41" s="26" t="str">
        <x:v>Audio</x:v>
      </x:c>
      <x:c r="C41" s="26" t="str">
        <x:v>Licencias de clips</x:v>
      </x:c>
      <x:c r="D41" s="26" t="str">
        <x:v>P1</x:v>
      </x:c>
      <x:c r="E41" s="26" t="str">
        <x:v>antes de candidata</x:v>
      </x:c>
      <x:c r="F41" s="26" t="str">
        <x:v>Planned</x:v>
      </x:c>
      <x:c r="G41" s="26" t="str">
        <x:v>NOT RUN</x:v>
      </x:c>
      <x:c r="H41" s="26" t="str">
        <x:v>Audio/Engineering</x:v>
      </x:c>
      <x:c r="I41" s="26" t="str">
        <x:v>Production/QA</x:v>
      </x:c>
      <x:c r="J41" s="26"/>
      <x:c r="K41" s="26" t="str">
        <x:v>registro individual y créditos</x:v>
      </x:c>
      <x:c r="L41" s="26" t="str">
        <x:v>Este paquete produce registro individual y créditos y se planifica para antes de candidata.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41" s="26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41" s="26" t="str">
        <x:v>Registro, artefacto y validación reproducible</x:v>
      </x:c>
      <x:c r="O41" s="26" t="str">
        <x:v>18_Audio_Bible.md</x:v>
      </x:c>
      <x:c r="P41" s="26" t="str">
        <x:v>Audio Bible y registros de audio v0.3–v0.6; Sprint 16</x:v>
      </x:c>
      <x:c r="Q41" s="26" t="str">
        <x:v>YES</x:v>
      </x:c>
      <x:c r="R41" s="26" t="str">
        <x:v>CONDITIONAL</x:v>
      </x:c>
      <x:c r="S41" s="26"/>
      <x:c r="T41" s="90" t="n">
        <x:v>0</x:v>
      </x:c>
    </x:row>
    <x:row r="42" ht="30" customHeight="1">
      <x:c r="A42" s="26" t="str">
        <x:v>AUD-WP-10</x:v>
      </x:c>
      <x:c r="B42" s="26" t="str">
        <x:v>Audio</x:v>
      </x:c>
      <x:c r="C42" s="26" t="str">
        <x:v>Campaña externa</x:v>
      </x:c>
      <x:c r="D42" s="26" t="str">
        <x:v>P1</x:v>
      </x:c>
      <x:c r="E42" s="26" t="str">
        <x:v>H6</x:v>
      </x:c>
      <x:c r="F42" s="26" t="str">
        <x:v>Planned</x:v>
      </x:c>
      <x:c r="G42" s="26" t="str">
        <x:v>NOT RUN</x:v>
      </x:c>
      <x:c r="H42" s="26" t="str">
        <x:v>Audio/Engineering</x:v>
      </x:c>
      <x:c r="I42" s="26" t="str">
        <x:v>Production/QA</x:v>
      </x:c>
      <x:c r="J42" s="26"/>
      <x:c r="K42" s="26" t="str">
        <x:v>build, Golden Path, Player.log</x:v>
      </x:c>
      <x:c r="L42" s="26" t="str">
        <x:v>Este paquete produce build, Golden Path, Player.log y se planifica para H6. Debe limitarse al problema descrito, conservar event IDs cuando sea posible y evitar cambios de gameplay. Antes de comenzar se registra baseline de audio, build y clips afectados. / Crear criterio de aceptación, preparar test o recorrido, implementar en Presentation/Infrastructure, actualizar catálogo, ejecutar EditMode/PlayMode, escuchar en contexto y validar en Player cuando afecte a lifecycle o mezcla. Cualquier excepción se documenta con riesgo y rollback.</x:v>
      </x:c>
      <x:c r="M42" s="26" t="str">
        <x:v>El paquete se cierra con código/assets, evidencia, defectos resueltos, procedencia actualizada y relación en producción/trazabilidad. Un clip que suena mejor pero rompe prioridad, accesibilidad o licencias no obtiene PASS.</x:v>
      </x:c>
      <x:c r="N42" s="26" t="str">
        <x:v>Registro, artefacto y validación reproducible</x:v>
      </x:c>
      <x:c r="O42" s="26" t="str">
        <x:v>18_Audio_Bible.md</x:v>
      </x:c>
      <x:c r="P42" s="26" t="str">
        <x:v>Audio Bible y registros de audio v0.3–v0.6; Sprint 16</x:v>
      </x:c>
      <x:c r="Q42" s="26" t="str">
        <x:v>YES</x:v>
      </x:c>
      <x:c r="R42" s="26" t="str">
        <x:v>CONDITIONAL</x:v>
      </x:c>
      <x:c r="S42" s="26"/>
      <x:c r="T42" s="90" t="n">
        <x:v>0</x:v>
      </x:c>
    </x:row>
    <x:row r="43" ht="30" customHeight="1">
      <x:c r="A43" s="26" t="str">
        <x:v>DOCFIX-01</x:v>
      </x:c>
      <x:c r="B43" s="26" t="str">
        <x:v>Documentation Audit</x:v>
      </x:c>
      <x:c r="C43" s="26" t="str">
        <x:v>Reimportar Change Log histórico</x:v>
      </x:c>
      <x:c r="D43" s="26" t="str">
        <x:v>P2</x:v>
      </x:c>
      <x:c r="E43" s="26" t="str">
        <x:v>Post-H6 / Release preparation</x:v>
      </x:c>
      <x:c r="F43" s="26" t="str">
        <x:v>Planned</x:v>
      </x:c>
      <x:c r="G43" s="26" t="str">
        <x:v>NOT RUN</x:v>
      </x:c>
      <x:c r="H43" s="26" t="str">
        <x:v>Documentation/QA</x:v>
      </x:c>
      <x:c r="I43" s="26" t="str">
        <x:v>Production/QA</x:v>
      </x:c>
      <x:c r="J43" s="26" t="str">
        <x:v>trace_op_v0.3.9 y 13 actual</x:v>
      </x:c>
      <x:c r="K43" s="26" t="str">
        <x:v>CHG-S0 con Summary, Block, Scope y deuda completos.</x:v>
      </x:c>
      <x:c r="L43" s="26"/>
      <x:c r="M43" s="26" t="str">
        <x:v>Entregable verificable, evidencia registrada y dependencias satisfechas.</x:v>
      </x:c>
      <x:c r="N43" s="26" t="str">
        <x:v>Registro, artefacto y validación reproducible</x:v>
      </x:c>
      <x:c r="O43" s="26" t="str">
        <x:v>16_Auditoria_Global_de_Coherencia.md</x:v>
      </x:c>
      <x:c r="P43" s="26" t="str">
        <x:v>Auditoría preconsolidación y fuentes v0.3–v0.6</x:v>
      </x:c>
      <x:c r="Q43" s="26" t="str">
        <x:v>YES</x:v>
      </x:c>
      <x:c r="R43" s="26" t="str">
        <x:v>CONDITIONAL</x:v>
      </x:c>
      <x:c r="S43" s="26"/>
      <x:c r="T43" s="90" t="n">
        <x:v>0</x:v>
      </x:c>
    </x:row>
    <x:row r="44" ht="30" customHeight="1">
      <x:c r="A44" s="26" t="str">
        <x:v>DOCFIX-02</x:v>
      </x:c>
      <x:c r="B44" s="26" t="str">
        <x:v>Documentation Audit</x:v>
      </x:c>
      <x:c r="C44" s="26" t="str">
        <x:v>Rediseñar niveles de trazabilidad</x:v>
      </x:c>
      <x:c r="D44" s="26" t="str">
        <x:v>P2</x:v>
      </x:c>
      <x:c r="E44" s="26" t="str">
        <x:v>Post-H6 / Release preparation</x:v>
      </x:c>
      <x:c r="F44" s="26" t="str">
        <x:v>Planned</x:v>
      </x:c>
      <x:c r="G44" s="26" t="str">
        <x:v>NOT RUN</x:v>
      </x:c>
      <x:c r="H44" s="26" t="str">
        <x:v>Documentation/QA</x:v>
      </x:c>
      <x:c r="I44" s="26" t="str">
        <x:v>Production/QA</x:v>
      </x:c>
      <x:c r="J44" s="26" t="str">
        <x:v>13/03 y requisitos 00–12</x:v>
      </x:c>
      <x:c r="K44" s="26" t="str">
        <x:v>T0–T6, niveles requeridos y dashboard recalculado.</x:v>
      </x:c>
      <x:c r="L44" s="26"/>
      <x:c r="M44" s="26" t="str">
        <x:v>Entregable verificable, evidencia registrada y dependencias satisfechas.</x:v>
      </x:c>
      <x:c r="N44" s="26" t="str">
        <x:v>Registro, artefacto y validación reproducible</x:v>
      </x:c>
      <x:c r="O44" s="26" t="str">
        <x:v>16_Auditoria_Global_de_Coherencia.md</x:v>
      </x:c>
      <x:c r="P44" s="26" t="str">
        <x:v>Auditoría preconsolidación y fuentes v0.3–v0.6</x:v>
      </x:c>
      <x:c r="Q44" s="26" t="str">
        <x:v>YES</x:v>
      </x:c>
      <x:c r="R44" s="26" t="str">
        <x:v>CONDITIONAL</x:v>
      </x:c>
      <x:c r="S44" s="26"/>
      <x:c r="T44" s="90" t="n">
        <x:v>0</x:v>
      </x:c>
    </x:row>
    <x:row r="45" ht="30" customHeight="1">
      <x:c r="A45" s="26" t="str">
        <x:v>DOCFIX-03</x:v>
      </x:c>
      <x:c r="B45" s="26" t="str">
        <x:v>Documentation Audit</x:v>
      </x:c>
      <x:c r="C45" s="26" t="str">
        <x:v>Corregir auditoría de builds</x:v>
      </x:c>
      <x:c r="D45" s="26" t="str">
        <x:v>P2</x:v>
      </x:c>
      <x:c r="E45" s="26" t="str">
        <x:v>Post-H6 / Release preparation</x:v>
      </x:c>
      <x:c r="F45" s="26" t="str">
        <x:v>Planned</x:v>
      </x:c>
      <x:c r="G45" s="26" t="str">
        <x:v>NOT RUN</x:v>
      </x:c>
      <x:c r="H45" s="26" t="str">
        <x:v>Documentation/QA</x:v>
      </x:c>
      <x:c r="I45" s="26" t="str">
        <x:v>Production/QA</x:v>
      </x:c>
      <x:c r="J45" s="26" t="str">
        <x:v>13/08 y 17</x:v>
      </x:c>
      <x:c r="K45" s="26" t="str">
        <x:v>Casos positivos/negativos; cero PASS falso.</x:v>
      </x:c>
      <x:c r="L45" s="26"/>
      <x:c r="M45" s="26" t="str">
        <x:v>Entregable verificable, evidencia registrada y dependencias satisfechas.</x:v>
      </x:c>
      <x:c r="N45" s="26" t="str">
        <x:v>Registro, artefacto y validación reproducible</x:v>
      </x:c>
      <x:c r="O45" s="26" t="str">
        <x:v>16_Auditoria_Global_de_Coherencia.md</x:v>
      </x:c>
      <x:c r="P45" s="26" t="str">
        <x:v>Auditoría preconsolidación y fuentes v0.3–v0.6</x:v>
      </x:c>
      <x:c r="Q45" s="26" t="str">
        <x:v>YES</x:v>
      </x:c>
      <x:c r="R45" s="26" t="str">
        <x:v>CONDITIONAL</x:v>
      </x:c>
      <x:c r="S45" s="26"/>
      <x:c r="T45" s="90" t="n">
        <x:v>0</x:v>
      </x:c>
    </x:row>
    <x:row r="46" ht="30" customHeight="1">
      <x:c r="A46" s="26" t="str">
        <x:v>DOCFIX-04</x:v>
      </x:c>
      <x:c r="B46" s="26" t="str">
        <x:v>Documentation Audit</x:v>
      </x:c>
      <x:c r="C46" s="26" t="str">
        <x:v>Depurar inventario de builds</x:v>
      </x:c>
      <x:c r="D46" s="26" t="str">
        <x:v>P2</x:v>
      </x:c>
      <x:c r="E46" s="26" t="str">
        <x:v>Post-H6 / Release preparation</x:v>
      </x:c>
      <x:c r="F46" s="26" t="str">
        <x:v>Planned</x:v>
      </x:c>
      <x:c r="G46" s="26" t="str">
        <x:v>NOT RUN</x:v>
      </x:c>
      <x:c r="H46" s="26" t="str">
        <x:v>Documentation/QA</x:v>
      </x:c>
      <x:c r="I46" s="26" t="str">
        <x:v>Production/QA</x:v>
      </x:c>
      <x:c r="J46" s="26" t="str">
        <x:v>08, 11, 12, 13 y closure records</x:v>
      </x:c>
      <x:c r="K46" s="26" t="str">
        <x:v>Builds reales separadas de checkpoints.</x:v>
      </x:c>
      <x:c r="L46" s="26"/>
      <x:c r="M46" s="26" t="str">
        <x:v>Entregable verificable, evidencia registrada y dependencias satisfechas.</x:v>
      </x:c>
      <x:c r="N46" s="26" t="str">
        <x:v>Registro, artefacto y validación reproducible</x:v>
      </x:c>
      <x:c r="O46" s="26" t="str">
        <x:v>16_Auditoria_Global_de_Coherencia.md</x:v>
      </x:c>
      <x:c r="P46" s="26" t="str">
        <x:v>Auditoría preconsolidación y fuentes v0.3–v0.6</x:v>
      </x:c>
      <x:c r="Q46" s="26" t="str">
        <x:v>YES</x:v>
      </x:c>
      <x:c r="R46" s="26" t="str">
        <x:v>CONDITIONAL</x:v>
      </x:c>
      <x:c r="S46" s="26"/>
      <x:c r="T46" s="90" t="n">
        <x:v>0</x:v>
      </x:c>
    </x:row>
    <x:row r="47" ht="30" customHeight="1">
      <x:c r="A47" s="26" t="str">
        <x:v>DOCFIX-05</x:v>
      </x:c>
      <x:c r="B47" s="26" t="str">
        <x:v>Documentation Audit</x:v>
      </x:c>
      <x:c r="C47" s="26" t="str">
        <x:v>Crear registro único de bloqueantes</x:v>
      </x:c>
      <x:c r="D47" s="26" t="str">
        <x:v>P2</x:v>
      </x:c>
      <x:c r="E47" s="26" t="str">
        <x:v>Post-H6 / Release preparation</x:v>
      </x:c>
      <x:c r="F47" s="26" t="str">
        <x:v>Planned</x:v>
      </x:c>
      <x:c r="G47" s="26" t="str">
        <x:v>NOT RUN</x:v>
      </x:c>
      <x:c r="H47" s="26" t="str">
        <x:v>Documentation/QA</x:v>
      </x:c>
      <x:c r="I47" s="26" t="str">
        <x:v>Production/QA</x:v>
      </x:c>
      <x:c r="J47" s="26" t="str">
        <x:v>08, 12, 13</x:v>
      </x:c>
      <x:c r="K47" s="26" t="str">
        <x:v>Universo de gate común y fórmulas sincronizadas.</x:v>
      </x:c>
      <x:c r="L47" s="26"/>
      <x:c r="M47" s="26" t="str">
        <x:v>Entregable verificable, evidencia registrada y dependencias satisfechas.</x:v>
      </x:c>
      <x:c r="N47" s="26" t="str">
        <x:v>Registro, artefacto y validación reproducible</x:v>
      </x:c>
      <x:c r="O47" s="26" t="str">
        <x:v>16_Auditoria_Global_de_Coherencia.md</x:v>
      </x:c>
      <x:c r="P47" s="26" t="str">
        <x:v>Auditoría preconsolidación y fuentes v0.3–v0.6</x:v>
      </x:c>
      <x:c r="Q47" s="26" t="str">
        <x:v>YES</x:v>
      </x:c>
      <x:c r="R47" s="26" t="str">
        <x:v>CONDITIONAL</x:v>
      </x:c>
      <x:c r="S47" s="26"/>
      <x:c r="T47" s="90" t="n">
        <x:v>0</x:v>
      </x:c>
    </x:row>
    <x:row r="48" ht="30" customHeight="1">
      <x:c r="A48" s="26" t="str">
        <x:v>DOCFIX-06</x:v>
      </x:c>
      <x:c r="B48" s="26" t="str">
        <x:v>Documentation Audit</x:v>
      </x:c>
      <x:c r="C48" s="26" t="str">
        <x:v>Actualizar inventario documental</x:v>
      </x:c>
      <x:c r="D48" s="26" t="str">
        <x:v>P2</x:v>
      </x:c>
      <x:c r="E48" s="26" t="str">
        <x:v>Post-H6 / Release preparation</x:v>
      </x:c>
      <x:c r="F48" s="26" t="str">
        <x:v>Planned</x:v>
      </x:c>
      <x:c r="G48" s="26" t="str">
        <x:v>NOT RUN</x:v>
      </x:c>
      <x:c r="H48" s="26" t="str">
        <x:v>Documentation/QA</x:v>
      </x:c>
      <x:c r="I48" s="26" t="str">
        <x:v>Production/QA</x:v>
      </x:c>
      <x:c r="J48" s="26" t="str">
        <x:v>12, 13, 14, 15, 16</x:v>
      </x:c>
      <x:c r="K48" s="26" t="str">
        <x:v>00–16 presentes, estados correctos y cambios registrados.</x:v>
      </x:c>
      <x:c r="L48" s="26"/>
      <x:c r="M48" s="26" t="str">
        <x:v>Entregable verificable, evidencia registrada y dependencias satisfechas.</x:v>
      </x:c>
      <x:c r="N48" s="26" t="str">
        <x:v>Registro, artefacto y validación reproducible</x:v>
      </x:c>
      <x:c r="O48" s="26" t="str">
        <x:v>16_Auditoria_Global_de_Coherencia.md</x:v>
      </x:c>
      <x:c r="P48" s="26" t="str">
        <x:v>Auditoría preconsolidación y fuentes v0.3–v0.6</x:v>
      </x:c>
      <x:c r="Q48" s="26" t="str">
        <x:v>YES</x:v>
      </x:c>
      <x:c r="R48" s="26" t="str">
        <x:v>CONDITIONAL</x:v>
      </x:c>
      <x:c r="S48" s="26"/>
      <x:c r="T48" s="90" t="n">
        <x:v>0</x:v>
      </x:c>
    </x:row>
    <x:row r="49" ht="30" customHeight="1">
      <x:c r="A49" s="26" t="str">
        <x:v>DOCFIX-07</x:v>
      </x:c>
      <x:c r="B49" s="26" t="str">
        <x:v>Documentation Audit</x:v>
      </x:c>
      <x:c r="C49" s="26" t="str">
        <x:v>Normalizar metadata Markdown</x:v>
      </x:c>
      <x:c r="D49" s="26" t="str">
        <x:v>P2</x:v>
      </x:c>
      <x:c r="E49" s="26" t="str">
        <x:v>Post-H6 / Release preparation</x:v>
      </x:c>
      <x:c r="F49" s="26" t="str">
        <x:v>Planned</x:v>
      </x:c>
      <x:c r="G49" s="26" t="str">
        <x:v>NOT RUN</x:v>
      </x:c>
      <x:c r="H49" s="26" t="str">
        <x:v>Documentation/QA</x:v>
      </x:c>
      <x:c r="I49" s="26" t="str">
        <x:v>Production/QA</x:v>
      </x:c>
      <x:c r="J49" s="26" t="str">
        <x:v>00–16</x:v>
      </x:c>
      <x:c r="K49" s="26" t="str">
        <x:v>Esquema de front matter común y 10 sin salto inicial.</x:v>
      </x:c>
      <x:c r="L49" s="26"/>
      <x:c r="M49" s="26" t="str">
        <x:v>Entregable verificable, evidencia registrada y dependencias satisfechas.</x:v>
      </x:c>
      <x:c r="N49" s="26" t="str">
        <x:v>Registro, artefacto y validación reproducible</x:v>
      </x:c>
      <x:c r="O49" s="26" t="str">
        <x:v>16_Auditoria_Global_de_Coherencia.md</x:v>
      </x:c>
      <x:c r="P49" s="26" t="str">
        <x:v>Auditoría preconsolidación y fuentes v0.3–v0.6</x:v>
      </x:c>
      <x:c r="Q49" s="26" t="str">
        <x:v>YES</x:v>
      </x:c>
      <x:c r="R49" s="26" t="str">
        <x:v>CONDITIONAL</x:v>
      </x:c>
      <x:c r="S49" s="26"/>
      <x:c r="T49" s="90" t="n">
        <x:v>0</x:v>
      </x:c>
    </x:row>
    <x:row r="50" ht="30" customHeight="1">
      <x:c r="A50" s="26" t="str">
        <x:v>DOCFIX-08</x:v>
      </x:c>
      <x:c r="B50" s="26" t="str">
        <x:v>Documentation Audit</x:v>
      </x:c>
      <x:c r="C50" s="26" t="str">
        <x:v>Cerrar hashes y manifest</x:v>
      </x:c>
      <x:c r="D50" s="26" t="str">
        <x:v>P2</x:v>
      </x:c>
      <x:c r="E50" s="26" t="str">
        <x:v>Post-H6 / Release preparation</x:v>
      </x:c>
      <x:c r="F50" s="26" t="str">
        <x:v>Planned</x:v>
      </x:c>
      <x:c r="G50" s="26" t="str">
        <x:v>NOT RUN</x:v>
      </x:c>
      <x:c r="H50" s="26" t="str">
        <x:v>Documentation/QA</x:v>
      </x:c>
      <x:c r="I50" s="26" t="str">
        <x:v>Production/QA</x:v>
      </x:c>
      <x:c r="J50" s="26" t="str">
        <x:v>Todos los finales</x:v>
      </x:c>
      <x:c r="K50" s="26" t="str">
        <x:v>Manifest externo y verificación reproducible.</x:v>
      </x:c>
      <x:c r="L50" s="26"/>
      <x:c r="M50" s="26" t="str">
        <x:v>Entregable verificable, evidencia registrada y dependencias satisfechas.</x:v>
      </x:c>
      <x:c r="N50" s="26" t="str">
        <x:v>Registro, artefacto y validación reproducible</x:v>
      </x:c>
      <x:c r="O50" s="26" t="str">
        <x:v>16_Auditoria_Global_de_Coherencia.md</x:v>
      </x:c>
      <x:c r="P50" s="26" t="str">
        <x:v>Auditoría preconsolidación y fuentes v0.3–v0.6</x:v>
      </x:c>
      <x:c r="Q50" s="26" t="str">
        <x:v>YES</x:v>
      </x:c>
      <x:c r="R50" s="26" t="str">
        <x:v>CONDITIONAL</x:v>
      </x:c>
      <x:c r="S50" s="26"/>
      <x:c r="T50" s="90" t="n">
        <x:v>0</x:v>
      </x:c>
    </x:row>
    <x:row r="51" ht="30" customHeight="1">
      <x:c r="A51" s="26" t="str">
        <x:v>DOCFIX-09</x:v>
      </x:c>
      <x:c r="B51" s="26" t="str">
        <x:v>Documentation Audit</x:v>
      </x:c>
      <x:c r="C51" s="26" t="str">
        <x:v>Reauditar</x:v>
      </x:c>
      <x:c r="D51" s="26" t="str">
        <x:v>P2</x:v>
      </x:c>
      <x:c r="E51" s="26" t="str">
        <x:v>Post-H6 / Release preparation</x:v>
      </x:c>
      <x:c r="F51" s="26" t="str">
        <x:v>Planned</x:v>
      </x:c>
      <x:c r="G51" s="26" t="str">
        <x:v>NOT RUN</x:v>
      </x:c>
      <x:c r="H51" s="26" t="str">
        <x:v>Documentation/QA</x:v>
      </x:c>
      <x:c r="I51" s="26" t="str">
        <x:v>Production/QA</x:v>
      </x:c>
      <x:c r="J51" s="26" t="str">
        <x:v>16 y paquete corregido</x:v>
      </x:c>
      <x:c r="K51" s="26" t="str">
        <x:v>Cero A1 documentales abiertos; veredicto actualizado.</x:v>
      </x:c>
      <x:c r="L51" s="26"/>
      <x:c r="M51" s="26" t="str">
        <x:v>Entregable verificable, evidencia registrada y dependencias satisfechas.</x:v>
      </x:c>
      <x:c r="N51" s="26" t="str">
        <x:v>Registro, artefacto y validación reproducible</x:v>
      </x:c>
      <x:c r="O51" s="26" t="str">
        <x:v>16_Auditoria_Global_de_Coherencia.md</x:v>
      </x:c>
      <x:c r="P51" s="26" t="str">
        <x:v>Auditoría preconsolidación y fuentes v0.3–v0.6</x:v>
      </x:c>
      <x:c r="Q51" s="26" t="str">
        <x:v>YES</x:v>
      </x:c>
      <x:c r="R51" s="26" t="str">
        <x:v>CONDITIONAL</x:v>
      </x:c>
      <x:c r="S51" s="26"/>
      <x:c r="T51" s="90" t="n">
        <x:v>0</x:v>
      </x:c>
    </x:row>
    <x:row r="52" ht="30" customHeight="1">
      <x:c r="A52" s="26" t="str">
        <x:v>ECO-WP-01</x:v>
      </x:c>
      <x:c r="B52" s="26" t="str">
        <x:v>Economía/Balance</x:v>
      </x:c>
      <x:c r="C52" s="26" t="str">
        <x:v>Unificar catálogos</x:v>
      </x:c>
      <x:c r="D52" s="26" t="str">
        <x:v>P2</x:v>
      </x:c>
      <x:c r="E52" s="26" t="str">
        <x:v>Sprint 17</x:v>
      </x:c>
      <x:c r="F52" s="26" t="str">
        <x:v>Planned</x:v>
      </x:c>
      <x:c r="G52" s="26" t="str">
        <x:v>NOT RUN</x:v>
      </x:c>
      <x:c r="H52" s="26" t="str">
        <x:v>Game Design/Engineering</x:v>
      </x:c>
      <x:c r="I52" s="26" t="str">
        <x:v>Production/QA</x:v>
      </x:c>
      <x:c r="J52" s="26"/>
      <x:c r="K52" s="26" t="str">
        <x:v>elegir IDs, precios, costes y autoridad runtime</x:v>
      </x:c>
      <x:c r="L52" s="26"/>
      <x:c r="M52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2" s="26" t="str">
        <x:v>Registro, artefacto y validación reproducible</x:v>
      </x:c>
      <x:c r="O52" s="26" t="str">
        <x:v>20_Economy_and_Balance_Specification.md</x:v>
      </x:c>
      <x:c r="P52" s="26" t="str">
        <x:v>GDD/economía v0.3–v0.6; Sprints 6–13</x:v>
      </x:c>
      <x:c r="Q52" s="26" t="str">
        <x:v>CONDITIONAL</x:v>
      </x:c>
      <x:c r="R52" s="26" t="str">
        <x:v>CONDITIONAL</x:v>
      </x:c>
      <x:c r="S52" s="26"/>
      <x:c r="T52" s="90" t="n">
        <x:v>0</x:v>
      </x:c>
    </x:row>
    <x:row r="53" ht="30" customHeight="1">
      <x:c r="A53" s="26" t="str">
        <x:v>ECO-WP-02</x:v>
      </x:c>
      <x:c r="B53" s="26" t="str">
        <x:v>Economía/Balance</x:v>
      </x:c>
      <x:c r="C53" s="26" t="str">
        <x:v>Reconciliar caja y ledger</x:v>
      </x:c>
      <x:c r="D53" s="26" t="str">
        <x:v>P2</x:v>
      </x:c>
      <x:c r="E53" s="26" t="str">
        <x:v>Sprint 17</x:v>
      </x:c>
      <x:c r="F53" s="26" t="str">
        <x:v>Planned</x:v>
      </x:c>
      <x:c r="G53" s="26" t="str">
        <x:v>NOT RUN</x:v>
      </x:c>
      <x:c r="H53" s="26" t="str">
        <x:v>Game Design/Engineering</x:v>
      </x:c>
      <x:c r="I53" s="26" t="str">
        <x:v>Production/QA</x:v>
      </x:c>
      <x:c r="J53" s="26"/>
      <x:c r="K53" s="26" t="str">
        <x:v>definir fuente autoritativa y test de reconstrucción</x:v>
      </x:c>
      <x:c r="L53" s="26"/>
      <x:c r="M53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3" s="26" t="str">
        <x:v>Registro, artefacto y validación reproducible</x:v>
      </x:c>
      <x:c r="O53" s="26" t="str">
        <x:v>20_Economy_and_Balance_Specification.md</x:v>
      </x:c>
      <x:c r="P53" s="26" t="str">
        <x:v>GDD/economía v0.3–v0.6; Sprints 6–13</x:v>
      </x:c>
      <x:c r="Q53" s="26" t="str">
        <x:v>CONDITIONAL</x:v>
      </x:c>
      <x:c r="R53" s="26" t="str">
        <x:v>CONDITIONAL</x:v>
      </x:c>
      <x:c r="S53" s="26"/>
      <x:c r="T53" s="90" t="n">
        <x:v>0</x:v>
      </x:c>
    </x:row>
    <x:row r="54" ht="30" customHeight="1">
      <x:c r="A54" s="26" t="str">
        <x:v>ECO-WP-03</x:v>
      </x:c>
      <x:c r="B54" s="26" t="str">
        <x:v>Economía/Balance</x:v>
      </x:c>
      <x:c r="C54" s="26" t="str">
        <x:v>Fijar capital y día</x:v>
      </x:c>
      <x:c r="D54" s="26" t="str">
        <x:v>P2</x:v>
      </x:c>
      <x:c r="E54" s="26" t="str">
        <x:v>Sprint 17</x:v>
      </x:c>
      <x:c r="F54" s="26" t="str">
        <x:v>Planned</x:v>
      </x:c>
      <x:c r="G54" s="26" t="str">
        <x:v>NOT RUN</x:v>
      </x:c>
      <x:c r="H54" s="26" t="str">
        <x:v>Game Design/Engineering</x:v>
      </x:c>
      <x:c r="I54" s="26" t="str">
        <x:v>Production/QA</x:v>
      </x:c>
      <x:c r="J54" s="26"/>
      <x:c r="K54" s="26" t="str">
        <x:v>campaña comparativa de parámetros</x:v>
      </x:c>
      <x:c r="L54" s="26"/>
      <x:c r="M54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4" s="26" t="str">
        <x:v>Registro, artefacto y validación reproducible</x:v>
      </x:c>
      <x:c r="O54" s="26" t="str">
        <x:v>20_Economy_and_Balance_Specification.md</x:v>
      </x:c>
      <x:c r="P54" s="26" t="str">
        <x:v>GDD/economía v0.3–v0.6; Sprints 6–13</x:v>
      </x:c>
      <x:c r="Q54" s="26" t="str">
        <x:v>CONDITIONAL</x:v>
      </x:c>
      <x:c r="R54" s="26" t="str">
        <x:v>CONDITIONAL</x:v>
      </x:c>
      <x:c r="S54" s="26"/>
      <x:c r="T54" s="90" t="n">
        <x:v>0</x:v>
      </x:c>
    </x:row>
    <x:row r="55" ht="30" customHeight="1">
      <x:c r="A55" s="26" t="str">
        <x:v>ECO-WP-04</x:v>
      </x:c>
      <x:c r="B55" s="26" t="str">
        <x:v>Economía/Balance</x:v>
      </x:c>
      <x:c r="C55" s="26" t="str">
        <x:v>Balancear seis productos</x:v>
      </x:c>
      <x:c r="D55" s="26" t="str">
        <x:v>P2</x:v>
      </x:c>
      <x:c r="E55" s="26" t="str">
        <x:v>Sprint 17</x:v>
      </x:c>
      <x:c r="F55" s="26" t="str">
        <x:v>Planned</x:v>
      </x:c>
      <x:c r="G55" s="26" t="str">
        <x:v>NOT RUN</x:v>
      </x:c>
      <x:c r="H55" s="26" t="str">
        <x:v>Game Design/Engineering</x:v>
      </x:c>
      <x:c r="I55" s="26" t="str">
        <x:v>Production/QA</x:v>
      </x:c>
      <x:c r="J55" s="26"/>
      <x:c r="K55" s="26" t="str">
        <x:v>mix de margen, caja, rotación y espacio</x:v>
      </x:c>
      <x:c r="L55" s="26"/>
      <x:c r="M55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5" s="26" t="str">
        <x:v>Registro, artefacto y validación reproducible</x:v>
      </x:c>
      <x:c r="O55" s="26" t="str">
        <x:v>20_Economy_and_Balance_Specification.md</x:v>
      </x:c>
      <x:c r="P55" s="26" t="str">
        <x:v>GDD/economía v0.3–v0.6; Sprints 6–13</x:v>
      </x:c>
      <x:c r="Q55" s="26" t="str">
        <x:v>CONDITIONAL</x:v>
      </x:c>
      <x:c r="R55" s="26" t="str">
        <x:v>CONDITIONAL</x:v>
      </x:c>
      <x:c r="S55" s="26"/>
      <x:c r="T55" s="90" t="n">
        <x:v>0</x:v>
      </x:c>
    </x:row>
    <x:row r="56" ht="30" customHeight="1">
      <x:c r="A56" s="26" t="str">
        <x:v>ECO-WP-05</x:v>
      </x:c>
      <x:c r="B56" s="26" t="str">
        <x:v>Economía/Balance</x:v>
      </x:c>
      <x:c r="C56" s="26" t="str">
        <x:v>Balancear suppliers/cajas</x:v>
      </x:c>
      <x:c r="D56" s="26" t="str">
        <x:v>P2</x:v>
      </x:c>
      <x:c r="E56" s="26" t="str">
        <x:v>Sprint 17</x:v>
      </x:c>
      <x:c r="F56" s="26" t="str">
        <x:v>Planned</x:v>
      </x:c>
      <x:c r="G56" s="26" t="str">
        <x:v>NOT RUN</x:v>
      </x:c>
      <x:c r="H56" s="26" t="str">
        <x:v>Game Design/Engineering</x:v>
      </x:c>
      <x:c r="I56" s="26" t="str">
        <x:v>Production/QA</x:v>
      </x:c>
      <x:c r="J56" s="26"/>
      <x:c r="K56" s="26" t="str">
        <x:v>trade-off coste frente a lote</x:v>
      </x:c>
      <x:c r="L56" s="26"/>
      <x:c r="M56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6" s="26" t="str">
        <x:v>Registro, artefacto y validación reproducible</x:v>
      </x:c>
      <x:c r="O56" s="26" t="str">
        <x:v>20_Economy_and_Balance_Specification.md</x:v>
      </x:c>
      <x:c r="P56" s="26" t="str">
        <x:v>GDD/economía v0.3–v0.6; Sprints 6–13</x:v>
      </x:c>
      <x:c r="Q56" s="26" t="str">
        <x:v>CONDITIONAL</x:v>
      </x:c>
      <x:c r="R56" s="26" t="str">
        <x:v>CONDITIONAL</x:v>
      </x:c>
      <x:c r="S56" s="26"/>
      <x:c r="T56" s="90" t="n">
        <x:v>0</x:v>
      </x:c>
    </x:row>
    <x:row r="57" ht="30" customHeight="1">
      <x:c r="A57" s="26" t="str">
        <x:v>ECO-WP-06</x:v>
      </x:c>
      <x:c r="B57" s="26" t="str">
        <x:v>Economía/Balance</x:v>
      </x:c>
      <x:c r="C57" s="26" t="str">
        <x:v>Cerrar softlocks</x:v>
      </x:c>
      <x:c r="D57" s="26" t="str">
        <x:v>P2</x:v>
      </x:c>
      <x:c r="E57" s="26" t="str">
        <x:v>Sprint 17</x:v>
      </x:c>
      <x:c r="F57" s="26" t="str">
        <x:v>Planned</x:v>
      </x:c>
      <x:c r="G57" s="26" t="str">
        <x:v>NOT RUN</x:v>
      </x:c>
      <x:c r="H57" s="26" t="str">
        <x:v>Game Design/Engineering</x:v>
      </x:c>
      <x:c r="I57" s="26" t="str">
        <x:v>Production/QA</x:v>
      </x:c>
      <x:c r="J57" s="26"/>
      <x:c r="K57" s="26" t="str">
        <x:v>escenarios de caja/capacidad/stock</x:v>
      </x:c>
      <x:c r="L57" s="26"/>
      <x:c r="M57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7" s="26" t="str">
        <x:v>Registro, artefacto y validación reproducible</x:v>
      </x:c>
      <x:c r="O57" s="26" t="str">
        <x:v>20_Economy_and_Balance_Specification.md</x:v>
      </x:c>
      <x:c r="P57" s="26" t="str">
        <x:v>GDD/economía v0.3–v0.6; Sprints 6–13</x:v>
      </x:c>
      <x:c r="Q57" s="26" t="str">
        <x:v>CONDITIONAL</x:v>
      </x:c>
      <x:c r="R57" s="26" t="str">
        <x:v>CONDITIONAL</x:v>
      </x:c>
      <x:c r="S57" s="26"/>
      <x:c r="T57" s="90" t="n">
        <x:v>0</x:v>
      </x:c>
    </x:row>
    <x:row r="58" ht="30" customHeight="1">
      <x:c r="A58" s="26" t="str">
        <x:v>ECO-WP-07</x:v>
      </x:c>
      <x:c r="B58" s="26" t="str">
        <x:v>Economía/Balance</x:v>
      </x:c>
      <x:c r="C58" s="26" t="str">
        <x:v>Instrumentación local</x:v>
      </x:c>
      <x:c r="D58" s="26" t="str">
        <x:v>P2</x:v>
      </x:c>
      <x:c r="E58" s="26" t="str">
        <x:v>Sprint 17</x:v>
      </x:c>
      <x:c r="F58" s="26" t="str">
        <x:v>Planned</x:v>
      </x:c>
      <x:c r="G58" s="26" t="str">
        <x:v>NOT RUN</x:v>
      </x:c>
      <x:c r="H58" s="26" t="str">
        <x:v>Game Design/Engineering</x:v>
      </x:c>
      <x:c r="I58" s="26" t="str">
        <x:v>Production/QA</x:v>
      </x:c>
      <x:c r="J58" s="26"/>
      <x:c r="K58" s="26" t="str">
        <x:v>CSV por día y producto</x:v>
      </x:c>
      <x:c r="L58" s="26"/>
      <x:c r="M58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8" s="26" t="str">
        <x:v>Registro, artefacto y validación reproducible</x:v>
      </x:c>
      <x:c r="O58" s="26" t="str">
        <x:v>20_Economy_and_Balance_Specification.md</x:v>
      </x:c>
      <x:c r="P58" s="26" t="str">
        <x:v>GDD/economía v0.3–v0.6; Sprints 6–13</x:v>
      </x:c>
      <x:c r="Q58" s="26" t="str">
        <x:v>CONDITIONAL</x:v>
      </x:c>
      <x:c r="R58" s="26" t="str">
        <x:v>CONDITIONAL</x:v>
      </x:c>
      <x:c r="S58" s="26"/>
      <x:c r="T58" s="90" t="n">
        <x:v>0</x:v>
      </x:c>
    </x:row>
    <x:row r="59" ht="30" customHeight="1">
      <x:c r="A59" s="26" t="str">
        <x:v>ECO-WP-08</x:v>
      </x:c>
      <x:c r="B59" s="26" t="str">
        <x:v>Economía/Balance</x:v>
      </x:c>
      <x:c r="C59" s="26" t="str">
        <x:v>Campaña siete días</x:v>
      </x:c>
      <x:c r="D59" s="26" t="str">
        <x:v>P1</x:v>
      </x:c>
      <x:c r="E59" s="26" t="str">
        <x:v>H6</x:v>
      </x:c>
      <x:c r="F59" s="26" t="str">
        <x:v>Planned</x:v>
      </x:c>
      <x:c r="G59" s="26" t="str">
        <x:v>NOT RUN</x:v>
      </x:c>
      <x:c r="H59" s="26" t="str">
        <x:v>Game Design/Engineering</x:v>
      </x:c>
      <x:c r="I59" s="26" t="str">
        <x:v>Production/QA</x:v>
      </x:c>
      <x:c r="J59" s="26"/>
      <x:c r="K59" s="26" t="str">
        <x:v>build externa y evidencias</x:v>
      </x:c>
      <x:c r="L59" s="26"/>
      <x:c r="M59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59" s="26" t="str">
        <x:v>Registro, artefacto y validación reproducible</x:v>
      </x:c>
      <x:c r="O59" s="26" t="str">
        <x:v>20_Economy_and_Balance_Specification.md</x:v>
      </x:c>
      <x:c r="P59" s="26" t="str">
        <x:v>GDD/economía v0.3–v0.6; Sprints 6–13</x:v>
      </x:c>
      <x:c r="Q59" s="26" t="str">
        <x:v>YES</x:v>
      </x:c>
      <x:c r="R59" s="26" t="str">
        <x:v>CONDITIONAL</x:v>
      </x:c>
      <x:c r="S59" s="26"/>
      <x:c r="T59" s="90" t="n">
        <x:v>0</x:v>
      </x:c>
    </x:row>
    <x:row r="60" ht="30" customHeight="1">
      <x:c r="A60" s="26" t="str">
        <x:v>ECO-WP-09</x:v>
      </x:c>
      <x:c r="B60" s="26" t="str">
        <x:v>Economía/Balance</x:v>
      </x:c>
      <x:c r="C60" s="26" t="str">
        <x:v>Resumen diario</x:v>
      </x:c>
      <x:c r="D60" s="26" t="str">
        <x:v>P1</x:v>
      </x:c>
      <x:c r="E60" s="26" t="str">
        <x:v>H6</x:v>
      </x:c>
      <x:c r="F60" s="26" t="str">
        <x:v>Planned</x:v>
      </x:c>
      <x:c r="G60" s="26" t="str">
        <x:v>NOT RUN</x:v>
      </x:c>
      <x:c r="H60" s="26" t="str">
        <x:v>Game Design/Engineering</x:v>
      </x:c>
      <x:c r="I60" s="26" t="str">
        <x:v>Production/QA</x:v>
      </x:c>
      <x:c r="J60" s="26"/>
      <x:c r="K60" s="26" t="str">
        <x:v>etiquetas y reconciliación</x:v>
      </x:c>
      <x:c r="L60" s="26"/>
      <x:c r="M60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60" s="26" t="str">
        <x:v>Registro, artefacto y validación reproducible</x:v>
      </x:c>
      <x:c r="O60" s="26" t="str">
        <x:v>20_Economy_and_Balance_Specification.md</x:v>
      </x:c>
      <x:c r="P60" s="26" t="str">
        <x:v>GDD/economía v0.3–v0.6; Sprints 6–13</x:v>
      </x:c>
      <x:c r="Q60" s="26" t="str">
        <x:v>YES</x:v>
      </x:c>
      <x:c r="R60" s="26" t="str">
        <x:v>CONDITIONAL</x:v>
      </x:c>
      <x:c r="S60" s="26"/>
      <x:c r="T60" s="90" t="n">
        <x:v>0</x:v>
      </x:c>
    </x:row>
    <x:row r="61" ht="30" customHeight="1">
      <x:c r="A61" s="26" t="str">
        <x:v>ECO-WP-10</x:v>
      </x:c>
      <x:c r="B61" s="26" t="str">
        <x:v>Economía/Balance</x:v>
      </x:c>
      <x:c r="C61" s="26" t="str">
        <x:v>Migración de saves</x:v>
      </x:c>
      <x:c r="D61" s="26" t="str">
        <x:v>P2</x:v>
      </x:c>
      <x:c r="E61" s="26" t="str">
        <x:v>antes de catálogo final</x:v>
      </x:c>
      <x:c r="F61" s="26" t="str">
        <x:v>Planned</x:v>
      </x:c>
      <x:c r="G61" s="26" t="str">
        <x:v>NOT RUN</x:v>
      </x:c>
      <x:c r="H61" s="26" t="str">
        <x:v>Game Design/Engineering</x:v>
      </x:c>
      <x:c r="I61" s="26" t="str">
        <x:v>Production/QA</x:v>
      </x:c>
      <x:c r="J61" s="26"/>
      <x:c r="K61" s="26" t="str">
        <x:v>mapa de IDs y valores históricos</x:v>
      </x:c>
      <x:c r="L61" s="26"/>
      <x:c r="M61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61" s="26" t="str">
        <x:v>Registro, artefacto y validación reproducible</x:v>
      </x:c>
      <x:c r="O61" s="26" t="str">
        <x:v>20_Economy_and_Balance_Specification.md</x:v>
      </x:c>
      <x:c r="P61" s="26" t="str">
        <x:v>GDD/economía v0.3–v0.6; Sprints 6–13</x:v>
      </x:c>
      <x:c r="Q61" s="26" t="str">
        <x:v>CONDITIONAL</x:v>
      </x:c>
      <x:c r="R61" s="26" t="str">
        <x:v>CONDITIONAL</x:v>
      </x:c>
      <x:c r="S61" s="26"/>
      <x:c r="T61" s="90" t="n">
        <x:v>0</x:v>
      </x:c>
    </x:row>
    <x:row r="62" ht="30" customHeight="1">
      <x:c r="A62" s="26" t="str">
        <x:v>ECO-WP-11</x:v>
      </x:c>
      <x:c r="B62" s="26" t="str">
        <x:v>Economía/Balance</x:v>
      </x:c>
      <x:c r="C62" s="26" t="str">
        <x:v>Fault injection checkout</x:v>
      </x:c>
      <x:c r="D62" s="26" t="str">
        <x:v>P2</x:v>
      </x:c>
      <x:c r="E62" s="26" t="str">
        <x:v>Sprint 17</x:v>
      </x:c>
      <x:c r="F62" s="26" t="str">
        <x:v>Planned</x:v>
      </x:c>
      <x:c r="G62" s="26" t="str">
        <x:v>NOT RUN</x:v>
      </x:c>
      <x:c r="H62" s="26" t="str">
        <x:v>Game Design/Engineering</x:v>
      </x:c>
      <x:c r="I62" s="26" t="str">
        <x:v>Production/QA</x:v>
      </x:c>
      <x:c r="J62" s="26"/>
      <x:c r="K62" s="26" t="str">
        <x:v>rollback cross-aggregate/ledger</x:v>
      </x:c>
      <x:c r="L62" s="26"/>
      <x:c r="M62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62" s="26" t="str">
        <x:v>Registro, artefacto y validación reproducible</x:v>
      </x:c>
      <x:c r="O62" s="26" t="str">
        <x:v>20_Economy_and_Balance_Specification.md</x:v>
      </x:c>
      <x:c r="P62" s="26" t="str">
        <x:v>GDD/economía v0.3–v0.6; Sprints 6–13</x:v>
      </x:c>
      <x:c r="Q62" s="26" t="str">
        <x:v>CONDITIONAL</x:v>
      </x:c>
      <x:c r="R62" s="26" t="str">
        <x:v>CONDITIONAL</x:v>
      </x:c>
      <x:c r="S62" s="26"/>
      <x:c r="T62" s="90" t="n">
        <x:v>0</x:v>
      </x:c>
    </x:row>
    <x:row r="63" ht="30" customHeight="1">
      <x:c r="A63" s="26" t="str">
        <x:v>ECO-WP-12</x:v>
      </x:c>
      <x:c r="B63" s="26" t="str">
        <x:v>Economía/Balance</x:v>
      </x:c>
      <x:c r="C63" s="26" t="str">
        <x:v>Registro de balance</x:v>
      </x:c>
      <x:c r="D63" s="26" t="str">
        <x:v>P2</x:v>
      </x:c>
      <x:c r="E63" s="26" t="str">
        <x:v>continuo</x:v>
      </x:c>
      <x:c r="F63" s="26" t="str">
        <x:v>Planned</x:v>
      </x:c>
      <x:c r="G63" s="26" t="str">
        <x:v>NOT RUN</x:v>
      </x:c>
      <x:c r="H63" s="26" t="str">
        <x:v>Game Design/Engineering</x:v>
      </x:c>
      <x:c r="I63" s="26" t="str">
        <x:v>Production/QA</x:v>
      </x:c>
      <x:c r="J63" s="26"/>
      <x:c r="K63" s="26" t="str">
        <x:v>versiones, hashes y decisiones</x:v>
      </x:c>
      <x:c r="L63" s="26"/>
      <x:c r="M63" s="26" t="str">
        <x:v>Código/assets actualizados, tests, campaña relevante, métricas, defectos, decisión y enlaces en producción/trazabilidad. Si la hipótesis no mejora el resultado, se revierte y se conserva el aprendizaje; un cambio no se mantiene solo por el coste invertido.</x:v>
      </x:c>
      <x:c r="N63" s="26" t="str">
        <x:v>Registro, artefacto y validación reproducible</x:v>
      </x:c>
      <x:c r="O63" s="26" t="str">
        <x:v>20_Economy_and_Balance_Specification.md</x:v>
      </x:c>
      <x:c r="P63" s="26" t="str">
        <x:v>GDD/economía v0.3–v0.6; Sprints 6–13</x:v>
      </x:c>
      <x:c r="Q63" s="26" t="str">
        <x:v>CONDITIONAL</x:v>
      </x:c>
      <x:c r="R63" s="26" t="str">
        <x:v>CONDITIONAL</x:v>
      </x:c>
      <x:c r="S63" s="26"/>
      <x:c r="T63" s="90" t="n">
        <x:v>0</x:v>
      </x:c>
    </x:row>
    <x:row r="64" ht="30" customHeight="1">
      <x:c r="A64" s="26" t="str">
        <x:v>OPS-WP-01</x:v>
      </x:c>
      <x:c r="B64" s="26" t="str">
        <x:v>Live Operations</x:v>
      </x:c>
      <x:c r="C64" s="26" t="str">
        <x:v>Canales y soporte público</x:v>
      </x:c>
      <x:c r="D64" s="26" t="str">
        <x:v>P2</x:v>
      </x:c>
      <x:c r="E64" s="26" t="str">
        <x:v>Pre-Coming Soon</x:v>
      </x:c>
      <x:c r="F64" s="26" t="str">
        <x:v>Planned</x:v>
      </x:c>
      <x:c r="G64" s="26" t="str">
        <x:v>NOT RUN</x:v>
      </x:c>
      <x:c r="H64" s="26" t="str">
        <x:v>Production/Support</x:v>
      </x:c>
      <x:c r="I64" s="26" t="str">
        <x:v>Production/QA</x:v>
      </x:c>
      <x:c r="J64" s="26"/>
      <x:c r="K64" s="26"/>
      <x:c r="L64" s="26"/>
      <x:c r="M64" s="26" t="str">
        <x:v>Entregable verificable, evidencia registrada y dependencias satisfechas.</x:v>
      </x:c>
      <x:c r="N64" s="26" t="str">
        <x:v>Registro, artefacto y validación reproducible</x:v>
      </x:c>
      <x:c r="O64" s="26" t="str">
        <x:v>25_Post_Launch_and_Live_Operations_Plan.md</x:v>
      </x:c>
      <x:c r="P64" s="26" t="str">
        <x:v>Roadmap, QA y operaciones históricas v0.3–v0.6</x:v>
      </x:c>
      <x:c r="Q64" s="26" t="str">
        <x:v>CONDITIONAL</x:v>
      </x:c>
      <x:c r="R64" s="26" t="str">
        <x:v>YES</x:v>
      </x:c>
      <x:c r="S64" s="26"/>
      <x:c r="T64" s="90" t="n">
        <x:v>0</x:v>
      </x:c>
    </x:row>
    <x:row r="65" ht="30" customHeight="1">
      <x:c r="A65" s="26" t="str">
        <x:v>OPS-WP-02</x:v>
      </x:c>
      <x:c r="B65" s="26" t="str">
        <x:v>Live Operations</x:v>
      </x:c>
      <x:c r="C65" s="26" t="str">
        <x:v>Incident register y plantillas</x:v>
      </x:c>
      <x:c r="D65" s="26" t="str">
        <x:v>P1</x:v>
      </x:c>
      <x:c r="E65" s="26" t="str">
        <x:v>H6+</x:v>
      </x:c>
      <x:c r="F65" s="26" t="str">
        <x:v>Planned</x:v>
      </x:c>
      <x:c r="G65" s="26" t="str">
        <x:v>NOT RUN</x:v>
      </x:c>
      <x:c r="H65" s="26" t="str">
        <x:v>Production/Support</x:v>
      </x:c>
      <x:c r="I65" s="26" t="str">
        <x:v>Production/QA</x:v>
      </x:c>
      <x:c r="J65" s="26"/>
      <x:c r="K65" s="26"/>
      <x:c r="L65" s="26"/>
      <x:c r="M65" s="26" t="str">
        <x:v>Entregable verificable, evidencia registrada y dependencias satisfechas.</x:v>
      </x:c>
      <x:c r="N65" s="26" t="str">
        <x:v>Registro, artefacto y validación reproducible</x:v>
      </x:c>
      <x:c r="O65" s="26" t="str">
        <x:v>25_Post_Launch_and_Live_Operations_Plan.md</x:v>
      </x:c>
      <x:c r="P65" s="26" t="str">
        <x:v>Roadmap, QA y operaciones históricas v0.3–v0.6</x:v>
      </x:c>
      <x:c r="Q65" s="26" t="str">
        <x:v>YES</x:v>
      </x:c>
      <x:c r="R65" s="26" t="str">
        <x:v>YES</x:v>
      </x:c>
      <x:c r="S65" s="26"/>
      <x:c r="T65" s="90" t="n">
        <x:v>0</x:v>
      </x:c>
    </x:row>
    <x:row r="66" ht="30" customHeight="1">
      <x:c r="A66" s="26" t="str">
        <x:v>OPS-WP-03</x:v>
      </x:c>
      <x:c r="B66" s="26" t="str">
        <x:v>Live Operations</x:v>
      </x:c>
      <x:c r="C66" s="26" t="str">
        <x:v>Save migration framework</x:v>
      </x:c>
      <x:c r="D66" s="26" t="str">
        <x:v>P2</x:v>
      </x:c>
      <x:c r="E66" s="26" t="str">
        <x:v>Pre-release</x:v>
      </x:c>
      <x:c r="F66" s="26" t="str">
        <x:v>Planned</x:v>
      </x:c>
      <x:c r="G66" s="26" t="str">
        <x:v>NOT RUN</x:v>
      </x:c>
      <x:c r="H66" s="26" t="str">
        <x:v>Production/Support</x:v>
      </x:c>
      <x:c r="I66" s="26" t="str">
        <x:v>Production/QA</x:v>
      </x:c>
      <x:c r="J66" s="26"/>
      <x:c r="K66" s="26"/>
      <x:c r="L66" s="26"/>
      <x:c r="M66" s="26" t="str">
        <x:v>Entregable verificable, evidencia registrada y dependencias satisfechas.</x:v>
      </x:c>
      <x:c r="N66" s="26" t="str">
        <x:v>Registro, artefacto y validación reproducible</x:v>
      </x:c>
      <x:c r="O66" s="26" t="str">
        <x:v>25_Post_Launch_and_Live_Operations_Plan.md</x:v>
      </x:c>
      <x:c r="P66" s="26" t="str">
        <x:v>Roadmap, QA y operaciones históricas v0.3–v0.6</x:v>
      </x:c>
      <x:c r="Q66" s="26" t="str">
        <x:v>CONDITIONAL</x:v>
      </x:c>
      <x:c r="R66" s="26" t="str">
        <x:v>YES</x:v>
      </x:c>
      <x:c r="S66" s="26"/>
      <x:c r="T66" s="90" t="n">
        <x:v>0</x:v>
      </x:c>
    </x:row>
    <x:row r="67" ht="30" customHeight="1">
      <x:c r="A67" s="26" t="str">
        <x:v>OPS-WP-04</x:v>
      </x:c>
      <x:c r="B67" s="26" t="str">
        <x:v>Live Operations</x:v>
      </x:c>
      <x:c r="C67" s="26" t="str">
        <x:v>Steam branches y rollback drill</x:v>
      </x:c>
      <x:c r="D67" s="26" t="str">
        <x:v>P2</x:v>
      </x:c>
      <x:c r="E67" s="26" t="str">
        <x:v>Release candidate</x:v>
      </x:c>
      <x:c r="F67" s="26" t="str">
        <x:v>Planned</x:v>
      </x:c>
      <x:c r="G67" s="26" t="str">
        <x:v>NOT RUN</x:v>
      </x:c>
      <x:c r="H67" s="26" t="str">
        <x:v>Production/Support</x:v>
      </x:c>
      <x:c r="I67" s="26" t="str">
        <x:v>Production/QA</x:v>
      </x:c>
      <x:c r="J67" s="26"/>
      <x:c r="K67" s="26"/>
      <x:c r="L67" s="26"/>
      <x:c r="M67" s="26" t="str">
        <x:v>Entregable verificable, evidencia registrada y dependencias satisfechas.</x:v>
      </x:c>
      <x:c r="N67" s="26" t="str">
        <x:v>Registro, artefacto y validación reproducible</x:v>
      </x:c>
      <x:c r="O67" s="26" t="str">
        <x:v>25_Post_Launch_and_Live_Operations_Plan.md</x:v>
      </x:c>
      <x:c r="P67" s="26" t="str">
        <x:v>Roadmap, QA y operaciones históricas v0.3–v0.6</x:v>
      </x:c>
      <x:c r="Q67" s="26" t="str">
        <x:v>CONDITIONAL</x:v>
      </x:c>
      <x:c r="R67" s="26" t="str">
        <x:v>YES</x:v>
      </x:c>
      <x:c r="S67" s="26"/>
      <x:c r="T67" s="90" t="n">
        <x:v>0</x:v>
      </x:c>
    </x:row>
    <x:row r="68" ht="30" customHeight="1">
      <x:c r="A68" s="26" t="str">
        <x:v>OPS-WP-05</x:v>
      </x:c>
      <x:c r="B68" s="26" t="str">
        <x:v>Live Operations</x:v>
      </x:c>
      <x:c r="C68" s="26" t="str">
        <x:v>Patch/hotfix pipeline</x:v>
      </x:c>
      <x:c r="D68" s="26" t="str">
        <x:v>P2</x:v>
      </x:c>
      <x:c r="E68" s="26" t="str">
        <x:v>Release candidate</x:v>
      </x:c>
      <x:c r="F68" s="26" t="str">
        <x:v>Planned</x:v>
      </x:c>
      <x:c r="G68" s="26" t="str">
        <x:v>NOT RUN</x:v>
      </x:c>
      <x:c r="H68" s="26" t="str">
        <x:v>Production/Support</x:v>
      </x:c>
      <x:c r="I68" s="26" t="str">
        <x:v>Production/QA</x:v>
      </x:c>
      <x:c r="J68" s="26"/>
      <x:c r="K68" s="26"/>
      <x:c r="L68" s="26"/>
      <x:c r="M68" s="26" t="str">
        <x:v>Entregable verificable, evidencia registrada y dependencias satisfechas.</x:v>
      </x:c>
      <x:c r="N68" s="26" t="str">
        <x:v>Registro, artefacto y validación reproducible</x:v>
      </x:c>
      <x:c r="O68" s="26" t="str">
        <x:v>25_Post_Launch_and_Live_Operations_Plan.md</x:v>
      </x:c>
      <x:c r="P68" s="26" t="str">
        <x:v>Roadmap, QA y operaciones históricas v0.3–v0.6</x:v>
      </x:c>
      <x:c r="Q68" s="26" t="str">
        <x:v>CONDITIONAL</x:v>
      </x:c>
      <x:c r="R68" s="26" t="str">
        <x:v>YES</x:v>
      </x:c>
      <x:c r="S68" s="26"/>
      <x:c r="T68" s="90" t="n">
        <x:v>0</x:v>
      </x:c>
    </x:row>
    <x:row r="69" ht="30" customHeight="1">
      <x:c r="A69" s="26" t="str">
        <x:v>OPS-WP-06</x:v>
      </x:c>
      <x:c r="B69" s="26" t="str">
        <x:v>Live Operations</x:v>
      </x:c>
      <x:c r="C69" s="26" t="str">
        <x:v>Community rules/moderation</x:v>
      </x:c>
      <x:c r="D69" s="26" t="str">
        <x:v>P2</x:v>
      </x:c>
      <x:c r="E69" s="26" t="str">
        <x:v>Coming Soon</x:v>
      </x:c>
      <x:c r="F69" s="26" t="str">
        <x:v>Planned</x:v>
      </x:c>
      <x:c r="G69" s="26" t="str">
        <x:v>NOT RUN</x:v>
      </x:c>
      <x:c r="H69" s="26" t="str">
        <x:v>Production/Support</x:v>
      </x:c>
      <x:c r="I69" s="26" t="str">
        <x:v>Production/QA</x:v>
      </x:c>
      <x:c r="J69" s="26"/>
      <x:c r="K69" s="26"/>
      <x:c r="L69" s="26"/>
      <x:c r="M69" s="26" t="str">
        <x:v>Entregable verificable, evidencia registrada y dependencias satisfechas.</x:v>
      </x:c>
      <x:c r="N69" s="26" t="str">
        <x:v>Registro, artefacto y validación reproducible</x:v>
      </x:c>
      <x:c r="O69" s="26" t="str">
        <x:v>25_Post_Launch_and_Live_Operations_Plan.md</x:v>
      </x:c>
      <x:c r="P69" s="26" t="str">
        <x:v>Roadmap, QA y operaciones históricas v0.3–v0.6</x:v>
      </x:c>
      <x:c r="Q69" s="26" t="str">
        <x:v>CONDITIONAL</x:v>
      </x:c>
      <x:c r="R69" s="26" t="str">
        <x:v>YES</x:v>
      </x:c>
      <x:c r="S69" s="26"/>
      <x:c r="T69" s="90" t="n">
        <x:v>0</x:v>
      </x:c>
    </x:row>
    <x:row r="70" ht="30" customHeight="1">
      <x:c r="A70" s="26" t="str">
        <x:v>OPS-WP-07</x:v>
      </x:c>
      <x:c r="B70" s="26" t="str">
        <x:v>Live Operations</x:v>
      </x:c>
      <x:c r="C70" s="26" t="str">
        <x:v>Patch notes ES/EN</x:v>
      </x:c>
      <x:c r="D70" s="26" t="str">
        <x:v>P2</x:v>
      </x:c>
      <x:c r="E70" s="26" t="str">
        <x:v>Pre-release</x:v>
      </x:c>
      <x:c r="F70" s="26" t="str">
        <x:v>Planned</x:v>
      </x:c>
      <x:c r="G70" s="26" t="str">
        <x:v>NOT RUN</x:v>
      </x:c>
      <x:c r="H70" s="26" t="str">
        <x:v>Production/Support</x:v>
      </x:c>
      <x:c r="I70" s="26" t="str">
        <x:v>Production/QA</x:v>
      </x:c>
      <x:c r="J70" s="26"/>
      <x:c r="K70" s="26"/>
      <x:c r="L70" s="26"/>
      <x:c r="M70" s="26" t="str">
        <x:v>Entregable verificable, evidencia registrada y dependencias satisfechas.</x:v>
      </x:c>
      <x:c r="N70" s="26" t="str">
        <x:v>Registro, artefacto y validación reproducible</x:v>
      </x:c>
      <x:c r="O70" s="26" t="str">
        <x:v>25_Post_Launch_and_Live_Operations_Plan.md</x:v>
      </x:c>
      <x:c r="P70" s="26" t="str">
        <x:v>Roadmap, QA y operaciones históricas v0.3–v0.6</x:v>
      </x:c>
      <x:c r="Q70" s="26" t="str">
        <x:v>CONDITIONAL</x:v>
      </x:c>
      <x:c r="R70" s="26" t="str">
        <x:v>YES</x:v>
      </x:c>
      <x:c r="S70" s="26"/>
      <x:c r="T70" s="90" t="n">
        <x:v>0</x:v>
      </x:c>
    </x:row>
    <x:row r="71" ht="30" customHeight="1">
      <x:c r="A71" s="26" t="str">
        <x:v>OPS-WP-08</x:v>
      </x:c>
      <x:c r="B71" s="26" t="str">
        <x:v>Live Operations</x:v>
      </x:c>
      <x:c r="C71" s="26" t="str">
        <x:v>Crash evidence strategy</x:v>
      </x:c>
      <x:c r="D71" s="26" t="str">
        <x:v>P2</x:v>
      </x:c>
      <x:c r="E71" s="26" t="str">
        <x:v>Pre-release</x:v>
      </x:c>
      <x:c r="F71" s="26" t="str">
        <x:v>Planned</x:v>
      </x:c>
      <x:c r="G71" s="26" t="str">
        <x:v>NOT RUN</x:v>
      </x:c>
      <x:c r="H71" s="26" t="str">
        <x:v>Production/Support</x:v>
      </x:c>
      <x:c r="I71" s="26" t="str">
        <x:v>Production/QA</x:v>
      </x:c>
      <x:c r="J71" s="26"/>
      <x:c r="K71" s="26"/>
      <x:c r="L71" s="26"/>
      <x:c r="M71" s="26" t="str">
        <x:v>Entregable verificable, evidencia registrada y dependencias satisfechas.</x:v>
      </x:c>
      <x:c r="N71" s="26" t="str">
        <x:v>Registro, artefacto y validación reproducible</x:v>
      </x:c>
      <x:c r="O71" s="26" t="str">
        <x:v>25_Post_Launch_and_Live_Operations_Plan.md</x:v>
      </x:c>
      <x:c r="P71" s="26" t="str">
        <x:v>Roadmap, QA y operaciones históricas v0.3–v0.6</x:v>
      </x:c>
      <x:c r="Q71" s="26" t="str">
        <x:v>CONDITIONAL</x:v>
      </x:c>
      <x:c r="R71" s="26" t="str">
        <x:v>YES</x:v>
      </x:c>
      <x:c r="S71" s="26"/>
      <x:c r="T71" s="90" t="n">
        <x:v>0</x:v>
      </x:c>
    </x:row>
    <x:row r="72" ht="30" customHeight="1">
      <x:c r="A72" s="26" t="str">
        <x:v>OPS-WP-09</x:v>
      </x:c>
      <x:c r="B72" s="26" t="str">
        <x:v>Live Operations</x:v>
      </x:c>
      <x:c r="C72" s="26" t="str">
        <x:v>Cloud feasibility and conflict tests</x:v>
      </x:c>
      <x:c r="D72" s="26" t="str">
        <x:v>P2</x:v>
      </x:c>
      <x:c r="E72" s="26" t="str">
        <x:v>Optional feature gate</x:v>
      </x:c>
      <x:c r="F72" s="26" t="str">
        <x:v>Planned</x:v>
      </x:c>
      <x:c r="G72" s="26" t="str">
        <x:v>NOT RUN</x:v>
      </x:c>
      <x:c r="H72" s="26" t="str">
        <x:v>Production/Support</x:v>
      </x:c>
      <x:c r="I72" s="26" t="str">
        <x:v>Production/QA</x:v>
      </x:c>
      <x:c r="J72" s="26"/>
      <x:c r="K72" s="26"/>
      <x:c r="L72" s="26"/>
      <x:c r="M72" s="26" t="str">
        <x:v>Entregable verificable, evidencia registrada y dependencias satisfechas.</x:v>
      </x:c>
      <x:c r="N72" s="26" t="str">
        <x:v>Registro, artefacto y validación reproducible</x:v>
      </x:c>
      <x:c r="O72" s="26" t="str">
        <x:v>25_Post_Launch_and_Live_Operations_Plan.md</x:v>
      </x:c>
      <x:c r="P72" s="26" t="str">
        <x:v>Roadmap, QA y operaciones históricas v0.3–v0.6</x:v>
      </x:c>
      <x:c r="Q72" s="26" t="str">
        <x:v>CONDITIONAL</x:v>
      </x:c>
      <x:c r="R72" s="26" t="str">
        <x:v>YES</x:v>
      </x:c>
      <x:c r="S72" s="26"/>
      <x:c r="T72" s="90" t="n">
        <x:v>0</x:v>
      </x:c>
    </x:row>
    <x:row r="73" ht="30" customHeight="1">
      <x:c r="A73" s="26" t="str">
        <x:v>OPS-WP-10</x:v>
      </x:c>
      <x:c r="B73" s="26" t="str">
        <x:v>Live Operations</x:v>
      </x:c>
      <x:c r="C73" s="26" t="str">
        <x:v>Metrics/privacy decision</x:v>
      </x:c>
      <x:c r="D73" s="26" t="str">
        <x:v>P2</x:v>
      </x:c>
      <x:c r="E73" s="26" t="str">
        <x:v>Post-privacy-plan</x:v>
      </x:c>
      <x:c r="F73" s="26" t="str">
        <x:v>Planned</x:v>
      </x:c>
      <x:c r="G73" s="26" t="str">
        <x:v>NOT RUN</x:v>
      </x:c>
      <x:c r="H73" s="26" t="str">
        <x:v>Production/Support</x:v>
      </x:c>
      <x:c r="I73" s="26" t="str">
        <x:v>Production/QA</x:v>
      </x:c>
      <x:c r="J73" s="26"/>
      <x:c r="K73" s="26"/>
      <x:c r="L73" s="26"/>
      <x:c r="M73" s="26" t="str">
        <x:v>Entregable verificable, evidencia registrada y dependencias satisfechas.</x:v>
      </x:c>
      <x:c r="N73" s="26" t="str">
        <x:v>Registro, artefacto y validación reproducible</x:v>
      </x:c>
      <x:c r="O73" s="26" t="str">
        <x:v>25_Post_Launch_and_Live_Operations_Plan.md</x:v>
      </x:c>
      <x:c r="P73" s="26" t="str">
        <x:v>Roadmap, QA y operaciones históricas v0.3–v0.6</x:v>
      </x:c>
      <x:c r="Q73" s="26" t="str">
        <x:v>CONDITIONAL</x:v>
      </x:c>
      <x:c r="R73" s="26" t="str">
        <x:v>YES</x:v>
      </x:c>
      <x:c r="S73" s="26"/>
      <x:c r="T73" s="90" t="n">
        <x:v>0</x:v>
      </x:c>
    </x:row>
    <x:row r="74" ht="30" customHeight="1">
      <x:c r="A74" s="26" t="str">
        <x:v>OPS-WP-11</x:v>
      </x:c>
      <x:c r="B74" s="26" t="str">
        <x:v>Live Operations</x:v>
      </x:c>
      <x:c r="C74" s="26" t="str">
        <x:v>Maintenance/dependency cadence</x:v>
      </x:c>
      <x:c r="D74" s="26" t="str">
        <x:v>P2</x:v>
      </x:c>
      <x:c r="E74" s="26" t="str">
        <x:v>Launch</x:v>
      </x:c>
      <x:c r="F74" s="26" t="str">
        <x:v>Planned</x:v>
      </x:c>
      <x:c r="G74" s="26" t="str">
        <x:v>NOT RUN</x:v>
      </x:c>
      <x:c r="H74" s="26" t="str">
        <x:v>Production/Support</x:v>
      </x:c>
      <x:c r="I74" s="26" t="str">
        <x:v>Production/QA</x:v>
      </x:c>
      <x:c r="J74" s="26"/>
      <x:c r="K74" s="26"/>
      <x:c r="L74" s="26"/>
      <x:c r="M74" s="26" t="str">
        <x:v>Entregable verificable, evidencia registrada y dependencias satisfechas.</x:v>
      </x:c>
      <x:c r="N74" s="26" t="str">
        <x:v>Registro, artefacto y validación reproducible</x:v>
      </x:c>
      <x:c r="O74" s="26" t="str">
        <x:v>25_Post_Launch_and_Live_Operations_Plan.md</x:v>
      </x:c>
      <x:c r="P74" s="26" t="str">
        <x:v>Roadmap, QA y operaciones históricas v0.3–v0.6</x:v>
      </x:c>
      <x:c r="Q74" s="26" t="str">
        <x:v>CONDITIONAL</x:v>
      </x:c>
      <x:c r="R74" s="26" t="str">
        <x:v>YES</x:v>
      </x:c>
      <x:c r="S74" s="26"/>
      <x:c r="T74" s="90" t="n">
        <x:v>0</x:v>
      </x:c>
    </x:row>
    <x:row r="75" ht="30" customHeight="1">
      <x:c r="A75" s="26" t="str">
        <x:v>OPS-WP-12</x:v>
      </x:c>
      <x:c r="B75" s="26" t="str">
        <x:v>Live Operations</x:v>
      </x:c>
      <x:c r="C75" s="26" t="str">
        <x:v>EOL/archive plan</x:v>
      </x:c>
      <x:c r="D75" s="26" t="str">
        <x:v>P2</x:v>
      </x:c>
      <x:c r="E75" s="26" t="str">
        <x:v>Before end of support</x:v>
      </x:c>
      <x:c r="F75" s="26" t="str">
        <x:v>Planned</x:v>
      </x:c>
      <x:c r="G75" s="26" t="str">
        <x:v>NOT RUN</x:v>
      </x:c>
      <x:c r="H75" s="26" t="str">
        <x:v>Production/Support</x:v>
      </x:c>
      <x:c r="I75" s="26" t="str">
        <x:v>Production/QA</x:v>
      </x:c>
      <x:c r="J75" s="26"/>
      <x:c r="K75" s="26"/>
      <x:c r="L75" s="26"/>
      <x:c r="M75" s="26" t="str">
        <x:v>Entregable verificable, evidencia registrada y dependencias satisfechas.</x:v>
      </x:c>
      <x:c r="N75" s="26" t="str">
        <x:v>Registro, artefacto y validación reproducible</x:v>
      </x:c>
      <x:c r="O75" s="26" t="str">
        <x:v>25_Post_Launch_and_Live_Operations_Plan.md</x:v>
      </x:c>
      <x:c r="P75" s="26" t="str">
        <x:v>Roadmap, QA y operaciones históricas v0.3–v0.6</x:v>
      </x:c>
      <x:c r="Q75" s="26" t="str">
        <x:v>CONDITIONAL</x:v>
      </x:c>
      <x:c r="R75" s="26" t="str">
        <x:v>YES</x:v>
      </x:c>
      <x:c r="S75" s="26"/>
      <x:c r="T75" s="90" t="n">
        <x:v>0</x:v>
      </x:c>
    </x:row>
    <x:row r="76" ht="30" customHeight="1">
      <x:c r="A76" s="26" t="str">
        <x:v>MKT-WP-001</x:v>
      </x:c>
      <x:c r="B76" s="26" t="str">
        <x:v>Marketing/Comunicación</x:v>
      </x:c>
      <x:c r="C76" s="26" t="str">
        <x:v>Market &amp; Comparable Research</x:v>
      </x:c>
      <x:c r="D76" s="26" t="str">
        <x:v>P2</x:v>
      </x:c>
      <x:c r="E76" s="26" t="str">
        <x:v>M1/M2</x:v>
      </x:c>
      <x:c r="F76" s="26" t="str">
        <x:v>Planned</x:v>
      </x:c>
      <x:c r="G76" s="26" t="str">
        <x:v>NOT RUN</x:v>
      </x:c>
      <x:c r="H76" s="26" t="str">
        <x:v>Marketing/Product</x:v>
      </x:c>
      <x:c r="I76" s="26" t="str">
        <x:v>Production/QA</x:v>
      </x:c>
      <x:c r="J76" s="26"/>
      <x:c r="K76" s="26"/>
      <x:c r="L76" s="26"/>
      <x:c r="M76" s="26" t="str">
        <x:v>Entregable verificable, evidencia registrada y dependencias satisfechas.</x:v>
      </x:c>
      <x:c r="N76" s="26" t="str">
        <x:v>Registro, artefacto y validación reproducible</x:v>
      </x:c>
      <x:c r="O76" s="26" t="str">
        <x:v>28_Marketing_and_Communication_Plan.md</x:v>
      </x:c>
      <x:c r="P76" s="26" t="str">
        <x:v>Marketing Plan v0.3, v0.4 y v0.5 más antecedentes previos</x:v>
      </x:c>
      <x:c r="Q76" s="26" t="str">
        <x:v>CONDITIONAL</x:v>
      </x:c>
      <x:c r="R76" s="26" t="str">
        <x:v>YES</x:v>
      </x:c>
      <x:c r="S76" s="26"/>
      <x:c r="T76" s="90" t="n">
        <x:v>0</x:v>
      </x:c>
    </x:row>
    <x:row r="77" ht="30" customHeight="1">
      <x:c r="A77" s="26" t="str">
        <x:v>MKT-WP-002</x:v>
      </x:c>
      <x:c r="B77" s="26" t="str">
        <x:v>Marketing/Comunicación</x:v>
      </x:c>
      <x:c r="C77" s="26" t="str">
        <x:v>Naming and Clearance Dossier</x:v>
      </x:c>
      <x:c r="D77" s="26" t="str">
        <x:v>P2</x:v>
      </x:c>
      <x:c r="E77" s="26" t="str">
        <x:v>M2/M3</x:v>
      </x:c>
      <x:c r="F77" s="26" t="str">
        <x:v>Blocked</x:v>
      </x:c>
      <x:c r="G77" s="26" t="str">
        <x:v>BLOCKED</x:v>
      </x:c>
      <x:c r="H77" s="26" t="str">
        <x:v>Marketing/Product</x:v>
      </x:c>
      <x:c r="I77" s="26" t="str">
        <x:v>Production/QA</x:v>
      </x:c>
      <x:c r="J77" s="26"/>
      <x:c r="K77" s="26"/>
      <x:c r="L77" s="26"/>
      <x:c r="M77" s="26" t="str">
        <x:v>Entregable verificable, evidencia registrada y dependencias satisfechas.</x:v>
      </x:c>
      <x:c r="N77" s="26" t="str">
        <x:v>Registro, artefacto y validación reproducible</x:v>
      </x:c>
      <x:c r="O77" s="26" t="str">
        <x:v>28_Marketing_and_Communication_Plan.md</x:v>
      </x:c>
      <x:c r="P77" s="26" t="str">
        <x:v>Marketing Plan v0.3, v0.4 y v0.5 más antecedentes previos</x:v>
      </x:c>
      <x:c r="Q77" s="26" t="str">
        <x:v>CONDITIONAL</x:v>
      </x:c>
      <x:c r="R77" s="26" t="str">
        <x:v>YES</x:v>
      </x:c>
      <x:c r="S77" s="26"/>
      <x:c r="T77" s="90" t="n">
        <x:v>0</x:v>
      </x:c>
    </x:row>
    <x:row r="78" ht="30" customHeight="1">
      <x:c r="A78" s="26" t="str">
        <x:v>MKT-WP-003</x:v>
      </x:c>
      <x:c r="B78" s="26" t="str">
        <x:v>Marketing/Comunicación</x:v>
      </x:c>
      <x:c r="C78" s="26" t="str">
        <x:v>Brand Strategy &amp; Logo Package</x:v>
      </x:c>
      <x:c r="D78" s="26" t="str">
        <x:v>P2</x:v>
      </x:c>
      <x:c r="E78" s="26" t="str">
        <x:v>M3/M4</x:v>
      </x:c>
      <x:c r="F78" s="26" t="str">
        <x:v>Planned</x:v>
      </x:c>
      <x:c r="G78" s="26" t="str">
        <x:v>NOT RUN</x:v>
      </x:c>
      <x:c r="H78" s="26" t="str">
        <x:v>Marketing/Product</x:v>
      </x:c>
      <x:c r="I78" s="26" t="str">
        <x:v>Production/QA</x:v>
      </x:c>
      <x:c r="J78" s="26"/>
      <x:c r="K78" s="26"/>
      <x:c r="L78" s="26"/>
      <x:c r="M78" s="26" t="str">
        <x:v>Entregable verificable, evidencia registrada y dependencias satisfechas.</x:v>
      </x:c>
      <x:c r="N78" s="26" t="str">
        <x:v>Registro, artefacto y validación reproducible</x:v>
      </x:c>
      <x:c r="O78" s="26" t="str">
        <x:v>28_Marketing_and_Communication_Plan.md</x:v>
      </x:c>
      <x:c r="P78" s="26" t="str">
        <x:v>Marketing Plan v0.3, v0.4 y v0.5 más antecedentes previos</x:v>
      </x:c>
      <x:c r="Q78" s="26" t="str">
        <x:v>CONDITIONAL</x:v>
      </x:c>
      <x:c r="R78" s="26" t="str">
        <x:v>YES</x:v>
      </x:c>
      <x:c r="S78" s="26"/>
      <x:c r="T78" s="90" t="n">
        <x:v>0</x:v>
      </x:c>
    </x:row>
    <x:row r="79" ht="30" customHeight="1">
      <x:c r="A79" s="26" t="str">
        <x:v>MKT-WP-004</x:v>
      </x:c>
      <x:c r="B79" s="26" t="str">
        <x:v>Marketing/Comunicación</x:v>
      </x:c>
      <x:c r="C79" s="26" t="str">
        <x:v>Message House &amp; Claim Matrix</x:v>
      </x:c>
      <x:c r="D79" s="26" t="str">
        <x:v>P2</x:v>
      </x:c>
      <x:c r="E79" s="26" t="str">
        <x:v>M1</x:v>
      </x:c>
      <x:c r="F79" s="26" t="str">
        <x:v>Planned</x:v>
      </x:c>
      <x:c r="G79" s="26" t="str">
        <x:v>NOT RUN</x:v>
      </x:c>
      <x:c r="H79" s="26" t="str">
        <x:v>Marketing/Product</x:v>
      </x:c>
      <x:c r="I79" s="26" t="str">
        <x:v>Production/QA</x:v>
      </x:c>
      <x:c r="J79" s="26"/>
      <x:c r="K79" s="26"/>
      <x:c r="L79" s="26"/>
      <x:c r="M79" s="26" t="str">
        <x:v>Entregable verificable, evidencia registrada y dependencias satisfechas.</x:v>
      </x:c>
      <x:c r="N79" s="26" t="str">
        <x:v>Registro, artefacto y validación reproducible</x:v>
      </x:c>
      <x:c r="O79" s="26" t="str">
        <x:v>28_Marketing_and_Communication_Plan.md</x:v>
      </x:c>
      <x:c r="P79" s="26" t="str">
        <x:v>Marketing Plan v0.3, v0.4 y v0.5 más antecedentes previos</x:v>
      </x:c>
      <x:c r="Q79" s="26" t="str">
        <x:v>CONDITIONAL</x:v>
      </x:c>
      <x:c r="R79" s="26" t="str">
        <x:v>YES</x:v>
      </x:c>
      <x:c r="S79" s="26"/>
      <x:c r="T79" s="90" t="n">
        <x:v>0</x:v>
      </x:c>
    </x:row>
    <x:row r="80" ht="30" customHeight="1">
      <x:c r="A80" s="26" t="str">
        <x:v>MKT-WP-005</x:v>
      </x:c>
      <x:c r="B80" s="26" t="str">
        <x:v>Marketing/Comunicación</x:v>
      </x:c>
      <x:c r="C80" s="26" t="str">
        <x:v>Audience Validation Report</x:v>
      </x:c>
      <x:c r="D80" s="26" t="str">
        <x:v>P2</x:v>
      </x:c>
      <x:c r="E80" s="26" t="str">
        <x:v>M1/M2</x:v>
      </x:c>
      <x:c r="F80" s="26" t="str">
        <x:v>Planned</x:v>
      </x:c>
      <x:c r="G80" s="26" t="str">
        <x:v>NOT RUN</x:v>
      </x:c>
      <x:c r="H80" s="26" t="str">
        <x:v>Marketing/Product</x:v>
      </x:c>
      <x:c r="I80" s="26" t="str">
        <x:v>Production/QA</x:v>
      </x:c>
      <x:c r="J80" s="26"/>
      <x:c r="K80" s="26"/>
      <x:c r="L80" s="26"/>
      <x:c r="M80" s="26" t="str">
        <x:v>Entregable verificable, evidencia registrada y dependencias satisfechas.</x:v>
      </x:c>
      <x:c r="N80" s="26" t="str">
        <x:v>Registro, artefacto y validación reproducible</x:v>
      </x:c>
      <x:c r="O80" s="26" t="str">
        <x:v>28_Marketing_and_Communication_Plan.md</x:v>
      </x:c>
      <x:c r="P80" s="26" t="str">
        <x:v>Marketing Plan v0.3, v0.4 y v0.5 más antecedentes previos</x:v>
      </x:c>
      <x:c r="Q80" s="26" t="str">
        <x:v>CONDITIONAL</x:v>
      </x:c>
      <x:c r="R80" s="26" t="str">
        <x:v>YES</x:v>
      </x:c>
      <x:c r="S80" s="26"/>
      <x:c r="T80" s="90" t="n">
        <x:v>0</x:v>
      </x:c>
    </x:row>
    <x:row r="81" ht="30" customHeight="1">
      <x:c r="A81" s="26" t="str">
        <x:v>MKT-WP-006</x:v>
      </x:c>
      <x:c r="B81" s="26" t="str">
        <x:v>Marketing/Comunicación</x:v>
      </x:c>
      <x:c r="C81" s="26" t="str">
        <x:v>Capture Pipeline &amp; Provenance Log</x:v>
      </x:c>
      <x:c r="D81" s="26" t="str">
        <x:v>P2</x:v>
      </x:c>
      <x:c r="E81" s="26" t="str">
        <x:v>M1</x:v>
      </x:c>
      <x:c r="F81" s="26" t="str">
        <x:v>Planned</x:v>
      </x:c>
      <x:c r="G81" s="26" t="str">
        <x:v>NOT RUN</x:v>
      </x:c>
      <x:c r="H81" s="26" t="str">
        <x:v>Marketing/Product</x:v>
      </x:c>
      <x:c r="I81" s="26" t="str">
        <x:v>Production/QA</x:v>
      </x:c>
      <x:c r="J81" s="26"/>
      <x:c r="K81" s="26"/>
      <x:c r="L81" s="26"/>
      <x:c r="M81" s="26" t="str">
        <x:v>Entregable verificable, evidencia registrada y dependencias satisfechas.</x:v>
      </x:c>
      <x:c r="N81" s="26" t="str">
        <x:v>Registro, artefacto y validación reproducible</x:v>
      </x:c>
      <x:c r="O81" s="26" t="str">
        <x:v>28_Marketing_and_Communication_Plan.md</x:v>
      </x:c>
      <x:c r="P81" s="26" t="str">
        <x:v>Marketing Plan v0.3, v0.4 y v0.5 más antecedentes previos</x:v>
      </x:c>
      <x:c r="Q81" s="26" t="str">
        <x:v>CONDITIONAL</x:v>
      </x:c>
      <x:c r="R81" s="26" t="str">
        <x:v>YES</x:v>
      </x:c>
      <x:c r="S81" s="26"/>
      <x:c r="T81" s="90" t="n">
        <x:v>0</x:v>
      </x:c>
    </x:row>
    <x:row r="82" ht="30" customHeight="1">
      <x:c r="A82" s="26" t="str">
        <x:v>MKT-WP-007</x:v>
      </x:c>
      <x:c r="B82" s="26" t="str">
        <x:v>Marketing/Comunicación</x:v>
      </x:c>
      <x:c r="C82" s="26" t="str">
        <x:v>H6 Internal Validation Reel</x:v>
      </x:c>
      <x:c r="D82" s="26" t="str">
        <x:v>P2</x:v>
      </x:c>
      <x:c r="E82" s="26" t="str">
        <x:v>M1</x:v>
      </x:c>
      <x:c r="F82" s="26" t="str">
        <x:v>Planned</x:v>
      </x:c>
      <x:c r="G82" s="26" t="str">
        <x:v>NOT RUN</x:v>
      </x:c>
      <x:c r="H82" s="26" t="str">
        <x:v>Marketing/Product</x:v>
      </x:c>
      <x:c r="I82" s="26" t="str">
        <x:v>Production/QA</x:v>
      </x:c>
      <x:c r="J82" s="26"/>
      <x:c r="K82" s="26"/>
      <x:c r="L82" s="26"/>
      <x:c r="M82" s="26" t="str">
        <x:v>Entregable verificable, evidencia registrada y dependencias satisfechas.</x:v>
      </x:c>
      <x:c r="N82" s="26" t="str">
        <x:v>Registro, artefacto y validación reproducible</x:v>
      </x:c>
      <x:c r="O82" s="26" t="str">
        <x:v>28_Marketing_and_Communication_Plan.md</x:v>
      </x:c>
      <x:c r="P82" s="26" t="str">
        <x:v>Marketing Plan v0.3, v0.4 y v0.5 más antecedentes previos</x:v>
      </x:c>
      <x:c r="Q82" s="26" t="str">
        <x:v>YES</x:v>
      </x:c>
      <x:c r="R82" s="26" t="str">
        <x:v>YES</x:v>
      </x:c>
      <x:c r="S82" s="26"/>
      <x:c r="T82" s="90" t="n">
        <x:v>0</x:v>
      </x:c>
    </x:row>
    <x:row r="83" ht="30" customHeight="1">
      <x:c r="A83" s="26" t="str">
        <x:v>MKT-WP-008</x:v>
      </x:c>
      <x:c r="B83" s="26" t="str">
        <x:v>Marketing/Comunicación</x:v>
      </x:c>
      <x:c r="C83" s="26" t="str">
        <x:v>Screenshot Master Set</x:v>
      </x:c>
      <x:c r="D83" s="26" t="str">
        <x:v>P2</x:v>
      </x:c>
      <x:c r="E83" s="26" t="str">
        <x:v>M3/M4</x:v>
      </x:c>
      <x:c r="F83" s="26" t="str">
        <x:v>Planned</x:v>
      </x:c>
      <x:c r="G83" s="26" t="str">
        <x:v>NOT RUN</x:v>
      </x:c>
      <x:c r="H83" s="26" t="str">
        <x:v>Marketing/Product</x:v>
      </x:c>
      <x:c r="I83" s="26" t="str">
        <x:v>Production/QA</x:v>
      </x:c>
      <x:c r="J83" s="26"/>
      <x:c r="K83" s="26"/>
      <x:c r="L83" s="26"/>
      <x:c r="M83" s="26" t="str">
        <x:v>Entregable verificable, evidencia registrada y dependencias satisfechas.</x:v>
      </x:c>
      <x:c r="N83" s="26" t="str">
        <x:v>Registro, artefacto y validación reproducible</x:v>
      </x:c>
      <x:c r="O83" s="26" t="str">
        <x:v>28_Marketing_and_Communication_Plan.md</x:v>
      </x:c>
      <x:c r="P83" s="26" t="str">
        <x:v>Marketing Plan v0.3, v0.4 y v0.5 más antecedentes previos</x:v>
      </x:c>
      <x:c r="Q83" s="26" t="str">
        <x:v>CONDITIONAL</x:v>
      </x:c>
      <x:c r="R83" s="26" t="str">
        <x:v>YES</x:v>
      </x:c>
      <x:c r="S83" s="26"/>
      <x:c r="T83" s="90" t="n">
        <x:v>0</x:v>
      </x:c>
    </x:row>
    <x:row r="84" ht="30" customHeight="1">
      <x:c r="A84" s="26" t="str">
        <x:v>MKT-WP-009</x:v>
      </x:c>
      <x:c r="B84" s="26" t="str">
        <x:v>Marketing/Comunicación</x:v>
      </x:c>
      <x:c r="C84" s="26" t="str">
        <x:v>Announcement Trailer</x:v>
      </x:c>
      <x:c r="D84" s="26" t="str">
        <x:v>P2</x:v>
      </x:c>
      <x:c r="E84" s="26" t="str">
        <x:v>M4</x:v>
      </x:c>
      <x:c r="F84" s="26" t="str">
        <x:v>Blocked</x:v>
      </x:c>
      <x:c r="G84" s="26" t="str">
        <x:v>BLOCKED</x:v>
      </x:c>
      <x:c r="H84" s="26" t="str">
        <x:v>Marketing/Product</x:v>
      </x:c>
      <x:c r="I84" s="26" t="str">
        <x:v>Production/QA</x:v>
      </x:c>
      <x:c r="J84" s="26"/>
      <x:c r="K84" s="26"/>
      <x:c r="L84" s="26"/>
      <x:c r="M84" s="26" t="str">
        <x:v>Entregable verificable, evidencia registrada y dependencias satisfechas.</x:v>
      </x:c>
      <x:c r="N84" s="26" t="str">
        <x:v>Registro, artefacto y validación reproducible</x:v>
      </x:c>
      <x:c r="O84" s="26" t="str">
        <x:v>28_Marketing_and_Communication_Plan.md</x:v>
      </x:c>
      <x:c r="P84" s="26" t="str">
        <x:v>Marketing Plan v0.3, v0.4 y v0.5 más antecedentes previos</x:v>
      </x:c>
      <x:c r="Q84" s="26" t="str">
        <x:v>CONDITIONAL</x:v>
      </x:c>
      <x:c r="R84" s="26" t="str">
        <x:v>YES</x:v>
      </x:c>
      <x:c r="S84" s="26"/>
      <x:c r="T84" s="90" t="n">
        <x:v>0</x:v>
      </x:c>
    </x:row>
    <x:row r="85" ht="30" customHeight="1">
      <x:c r="A85" s="26" t="str">
        <x:v>MKT-WP-010</x:v>
      </x:c>
      <x:c r="B85" s="26" t="str">
        <x:v>Marketing/Comunicación</x:v>
      </x:c>
      <x:c r="C85" s="26" t="str">
        <x:v>Steam Store Content Pack ES/EN</x:v>
      </x:c>
      <x:c r="D85" s="26" t="str">
        <x:v>P2</x:v>
      </x:c>
      <x:c r="E85" s="26" t="str">
        <x:v>M3/M4</x:v>
      </x:c>
      <x:c r="F85" s="26" t="str">
        <x:v>Blocked</x:v>
      </x:c>
      <x:c r="G85" s="26" t="str">
        <x:v>BLOCKED</x:v>
      </x:c>
      <x:c r="H85" s="26" t="str">
        <x:v>Marketing/Product</x:v>
      </x:c>
      <x:c r="I85" s="26" t="str">
        <x:v>Production/QA</x:v>
      </x:c>
      <x:c r="J85" s="26"/>
      <x:c r="K85" s="26"/>
      <x:c r="L85" s="26"/>
      <x:c r="M85" s="26" t="str">
        <x:v>Entregable verificable, evidencia registrada y dependencias satisfechas.</x:v>
      </x:c>
      <x:c r="N85" s="26" t="str">
        <x:v>Registro, artefacto y validación reproducible</x:v>
      </x:c>
      <x:c r="O85" s="26" t="str">
        <x:v>28_Marketing_and_Communication_Plan.md</x:v>
      </x:c>
      <x:c r="P85" s="26" t="str">
        <x:v>Marketing Plan v0.3, v0.4 y v0.5 más antecedentes previos</x:v>
      </x:c>
      <x:c r="Q85" s="26" t="str">
        <x:v>CONDITIONAL</x:v>
      </x:c>
      <x:c r="R85" s="26" t="str">
        <x:v>YES</x:v>
      </x:c>
      <x:c r="S85" s="26"/>
      <x:c r="T85" s="90" t="n">
        <x:v>0</x:v>
      </x:c>
    </x:row>
    <x:row r="86" ht="30" customHeight="1">
      <x:c r="A86" s="26" t="str">
        <x:v>MKT-WP-011</x:v>
      </x:c>
      <x:c r="B86" s="26" t="str">
        <x:v>Marketing/Comunicación</x:v>
      </x:c>
      <x:c r="C86" s="26" t="str">
        <x:v>Steam Capsules &amp; Library Assets</x:v>
      </x:c>
      <x:c r="D86" s="26" t="str">
        <x:v>P2</x:v>
      </x:c>
      <x:c r="E86" s="26" t="str">
        <x:v>M4</x:v>
      </x:c>
      <x:c r="F86" s="26" t="str">
        <x:v>Blocked</x:v>
      </x:c>
      <x:c r="G86" s="26" t="str">
        <x:v>BLOCKED</x:v>
      </x:c>
      <x:c r="H86" s="26" t="str">
        <x:v>Marketing/Product</x:v>
      </x:c>
      <x:c r="I86" s="26" t="str">
        <x:v>Production/QA</x:v>
      </x:c>
      <x:c r="J86" s="26"/>
      <x:c r="K86" s="26"/>
      <x:c r="L86" s="26"/>
      <x:c r="M86" s="26" t="str">
        <x:v>Entregable verificable, evidencia registrada y dependencias satisfechas.</x:v>
      </x:c>
      <x:c r="N86" s="26" t="str">
        <x:v>Registro, artefacto y validación reproducible</x:v>
      </x:c>
      <x:c r="O86" s="26" t="str">
        <x:v>28_Marketing_and_Communication_Plan.md</x:v>
      </x:c>
      <x:c r="P86" s="26" t="str">
        <x:v>Marketing Plan v0.3, v0.4 y v0.5 más antecedentes previos</x:v>
      </x:c>
      <x:c r="Q86" s="26" t="str">
        <x:v>CONDITIONAL</x:v>
      </x:c>
      <x:c r="R86" s="26" t="str">
        <x:v>YES</x:v>
      </x:c>
      <x:c r="S86" s="26"/>
      <x:c r="T86" s="90" t="n">
        <x:v>0</x:v>
      </x:c>
    </x:row>
    <x:row r="87" ht="30" customHeight="1">
      <x:c r="A87" s="26" t="str">
        <x:v>MKT-WP-012</x:v>
      </x:c>
      <x:c r="B87" s="26" t="str">
        <x:v>Marketing/Comunicación</x:v>
      </x:c>
      <x:c r="C87" s="26" t="str">
        <x:v>Website/Landing MVP</x:v>
      </x:c>
      <x:c r="D87" s="26" t="str">
        <x:v>P2</x:v>
      </x:c>
      <x:c r="E87" s="26" t="str">
        <x:v>M2/M4</x:v>
      </x:c>
      <x:c r="F87" s="26" t="str">
        <x:v>Planned</x:v>
      </x:c>
      <x:c r="G87" s="26" t="str">
        <x:v>NOT RUN</x:v>
      </x:c>
      <x:c r="H87" s="26" t="str">
        <x:v>Marketing/Product</x:v>
      </x:c>
      <x:c r="I87" s="26" t="str">
        <x:v>Production/QA</x:v>
      </x:c>
      <x:c r="J87" s="26"/>
      <x:c r="K87" s="26"/>
      <x:c r="L87" s="26"/>
      <x:c r="M87" s="26" t="str">
        <x:v>Entregable verificable, evidencia registrada y dependencias satisfechas.</x:v>
      </x:c>
      <x:c r="N87" s="26" t="str">
        <x:v>Registro, artefacto y validación reproducible</x:v>
      </x:c>
      <x:c r="O87" s="26" t="str">
        <x:v>28_Marketing_and_Communication_Plan.md</x:v>
      </x:c>
      <x:c r="P87" s="26" t="str">
        <x:v>Marketing Plan v0.3, v0.4 y v0.5 más antecedentes previos</x:v>
      </x:c>
      <x:c r="Q87" s="26" t="str">
        <x:v>CONDITIONAL</x:v>
      </x:c>
      <x:c r="R87" s="26" t="str">
        <x:v>YES</x:v>
      </x:c>
      <x:c r="S87" s="26"/>
      <x:c r="T87" s="90" t="n">
        <x:v>0</x:v>
      </x:c>
    </x:row>
    <x:row r="88" ht="30" customHeight="1">
      <x:c r="A88" s="26" t="str">
        <x:v>MKT-WP-013</x:v>
      </x:c>
      <x:c r="B88" s="26" t="str">
        <x:v>Marketing/Comunicación</x:v>
      </x:c>
      <x:c r="C88" s="26" t="str">
        <x:v>Press Kit ES/EN</x:v>
      </x:c>
      <x:c r="D88" s="26" t="str">
        <x:v>P2</x:v>
      </x:c>
      <x:c r="E88" s="26" t="str">
        <x:v>M4/M7</x:v>
      </x:c>
      <x:c r="F88" s="26" t="str">
        <x:v>Blocked</x:v>
      </x:c>
      <x:c r="G88" s="26" t="str">
        <x:v>BLOCKED</x:v>
      </x:c>
      <x:c r="H88" s="26" t="str">
        <x:v>Marketing/Product</x:v>
      </x:c>
      <x:c r="I88" s="26" t="str">
        <x:v>Production/QA</x:v>
      </x:c>
      <x:c r="J88" s="26"/>
      <x:c r="K88" s="26"/>
      <x:c r="L88" s="26"/>
      <x:c r="M88" s="26" t="str">
        <x:v>Entregable verificable, evidencia registrada y dependencias satisfechas.</x:v>
      </x:c>
      <x:c r="N88" s="26" t="str">
        <x:v>Registro, artefacto y validación reproducible</x:v>
      </x:c>
      <x:c r="O88" s="26" t="str">
        <x:v>28_Marketing_and_Communication_Plan.md</x:v>
      </x:c>
      <x:c r="P88" s="26" t="str">
        <x:v>Marketing Plan v0.3, v0.4 y v0.5 más antecedentes previos</x:v>
      </x:c>
      <x:c r="Q88" s="26" t="str">
        <x:v>CONDITIONAL</x:v>
      </x:c>
      <x:c r="R88" s="26" t="str">
        <x:v>YES</x:v>
      </x:c>
      <x:c r="S88" s="26"/>
      <x:c r="T88" s="90" t="n">
        <x:v>0</x:v>
      </x:c>
    </x:row>
    <x:row r="89" ht="30" customHeight="1">
      <x:c r="A89" s="26" t="str">
        <x:v>MKT-WP-014</x:v>
      </x:c>
      <x:c r="B89" s="26" t="str">
        <x:v>Marketing/Comunicación</x:v>
      </x:c>
      <x:c r="C89" s="26" t="str">
        <x:v>Creator/Press CRM</x:v>
      </x:c>
      <x:c r="D89" s="26" t="str">
        <x:v>P2</x:v>
      </x:c>
      <x:c r="E89" s="26" t="str">
        <x:v>M4/M7</x:v>
      </x:c>
      <x:c r="F89" s="26" t="str">
        <x:v>Planned</x:v>
      </x:c>
      <x:c r="G89" s="26" t="str">
        <x:v>NOT RUN</x:v>
      </x:c>
      <x:c r="H89" s="26" t="str">
        <x:v>Marketing/Product</x:v>
      </x:c>
      <x:c r="I89" s="26" t="str">
        <x:v>Production/QA</x:v>
      </x:c>
      <x:c r="J89" s="26"/>
      <x:c r="K89" s="26"/>
      <x:c r="L89" s="26"/>
      <x:c r="M89" s="26" t="str">
        <x:v>Entregable verificable, evidencia registrada y dependencias satisfechas.</x:v>
      </x:c>
      <x:c r="N89" s="26" t="str">
        <x:v>Registro, artefacto y validación reproducible</x:v>
      </x:c>
      <x:c r="O89" s="26" t="str">
        <x:v>28_Marketing_and_Communication_Plan.md</x:v>
      </x:c>
      <x:c r="P89" s="26" t="str">
        <x:v>Marketing Plan v0.3, v0.4 y v0.5 más antecedentes previos</x:v>
      </x:c>
      <x:c r="Q89" s="26" t="str">
        <x:v>CONDITIONAL</x:v>
      </x:c>
      <x:c r="R89" s="26" t="str">
        <x:v>YES</x:v>
      </x:c>
      <x:c r="S89" s="26"/>
      <x:c r="T89" s="90" t="n">
        <x:v>0</x:v>
      </x:c>
    </x:row>
    <x:row r="90" ht="30" customHeight="1">
      <x:c r="A90" s="26" t="str">
        <x:v>MKT-WP-015</x:v>
      </x:c>
      <x:c r="B90" s="26" t="str">
        <x:v>Marketing/Comunicación</x:v>
      </x:c>
      <x:c r="C90" s="26" t="str">
        <x:v>Creator Kit &amp; B-roll</x:v>
      </x:c>
      <x:c r="D90" s="26" t="str">
        <x:v>P2</x:v>
      </x:c>
      <x:c r="E90" s="26" t="str">
        <x:v>M7</x:v>
      </x:c>
      <x:c r="F90" s="26" t="str">
        <x:v>Blocked</x:v>
      </x:c>
      <x:c r="G90" s="26" t="str">
        <x:v>BLOCKED</x:v>
      </x:c>
      <x:c r="H90" s="26" t="str">
        <x:v>Marketing/Product</x:v>
      </x:c>
      <x:c r="I90" s="26" t="str">
        <x:v>Production/QA</x:v>
      </x:c>
      <x:c r="J90" s="26"/>
      <x:c r="K90" s="26"/>
      <x:c r="L90" s="26"/>
      <x:c r="M90" s="26" t="str">
        <x:v>Entregable verificable, evidencia registrada y dependencias satisfechas.</x:v>
      </x:c>
      <x:c r="N90" s="26" t="str">
        <x:v>Registro, artefacto y validación reproducible</x:v>
      </x:c>
      <x:c r="O90" s="26" t="str">
        <x:v>28_Marketing_and_Communication_Plan.md</x:v>
      </x:c>
      <x:c r="P90" s="26" t="str">
        <x:v>Marketing Plan v0.3, v0.4 y v0.5 más antecedentes previos</x:v>
      </x:c>
      <x:c r="Q90" s="26" t="str">
        <x:v>CONDITIONAL</x:v>
      </x:c>
      <x:c r="R90" s="26" t="str">
        <x:v>YES</x:v>
      </x:c>
      <x:c r="S90" s="26"/>
      <x:c r="T90" s="90" t="n">
        <x:v>0</x:v>
      </x:c>
    </x:row>
    <x:row r="91" ht="30" customHeight="1">
      <x:c r="A91" s="26" t="str">
        <x:v>MKT-WP-016</x:v>
      </x:c>
      <x:c r="B91" s="26" t="str">
        <x:v>Marketing/Comunicación</x:v>
      </x:c>
      <x:c r="C91" s="26" t="str">
        <x:v>Editorial Calendar</x:v>
      </x:c>
      <x:c r="D91" s="26" t="str">
        <x:v>P2</x:v>
      </x:c>
      <x:c r="E91" s="26" t="str">
        <x:v>M2</x:v>
      </x:c>
      <x:c r="F91" s="26" t="str">
        <x:v>Planned</x:v>
      </x:c>
      <x:c r="G91" s="26" t="str">
        <x:v>NOT RUN</x:v>
      </x:c>
      <x:c r="H91" s="26" t="str">
        <x:v>Marketing/Product</x:v>
      </x:c>
      <x:c r="I91" s="26" t="str">
        <x:v>Production/QA</x:v>
      </x:c>
      <x:c r="J91" s="26"/>
      <x:c r="K91" s="26"/>
      <x:c r="L91" s="26"/>
      <x:c r="M91" s="26" t="str">
        <x:v>Entregable verificable, evidencia registrada y dependencias satisfechas.</x:v>
      </x:c>
      <x:c r="N91" s="26" t="str">
        <x:v>Registro, artefacto y validación reproducible</x:v>
      </x:c>
      <x:c r="O91" s="26" t="str">
        <x:v>28_Marketing_and_Communication_Plan.md</x:v>
      </x:c>
      <x:c r="P91" s="26" t="str">
        <x:v>Marketing Plan v0.3, v0.4 y v0.5 más antecedentes previos</x:v>
      </x:c>
      <x:c r="Q91" s="26" t="str">
        <x:v>CONDITIONAL</x:v>
      </x:c>
      <x:c r="R91" s="26" t="str">
        <x:v>YES</x:v>
      </x:c>
      <x:c r="S91" s="26"/>
      <x:c r="T91" s="90" t="n">
        <x:v>0</x:v>
      </x:c>
    </x:row>
    <x:row r="92" ht="30" customHeight="1">
      <x:c r="A92" s="26" t="str">
        <x:v>MKT-WP-017</x:v>
      </x:c>
      <x:c r="B92" s="26" t="str">
        <x:v>Marketing/Comunicación</x:v>
      </x:c>
      <x:c r="C92" s="26" t="str">
        <x:v>Community &amp; Moderation Runbook</x:v>
      </x:c>
      <x:c r="D92" s="26" t="str">
        <x:v>P2</x:v>
      </x:c>
      <x:c r="E92" s="26" t="str">
        <x:v>M4</x:v>
      </x:c>
      <x:c r="F92" s="26" t="str">
        <x:v>Planned</x:v>
      </x:c>
      <x:c r="G92" s="26" t="str">
        <x:v>NOT RUN</x:v>
      </x:c>
      <x:c r="H92" s="26" t="str">
        <x:v>Marketing/Product</x:v>
      </x:c>
      <x:c r="I92" s="26" t="str">
        <x:v>Production/QA</x:v>
      </x:c>
      <x:c r="J92" s="26"/>
      <x:c r="K92" s="26"/>
      <x:c r="L92" s="26"/>
      <x:c r="M92" s="26" t="str">
        <x:v>Entregable verificable, evidencia registrada y dependencias satisfechas.</x:v>
      </x:c>
      <x:c r="N92" s="26" t="str">
        <x:v>Registro, artefacto y validación reproducible</x:v>
      </x:c>
      <x:c r="O92" s="26" t="str">
        <x:v>28_Marketing_and_Communication_Plan.md</x:v>
      </x:c>
      <x:c r="P92" s="26" t="str">
        <x:v>Marketing Plan v0.3, v0.4 y v0.5 más antecedentes previos</x:v>
      </x:c>
      <x:c r="Q92" s="26" t="str">
        <x:v>CONDITIONAL</x:v>
      </x:c>
      <x:c r="R92" s="26" t="str">
        <x:v>YES</x:v>
      </x:c>
      <x:c r="S92" s="26"/>
      <x:c r="T92" s="90" t="n">
        <x:v>0</x:v>
      </x:c>
    </x:row>
    <x:row r="93" ht="30" customHeight="1">
      <x:c r="A93" s="26" t="str">
        <x:v>MKT-WP-018</x:v>
      </x:c>
      <x:c r="B93" s="26" t="str">
        <x:v>Marketing/Comunicación</x:v>
      </x:c>
      <x:c r="C93" s="26" t="str">
        <x:v>Support/FAQ Public Pack</x:v>
      </x:c>
      <x:c r="D93" s="26" t="str">
        <x:v>P2</x:v>
      </x:c>
      <x:c r="E93" s="26" t="str">
        <x:v>M4/M7</x:v>
      </x:c>
      <x:c r="F93" s="26" t="str">
        <x:v>Blocked</x:v>
      </x:c>
      <x:c r="G93" s="26" t="str">
        <x:v>BLOCKED</x:v>
      </x:c>
      <x:c r="H93" s="26" t="str">
        <x:v>Marketing/Product</x:v>
      </x:c>
      <x:c r="I93" s="26" t="str">
        <x:v>Production/QA</x:v>
      </x:c>
      <x:c r="J93" s="26"/>
      <x:c r="K93" s="26"/>
      <x:c r="L93" s="26"/>
      <x:c r="M93" s="26" t="str">
        <x:v>Entregable verificable, evidencia registrada y dependencias satisfechas.</x:v>
      </x:c>
      <x:c r="N93" s="26" t="str">
        <x:v>Registro, artefacto y validación reproducible</x:v>
      </x:c>
      <x:c r="O93" s="26" t="str">
        <x:v>28_Marketing_and_Communication_Plan.md</x:v>
      </x:c>
      <x:c r="P93" s="26" t="str">
        <x:v>Marketing Plan v0.3, v0.4 y v0.5 más antecedentes previos</x:v>
      </x:c>
      <x:c r="Q93" s="26" t="str">
        <x:v>CONDITIONAL</x:v>
      </x:c>
      <x:c r="R93" s="26" t="str">
        <x:v>YES</x:v>
      </x:c>
      <x:c r="S93" s="26"/>
      <x:c r="T93" s="90" t="n">
        <x:v>0</x:v>
      </x:c>
    </x:row>
    <x:row r="94" ht="30" customHeight="1">
      <x:c r="A94" s="26" t="str">
        <x:v>MKT-WP-019</x:v>
      </x:c>
      <x:c r="B94" s="26" t="str">
        <x:v>Marketing/Comunicación</x:v>
      </x:c>
      <x:c r="C94" s="26" t="str">
        <x:v>Demo/Playtest Campaign Pack</x:v>
      </x:c>
      <x:c r="D94" s="26" t="str">
        <x:v>P2</x:v>
      </x:c>
      <x:c r="E94" s="26" t="str">
        <x:v>M5</x:v>
      </x:c>
      <x:c r="F94" s="26" t="str">
        <x:v>Planned</x:v>
      </x:c>
      <x:c r="G94" s="26" t="str">
        <x:v>NOT RUN</x:v>
      </x:c>
      <x:c r="H94" s="26" t="str">
        <x:v>Marketing/Product</x:v>
      </x:c>
      <x:c r="I94" s="26" t="str">
        <x:v>Production/QA</x:v>
      </x:c>
      <x:c r="J94" s="26"/>
      <x:c r="K94" s="26"/>
      <x:c r="L94" s="26"/>
      <x:c r="M94" s="26" t="str">
        <x:v>Entregable verificable, evidencia registrada y dependencias satisfechas.</x:v>
      </x:c>
      <x:c r="N94" s="26" t="str">
        <x:v>Registro, artefacto y validación reproducible</x:v>
      </x:c>
      <x:c r="O94" s="26" t="str">
        <x:v>28_Marketing_and_Communication_Plan.md</x:v>
      </x:c>
      <x:c r="P94" s="26" t="str">
        <x:v>Marketing Plan v0.3, v0.4 y v0.5 más antecedentes previos</x:v>
      </x:c>
      <x:c r="Q94" s="26" t="str">
        <x:v>CONDITIONAL</x:v>
      </x:c>
      <x:c r="R94" s="26" t="str">
        <x:v>YES</x:v>
      </x:c>
      <x:c r="S94" s="26"/>
      <x:c r="T94" s="90" t="n">
        <x:v>0</x:v>
      </x:c>
    </x:row>
    <x:row r="95" ht="30" customHeight="1">
      <x:c r="A95" s="26" t="str">
        <x:v>MKT-WP-020</x:v>
      </x:c>
      <x:c r="B95" s="26" t="str">
        <x:v>Marketing/Comunicación</x:v>
      </x:c>
      <x:c r="C95" s="26" t="str">
        <x:v>Festival Readiness Pack</x:v>
      </x:c>
      <x:c r="D95" s="26" t="str">
        <x:v>P2</x:v>
      </x:c>
      <x:c r="E95" s="26" t="str">
        <x:v>M6</x:v>
      </x:c>
      <x:c r="F95" s="26" t="str">
        <x:v>Planned</x:v>
      </x:c>
      <x:c r="G95" s="26" t="str">
        <x:v>NOT RUN</x:v>
      </x:c>
      <x:c r="H95" s="26" t="str">
        <x:v>Marketing/Product</x:v>
      </x:c>
      <x:c r="I95" s="26" t="str">
        <x:v>Production/QA</x:v>
      </x:c>
      <x:c r="J95" s="26"/>
      <x:c r="K95" s="26"/>
      <x:c r="L95" s="26"/>
      <x:c r="M95" s="26" t="str">
        <x:v>Entregable verificable, evidencia registrada y dependencias satisfechas.</x:v>
      </x:c>
      <x:c r="N95" s="26" t="str">
        <x:v>Registro, artefacto y validación reproducible</x:v>
      </x:c>
      <x:c r="O95" s="26" t="str">
        <x:v>28_Marketing_and_Communication_Plan.md</x:v>
      </x:c>
      <x:c r="P95" s="26" t="str">
        <x:v>Marketing Plan v0.3, v0.4 y v0.5 más antecedentes previos</x:v>
      </x:c>
      <x:c r="Q95" s="26" t="str">
        <x:v>CONDITIONAL</x:v>
      </x:c>
      <x:c r="R95" s="26" t="str">
        <x:v>YES</x:v>
      </x:c>
      <x:c r="S95" s="26"/>
      <x:c r="T95" s="90" t="n">
        <x:v>0</x:v>
      </x:c>
    </x:row>
    <x:row r="96" ht="30" customHeight="1">
      <x:c r="A96" s="26" t="str">
        <x:v>MKT-WP-021</x:v>
      </x:c>
      <x:c r="B96" s="26" t="str">
        <x:v>Marketing/Comunicación</x:v>
      </x:c>
      <x:c r="C96" s="26" t="str">
        <x:v>Launch Campaign Runbook</x:v>
      </x:c>
      <x:c r="D96" s="26" t="str">
        <x:v>P2</x:v>
      </x:c>
      <x:c r="E96" s="26" t="str">
        <x:v>M7</x:v>
      </x:c>
      <x:c r="F96" s="26" t="str">
        <x:v>Planned</x:v>
      </x:c>
      <x:c r="G96" s="26" t="str">
        <x:v>NOT RUN</x:v>
      </x:c>
      <x:c r="H96" s="26" t="str">
        <x:v>Marketing/Product</x:v>
      </x:c>
      <x:c r="I96" s="26" t="str">
        <x:v>Production/QA</x:v>
      </x:c>
      <x:c r="J96" s="26"/>
      <x:c r="K96" s="26"/>
      <x:c r="L96" s="26"/>
      <x:c r="M96" s="26" t="str">
        <x:v>Entregable verificable, evidencia registrada y dependencias satisfechas.</x:v>
      </x:c>
      <x:c r="N96" s="26" t="str">
        <x:v>Registro, artefacto y validación reproducible</x:v>
      </x:c>
      <x:c r="O96" s="26" t="str">
        <x:v>28_Marketing_and_Communication_Plan.md</x:v>
      </x:c>
      <x:c r="P96" s="26" t="str">
        <x:v>Marketing Plan v0.3, v0.4 y v0.5 más antecedentes previos</x:v>
      </x:c>
      <x:c r="Q96" s="26" t="str">
        <x:v>CONDITIONAL</x:v>
      </x:c>
      <x:c r="R96" s="26" t="str">
        <x:v>YES</x:v>
      </x:c>
      <x:c r="S96" s="26"/>
      <x:c r="T96" s="90" t="n">
        <x:v>0</x:v>
      </x:c>
    </x:row>
    <x:row r="97" ht="30" customHeight="1">
      <x:c r="A97" s="26" t="str">
        <x:v>MKT-WP-022</x:v>
      </x:c>
      <x:c r="B97" s="26" t="str">
        <x:v>Marketing/Comunicación</x:v>
      </x:c>
      <x:c r="C97" s="26" t="str">
        <x:v>Metrics Dictionary &amp; Dashboard</x:v>
      </x:c>
      <x:c r="D97" s="26" t="str">
        <x:v>P2</x:v>
      </x:c>
      <x:c r="E97" s="26" t="str">
        <x:v>M2/M4</x:v>
      </x:c>
      <x:c r="F97" s="26" t="str">
        <x:v>Planned</x:v>
      </x:c>
      <x:c r="G97" s="26" t="str">
        <x:v>NOT RUN</x:v>
      </x:c>
      <x:c r="H97" s="26" t="str">
        <x:v>Marketing/Product</x:v>
      </x:c>
      <x:c r="I97" s="26" t="str">
        <x:v>Production/QA</x:v>
      </x:c>
      <x:c r="J97" s="26"/>
      <x:c r="K97" s="26"/>
      <x:c r="L97" s="26"/>
      <x:c r="M97" s="26" t="str">
        <x:v>Entregable verificable, evidencia registrada y dependencias satisfechas.</x:v>
      </x:c>
      <x:c r="N97" s="26" t="str">
        <x:v>Registro, artefacto y validación reproducible</x:v>
      </x:c>
      <x:c r="O97" s="26" t="str">
        <x:v>28_Marketing_and_Communication_Plan.md</x:v>
      </x:c>
      <x:c r="P97" s="26" t="str">
        <x:v>Marketing Plan v0.3, v0.4 y v0.5 más antecedentes previos</x:v>
      </x:c>
      <x:c r="Q97" s="26" t="str">
        <x:v>CONDITIONAL</x:v>
      </x:c>
      <x:c r="R97" s="26" t="str">
        <x:v>YES</x:v>
      </x:c>
      <x:c r="S97" s="26"/>
      <x:c r="T97" s="90" t="n">
        <x:v>0</x:v>
      </x:c>
    </x:row>
    <x:row r="98" ht="30" customHeight="1">
      <x:c r="A98" s="26" t="str">
        <x:v>MKT-WP-023</x:v>
      </x:c>
      <x:c r="B98" s="26" t="str">
        <x:v>Marketing/Comunicación</x:v>
      </x:c>
      <x:c r="C98" s="26" t="str">
        <x:v>Budget and Vendor Plan</x:v>
      </x:c>
      <x:c r="D98" s="26" t="str">
        <x:v>P2</x:v>
      </x:c>
      <x:c r="E98" s="26" t="str">
        <x:v>M3</x:v>
      </x:c>
      <x:c r="F98" s="26" t="str">
        <x:v>Planned</x:v>
      </x:c>
      <x:c r="G98" s="26" t="str">
        <x:v>NOT RUN</x:v>
      </x:c>
      <x:c r="H98" s="26" t="str">
        <x:v>Marketing/Product</x:v>
      </x:c>
      <x:c r="I98" s="26" t="str">
        <x:v>Production/QA</x:v>
      </x:c>
      <x:c r="J98" s="26"/>
      <x:c r="K98" s="26"/>
      <x:c r="L98" s="26"/>
      <x:c r="M98" s="26" t="str">
        <x:v>Entregable verificable, evidencia registrada y dependencias satisfechas.</x:v>
      </x:c>
      <x:c r="N98" s="26" t="str">
        <x:v>Registro, artefacto y validación reproducible</x:v>
      </x:c>
      <x:c r="O98" s="26" t="str">
        <x:v>28_Marketing_and_Communication_Plan.md</x:v>
      </x:c>
      <x:c r="P98" s="26" t="str">
        <x:v>Marketing Plan v0.3, v0.4 y v0.5 más antecedentes previos</x:v>
      </x:c>
      <x:c r="Q98" s="26" t="str">
        <x:v>CONDITIONAL</x:v>
      </x:c>
      <x:c r="R98" s="26" t="str">
        <x:v>YES</x:v>
      </x:c>
      <x:c r="S98" s="26"/>
      <x:c r="T98" s="90" t="n">
        <x:v>0</x:v>
      </x:c>
    </x:row>
    <x:row r="99" ht="30" customHeight="1">
      <x:c r="A99" s="26" t="str">
        <x:v>MKT-WP-024</x:v>
      </x:c>
      <x:c r="B99" s="26" t="str">
        <x:v>Marketing/Comunicación</x:v>
      </x:c>
      <x:c r="C99" s="26" t="str">
        <x:v>Marketing Legal Approval Checklist</x:v>
      </x:c>
      <x:c r="D99" s="26" t="str">
        <x:v>P2</x:v>
      </x:c>
      <x:c r="E99" s="26" t="str">
        <x:v>M3/M4</x:v>
      </x:c>
      <x:c r="F99" s="26" t="str">
        <x:v>Planned</x:v>
      </x:c>
      <x:c r="G99" s="26" t="str">
        <x:v>NOT RUN</x:v>
      </x:c>
      <x:c r="H99" s="26" t="str">
        <x:v>Marketing/Product</x:v>
      </x:c>
      <x:c r="I99" s="26" t="str">
        <x:v>Production/QA</x:v>
      </x:c>
      <x:c r="J99" s="26"/>
      <x:c r="K99" s="26"/>
      <x:c r="L99" s="26"/>
      <x:c r="M99" s="26" t="str">
        <x:v>Entregable verificable, evidencia registrada y dependencias satisfechas.</x:v>
      </x:c>
      <x:c r="N99" s="26" t="str">
        <x:v>Registro, artefacto y validación reproducible</x:v>
      </x:c>
      <x:c r="O99" s="26" t="str">
        <x:v>28_Marketing_and_Communication_Plan.md</x:v>
      </x:c>
      <x:c r="P99" s="26" t="str">
        <x:v>Marketing Plan v0.3, v0.4 y v0.5 más antecedentes previos</x:v>
      </x:c>
      <x:c r="Q99" s="26" t="str">
        <x:v>CONDITIONAL</x:v>
      </x:c>
      <x:c r="R99" s="26" t="str">
        <x:v>YES</x:v>
      </x:c>
      <x:c r="S99" s="26"/>
      <x:c r="T99" s="90" t="n">
        <x:v>0</x:v>
      </x:c>
    </x:row>
    <x:row r="100" ht="30" customHeight="1">
      <x:c r="A100" s="26" t="str">
        <x:v>MKT-WP-025</x:v>
      </x:c>
      <x:c r="B100" s="26" t="str">
        <x:v>Marketing/Comunicación</x:v>
      </x:c>
      <x:c r="C100" s="26" t="str">
        <x:v>Postlaunch Communication Library</x:v>
      </x:c>
      <x:c r="D100" s="26" t="str">
        <x:v>P2</x:v>
      </x:c>
      <x:c r="E100" s="26" t="str">
        <x:v>M7/M8</x:v>
      </x:c>
      <x:c r="F100" s="26" t="str">
        <x:v>Planned</x:v>
      </x:c>
      <x:c r="G100" s="26" t="str">
        <x:v>NOT RUN</x:v>
      </x:c>
      <x:c r="H100" s="26" t="str">
        <x:v>Marketing/Product</x:v>
      </x:c>
      <x:c r="I100" s="26" t="str">
        <x:v>Production/QA</x:v>
      </x:c>
      <x:c r="J100" s="26"/>
      <x:c r="K100" s="26"/>
      <x:c r="L100" s="26"/>
      <x:c r="M100" s="26" t="str">
        <x:v>Entregable verificable, evidencia registrada y dependencias satisfechas.</x:v>
      </x:c>
      <x:c r="N100" s="26" t="str">
        <x:v>Registro, artefacto y validación reproducible</x:v>
      </x:c>
      <x:c r="O100" s="26" t="str">
        <x:v>28_Marketing_and_Communication_Plan.md</x:v>
      </x:c>
      <x:c r="P100" s="26" t="str">
        <x:v>Marketing Plan v0.3, v0.4 y v0.5 más antecedentes previos</x:v>
      </x:c>
      <x:c r="Q100" s="26" t="str">
        <x:v>CONDITIONAL</x:v>
      </x:c>
      <x:c r="R100" s="26" t="str">
        <x:v>YES</x:v>
      </x:c>
      <x:c r="S100" s="26"/>
      <x:c r="T100" s="90" t="n">
        <x:v>0</x:v>
      </x:c>
    </x:row>
    <x:row r="101" ht="30" customHeight="1">
      <x:c r="A101" s="26" t="str">
        <x:v>OPS-01</x:v>
      </x:c>
      <x:c r="B101" s="26" t="str">
        <x:v>Operaciones/Handoff</x:v>
      </x:c>
      <x:c r="C101" s="26" t="str">
        <x:v>Verificar repositorio activo</x:v>
      </x:c>
      <x:c r="D101" s="26" t="str">
        <x:v>P2</x:v>
      </x:c>
      <x:c r="E101" s="26" t="str">
        <x:v>Documentation Consolidation</x:v>
      </x:c>
      <x:c r="F101" s="26" t="str">
        <x:v>Planned</x:v>
      </x:c>
      <x:c r="G101" s="26" t="str">
        <x:v>NOT RUN</x:v>
      </x:c>
      <x:c r="H101" s="26" t="str">
        <x:v>Production/Documentation</x:v>
      </x:c>
      <x:c r="I101" s="26" t="str">
        <x:v>Production/QA</x:v>
      </x:c>
      <x:c r="J101" s="26"/>
      <x:c r="K101" s="26" t="str">
        <x:v>rama, SHA, remoto y working copy confirmados</x:v>
      </x:c>
      <x:c r="L101" s="26"/>
      <x:c r="M101" s="26" t="str">
        <x:v>Entregable verificable, evidencia registrada y dependencias satisfechas.</x:v>
      </x:c>
      <x:c r="N101" s="26" t="str">
        <x:v>status report</x:v>
      </x:c>
      <x:c r="O101" s="26" t="str">
        <x:v>34_Final_Handoff_and_Project_Operations_Manual.md</x:v>
      </x:c>
      <x:c r="P101" s="26" t="str">
        <x:v>Handoffs, openings, closures, ADR y estados v0.3–v0.6</x:v>
      </x:c>
      <x:c r="Q101" s="26" t="str">
        <x:v>CONDITIONAL</x:v>
      </x:c>
      <x:c r="R101" s="26" t="str">
        <x:v>CONDITIONAL</x:v>
      </x:c>
      <x:c r="S101" s="26"/>
      <x:c r="T101" s="90" t="n">
        <x:v>0</x:v>
      </x:c>
    </x:row>
    <x:row r="102" ht="30" customHeight="1">
      <x:c r="A102" s="26" t="str">
        <x:v>OPS-02</x:v>
      </x:c>
      <x:c r="B102" s="26" t="str">
        <x:v>Operaciones/Handoff</x:v>
      </x:c>
      <x:c r="C102" s="26" t="str">
        <x:v>Actualizar handoff vivo</x:v>
      </x:c>
      <x:c r="D102" s="26" t="str">
        <x:v>P2</x:v>
      </x:c>
      <x:c r="E102" s="26" t="str">
        <x:v>Documentation Consolidation</x:v>
      </x:c>
      <x:c r="F102" s="26" t="str">
        <x:v>Planned</x:v>
      </x:c>
      <x:c r="G102" s="26" t="str">
        <x:v>NOT RUN</x:v>
      </x:c>
      <x:c r="H102" s="26" t="str">
        <x:v>Production/Documentation</x:v>
      </x:c>
      <x:c r="I102" s="26" t="str">
        <x:v>Production/QA</x:v>
      </x:c>
      <x:c r="J102" s="26"/>
      <x:c r="K102" s="26" t="str">
        <x:v>estado, próximo paso y riesgos actuales</x:v>
      </x:c>
      <x:c r="L102" s="26"/>
      <x:c r="M102" s="26" t="str">
        <x:v>Entregable verificable, evidencia registrada y dependencias satisfechas.</x:v>
      </x:c>
      <x:c r="N102" s="26" t="str">
        <x:v>handoff aprobado</x:v>
      </x:c>
      <x:c r="O102" s="26" t="str">
        <x:v>34_Final_Handoff_and_Project_Operations_Manual.md</x:v>
      </x:c>
      <x:c r="P102" s="26" t="str">
        <x:v>Handoffs, openings, closures, ADR y estados v0.3–v0.6</x:v>
      </x:c>
      <x:c r="Q102" s="26" t="str">
        <x:v>CONDITIONAL</x:v>
      </x:c>
      <x:c r="R102" s="26" t="str">
        <x:v>CONDITIONAL</x:v>
      </x:c>
      <x:c r="S102" s="26"/>
      <x:c r="T102" s="90" t="n">
        <x:v>0</x:v>
      </x:c>
    </x:row>
    <x:row r="103" ht="30" customHeight="1">
      <x:c r="A103" s="26" t="str">
        <x:v>OPS-03</x:v>
      </x:c>
      <x:c r="B103" s="26" t="str">
        <x:v>Operaciones/Handoff</x:v>
      </x:c>
      <x:c r="C103" s="26" t="str">
        <x:v>Restauración de prueba</x:v>
      </x:c>
      <x:c r="D103" s="26" t="str">
        <x:v>P2</x:v>
      </x:c>
      <x:c r="E103" s="26" t="str">
        <x:v>Documentation Consolidation</x:v>
      </x:c>
      <x:c r="F103" s="26" t="str">
        <x:v>Planned</x:v>
      </x:c>
      <x:c r="G103" s="26" t="str">
        <x:v>NOT RUN</x:v>
      </x:c>
      <x:c r="H103" s="26" t="str">
        <x:v>Production/Documentation</x:v>
      </x:c>
      <x:c r="I103" s="26" t="str">
        <x:v>Production/QA</x:v>
      </x:c>
      <x:c r="J103" s="26"/>
      <x:c r="K103" s="26" t="str">
        <x:v>proyecto recuperado en entorno limpio</x:v>
      </x:c>
      <x:c r="L103" s="26"/>
      <x:c r="M103" s="26" t="str">
        <x:v>Entregable verificable, evidencia registrada y dependencias satisfechas.</x:v>
      </x:c>
      <x:c r="N103" s="26" t="str">
        <x:v>informe y tiempos</x:v>
      </x:c>
      <x:c r="O103" s="26" t="str">
        <x:v>34_Final_Handoff_and_Project_Operations_Manual.md</x:v>
      </x:c>
      <x:c r="P103" s="26" t="str">
        <x:v>Handoffs, openings, closures, ADR y estados v0.3–v0.6</x:v>
      </x:c>
      <x:c r="Q103" s="26" t="str">
        <x:v>CONDITIONAL</x:v>
      </x:c>
      <x:c r="R103" s="26" t="str">
        <x:v>CONDITIONAL</x:v>
      </x:c>
      <x:c r="S103" s="26"/>
      <x:c r="T103" s="90" t="n">
        <x:v>0</x:v>
      </x:c>
    </x:row>
    <x:row r="104" ht="30" customHeight="1">
      <x:c r="A104" s="26" t="str">
        <x:v>OPS-04</x:v>
      </x:c>
      <x:c r="B104" s="26" t="str">
        <x:v>Operaciones/Handoff</x:v>
      </x:c>
      <x:c r="C104" s="26" t="str">
        <x:v>Inventario de cuentas</x:v>
      </x:c>
      <x:c r="D104" s="26" t="str">
        <x:v>P2</x:v>
      </x:c>
      <x:c r="E104" s="26" t="str">
        <x:v>Documentation Consolidation</x:v>
      </x:c>
      <x:c r="F104" s="26" t="str">
        <x:v>Planned</x:v>
      </x:c>
      <x:c r="G104" s="26" t="str">
        <x:v>NOT RUN</x:v>
      </x:c>
      <x:c r="H104" s="26" t="str">
        <x:v>Production/Documentation</x:v>
      </x:c>
      <x:c r="I104" s="26" t="str">
        <x:v>Production/QA</x:v>
      </x:c>
      <x:c r="J104" s="26"/>
      <x:c r="K104" s="26" t="str">
        <x:v>owner, MFA, recovery y sustituto</x:v>
      </x:c>
      <x:c r="L104" s="26"/>
      <x:c r="M104" s="26" t="str">
        <x:v>Entregable verificable, evidencia registrada y dependencias satisfechas.</x:v>
      </x:c>
      <x:c r="N104" s="26" t="str">
        <x:v>registro seguro</x:v>
      </x:c>
      <x:c r="O104" s="26" t="str">
        <x:v>34_Final_Handoff_and_Project_Operations_Manual.md</x:v>
      </x:c>
      <x:c r="P104" s="26" t="str">
        <x:v>Handoffs, openings, closures, ADR y estados v0.3–v0.6</x:v>
      </x:c>
      <x:c r="Q104" s="26" t="str">
        <x:v>CONDITIONAL</x:v>
      </x:c>
      <x:c r="R104" s="26" t="str">
        <x:v>CONDITIONAL</x:v>
      </x:c>
      <x:c r="S104" s="26"/>
      <x:c r="T104" s="90" t="n">
        <x:v>0</x:v>
      </x:c>
    </x:row>
    <x:row r="105" ht="30" customHeight="1">
      <x:c r="A105" s="26" t="str">
        <x:v>OPS-05</x:v>
      </x:c>
      <x:c r="B105" s="26" t="str">
        <x:v>Operaciones/Handoff</x:v>
      </x:c>
      <x:c r="C105" s="26" t="str">
        <x:v>Limpieza de secretos</x:v>
      </x:c>
      <x:c r="D105" s="26" t="str">
        <x:v>P2</x:v>
      </x:c>
      <x:c r="E105" s="26" t="str">
        <x:v>Documentation Consolidation</x:v>
      </x:c>
      <x:c r="F105" s="26" t="str">
        <x:v>Planned</x:v>
      </x:c>
      <x:c r="G105" s="26" t="str">
        <x:v>NOT RUN</x:v>
      </x:c>
      <x:c r="H105" s="26" t="str">
        <x:v>Production/Documentation</x:v>
      </x:c>
      <x:c r="I105" s="26" t="str">
        <x:v>Production/QA</x:v>
      </x:c>
      <x:c r="J105" s="26"/>
      <x:c r="K105" s="26" t="str">
        <x:v>ausencia de credenciales versionadas</x:v>
      </x:c>
      <x:c r="L105" s="26"/>
      <x:c r="M105" s="26" t="str">
        <x:v>Entregable verificable, evidencia registrada y dependencias satisfechas.</x:v>
      </x:c>
      <x:c r="N105" s="26" t="str">
        <x:v>scan y revisión</x:v>
      </x:c>
      <x:c r="O105" s="26" t="str">
        <x:v>34_Final_Handoff_and_Project_Operations_Manual.md</x:v>
      </x:c>
      <x:c r="P105" s="26" t="str">
        <x:v>Handoffs, openings, closures, ADR y estados v0.3–v0.6</x:v>
      </x:c>
      <x:c r="Q105" s="26" t="str">
        <x:v>CONDITIONAL</x:v>
      </x:c>
      <x:c r="R105" s="26" t="str">
        <x:v>CONDITIONAL</x:v>
      </x:c>
      <x:c r="S105" s="26"/>
      <x:c r="T105" s="90" t="n">
        <x:v>0</x:v>
      </x:c>
    </x:row>
    <x:row r="106" ht="30" customHeight="1">
      <x:c r="A106" s="26" t="str">
        <x:v>OPS-06</x:v>
      </x:c>
      <x:c r="B106" s="26" t="str">
        <x:v>Operaciones/Handoff</x:v>
      </x:c>
      <x:c r="C106" s="26" t="str">
        <x:v>Cierre StoreInitial</x:v>
      </x:c>
      <x:c r="D106" s="26" t="str">
        <x:v>P2</x:v>
      </x:c>
      <x:c r="E106" s="26" t="str">
        <x:v>Documentation Consolidation</x:v>
      </x:c>
      <x:c r="F106" s="26" t="str">
        <x:v>Planned</x:v>
      </x:c>
      <x:c r="G106" s="26" t="str">
        <x:v>NOT RUN</x:v>
      </x:c>
      <x:c r="H106" s="26" t="str">
        <x:v>Production/Documentation</x:v>
      </x:c>
      <x:c r="I106" s="26" t="str">
        <x:v>Production/QA</x:v>
      </x:c>
      <x:c r="J106" s="26"/>
      <x:c r="K106" s="26" t="str">
        <x:v>escena autorada y conectada</x:v>
      </x:c>
      <x:c r="L106" s="26"/>
      <x:c r="M106" s="26" t="str">
        <x:v>Entregable verificable, evidencia registrada y dependencias satisfechas.</x:v>
      </x:c>
      <x:c r="N106" s="26" t="str">
        <x:v>evidencia S16</x:v>
      </x:c>
      <x:c r="O106" s="26" t="str">
        <x:v>34_Final_Handoff_and_Project_Operations_Manual.md</x:v>
      </x:c>
      <x:c r="P106" s="26" t="str">
        <x:v>Handoffs, openings, closures, ADR y estados v0.3–v0.6</x:v>
      </x:c>
      <x:c r="Q106" s="26" t="str">
        <x:v>YES</x:v>
      </x:c>
      <x:c r="R106" s="26" t="str">
        <x:v>CONDITIONAL</x:v>
      </x:c>
      <x:c r="S106" s="26"/>
      <x:c r="T106" s="90" t="n">
        <x:v>0</x:v>
      </x:c>
    </x:row>
    <x:row r="107" ht="30" customHeight="1">
      <x:c r="A107" s="26" t="str">
        <x:v>OPS-07</x:v>
      </x:c>
      <x:c r="B107" s="26" t="str">
        <x:v>Operaciones/Handoff</x:v>
      </x:c>
      <x:c r="C107" s="26" t="str">
        <x:v>Build postintegración</x:v>
      </x:c>
      <x:c r="D107" s="26" t="str">
        <x:v>P2</x:v>
      </x:c>
      <x:c r="E107" s="26" t="str">
        <x:v>Documentation Consolidation</x:v>
      </x:c>
      <x:c r="F107" s="26" t="str">
        <x:v>Planned</x:v>
      </x:c>
      <x:c r="G107" s="26" t="str">
        <x:v>NOT RUN</x:v>
      </x:c>
      <x:c r="H107" s="26" t="str">
        <x:v>Production/Documentation</x:v>
      </x:c>
      <x:c r="I107" s="26" t="str">
        <x:v>Production/QA</x:v>
      </x:c>
      <x:c r="J107" s="26"/>
      <x:c r="K107" s="26" t="str">
        <x:v>candidata ejecutada fuera de Editor</x:v>
      </x:c>
      <x:c r="L107" s="26"/>
      <x:c r="M107" s="26" t="str">
        <x:v>Entregable verificable, evidencia registrada y dependencias satisfechas.</x:v>
      </x:c>
      <x:c r="N107" s="26" t="str">
        <x:v>build record/log</x:v>
      </x:c>
      <x:c r="O107" s="26" t="str">
        <x:v>34_Final_Handoff_and_Project_Operations_Manual.md</x:v>
      </x:c>
      <x:c r="P107" s="26" t="str">
        <x:v>Handoffs, openings, closures, ADR y estados v0.3–v0.6</x:v>
      </x:c>
      <x:c r="Q107" s="26" t="str">
        <x:v>CONDITIONAL</x:v>
      </x:c>
      <x:c r="R107" s="26" t="str">
        <x:v>CONDITIONAL</x:v>
      </x:c>
      <x:c r="S107" s="26"/>
      <x:c r="T107" s="90" t="n">
        <x:v>0</x:v>
      </x:c>
    </x:row>
    <x:row r="108" ht="30" customHeight="1">
      <x:c r="A108" s="26" t="str">
        <x:v>OPS-08</x:v>
      </x:c>
      <x:c r="B108" s="26" t="str">
        <x:v>Operaciones/Handoff</x:v>
      </x:c>
      <x:c r="C108" s="26" t="str">
        <x:v>Cierre Sprint 16</x:v>
      </x:c>
      <x:c r="D108" s="26" t="str">
        <x:v>P2</x:v>
      </x:c>
      <x:c r="E108" s="26" t="str">
        <x:v>Documentation Consolidation</x:v>
      </x:c>
      <x:c r="F108" s="26" t="str">
        <x:v>Planned</x:v>
      </x:c>
      <x:c r="G108" s="26" t="str">
        <x:v>NOT RUN</x:v>
      </x:c>
      <x:c r="H108" s="26" t="str">
        <x:v>Production/Documentation</x:v>
      </x:c>
      <x:c r="I108" s="26" t="str">
        <x:v>Production/QA</x:v>
      </x:c>
      <x:c r="J108" s="26"/>
      <x:c r="K108" s="26" t="str">
        <x:v>signoff completo</x:v>
      </x:c>
      <x:c r="L108" s="26"/>
      <x:c r="M108" s="26" t="str">
        <x:v>Entregable verificable, evidencia registrada y dependencias satisfechas.</x:v>
      </x:c>
      <x:c r="N108" s="26" t="str">
        <x:v>closure report</x:v>
      </x:c>
      <x:c r="O108" s="26" t="str">
        <x:v>34_Final_Handoff_and_Project_Operations_Manual.md</x:v>
      </x:c>
      <x:c r="P108" s="26" t="str">
        <x:v>Handoffs, openings, closures, ADR y estados v0.3–v0.6</x:v>
      </x:c>
      <x:c r="Q108" s="26" t="str">
        <x:v>YES</x:v>
      </x:c>
      <x:c r="R108" s="26" t="str">
        <x:v>CONDITIONAL</x:v>
      </x:c>
      <x:c r="S108" s="26"/>
      <x:c r="T108" s="90" t="n">
        <x:v>0</x:v>
      </x:c>
    </x:row>
    <x:row r="109" ht="30" customHeight="1">
      <x:c r="A109" s="26" t="str">
        <x:v>OPS-09</x:v>
      </x:c>
      <x:c r="B109" s="26" t="str">
        <x:v>Operaciones/Handoff</x:v>
      </x:c>
      <x:c r="C109" s="26" t="str">
        <x:v>Apertura Sprint 17</x:v>
      </x:c>
      <x:c r="D109" s="26" t="str">
        <x:v>P2</x:v>
      </x:c>
      <x:c r="E109" s="26" t="str">
        <x:v>Documentation Consolidation</x:v>
      </x:c>
      <x:c r="F109" s="26" t="str">
        <x:v>Planned</x:v>
      </x:c>
      <x:c r="G109" s="26" t="str">
        <x:v>NOT RUN</x:v>
      </x:c>
      <x:c r="H109" s="26" t="str">
        <x:v>Production/Documentation</x:v>
      </x:c>
      <x:c r="I109" s="26" t="str">
        <x:v>Production/QA</x:v>
      </x:c>
      <x:c r="J109" s="26"/>
      <x:c r="K109" s="26" t="str">
        <x:v>charter y aceptación congelados</x:v>
      </x:c>
      <x:c r="L109" s="26"/>
      <x:c r="M109" s="26" t="str">
        <x:v>Entregable verificable, evidencia registrada y dependencias satisfechas.</x:v>
      </x:c>
      <x:c r="N109" s="26" t="str">
        <x:v>brief aprobado</x:v>
      </x:c>
      <x:c r="O109" s="26" t="str">
        <x:v>34_Final_Handoff_and_Project_Operations_Manual.md</x:v>
      </x:c>
      <x:c r="P109" s="26" t="str">
        <x:v>Handoffs, openings, closures, ADR y estados v0.3–v0.6</x:v>
      </x:c>
      <x:c r="Q109" s="26" t="str">
        <x:v>CONDITIONAL</x:v>
      </x:c>
      <x:c r="R109" s="26" t="str">
        <x:v>CONDITIONAL</x:v>
      </x:c>
      <x:c r="S109" s="26"/>
      <x:c r="T109" s="90" t="n">
        <x:v>0</x:v>
      </x:c>
    </x:row>
    <x:row r="110" ht="30" customHeight="1">
      <x:c r="A110" s="26" t="str">
        <x:v>OPS-10</x:v>
      </x:c>
      <x:c r="B110" s="26" t="str">
        <x:v>Operaciones/Handoff</x:v>
      </x:c>
      <x:c r="C110" s="26" t="str">
        <x:v>Baseline de rendimiento</x:v>
      </x:c>
      <x:c r="D110" s="26" t="str">
        <x:v>P2</x:v>
      </x:c>
      <x:c r="E110" s="26" t="str">
        <x:v>Documentation Consolidation</x:v>
      </x:c>
      <x:c r="F110" s="26" t="str">
        <x:v>Planned</x:v>
      </x:c>
      <x:c r="G110" s="26" t="str">
        <x:v>NOT RUN</x:v>
      </x:c>
      <x:c r="H110" s="26" t="str">
        <x:v>Production/Documentation</x:v>
      </x:c>
      <x:c r="I110" s="26" t="str">
        <x:v>Production/QA</x:v>
      </x:c>
      <x:c r="J110" s="26"/>
      <x:c r="K110" s="26" t="str">
        <x:v>escenarios/hardware medidos</x:v>
      </x:c>
      <x:c r="L110" s="26"/>
      <x:c r="M110" s="26" t="str">
        <x:v>Entregable verificable, evidencia registrada y dependencias satisfechas.</x:v>
      </x:c>
      <x:c r="N110" s="26" t="str">
        <x:v>benchmark report</x:v>
      </x:c>
      <x:c r="O110" s="26" t="str">
        <x:v>34_Final_Handoff_and_Project_Operations_Manual.md</x:v>
      </x:c>
      <x:c r="P110" s="26" t="str">
        <x:v>Handoffs, openings, closures, ADR y estados v0.3–v0.6</x:v>
      </x:c>
      <x:c r="Q110" s="26" t="str">
        <x:v>CONDITIONAL</x:v>
      </x:c>
      <x:c r="R110" s="26" t="str">
        <x:v>CONDITIONAL</x:v>
      </x:c>
      <x:c r="S110" s="26"/>
      <x:c r="T110" s="90" t="n">
        <x:v>0</x:v>
      </x:c>
    </x:row>
    <x:row r="111" ht="30" customHeight="1">
      <x:c r="A111" s="26" t="str">
        <x:v>OPS-11</x:v>
      </x:c>
      <x:c r="B111" s="26" t="str">
        <x:v>Operaciones/Handoff</x:v>
      </x:c>
      <x:c r="C111" s="26" t="str">
        <x:v>Revisión accesibilidad</x:v>
      </x:c>
      <x:c r="D111" s="26" t="str">
        <x:v>P2</x:v>
      </x:c>
      <x:c r="E111" s="26" t="str">
        <x:v>Documentation Consolidation</x:v>
      </x:c>
      <x:c r="F111" s="26" t="str">
        <x:v>Planned</x:v>
      </x:c>
      <x:c r="G111" s="26" t="str">
        <x:v>NOT RUN</x:v>
      </x:c>
      <x:c r="H111" s="26" t="str">
        <x:v>Production/Documentation</x:v>
      </x:c>
      <x:c r="I111" s="26" t="str">
        <x:v>Production/QA</x:v>
      </x:c>
      <x:c r="J111" s="26"/>
      <x:c r="K111" s="26" t="str">
        <x:v>gaps y pruebas ejecutadas</x:v>
      </x:c>
      <x:c r="L111" s="26"/>
      <x:c r="M111" s="26" t="str">
        <x:v>Entregable verificable, evidencia registrada y dependencias satisfechas.</x:v>
      </x:c>
      <x:c r="N111" s="26" t="str">
        <x:v>matriz/evidencia</x:v>
      </x:c>
      <x:c r="O111" s="26" t="str">
        <x:v>34_Final_Handoff_and_Project_Operations_Manual.md</x:v>
      </x:c>
      <x:c r="P111" s="26" t="str">
        <x:v>Handoffs, openings, closures, ADR y estados v0.3–v0.6</x:v>
      </x:c>
      <x:c r="Q111" s="26" t="str">
        <x:v>CONDITIONAL</x:v>
      </x:c>
      <x:c r="R111" s="26" t="str">
        <x:v>CONDITIONAL</x:v>
      </x:c>
      <x:c r="S111" s="26"/>
      <x:c r="T111" s="90" t="n">
        <x:v>0</x:v>
      </x:c>
    </x:row>
    <x:row r="112" ht="30" customHeight="1">
      <x:c r="A112" s="26" t="str">
        <x:v>OPS-12</x:v>
      </x:c>
      <x:c r="B112" s="26" t="str">
        <x:v>Operaciones/Handoff</x:v>
      </x:c>
      <x:c r="C112" s="26" t="str">
        <x:v>H6 execution</x:v>
      </x:c>
      <x:c r="D112" s="26" t="str">
        <x:v>P2</x:v>
      </x:c>
      <x:c r="E112" s="26" t="str">
        <x:v>Documentation Consolidation</x:v>
      </x:c>
      <x:c r="F112" s="26" t="str">
        <x:v>Planned</x:v>
      </x:c>
      <x:c r="G112" s="26" t="str">
        <x:v>NOT RUN</x:v>
      </x:c>
      <x:c r="H112" s="26" t="str">
        <x:v>Production/Documentation</x:v>
      </x:c>
      <x:c r="I112" s="26" t="str">
        <x:v>Production/QA</x:v>
      </x:c>
      <x:c r="J112" s="26"/>
      <x:c r="K112" s="26" t="str">
        <x:v>controles 31 cerrados</x:v>
      </x:c>
      <x:c r="L112" s="26"/>
      <x:c r="M112" s="26" t="str">
        <x:v>Entregable verificable, evidencia registrada y dependencias satisfechas.</x:v>
      </x:c>
      <x:c r="N112" s="26" t="str">
        <x:v>signoff H6</x:v>
      </x:c>
      <x:c r="O112" s="26" t="str">
        <x:v>34_Final_Handoff_and_Project_Operations_Manual.md</x:v>
      </x:c>
      <x:c r="P112" s="26" t="str">
        <x:v>Handoffs, openings, closures, ADR y estados v0.3–v0.6</x:v>
      </x:c>
      <x:c r="Q112" s="26" t="str">
        <x:v>YES</x:v>
      </x:c>
      <x:c r="R112" s="26" t="str">
        <x:v>CONDITIONAL</x:v>
      </x:c>
      <x:c r="S112" s="26"/>
      <x:c r="T112" s="90" t="n">
        <x:v>0</x:v>
      </x:c>
    </x:row>
    <x:row r="113" ht="30" customHeight="1">
      <x:c r="A113" s="26" t="str">
        <x:v>OPS-13</x:v>
      </x:c>
      <x:c r="B113" s="26" t="str">
        <x:v>Operaciones/Handoff</x:v>
      </x:c>
      <x:c r="C113" s="26" t="str">
        <x:v>Regenerar 12</x:v>
      </x:c>
      <x:c r="D113" s="26" t="str">
        <x:v>P2</x:v>
      </x:c>
      <x:c r="E113" s="26" t="str">
        <x:v>Documentation Consolidation</x:v>
      </x:c>
      <x:c r="F113" s="26" t="str">
        <x:v>Done</x:v>
      </x:c>
      <x:c r="G113" s="26" t="str">
        <x:v>PASS</x:v>
      </x:c>
      <x:c r="H113" s="26" t="str">
        <x:v>Production/Documentation</x:v>
      </x:c>
      <x:c r="I113" s="26" t="str">
        <x:v>Production/QA</x:v>
      </x:c>
      <x:c r="J113" s="26"/>
      <x:c r="K113" s="26" t="str">
        <x:v>maestro 00–34</x:v>
      </x:c>
      <x:c r="L113" s="26"/>
      <x:c r="M113" s="26" t="str">
        <x:v>Entregable verificable, evidencia registrada y dependencias satisfechas.</x:v>
      </x:c>
      <x:c r="N113" s="26" t="str">
        <x:v>XLSX validado</x:v>
      </x:c>
      <x:c r="O113" s="26" t="str">
        <x:v>34_Final_Handoff_and_Project_Operations_Manual.md</x:v>
      </x:c>
      <x:c r="P113" s="26" t="str">
        <x:v>Handoffs, openings, closures, ADR y estados v0.3–v0.6</x:v>
      </x:c>
      <x:c r="Q113" s="26" t="str">
        <x:v>CONDITIONAL</x:v>
      </x:c>
      <x:c r="R113" s="26" t="str">
        <x:v>CONDITIONAL</x:v>
      </x:c>
      <x:c r="S113" s="26"/>
      <x:c r="T113" s="90" t="n">
        <x:v>1</x:v>
      </x:c>
    </x:row>
    <x:row r="114" ht="30" customHeight="1">
      <x:c r="A114" s="26" t="str">
        <x:v>OPS-14</x:v>
      </x:c>
      <x:c r="B114" s="26" t="str">
        <x:v>Operaciones/Handoff</x:v>
      </x:c>
      <x:c r="C114" s="26" t="str">
        <x:v>Regenerar 13</x:v>
      </x:c>
      <x:c r="D114" s="26" t="str">
        <x:v>P2</x:v>
      </x:c>
      <x:c r="E114" s="26" t="str">
        <x:v>Documentation Consolidation</x:v>
      </x:c>
      <x:c r="F114" s="26" t="str">
        <x:v>Planned</x:v>
      </x:c>
      <x:c r="G114" s="26" t="str">
        <x:v>NOT RUN</x:v>
      </x:c>
      <x:c r="H114" s="26" t="str">
        <x:v>Production/Documentation</x:v>
      </x:c>
      <x:c r="I114" s="26" t="str">
        <x:v>Production/QA</x:v>
      </x:c>
      <x:c r="J114" s="26"/>
      <x:c r="K114" s="26" t="str">
        <x:v>cambios/linaje completos</x:v>
      </x:c>
      <x:c r="L114" s="26"/>
      <x:c r="M114" s="26" t="str">
        <x:v>Entregable verificable, evidencia registrada y dependencias satisfechas.</x:v>
      </x:c>
      <x:c r="N114" s="26" t="str">
        <x:v>XLSX validado</x:v>
      </x:c>
      <x:c r="O114" s="26" t="str">
        <x:v>34_Final_Handoff_and_Project_Operations_Manual.md</x:v>
      </x:c>
      <x:c r="P114" s="26" t="str">
        <x:v>Handoffs, openings, closures, ADR y estados v0.3–v0.6</x:v>
      </x:c>
      <x:c r="Q114" s="26" t="str">
        <x:v>CONDITIONAL</x:v>
      </x:c>
      <x:c r="R114" s="26" t="str">
        <x:v>CONDITIONAL</x:v>
      </x:c>
      <x:c r="S114" s="26"/>
      <x:c r="T114" s="90" t="n">
        <x:v>0</x:v>
      </x:c>
    </x:row>
    <x:row r="115" ht="30" customHeight="1">
      <x:c r="A115" s="26" t="str">
        <x:v>OPS-15</x:v>
      </x:c>
      <x:c r="B115" s="26" t="str">
        <x:v>Operaciones/Handoff</x:v>
      </x:c>
      <x:c r="C115" s="26" t="str">
        <x:v>Regenerar 14</x:v>
      </x:c>
      <x:c r="D115" s="26" t="str">
        <x:v>P2</x:v>
      </x:c>
      <x:c r="E115" s="26" t="str">
        <x:v>Documentation Consolidation</x:v>
      </x:c>
      <x:c r="F115" s="26" t="str">
        <x:v>Planned</x:v>
      </x:c>
      <x:c r="G115" s="26" t="str">
        <x:v>NOT RUN</x:v>
      </x:c>
      <x:c r="H115" s="26" t="str">
        <x:v>Production/Documentation</x:v>
      </x:c>
      <x:c r="I115" s="26" t="str">
        <x:v>Production/QA</x:v>
      </x:c>
      <x:c r="J115" s="26"/>
      <x:c r="K115" s="26" t="str">
        <x:v>índice 00–34</x:v>
      </x:c>
      <x:c r="L115" s="26"/>
      <x:c r="M115" s="26" t="str">
        <x:v>Entregable verificable, evidencia registrada y dependencias satisfechas.</x:v>
      </x:c>
      <x:c r="N115" s="26" t="str">
        <x:v>MD validado</x:v>
      </x:c>
      <x:c r="O115" s="26" t="str">
        <x:v>34_Final_Handoff_and_Project_Operations_Manual.md</x:v>
      </x:c>
      <x:c r="P115" s="26" t="str">
        <x:v>Handoffs, openings, closures, ADR y estados v0.3–v0.6</x:v>
      </x:c>
      <x:c r="Q115" s="26" t="str">
        <x:v>CONDITIONAL</x:v>
      </x:c>
      <x:c r="R115" s="26" t="str">
        <x:v>CONDITIONAL</x:v>
      </x:c>
      <x:c r="S115" s="26"/>
      <x:c r="T115" s="90" t="n">
        <x:v>0</x:v>
      </x:c>
    </x:row>
    <x:row r="116" ht="30" customHeight="1">
      <x:c r="A116" s="26" t="str">
        <x:v>OPS-16</x:v>
      </x:c>
      <x:c r="B116" s="26" t="str">
        <x:v>Operaciones/Handoff</x:v>
      </x:c>
      <x:c r="C116" s="26" t="str">
        <x:v>Regenerar 15</x:v>
      </x:c>
      <x:c r="D116" s="26" t="str">
        <x:v>P2</x:v>
      </x:c>
      <x:c r="E116" s="26" t="str">
        <x:v>Documentation Consolidation</x:v>
      </x:c>
      <x:c r="F116" s="26" t="str">
        <x:v>Planned</x:v>
      </x:c>
      <x:c r="G116" s="26" t="str">
        <x:v>NOT RUN</x:v>
      </x:c>
      <x:c r="H116" s="26" t="str">
        <x:v>Production/Documentation</x:v>
      </x:c>
      <x:c r="I116" s="26" t="str">
        <x:v>Production/QA</x:v>
      </x:c>
      <x:c r="J116" s="26"/>
      <x:c r="K116" s="26" t="str">
        <x:v>guía completa</x:v>
      </x:c>
      <x:c r="L116" s="26"/>
      <x:c r="M116" s="26" t="str">
        <x:v>Entregable verificable, evidencia registrada y dependencias satisfechas.</x:v>
      </x:c>
      <x:c r="N116" s="26" t="str">
        <x:v>MD validado</x:v>
      </x:c>
      <x:c r="O116" s="26" t="str">
        <x:v>34_Final_Handoff_and_Project_Operations_Manual.md</x:v>
      </x:c>
      <x:c r="P116" s="26" t="str">
        <x:v>Handoffs, openings, closures, ADR y estados v0.3–v0.6</x:v>
      </x:c>
      <x:c r="Q116" s="26" t="str">
        <x:v>CONDITIONAL</x:v>
      </x:c>
      <x:c r="R116" s="26" t="str">
        <x:v>CONDITIONAL</x:v>
      </x:c>
      <x:c r="S116" s="26"/>
      <x:c r="T116" s="90" t="n">
        <x:v>0</x:v>
      </x:c>
    </x:row>
    <x:row r="117" ht="30" customHeight="1">
      <x:c r="A117" s="26" t="str">
        <x:v>OPS-17</x:v>
      </x:c>
      <x:c r="B117" s="26" t="str">
        <x:v>Operaciones/Handoff</x:v>
      </x:c>
      <x:c r="C117" s="26" t="str">
        <x:v>Regenerar 16</x:v>
      </x:c>
      <x:c r="D117" s="26" t="str">
        <x:v>P2</x:v>
      </x:c>
      <x:c r="E117" s="26" t="str">
        <x:v>Documentation Consolidation</x:v>
      </x:c>
      <x:c r="F117" s="26" t="str">
        <x:v>Planned</x:v>
      </x:c>
      <x:c r="G117" s="26" t="str">
        <x:v>NOT RUN</x:v>
      </x:c>
      <x:c r="H117" s="26" t="str">
        <x:v>Production/Documentation</x:v>
      </x:c>
      <x:c r="I117" s="26" t="str">
        <x:v>Production/QA</x:v>
      </x:c>
      <x:c r="J117" s="26"/>
      <x:c r="K117" s="26" t="str">
        <x:v>auditoría final</x:v>
      </x:c>
      <x:c r="L117" s="26"/>
      <x:c r="M117" s="26" t="str">
        <x:v>Entregable verificable, evidencia registrada y dependencias satisfechas.</x:v>
      </x:c>
      <x:c r="N117" s="26" t="str">
        <x:v>informe sin bloqueantes</x:v>
      </x:c>
      <x:c r="O117" s="26" t="str">
        <x:v>34_Final_Handoff_and_Project_Operations_Manual.md</x:v>
      </x:c>
      <x:c r="P117" s="26" t="str">
        <x:v>Handoffs, openings, closures, ADR y estados v0.3–v0.6</x:v>
      </x:c>
      <x:c r="Q117" s="26" t="str">
        <x:v>CONDITIONAL</x:v>
      </x:c>
      <x:c r="R117" s="26" t="str">
        <x:v>CONDITIONAL</x:v>
      </x:c>
      <x:c r="S117" s="26"/>
      <x:c r="T117" s="90" t="n">
        <x:v>0</x:v>
      </x:c>
    </x:row>
    <x:row r="118" ht="30" customHeight="1">
      <x:c r="A118" s="26" t="str">
        <x:v>OPS-18</x:v>
      </x:c>
      <x:c r="B118" s="26" t="str">
        <x:v>Operaciones/Handoff</x:v>
      </x:c>
      <x:c r="C118" s="26" t="str">
        <x:v>Actualizar 21/23</x:v>
      </x:c>
      <x:c r="D118" s="26" t="str">
        <x:v>P2</x:v>
      </x:c>
      <x:c r="E118" s="26" t="str">
        <x:v>Documentation Consolidation</x:v>
      </x:c>
      <x:c r="F118" s="26" t="str">
        <x:v>Planned</x:v>
      </x:c>
      <x:c r="G118" s="26" t="str">
        <x:v>NOT RUN</x:v>
      </x:c>
      <x:c r="H118" s="26" t="str">
        <x:v>Production/Documentation</x:v>
      </x:c>
      <x:c r="I118" s="26" t="str">
        <x:v>Production/QA</x:v>
      </x:c>
      <x:c r="J118" s="26"/>
      <x:c r="K118" s="26" t="str">
        <x:v>referencias y hashes</x:v>
      </x:c>
      <x:c r="L118" s="26"/>
      <x:c r="M118" s="26" t="str">
        <x:v>Entregable verificable, evidencia registrada y dependencias satisfechas.</x:v>
      </x:c>
      <x:c r="N118" s="26" t="str">
        <x:v>libros validados</x:v>
      </x:c>
      <x:c r="O118" s="26" t="str">
        <x:v>34_Final_Handoff_and_Project_Operations_Manual.md</x:v>
      </x:c>
      <x:c r="P118" s="26" t="str">
        <x:v>Handoffs, openings, closures, ADR y estados v0.3–v0.6</x:v>
      </x:c>
      <x:c r="Q118" s="26" t="str">
        <x:v>CONDITIONAL</x:v>
      </x:c>
      <x:c r="R118" s="26" t="str">
        <x:v>CONDITIONAL</x:v>
      </x:c>
      <x:c r="S118" s="26"/>
      <x:c r="T118" s="90" t="n">
        <x:v>0</x:v>
      </x:c>
    </x:row>
    <x:row r="119" ht="30" customHeight="1">
      <x:c r="A119" s="26" t="str">
        <x:v>OPS-19</x:v>
      </x:c>
      <x:c r="B119" s="26" t="str">
        <x:v>Operaciones/Handoff</x:v>
      </x:c>
      <x:c r="C119" s="26" t="str">
        <x:v>Actualizar 31/32</x:v>
      </x:c>
      <x:c r="D119" s="26" t="str">
        <x:v>P2</x:v>
      </x:c>
      <x:c r="E119" s="26" t="str">
        <x:v>Documentation Consolidation</x:v>
      </x:c>
      <x:c r="F119" s="26" t="str">
        <x:v>Planned</x:v>
      </x:c>
      <x:c r="G119" s="26" t="str">
        <x:v>NOT RUN</x:v>
      </x:c>
      <x:c r="H119" s="26" t="str">
        <x:v>Production/Documentation</x:v>
      </x:c>
      <x:c r="I119" s="26" t="str">
        <x:v>Production/QA</x:v>
      </x:c>
      <x:c r="J119" s="26"/>
      <x:c r="K119" s="26" t="str">
        <x:v>referencias 33/34 y cierre</x:v>
      </x:c>
      <x:c r="L119" s="26"/>
      <x:c r="M119" s="26" t="str">
        <x:v>Entregable verificable, evidencia registrada y dependencias satisfechas.</x:v>
      </x:c>
      <x:c r="N119" s="26" t="str">
        <x:v>libros validados</x:v>
      </x:c>
      <x:c r="O119" s="26" t="str">
        <x:v>34_Final_Handoff_and_Project_Operations_Manual.md</x:v>
      </x:c>
      <x:c r="P119" s="26" t="str">
        <x:v>Handoffs, openings, closures, ADR y estados v0.3–v0.6</x:v>
      </x:c>
      <x:c r="Q119" s="26" t="str">
        <x:v>CONDITIONAL</x:v>
      </x:c>
      <x:c r="R119" s="26" t="str">
        <x:v>CONDITIONAL</x:v>
      </x:c>
      <x:c r="S119" s="26"/>
      <x:c r="T119" s="90" t="n">
        <x:v>0</x:v>
      </x:c>
    </x:row>
    <x:row r="120" ht="30" customHeight="1">
      <x:c r="A120" s="26" t="str">
        <x:v>OPS-20</x:v>
      </x:c>
      <x:c r="B120" s="26" t="str">
        <x:v>Operaciones/Handoff</x:v>
      </x:c>
      <x:c r="C120" s="26" t="str">
        <x:v>Manifest externo</x:v>
      </x:c>
      <x:c r="D120" s="26" t="str">
        <x:v>P2</x:v>
      </x:c>
      <x:c r="E120" s="26" t="str">
        <x:v>Documentation Consolidation</x:v>
      </x:c>
      <x:c r="F120" s="26" t="str">
        <x:v>Planned</x:v>
      </x:c>
      <x:c r="G120" s="26" t="str">
        <x:v>NOT RUN</x:v>
      </x:c>
      <x:c r="H120" s="26" t="str">
        <x:v>Production/Documentation</x:v>
      </x:c>
      <x:c r="I120" s="26" t="str">
        <x:v>Production/QA</x:v>
      </x:c>
      <x:c r="J120" s="26"/>
      <x:c r="K120" s="26" t="str">
        <x:v>inventario y hashes finales</x:v>
      </x:c>
      <x:c r="L120" s="26"/>
      <x:c r="M120" s="26" t="str">
        <x:v>Entregable verificable, evidencia registrada y dependencias satisfechas.</x:v>
      </x:c>
      <x:c r="N120" s="26" t="str">
        <x:v>manifest</x:v>
      </x:c>
      <x:c r="O120" s="26" t="str">
        <x:v>34_Final_Handoff_and_Project_Operations_Manual.md</x:v>
      </x:c>
      <x:c r="P120" s="26" t="str">
        <x:v>Handoffs, openings, closures, ADR y estados v0.3–v0.6</x:v>
      </x:c>
      <x:c r="Q120" s="26" t="str">
        <x:v>CONDITIONAL</x:v>
      </x:c>
      <x:c r="R120" s="26" t="str">
        <x:v>CONDITIONAL</x:v>
      </x:c>
      <x:c r="S120" s="26"/>
      <x:c r="T120" s="90" t="n">
        <x:v>0</x:v>
      </x:c>
    </x:row>
    <x:row r="121" ht="30" customHeight="1">
      <x:c r="A121" s="26" t="str">
        <x:v>OPS-21</x:v>
      </x:c>
      <x:c r="B121" s="26" t="str">
        <x:v>Operaciones/Handoff</x:v>
      </x:c>
      <x:c r="C121" s="26" t="str">
        <x:v>Checksums</x:v>
      </x:c>
      <x:c r="D121" s="26" t="str">
        <x:v>P2</x:v>
      </x:c>
      <x:c r="E121" s="26" t="str">
        <x:v>Documentation Consolidation</x:v>
      </x:c>
      <x:c r="F121" s="26" t="str">
        <x:v>Planned</x:v>
      </x:c>
      <x:c r="G121" s="26" t="str">
        <x:v>NOT RUN</x:v>
      </x:c>
      <x:c r="H121" s="26" t="str">
        <x:v>Production/Documentation</x:v>
      </x:c>
      <x:c r="I121" s="26" t="str">
        <x:v>Production/QA</x:v>
      </x:c>
      <x:c r="J121" s="26"/>
      <x:c r="K121" s="26" t="str">
        <x:v>SHA-256 de paquete</x:v>
      </x:c>
      <x:c r="L121" s="26"/>
      <x:c r="M121" s="26" t="str">
        <x:v>Entregable verificable, evidencia registrada y dependencias satisfechas.</x:v>
      </x:c>
      <x:c r="N121" s="26" t="str">
        <x:v>archivo checksum</x:v>
      </x:c>
      <x:c r="O121" s="26" t="str">
        <x:v>34_Final_Handoff_and_Project_Operations_Manual.md</x:v>
      </x:c>
      <x:c r="P121" s="26" t="str">
        <x:v>Handoffs, openings, closures, ADR y estados v0.3–v0.6</x:v>
      </x:c>
      <x:c r="Q121" s="26" t="str">
        <x:v>CONDITIONAL</x:v>
      </x:c>
      <x:c r="R121" s="26" t="str">
        <x:v>CONDITIONAL</x:v>
      </x:c>
      <x:c r="S121" s="26"/>
      <x:c r="T121" s="90" t="n">
        <x:v>0</x:v>
      </x:c>
    </x:row>
    <x:row r="122" ht="30" customHeight="1">
      <x:c r="A122" s="26" t="str">
        <x:v>OPS-22</x:v>
      </x:c>
      <x:c r="B122" s="26" t="str">
        <x:v>Operaciones/Handoff</x:v>
      </x:c>
      <x:c r="C122" s="26" t="str">
        <x:v>Informe validación</x:v>
      </x:c>
      <x:c r="D122" s="26" t="str">
        <x:v>P2</x:v>
      </x:c>
      <x:c r="E122" s="26" t="str">
        <x:v>Documentation Consolidation</x:v>
      </x:c>
      <x:c r="F122" s="26" t="str">
        <x:v>Planned</x:v>
      </x:c>
      <x:c r="G122" s="26" t="str">
        <x:v>NOT RUN</x:v>
      </x:c>
      <x:c r="H122" s="26" t="str">
        <x:v>Production/Documentation</x:v>
      </x:c>
      <x:c r="I122" s="26" t="str">
        <x:v>Production/QA</x:v>
      </x:c>
      <x:c r="J122" s="26"/>
      <x:c r="K122" s="26" t="str">
        <x:v>estructura, enlaces, formatos</x:v>
      </x:c>
      <x:c r="L122" s="26"/>
      <x:c r="M122" s="26" t="str">
        <x:v>Entregable verificable, evidencia registrada y dependencias satisfechas.</x:v>
      </x:c>
      <x:c r="N122" s="26" t="str">
        <x:v>report PASS</x:v>
      </x:c>
      <x:c r="O122" s="26" t="str">
        <x:v>34_Final_Handoff_and_Project_Operations_Manual.md</x:v>
      </x:c>
      <x:c r="P122" s="26" t="str">
        <x:v>Handoffs, openings, closures, ADR y estados v0.3–v0.6</x:v>
      </x:c>
      <x:c r="Q122" s="26" t="str">
        <x:v>CONDITIONAL</x:v>
      </x:c>
      <x:c r="R122" s="26" t="str">
        <x:v>CONDITIONAL</x:v>
      </x:c>
      <x:c r="S122" s="26"/>
      <x:c r="T122" s="90" t="n">
        <x:v>0</x:v>
      </x:c>
    </x:row>
    <x:row r="123" ht="30" customHeight="1">
      <x:c r="A123" s="26" t="str">
        <x:v>OPS-23</x:v>
      </x:c>
      <x:c r="B123" s="26" t="str">
        <x:v>Operaciones/Handoff</x:v>
      </x:c>
      <x:c r="C123" s="26" t="str">
        <x:v>ZIP inmutable</x:v>
      </x:c>
      <x:c r="D123" s="26" t="str">
        <x:v>P2</x:v>
      </x:c>
      <x:c r="E123" s="26" t="str">
        <x:v>Documentation Consolidation</x:v>
      </x:c>
      <x:c r="F123" s="26" t="str">
        <x:v>Planned</x:v>
      </x:c>
      <x:c r="G123" s="26" t="str">
        <x:v>NOT RUN</x:v>
      </x:c>
      <x:c r="H123" s="26" t="str">
        <x:v>Production/Documentation</x:v>
      </x:c>
      <x:c r="I123" s="26" t="str">
        <x:v>Production/QA</x:v>
      </x:c>
      <x:c r="J123" s="26"/>
      <x:c r="K123" s="26" t="str">
        <x:v>baseline final</x:v>
      </x:c>
      <x:c r="L123" s="26"/>
      <x:c r="M123" s="26" t="str">
        <x:v>Entregable verificable, evidencia registrada y dependencias satisfechas.</x:v>
      </x:c>
      <x:c r="N123" s="26" t="str">
        <x:v>hash y extracción PASS</x:v>
      </x:c>
      <x:c r="O123" s="26" t="str">
        <x:v>34_Final_Handoff_and_Project_Operations_Manual.md</x:v>
      </x:c>
      <x:c r="P123" s="26" t="str">
        <x:v>Handoffs, openings, closures, ADR y estados v0.3–v0.6</x:v>
      </x:c>
      <x:c r="Q123" s="26" t="str">
        <x:v>CONDITIONAL</x:v>
      </x:c>
      <x:c r="R123" s="26" t="str">
        <x:v>CONDITIONAL</x:v>
      </x:c>
      <x:c r="S123" s="26"/>
      <x:c r="T123" s="90" t="n">
        <x:v>0</x:v>
      </x:c>
    </x:row>
    <x:row r="124" ht="30" customHeight="1">
      <x:c r="A124" s="26" t="str">
        <x:v>OPS-24</x:v>
      </x:c>
      <x:c r="B124" s="26" t="str">
        <x:v>Operaciones/Handoff</x:v>
      </x:c>
      <x:c r="C124" s="26" t="str">
        <x:v>Copia independiente</x:v>
      </x:c>
      <x:c r="D124" s="26" t="str">
        <x:v>P2</x:v>
      </x:c>
      <x:c r="E124" s="26" t="str">
        <x:v>Documentation Consolidation</x:v>
      </x:c>
      <x:c r="F124" s="26" t="str">
        <x:v>Planned</x:v>
      </x:c>
      <x:c r="G124" s="26" t="str">
        <x:v>NOT RUN</x:v>
      </x:c>
      <x:c r="H124" s="26" t="str">
        <x:v>Production/Documentation</x:v>
      </x:c>
      <x:c r="I124" s="26" t="str">
        <x:v>Production/QA</x:v>
      </x:c>
      <x:c r="J124" s="26"/>
      <x:c r="K124" s="26" t="str">
        <x:v>recuperación protegida</x:v>
      </x:c>
      <x:c r="L124" s="26"/>
      <x:c r="M124" s="26" t="str">
        <x:v>Entregable verificable, evidencia registrada y dependencias satisfechas.</x:v>
      </x:c>
      <x:c r="N124" s="26" t="str">
        <x:v>verificación</x:v>
      </x:c>
      <x:c r="O124" s="26" t="str">
        <x:v>34_Final_Handoff_and_Project_Operations_Manual.md</x:v>
      </x:c>
      <x:c r="P124" s="26" t="str">
        <x:v>Handoffs, openings, closures, ADR y estados v0.3–v0.6</x:v>
      </x:c>
      <x:c r="Q124" s="26" t="str">
        <x:v>CONDITIONAL</x:v>
      </x:c>
      <x:c r="R124" s="26" t="str">
        <x:v>CONDITIONAL</x:v>
      </x:c>
      <x:c r="S124" s="26"/>
      <x:c r="T124" s="90" t="n">
        <x:v>0</x:v>
      </x:c>
    </x:row>
    <x:row r="125" ht="30" customHeight="1">
      <x:c r="A125" s="26" t="str">
        <x:v>OPS-25</x:v>
      </x:c>
      <x:c r="B125" s="26" t="str">
        <x:v>Operaciones/Handoff</x:v>
      </x:c>
      <x:c r="C125" s="26" t="str">
        <x:v>Onboarding drill</x:v>
      </x:c>
      <x:c r="D125" s="26" t="str">
        <x:v>P2</x:v>
      </x:c>
      <x:c r="E125" s="26" t="str">
        <x:v>Documentation Consolidation</x:v>
      </x:c>
      <x:c r="F125" s="26" t="str">
        <x:v>Planned</x:v>
      </x:c>
      <x:c r="G125" s="26" t="str">
        <x:v>NOT RUN</x:v>
      </x:c>
      <x:c r="H125" s="26" t="str">
        <x:v>Production/Documentation</x:v>
      </x:c>
      <x:c r="I125" s="26" t="str">
        <x:v>Production/QA</x:v>
      </x:c>
      <x:c r="J125" s="26"/>
      <x:c r="K125" s="26" t="str">
        <x:v>tercero retoma sin chat</x:v>
      </x:c>
      <x:c r="L125" s="26"/>
      <x:c r="M125" s="26" t="str">
        <x:v>Entregable verificable, evidencia registrada y dependencias satisfechas.</x:v>
      </x:c>
      <x:c r="N125" s="26" t="str">
        <x:v>acta de ejercicio</x:v>
      </x:c>
      <x:c r="O125" s="26" t="str">
        <x:v>34_Final_Handoff_and_Project_Operations_Manual.md</x:v>
      </x:c>
      <x:c r="P125" s="26" t="str">
        <x:v>Handoffs, openings, closures, ADR y estados v0.3–v0.6</x:v>
      </x:c>
      <x:c r="Q125" s="26" t="str">
        <x:v>CONDITIONAL</x:v>
      </x:c>
      <x:c r="R125" s="26" t="str">
        <x:v>CONDITIONAL</x:v>
      </x:c>
      <x:c r="S125" s="26"/>
      <x:c r="T125" s="90" t="n">
        <x:v>0</x:v>
      </x:c>
    </x:row>
    <x:row r="126" ht="30" customHeight="1">
      <x:c r="A126" s="26" t="str">
        <x:v>OPS-26</x:v>
      </x:c>
      <x:c r="B126" s="26" t="str">
        <x:v>Operaciones/Handoff</x:v>
      </x:c>
      <x:c r="C126" s="26" t="str">
        <x:v>Crisis tabletop</x:v>
      </x:c>
      <x:c r="D126" s="26" t="str">
        <x:v>P2</x:v>
      </x:c>
      <x:c r="E126" s="26" t="str">
        <x:v>Documentation Consolidation</x:v>
      </x:c>
      <x:c r="F126" s="26" t="str">
        <x:v>Planned</x:v>
      </x:c>
      <x:c r="G126" s="26" t="str">
        <x:v>NOT RUN</x:v>
      </x:c>
      <x:c r="H126" s="26" t="str">
        <x:v>Production/Documentation</x:v>
      </x:c>
      <x:c r="I126" s="26" t="str">
        <x:v>Production/QA</x:v>
      </x:c>
      <x:c r="J126" s="26"/>
      <x:c r="K126" s="26" t="str">
        <x:v>playbook ejecutado</x:v>
      </x:c>
      <x:c r="L126" s="26"/>
      <x:c r="M126" s="26" t="str">
        <x:v>Entregable verificable, evidencia registrada y dependencias satisfechas.</x:v>
      </x:c>
      <x:c r="N126" s="26" t="str">
        <x:v>lessons/actions</x:v>
      </x:c>
      <x:c r="O126" s="26" t="str">
        <x:v>34_Final_Handoff_and_Project_Operations_Manual.md</x:v>
      </x:c>
      <x:c r="P126" s="26" t="str">
        <x:v>Handoffs, openings, closures, ADR y estados v0.3–v0.6</x:v>
      </x:c>
      <x:c r="Q126" s="26" t="str">
        <x:v>CONDITIONAL</x:v>
      </x:c>
      <x:c r="R126" s="26" t="str">
        <x:v>CONDITIONAL</x:v>
      </x:c>
      <x:c r="S126" s="26"/>
      <x:c r="T126" s="90" t="n">
        <x:v>0</x:v>
      </x:c>
    </x:row>
    <x:row r="127" ht="30" customHeight="1">
      <x:c r="A127" s="26" t="str">
        <x:v>OPS-27</x:v>
      </x:c>
      <x:c r="B127" s="26" t="str">
        <x:v>Operaciones/Handoff</x:v>
      </x:c>
      <x:c r="C127" s="26" t="str">
        <x:v>Release access drill</x:v>
      </x:c>
      <x:c r="D127" s="26" t="str">
        <x:v>P2</x:v>
      </x:c>
      <x:c r="E127" s="26" t="str">
        <x:v>Documentation Consolidation</x:v>
      </x:c>
      <x:c r="F127" s="26" t="str">
        <x:v>Planned</x:v>
      </x:c>
      <x:c r="G127" s="26" t="str">
        <x:v>NOT RUN</x:v>
      </x:c>
      <x:c r="H127" s="26" t="str">
        <x:v>Production/Documentation</x:v>
      </x:c>
      <x:c r="I127" s="26" t="str">
        <x:v>Production/QA</x:v>
      </x:c>
      <x:c r="J127" s="26"/>
      <x:c r="K127" s="26" t="str">
        <x:v>Steam/Git/backup sustituto</x:v>
      </x:c>
      <x:c r="L127" s="26"/>
      <x:c r="M127" s="26" t="str">
        <x:v>Entregable verificable, evidencia registrada y dependencias satisfechas.</x:v>
      </x:c>
      <x:c r="N127" s="26" t="str">
        <x:v>evidencia controlada</x:v>
      </x:c>
      <x:c r="O127" s="26" t="str">
        <x:v>34_Final_Handoff_and_Project_Operations_Manual.md</x:v>
      </x:c>
      <x:c r="P127" s="26" t="str">
        <x:v>Handoffs, openings, closures, ADR y estados v0.3–v0.6</x:v>
      </x:c>
      <x:c r="Q127" s="26" t="str">
        <x:v>CONDITIONAL</x:v>
      </x:c>
      <x:c r="R127" s="26" t="str">
        <x:v>CONDITIONAL</x:v>
      </x:c>
      <x:c r="S127" s="26"/>
      <x:c r="T127" s="90" t="n">
        <x:v>0</x:v>
      </x:c>
    </x:row>
    <x:row r="128" ht="30" customHeight="1">
      <x:c r="A128" s="26" t="str">
        <x:v>OPS-28</x:v>
      </x:c>
      <x:c r="B128" s="26" t="str">
        <x:v>Operaciones/Handoff</x:v>
      </x:c>
      <x:c r="C128" s="26" t="str">
        <x:v>Revisión trimestral</x:v>
      </x:c>
      <x:c r="D128" s="26" t="str">
        <x:v>P2</x:v>
      </x:c>
      <x:c r="E128" s="26" t="str">
        <x:v>Documentation Consolidation</x:v>
      </x:c>
      <x:c r="F128" s="26" t="str">
        <x:v>Planned</x:v>
      </x:c>
      <x:c r="G128" s="26" t="str">
        <x:v>NOT RUN</x:v>
      </x:c>
      <x:c r="H128" s="26" t="str">
        <x:v>Production/Documentation</x:v>
      </x:c>
      <x:c r="I128" s="26" t="str">
        <x:v>Production/QA</x:v>
      </x:c>
      <x:c r="J128" s="26"/>
      <x:c r="K128" s="26" t="str">
        <x:v>manual y BIA actualizados</x:v>
      </x:c>
      <x:c r="L128" s="26"/>
      <x:c r="M128" s="26" t="str">
        <x:v>Entregable verificable, evidencia registrada y dependencias satisfechas.</x:v>
      </x:c>
      <x:c r="N128" s="26" t="str">
        <x:v>change log</x:v>
      </x:c>
      <x:c r="O128" s="26" t="str">
        <x:v>34_Final_Handoff_and_Project_Operations_Manual.md</x:v>
      </x:c>
      <x:c r="P128" s="26" t="str">
        <x:v>Handoffs, openings, closures, ADR y estados v0.3–v0.6</x:v>
      </x:c>
      <x:c r="Q128" s="26" t="str">
        <x:v>CONDITIONAL</x:v>
      </x:c>
      <x:c r="R128" s="26" t="str">
        <x:v>CONDITIONAL</x:v>
      </x:c>
      <x:c r="S128" s="26"/>
      <x:c r="T128" s="90" t="n">
        <x:v>0</x:v>
      </x:c>
    </x:row>
    <x:row r="129" ht="30" customHeight="1">
      <x:c r="A129" s="26" t="str">
        <x:v>PRIV-WP-01</x:v>
      </x:c>
      <x:c r="B129" s="26" t="str">
        <x:v>Privacidad/Datos</x:v>
      </x:c>
      <x:c r="C129" s="26" t="str">
        <x:v>Inventario/RAT inicial</x:v>
      </x:c>
      <x:c r="D129" s="26" t="str">
        <x:v>P1</x:v>
      </x:c>
      <x:c r="E129" s="26" t="str">
        <x:v>Pre-Steam</x:v>
      </x:c>
      <x:c r="F129" s="26" t="str">
        <x:v>Planned</x:v>
      </x:c>
      <x:c r="G129" s="26" t="str">
        <x:v>NOT RUN</x:v>
      </x:c>
      <x:c r="H129" s="26" t="str">
        <x:v>Privacy/Engineering</x:v>
      </x:c>
      <x:c r="I129" s="26" t="str">
        <x:v>Production/QA</x:v>
      </x:c>
      <x:c r="J129" s="26"/>
      <x:c r="K129" s="26"/>
      <x:c r="L129" s="26"/>
      <x:c r="M129" s="26" t="str">
        <x:v>Entregable verificable, evidencia registrada y dependencias satisfechas.</x:v>
      </x:c>
      <x:c r="N129" s="26" t="str">
        <x:v>Registro, artefacto y validación reproducible</x:v>
      </x:c>
      <x:c r="O129" s="26" t="str">
        <x:v>26_Privacy_Data_and_Telemetry_Plan.md</x:v>
      </x:c>
      <x:c r="P129" s="26" t="str">
        <x:v>Privacidad, save y telemetry precedentes v0.3–v0.6</x:v>
      </x:c>
      <x:c r="Q129" s="26" t="str">
        <x:v>CONDITIONAL</x:v>
      </x:c>
      <x:c r="R129" s="26" t="str">
        <x:v>YES</x:v>
      </x:c>
      <x:c r="S129" s="26"/>
      <x:c r="T129" s="90" t="n">
        <x:v>0</x:v>
      </x:c>
    </x:row>
    <x:row r="130" ht="30" customHeight="1">
      <x:c r="A130" s="26" t="str">
        <x:v>PRIV-WP-02</x:v>
      </x:c>
      <x:c r="B130" s="26" t="str">
        <x:v>Privacidad/Datos</x:v>
      </x:c>
      <x:c r="C130" s="26" t="str">
        <x:v>Política ES/EN local-first</x:v>
      </x:c>
      <x:c r="D130" s="26" t="str">
        <x:v>P1</x:v>
      </x:c>
      <x:c r="E130" s="26" t="str">
        <x:v>H6 / store</x:v>
      </x:c>
      <x:c r="F130" s="26" t="str">
        <x:v>Planned</x:v>
      </x:c>
      <x:c r="G130" s="26" t="str">
        <x:v>NOT RUN</x:v>
      </x:c>
      <x:c r="H130" s="26" t="str">
        <x:v>Privacy/Engineering</x:v>
      </x:c>
      <x:c r="I130" s="26" t="str">
        <x:v>Production/QA</x:v>
      </x:c>
      <x:c r="J130" s="26"/>
      <x:c r="K130" s="26"/>
      <x:c r="L130" s="26"/>
      <x:c r="M130" s="26" t="str">
        <x:v>Entregable verificable, evidencia registrada y dependencias satisfechas.</x:v>
      </x:c>
      <x:c r="N130" s="26" t="str">
        <x:v>Registro, artefacto y validación reproducible</x:v>
      </x:c>
      <x:c r="O130" s="26" t="str">
        <x:v>26_Privacy_Data_and_Telemetry_Plan.md</x:v>
      </x:c>
      <x:c r="P130" s="26" t="str">
        <x:v>Privacidad, save y telemetry precedentes v0.3–v0.6</x:v>
      </x:c>
      <x:c r="Q130" s="26" t="str">
        <x:v>YES</x:v>
      </x:c>
      <x:c r="R130" s="26" t="str">
        <x:v>YES</x:v>
      </x:c>
      <x:c r="S130" s="26"/>
      <x:c r="T130" s="90" t="n">
        <x:v>0</x:v>
      </x:c>
    </x:row>
    <x:row r="131" ht="30" customHeight="1">
      <x:c r="A131" s="26" t="str">
        <x:v>PRIV-WP-03</x:v>
      </x:c>
      <x:c r="B131" s="26" t="str">
        <x:v>Privacidad/Datos</x:v>
      </x:c>
      <x:c r="C131" s="26" t="str">
        <x:v>Soporte, notice y retención</x:v>
      </x:c>
      <x:c r="D131" s="26" t="str">
        <x:v>P2</x:v>
      </x:c>
      <x:c r="E131" s="26" t="str">
        <x:v>Pre-release</x:v>
      </x:c>
      <x:c r="F131" s="26" t="str">
        <x:v>Planned</x:v>
      </x:c>
      <x:c r="G131" s="26" t="str">
        <x:v>NOT RUN</x:v>
      </x:c>
      <x:c r="H131" s="26" t="str">
        <x:v>Privacy/Engineering</x:v>
      </x:c>
      <x:c r="I131" s="26" t="str">
        <x:v>Production/QA</x:v>
      </x:c>
      <x:c r="J131" s="26"/>
      <x:c r="K131" s="26"/>
      <x:c r="L131" s="26"/>
      <x:c r="M131" s="26" t="str">
        <x:v>Entregable verificable, evidencia registrada y dependencias satisfechas.</x:v>
      </x:c>
      <x:c r="N131" s="26" t="str">
        <x:v>Registro, artefacto y validación reproducible</x:v>
      </x:c>
      <x:c r="O131" s="26" t="str">
        <x:v>26_Privacy_Data_and_Telemetry_Plan.md</x:v>
      </x:c>
      <x:c r="P131" s="26" t="str">
        <x:v>Privacidad, save y telemetry precedentes v0.3–v0.6</x:v>
      </x:c>
      <x:c r="Q131" s="26" t="str">
        <x:v>CONDITIONAL</x:v>
      </x:c>
      <x:c r="R131" s="26" t="str">
        <x:v>YES</x:v>
      </x:c>
      <x:c r="S131" s="26"/>
      <x:c r="T131" s="90" t="n">
        <x:v>0</x:v>
      </x:c>
    </x:row>
    <x:row r="132" ht="30" customHeight="1">
      <x:c r="A132" s="26" t="str">
        <x:v>PRIV-WP-04</x:v>
      </x:c>
      <x:c r="B132" s="26" t="str">
        <x:v>Privacidad/Datos</x:v>
      </x:c>
      <x:c r="C132" s="26" t="str">
        <x:v>Redacción de logs y adjuntos</x:v>
      </x:c>
      <x:c r="D132" s="26" t="str">
        <x:v>P2</x:v>
      </x:c>
      <x:c r="E132" s="26" t="str">
        <x:v>Pre-release</x:v>
      </x:c>
      <x:c r="F132" s="26" t="str">
        <x:v>Planned</x:v>
      </x:c>
      <x:c r="G132" s="26" t="str">
        <x:v>NOT RUN</x:v>
      </x:c>
      <x:c r="H132" s="26" t="str">
        <x:v>Privacy/Engineering</x:v>
      </x:c>
      <x:c r="I132" s="26" t="str">
        <x:v>Production/QA</x:v>
      </x:c>
      <x:c r="J132" s="26"/>
      <x:c r="K132" s="26"/>
      <x:c r="L132" s="26"/>
      <x:c r="M132" s="26" t="str">
        <x:v>Entregable verificable, evidencia registrada y dependencias satisfechas.</x:v>
      </x:c>
      <x:c r="N132" s="26" t="str">
        <x:v>Registro, artefacto y validación reproducible</x:v>
      </x:c>
      <x:c r="O132" s="26" t="str">
        <x:v>26_Privacy_Data_and_Telemetry_Plan.md</x:v>
      </x:c>
      <x:c r="P132" s="26" t="str">
        <x:v>Privacidad, save y telemetry precedentes v0.3–v0.6</x:v>
      </x:c>
      <x:c r="Q132" s="26" t="str">
        <x:v>CONDITIONAL</x:v>
      </x:c>
      <x:c r="R132" s="26" t="str">
        <x:v>YES</x:v>
      </x:c>
      <x:c r="S132" s="26"/>
      <x:c r="T132" s="90" t="n">
        <x:v>0</x:v>
      </x:c>
    </x:row>
    <x:row r="133" ht="30" customHeight="1">
      <x:c r="A133" s="26" t="str">
        <x:v>PRIV-WP-05</x:v>
      </x:c>
      <x:c r="B133" s="26" t="str">
        <x:v>Privacidad/Datos</x:v>
      </x:c>
      <x:c r="C133" s="26" t="str">
        <x:v>Vendor/DPA template</x:v>
      </x:c>
      <x:c r="D133" s="26" t="str">
        <x:v>P2</x:v>
      </x:c>
      <x:c r="E133" s="26" t="str">
        <x:v>Before provider</x:v>
      </x:c>
      <x:c r="F133" s="26" t="str">
        <x:v>Planned</x:v>
      </x:c>
      <x:c r="G133" s="26" t="str">
        <x:v>NOT RUN</x:v>
      </x:c>
      <x:c r="H133" s="26" t="str">
        <x:v>Privacy/Engineering</x:v>
      </x:c>
      <x:c r="I133" s="26" t="str">
        <x:v>Production/QA</x:v>
      </x:c>
      <x:c r="J133" s="26"/>
      <x:c r="K133" s="26"/>
      <x:c r="L133" s="26"/>
      <x:c r="M133" s="26" t="str">
        <x:v>Entregable verificable, evidencia registrada y dependencias satisfechas.</x:v>
      </x:c>
      <x:c r="N133" s="26" t="str">
        <x:v>Registro, artefacto y validación reproducible</x:v>
      </x:c>
      <x:c r="O133" s="26" t="str">
        <x:v>26_Privacy_Data_and_Telemetry_Plan.md</x:v>
      </x:c>
      <x:c r="P133" s="26" t="str">
        <x:v>Privacidad, save y telemetry precedentes v0.3–v0.6</x:v>
      </x:c>
      <x:c r="Q133" s="26" t="str">
        <x:v>CONDITIONAL</x:v>
      </x:c>
      <x:c r="R133" s="26" t="str">
        <x:v>YES</x:v>
      </x:c>
      <x:c r="S133" s="26"/>
      <x:c r="T133" s="90" t="n">
        <x:v>0</x:v>
      </x:c>
    </x:row>
    <x:row r="134" ht="30" customHeight="1">
      <x:c r="A134" s="26" t="str">
        <x:v>PRIV-WP-06</x:v>
      </x:c>
      <x:c r="B134" s="26" t="str">
        <x:v>Privacidad/Datos</x:v>
      </x:c>
      <x:c r="C134" s="26" t="str">
        <x:v>Rights request workflow</x:v>
      </x:c>
      <x:c r="D134" s="26" t="str">
        <x:v>P2</x:v>
      </x:c>
      <x:c r="E134" s="26" t="str">
        <x:v>Pre-release</x:v>
      </x:c>
      <x:c r="F134" s="26" t="str">
        <x:v>Planned</x:v>
      </x:c>
      <x:c r="G134" s="26" t="str">
        <x:v>NOT RUN</x:v>
      </x:c>
      <x:c r="H134" s="26" t="str">
        <x:v>Privacy/Engineering</x:v>
      </x:c>
      <x:c r="I134" s="26" t="str">
        <x:v>Production/QA</x:v>
      </x:c>
      <x:c r="J134" s="26"/>
      <x:c r="K134" s="26"/>
      <x:c r="L134" s="26"/>
      <x:c r="M134" s="26" t="str">
        <x:v>Entregable verificable, evidencia registrada y dependencias satisfechas.</x:v>
      </x:c>
      <x:c r="N134" s="26" t="str">
        <x:v>Registro, artefacto y validación reproducible</x:v>
      </x:c>
      <x:c r="O134" s="26" t="str">
        <x:v>26_Privacy_Data_and_Telemetry_Plan.md</x:v>
      </x:c>
      <x:c r="P134" s="26" t="str">
        <x:v>Privacidad, save y telemetry precedentes v0.3–v0.6</x:v>
      </x:c>
      <x:c r="Q134" s="26" t="str">
        <x:v>CONDITIONAL</x:v>
      </x:c>
      <x:c r="R134" s="26" t="str">
        <x:v>YES</x:v>
      </x:c>
      <x:c r="S134" s="26"/>
      <x:c r="T134" s="90" t="n">
        <x:v>0</x:v>
      </x:c>
    </x:row>
    <x:row r="135" ht="30" customHeight="1">
      <x:c r="A135" s="26" t="str">
        <x:v>PRIV-WP-07</x:v>
      </x:c>
      <x:c r="B135" s="26" t="str">
        <x:v>Privacidad/Datos</x:v>
      </x:c>
      <x:c r="C135" s="26" t="str">
        <x:v>Breach runbook and drill</x:v>
      </x:c>
      <x:c r="D135" s="26" t="str">
        <x:v>P2</x:v>
      </x:c>
      <x:c r="E135" s="26" t="str">
        <x:v>Pre-release</x:v>
      </x:c>
      <x:c r="F135" s="26" t="str">
        <x:v>Planned</x:v>
      </x:c>
      <x:c r="G135" s="26" t="str">
        <x:v>NOT RUN</x:v>
      </x:c>
      <x:c r="H135" s="26" t="str">
        <x:v>Privacy/Engineering</x:v>
      </x:c>
      <x:c r="I135" s="26" t="str">
        <x:v>Production/QA</x:v>
      </x:c>
      <x:c r="J135" s="26"/>
      <x:c r="K135" s="26"/>
      <x:c r="L135" s="26"/>
      <x:c r="M135" s="26" t="str">
        <x:v>Entregable verificable, evidencia registrada y dependencias satisfechas.</x:v>
      </x:c>
      <x:c r="N135" s="26" t="str">
        <x:v>Registro, artefacto y validación reproducible</x:v>
      </x:c>
      <x:c r="O135" s="26" t="str">
        <x:v>26_Privacy_Data_and_Telemetry_Plan.md</x:v>
      </x:c>
      <x:c r="P135" s="26" t="str">
        <x:v>Privacidad, save y telemetry precedentes v0.3–v0.6</x:v>
      </x:c>
      <x:c r="Q135" s="26" t="str">
        <x:v>CONDITIONAL</x:v>
      </x:c>
      <x:c r="R135" s="26" t="str">
        <x:v>YES</x:v>
      </x:c>
      <x:c r="S135" s="26"/>
      <x:c r="T135" s="90" t="n">
        <x:v>0</x:v>
      </x:c>
    </x:row>
    <x:row r="136" ht="30" customHeight="1">
      <x:c r="A136" s="26" t="str">
        <x:v>PRIV-WP-08</x:v>
      </x:c>
      <x:c r="B136" s="26" t="str">
        <x:v>Privacidad/Datos</x:v>
      </x:c>
      <x:c r="C136" s="26" t="str">
        <x:v>Website/cookie audit</x:v>
      </x:c>
      <x:c r="D136" s="26" t="str">
        <x:v>P2</x:v>
      </x:c>
      <x:c r="E136" s="26" t="str">
        <x:v>Before website</x:v>
      </x:c>
      <x:c r="F136" s="26" t="str">
        <x:v>Planned</x:v>
      </x:c>
      <x:c r="G136" s="26" t="str">
        <x:v>NOT RUN</x:v>
      </x:c>
      <x:c r="H136" s="26" t="str">
        <x:v>Privacy/Engineering</x:v>
      </x:c>
      <x:c r="I136" s="26" t="str">
        <x:v>Production/QA</x:v>
      </x:c>
      <x:c r="J136" s="26"/>
      <x:c r="K136" s="26"/>
      <x:c r="L136" s="26"/>
      <x:c r="M136" s="26" t="str">
        <x:v>Entregable verificable, evidencia registrada y dependencias satisfechas.</x:v>
      </x:c>
      <x:c r="N136" s="26" t="str">
        <x:v>Registro, artefacto y validación reproducible</x:v>
      </x:c>
      <x:c r="O136" s="26" t="str">
        <x:v>26_Privacy_Data_and_Telemetry_Plan.md</x:v>
      </x:c>
      <x:c r="P136" s="26" t="str">
        <x:v>Privacidad, save y telemetry precedentes v0.3–v0.6</x:v>
      </x:c>
      <x:c r="Q136" s="26" t="str">
        <x:v>CONDITIONAL</x:v>
      </x:c>
      <x:c r="R136" s="26" t="str">
        <x:v>YES</x:v>
      </x:c>
      <x:c r="S136" s="26"/>
      <x:c r="T136" s="90" t="n">
        <x:v>0</x:v>
      </x:c>
    </x:row>
    <x:row r="137" ht="30" customHeight="1">
      <x:c r="A137" s="26" t="str">
        <x:v>PRIV-WP-09</x:v>
      </x:c>
      <x:c r="B137" s="26" t="str">
        <x:v>Privacidad/Datos</x:v>
      </x:c>
      <x:c r="C137" s="26" t="str">
        <x:v>Steam data/permissions map</x:v>
      </x:c>
      <x:c r="D137" s="26" t="str">
        <x:v>P2</x:v>
      </x:c>
      <x:c r="E137" s="26" t="str">
        <x:v>Onboarding</x:v>
      </x:c>
      <x:c r="F137" s="26" t="str">
        <x:v>Planned</x:v>
      </x:c>
      <x:c r="G137" s="26" t="str">
        <x:v>NOT RUN</x:v>
      </x:c>
      <x:c r="H137" s="26" t="str">
        <x:v>Privacy/Engineering</x:v>
      </x:c>
      <x:c r="I137" s="26" t="str">
        <x:v>Production/QA</x:v>
      </x:c>
      <x:c r="J137" s="26"/>
      <x:c r="K137" s="26"/>
      <x:c r="L137" s="26"/>
      <x:c r="M137" s="26" t="str">
        <x:v>Entregable verificable, evidencia registrada y dependencias satisfechas.</x:v>
      </x:c>
      <x:c r="N137" s="26" t="str">
        <x:v>Registro, artefacto y validación reproducible</x:v>
      </x:c>
      <x:c r="O137" s="26" t="str">
        <x:v>26_Privacy_Data_and_Telemetry_Plan.md</x:v>
      </x:c>
      <x:c r="P137" s="26" t="str">
        <x:v>Privacidad, save y telemetry precedentes v0.3–v0.6</x:v>
      </x:c>
      <x:c r="Q137" s="26" t="str">
        <x:v>CONDITIONAL</x:v>
      </x:c>
      <x:c r="R137" s="26" t="str">
        <x:v>YES</x:v>
      </x:c>
      <x:c r="S137" s="26"/>
      <x:c r="T137" s="90" t="n">
        <x:v>0</x:v>
      </x:c>
    </x:row>
    <x:row r="138" ht="30" customHeight="1">
      <x:c r="A138" s="26" t="str">
        <x:v>PRIV-WP-10</x:v>
      </x:c>
      <x:c r="B138" s="26" t="str">
        <x:v>Privacidad/Datos</x:v>
      </x:c>
      <x:c r="C138" s="26" t="str">
        <x:v>Cloud privacy gate</x:v>
      </x:c>
      <x:c r="D138" s="26" t="str">
        <x:v>P2</x:v>
      </x:c>
      <x:c r="E138" s="26" t="str">
        <x:v>Optional feature</x:v>
      </x:c>
      <x:c r="F138" s="26" t="str">
        <x:v>Planned</x:v>
      </x:c>
      <x:c r="G138" s="26" t="str">
        <x:v>NOT RUN</x:v>
      </x:c>
      <x:c r="H138" s="26" t="str">
        <x:v>Privacy/Engineering</x:v>
      </x:c>
      <x:c r="I138" s="26" t="str">
        <x:v>Production/QA</x:v>
      </x:c>
      <x:c r="J138" s="26"/>
      <x:c r="K138" s="26"/>
      <x:c r="L138" s="26"/>
      <x:c r="M138" s="26" t="str">
        <x:v>Entregable verificable, evidencia registrada y dependencias satisfechas.</x:v>
      </x:c>
      <x:c r="N138" s="26" t="str">
        <x:v>Registro, artefacto y validación reproducible</x:v>
      </x:c>
      <x:c r="O138" s="26" t="str">
        <x:v>26_Privacy_Data_and_Telemetry_Plan.md</x:v>
      </x:c>
      <x:c r="P138" s="26" t="str">
        <x:v>Privacidad, save y telemetry precedentes v0.3–v0.6</x:v>
      </x:c>
      <x:c r="Q138" s="26" t="str">
        <x:v>CONDITIONAL</x:v>
      </x:c>
      <x:c r="R138" s="26" t="str">
        <x:v>YES</x:v>
      </x:c>
      <x:c r="S138" s="26"/>
      <x:c r="T138" s="90" t="n">
        <x:v>0</x:v>
      </x:c>
    </x:row>
    <x:row r="139" ht="30" customHeight="1">
      <x:c r="A139" s="26" t="str">
        <x:v>PRIV-WP-11</x:v>
      </x:c>
      <x:c r="B139" s="26" t="str">
        <x:v>Privacidad/Datos</x:v>
      </x:c>
      <x:c r="C139" s="26" t="str">
        <x:v>Crash provider gate</x:v>
      </x:c>
      <x:c r="D139" s="26" t="str">
        <x:v>P2</x:v>
      </x:c>
      <x:c r="E139" s="26" t="str">
        <x:v>Optional feature</x:v>
      </x:c>
      <x:c r="F139" s="26" t="str">
        <x:v>Planned</x:v>
      </x:c>
      <x:c r="G139" s="26" t="str">
        <x:v>NOT RUN</x:v>
      </x:c>
      <x:c r="H139" s="26" t="str">
        <x:v>Privacy/Engineering</x:v>
      </x:c>
      <x:c r="I139" s="26" t="str">
        <x:v>Production/QA</x:v>
      </x:c>
      <x:c r="J139" s="26"/>
      <x:c r="K139" s="26"/>
      <x:c r="L139" s="26"/>
      <x:c r="M139" s="26" t="str">
        <x:v>Entregable verificable, evidencia registrada y dependencias satisfechas.</x:v>
      </x:c>
      <x:c r="N139" s="26" t="str">
        <x:v>Registro, artefacto y validación reproducible</x:v>
      </x:c>
      <x:c r="O139" s="26" t="str">
        <x:v>26_Privacy_Data_and_Telemetry_Plan.md</x:v>
      </x:c>
      <x:c r="P139" s="26" t="str">
        <x:v>Privacidad, save y telemetry precedentes v0.3–v0.6</x:v>
      </x:c>
      <x:c r="Q139" s="26" t="str">
        <x:v>CONDITIONAL</x:v>
      </x:c>
      <x:c r="R139" s="26" t="str">
        <x:v>YES</x:v>
      </x:c>
      <x:c r="S139" s="26"/>
      <x:c r="T139" s="90" t="n">
        <x:v>0</x:v>
      </x:c>
    </x:row>
    <x:row r="140" ht="30" customHeight="1">
      <x:c r="A140" s="26" t="str">
        <x:v>PRIV-WP-12</x:v>
      </x:c>
      <x:c r="B140" s="26" t="str">
        <x:v>Privacidad/Datos</x:v>
      </x:c>
      <x:c r="C140" s="26" t="str">
        <x:v>Telemetry experiment gate</x:v>
      </x:c>
      <x:c r="D140" s="26" t="str">
        <x:v>P2</x:v>
      </x:c>
      <x:c r="E140" s="26" t="str">
        <x:v>Post-launch only if justified</x:v>
      </x:c>
      <x:c r="F140" s="26" t="str">
        <x:v>Planned</x:v>
      </x:c>
      <x:c r="G140" s="26" t="str">
        <x:v>NOT RUN</x:v>
      </x:c>
      <x:c r="H140" s="26" t="str">
        <x:v>Privacy/Engineering</x:v>
      </x:c>
      <x:c r="I140" s="26" t="str">
        <x:v>Production/QA</x:v>
      </x:c>
      <x:c r="J140" s="26"/>
      <x:c r="K140" s="26"/>
      <x:c r="L140" s="26"/>
      <x:c r="M140" s="26" t="str">
        <x:v>Entregable verificable, evidencia registrada y dependencias satisfechas.</x:v>
      </x:c>
      <x:c r="N140" s="26" t="str">
        <x:v>Registro, artefacto y validación reproducible</x:v>
      </x:c>
      <x:c r="O140" s="26" t="str">
        <x:v>26_Privacy_Data_and_Telemetry_Plan.md</x:v>
      </x:c>
      <x:c r="P140" s="26" t="str">
        <x:v>Privacidad, save y telemetry precedentes v0.3–v0.6</x:v>
      </x:c>
      <x:c r="Q140" s="26" t="str">
        <x:v>CONDITIONAL</x:v>
      </x:c>
      <x:c r="R140" s="26" t="str">
        <x:v>YES</x:v>
      </x:c>
      <x:c r="S140" s="26"/>
      <x:c r="T140" s="90" t="n">
        <x:v>0</x:v>
      </x:c>
    </x:row>
    <x:row r="141" ht="30" customHeight="1">
      <x:c r="A141" s="26" t="str">
        <x:v>PERF-WP-001</x:v>
      </x:c>
      <x:c r="B141" s="26" t="str">
        <x:v>Rendimiento</x:v>
      </x:c>
      <x:c r="C141" s="26" t="str">
        <x:v>Congelar benchmark de referencia</x:v>
      </x:c>
      <x:c r="D141" s="26" t="str">
        <x:v>P2</x:v>
      </x:c>
      <x:c r="E141" s="26" t="str">
        <x:v>Post-H6 / Release preparation</x:v>
      </x:c>
      <x:c r="F141" s="26" t="str">
        <x:v>Planned</x:v>
      </x:c>
      <x:c r="G141" s="26" t="str">
        <x:v>NOT RUN</x:v>
      </x:c>
      <x:c r="H141" s="26" t="str">
        <x:v>Engineering/QA</x:v>
      </x:c>
      <x:c r="I141" s="26" t="str">
        <x:v>Production/QA</x:v>
      </x:c>
      <x:c r="J141" s="26"/>
      <x:c r="K141" s="26"/>
      <x:c r="L141" s="26"/>
      <x:c r="M141" s="26" t="str">
        <x:v>Entregable verificable, evidencia registrada y dependencias satisfechas.</x:v>
      </x:c>
      <x:c r="N141" s="26" t="str">
        <x:v>Registro, artefacto y validación reproducible</x:v>
      </x:c>
      <x:c r="O141" s="26" t="str">
        <x:v>30_Performance_and_Optimization_Plan.md</x:v>
      </x:c>
      <x:c r="P141" s="26" t="str">
        <x:v>TDD/VSS/QA/arte/audio y objetivos históricos v0.3–v0.6</x:v>
      </x:c>
      <x:c r="Q141" s="26" t="str">
        <x:v>YES</x:v>
      </x:c>
      <x:c r="R141" s="26" t="str">
        <x:v>YES</x:v>
      </x:c>
      <x:c r="S141" s="26"/>
      <x:c r="T141" s="90" t="n">
        <x:v>0</x:v>
      </x:c>
    </x:row>
    <x:row r="142" ht="30" customHeight="1">
      <x:c r="A142" s="26" t="str">
        <x:v>PERF-WP-002</x:v>
      </x:c>
      <x:c r="B142" s="26" t="str">
        <x:v>Rendimiento</x:v>
      </x:c>
      <x:c r="C142" s="26" t="str">
        <x:v>Registrar hardware DEV-REF</x:v>
      </x:c>
      <x:c r="D142" s="26" t="str">
        <x:v>P2</x:v>
      </x:c>
      <x:c r="E142" s="26" t="str">
        <x:v>Post-H6 / Release preparation</x:v>
      </x:c>
      <x:c r="F142" s="26" t="str">
        <x:v>Planned</x:v>
      </x:c>
      <x:c r="G142" s="26" t="str">
        <x:v>NOT RUN</x:v>
      </x:c>
      <x:c r="H142" s="26" t="str">
        <x:v>Engineering/QA</x:v>
      </x:c>
      <x:c r="I142" s="26" t="str">
        <x:v>Production/QA</x:v>
      </x:c>
      <x:c r="J142" s="26"/>
      <x:c r="K142" s="26"/>
      <x:c r="L142" s="26"/>
      <x:c r="M142" s="26" t="str">
        <x:v>Entregable verificable, evidencia registrada y dependencias satisfechas.</x:v>
      </x:c>
      <x:c r="N142" s="26" t="str">
        <x:v>Registro, artefacto y validación reproducible</x:v>
      </x:c>
      <x:c r="O142" s="26" t="str">
        <x:v>30_Performance_and_Optimization_Plan.md</x:v>
      </x:c>
      <x:c r="P142" s="26" t="str">
        <x:v>TDD/VSS/QA/arte/audio y objetivos históricos v0.3–v0.6</x:v>
      </x:c>
      <x:c r="Q142" s="26" t="str">
        <x:v>YES</x:v>
      </x:c>
      <x:c r="R142" s="26" t="str">
        <x:v>YES</x:v>
      </x:c>
      <x:c r="S142" s="26"/>
      <x:c r="T142" s="90" t="n">
        <x:v>0</x:v>
      </x:c>
    </x:row>
    <x:row r="143" ht="30" customHeight="1">
      <x:c r="A143" s="26" t="str">
        <x:v>PERF-WP-003</x:v>
      </x:c>
      <x:c r="B143" s="26" t="str">
        <x:v>Rendimiento</x:v>
      </x:c>
      <x:c r="C143" s="26" t="str">
        <x:v>Crear Windows_Profiling</x:v>
      </x:c>
      <x:c r="D143" s="26" t="str">
        <x:v>P2</x:v>
      </x:c>
      <x:c r="E143" s="26" t="str">
        <x:v>Post-H6 / Release preparation</x:v>
      </x:c>
      <x:c r="F143" s="26" t="str">
        <x:v>Planned</x:v>
      </x:c>
      <x:c r="G143" s="26" t="str">
        <x:v>NOT RUN</x:v>
      </x:c>
      <x:c r="H143" s="26" t="str">
        <x:v>Engineering/QA</x:v>
      </x:c>
      <x:c r="I143" s="26" t="str">
        <x:v>Production/QA</x:v>
      </x:c>
      <x:c r="J143" s="26"/>
      <x:c r="K143" s="26"/>
      <x:c r="L143" s="26"/>
      <x:c r="M143" s="26" t="str">
        <x:v>Entregable verificable, evidencia registrada y dependencias satisfechas.</x:v>
      </x:c>
      <x:c r="N143" s="26" t="str">
        <x:v>Registro, artefacto y validación reproducible</x:v>
      </x:c>
      <x:c r="O143" s="26" t="str">
        <x:v>30_Performance_and_Optimization_Plan.md</x:v>
      </x:c>
      <x:c r="P143" s="26" t="str">
        <x:v>TDD/VSS/QA/arte/audio y objetivos históricos v0.3–v0.6</x:v>
      </x:c>
      <x:c r="Q143" s="26" t="str">
        <x:v>YES</x:v>
      </x:c>
      <x:c r="R143" s="26" t="str">
        <x:v>YES</x:v>
      </x:c>
      <x:c r="S143" s="26"/>
      <x:c r="T143" s="90" t="n">
        <x:v>0</x:v>
      </x:c>
    </x:row>
    <x:row r="144" ht="30" customHeight="1">
      <x:c r="A144" s="26" t="str">
        <x:v>PERF-WP-004</x:v>
      </x:c>
      <x:c r="B144" s="26" t="str">
        <x:v>Rendimiento</x:v>
      </x:c>
      <x:c r="C144" s="26" t="str">
        <x:v>Crear Windows_ReleaseCandidate</x:v>
      </x:c>
      <x:c r="D144" s="26" t="str">
        <x:v>P2</x:v>
      </x:c>
      <x:c r="E144" s="26" t="str">
        <x:v>Post-H6 / Release preparation</x:v>
      </x:c>
      <x:c r="F144" s="26" t="str">
        <x:v>Planned</x:v>
      </x:c>
      <x:c r="G144" s="26" t="str">
        <x:v>NOT RUN</x:v>
      </x:c>
      <x:c r="H144" s="26" t="str">
        <x:v>Engineering/QA</x:v>
      </x:c>
      <x:c r="I144" s="26" t="str">
        <x:v>Production/QA</x:v>
      </x:c>
      <x:c r="J144" s="26"/>
      <x:c r="K144" s="26"/>
      <x:c r="L144" s="26"/>
      <x:c r="M144" s="26" t="str">
        <x:v>Entregable verificable, evidencia registrada y dependencias satisfechas.</x:v>
      </x:c>
      <x:c r="N144" s="26" t="str">
        <x:v>Registro, artefacto y validación reproducible</x:v>
      </x:c>
      <x:c r="O144" s="26" t="str">
        <x:v>30_Performance_and_Optimization_Plan.md</x:v>
      </x:c>
      <x:c r="P144" s="26" t="str">
        <x:v>TDD/VSS/QA/arte/audio y objetivos históricos v0.3–v0.6</x:v>
      </x:c>
      <x:c r="Q144" s="26" t="str">
        <x:v>YES</x:v>
      </x:c>
      <x:c r="R144" s="26" t="str">
        <x:v>YES</x:v>
      </x:c>
      <x:c r="S144" s="26"/>
      <x:c r="T144" s="90" t="n">
        <x:v>0</x:v>
      </x:c>
    </x:row>
    <x:row r="145" ht="30" customHeight="1">
      <x:c r="A145" s="26" t="str">
        <x:v>PERF-WP-005</x:v>
      </x:c>
      <x:c r="B145" s="26" t="str">
        <x:v>Rendimiento</x:v>
      </x:c>
      <x:c r="C145" s="26" t="str">
        <x:v>Política de frame pacing</x:v>
      </x:c>
      <x:c r="D145" s="26" t="str">
        <x:v>P2</x:v>
      </x:c>
      <x:c r="E145" s="26" t="str">
        <x:v>Post-H6 / Release preparation</x:v>
      </x:c>
      <x:c r="F145" s="26" t="str">
        <x:v>Planned</x:v>
      </x:c>
      <x:c r="G145" s="26" t="str">
        <x:v>NOT RUN</x:v>
      </x:c>
      <x:c r="H145" s="26" t="str">
        <x:v>Engineering/QA</x:v>
      </x:c>
      <x:c r="I145" s="26" t="str">
        <x:v>Production/QA</x:v>
      </x:c>
      <x:c r="J145" s="26"/>
      <x:c r="K145" s="26"/>
      <x:c r="L145" s="26"/>
      <x:c r="M145" s="26" t="str">
        <x:v>Entregable verificable, evidencia registrada y dependencias satisfechas.</x:v>
      </x:c>
      <x:c r="N145" s="26" t="str">
        <x:v>Registro, artefacto y validación reproducible</x:v>
      </x:c>
      <x:c r="O145" s="26" t="str">
        <x:v>30_Performance_and_Optimization_Plan.md</x:v>
      </x:c>
      <x:c r="P145" s="26" t="str">
        <x:v>TDD/VSS/QA/arte/audio y objetivos históricos v0.3–v0.6</x:v>
      </x:c>
      <x:c r="Q145" s="26" t="str">
        <x:v>YES</x:v>
      </x:c>
      <x:c r="R145" s="26" t="str">
        <x:v>YES</x:v>
      </x:c>
      <x:c r="S145" s="26"/>
      <x:c r="T145" s="90" t="n">
        <x:v>0</x:v>
      </x:c>
    </x:row>
    <x:row r="146" ht="30" customHeight="1">
      <x:c r="A146" s="26" t="str">
        <x:v>PERF-WP-006</x:v>
      </x:c>
      <x:c r="B146" s="26" t="str">
        <x:v>Rendimiento</x:v>
      </x:c>
      <x:c r="C146" s="26" t="str">
        <x:v>Opciones de resolución/ventana</x:v>
      </x:c>
      <x:c r="D146" s="26" t="str">
        <x:v>P2</x:v>
      </x:c>
      <x:c r="E146" s="26" t="str">
        <x:v>Post-H6 / Release preparation</x:v>
      </x:c>
      <x:c r="F146" s="26" t="str">
        <x:v>Planned</x:v>
      </x:c>
      <x:c r="G146" s="26" t="str">
        <x:v>NOT RUN</x:v>
      </x:c>
      <x:c r="H146" s="26" t="str">
        <x:v>Engineering/QA</x:v>
      </x:c>
      <x:c r="I146" s="26" t="str">
        <x:v>Production/QA</x:v>
      </x:c>
      <x:c r="J146" s="26"/>
      <x:c r="K146" s="26"/>
      <x:c r="L146" s="26"/>
      <x:c r="M146" s="26" t="str">
        <x:v>Entregable verificable, evidencia registrada y dependencias satisfechas.</x:v>
      </x:c>
      <x:c r="N146" s="26" t="str">
        <x:v>Registro, artefacto y validación reproducible</x:v>
      </x:c>
      <x:c r="O146" s="26" t="str">
        <x:v>30_Performance_and_Optimization_Plan.md</x:v>
      </x:c>
      <x:c r="P146" s="26" t="str">
        <x:v>TDD/VSS/QA/arte/audio y objetivos históricos v0.3–v0.6</x:v>
      </x:c>
      <x:c r="Q146" s="26" t="str">
        <x:v>YES</x:v>
      </x:c>
      <x:c r="R146" s="26" t="str">
        <x:v>YES</x:v>
      </x:c>
      <x:c r="S146" s="26"/>
      <x:c r="T146" s="90" t="n">
        <x:v>0</x:v>
      </x:c>
    </x:row>
    <x:row r="147" ht="30" customHeight="1">
      <x:c r="A147" s="26" t="str">
        <x:v>PERF-WP-007</x:v>
      </x:c>
      <x:c r="B147" s="26" t="str">
        <x:v>Rendimiento</x:v>
      </x:c>
      <x:c r="C147" s="26" t="str">
        <x:v>Presets PC</x:v>
      </x:c>
      <x:c r="D147" s="26" t="str">
        <x:v>P2</x:v>
      </x:c>
      <x:c r="E147" s="26" t="str">
        <x:v>Post-H6 / Release preparation</x:v>
      </x:c>
      <x:c r="F147" s="26" t="str">
        <x:v>Planned</x:v>
      </x:c>
      <x:c r="G147" s="26" t="str">
        <x:v>NOT RUN</x:v>
      </x:c>
      <x:c r="H147" s="26" t="str">
        <x:v>Engineering/QA</x:v>
      </x:c>
      <x:c r="I147" s="26" t="str">
        <x:v>Production/QA</x:v>
      </x:c>
      <x:c r="J147" s="26"/>
      <x:c r="K147" s="26"/>
      <x:c r="L147" s="26"/>
      <x:c r="M147" s="26" t="str">
        <x:v>Entregable verificable, evidencia registrada y dependencias satisfechas.</x:v>
      </x:c>
      <x:c r="N147" s="26" t="str">
        <x:v>Registro, artefacto y validación reproducible</x:v>
      </x:c>
      <x:c r="O147" s="26" t="str">
        <x:v>30_Performance_and_Optimization_Plan.md</x:v>
      </x:c>
      <x:c r="P147" s="26" t="str">
        <x:v>TDD/VSS/QA/arte/audio y objetivos históricos v0.3–v0.6</x:v>
      </x:c>
      <x:c r="Q147" s="26" t="str">
        <x:v>YES</x:v>
      </x:c>
      <x:c r="R147" s="26" t="str">
        <x:v>YES</x:v>
      </x:c>
      <x:c r="S147" s="26"/>
      <x:c r="T147" s="90" t="n">
        <x:v>0</x:v>
      </x:c>
    </x:row>
    <x:row r="148" ht="30" customHeight="1">
      <x:c r="A148" s="26" t="str">
        <x:v>PERF-WP-008</x:v>
      </x:c>
      <x:c r="B148" s="26" t="str">
        <x:v>Rendimiento</x:v>
      </x:c>
      <x:c r="C148" s="26" t="str">
        <x:v>Instrumentación base</x:v>
      </x:c>
      <x:c r="D148" s="26" t="str">
        <x:v>P2</x:v>
      </x:c>
      <x:c r="E148" s="26" t="str">
        <x:v>Post-H6 / Release preparation</x:v>
      </x:c>
      <x:c r="F148" s="26" t="str">
        <x:v>Planned</x:v>
      </x:c>
      <x:c r="G148" s="26" t="str">
        <x:v>NOT RUN</x:v>
      </x:c>
      <x:c r="H148" s="26" t="str">
        <x:v>Engineering/QA</x:v>
      </x:c>
      <x:c r="I148" s="26" t="str">
        <x:v>Production/QA</x:v>
      </x:c>
      <x:c r="J148" s="26"/>
      <x:c r="K148" s="26"/>
      <x:c r="L148" s="26"/>
      <x:c r="M148" s="26" t="str">
        <x:v>Entregable verificable, evidencia registrada y dependencias satisfechas.</x:v>
      </x:c>
      <x:c r="N148" s="26" t="str">
        <x:v>Registro, artefacto y validación reproducible</x:v>
      </x:c>
      <x:c r="O148" s="26" t="str">
        <x:v>30_Performance_and_Optimization_Plan.md</x:v>
      </x:c>
      <x:c r="P148" s="26" t="str">
        <x:v>TDD/VSS/QA/arte/audio y objetivos históricos v0.3–v0.6</x:v>
      </x:c>
      <x:c r="Q148" s="26" t="str">
        <x:v>YES</x:v>
      </x:c>
      <x:c r="R148" s="26" t="str">
        <x:v>YES</x:v>
      </x:c>
      <x:c r="S148" s="26"/>
      <x:c r="T148" s="90" t="n">
        <x:v>0</x:v>
      </x:c>
    </x:row>
    <x:row r="149" ht="30" customHeight="1">
      <x:c r="A149" s="26" t="str">
        <x:v>PERF-WP-009</x:v>
      </x:c>
      <x:c r="B149" s="26" t="str">
        <x:v>Rendimiento</x:v>
      </x:c>
      <x:c r="C149" s="26" t="str">
        <x:v>Baseline CPU/GPU StoreInitial</x:v>
      </x:c>
      <x:c r="D149" s="26" t="str">
        <x:v>P2</x:v>
      </x:c>
      <x:c r="E149" s="26" t="str">
        <x:v>Post-H6 / Release preparation</x:v>
      </x:c>
      <x:c r="F149" s="26" t="str">
        <x:v>Planned</x:v>
      </x:c>
      <x:c r="G149" s="26" t="str">
        <x:v>NOT RUN</x:v>
      </x:c>
      <x:c r="H149" s="26" t="str">
        <x:v>Engineering/QA</x:v>
      </x:c>
      <x:c r="I149" s="26" t="str">
        <x:v>Production/QA</x:v>
      </x:c>
      <x:c r="J149" s="26"/>
      <x:c r="K149" s="26"/>
      <x:c r="L149" s="26"/>
      <x:c r="M149" s="26" t="str">
        <x:v>Entregable verificable, evidencia registrada y dependencias satisfechas.</x:v>
      </x:c>
      <x:c r="N149" s="26" t="str">
        <x:v>Registro, artefacto y validación reproducible</x:v>
      </x:c>
      <x:c r="O149" s="26" t="str">
        <x:v>30_Performance_and_Optimization_Plan.md</x:v>
      </x:c>
      <x:c r="P149" s="26" t="str">
        <x:v>TDD/VSS/QA/arte/audio y objetivos históricos v0.3–v0.6</x:v>
      </x:c>
      <x:c r="Q149" s="26" t="str">
        <x:v>YES</x:v>
      </x:c>
      <x:c r="R149" s="26" t="str">
        <x:v>YES</x:v>
      </x:c>
      <x:c r="S149" s="26"/>
      <x:c r="T149" s="90" t="n">
        <x:v>0</x:v>
      </x:c>
    </x:row>
    <x:row r="150" ht="30" customHeight="1">
      <x:c r="A150" s="26" t="str">
        <x:v>PERF-WP-010</x:v>
      </x:c>
      <x:c r="B150" s="26" t="str">
        <x:v>Rendimiento</x:v>
      </x:c>
      <x:c r="C150" s="26" t="str">
        <x:v>Baseline memoria</x:v>
      </x:c>
      <x:c r="D150" s="26" t="str">
        <x:v>P2</x:v>
      </x:c>
      <x:c r="E150" s="26" t="str">
        <x:v>Post-H6 / Release preparation</x:v>
      </x:c>
      <x:c r="F150" s="26" t="str">
        <x:v>Planned</x:v>
      </x:c>
      <x:c r="G150" s="26" t="str">
        <x:v>NOT RUN</x:v>
      </x:c>
      <x:c r="H150" s="26" t="str">
        <x:v>Engineering/QA</x:v>
      </x:c>
      <x:c r="I150" s="26" t="str">
        <x:v>Production/QA</x:v>
      </x:c>
      <x:c r="J150" s="26"/>
      <x:c r="K150" s="26"/>
      <x:c r="L150" s="26"/>
      <x:c r="M150" s="26" t="str">
        <x:v>Entregable verificable, evidencia registrada y dependencias satisfechas.</x:v>
      </x:c>
      <x:c r="N150" s="26" t="str">
        <x:v>Registro, artefacto y validación reproducible</x:v>
      </x:c>
      <x:c r="O150" s="26" t="str">
        <x:v>30_Performance_and_Optimization_Plan.md</x:v>
      </x:c>
      <x:c r="P150" s="26" t="str">
        <x:v>TDD/VSS/QA/arte/audio y objetivos históricos v0.3–v0.6</x:v>
      </x:c>
      <x:c r="Q150" s="26" t="str">
        <x:v>YES</x:v>
      </x:c>
      <x:c r="R150" s="26" t="str">
        <x:v>YES</x:v>
      </x:c>
      <x:c r="S150" s="26"/>
      <x:c r="T150" s="90" t="n">
        <x:v>0</x:v>
      </x:c>
    </x:row>
    <x:row r="151" ht="30" customHeight="1">
      <x:c r="A151" s="26" t="str">
        <x:v>PERF-WP-011</x:v>
      </x:c>
      <x:c r="B151" s="26" t="str">
        <x:v>Rendimiento</x:v>
      </x:c>
      <x:c r="C151" s="26" t="str">
        <x:v>Baseline carga</x:v>
      </x:c>
      <x:c r="D151" s="26" t="str">
        <x:v>P2</x:v>
      </x:c>
      <x:c r="E151" s="26" t="str">
        <x:v>Post-H6 / Release preparation</x:v>
      </x:c>
      <x:c r="F151" s="26" t="str">
        <x:v>Planned</x:v>
      </x:c>
      <x:c r="G151" s="26" t="str">
        <x:v>NOT RUN</x:v>
      </x:c>
      <x:c r="H151" s="26" t="str">
        <x:v>Engineering/QA</x:v>
      </x:c>
      <x:c r="I151" s="26" t="str">
        <x:v>Production/QA</x:v>
      </x:c>
      <x:c r="J151" s="26"/>
      <x:c r="K151" s="26"/>
      <x:c r="L151" s="26"/>
      <x:c r="M151" s="26" t="str">
        <x:v>Entregable verificable, evidencia registrada y dependencias satisfechas.</x:v>
      </x:c>
      <x:c r="N151" s="26" t="str">
        <x:v>Registro, artefacto y validación reproducible</x:v>
      </x:c>
      <x:c r="O151" s="26" t="str">
        <x:v>30_Performance_and_Optimization_Plan.md</x:v>
      </x:c>
      <x:c r="P151" s="26" t="str">
        <x:v>TDD/VSS/QA/arte/audio y objetivos históricos v0.3–v0.6</x:v>
      </x:c>
      <x:c r="Q151" s="26" t="str">
        <x:v>YES</x:v>
      </x:c>
      <x:c r="R151" s="26" t="str">
        <x:v>YES</x:v>
      </x:c>
      <x:c r="S151" s="26"/>
      <x:c r="T151" s="90" t="n">
        <x:v>0</x:v>
      </x:c>
    </x:row>
    <x:row r="152" ht="30" customHeight="1">
      <x:c r="A152" s="26" t="str">
        <x:v>PERF-WP-012</x:v>
      </x:c>
      <x:c r="B152" s="26" t="str">
        <x:v>Rendimiento</x:v>
      </x:c>
      <x:c r="C152" s="26" t="str">
        <x:v>Baseline save</x:v>
      </x:c>
      <x:c r="D152" s="26" t="str">
        <x:v>P2</x:v>
      </x:c>
      <x:c r="E152" s="26" t="str">
        <x:v>Post-H6 / Release preparation</x:v>
      </x:c>
      <x:c r="F152" s="26" t="str">
        <x:v>Planned</x:v>
      </x:c>
      <x:c r="G152" s="26" t="str">
        <x:v>NOT RUN</x:v>
      </x:c>
      <x:c r="H152" s="26" t="str">
        <x:v>Engineering/QA</x:v>
      </x:c>
      <x:c r="I152" s="26" t="str">
        <x:v>Production/QA</x:v>
      </x:c>
      <x:c r="J152" s="26"/>
      <x:c r="K152" s="26"/>
      <x:c r="L152" s="26"/>
      <x:c r="M152" s="26" t="str">
        <x:v>Entregable verificable, evidencia registrada y dependencias satisfechas.</x:v>
      </x:c>
      <x:c r="N152" s="26" t="str">
        <x:v>Registro, artefacto y validación reproducible</x:v>
      </x:c>
      <x:c r="O152" s="26" t="str">
        <x:v>30_Performance_and_Optimization_Plan.md</x:v>
      </x:c>
      <x:c r="P152" s="26" t="str">
        <x:v>TDD/VSS/QA/arte/audio y objetivos históricos v0.3–v0.6</x:v>
      </x:c>
      <x:c r="Q152" s="26" t="str">
        <x:v>YES</x:v>
      </x:c>
      <x:c r="R152" s="26" t="str">
        <x:v>YES</x:v>
      </x:c>
      <x:c r="S152" s="26"/>
      <x:c r="T152" s="90" t="n">
        <x:v>0</x:v>
      </x:c>
    </x:row>
    <x:row r="153" ht="30" customHeight="1">
      <x:c r="A153" s="26" t="str">
        <x:v>PERF-WP-013</x:v>
      </x:c>
      <x:c r="B153" s="26" t="str">
        <x:v>Rendimiento</x:v>
      </x:c>
      <x:c r="C153" s="26" t="str">
        <x:v>Auditoría Updates</x:v>
      </x:c>
      <x:c r="D153" s="26" t="str">
        <x:v>P2</x:v>
      </x:c>
      <x:c r="E153" s="26" t="str">
        <x:v>Post-H6 / Release preparation</x:v>
      </x:c>
      <x:c r="F153" s="26" t="str">
        <x:v>Planned</x:v>
      </x:c>
      <x:c r="G153" s="26" t="str">
        <x:v>NOT RUN</x:v>
      </x:c>
      <x:c r="H153" s="26" t="str">
        <x:v>Engineering/QA</x:v>
      </x:c>
      <x:c r="I153" s="26" t="str">
        <x:v>Production/QA</x:v>
      </x:c>
      <x:c r="J153" s="26"/>
      <x:c r="K153" s="26"/>
      <x:c r="L153" s="26"/>
      <x:c r="M153" s="26" t="str">
        <x:v>Entregable verificable, evidencia registrada y dependencias satisfechas.</x:v>
      </x:c>
      <x:c r="N153" s="26" t="str">
        <x:v>Registro, artefacto y validación reproducible</x:v>
      </x:c>
      <x:c r="O153" s="26" t="str">
        <x:v>30_Performance_and_Optimization_Plan.md</x:v>
      </x:c>
      <x:c r="P153" s="26" t="str">
        <x:v>TDD/VSS/QA/arte/audio y objetivos históricos v0.3–v0.6</x:v>
      </x:c>
      <x:c r="Q153" s="26" t="str">
        <x:v>YES</x:v>
      </x:c>
      <x:c r="R153" s="26" t="str">
        <x:v>YES</x:v>
      </x:c>
      <x:c r="S153" s="26"/>
      <x:c r="T153" s="90" t="n">
        <x:v>0</x:v>
      </x:c>
    </x:row>
    <x:row r="154" ht="30" customHeight="1">
      <x:c r="A154" s="26" t="str">
        <x:v>PERF-WP-014</x:v>
      </x:c>
      <x:c r="B154" s="26" t="str">
        <x:v>Rendimiento</x:v>
      </x:c>
      <x:c r="C154" s="26" t="str">
        <x:v>Customer scheduling</x:v>
      </x:c>
      <x:c r="D154" s="26" t="str">
        <x:v>P2</x:v>
      </x:c>
      <x:c r="E154" s="26" t="str">
        <x:v>Post-H6 / Release preparation</x:v>
      </x:c>
      <x:c r="F154" s="26" t="str">
        <x:v>Planned</x:v>
      </x:c>
      <x:c r="G154" s="26" t="str">
        <x:v>NOT RUN</x:v>
      </x:c>
      <x:c r="H154" s="26" t="str">
        <x:v>Engineering/QA</x:v>
      </x:c>
      <x:c r="I154" s="26" t="str">
        <x:v>Production/QA</x:v>
      </x:c>
      <x:c r="J154" s="26"/>
      <x:c r="K154" s="26"/>
      <x:c r="L154" s="26"/>
      <x:c r="M154" s="26" t="str">
        <x:v>Entregable verificable, evidencia registrada y dependencias satisfechas.</x:v>
      </x:c>
      <x:c r="N154" s="26" t="str">
        <x:v>Registro, artefacto y validación reproducible</x:v>
      </x:c>
      <x:c r="O154" s="26" t="str">
        <x:v>30_Performance_and_Optimization_Plan.md</x:v>
      </x:c>
      <x:c r="P154" s="26" t="str">
        <x:v>TDD/VSS/QA/arte/audio y objetivos históricos v0.3–v0.6</x:v>
      </x:c>
      <x:c r="Q154" s="26" t="str">
        <x:v>YES</x:v>
      </x:c>
      <x:c r="R154" s="26" t="str">
        <x:v>YES</x:v>
      </x:c>
      <x:c r="S154" s="26"/>
      <x:c r="T154" s="90" t="n">
        <x:v>0</x:v>
      </x:c>
    </x:row>
    <x:row r="155" ht="30" customHeight="1">
      <x:c r="A155" s="26" t="str">
        <x:v>PERF-WP-015</x:v>
      </x:c>
      <x:c r="B155" s="26" t="str">
        <x:v>Rendimiento</x:v>
      </x:c>
      <x:c r="C155" s="26" t="str">
        <x:v>Navegación</x:v>
      </x:c>
      <x:c r="D155" s="26" t="str">
        <x:v>P2</x:v>
      </x:c>
      <x:c r="E155" s="26" t="str">
        <x:v>Post-H6 / Release preparation</x:v>
      </x:c>
      <x:c r="F155" s="26" t="str">
        <x:v>Planned</x:v>
      </x:c>
      <x:c r="G155" s="26" t="str">
        <x:v>NOT RUN</x:v>
      </x:c>
      <x:c r="H155" s="26" t="str">
        <x:v>Engineering/QA</x:v>
      </x:c>
      <x:c r="I155" s="26" t="str">
        <x:v>Production/QA</x:v>
      </x:c>
      <x:c r="J155" s="26"/>
      <x:c r="K155" s="26"/>
      <x:c r="L155" s="26"/>
      <x:c r="M155" s="26" t="str">
        <x:v>Entregable verificable, evidencia registrada y dependencias satisfechas.</x:v>
      </x:c>
      <x:c r="N155" s="26" t="str">
        <x:v>Registro, artefacto y validación reproducible</x:v>
      </x:c>
      <x:c r="O155" s="26" t="str">
        <x:v>30_Performance_and_Optimization_Plan.md</x:v>
      </x:c>
      <x:c r="P155" s="26" t="str">
        <x:v>TDD/VSS/QA/arte/audio y objetivos históricos v0.3–v0.6</x:v>
      </x:c>
      <x:c r="Q155" s="26" t="str">
        <x:v>YES</x:v>
      </x:c>
      <x:c r="R155" s="26" t="str">
        <x:v>YES</x:v>
      </x:c>
      <x:c r="S155" s="26"/>
      <x:c r="T155" s="90" t="n">
        <x:v>0</x:v>
      </x:c>
    </x:row>
    <x:row r="156" ht="30" customHeight="1">
      <x:c r="A156" s="26" t="str">
        <x:v>PERF-WP-016</x:v>
      </x:c>
      <x:c r="B156" s="26" t="str">
        <x:v>Rendimiento</x:v>
      </x:c>
      <x:c r="C156" s="26" t="str">
        <x:v>Placement</x:v>
      </x:c>
      <x:c r="D156" s="26" t="str">
        <x:v>P2</x:v>
      </x:c>
      <x:c r="E156" s="26" t="str">
        <x:v>Post-H6 / Release preparation</x:v>
      </x:c>
      <x:c r="F156" s="26" t="str">
        <x:v>Planned</x:v>
      </x:c>
      <x:c r="G156" s="26" t="str">
        <x:v>NOT RUN</x:v>
      </x:c>
      <x:c r="H156" s="26" t="str">
        <x:v>Engineering/QA</x:v>
      </x:c>
      <x:c r="I156" s="26" t="str">
        <x:v>Production/QA</x:v>
      </x:c>
      <x:c r="J156" s="26"/>
      <x:c r="K156" s="26"/>
      <x:c r="L156" s="26"/>
      <x:c r="M156" s="26" t="str">
        <x:v>Entregable verificable, evidencia registrada y dependencias satisfechas.</x:v>
      </x:c>
      <x:c r="N156" s="26" t="str">
        <x:v>Registro, artefacto y validación reproducible</x:v>
      </x:c>
      <x:c r="O156" s="26" t="str">
        <x:v>30_Performance_and_Optimization_Plan.md</x:v>
      </x:c>
      <x:c r="P156" s="26" t="str">
        <x:v>TDD/VSS/QA/arte/audio y objetivos históricos v0.3–v0.6</x:v>
      </x:c>
      <x:c r="Q156" s="26" t="str">
        <x:v>YES</x:v>
      </x:c>
      <x:c r="R156" s="26" t="str">
        <x:v>YES</x:v>
      </x:c>
      <x:c r="S156" s="26"/>
      <x:c r="T156" s="90" t="n">
        <x:v>0</x:v>
      </x:c>
    </x:row>
    <x:row r="157" ht="30" customHeight="1">
      <x:c r="A157" s="26" t="str">
        <x:v>PERF-WP-017</x:v>
      </x:c>
      <x:c r="B157" s="26" t="str">
        <x:v>Rendimiento</x:v>
      </x:c>
      <x:c r="C157" s="26" t="str">
        <x:v>Inventory visual sync</x:v>
      </x:c>
      <x:c r="D157" s="26" t="str">
        <x:v>P2</x:v>
      </x:c>
      <x:c r="E157" s="26" t="str">
        <x:v>Post-H6 / Release preparation</x:v>
      </x:c>
      <x:c r="F157" s="26" t="str">
        <x:v>Planned</x:v>
      </x:c>
      <x:c r="G157" s="26" t="str">
        <x:v>NOT RUN</x:v>
      </x:c>
      <x:c r="H157" s="26" t="str">
        <x:v>Engineering/QA</x:v>
      </x:c>
      <x:c r="I157" s="26" t="str">
        <x:v>Production/QA</x:v>
      </x:c>
      <x:c r="J157" s="26"/>
      <x:c r="K157" s="26"/>
      <x:c r="L157" s="26"/>
      <x:c r="M157" s="26" t="str">
        <x:v>Entregable verificable, evidencia registrada y dependencias satisfechas.</x:v>
      </x:c>
      <x:c r="N157" s="26" t="str">
        <x:v>Registro, artefacto y validación reproducible</x:v>
      </x:c>
      <x:c r="O157" s="26" t="str">
        <x:v>30_Performance_and_Optimization_Plan.md</x:v>
      </x:c>
      <x:c r="P157" s="26" t="str">
        <x:v>TDD/VSS/QA/arte/audio y objetivos históricos v0.3–v0.6</x:v>
      </x:c>
      <x:c r="Q157" s="26" t="str">
        <x:v>YES</x:v>
      </x:c>
      <x:c r="R157" s="26" t="str">
        <x:v>YES</x:v>
      </x:c>
      <x:c r="S157" s="26"/>
      <x:c r="T157" s="90" t="n">
        <x:v>0</x:v>
      </x:c>
    </x:row>
    <x:row r="158" ht="30" customHeight="1">
      <x:c r="A158" s="26" t="str">
        <x:v>PERF-WP-018</x:v>
      </x:c>
      <x:c r="B158" s="26" t="str">
        <x:v>Rendimiento</x:v>
      </x:c>
      <x:c r="C158" s="26" t="str">
        <x:v>UI profiling</x:v>
      </x:c>
      <x:c r="D158" s="26" t="str">
        <x:v>P2</x:v>
      </x:c>
      <x:c r="E158" s="26" t="str">
        <x:v>Post-H6 / Release preparation</x:v>
      </x:c>
      <x:c r="F158" s="26" t="str">
        <x:v>Planned</x:v>
      </x:c>
      <x:c r="G158" s="26" t="str">
        <x:v>NOT RUN</x:v>
      </x:c>
      <x:c r="H158" s="26" t="str">
        <x:v>Engineering/QA</x:v>
      </x:c>
      <x:c r="I158" s="26" t="str">
        <x:v>Production/QA</x:v>
      </x:c>
      <x:c r="J158" s="26"/>
      <x:c r="K158" s="26"/>
      <x:c r="L158" s="26"/>
      <x:c r="M158" s="26" t="str">
        <x:v>Entregable verificable, evidencia registrada y dependencias satisfechas.</x:v>
      </x:c>
      <x:c r="N158" s="26" t="str">
        <x:v>Registro, artefacto y validación reproducible</x:v>
      </x:c>
      <x:c r="O158" s="26" t="str">
        <x:v>30_Performance_and_Optimization_Plan.md</x:v>
      </x:c>
      <x:c r="P158" s="26" t="str">
        <x:v>TDD/VSS/QA/arte/audio y objetivos históricos v0.3–v0.6</x:v>
      </x:c>
      <x:c r="Q158" s="26" t="str">
        <x:v>YES</x:v>
      </x:c>
      <x:c r="R158" s="26" t="str">
        <x:v>YES</x:v>
      </x:c>
      <x:c r="S158" s="26"/>
      <x:c r="T158" s="90" t="n">
        <x:v>0</x:v>
      </x:c>
    </x:row>
    <x:row r="159" ht="30" customHeight="1">
      <x:c r="A159" s="26" t="str">
        <x:v>PERF-WP-019</x:v>
      </x:c>
      <x:c r="B159" s="26" t="str">
        <x:v>Rendimiento</x:v>
      </x:c>
      <x:c r="C159" s="26" t="str">
        <x:v>Shadow study</x:v>
      </x:c>
      <x:c r="D159" s="26" t="str">
        <x:v>P2</x:v>
      </x:c>
      <x:c r="E159" s="26" t="str">
        <x:v>Post-H6 / Release preparation</x:v>
      </x:c>
      <x:c r="F159" s="26" t="str">
        <x:v>Planned</x:v>
      </x:c>
      <x:c r="G159" s="26" t="str">
        <x:v>NOT RUN</x:v>
      </x:c>
      <x:c r="H159" s="26" t="str">
        <x:v>Engineering/QA</x:v>
      </x:c>
      <x:c r="I159" s="26" t="str">
        <x:v>Production/QA</x:v>
      </x:c>
      <x:c r="J159" s="26"/>
      <x:c r="K159" s="26"/>
      <x:c r="L159" s="26"/>
      <x:c r="M159" s="26" t="str">
        <x:v>Entregable verificable, evidencia registrada y dependencias satisfechas.</x:v>
      </x:c>
      <x:c r="N159" s="26" t="str">
        <x:v>Registro, artefacto y validación reproducible</x:v>
      </x:c>
      <x:c r="O159" s="26" t="str">
        <x:v>30_Performance_and_Optimization_Plan.md</x:v>
      </x:c>
      <x:c r="P159" s="26" t="str">
        <x:v>TDD/VSS/QA/arte/audio y objetivos históricos v0.3–v0.6</x:v>
      </x:c>
      <x:c r="Q159" s="26" t="str">
        <x:v>YES</x:v>
      </x:c>
      <x:c r="R159" s="26" t="str">
        <x:v>YES</x:v>
      </x:c>
      <x:c r="S159" s="26"/>
      <x:c r="T159" s="90" t="n">
        <x:v>0</x:v>
      </x:c>
    </x:row>
    <x:row r="160" ht="30" customHeight="1">
      <x:c r="A160" s="26" t="str">
        <x:v>PERF-WP-020</x:v>
      </x:c>
      <x:c r="B160" s="26" t="str">
        <x:v>Rendimiento</x:v>
      </x:c>
      <x:c r="C160" s="26" t="str">
        <x:v>SSAO study</x:v>
      </x:c>
      <x:c r="D160" s="26" t="str">
        <x:v>P2</x:v>
      </x:c>
      <x:c r="E160" s="26" t="str">
        <x:v>Post-H6 / Release preparation</x:v>
      </x:c>
      <x:c r="F160" s="26" t="str">
        <x:v>Planned</x:v>
      </x:c>
      <x:c r="G160" s="26" t="str">
        <x:v>NOT RUN</x:v>
      </x:c>
      <x:c r="H160" s="26" t="str">
        <x:v>Engineering/QA</x:v>
      </x:c>
      <x:c r="I160" s="26" t="str">
        <x:v>Production/QA</x:v>
      </x:c>
      <x:c r="J160" s="26"/>
      <x:c r="K160" s="26"/>
      <x:c r="L160" s="26"/>
      <x:c r="M160" s="26" t="str">
        <x:v>Entregable verificable, evidencia registrada y dependencias satisfechas.</x:v>
      </x:c>
      <x:c r="N160" s="26" t="str">
        <x:v>Registro, artefacto y validación reproducible</x:v>
      </x:c>
      <x:c r="O160" s="26" t="str">
        <x:v>30_Performance_and_Optimization_Plan.md</x:v>
      </x:c>
      <x:c r="P160" s="26" t="str">
        <x:v>TDD/VSS/QA/arte/audio y objetivos históricos v0.3–v0.6</x:v>
      </x:c>
      <x:c r="Q160" s="26" t="str">
        <x:v>YES</x:v>
      </x:c>
      <x:c r="R160" s="26" t="str">
        <x:v>YES</x:v>
      </x:c>
      <x:c r="S160" s="26"/>
      <x:c r="T160" s="90" t="n">
        <x:v>0</x:v>
      </x:c>
    </x:row>
    <x:row r="161" ht="30" customHeight="1">
      <x:c r="A161" s="26" t="str">
        <x:v>PERF-WP-021</x:v>
      </x:c>
      <x:c r="B161" s="26" t="str">
        <x:v>Rendimiento</x:v>
      </x:c>
      <x:c r="C161" s="26" t="str">
        <x:v>Opaque/depth audit</x:v>
      </x:c>
      <x:c r="D161" s="26" t="str">
        <x:v>P2</x:v>
      </x:c>
      <x:c r="E161" s="26" t="str">
        <x:v>Post-H6 / Release preparation</x:v>
      </x:c>
      <x:c r="F161" s="26" t="str">
        <x:v>Planned</x:v>
      </x:c>
      <x:c r="G161" s="26" t="str">
        <x:v>NOT RUN</x:v>
      </x:c>
      <x:c r="H161" s="26" t="str">
        <x:v>Engineering/QA</x:v>
      </x:c>
      <x:c r="I161" s="26" t="str">
        <x:v>Production/QA</x:v>
      </x:c>
      <x:c r="J161" s="26"/>
      <x:c r="K161" s="26"/>
      <x:c r="L161" s="26"/>
      <x:c r="M161" s="26" t="str">
        <x:v>Entregable verificable, evidencia registrada y dependencias satisfechas.</x:v>
      </x:c>
      <x:c r="N161" s="26" t="str">
        <x:v>Registro, artefacto y validación reproducible</x:v>
      </x:c>
      <x:c r="O161" s="26" t="str">
        <x:v>30_Performance_and_Optimization_Plan.md</x:v>
      </x:c>
      <x:c r="P161" s="26" t="str">
        <x:v>TDD/VSS/QA/arte/audio y objetivos históricos v0.3–v0.6</x:v>
      </x:c>
      <x:c r="Q161" s="26" t="str">
        <x:v>YES</x:v>
      </x:c>
      <x:c r="R161" s="26" t="str">
        <x:v>YES</x:v>
      </x:c>
      <x:c r="S161" s="26"/>
      <x:c r="T161" s="90" t="n">
        <x:v>0</x:v>
      </x:c>
    </x:row>
    <x:row r="162" ht="30" customHeight="1">
      <x:c r="A162" s="26" t="str">
        <x:v>PERF-WP-022</x:v>
      </x:c>
      <x:c r="B162" s="26" t="str">
        <x:v>Rendimiento</x:v>
      </x:c>
      <x:c r="C162" s="26" t="str">
        <x:v>Material/batch audit</x:v>
      </x:c>
      <x:c r="D162" s="26" t="str">
        <x:v>P2</x:v>
      </x:c>
      <x:c r="E162" s="26" t="str">
        <x:v>Post-H6 / Release preparation</x:v>
      </x:c>
      <x:c r="F162" s="26" t="str">
        <x:v>Planned</x:v>
      </x:c>
      <x:c r="G162" s="26" t="str">
        <x:v>NOT RUN</x:v>
      </x:c>
      <x:c r="H162" s="26" t="str">
        <x:v>Engineering/QA</x:v>
      </x:c>
      <x:c r="I162" s="26" t="str">
        <x:v>Production/QA</x:v>
      </x:c>
      <x:c r="J162" s="26"/>
      <x:c r="K162" s="26"/>
      <x:c r="L162" s="26"/>
      <x:c r="M162" s="26" t="str">
        <x:v>Entregable verificable, evidencia registrada y dependencias satisfechas.</x:v>
      </x:c>
      <x:c r="N162" s="26" t="str">
        <x:v>Registro, artefacto y validación reproducible</x:v>
      </x:c>
      <x:c r="O162" s="26" t="str">
        <x:v>30_Performance_and_Optimization_Plan.md</x:v>
      </x:c>
      <x:c r="P162" s="26" t="str">
        <x:v>TDD/VSS/QA/arte/audio y objetivos históricos v0.3–v0.6</x:v>
      </x:c>
      <x:c r="Q162" s="26" t="str">
        <x:v>YES</x:v>
      </x:c>
      <x:c r="R162" s="26" t="str">
        <x:v>YES</x:v>
      </x:c>
      <x:c r="S162" s="26"/>
      <x:c r="T162" s="90" t="n">
        <x:v>0</x:v>
      </x:c>
    </x:row>
    <x:row r="163" ht="30" customHeight="1">
      <x:c r="A163" s="26" t="str">
        <x:v>PERF-WP-023</x:v>
      </x:c>
      <x:c r="B163" s="26" t="str">
        <x:v>Rendimiento</x:v>
      </x:c>
      <x:c r="C163" s="26" t="str">
        <x:v>LOD/culling validation</x:v>
      </x:c>
      <x:c r="D163" s="26" t="str">
        <x:v>P2</x:v>
      </x:c>
      <x:c r="E163" s="26" t="str">
        <x:v>Post-H6 / Release preparation</x:v>
      </x:c>
      <x:c r="F163" s="26" t="str">
        <x:v>Planned</x:v>
      </x:c>
      <x:c r="G163" s="26" t="str">
        <x:v>NOT RUN</x:v>
      </x:c>
      <x:c r="H163" s="26" t="str">
        <x:v>Engineering/QA</x:v>
      </x:c>
      <x:c r="I163" s="26" t="str">
        <x:v>Production/QA</x:v>
      </x:c>
      <x:c r="J163" s="26"/>
      <x:c r="K163" s="26"/>
      <x:c r="L163" s="26"/>
      <x:c r="M163" s="26" t="str">
        <x:v>Entregable verificable, evidencia registrada y dependencias satisfechas.</x:v>
      </x:c>
      <x:c r="N163" s="26" t="str">
        <x:v>Registro, artefacto y validación reproducible</x:v>
      </x:c>
      <x:c r="O163" s="26" t="str">
        <x:v>30_Performance_and_Optimization_Plan.md</x:v>
      </x:c>
      <x:c r="P163" s="26" t="str">
        <x:v>TDD/VSS/QA/arte/audio y objetivos históricos v0.3–v0.6</x:v>
      </x:c>
      <x:c r="Q163" s="26" t="str">
        <x:v>YES</x:v>
      </x:c>
      <x:c r="R163" s="26" t="str">
        <x:v>YES</x:v>
      </x:c>
      <x:c r="S163" s="26"/>
      <x:c r="T163" s="90" t="n">
        <x:v>0</x:v>
      </x:c>
    </x:row>
    <x:row r="164" ht="30" customHeight="1">
      <x:c r="A164" s="26" t="str">
        <x:v>PERF-WP-024</x:v>
      </x:c>
      <x:c r="B164" s="26" t="str">
        <x:v>Rendimiento</x:v>
      </x:c>
      <x:c r="C164" s="26" t="str">
        <x:v>Texture budget</x:v>
      </x:c>
      <x:c r="D164" s="26" t="str">
        <x:v>P2</x:v>
      </x:c>
      <x:c r="E164" s="26" t="str">
        <x:v>Post-H6 / Release preparation</x:v>
      </x:c>
      <x:c r="F164" s="26" t="str">
        <x:v>Planned</x:v>
      </x:c>
      <x:c r="G164" s="26" t="str">
        <x:v>NOT RUN</x:v>
      </x:c>
      <x:c r="H164" s="26" t="str">
        <x:v>Engineering/QA</x:v>
      </x:c>
      <x:c r="I164" s="26" t="str">
        <x:v>Production/QA</x:v>
      </x:c>
      <x:c r="J164" s="26"/>
      <x:c r="K164" s="26"/>
      <x:c r="L164" s="26"/>
      <x:c r="M164" s="26" t="str">
        <x:v>Entregable verificable, evidencia registrada y dependencias satisfechas.</x:v>
      </x:c>
      <x:c r="N164" s="26" t="str">
        <x:v>Registro, artefacto y validación reproducible</x:v>
      </x:c>
      <x:c r="O164" s="26" t="str">
        <x:v>30_Performance_and_Optimization_Plan.md</x:v>
      </x:c>
      <x:c r="P164" s="26" t="str">
        <x:v>TDD/VSS/QA/arte/audio y objetivos históricos v0.3–v0.6</x:v>
      </x:c>
      <x:c r="Q164" s="26" t="str">
        <x:v>YES</x:v>
      </x:c>
      <x:c r="R164" s="26" t="str">
        <x:v>YES</x:v>
      </x:c>
      <x:c r="S164" s="26"/>
      <x:c r="T164" s="90" t="n">
        <x:v>0</x:v>
      </x:c>
    </x:row>
    <x:row r="165" ht="30" customHeight="1">
      <x:c r="A165" s="26" t="str">
        <x:v>PERF-WP-025</x:v>
      </x:c>
      <x:c r="B165" s="26" t="str">
        <x:v>Rendimiento</x:v>
      </x:c>
      <x:c r="C165" s="26" t="str">
        <x:v>Character budget</x:v>
      </x:c>
      <x:c r="D165" s="26" t="str">
        <x:v>P2</x:v>
      </x:c>
      <x:c r="E165" s="26" t="str">
        <x:v>Post-H6 / Release preparation</x:v>
      </x:c>
      <x:c r="F165" s="26" t="str">
        <x:v>Planned</x:v>
      </x:c>
      <x:c r="G165" s="26" t="str">
        <x:v>NOT RUN</x:v>
      </x:c>
      <x:c r="H165" s="26" t="str">
        <x:v>Engineering/QA</x:v>
      </x:c>
      <x:c r="I165" s="26" t="str">
        <x:v>Production/QA</x:v>
      </x:c>
      <x:c r="J165" s="26"/>
      <x:c r="K165" s="26"/>
      <x:c r="L165" s="26"/>
      <x:c r="M165" s="26" t="str">
        <x:v>Entregable verificable, evidencia registrada y dependencias satisfechas.</x:v>
      </x:c>
      <x:c r="N165" s="26" t="str">
        <x:v>Registro, artefacto y validación reproducible</x:v>
      </x:c>
      <x:c r="O165" s="26" t="str">
        <x:v>30_Performance_and_Optimization_Plan.md</x:v>
      </x:c>
      <x:c r="P165" s="26" t="str">
        <x:v>TDD/VSS/QA/arte/audio y objetivos históricos v0.3–v0.6</x:v>
      </x:c>
      <x:c r="Q165" s="26" t="str">
        <x:v>YES</x:v>
      </x:c>
      <x:c r="R165" s="26" t="str">
        <x:v>YES</x:v>
      </x:c>
      <x:c r="S165" s="26"/>
      <x:c r="T165" s="90" t="n">
        <x:v>0</x:v>
      </x:c>
    </x:row>
    <x:row r="166" ht="30" customHeight="1">
      <x:c r="A166" s="26" t="str">
        <x:v>PERF-WP-026</x:v>
      </x:c>
      <x:c r="B166" s="26" t="str">
        <x:v>Rendimiento</x:v>
      </x:c>
      <x:c r="C166" s="26" t="str">
        <x:v>VFX budget</x:v>
      </x:c>
      <x:c r="D166" s="26" t="str">
        <x:v>P2</x:v>
      </x:c>
      <x:c r="E166" s="26" t="str">
        <x:v>Post-H6 / Release preparation</x:v>
      </x:c>
      <x:c r="F166" s="26" t="str">
        <x:v>Planned</x:v>
      </x:c>
      <x:c r="G166" s="26" t="str">
        <x:v>NOT RUN</x:v>
      </x:c>
      <x:c r="H166" s="26" t="str">
        <x:v>Engineering/QA</x:v>
      </x:c>
      <x:c r="I166" s="26" t="str">
        <x:v>Production/QA</x:v>
      </x:c>
      <x:c r="J166" s="26"/>
      <x:c r="K166" s="26"/>
      <x:c r="L166" s="26"/>
      <x:c r="M166" s="26" t="str">
        <x:v>Entregable verificable, evidencia registrada y dependencias satisfechas.</x:v>
      </x:c>
      <x:c r="N166" s="26" t="str">
        <x:v>Registro, artefacto y validación reproducible</x:v>
      </x:c>
      <x:c r="O166" s="26" t="str">
        <x:v>30_Performance_and_Optimization_Plan.md</x:v>
      </x:c>
      <x:c r="P166" s="26" t="str">
        <x:v>TDD/VSS/QA/arte/audio y objetivos históricos v0.3–v0.6</x:v>
      </x:c>
      <x:c r="Q166" s="26" t="str">
        <x:v>YES</x:v>
      </x:c>
      <x:c r="R166" s="26" t="str">
        <x:v>YES</x:v>
      </x:c>
      <x:c r="S166" s="26"/>
      <x:c r="T166" s="90" t="n">
        <x:v>0</x:v>
      </x:c>
    </x:row>
    <x:row r="167" ht="30" customHeight="1">
      <x:c r="A167" s="26" t="str">
        <x:v>PERF-WP-027</x:v>
      </x:c>
      <x:c r="B167" s="26" t="str">
        <x:v>Rendimiento</x:v>
      </x:c>
      <x:c r="C167" s="26" t="str">
        <x:v>Audio profiling</x:v>
      </x:c>
      <x:c r="D167" s="26" t="str">
        <x:v>P2</x:v>
      </x:c>
      <x:c r="E167" s="26" t="str">
        <x:v>Post-H6 / Release preparation</x:v>
      </x:c>
      <x:c r="F167" s="26" t="str">
        <x:v>Planned</x:v>
      </x:c>
      <x:c r="G167" s="26" t="str">
        <x:v>NOT RUN</x:v>
      </x:c>
      <x:c r="H167" s="26" t="str">
        <x:v>Engineering/QA</x:v>
      </x:c>
      <x:c r="I167" s="26" t="str">
        <x:v>Production/QA</x:v>
      </x:c>
      <x:c r="J167" s="26"/>
      <x:c r="K167" s="26"/>
      <x:c r="L167" s="26"/>
      <x:c r="M167" s="26" t="str">
        <x:v>Entregable verificable, evidencia registrada y dependencias satisfechas.</x:v>
      </x:c>
      <x:c r="N167" s="26" t="str">
        <x:v>Registro, artefacto y validación reproducible</x:v>
      </x:c>
      <x:c r="O167" s="26" t="str">
        <x:v>30_Performance_and_Optimization_Plan.md</x:v>
      </x:c>
      <x:c r="P167" s="26" t="str">
        <x:v>TDD/VSS/QA/arte/audio y objetivos históricos v0.3–v0.6</x:v>
      </x:c>
      <x:c r="Q167" s="26" t="str">
        <x:v>YES</x:v>
      </x:c>
      <x:c r="R167" s="26" t="str">
        <x:v>YES</x:v>
      </x:c>
      <x:c r="S167" s="26"/>
      <x:c r="T167" s="90" t="n">
        <x:v>0</x:v>
      </x:c>
    </x:row>
    <x:row r="168" ht="30" customHeight="1">
      <x:c r="A168" s="26" t="str">
        <x:v>PERF-WP-028</x:v>
      </x:c>
      <x:c r="B168" s="26" t="str">
        <x:v>Rendimiento</x:v>
      </x:c>
      <x:c r="C168" s="26" t="str">
        <x:v>Scene lifecycle soak</x:v>
      </x:c>
      <x:c r="D168" s="26" t="str">
        <x:v>P2</x:v>
      </x:c>
      <x:c r="E168" s="26" t="str">
        <x:v>Post-H6 / Release preparation</x:v>
      </x:c>
      <x:c r="F168" s="26" t="str">
        <x:v>Planned</x:v>
      </x:c>
      <x:c r="G168" s="26" t="str">
        <x:v>NOT RUN</x:v>
      </x:c>
      <x:c r="H168" s="26" t="str">
        <x:v>Engineering/QA</x:v>
      </x:c>
      <x:c r="I168" s="26" t="str">
        <x:v>Production/QA</x:v>
      </x:c>
      <x:c r="J168" s="26"/>
      <x:c r="K168" s="26"/>
      <x:c r="L168" s="26"/>
      <x:c r="M168" s="26" t="str">
        <x:v>Entregable verificable, evidencia registrada y dependencias satisfechas.</x:v>
      </x:c>
      <x:c r="N168" s="26" t="str">
        <x:v>Registro, artefacto y validación reproducible</x:v>
      </x:c>
      <x:c r="O168" s="26" t="str">
        <x:v>30_Performance_and_Optimization_Plan.md</x:v>
      </x:c>
      <x:c r="P168" s="26" t="str">
        <x:v>TDD/VSS/QA/arte/audio y objetivos históricos v0.3–v0.6</x:v>
      </x:c>
      <x:c r="Q168" s="26" t="str">
        <x:v>YES</x:v>
      </x:c>
      <x:c r="R168" s="26" t="str">
        <x:v>YES</x:v>
      </x:c>
      <x:c r="S168" s="26"/>
      <x:c r="T168" s="90" t="n">
        <x:v>0</x:v>
      </x:c>
    </x:row>
    <x:row r="169" ht="30" customHeight="1">
      <x:c r="A169" s="26" t="str">
        <x:v>PERF-WP-029</x:v>
      </x:c>
      <x:c r="B169" s="26" t="str">
        <x:v>Rendimiento</x:v>
      </x:c>
      <x:c r="C169" s="26" t="str">
        <x:v>Seven-day soak</x:v>
      </x:c>
      <x:c r="D169" s="26" t="str">
        <x:v>P2</x:v>
      </x:c>
      <x:c r="E169" s="26" t="str">
        <x:v>Post-H6 / Release preparation</x:v>
      </x:c>
      <x:c r="F169" s="26" t="str">
        <x:v>Planned</x:v>
      </x:c>
      <x:c r="G169" s="26" t="str">
        <x:v>NOT RUN</x:v>
      </x:c>
      <x:c r="H169" s="26" t="str">
        <x:v>Engineering/QA</x:v>
      </x:c>
      <x:c r="I169" s="26" t="str">
        <x:v>Production/QA</x:v>
      </x:c>
      <x:c r="J169" s="26"/>
      <x:c r="K169" s="26"/>
      <x:c r="L169" s="26"/>
      <x:c r="M169" s="26" t="str">
        <x:v>Entregable verificable, evidencia registrada y dependencias satisfechas.</x:v>
      </x:c>
      <x:c r="N169" s="26" t="str">
        <x:v>Registro, artefacto y validación reproducible</x:v>
      </x:c>
      <x:c r="O169" s="26" t="str">
        <x:v>30_Performance_and_Optimization_Plan.md</x:v>
      </x:c>
      <x:c r="P169" s="26" t="str">
        <x:v>TDD/VSS/QA/arte/audio y objetivos históricos v0.3–v0.6</x:v>
      </x:c>
      <x:c r="Q169" s="26" t="str">
        <x:v>YES</x:v>
      </x:c>
      <x:c r="R169" s="26" t="str">
        <x:v>YES</x:v>
      </x:c>
      <x:c r="S169" s="26"/>
      <x:c r="T169" s="90" t="n">
        <x:v>0</x:v>
      </x:c>
    </x:row>
    <x:row r="170" ht="30" customHeight="1">
      <x:c r="A170" s="26" t="str">
        <x:v>PERF-WP-030</x:v>
      </x:c>
      <x:c r="B170" s="26" t="str">
        <x:v>Rendimiento</x:v>
      </x:c>
      <x:c r="C170" s="26" t="str">
        <x:v>Hardware mínimo candidato</x:v>
      </x:c>
      <x:c r="D170" s="26" t="str">
        <x:v>P2</x:v>
      </x:c>
      <x:c r="E170" s="26" t="str">
        <x:v>Post-H6 / Release preparation</x:v>
      </x:c>
      <x:c r="F170" s="26" t="str">
        <x:v>Planned</x:v>
      </x:c>
      <x:c r="G170" s="26" t="str">
        <x:v>NOT RUN</x:v>
      </x:c>
      <x:c r="H170" s="26" t="str">
        <x:v>Engineering/QA</x:v>
      </x:c>
      <x:c r="I170" s="26" t="str">
        <x:v>Production/QA</x:v>
      </x:c>
      <x:c r="J170" s="26"/>
      <x:c r="K170" s="26"/>
      <x:c r="L170" s="26"/>
      <x:c r="M170" s="26" t="str">
        <x:v>Entregable verificable, evidencia registrada y dependencias satisfechas.</x:v>
      </x:c>
      <x:c r="N170" s="26" t="str">
        <x:v>Registro, artefacto y validación reproducible</x:v>
      </x:c>
      <x:c r="O170" s="26" t="str">
        <x:v>30_Performance_and_Optimization_Plan.md</x:v>
      </x:c>
      <x:c r="P170" s="26" t="str">
        <x:v>TDD/VSS/QA/arte/audio y objetivos históricos v0.3–v0.6</x:v>
      </x:c>
      <x:c r="Q170" s="26" t="str">
        <x:v>YES</x:v>
      </x:c>
      <x:c r="R170" s="26" t="str">
        <x:v>YES</x:v>
      </x:c>
      <x:c r="S170" s="26"/>
      <x:c r="T170" s="90" t="n">
        <x:v>0</x:v>
      </x:c>
    </x:row>
    <x:row r="171" ht="30" customHeight="1">
      <x:c r="A171" s="26" t="str">
        <x:v>PERF-WP-031</x:v>
      </x:c>
      <x:c r="B171" s="26" t="str">
        <x:v>Rendimiento</x:v>
      </x:c>
      <x:c r="C171" s="26" t="str">
        <x:v>Hardware recomendado candidato</x:v>
      </x:c>
      <x:c r="D171" s="26" t="str">
        <x:v>P2</x:v>
      </x:c>
      <x:c r="E171" s="26" t="str">
        <x:v>Post-H6 / Release preparation</x:v>
      </x:c>
      <x:c r="F171" s="26" t="str">
        <x:v>Planned</x:v>
      </x:c>
      <x:c r="G171" s="26" t="str">
        <x:v>NOT RUN</x:v>
      </x:c>
      <x:c r="H171" s="26" t="str">
        <x:v>Engineering/QA</x:v>
      </x:c>
      <x:c r="I171" s="26" t="str">
        <x:v>Production/QA</x:v>
      </x:c>
      <x:c r="J171" s="26"/>
      <x:c r="K171" s="26"/>
      <x:c r="L171" s="26"/>
      <x:c r="M171" s="26" t="str">
        <x:v>Entregable verificable, evidencia registrada y dependencias satisfechas.</x:v>
      </x:c>
      <x:c r="N171" s="26" t="str">
        <x:v>Registro, artefacto y validación reproducible</x:v>
      </x:c>
      <x:c r="O171" s="26" t="str">
        <x:v>30_Performance_and_Optimization_Plan.md</x:v>
      </x:c>
      <x:c r="P171" s="26" t="str">
        <x:v>TDD/VSS/QA/arte/audio y objetivos históricos v0.3–v0.6</x:v>
      </x:c>
      <x:c r="Q171" s="26" t="str">
        <x:v>YES</x:v>
      </x:c>
      <x:c r="R171" s="26" t="str">
        <x:v>YES</x:v>
      </x:c>
      <x:c r="S171" s="26"/>
      <x:c r="T171" s="90" t="n">
        <x:v>0</x:v>
      </x:c>
    </x:row>
    <x:row r="172" ht="30" customHeight="1">
      <x:c r="A172" s="26" t="str">
        <x:v>PERF-WP-032</x:v>
      </x:c>
      <x:c r="B172" s="26" t="str">
        <x:v>Rendimiento</x:v>
      </x:c>
      <x:c r="C172" s="26" t="str">
        <x:v>Build size/shader report</x:v>
      </x:c>
      <x:c r="D172" s="26" t="str">
        <x:v>P2</x:v>
      </x:c>
      <x:c r="E172" s="26" t="str">
        <x:v>Post-H6 / Release preparation</x:v>
      </x:c>
      <x:c r="F172" s="26" t="str">
        <x:v>Planned</x:v>
      </x:c>
      <x:c r="G172" s="26" t="str">
        <x:v>NOT RUN</x:v>
      </x:c>
      <x:c r="H172" s="26" t="str">
        <x:v>Engineering/QA</x:v>
      </x:c>
      <x:c r="I172" s="26" t="str">
        <x:v>Production/QA</x:v>
      </x:c>
      <x:c r="J172" s="26"/>
      <x:c r="K172" s="26"/>
      <x:c r="L172" s="26"/>
      <x:c r="M172" s="26" t="str">
        <x:v>Entregable verificable, evidencia registrada y dependencias satisfechas.</x:v>
      </x:c>
      <x:c r="N172" s="26" t="str">
        <x:v>Registro, artefacto y validación reproducible</x:v>
      </x:c>
      <x:c r="O172" s="26" t="str">
        <x:v>30_Performance_and_Optimization_Plan.md</x:v>
      </x:c>
      <x:c r="P172" s="26" t="str">
        <x:v>TDD/VSS/QA/arte/audio y objetivos históricos v0.3–v0.6</x:v>
      </x:c>
      <x:c r="Q172" s="26" t="str">
        <x:v>YES</x:v>
      </x:c>
      <x:c r="R172" s="26" t="str">
        <x:v>YES</x:v>
      </x:c>
      <x:c r="S172" s="26"/>
      <x:c r="T172" s="90" t="n">
        <x:v>0</x:v>
      </x:c>
    </x:row>
    <x:row r="173" ht="30" customHeight="1">
      <x:c r="A173" s="26" t="str">
        <x:v>PERF-WP-033</x:v>
      </x:c>
      <x:c r="B173" s="26" t="str">
        <x:v>Rendimiento</x:v>
      </x:c>
      <x:c r="C173" s="26" t="str">
        <x:v>Performance regression report</x:v>
      </x:c>
      <x:c r="D173" s="26" t="str">
        <x:v>P2</x:v>
      </x:c>
      <x:c r="E173" s="26" t="str">
        <x:v>Post-H6 / Release preparation</x:v>
      </x:c>
      <x:c r="F173" s="26" t="str">
        <x:v>Planned</x:v>
      </x:c>
      <x:c r="G173" s="26" t="str">
        <x:v>NOT RUN</x:v>
      </x:c>
      <x:c r="H173" s="26" t="str">
        <x:v>Engineering/QA</x:v>
      </x:c>
      <x:c r="I173" s="26" t="str">
        <x:v>Production/QA</x:v>
      </x:c>
      <x:c r="J173" s="26"/>
      <x:c r="K173" s="26"/>
      <x:c r="L173" s="26"/>
      <x:c r="M173" s="26" t="str">
        <x:v>Entregable verificable, evidencia registrada y dependencias satisfechas.</x:v>
      </x:c>
      <x:c r="N173" s="26" t="str">
        <x:v>Registro, artefacto y validación reproducible</x:v>
      </x:c>
      <x:c r="O173" s="26" t="str">
        <x:v>30_Performance_and_Optimization_Plan.md</x:v>
      </x:c>
      <x:c r="P173" s="26" t="str">
        <x:v>TDD/VSS/QA/arte/audio y objetivos históricos v0.3–v0.6</x:v>
      </x:c>
      <x:c r="Q173" s="26" t="str">
        <x:v>YES</x:v>
      </x:c>
      <x:c r="R173" s="26" t="str">
        <x:v>YES</x:v>
      </x:c>
      <x:c r="S173" s="26"/>
      <x:c r="T173" s="90" t="n">
        <x:v>0</x:v>
      </x:c>
    </x:row>
    <x:row r="174" ht="30" customHeight="1">
      <x:c r="A174" s="26" t="str">
        <x:v>PERF-WP-034</x:v>
      </x:c>
      <x:c r="B174" s="26" t="str">
        <x:v>Rendimiento</x:v>
      </x:c>
      <x:c r="C174" s="26" t="str">
        <x:v>H6 Performance Report</x:v>
      </x:c>
      <x:c r="D174" s="26" t="str">
        <x:v>P2</x:v>
      </x:c>
      <x:c r="E174" s="26" t="str">
        <x:v>Post-H6 / Release preparation</x:v>
      </x:c>
      <x:c r="F174" s="26" t="str">
        <x:v>Planned</x:v>
      </x:c>
      <x:c r="G174" s="26" t="str">
        <x:v>NOT RUN</x:v>
      </x:c>
      <x:c r="H174" s="26" t="str">
        <x:v>Engineering/QA</x:v>
      </x:c>
      <x:c r="I174" s="26" t="str">
        <x:v>Production/QA</x:v>
      </x:c>
      <x:c r="J174" s="26"/>
      <x:c r="K174" s="26"/>
      <x:c r="L174" s="26"/>
      <x:c r="M174" s="26" t="str">
        <x:v>Entregable verificable, evidencia registrada y dependencias satisfechas.</x:v>
      </x:c>
      <x:c r="N174" s="26" t="str">
        <x:v>Registro, artefacto y validación reproducible</x:v>
      </x:c>
      <x:c r="O174" s="26" t="str">
        <x:v>30_Performance_and_Optimization_Plan.md</x:v>
      </x:c>
      <x:c r="P174" s="26" t="str">
        <x:v>TDD/VSS/QA/arte/audio y objetivos históricos v0.3–v0.6</x:v>
      </x:c>
      <x:c r="Q174" s="26" t="str">
        <x:v>YES</x:v>
      </x:c>
      <x:c r="R174" s="26" t="str">
        <x:v>YES</x:v>
      </x:c>
      <x:c r="S174" s="26"/>
      <x:c r="T174" s="90" t="n">
        <x:v>0</x:v>
      </x:c>
    </x:row>
    <x:row r="175" ht="30" customHeight="1">
      <x:c r="A175" s="26" t="str">
        <x:v>PERF-WP-035</x:v>
      </x:c>
      <x:c r="B175" s="26" t="str">
        <x:v>Rendimiento</x:v>
      </x:c>
      <x:c r="C175" s="26" t="str">
        <x:v>Steam requirements approval</x:v>
      </x:c>
      <x:c r="D175" s="26" t="str">
        <x:v>P2</x:v>
      </x:c>
      <x:c r="E175" s="26" t="str">
        <x:v>Post-H6 / Release preparation</x:v>
      </x:c>
      <x:c r="F175" s="26" t="str">
        <x:v>Planned</x:v>
      </x:c>
      <x:c r="G175" s="26" t="str">
        <x:v>NOT RUN</x:v>
      </x:c>
      <x:c r="H175" s="26" t="str">
        <x:v>Engineering/QA</x:v>
      </x:c>
      <x:c r="I175" s="26" t="str">
        <x:v>Production/QA</x:v>
      </x:c>
      <x:c r="J175" s="26"/>
      <x:c r="K175" s="26"/>
      <x:c r="L175" s="26"/>
      <x:c r="M175" s="26" t="str">
        <x:v>Entregable verificable, evidencia registrada y dependencias satisfechas.</x:v>
      </x:c>
      <x:c r="N175" s="26" t="str">
        <x:v>Registro, artefacto y validación reproducible</x:v>
      </x:c>
      <x:c r="O175" s="26" t="str">
        <x:v>30_Performance_and_Optimization_Plan.md</x:v>
      </x:c>
      <x:c r="P175" s="26" t="str">
        <x:v>TDD/VSS/QA/arte/audio y objetivos históricos v0.3–v0.6</x:v>
      </x:c>
      <x:c r="Q175" s="26" t="str">
        <x:v>YES</x:v>
      </x:c>
      <x:c r="R175" s="26" t="str">
        <x:v>YES</x:v>
      </x:c>
      <x:c r="S175" s="26"/>
      <x:c r="T175" s="90" t="n">
        <x:v>0</x:v>
      </x:c>
    </x:row>
    <x:row r="176" ht="30" customHeight="1">
      <x:c r="A176" s="26" t="str">
        <x:v>PERF-WP-036</x:v>
      </x:c>
      <x:c r="B176" s="26" t="str">
        <x:v>Rendimiento</x:v>
      </x:c>
      <x:c r="C176" s="26" t="str">
        <x:v>CI/performance smoke</x:v>
      </x:c>
      <x:c r="D176" s="26" t="str">
        <x:v>P2</x:v>
      </x:c>
      <x:c r="E176" s="26" t="str">
        <x:v>Post-H6 / Release preparation</x:v>
      </x:c>
      <x:c r="F176" s="26" t="str">
        <x:v>Planned</x:v>
      </x:c>
      <x:c r="G176" s="26" t="str">
        <x:v>NOT RUN</x:v>
      </x:c>
      <x:c r="H176" s="26" t="str">
        <x:v>Engineering/QA</x:v>
      </x:c>
      <x:c r="I176" s="26" t="str">
        <x:v>Production/QA</x:v>
      </x:c>
      <x:c r="J176" s="26"/>
      <x:c r="K176" s="26"/>
      <x:c r="L176" s="26"/>
      <x:c r="M176" s="26" t="str">
        <x:v>Entregable verificable, evidencia registrada y dependencias satisfechas.</x:v>
      </x:c>
      <x:c r="N176" s="26" t="str">
        <x:v>Registro, artefacto y validación reproducible</x:v>
      </x:c>
      <x:c r="O176" s="26" t="str">
        <x:v>30_Performance_and_Optimization_Plan.md</x:v>
      </x:c>
      <x:c r="P176" s="26" t="str">
        <x:v>TDD/VSS/QA/arte/audio y objetivos históricos v0.3–v0.6</x:v>
      </x:c>
      <x:c r="Q176" s="26" t="str">
        <x:v>YES</x:v>
      </x:c>
      <x:c r="R176" s="26" t="str">
        <x:v>YES</x:v>
      </x:c>
      <x:c r="S176" s="26"/>
      <x:c r="T176" s="90" t="n">
        <x:v>0</x:v>
      </x:c>
    </x:row>
    <x:row r="177" ht="30" customHeight="1">
      <x:c r="A177" s="26" t="str">
        <x:v>PERF-WP-037</x:v>
      </x:c>
      <x:c r="B177" s="26" t="str">
        <x:v>Rendimiento</x:v>
      </x:c>
      <x:c r="C177" s="26" t="str">
        <x:v>Postlaunch diagnostics</x:v>
      </x:c>
      <x:c r="D177" s="26" t="str">
        <x:v>P2</x:v>
      </x:c>
      <x:c r="E177" s="26" t="str">
        <x:v>Post-H6 / Release preparation</x:v>
      </x:c>
      <x:c r="F177" s="26" t="str">
        <x:v>Planned</x:v>
      </x:c>
      <x:c r="G177" s="26" t="str">
        <x:v>NOT RUN</x:v>
      </x:c>
      <x:c r="H177" s="26" t="str">
        <x:v>Engineering/QA</x:v>
      </x:c>
      <x:c r="I177" s="26" t="str">
        <x:v>Production/QA</x:v>
      </x:c>
      <x:c r="J177" s="26"/>
      <x:c r="K177" s="26"/>
      <x:c r="L177" s="26"/>
      <x:c r="M177" s="26" t="str">
        <x:v>Entregable verificable, evidencia registrada y dependencias satisfechas.</x:v>
      </x:c>
      <x:c r="N177" s="26" t="str">
        <x:v>Registro, artefacto y validación reproducible</x:v>
      </x:c>
      <x:c r="O177" s="26" t="str">
        <x:v>30_Performance_and_Optimization_Plan.md</x:v>
      </x:c>
      <x:c r="P177" s="26" t="str">
        <x:v>TDD/VSS/QA/arte/audio y objetivos históricos v0.3–v0.6</x:v>
      </x:c>
      <x:c r="Q177" s="26" t="str">
        <x:v>YES</x:v>
      </x:c>
      <x:c r="R177" s="26" t="str">
        <x:v>YES</x:v>
      </x:c>
      <x:c r="S177" s="26"/>
      <x:c r="T177" s="90" t="n">
        <x:v>0</x:v>
      </x:c>
    </x:row>
    <x:row r="178" ht="30" customHeight="1">
      <x:c r="A178" s="26" t="str">
        <x:v>SEC-WP-01</x:v>
      </x:c>
      <x:c r="B178" s="26" t="str">
        <x:v>Seguridad</x:v>
      </x:c>
      <x:c r="C178" s="26" t="str">
        <x:v>Asset/account register + owner</x:v>
      </x:c>
      <x:c r="D178" s="26" t="str">
        <x:v>P2</x:v>
      </x:c>
      <x:c r="E178" s="26" t="str">
        <x:v>Post-H6 / Release preparation</x:v>
      </x:c>
      <x:c r="F178" s="26" t="str">
        <x:v>Planned</x:v>
      </x:c>
      <x:c r="G178" s="26" t="str">
        <x:v>NOT RUN</x:v>
      </x:c>
      <x:c r="H178" s="26" t="str">
        <x:v>Security/Engineering</x:v>
      </x:c>
      <x:c r="I178" s="26" t="str">
        <x:v>Production/QA</x:v>
      </x:c>
      <x:c r="J178" s="26"/>
      <x:c r="K178" s="26"/>
      <x:c r="L178" s="26"/>
      <x:c r="M178" s="26" t="str">
        <x:v>Entregable verificable, evidencia registrada y dependencias satisfechas.</x:v>
      </x:c>
      <x:c r="N178" s="26" t="str">
        <x:v>Asset/account register + owner</x:v>
      </x:c>
      <x:c r="O178" s="26" t="str">
        <x:v>27_Security_and_Incident_Response_Plan.md</x:v>
      </x:c>
      <x:c r="P178" s="26" t="str">
        <x:v>Build, security, ADR y registros operativos v0.3–v0.6</x:v>
      </x:c>
      <x:c r="Q178" s="26" t="str">
        <x:v>YES</x:v>
      </x:c>
      <x:c r="R178" s="26" t="str">
        <x:v>YES</x:v>
      </x:c>
      <x:c r="S178" s="26"/>
      <x:c r="T178" s="90" t="n">
        <x:v>0</x:v>
      </x:c>
    </x:row>
    <x:row r="179" ht="30" customHeight="1">
      <x:c r="A179" s="26" t="str">
        <x:v>SEC-WP-02</x:v>
      </x:c>
      <x:c r="B179" s="26" t="str">
        <x:v>Seguridad</x:v>
      </x:c>
      <x:c r="C179" s="26" t="str">
        <x:v>Captura/registro sin secretos</x:v>
      </x:c>
      <x:c r="D179" s="26" t="str">
        <x:v>P2</x:v>
      </x:c>
      <x:c r="E179" s="26" t="str">
        <x:v>Post-H6 / Release preparation</x:v>
      </x:c>
      <x:c r="F179" s="26" t="str">
        <x:v>Planned</x:v>
      </x:c>
      <x:c r="G179" s="26" t="str">
        <x:v>NOT RUN</x:v>
      </x:c>
      <x:c r="H179" s="26" t="str">
        <x:v>Security/Engineering</x:v>
      </x:c>
      <x:c r="I179" s="26" t="str">
        <x:v>Production/QA</x:v>
      </x:c>
      <x:c r="J179" s="26"/>
      <x:c r="K179" s="26"/>
      <x:c r="L179" s="26"/>
      <x:c r="M179" s="26" t="str">
        <x:v>Entregable verificable, evidencia registrada y dependencias satisfechas.</x:v>
      </x:c>
      <x:c r="N179" s="26" t="str">
        <x:v>Captura/registro sin secretos</x:v>
      </x:c>
      <x:c r="O179" s="26" t="str">
        <x:v>27_Security_and_Incident_Response_Plan.md</x:v>
      </x:c>
      <x:c r="P179" s="26" t="str">
        <x:v>Build, security, ADR y registros operativos v0.3–v0.6</x:v>
      </x:c>
      <x:c r="Q179" s="26" t="str">
        <x:v>YES</x:v>
      </x:c>
      <x:c r="R179" s="26" t="str">
        <x:v>YES</x:v>
      </x:c>
      <x:c r="S179" s="26"/>
      <x:c r="T179" s="90" t="n">
        <x:v>0</x:v>
      </x:c>
    </x:row>
    <x:row r="180" ht="30" customHeight="1">
      <x:c r="A180" s="26" t="str">
        <x:v>SEC-WP-03</x:v>
      </x:c>
      <x:c r="B180" s="26" t="str">
        <x:v>Seguridad</x:v>
      </x:c>
      <x:c r="C180" s="26" t="str">
        <x:v>Restore report</x:v>
      </x:c>
      <x:c r="D180" s="26" t="str">
        <x:v>P2</x:v>
      </x:c>
      <x:c r="E180" s="26" t="str">
        <x:v>Post-H6 / Release preparation</x:v>
      </x:c>
      <x:c r="F180" s="26" t="str">
        <x:v>Planned</x:v>
      </x:c>
      <x:c r="G180" s="26" t="str">
        <x:v>NOT RUN</x:v>
      </x:c>
      <x:c r="H180" s="26" t="str">
        <x:v>Security/Engineering</x:v>
      </x:c>
      <x:c r="I180" s="26" t="str">
        <x:v>Production/QA</x:v>
      </x:c>
      <x:c r="J180" s="26"/>
      <x:c r="K180" s="26"/>
      <x:c r="L180" s="26"/>
      <x:c r="M180" s="26" t="str">
        <x:v>Entregable verificable, evidencia registrada y dependencias satisfechas.</x:v>
      </x:c>
      <x:c r="N180" s="26" t="str">
        <x:v>Restore report</x:v>
      </x:c>
      <x:c r="O180" s="26" t="str">
        <x:v>27_Security_and_Incident_Response_Plan.md</x:v>
      </x:c>
      <x:c r="P180" s="26" t="str">
        <x:v>Build, security, ADR y registros operativos v0.3–v0.6</x:v>
      </x:c>
      <x:c r="Q180" s="26" t="str">
        <x:v>YES</x:v>
      </x:c>
      <x:c r="R180" s="26" t="str">
        <x:v>YES</x:v>
      </x:c>
      <x:c r="S180" s="26"/>
      <x:c r="T180" s="90" t="n">
        <x:v>0</x:v>
      </x:c>
    </x:row>
    <x:row r="181" ht="30" customHeight="1">
      <x:c r="A181" s="26" t="str">
        <x:v>SEC-WP-04</x:v>
      </x:c>
      <x:c r="B181" s="26" t="str">
        <x:v>Seguridad</x:v>
      </x:c>
      <x:c r="C181" s="26" t="str">
        <x:v>Published policy</x:v>
      </x:c>
      <x:c r="D181" s="26" t="str">
        <x:v>P2</x:v>
      </x:c>
      <x:c r="E181" s="26" t="str">
        <x:v>Post-H6 / Release preparation</x:v>
      </x:c>
      <x:c r="F181" s="26" t="str">
        <x:v>Planned</x:v>
      </x:c>
      <x:c r="G181" s="26" t="str">
        <x:v>NOT RUN</x:v>
      </x:c>
      <x:c r="H181" s="26" t="str">
        <x:v>Security/Engineering</x:v>
      </x:c>
      <x:c r="I181" s="26" t="str">
        <x:v>Production/QA</x:v>
      </x:c>
      <x:c r="J181" s="26"/>
      <x:c r="K181" s="26"/>
      <x:c r="L181" s="26"/>
      <x:c r="M181" s="26" t="str">
        <x:v>Entregable verificable, evidencia registrada y dependencias satisfechas.</x:v>
      </x:c>
      <x:c r="N181" s="26" t="str">
        <x:v>Published policy</x:v>
      </x:c>
      <x:c r="O181" s="26" t="str">
        <x:v>27_Security_and_Incident_Response_Plan.md</x:v>
      </x:c>
      <x:c r="P181" s="26" t="str">
        <x:v>Build, security, ADR y registros operativos v0.3–v0.6</x:v>
      </x:c>
      <x:c r="Q181" s="26" t="str">
        <x:v>YES</x:v>
      </x:c>
      <x:c r="R181" s="26" t="str">
        <x:v>YES</x:v>
      </x:c>
      <x:c r="S181" s="26"/>
      <x:c r="T181" s="90" t="n">
        <x:v>0</x:v>
      </x:c>
    </x:row>
    <x:row r="182" ht="30" customHeight="1">
      <x:c r="A182" s="26" t="str">
        <x:v>SEC-WP-05</x:v>
      </x:c>
      <x:c r="B182" s="26" t="str">
        <x:v>Seguridad</x:v>
      </x:c>
      <x:c r="C182" s="26" t="str">
        <x:v>Scan report + remediation</x:v>
      </x:c>
      <x:c r="D182" s="26" t="str">
        <x:v>P2</x:v>
      </x:c>
      <x:c r="E182" s="26" t="str">
        <x:v>Post-H6 / Release preparation</x:v>
      </x:c>
      <x:c r="F182" s="26" t="str">
        <x:v>Planned</x:v>
      </x:c>
      <x:c r="G182" s="26" t="str">
        <x:v>NOT RUN</x:v>
      </x:c>
      <x:c r="H182" s="26" t="str">
        <x:v>Security/Engineering</x:v>
      </x:c>
      <x:c r="I182" s="26" t="str">
        <x:v>Production/QA</x:v>
      </x:c>
      <x:c r="J182" s="26"/>
      <x:c r="K182" s="26"/>
      <x:c r="L182" s="26"/>
      <x:c r="M182" s="26" t="str">
        <x:v>Entregable verificable, evidencia registrada y dependencias satisfechas.</x:v>
      </x:c>
      <x:c r="N182" s="26" t="str">
        <x:v>Scan report + remediation</x:v>
      </x:c>
      <x:c r="O182" s="26" t="str">
        <x:v>27_Security_and_Incident_Response_Plan.md</x:v>
      </x:c>
      <x:c r="P182" s="26" t="str">
        <x:v>Build, security, ADR y registros operativos v0.3–v0.6</x:v>
      </x:c>
      <x:c r="Q182" s="26" t="str">
        <x:v>YES</x:v>
      </x:c>
      <x:c r="R182" s="26" t="str">
        <x:v>YES</x:v>
      </x:c>
      <x:c r="S182" s="26"/>
      <x:c r="T182" s="90" t="n">
        <x:v>0</x:v>
      </x:c>
    </x:row>
    <x:row r="183" ht="30" customHeight="1">
      <x:c r="A183" s="26" t="str">
        <x:v>SEC-WP-06</x:v>
      </x:c>
      <x:c r="B183" s="26" t="str">
        <x:v>Seguridad</x:v>
      </x:c>
      <x:c r="C183" s="26" t="str">
        <x:v>Repository settings</x:v>
      </x:c>
      <x:c r="D183" s="26" t="str">
        <x:v>P2</x:v>
      </x:c>
      <x:c r="E183" s="26" t="str">
        <x:v>Post-H6 / Release preparation</x:v>
      </x:c>
      <x:c r="F183" s="26" t="str">
        <x:v>Planned</x:v>
      </x:c>
      <x:c r="G183" s="26" t="str">
        <x:v>NOT RUN</x:v>
      </x:c>
      <x:c r="H183" s="26" t="str">
        <x:v>Security/Engineering</x:v>
      </x:c>
      <x:c r="I183" s="26" t="str">
        <x:v>Production/QA</x:v>
      </x:c>
      <x:c r="J183" s="26"/>
      <x:c r="K183" s="26"/>
      <x:c r="L183" s="26"/>
      <x:c r="M183" s="26" t="str">
        <x:v>Entregable verificable, evidencia registrada y dependencias satisfechas.</x:v>
      </x:c>
      <x:c r="N183" s="26" t="str">
        <x:v>Repository settings</x:v>
      </x:c>
      <x:c r="O183" s="26" t="str">
        <x:v>27_Security_and_Incident_Response_Plan.md</x:v>
      </x:c>
      <x:c r="P183" s="26" t="str">
        <x:v>Build, security, ADR y registros operativos v0.3–v0.6</x:v>
      </x:c>
      <x:c r="Q183" s="26" t="str">
        <x:v>YES</x:v>
      </x:c>
      <x:c r="R183" s="26" t="str">
        <x:v>YES</x:v>
      </x:c>
      <x:c r="S183" s="26"/>
      <x:c r="T183" s="90" t="n">
        <x:v>0</x:v>
      </x:c>
    </x:row>
    <x:row r="184" ht="30" customHeight="1">
      <x:c r="A184" s="26" t="str">
        <x:v>SEC-WP-07</x:v>
      </x:c>
      <x:c r="B184" s="26" t="str">
        <x:v>Seguridad</x:v>
      </x:c>
      <x:c r="C184" s="26" t="str">
        <x:v>SBOM + triage log</x:v>
      </x:c>
      <x:c r="D184" s="26" t="str">
        <x:v>P2</x:v>
      </x:c>
      <x:c r="E184" s="26" t="str">
        <x:v>Post-H6 / Release preparation</x:v>
      </x:c>
      <x:c r="F184" s="26" t="str">
        <x:v>Planned</x:v>
      </x:c>
      <x:c r="G184" s="26" t="str">
        <x:v>NOT RUN</x:v>
      </x:c>
      <x:c r="H184" s="26" t="str">
        <x:v>Security/Engineering</x:v>
      </x:c>
      <x:c r="I184" s="26" t="str">
        <x:v>Production/QA</x:v>
      </x:c>
      <x:c r="J184" s="26"/>
      <x:c r="K184" s="26"/>
      <x:c r="L184" s="26"/>
      <x:c r="M184" s="26" t="str">
        <x:v>Entregable verificable, evidencia registrada y dependencias satisfechas.</x:v>
      </x:c>
      <x:c r="N184" s="26" t="str">
        <x:v>SBOM + triage log</x:v>
      </x:c>
      <x:c r="O184" s="26" t="str">
        <x:v>27_Security_and_Incident_Response_Plan.md</x:v>
      </x:c>
      <x:c r="P184" s="26" t="str">
        <x:v>Build, security, ADR y registros operativos v0.3–v0.6</x:v>
      </x:c>
      <x:c r="Q184" s="26" t="str">
        <x:v>YES</x:v>
      </x:c>
      <x:c r="R184" s="26" t="str">
        <x:v>YES</x:v>
      </x:c>
      <x:c r="S184" s="26"/>
      <x:c r="T184" s="90" t="n">
        <x:v>0</x:v>
      </x:c>
    </x:row>
    <x:row r="185" ht="30" customHeight="1">
      <x:c r="A185" s="26" t="str">
        <x:v>SEC-WP-08</x:v>
      </x:c>
      <x:c r="B185" s="26" t="str">
        <x:v>Seguridad</x:v>
      </x:c>
      <x:c r="C185" s="26" t="str">
        <x:v>Settings decision + network observation if needed</x:v>
      </x:c>
      <x:c r="D185" s="26" t="str">
        <x:v>P2</x:v>
      </x:c>
      <x:c r="E185" s="26" t="str">
        <x:v>Post-H6 / Release preparation</x:v>
      </x:c>
      <x:c r="F185" s="26" t="str">
        <x:v>Planned</x:v>
      </x:c>
      <x:c r="G185" s="26" t="str">
        <x:v>NOT RUN</x:v>
      </x:c>
      <x:c r="H185" s="26" t="str">
        <x:v>Security/Engineering</x:v>
      </x:c>
      <x:c r="I185" s="26" t="str">
        <x:v>Production/QA</x:v>
      </x:c>
      <x:c r="J185" s="26"/>
      <x:c r="K185" s="26"/>
      <x:c r="L185" s="26"/>
      <x:c r="M185" s="26" t="str">
        <x:v>Entregable verificable, evidencia registrada y dependencias satisfechas.</x:v>
      </x:c>
      <x:c r="N185" s="26" t="str">
        <x:v>Settings decision + network observation if needed</x:v>
      </x:c>
      <x:c r="O185" s="26" t="str">
        <x:v>27_Security_and_Incident_Response_Plan.md</x:v>
      </x:c>
      <x:c r="P185" s="26" t="str">
        <x:v>Build, security, ADR y registros operativos v0.3–v0.6</x:v>
      </x:c>
      <x:c r="Q185" s="26" t="str">
        <x:v>YES</x:v>
      </x:c>
      <x:c r="R185" s="26" t="str">
        <x:v>YES</x:v>
      </x:c>
      <x:c r="S185" s="26"/>
      <x:c r="T185" s="90" t="n">
        <x:v>0</x:v>
      </x:c>
    </x:row>
    <x:row r="186" ht="30" customHeight="1">
      <x:c r="A186" s="26" t="str">
        <x:v>SEC-WP-09</x:v>
      </x:c>
      <x:c r="B186" s="26" t="str">
        <x:v>Seguridad</x:v>
      </x:c>
      <x:c r="C186" s="26" t="str">
        <x:v>EditMode/PlayMode evidence</x:v>
      </x:c>
      <x:c r="D186" s="26" t="str">
        <x:v>P2</x:v>
      </x:c>
      <x:c r="E186" s="26" t="str">
        <x:v>Post-H6 / Release preparation</x:v>
      </x:c>
      <x:c r="F186" s="26" t="str">
        <x:v>Planned</x:v>
      </x:c>
      <x:c r="G186" s="26" t="str">
        <x:v>NOT RUN</x:v>
      </x:c>
      <x:c r="H186" s="26" t="str">
        <x:v>Security/Engineering</x:v>
      </x:c>
      <x:c r="I186" s="26" t="str">
        <x:v>Production/QA</x:v>
      </x:c>
      <x:c r="J186" s="26"/>
      <x:c r="K186" s="26"/>
      <x:c r="L186" s="26"/>
      <x:c r="M186" s="26" t="str">
        <x:v>Entregable verificable, evidencia registrada y dependencias satisfechas.</x:v>
      </x:c>
      <x:c r="N186" s="26" t="str">
        <x:v>EditMode/PlayMode evidence</x:v>
      </x:c>
      <x:c r="O186" s="26" t="str">
        <x:v>27_Security_and_Incident_Response_Plan.md</x:v>
      </x:c>
      <x:c r="P186" s="26" t="str">
        <x:v>Build, security, ADR y registros operativos v0.3–v0.6</x:v>
      </x:c>
      <x:c r="Q186" s="26" t="str">
        <x:v>YES</x:v>
      </x:c>
      <x:c r="R186" s="26" t="str">
        <x:v>YES</x:v>
      </x:c>
      <x:c r="S186" s="26"/>
      <x:c r="T186" s="90" t="n">
        <x:v>0</x:v>
      </x:c>
    </x:row>
    <x:row r="187" ht="30" customHeight="1">
      <x:c r="A187" s="26" t="str">
        <x:v>SEC-WP-10</x:v>
      </x:c>
      <x:c r="B187" s="26" t="str">
        <x:v>Seguridad</x:v>
      </x:c>
      <x:c r="C187" s="26" t="str">
        <x:v>Build contents report</x:v>
      </x:c>
      <x:c r="D187" s="26" t="str">
        <x:v>P2</x:v>
      </x:c>
      <x:c r="E187" s="26" t="str">
        <x:v>Post-H6 / Release preparation</x:v>
      </x:c>
      <x:c r="F187" s="26" t="str">
        <x:v>Planned</x:v>
      </x:c>
      <x:c r="G187" s="26" t="str">
        <x:v>NOT RUN</x:v>
      </x:c>
      <x:c r="H187" s="26" t="str">
        <x:v>Security/Engineering</x:v>
      </x:c>
      <x:c r="I187" s="26" t="str">
        <x:v>Production/QA</x:v>
      </x:c>
      <x:c r="J187" s="26"/>
      <x:c r="K187" s="26"/>
      <x:c r="L187" s="26"/>
      <x:c r="M187" s="26" t="str">
        <x:v>Entregable verificable, evidencia registrada y dependencias satisfechas.</x:v>
      </x:c>
      <x:c r="N187" s="26" t="str">
        <x:v>Build contents report</x:v>
      </x:c>
      <x:c r="O187" s="26" t="str">
        <x:v>27_Security_and_Incident_Response_Plan.md</x:v>
      </x:c>
      <x:c r="P187" s="26" t="str">
        <x:v>Build, security, ADR y registros operativos v0.3–v0.6</x:v>
      </x:c>
      <x:c r="Q187" s="26" t="str">
        <x:v>YES</x:v>
      </x:c>
      <x:c r="R187" s="26" t="str">
        <x:v>YES</x:v>
      </x:c>
      <x:c r="S187" s="26"/>
      <x:c r="T187" s="90" t="n">
        <x:v>0</x:v>
      </x:c>
    </x:row>
    <x:row r="188" ht="30" customHeight="1">
      <x:c r="A188" s="26" t="str">
        <x:v>SEC-WP-11</x:v>
      </x:c>
      <x:c r="B188" s="26" t="str">
        <x:v>Seguridad</x:v>
      </x:c>
      <x:c r="C188" s="26" t="str">
        <x:v>ADR and certificate plan</x:v>
      </x:c>
      <x:c r="D188" s="26" t="str">
        <x:v>P2</x:v>
      </x:c>
      <x:c r="E188" s="26" t="str">
        <x:v>Post-H6 / Release preparation</x:v>
      </x:c>
      <x:c r="F188" s="26" t="str">
        <x:v>Planned</x:v>
      </x:c>
      <x:c r="G188" s="26" t="str">
        <x:v>NOT RUN</x:v>
      </x:c>
      <x:c r="H188" s="26" t="str">
        <x:v>Security/Engineering</x:v>
      </x:c>
      <x:c r="I188" s="26" t="str">
        <x:v>Production/QA</x:v>
      </x:c>
      <x:c r="J188" s="26"/>
      <x:c r="K188" s="26"/>
      <x:c r="L188" s="26"/>
      <x:c r="M188" s="26" t="str">
        <x:v>Entregable verificable, evidencia registrada y dependencias satisfechas.</x:v>
      </x:c>
      <x:c r="N188" s="26" t="str">
        <x:v>ADR and certificate plan</x:v>
      </x:c>
      <x:c r="O188" s="26" t="str">
        <x:v>27_Security_and_Incident_Response_Plan.md</x:v>
      </x:c>
      <x:c r="P188" s="26" t="str">
        <x:v>Build, security, ADR y registros operativos v0.3–v0.6</x:v>
      </x:c>
      <x:c r="Q188" s="26" t="str">
        <x:v>YES</x:v>
      </x:c>
      <x:c r="R188" s="26" t="str">
        <x:v>YES</x:v>
      </x:c>
      <x:c r="S188" s="26"/>
      <x:c r="T188" s="90" t="n">
        <x:v>0</x:v>
      </x:c>
    </x:row>
    <x:row r="189" ht="30" customHeight="1">
      <x:c r="A189" s="26" t="str">
        <x:v>SEC-WP-12</x:v>
      </x:c>
      <x:c r="B189" s="26" t="str">
        <x:v>Seguridad</x:v>
      </x:c>
      <x:c r="C189" s="26" t="str">
        <x:v>Roles, MFA, upload runbook</x:v>
      </x:c>
      <x:c r="D189" s="26" t="str">
        <x:v>P2</x:v>
      </x:c>
      <x:c r="E189" s="26" t="str">
        <x:v>Post-H6 / Release preparation</x:v>
      </x:c>
      <x:c r="F189" s="26" t="str">
        <x:v>Planned</x:v>
      </x:c>
      <x:c r="G189" s="26" t="str">
        <x:v>NOT RUN</x:v>
      </x:c>
      <x:c r="H189" s="26" t="str">
        <x:v>Security/Engineering</x:v>
      </x:c>
      <x:c r="I189" s="26" t="str">
        <x:v>Production/QA</x:v>
      </x:c>
      <x:c r="J189" s="26"/>
      <x:c r="K189" s="26"/>
      <x:c r="L189" s="26"/>
      <x:c r="M189" s="26" t="str">
        <x:v>Entregable verificable, evidencia registrada y dependencias satisfechas.</x:v>
      </x:c>
      <x:c r="N189" s="26" t="str">
        <x:v>Roles, MFA, upload runbook</x:v>
      </x:c>
      <x:c r="O189" s="26" t="str">
        <x:v>27_Security_and_Incident_Response_Plan.md</x:v>
      </x:c>
      <x:c r="P189" s="26" t="str">
        <x:v>Build, security, ADR y registros operativos v0.3–v0.6</x:v>
      </x:c>
      <x:c r="Q189" s="26" t="str">
        <x:v>YES</x:v>
      </x:c>
      <x:c r="R189" s="26" t="str">
        <x:v>YES</x:v>
      </x:c>
      <x:c r="S189" s="26"/>
      <x:c r="T189" s="90" t="n">
        <x:v>0</x:v>
      </x:c>
    </x:row>
    <x:row r="190" ht="30" customHeight="1">
      <x:c r="A190" s="26" t="str">
        <x:v>SEC-WP-13</x:v>
      </x:c>
      <x:c r="B190" s="26" t="str">
        <x:v>Seguridad</x:v>
      </x:c>
      <x:c r="C190" s="26" t="str">
        <x:v>Dry run</x:v>
      </x:c>
      <x:c r="D190" s="26" t="str">
        <x:v>P2</x:v>
      </x:c>
      <x:c r="E190" s="26" t="str">
        <x:v>Post-H6 / Release preparation</x:v>
      </x:c>
      <x:c r="F190" s="26" t="str">
        <x:v>Planned</x:v>
      </x:c>
      <x:c r="G190" s="26" t="str">
        <x:v>NOT RUN</x:v>
      </x:c>
      <x:c r="H190" s="26" t="str">
        <x:v>Security/Engineering</x:v>
      </x:c>
      <x:c r="I190" s="26" t="str">
        <x:v>Production/QA</x:v>
      </x:c>
      <x:c r="J190" s="26"/>
      <x:c r="K190" s="26"/>
      <x:c r="L190" s="26"/>
      <x:c r="M190" s="26" t="str">
        <x:v>Entregable verificable, evidencia registrada y dependencias satisfechas.</x:v>
      </x:c>
      <x:c r="N190" s="26" t="str">
        <x:v>Dry run</x:v>
      </x:c>
      <x:c r="O190" s="26" t="str">
        <x:v>27_Security_and_Incident_Response_Plan.md</x:v>
      </x:c>
      <x:c r="P190" s="26" t="str">
        <x:v>Build, security, ADR y registros operativos v0.3–v0.6</x:v>
      </x:c>
      <x:c r="Q190" s="26" t="str">
        <x:v>YES</x:v>
      </x:c>
      <x:c r="R190" s="26" t="str">
        <x:v>YES</x:v>
      </x:c>
      <x:c r="S190" s="26"/>
      <x:c r="T190" s="90" t="n">
        <x:v>0</x:v>
      </x:c>
    </x:row>
    <x:row r="191" ht="30" customHeight="1">
      <x:c r="A191" s="26" t="str">
        <x:v>SEC-WP-14</x:v>
      </x:c>
      <x:c r="B191" s="26" t="str">
        <x:v>Seguridad</x:v>
      </x:c>
      <x:c r="C191" s="26" t="str">
        <x:v>Exercise report</x:v>
      </x:c>
      <x:c r="D191" s="26" t="str">
        <x:v>P2</x:v>
      </x:c>
      <x:c r="E191" s="26" t="str">
        <x:v>Post-H6 / Release preparation</x:v>
      </x:c>
      <x:c r="F191" s="26" t="str">
        <x:v>Planned</x:v>
      </x:c>
      <x:c r="G191" s="26" t="str">
        <x:v>NOT RUN</x:v>
      </x:c>
      <x:c r="H191" s="26" t="str">
        <x:v>Security/Engineering</x:v>
      </x:c>
      <x:c r="I191" s="26" t="str">
        <x:v>Production/QA</x:v>
      </x:c>
      <x:c r="J191" s="26"/>
      <x:c r="K191" s="26"/>
      <x:c r="L191" s="26"/>
      <x:c r="M191" s="26" t="str">
        <x:v>Entregable verificable, evidencia registrada y dependencias satisfechas.</x:v>
      </x:c>
      <x:c r="N191" s="26" t="str">
        <x:v>Exercise report</x:v>
      </x:c>
      <x:c r="O191" s="26" t="str">
        <x:v>27_Security_and_Incident_Response_Plan.md</x:v>
      </x:c>
      <x:c r="P191" s="26" t="str">
        <x:v>Build, security, ADR y registros operativos v0.3–v0.6</x:v>
      </x:c>
      <x:c r="Q191" s="26" t="str">
        <x:v>YES</x:v>
      </x:c>
      <x:c r="R191" s="26" t="str">
        <x:v>YES</x:v>
      </x:c>
      <x:c r="S191" s="26"/>
      <x:c r="T191" s="90" t="n">
        <x:v>0</x:v>
      </x:c>
    </x:row>
    <x:row r="192" ht="30" customHeight="1">
      <x:c r="A192" s="26" t="str">
        <x:v>SEC-WP-15</x:v>
      </x:c>
      <x:c r="B192" s="26" t="str">
        <x:v>Seguridad</x:v>
      </x:c>
      <x:c r="C192" s="26" t="str">
        <x:v>Exercise report</x:v>
      </x:c>
      <x:c r="D192" s="26" t="str">
        <x:v>P2</x:v>
      </x:c>
      <x:c r="E192" s="26" t="str">
        <x:v>Post-H6 / Release preparation</x:v>
      </x:c>
      <x:c r="F192" s="26" t="str">
        <x:v>Planned</x:v>
      </x:c>
      <x:c r="G192" s="26" t="str">
        <x:v>NOT RUN</x:v>
      </x:c>
      <x:c r="H192" s="26" t="str">
        <x:v>Security/Engineering</x:v>
      </x:c>
      <x:c r="I192" s="26" t="str">
        <x:v>Production/QA</x:v>
      </x:c>
      <x:c r="J192" s="26"/>
      <x:c r="K192" s="26"/>
      <x:c r="L192" s="26"/>
      <x:c r="M192" s="26" t="str">
        <x:v>Entregable verificable, evidencia registrada y dependencias satisfechas.</x:v>
      </x:c>
      <x:c r="N192" s="26" t="str">
        <x:v>Exercise report</x:v>
      </x:c>
      <x:c r="O192" s="26" t="str">
        <x:v>27_Security_and_Incident_Response_Plan.md</x:v>
      </x:c>
      <x:c r="P192" s="26" t="str">
        <x:v>Build, security, ADR y registros operativos v0.3–v0.6</x:v>
      </x:c>
      <x:c r="Q192" s="26" t="str">
        <x:v>YES</x:v>
      </x:c>
      <x:c r="R192" s="26" t="str">
        <x:v>YES</x:v>
      </x:c>
      <x:c r="S192" s="26"/>
      <x:c r="T192" s="90" t="n">
        <x:v>0</x:v>
      </x:c>
    </x:row>
    <x:row r="193" ht="30" customHeight="1">
      <x:c r="A193" s="26" t="str">
        <x:v>SEC-WP-16</x:v>
      </x:c>
      <x:c r="B193" s="26" t="str">
        <x:v>Seguridad</x:v>
      </x:c>
      <x:c r="C193" s="26" t="str">
        <x:v>Scanner + clean install evidence</x:v>
      </x:c>
      <x:c r="D193" s="26" t="str">
        <x:v>P2</x:v>
      </x:c>
      <x:c r="E193" s="26" t="str">
        <x:v>Post-H6 / Release preparation</x:v>
      </x:c>
      <x:c r="F193" s="26" t="str">
        <x:v>Planned</x:v>
      </x:c>
      <x:c r="G193" s="26" t="str">
        <x:v>NOT RUN</x:v>
      </x:c>
      <x:c r="H193" s="26" t="str">
        <x:v>Security/Engineering</x:v>
      </x:c>
      <x:c r="I193" s="26" t="str">
        <x:v>Production/QA</x:v>
      </x:c>
      <x:c r="J193" s="26"/>
      <x:c r="K193" s="26"/>
      <x:c r="L193" s="26"/>
      <x:c r="M193" s="26" t="str">
        <x:v>Entregable verificable, evidencia registrada y dependencias satisfechas.</x:v>
      </x:c>
      <x:c r="N193" s="26" t="str">
        <x:v>Scanner + clean install evidence</x:v>
      </x:c>
      <x:c r="O193" s="26" t="str">
        <x:v>27_Security_and_Incident_Response_Plan.md</x:v>
      </x:c>
      <x:c r="P193" s="26" t="str">
        <x:v>Build, security, ADR y registros operativos v0.3–v0.6</x:v>
      </x:c>
      <x:c r="Q193" s="26" t="str">
        <x:v>YES</x:v>
      </x:c>
      <x:c r="R193" s="26" t="str">
        <x:v>YES</x:v>
      </x:c>
      <x:c r="S193" s="26"/>
      <x:c r="T193" s="90" t="n">
        <x:v>0</x:v>
      </x:c>
    </x:row>
    <x:row r="194" ht="30" customHeight="1">
      <x:c r="A194" s="26" t="str">
        <x:v>SEC-WP-17</x:v>
      </x:c>
      <x:c r="B194" s="26" t="str">
        <x:v>Seguridad</x:v>
      </x:c>
      <x:c r="C194" s="26" t="str">
        <x:v>Advisory log</x:v>
      </x:c>
      <x:c r="D194" s="26" t="str">
        <x:v>P2</x:v>
      </x:c>
      <x:c r="E194" s="26" t="str">
        <x:v>Post-H6 / Release preparation</x:v>
      </x:c>
      <x:c r="F194" s="26" t="str">
        <x:v>Planned</x:v>
      </x:c>
      <x:c r="G194" s="26" t="str">
        <x:v>NOT RUN</x:v>
      </x:c>
      <x:c r="H194" s="26" t="str">
        <x:v>Security/Engineering</x:v>
      </x:c>
      <x:c r="I194" s="26" t="str">
        <x:v>Production/QA</x:v>
      </x:c>
      <x:c r="J194" s="26"/>
      <x:c r="K194" s="26"/>
      <x:c r="L194" s="26"/>
      <x:c r="M194" s="26" t="str">
        <x:v>Entregable verificable, evidencia registrada y dependencias satisfechas.</x:v>
      </x:c>
      <x:c r="N194" s="26" t="str">
        <x:v>Advisory log</x:v>
      </x:c>
      <x:c r="O194" s="26" t="str">
        <x:v>27_Security_and_Incident_Response_Plan.md</x:v>
      </x:c>
      <x:c r="P194" s="26" t="str">
        <x:v>Build, security, ADR y registros operativos v0.3–v0.6</x:v>
      </x:c>
      <x:c r="Q194" s="26" t="str">
        <x:v>YES</x:v>
      </x:c>
      <x:c r="R194" s="26" t="str">
        <x:v>YES</x:v>
      </x:c>
      <x:c r="S194" s="26"/>
      <x:c r="T194" s="90" t="n">
        <x:v>0</x:v>
      </x:c>
    </x:row>
    <x:row r="195" ht="30" customHeight="1">
      <x:c r="A195" s="26" t="str">
        <x:v>SEC-WP-18</x:v>
      </x:c>
      <x:c r="B195" s="26" t="str">
        <x:v>Seguridad</x:v>
      </x:c>
      <x:c r="C195" s="26" t="str">
        <x:v>Scope/decision</x:v>
      </x:c>
      <x:c r="D195" s="26" t="str">
        <x:v>P2</x:v>
      </x:c>
      <x:c r="E195" s="26" t="str">
        <x:v>Post-H6 / Release preparation</x:v>
      </x:c>
      <x:c r="F195" s="26" t="str">
        <x:v>Planned</x:v>
      </x:c>
      <x:c r="G195" s="26" t="str">
        <x:v>NOT RUN</x:v>
      </x:c>
      <x:c r="H195" s="26" t="str">
        <x:v>Security/Engineering</x:v>
      </x:c>
      <x:c r="I195" s="26" t="str">
        <x:v>Production/QA</x:v>
      </x:c>
      <x:c r="J195" s="26"/>
      <x:c r="K195" s="26"/>
      <x:c r="L195" s="26"/>
      <x:c r="M195" s="26" t="str">
        <x:v>Entregable verificable, evidencia registrada y dependencias satisfechas.</x:v>
      </x:c>
      <x:c r="N195" s="26" t="str">
        <x:v>Scope/decision</x:v>
      </x:c>
      <x:c r="O195" s="26" t="str">
        <x:v>27_Security_and_Incident_Response_Plan.md</x:v>
      </x:c>
      <x:c r="P195" s="26" t="str">
        <x:v>Build, security, ADR y registros operativos v0.3–v0.6</x:v>
      </x:c>
      <x:c r="Q195" s="26" t="str">
        <x:v>YES</x:v>
      </x:c>
      <x:c r="R195" s="26" t="str">
        <x:v>YES</x:v>
      </x:c>
      <x:c r="S195" s="26"/>
      <x:c r="T195" s="90" t="n">
        <x:v>0</x:v>
      </x:c>
    </x:row>
    <x:row r="196" ht="30" customHeight="1">
      <x:c r="A196" s="26" t="str">
        <x:v>SEC-WP-19</x:v>
      </x:c>
      <x:c r="B196" s="26" t="str">
        <x:v>Seguridad</x:v>
      </x:c>
      <x:c r="C196" s="26" t="str">
        <x:v>Custodied recovery instructions</x:v>
      </x:c>
      <x:c r="D196" s="26" t="str">
        <x:v>P2</x:v>
      </x:c>
      <x:c r="E196" s="26" t="str">
        <x:v>Post-H6 / Release preparation</x:v>
      </x:c>
      <x:c r="F196" s="26" t="str">
        <x:v>Planned</x:v>
      </x:c>
      <x:c r="G196" s="26" t="str">
        <x:v>NOT RUN</x:v>
      </x:c>
      <x:c r="H196" s="26" t="str">
        <x:v>Security/Engineering</x:v>
      </x:c>
      <x:c r="I196" s="26" t="str">
        <x:v>Production/QA</x:v>
      </x:c>
      <x:c r="J196" s="26"/>
      <x:c r="K196" s="26"/>
      <x:c r="L196" s="26"/>
      <x:c r="M196" s="26" t="str">
        <x:v>Entregable verificable, evidencia registrada y dependencias satisfechas.</x:v>
      </x:c>
      <x:c r="N196" s="26" t="str">
        <x:v>Custodied recovery instructions</x:v>
      </x:c>
      <x:c r="O196" s="26" t="str">
        <x:v>27_Security_and_Incident_Response_Plan.md</x:v>
      </x:c>
      <x:c r="P196" s="26" t="str">
        <x:v>Build, security, ADR y registros operativos v0.3–v0.6</x:v>
      </x:c>
      <x:c r="Q196" s="26" t="str">
        <x:v>YES</x:v>
      </x:c>
      <x:c r="R196" s="26" t="str">
        <x:v>YES</x:v>
      </x:c>
      <x:c r="S196" s="26"/>
      <x:c r="T196" s="90" t="n">
        <x:v>0</x:v>
      </x:c>
    </x:row>
    <x:row r="197" ht="30" customHeight="1">
      <x:c r="A197" s="26" t="str">
        <x:v>SEC-WP-20</x:v>
      </x:c>
      <x:c r="B197" s="26" t="str">
        <x:v>Seguridad</x:v>
      </x:c>
      <x:c r="C197" s="26" t="str">
        <x:v>Signed decision</x:v>
      </x:c>
      <x:c r="D197" s="26" t="str">
        <x:v>P2</x:v>
      </x:c>
      <x:c r="E197" s="26" t="str">
        <x:v>Post-H6 / Release preparation</x:v>
      </x:c>
      <x:c r="F197" s="26" t="str">
        <x:v>Planned</x:v>
      </x:c>
      <x:c r="G197" s="26" t="str">
        <x:v>NOT RUN</x:v>
      </x:c>
      <x:c r="H197" s="26" t="str">
        <x:v>Security/Engineering</x:v>
      </x:c>
      <x:c r="I197" s="26" t="str">
        <x:v>Production/QA</x:v>
      </x:c>
      <x:c r="J197" s="26"/>
      <x:c r="K197" s="26"/>
      <x:c r="L197" s="26"/>
      <x:c r="M197" s="26" t="str">
        <x:v>Entregable verificable, evidencia registrada y dependencias satisfechas.</x:v>
      </x:c>
      <x:c r="N197" s="26" t="str">
        <x:v>Signed decision</x:v>
      </x:c>
      <x:c r="O197" s="26" t="str">
        <x:v>27_Security_and_Incident_Response_Plan.md</x:v>
      </x:c>
      <x:c r="P197" s="26" t="str">
        <x:v>Build, security, ADR y registros operativos v0.3–v0.6</x:v>
      </x:c>
      <x:c r="Q197" s="26" t="str">
        <x:v>YES</x:v>
      </x:c>
      <x:c r="R197" s="26" t="str">
        <x:v>YES</x:v>
      </x:c>
      <x:c r="S197" s="26"/>
      <x:c r="T197" s="90" t="n">
        <x:v>0</x:v>
      </x:c>
    </x:row>
    <x:row r="198" ht="30" customHeight="1">
      <x:c r="A198" s="26" t="str">
        <x:v>STM-WP-01</x:v>
      </x:c>
      <x:c r="B198" s="26" t="str">
        <x:v>Steam/Publishing</x:v>
      </x:c>
      <x:c r="C198" s="26" t="str">
        <x:v>Clearance de título/estudio</x:v>
      </x:c>
      <x:c r="D198" s="26" t="str">
        <x:v>P2</x:v>
      </x:c>
      <x:c r="E198" s="26" t="str">
        <x:v>Post-H6 / Release preparation</x:v>
      </x:c>
      <x:c r="F198" s="26" t="str">
        <x:v>Planned</x:v>
      </x:c>
      <x:c r="G198" s="26" t="str">
        <x:v>NOT RUN</x:v>
      </x:c>
      <x:c r="H198" s="26" t="str">
        <x:v>Production/Steam</x:v>
      </x:c>
      <x:c r="I198" s="26" t="str">
        <x:v>Production/QA</x:v>
      </x:c>
      <x:c r="J198" s="26"/>
      <x:c r="K198" s="26" t="str">
        <x:v>nombres aprobados</x:v>
      </x:c>
      <x:c r="L198" s="26"/>
      <x:c r="M198" s="26" t="str">
        <x:v>Entregable verificable, evidencia registrada y dependencias satisfechas.</x:v>
      </x:c>
      <x:c r="N198" s="26" t="str">
        <x:v>Registro, artefacto y validación reproducible</x:v>
      </x:c>
      <x:c r="O198" s="26" t="str">
        <x:v>24_Steam_Publishing_Plan.md</x:v>
      </x:c>
      <x:c r="P198" s="26" t="str">
        <x:v>Steam/marketing históricos v0.3–v0.6</x:v>
      </x:c>
      <x:c r="Q198" s="26" t="str">
        <x:v>YES</x:v>
      </x:c>
      <x:c r="R198" s="26" t="str">
        <x:v>YES</x:v>
      </x:c>
      <x:c r="S198" s="26"/>
      <x:c r="T198" s="90" t="n">
        <x:v>0</x:v>
      </x:c>
    </x:row>
    <x:row r="199" ht="30" customHeight="1">
      <x:c r="A199" s="26" t="str">
        <x:v>STM-WP-02</x:v>
      </x:c>
      <x:c r="B199" s="26" t="str">
        <x:v>Steam/Publishing</x:v>
      </x:c>
      <x:c r="C199" s="26" t="str">
        <x:v>Onboarding/Steam Direct</x:v>
      </x:c>
      <x:c r="D199" s="26" t="str">
        <x:v>P2</x:v>
      </x:c>
      <x:c r="E199" s="26" t="str">
        <x:v>Post-H6 / Release preparation</x:v>
      </x:c>
      <x:c r="F199" s="26" t="str">
        <x:v>Planned</x:v>
      </x:c>
      <x:c r="G199" s="26" t="str">
        <x:v>NOT RUN</x:v>
      </x:c>
      <x:c r="H199" s="26" t="str">
        <x:v>Production/Steam</x:v>
      </x:c>
      <x:c r="I199" s="26" t="str">
        <x:v>Production/QA</x:v>
      </x:c>
      <x:c r="J199" s="26"/>
      <x:c r="K199" s="26" t="str">
        <x:v>partner y AppID</x:v>
      </x:c>
      <x:c r="L199" s="26"/>
      <x:c r="M199" s="26" t="str">
        <x:v>Entregable verificable, evidencia registrada y dependencias satisfechas.</x:v>
      </x:c>
      <x:c r="N199" s="26" t="str">
        <x:v>Registro, artefacto y validación reproducible</x:v>
      </x:c>
      <x:c r="O199" s="26" t="str">
        <x:v>24_Steam_Publishing_Plan.md</x:v>
      </x:c>
      <x:c r="P199" s="26" t="str">
        <x:v>Steam/marketing históricos v0.3–v0.6</x:v>
      </x:c>
      <x:c r="Q199" s="26" t="str">
        <x:v>YES</x:v>
      </x:c>
      <x:c r="R199" s="26" t="str">
        <x:v>YES</x:v>
      </x:c>
      <x:c r="S199" s="26"/>
      <x:c r="T199" s="90" t="n">
        <x:v>0</x:v>
      </x:c>
    </x:row>
    <x:row r="200" ht="30" customHeight="1">
      <x:c r="A200" s="26" t="str">
        <x:v>STM-WP-03</x:v>
      </x:c>
      <x:c r="B200" s="26" t="str">
        <x:v>Steam/Publishing</x:v>
      </x:c>
      <x:c r="C200" s="26" t="str">
        <x:v>Store copy ES/EN</x:v>
      </x:c>
      <x:c r="D200" s="26" t="str">
        <x:v>P2</x:v>
      </x:c>
      <x:c r="E200" s="26" t="str">
        <x:v>Post-H6 / Release preparation</x:v>
      </x:c>
      <x:c r="F200" s="26" t="str">
        <x:v>Planned</x:v>
      </x:c>
      <x:c r="G200" s="26" t="str">
        <x:v>NOT RUN</x:v>
      </x:c>
      <x:c r="H200" s="26" t="str">
        <x:v>Production/Steam</x:v>
      </x:c>
      <x:c r="I200" s="26" t="str">
        <x:v>Production/QA</x:v>
      </x:c>
      <x:c r="J200" s="26"/>
      <x:c r="K200" s="26" t="str">
        <x:v>copy deck aprobado</x:v>
      </x:c>
      <x:c r="L200" s="26"/>
      <x:c r="M200" s="26" t="str">
        <x:v>Entregable verificable, evidencia registrada y dependencias satisfechas.</x:v>
      </x:c>
      <x:c r="N200" s="26" t="str">
        <x:v>Registro, artefacto y validación reproducible</x:v>
      </x:c>
      <x:c r="O200" s="26" t="str">
        <x:v>24_Steam_Publishing_Plan.md</x:v>
      </x:c>
      <x:c r="P200" s="26" t="str">
        <x:v>Steam/marketing históricos v0.3–v0.6</x:v>
      </x:c>
      <x:c r="Q200" s="26" t="str">
        <x:v>YES</x:v>
      </x:c>
      <x:c r="R200" s="26" t="str">
        <x:v>YES</x:v>
      </x:c>
      <x:c r="S200" s="26"/>
      <x:c r="T200" s="90" t="n">
        <x:v>0</x:v>
      </x:c>
    </x:row>
    <x:row r="201" ht="30" customHeight="1">
      <x:c r="A201" s="26" t="str">
        <x:v>STM-WP-04</x:v>
      </x:c>
      <x:c r="B201" s="26" t="str">
        <x:v>Steam/Publishing</x:v>
      </x:c>
      <x:c r="C201" s="26" t="str">
        <x:v>Cápsulas/library assets</x:v>
      </x:c>
      <x:c r="D201" s="26" t="str">
        <x:v>P2</x:v>
      </x:c>
      <x:c r="E201" s="26" t="str">
        <x:v>Post-H6 / Release preparation</x:v>
      </x:c>
      <x:c r="F201" s="26" t="str">
        <x:v>Planned</x:v>
      </x:c>
      <x:c r="G201" s="26" t="str">
        <x:v>NOT RUN</x:v>
      </x:c>
      <x:c r="H201" s="26" t="str">
        <x:v>Production/Steam</x:v>
      </x:c>
      <x:c r="I201" s="26" t="str">
        <x:v>Production/QA</x:v>
      </x:c>
      <x:c r="J201" s="26"/>
      <x:c r="K201" s="26" t="str">
        <x:v>exports validados</x:v>
      </x:c>
      <x:c r="L201" s="26"/>
      <x:c r="M201" s="26" t="str">
        <x:v>Entregable verificable, evidencia registrada y dependencias satisfechas.</x:v>
      </x:c>
      <x:c r="N201" s="26" t="str">
        <x:v>Registro, artefacto y validación reproducible</x:v>
      </x:c>
      <x:c r="O201" s="26" t="str">
        <x:v>24_Steam_Publishing_Plan.md</x:v>
      </x:c>
      <x:c r="P201" s="26" t="str">
        <x:v>Steam/marketing históricos v0.3–v0.6</x:v>
      </x:c>
      <x:c r="Q201" s="26" t="str">
        <x:v>YES</x:v>
      </x:c>
      <x:c r="R201" s="26" t="str">
        <x:v>YES</x:v>
      </x:c>
      <x:c r="S201" s="26"/>
      <x:c r="T201" s="90" t="n">
        <x:v>0</x:v>
      </x:c>
    </x:row>
    <x:row r="202" ht="30" customHeight="1">
      <x:c r="A202" s="26" t="str">
        <x:v>STM-WP-05</x:v>
      </x:c>
      <x:c r="B202" s="26" t="str">
        <x:v>Steam/Publishing</x:v>
      </x:c>
      <x:c r="C202" s="26" t="str">
        <x:v>Screenshots/tráiler</x:v>
      </x:c>
      <x:c r="D202" s="26" t="str">
        <x:v>P2</x:v>
      </x:c>
      <x:c r="E202" s="26" t="str">
        <x:v>Post-H6 / Release preparation</x:v>
      </x:c>
      <x:c r="F202" s="26" t="str">
        <x:v>Planned</x:v>
      </x:c>
      <x:c r="G202" s="26" t="str">
        <x:v>NOT RUN</x:v>
      </x:c>
      <x:c r="H202" s="26" t="str">
        <x:v>Production/Steam</x:v>
      </x:c>
      <x:c r="I202" s="26" t="str">
        <x:v>Production/QA</x:v>
      </x:c>
      <x:c r="J202" s="26"/>
      <x:c r="K202" s="26" t="str">
        <x:v>material real y legal</x:v>
      </x:c>
      <x:c r="L202" s="26"/>
      <x:c r="M202" s="26" t="str">
        <x:v>Entregable verificable, evidencia registrada y dependencias satisfechas.</x:v>
      </x:c>
      <x:c r="N202" s="26" t="str">
        <x:v>Registro, artefacto y validación reproducible</x:v>
      </x:c>
      <x:c r="O202" s="26" t="str">
        <x:v>24_Steam_Publishing_Plan.md</x:v>
      </x:c>
      <x:c r="P202" s="26" t="str">
        <x:v>Steam/marketing históricos v0.3–v0.6</x:v>
      </x:c>
      <x:c r="Q202" s="26" t="str">
        <x:v>YES</x:v>
      </x:c>
      <x:c r="R202" s="26" t="str">
        <x:v>YES</x:v>
      </x:c>
      <x:c r="S202" s="26"/>
      <x:c r="T202" s="90" t="n">
        <x:v>0</x:v>
      </x:c>
    </x:row>
    <x:row r="203" ht="30" customHeight="1">
      <x:c r="A203" s="26" t="str">
        <x:v>STM-WP-06</x:v>
      </x:c>
      <x:c r="B203" s="26" t="str">
        <x:v>Steam/Publishing</x:v>
      </x:c>
      <x:c r="C203" s="26" t="str">
        <x:v>SteamPipe/depot</x:v>
      </x:c>
      <x:c r="D203" s="26" t="str">
        <x:v>P2</x:v>
      </x:c>
      <x:c r="E203" s="26" t="str">
        <x:v>Post-H6 / Release preparation</x:v>
      </x:c>
      <x:c r="F203" s="26" t="str">
        <x:v>Planned</x:v>
      </x:c>
      <x:c r="G203" s="26" t="str">
        <x:v>NOT RUN</x:v>
      </x:c>
      <x:c r="H203" s="26" t="str">
        <x:v>Production/Steam</x:v>
      </x:c>
      <x:c r="I203" s="26" t="str">
        <x:v>Production/QA</x:v>
      </x:c>
      <x:c r="J203" s="26"/>
      <x:c r="K203" s="26" t="str">
        <x:v>upload a internal branch</x:v>
      </x:c>
      <x:c r="L203" s="26"/>
      <x:c r="M203" s="26" t="str">
        <x:v>Entregable verificable, evidencia registrada y dependencias satisfechas.</x:v>
      </x:c>
      <x:c r="N203" s="26" t="str">
        <x:v>Registro, artefacto y validación reproducible</x:v>
      </x:c>
      <x:c r="O203" s="26" t="str">
        <x:v>24_Steam_Publishing_Plan.md</x:v>
      </x:c>
      <x:c r="P203" s="26" t="str">
        <x:v>Steam/marketing históricos v0.3–v0.6</x:v>
      </x:c>
      <x:c r="Q203" s="26" t="str">
        <x:v>YES</x:v>
      </x:c>
      <x:c r="R203" s="26" t="str">
        <x:v>YES</x:v>
      </x:c>
      <x:c r="S203" s="26"/>
      <x:c r="T203" s="90" t="n">
        <x:v>0</x:v>
      </x:c>
    </x:row>
    <x:row r="204" ht="30" customHeight="1">
      <x:c r="A204" s="26" t="str">
        <x:v>STM-WP-07</x:v>
      </x:c>
      <x:c r="B204" s="26" t="str">
        <x:v>Steam/Publishing</x:v>
      </x:c>
      <x:c r="C204" s="26" t="str">
        <x:v>Branches/permissions</x:v>
      </x:c>
      <x:c r="D204" s="26" t="str">
        <x:v>P2</x:v>
      </x:c>
      <x:c r="E204" s="26" t="str">
        <x:v>Post-H6 / Release preparation</x:v>
      </x:c>
      <x:c r="F204" s="26" t="str">
        <x:v>Planned</x:v>
      </x:c>
      <x:c r="G204" s="26" t="str">
        <x:v>NOT RUN</x:v>
      </x:c>
      <x:c r="H204" s="26" t="str">
        <x:v>Production/Steam</x:v>
      </x:c>
      <x:c r="I204" s="26" t="str">
        <x:v>Production/QA</x:v>
      </x:c>
      <x:c r="J204" s="26"/>
      <x:c r="K204" s="26" t="str">
        <x:v>matriz operativa</x:v>
      </x:c>
      <x:c r="L204" s="26"/>
      <x:c r="M204" s="26" t="str">
        <x:v>Entregable verificable, evidencia registrada y dependencias satisfechas.</x:v>
      </x:c>
      <x:c r="N204" s="26" t="str">
        <x:v>Registro, artefacto y validación reproducible</x:v>
      </x:c>
      <x:c r="O204" s="26" t="str">
        <x:v>24_Steam_Publishing_Plan.md</x:v>
      </x:c>
      <x:c r="P204" s="26" t="str">
        <x:v>Steam/marketing históricos v0.3–v0.6</x:v>
      </x:c>
      <x:c r="Q204" s="26" t="str">
        <x:v>YES</x:v>
      </x:c>
      <x:c r="R204" s="26" t="str">
        <x:v>YES</x:v>
      </x:c>
      <x:c r="S204" s="26"/>
      <x:c r="T204" s="90" t="n">
        <x:v>0</x:v>
      </x:c>
    </x:row>
    <x:row r="205" ht="30" customHeight="1">
      <x:c r="A205" s="26" t="str">
        <x:v>STM-WP-08</x:v>
      </x:c>
      <x:c r="B205" s="26" t="str">
        <x:v>Steam/Publishing</x:v>
      </x:c>
      <x:c r="C205" s="26" t="str">
        <x:v>QA Steam client</x:v>
      </x:c>
      <x:c r="D205" s="26" t="str">
        <x:v>P2</x:v>
      </x:c>
      <x:c r="E205" s="26" t="str">
        <x:v>Post-H6 / Release preparation</x:v>
      </x:c>
      <x:c r="F205" s="26" t="str">
        <x:v>Planned</x:v>
      </x:c>
      <x:c r="G205" s="26" t="str">
        <x:v>NOT RUN</x:v>
      </x:c>
      <x:c r="H205" s="26" t="str">
        <x:v>Production/Steam</x:v>
      </x:c>
      <x:c r="I205" s="26" t="str">
        <x:v>Production/QA</x:v>
      </x:c>
      <x:c r="J205" s="26"/>
      <x:c r="K205" s="26" t="str">
        <x:v>install/update/save pass</x:v>
      </x:c>
      <x:c r="L205" s="26"/>
      <x:c r="M205" s="26" t="str">
        <x:v>Entregable verificable, evidencia registrada y dependencias satisfechas.</x:v>
      </x:c>
      <x:c r="N205" s="26" t="str">
        <x:v>Registro, artefacto y validación reproducible</x:v>
      </x:c>
      <x:c r="O205" s="26" t="str">
        <x:v>24_Steam_Publishing_Plan.md</x:v>
      </x:c>
      <x:c r="P205" s="26" t="str">
        <x:v>Steam/marketing históricos v0.3–v0.6</x:v>
      </x:c>
      <x:c r="Q205" s="26" t="str">
        <x:v>YES</x:v>
      </x:c>
      <x:c r="R205" s="26" t="str">
        <x:v>YES</x:v>
      </x:c>
      <x:c r="S205" s="26"/>
      <x:c r="T205" s="90" t="n">
        <x:v>0</x:v>
      </x:c>
    </x:row>
    <x:row r="206" ht="30" customHeight="1">
      <x:c r="A206" s="26" t="str">
        <x:v>STM-WP-09</x:v>
      </x:c>
      <x:c r="B206" s="26" t="str">
        <x:v>Steam/Publishing</x:v>
      </x:c>
      <x:c r="C206" s="26" t="str">
        <x:v>Cloud decision</x:v>
      </x:c>
      <x:c r="D206" s="26" t="str">
        <x:v>P2</x:v>
      </x:c>
      <x:c r="E206" s="26" t="str">
        <x:v>Post-H6 / Release preparation</x:v>
      </x:c>
      <x:c r="F206" s="26" t="str">
        <x:v>Planned</x:v>
      </x:c>
      <x:c r="G206" s="26" t="str">
        <x:v>NOT RUN</x:v>
      </x:c>
      <x:c r="H206" s="26" t="str">
        <x:v>Production/Steam</x:v>
      </x:c>
      <x:c r="I206" s="26" t="str">
        <x:v>Production/QA</x:v>
      </x:c>
      <x:c r="J206" s="26"/>
      <x:c r="K206" s="26" t="str">
        <x:v>Auto-Cloud/API o deferred</x:v>
      </x:c>
      <x:c r="L206" s="26"/>
      <x:c r="M206" s="26" t="str">
        <x:v>Entregable verificable, evidencia registrada y dependencias satisfechas.</x:v>
      </x:c>
      <x:c r="N206" s="26" t="str">
        <x:v>Registro, artefacto y validación reproducible</x:v>
      </x:c>
      <x:c r="O206" s="26" t="str">
        <x:v>24_Steam_Publishing_Plan.md</x:v>
      </x:c>
      <x:c r="P206" s="26" t="str">
        <x:v>Steam/marketing históricos v0.3–v0.6</x:v>
      </x:c>
      <x:c r="Q206" s="26" t="str">
        <x:v>YES</x:v>
      </x:c>
      <x:c r="R206" s="26" t="str">
        <x:v>YES</x:v>
      </x:c>
      <x:c r="S206" s="26"/>
      <x:c r="T206" s="90" t="n">
        <x:v>0</x:v>
      </x:c>
    </x:row>
    <x:row r="207" ht="30" customHeight="1">
      <x:c r="A207" s="26" t="str">
        <x:v>STM-WP-10</x:v>
      </x:c>
      <x:c r="B207" s="26" t="str">
        <x:v>Steam/Publishing</x:v>
      </x:c>
      <x:c r="C207" s="26" t="str">
        <x:v>Playtest/demo decision</x:v>
      </x:c>
      <x:c r="D207" s="26" t="str">
        <x:v>P2</x:v>
      </x:c>
      <x:c r="E207" s="26" t="str">
        <x:v>Post-H6 / Release preparation</x:v>
      </x:c>
      <x:c r="F207" s="26" t="str">
        <x:v>Planned</x:v>
      </x:c>
      <x:c r="G207" s="26" t="str">
        <x:v>NOT RUN</x:v>
      </x:c>
      <x:c r="H207" s="26" t="str">
        <x:v>Production/Steam</x:v>
      </x:c>
      <x:c r="I207" s="26" t="str">
        <x:v>Production/QA</x:v>
      </x:c>
      <x:c r="J207" s="26"/>
      <x:c r="K207" s="26" t="str">
        <x:v>ADR y app separada si aplica</x:v>
      </x:c>
      <x:c r="L207" s="26"/>
      <x:c r="M207" s="26" t="str">
        <x:v>Entregable verificable, evidencia registrada y dependencias satisfechas.</x:v>
      </x:c>
      <x:c r="N207" s="26" t="str">
        <x:v>Registro, artefacto y validación reproducible</x:v>
      </x:c>
      <x:c r="O207" s="26" t="str">
        <x:v>24_Steam_Publishing_Plan.md</x:v>
      </x:c>
      <x:c r="P207" s="26" t="str">
        <x:v>Steam/marketing históricos v0.3–v0.6</x:v>
      </x:c>
      <x:c r="Q207" s="26" t="str">
        <x:v>YES</x:v>
      </x:c>
      <x:c r="R207" s="26" t="str">
        <x:v>YES</x:v>
      </x:c>
      <x:c r="S207" s="26"/>
      <x:c r="T207" s="90" t="n">
        <x:v>0</x:v>
      </x:c>
    </x:row>
    <x:row r="208" ht="30" customHeight="1">
      <x:c r="A208" s="26" t="str">
        <x:v>STM-WP-11</x:v>
      </x:c>
      <x:c r="B208" s="26" t="str">
        <x:v>Steam/Publishing</x:v>
      </x:c>
      <x:c r="C208" s="26" t="str">
        <x:v>Legal/notices/credits</x:v>
      </x:c>
      <x:c r="D208" s="26" t="str">
        <x:v>P2</x:v>
      </x:c>
      <x:c r="E208" s="26" t="str">
        <x:v>Post-H6 / Release preparation</x:v>
      </x:c>
      <x:c r="F208" s="26" t="str">
        <x:v>Planned</x:v>
      </x:c>
      <x:c r="G208" s="26" t="str">
        <x:v>NOT RUN</x:v>
      </x:c>
      <x:c r="H208" s="26" t="str">
        <x:v>Production/Steam</x:v>
      </x:c>
      <x:c r="I208" s="26" t="str">
        <x:v>Production/QA</x:v>
      </x:c>
      <x:c r="J208" s="26"/>
      <x:c r="K208" s="26" t="str">
        <x:v>gate público cerrado</x:v>
      </x:c>
      <x:c r="L208" s="26"/>
      <x:c r="M208" s="26" t="str">
        <x:v>Entregable verificable, evidencia registrada y dependencias satisfechas.</x:v>
      </x:c>
      <x:c r="N208" s="26" t="str">
        <x:v>Registro, artefacto y validación reproducible</x:v>
      </x:c>
      <x:c r="O208" s="26" t="str">
        <x:v>24_Steam_Publishing_Plan.md</x:v>
      </x:c>
      <x:c r="P208" s="26" t="str">
        <x:v>Steam/marketing históricos v0.3–v0.6</x:v>
      </x:c>
      <x:c r="Q208" s="26" t="str">
        <x:v>YES</x:v>
      </x:c>
      <x:c r="R208" s="26" t="str">
        <x:v>YES</x:v>
      </x:c>
      <x:c r="S208" s="26"/>
      <x:c r="T208" s="90" t="n">
        <x:v>0</x:v>
      </x:c>
    </x:row>
    <x:row r="209" ht="30" customHeight="1">
      <x:c r="A209" s="26" t="str">
        <x:v>STM-WP-12</x:v>
      </x:c>
      <x:c r="B209" s="26" t="str">
        <x:v>Steam/Publishing</x:v>
      </x:c>
      <x:c r="C209" s="26" t="str">
        <x:v>Reviews Valve</x:v>
      </x:c>
      <x:c r="D209" s="26" t="str">
        <x:v>P2</x:v>
      </x:c>
      <x:c r="E209" s="26" t="str">
        <x:v>Post-H6 / Release preparation</x:v>
      </x:c>
      <x:c r="F209" s="26" t="str">
        <x:v>Planned</x:v>
      </x:c>
      <x:c r="G209" s="26" t="str">
        <x:v>NOT RUN</x:v>
      </x:c>
      <x:c r="H209" s="26" t="str">
        <x:v>Production/Steam</x:v>
      </x:c>
      <x:c r="I209" s="26" t="str">
        <x:v>Production/QA</x:v>
      </x:c>
      <x:c r="J209" s="26"/>
      <x:c r="K209" s="26" t="str">
        <x:v>store/build approved</x:v>
      </x:c>
      <x:c r="L209" s="26"/>
      <x:c r="M209" s="26" t="str">
        <x:v>Entregable verificable, evidencia registrada y dependencias satisfechas.</x:v>
      </x:c>
      <x:c r="N209" s="26" t="str">
        <x:v>Registro, artefacto y validación reproducible</x:v>
      </x:c>
      <x:c r="O209" s="26" t="str">
        <x:v>24_Steam_Publishing_Plan.md</x:v>
      </x:c>
      <x:c r="P209" s="26" t="str">
        <x:v>Steam/marketing históricos v0.3–v0.6</x:v>
      </x:c>
      <x:c r="Q209" s="26" t="str">
        <x:v>YES</x:v>
      </x:c>
      <x:c r="R209" s="26" t="str">
        <x:v>YES</x:v>
      </x:c>
      <x:c r="S209" s="26"/>
      <x:c r="T209" s="90" t="n">
        <x:v>0</x:v>
      </x:c>
    </x:row>
    <x:row r="210" ht="30" customHeight="1">
      <x:c r="A210" s="26" t="str">
        <x:v>STM-WP-13</x:v>
      </x:c>
      <x:c r="B210" s="26" t="str">
        <x:v>Steam/Publishing</x:v>
      </x:c>
      <x:c r="C210" s="26" t="str">
        <x:v>Coming Soon campaign</x:v>
      </x:c>
      <x:c r="D210" s="26" t="str">
        <x:v>P2</x:v>
      </x:c>
      <x:c r="E210" s="26" t="str">
        <x:v>Post-H6 / Release preparation</x:v>
      </x:c>
      <x:c r="F210" s="26" t="str">
        <x:v>Planned</x:v>
      </x:c>
      <x:c r="G210" s="26" t="str">
        <x:v>NOT RUN</x:v>
      </x:c>
      <x:c r="H210" s="26" t="str">
        <x:v>Production/Steam</x:v>
      </x:c>
      <x:c r="I210" s="26" t="str">
        <x:v>Production/QA</x:v>
      </x:c>
      <x:c r="J210" s="26"/>
      <x:c r="K210" s="26" t="str">
        <x:v>página pública y métricas</x:v>
      </x:c>
      <x:c r="L210" s="26"/>
      <x:c r="M210" s="26" t="str">
        <x:v>Entregable verificable, evidencia registrada y dependencias satisfechas.</x:v>
      </x:c>
      <x:c r="N210" s="26" t="str">
        <x:v>Registro, artefacto y validación reproducible</x:v>
      </x:c>
      <x:c r="O210" s="26" t="str">
        <x:v>24_Steam_Publishing_Plan.md</x:v>
      </x:c>
      <x:c r="P210" s="26" t="str">
        <x:v>Steam/marketing históricos v0.3–v0.6</x:v>
      </x:c>
      <x:c r="Q210" s="26" t="str">
        <x:v>YES</x:v>
      </x:c>
      <x:c r="R210" s="26" t="str">
        <x:v>YES</x:v>
      </x:c>
      <x:c r="S210" s="26"/>
      <x:c r="T210" s="90" t="n">
        <x:v>0</x:v>
      </x:c>
    </x:row>
    <x:row r="211" ht="30" customHeight="1">
      <x:c r="A211" s="26" t="str">
        <x:v>STM-WP-14</x:v>
      </x:c>
      <x:c r="B211" s="26" t="str">
        <x:v>Steam/Publishing</x:v>
      </x:c>
      <x:c r="C211" s="26" t="str">
        <x:v>RC/rollback</x:v>
      </x:c>
      <x:c r="D211" s="26" t="str">
        <x:v>P2</x:v>
      </x:c>
      <x:c r="E211" s="26" t="str">
        <x:v>Post-H6 / Release preparation</x:v>
      </x:c>
      <x:c r="F211" s="26" t="str">
        <x:v>Planned</x:v>
      </x:c>
      <x:c r="G211" s="26" t="str">
        <x:v>NOT RUN</x:v>
      </x:c>
      <x:c r="H211" s="26" t="str">
        <x:v>Production/Steam</x:v>
      </x:c>
      <x:c r="I211" s="26" t="str">
        <x:v>Production/QA</x:v>
      </x:c>
      <x:c r="J211" s="26"/>
      <x:c r="K211" s="26" t="str">
        <x:v>release-ready BuildID</x:v>
      </x:c>
      <x:c r="L211" s="26"/>
      <x:c r="M211" s="26" t="str">
        <x:v>Entregable verificable, evidencia registrada y dependencias satisfechas.</x:v>
      </x:c>
      <x:c r="N211" s="26" t="str">
        <x:v>Registro, artefacto y validación reproducible</x:v>
      </x:c>
      <x:c r="O211" s="26" t="str">
        <x:v>24_Steam_Publishing_Plan.md</x:v>
      </x:c>
      <x:c r="P211" s="26" t="str">
        <x:v>Steam/marketing históricos v0.3–v0.6</x:v>
      </x:c>
      <x:c r="Q211" s="26" t="str">
        <x:v>YES</x:v>
      </x:c>
      <x:c r="R211" s="26" t="str">
        <x:v>YES</x:v>
      </x:c>
      <x:c r="S211" s="26"/>
      <x:c r="T211" s="90" t="n">
        <x:v>0</x:v>
      </x:c>
    </x:row>
    <x:row r="212" ht="30" customHeight="1">
      <x:c r="A212" s="26" t="str">
        <x:v>STM-WP-15</x:v>
      </x:c>
      <x:c r="B212" s="26" t="str">
        <x:v>Steam/Publishing</x:v>
      </x:c>
      <x:c r="C212" s="26" t="str">
        <x:v>Launch/support</x:v>
      </x:c>
      <x:c r="D212" s="26" t="str">
        <x:v>P2</x:v>
      </x:c>
      <x:c r="E212" s="26" t="str">
        <x:v>Post-H6 / Release preparation</x:v>
      </x:c>
      <x:c r="F212" s="26" t="str">
        <x:v>Planned</x:v>
      </x:c>
      <x:c r="G212" s="26" t="str">
        <x:v>NOT RUN</x:v>
      </x:c>
      <x:c r="H212" s="26" t="str">
        <x:v>Production/Steam</x:v>
      </x:c>
      <x:c r="I212" s="26" t="str">
        <x:v>Production/QA</x:v>
      </x:c>
      <x:c r="J212" s="26"/>
      <x:c r="K212" s="26" t="str">
        <x:v>operación y incident response</x:v>
      </x:c>
      <x:c r="L212" s="26"/>
      <x:c r="M212" s="26" t="str">
        <x:v>Entregable verificable, evidencia registrada y dependencias satisfechas.</x:v>
      </x:c>
      <x:c r="N212" s="26" t="str">
        <x:v>Registro, artefacto y validación reproducible</x:v>
      </x:c>
      <x:c r="O212" s="26" t="str">
        <x:v>24_Steam_Publishing_Plan.md</x:v>
      </x:c>
      <x:c r="P212" s="26" t="str">
        <x:v>Steam/marketing históricos v0.3–v0.6</x:v>
      </x:c>
      <x:c r="Q212" s="26" t="str">
        <x:v>YES</x:v>
      </x:c>
      <x:c r="R212" s="26" t="str">
        <x:v>YES</x:v>
      </x:c>
      <x:c r="S212" s="26"/>
      <x:c r="T212" s="90" t="n">
        <x:v>0</x:v>
      </x:c>
    </x:row>
    <x:row r="213" ht="30" customHeight="1">
      <x:c r="A213" s="26" t="str">
        <x:v>UI-WP-01</x:v>
      </x:c>
      <x:c r="B213" s="26" t="str">
        <x:v>UI/UX</x:v>
      </x:c>
      <x:c r="C213" s="26" t="str">
        <x:v>Cerrar click-through de Operations y cualquier HUD interactivo</x:v>
      </x:c>
      <x:c r="D213" s="26" t="str">
        <x:v>P2</x:v>
      </x:c>
      <x:c r="E213" s="26" t="str">
        <x:v>Post-H6 / Release preparation</x:v>
      </x:c>
      <x:c r="F213" s="26" t="str">
        <x:v>Planned</x:v>
      </x:c>
      <x:c r="G213" s="26" t="str">
        <x:v>NOT RUN</x:v>
      </x:c>
      <x:c r="H213" s="26" t="str">
        <x:v>UX/Engineering</x:v>
      </x:c>
      <x:c r="I213" s="26" t="str">
        <x:v>Production/QA</x:v>
      </x:c>
      <x:c r="J213" s="26"/>
      <x:c r="K213" s="26"/>
      <x:c r="L213" s="26"/>
      <x:c r="M213" s="26" t="str">
        <x:v>Entregable verificable, evidencia registrada y dependencias satisfechas.</x:v>
      </x:c>
      <x:c r="N213" s="26" t="str">
        <x:v>Registro, artefacto y validación reproducible</x:v>
      </x:c>
      <x:c r="O213" s="26" t="str">
        <x:v>19_UI_Style_Guide.md</x:v>
      </x:c>
      <x:c r="P213" s="26" t="str">
        <x:v>UX/UI históricos v0.3–v0.6; Sprint 15–16</x:v>
      </x:c>
      <x:c r="Q213" s="26" t="str">
        <x:v>YES</x:v>
      </x:c>
      <x:c r="R213" s="26" t="str">
        <x:v>CONDITIONAL</x:v>
      </x:c>
      <x:c r="S213" s="26"/>
      <x:c r="T213" s="90" t="n">
        <x:v>0</x:v>
      </x:c>
    </x:row>
    <x:row r="214" ht="30" customHeight="1">
      <x:c r="A214" s="26" t="str">
        <x:v>UI-WP-02</x:v>
      </x:c>
      <x:c r="B214" s="26" t="str">
        <x:v>UI/UX</x:v>
      </x:c>
      <x:c r="C214" s="26" t="str">
        <x:v>Añadir PlayMode tests del frame de apertura, doble click y modal</x:v>
      </x:c>
      <x:c r="D214" s="26" t="str">
        <x:v>P2</x:v>
      </x:c>
      <x:c r="E214" s="26" t="str">
        <x:v>Post-H6 / Release preparation</x:v>
      </x:c>
      <x:c r="F214" s="26" t="str">
        <x:v>Planned</x:v>
      </x:c>
      <x:c r="G214" s="26" t="str">
        <x:v>NOT RUN</x:v>
      </x:c>
      <x:c r="H214" s="26" t="str">
        <x:v>UX/Engineering</x:v>
      </x:c>
      <x:c r="I214" s="26" t="str">
        <x:v>Production/QA</x:v>
      </x:c>
      <x:c r="J214" s="26"/>
      <x:c r="K214" s="26"/>
      <x:c r="L214" s="26"/>
      <x:c r="M214" s="26" t="str">
        <x:v>Entregable verificable, evidencia registrada y dependencias satisfechas.</x:v>
      </x:c>
      <x:c r="N214" s="26" t="str">
        <x:v>Registro, artefacto y validación reproducible</x:v>
      </x:c>
      <x:c r="O214" s="26" t="str">
        <x:v>19_UI_Style_Guide.md</x:v>
      </x:c>
      <x:c r="P214" s="26" t="str">
        <x:v>UX/UI históricos v0.3–v0.6; Sprint 15–16</x:v>
      </x:c>
      <x:c r="Q214" s="26" t="str">
        <x:v>YES</x:v>
      </x:c>
      <x:c r="R214" s="26" t="str">
        <x:v>CONDITIONAL</x:v>
      </x:c>
      <x:c r="S214" s="26"/>
      <x:c r="T214" s="90" t="n">
        <x:v>0</x:v>
      </x:c>
    </x:row>
    <x:row r="215" ht="30" customHeight="1">
      <x:c r="A215" s="26" t="str">
        <x:v>UI-WP-03</x:v>
      </x:c>
      <x:c r="B215" s="26" t="str">
        <x:v>UI/UX</x:v>
      </x:c>
      <x:c r="C215" s="26" t="str">
        <x:v>Integrar StoreInitial en composition root/settings sin perder Store fallback</x:v>
      </x:c>
      <x:c r="D215" s="26" t="str">
        <x:v>P2</x:v>
      </x:c>
      <x:c r="E215" s="26" t="str">
        <x:v>Post-H6 / Release preparation</x:v>
      </x:c>
      <x:c r="F215" s="26" t="str">
        <x:v>Planned</x:v>
      </x:c>
      <x:c r="G215" s="26" t="str">
        <x:v>NOT RUN</x:v>
      </x:c>
      <x:c r="H215" s="26" t="str">
        <x:v>UX/Engineering</x:v>
      </x:c>
      <x:c r="I215" s="26" t="str">
        <x:v>Production/QA</x:v>
      </x:c>
      <x:c r="J215" s="26"/>
      <x:c r="K215" s="26"/>
      <x:c r="L215" s="26"/>
      <x:c r="M215" s="26" t="str">
        <x:v>Entregable verificable, evidencia registrada y dependencias satisfechas.</x:v>
      </x:c>
      <x:c r="N215" s="26" t="str">
        <x:v>Registro, artefacto y validación reproducible</x:v>
      </x:c>
      <x:c r="O215" s="26" t="str">
        <x:v>19_UI_Style_Guide.md</x:v>
      </x:c>
      <x:c r="P215" s="26" t="str">
        <x:v>UX/UI históricos v0.3–v0.6; Sprint 15–16</x:v>
      </x:c>
      <x:c r="Q215" s="26" t="str">
        <x:v>YES</x:v>
      </x:c>
      <x:c r="R215" s="26" t="str">
        <x:v>CONDITIONAL</x:v>
      </x:c>
      <x:c r="S215" s="26"/>
      <x:c r="T215" s="90" t="n">
        <x:v>0</x:v>
      </x:c>
    </x:row>
    <x:row r="216" ht="30" customHeight="1">
      <x:c r="A216" s="26" t="str">
        <x:v>UI-WP-04</x:v>
      </x:c>
      <x:c r="B216" s="26" t="str">
        <x:v>UI/UX</x:v>
      </x:c>
      <x:c r="C216" s="26" t="str">
        <x:v>Auditar y desactivar canvases técnicos detrás de overlays</x:v>
      </x:c>
      <x:c r="D216" s="26" t="str">
        <x:v>P2</x:v>
      </x:c>
      <x:c r="E216" s="26" t="str">
        <x:v>Post-H6 / Release preparation</x:v>
      </x:c>
      <x:c r="F216" s="26" t="str">
        <x:v>Planned</x:v>
      </x:c>
      <x:c r="G216" s="26" t="str">
        <x:v>NOT RUN</x:v>
      </x:c>
      <x:c r="H216" s="26" t="str">
        <x:v>UX/Engineering</x:v>
      </x:c>
      <x:c r="I216" s="26" t="str">
        <x:v>Production/QA</x:v>
      </x:c>
      <x:c r="J216" s="26"/>
      <x:c r="K216" s="26"/>
      <x:c r="L216" s="26"/>
      <x:c r="M216" s="26" t="str">
        <x:v>Entregable verificable, evidencia registrada y dependencias satisfechas.</x:v>
      </x:c>
      <x:c r="N216" s="26" t="str">
        <x:v>Registro, artefacto y validación reproducible</x:v>
      </x:c>
      <x:c r="O216" s="26" t="str">
        <x:v>19_UI_Style_Guide.md</x:v>
      </x:c>
      <x:c r="P216" s="26" t="str">
        <x:v>UX/UI históricos v0.3–v0.6; Sprint 15–16</x:v>
      </x:c>
      <x:c r="Q216" s="26" t="str">
        <x:v>YES</x:v>
      </x:c>
      <x:c r="R216" s="26" t="str">
        <x:v>CONDITIONAL</x:v>
      </x:c>
      <x:c r="S216" s="26"/>
      <x:c r="T216" s="90" t="n">
        <x:v>0</x:v>
      </x:c>
    </x:row>
    <x:row r="217" ht="30" customHeight="1">
      <x:c r="A217" s="26" t="str">
        <x:v>UI-WP-05</x:v>
      </x:c>
      <x:c r="B217" s="26" t="str">
        <x:v>UI/UX</x:v>
      </x:c>
      <x:c r="C217" s="26" t="str">
        <x:v>Unificar Sprint15UiFactory y Phase1RuntimeUiFactory mediante tokens</x:v>
      </x:c>
      <x:c r="D217" s="26" t="str">
        <x:v>P2</x:v>
      </x:c>
      <x:c r="E217" s="26" t="str">
        <x:v>Post-H6 / Release preparation</x:v>
      </x:c>
      <x:c r="F217" s="26" t="str">
        <x:v>Planned</x:v>
      </x:c>
      <x:c r="G217" s="26" t="str">
        <x:v>NOT RUN</x:v>
      </x:c>
      <x:c r="H217" s="26" t="str">
        <x:v>UX/Engineering</x:v>
      </x:c>
      <x:c r="I217" s="26" t="str">
        <x:v>Production/QA</x:v>
      </x:c>
      <x:c r="J217" s="26"/>
      <x:c r="K217" s="26"/>
      <x:c r="L217" s="26"/>
      <x:c r="M217" s="26" t="str">
        <x:v>Entregable verificable, evidencia registrada y dependencias satisfechas.</x:v>
      </x:c>
      <x:c r="N217" s="26" t="str">
        <x:v>Registro, artefacto y validación reproducible</x:v>
      </x:c>
      <x:c r="O217" s="26" t="str">
        <x:v>19_UI_Style_Guide.md</x:v>
      </x:c>
      <x:c r="P217" s="26" t="str">
        <x:v>UX/UI históricos v0.3–v0.6; Sprint 15–16</x:v>
      </x:c>
      <x:c r="Q217" s="26" t="str">
        <x:v>YES</x:v>
      </x:c>
      <x:c r="R217" s="26" t="str">
        <x:v>CONDITIONAL</x:v>
      </x:c>
      <x:c r="S217" s="26"/>
      <x:c r="T217" s="90" t="n">
        <x:v>0</x:v>
      </x:c>
    </x:row>
    <x:row r="218" ht="30" customHeight="1">
      <x:c r="A218" s="26" t="str">
        <x:v>UI-WP-06</x:v>
      </x:c>
      <x:c r="B218" s="26" t="str">
        <x:v>UI/UX</x:v>
      </x:c>
      <x:c r="C218" s="26" t="str">
        <x:v>Crear UiTheme/typography/motion assets o equivalente</x:v>
      </x:c>
      <x:c r="D218" s="26" t="str">
        <x:v>P2</x:v>
      </x:c>
      <x:c r="E218" s="26" t="str">
        <x:v>Post-H6 / Release preparation</x:v>
      </x:c>
      <x:c r="F218" s="26" t="str">
        <x:v>Planned</x:v>
      </x:c>
      <x:c r="G218" s="26" t="str">
        <x:v>NOT RUN</x:v>
      </x:c>
      <x:c r="H218" s="26" t="str">
        <x:v>UX/Engineering</x:v>
      </x:c>
      <x:c r="I218" s="26" t="str">
        <x:v>Production/QA</x:v>
      </x:c>
      <x:c r="J218" s="26"/>
      <x:c r="K218" s="26"/>
      <x:c r="L218" s="26"/>
      <x:c r="M218" s="26" t="str">
        <x:v>Entregable verificable, evidencia registrada y dependencias satisfechas.</x:v>
      </x:c>
      <x:c r="N218" s="26" t="str">
        <x:v>Registro, artefacto y validación reproducible</x:v>
      </x:c>
      <x:c r="O218" s="26" t="str">
        <x:v>19_UI_Style_Guide.md</x:v>
      </x:c>
      <x:c r="P218" s="26" t="str">
        <x:v>UX/UI históricos v0.3–v0.6; Sprint 15–16</x:v>
      </x:c>
      <x:c r="Q218" s="26" t="str">
        <x:v>YES</x:v>
      </x:c>
      <x:c r="R218" s="26" t="str">
        <x:v>CONDITIONAL</x:v>
      </x:c>
      <x:c r="S218" s="26"/>
      <x:c r="T218" s="90" t="n">
        <x:v>0</x:v>
      </x:c>
    </x:row>
    <x:row r="219" ht="30" customHeight="1">
      <x:c r="A219" s="26" t="str">
        <x:v>UI-WP-07</x:v>
      </x:c>
      <x:c r="B219" s="26" t="str">
        <x:v>UI/UX</x:v>
      </x:c>
      <x:c r="C219" s="26" t="str">
        <x:v>Sustituir LegacyRuntime.ttf por fuente licenciada o decisión formal</x:v>
      </x:c>
      <x:c r="D219" s="26" t="str">
        <x:v>P2</x:v>
      </x:c>
      <x:c r="E219" s="26" t="str">
        <x:v>Post-H6 / Release preparation</x:v>
      </x:c>
      <x:c r="F219" s="26" t="str">
        <x:v>Planned</x:v>
      </x:c>
      <x:c r="G219" s="26" t="str">
        <x:v>NOT RUN</x:v>
      </x:c>
      <x:c r="H219" s="26" t="str">
        <x:v>UX/Engineering</x:v>
      </x:c>
      <x:c r="I219" s="26" t="str">
        <x:v>Production/QA</x:v>
      </x:c>
      <x:c r="J219" s="26"/>
      <x:c r="K219" s="26"/>
      <x:c r="L219" s="26"/>
      <x:c r="M219" s="26" t="str">
        <x:v>Entregable verificable, evidencia registrada y dependencias satisfechas.</x:v>
      </x:c>
      <x:c r="N219" s="26" t="str">
        <x:v>Registro, artefacto y validación reproducible</x:v>
      </x:c>
      <x:c r="O219" s="26" t="str">
        <x:v>19_UI_Style_Guide.md</x:v>
      </x:c>
      <x:c r="P219" s="26" t="str">
        <x:v>UX/UI históricos v0.3–v0.6; Sprint 15–16</x:v>
      </x:c>
      <x:c r="Q219" s="26" t="str">
        <x:v>YES</x:v>
      </x:c>
      <x:c r="R219" s="26" t="str">
        <x:v>CONDITIONAL</x:v>
      </x:c>
      <x:c r="S219" s="26"/>
      <x:c r="T219" s="90" t="n">
        <x:v>0</x:v>
      </x:c>
    </x:row>
    <x:row r="220" ht="30" customHeight="1">
      <x:c r="A220" s="26" t="str">
        <x:v>UI-WP-08</x:v>
      </x:c>
      <x:c r="B220" s="26" t="str">
        <x:v>UI/UX</x:v>
      </x:c>
      <x:c r="C220" s="26" t="str">
        <x:v>Crear catálogo de iconos y fallbacks; registrar seis product icons</x:v>
      </x:c>
      <x:c r="D220" s="26" t="str">
        <x:v>P2</x:v>
      </x:c>
      <x:c r="E220" s="26" t="str">
        <x:v>Post-H6 / Release preparation</x:v>
      </x:c>
      <x:c r="F220" s="26" t="str">
        <x:v>Planned</x:v>
      </x:c>
      <x:c r="G220" s="26" t="str">
        <x:v>NOT RUN</x:v>
      </x:c>
      <x:c r="H220" s="26" t="str">
        <x:v>UX/Engineering</x:v>
      </x:c>
      <x:c r="I220" s="26" t="str">
        <x:v>Production/QA</x:v>
      </x:c>
      <x:c r="J220" s="26"/>
      <x:c r="K220" s="26"/>
      <x:c r="L220" s="26"/>
      <x:c r="M220" s="26" t="str">
        <x:v>Entregable verificable, evidencia registrada y dependencias satisfechas.</x:v>
      </x:c>
      <x:c r="N220" s="26" t="str">
        <x:v>Registro, artefacto y validación reproducible</x:v>
      </x:c>
      <x:c r="O220" s="26" t="str">
        <x:v>19_UI_Style_Guide.md</x:v>
      </x:c>
      <x:c r="P220" s="26" t="str">
        <x:v>UX/UI históricos v0.3–v0.6; Sprint 15–16</x:v>
      </x:c>
      <x:c r="Q220" s="26" t="str">
        <x:v>YES</x:v>
      </x:c>
      <x:c r="R220" s="26" t="str">
        <x:v>CONDITIONAL</x:v>
      </x:c>
      <x:c r="S220" s="26"/>
      <x:c r="T220" s="90" t="n">
        <x:v>0</x:v>
      </x:c>
    </x:row>
    <x:row r="221" ht="30" customHeight="1">
      <x:c r="A221" s="26" t="str">
        <x:v>UI-WP-09</x:v>
      </x:c>
      <x:c r="B221" s="26" t="str">
        <x:v>UI/UX</x:v>
      </x:c>
      <x:c r="C221" s="26" t="str">
        <x:v>Integrar localization tables ES/EN y pseudo-localización</x:v>
      </x:c>
      <x:c r="D221" s="26" t="str">
        <x:v>P2</x:v>
      </x:c>
      <x:c r="E221" s="26" t="str">
        <x:v>Post-H6 / Release preparation</x:v>
      </x:c>
      <x:c r="F221" s="26" t="str">
        <x:v>Planned</x:v>
      </x:c>
      <x:c r="G221" s="26" t="str">
        <x:v>NOT RUN</x:v>
      </x:c>
      <x:c r="H221" s="26" t="str">
        <x:v>UX/Engineering</x:v>
      </x:c>
      <x:c r="I221" s="26" t="str">
        <x:v>Production/QA</x:v>
      </x:c>
      <x:c r="J221" s="26"/>
      <x:c r="K221" s="26"/>
      <x:c r="L221" s="26"/>
      <x:c r="M221" s="26" t="str">
        <x:v>Entregable verificable, evidencia registrada y dependencias satisfechas.</x:v>
      </x:c>
      <x:c r="N221" s="26" t="str">
        <x:v>Registro, artefacto y validación reproducible</x:v>
      </x:c>
      <x:c r="O221" s="26" t="str">
        <x:v>19_UI_Style_Guide.md</x:v>
      </x:c>
      <x:c r="P221" s="26" t="str">
        <x:v>UX/UI históricos v0.3–v0.6; Sprint 15–16</x:v>
      </x:c>
      <x:c r="Q221" s="26" t="str">
        <x:v>YES</x:v>
      </x:c>
      <x:c r="R221" s="26" t="str">
        <x:v>CONDITIONAL</x:v>
      </x:c>
      <x:c r="S221" s="26"/>
      <x:c r="T221" s="90" t="n">
        <x:v>0</x:v>
      </x:c>
    </x:row>
    <x:row r="222" ht="30" customHeight="1">
      <x:c r="A222" s="26" t="str">
        <x:v>UI-WP-10</x:v>
      </x:c>
      <x:c r="B222" s="26" t="str">
        <x:v>UI/UX</x:v>
      </x:c>
      <x:c r="C222" s="26" t="str">
        <x:v>Exponer message duration y completar ajustes de accesibilidad</x:v>
      </x:c>
      <x:c r="D222" s="26" t="str">
        <x:v>P2</x:v>
      </x:c>
      <x:c r="E222" s="26" t="str">
        <x:v>Post-H6 / Release preparation</x:v>
      </x:c>
      <x:c r="F222" s="26" t="str">
        <x:v>Planned</x:v>
      </x:c>
      <x:c r="G222" s="26" t="str">
        <x:v>NOT RUN</x:v>
      </x:c>
      <x:c r="H222" s="26" t="str">
        <x:v>UX/Engineering</x:v>
      </x:c>
      <x:c r="I222" s="26" t="str">
        <x:v>Production/QA</x:v>
      </x:c>
      <x:c r="J222" s="26"/>
      <x:c r="K222" s="26"/>
      <x:c r="L222" s="26"/>
      <x:c r="M222" s="26" t="str">
        <x:v>Entregable verificable, evidencia registrada y dependencias satisfechas.</x:v>
      </x:c>
      <x:c r="N222" s="26" t="str">
        <x:v>Registro, artefacto y validación reproducible</x:v>
      </x:c>
      <x:c r="O222" s="26" t="str">
        <x:v>19_UI_Style_Guide.md</x:v>
      </x:c>
      <x:c r="P222" s="26" t="str">
        <x:v>UX/UI históricos v0.3–v0.6; Sprint 15–16</x:v>
      </x:c>
      <x:c r="Q222" s="26" t="str">
        <x:v>YES</x:v>
      </x:c>
      <x:c r="R222" s="26" t="str">
        <x:v>CONDITIONAL</x:v>
      </x:c>
      <x:c r="S222" s="26"/>
      <x:c r="T222" s="90" t="n">
        <x:v>0</x:v>
      </x:c>
    </x:row>
    <x:row r="223" ht="30" customHeight="1">
      <x:c r="A223" s="26" t="str">
        <x:v>UI-WP-11</x:v>
      </x:c>
      <x:c r="B223" s="26" t="str">
        <x:v>UI/UX</x:v>
      </x:c>
      <x:c r="C223" s="26" t="str">
        <x:v>Reemplazar audio steps por controles finales o declarar placeholder H6</x:v>
      </x:c>
      <x:c r="D223" s="26" t="str">
        <x:v>P2</x:v>
      </x:c>
      <x:c r="E223" s="26" t="str">
        <x:v>Post-H6 / Release preparation</x:v>
      </x:c>
      <x:c r="F223" s="26" t="str">
        <x:v>Planned</x:v>
      </x:c>
      <x:c r="G223" s="26" t="str">
        <x:v>NOT RUN</x:v>
      </x:c>
      <x:c r="H223" s="26" t="str">
        <x:v>UX/Engineering</x:v>
      </x:c>
      <x:c r="I223" s="26" t="str">
        <x:v>Production/QA</x:v>
      </x:c>
      <x:c r="J223" s="26"/>
      <x:c r="K223" s="26"/>
      <x:c r="L223" s="26"/>
      <x:c r="M223" s="26" t="str">
        <x:v>Entregable verificable, evidencia registrada y dependencias satisfechas.</x:v>
      </x:c>
      <x:c r="N223" s="26" t="str">
        <x:v>Registro, artefacto y validación reproducible</x:v>
      </x:c>
      <x:c r="O223" s="26" t="str">
        <x:v>19_UI_Style_Guide.md</x:v>
      </x:c>
      <x:c r="P223" s="26" t="str">
        <x:v>UX/UI históricos v0.3–v0.6; Sprint 15–16</x:v>
      </x:c>
      <x:c r="Q223" s="26" t="str">
        <x:v>YES</x:v>
      </x:c>
      <x:c r="R223" s="26" t="str">
        <x:v>CONDITIONAL</x:v>
      </x:c>
      <x:c r="S223" s="26"/>
      <x:c r="T223" s="90" t="n">
        <x:v>0</x:v>
      </x:c>
    </x:row>
    <x:row r="224" ht="30" customHeight="1">
      <x:c r="A224" s="26" t="str">
        <x:v>UI-WP-12</x:v>
      </x:c>
      <x:c r="B224" s="26" t="str">
        <x:v>UI/UX</x:v>
      </x:c>
      <x:c r="C224" s="26" t="str">
        <x:v>Normalizar foco, restore y navegación de tabs/listas</x:v>
      </x:c>
      <x:c r="D224" s="26" t="str">
        <x:v>P2</x:v>
      </x:c>
      <x:c r="E224" s="26" t="str">
        <x:v>Post-H6 / Release preparation</x:v>
      </x:c>
      <x:c r="F224" s="26" t="str">
        <x:v>Planned</x:v>
      </x:c>
      <x:c r="G224" s="26" t="str">
        <x:v>NOT RUN</x:v>
      </x:c>
      <x:c r="H224" s="26" t="str">
        <x:v>UX/Engineering</x:v>
      </x:c>
      <x:c r="I224" s="26" t="str">
        <x:v>Production/QA</x:v>
      </x:c>
      <x:c r="J224" s="26"/>
      <x:c r="K224" s="26"/>
      <x:c r="L224" s="26"/>
      <x:c r="M224" s="26" t="str">
        <x:v>Entregable verificable, evidencia registrada y dependencias satisfechas.</x:v>
      </x:c>
      <x:c r="N224" s="26" t="str">
        <x:v>Registro, artefacto y validación reproducible</x:v>
      </x:c>
      <x:c r="O224" s="26" t="str">
        <x:v>19_UI_Style_Guide.md</x:v>
      </x:c>
      <x:c r="P224" s="26" t="str">
        <x:v>UX/UI históricos v0.3–v0.6; Sprint 15–16</x:v>
      </x:c>
      <x:c r="Q224" s="26" t="str">
        <x:v>YES</x:v>
      </x:c>
      <x:c r="R224" s="26" t="str">
        <x:v>CONDITIONAL</x:v>
      </x:c>
      <x:c r="S224" s="26"/>
      <x:c r="T224" s="90" t="n">
        <x:v>0</x:v>
      </x:c>
    </x:row>
    <x:row r="225" ht="30" customHeight="1">
      <x:c r="A225" s="26" t="str">
        <x:v>UI-WP-13</x:v>
      </x:c>
      <x:c r="B225" s="26" t="str">
        <x:v>UI/UX</x:v>
      </x:c>
      <x:c r="C225" s="26" t="str">
        <x:v>Integrar feedback canvas con toast/message service y prioridades</x:v>
      </x:c>
      <x:c r="D225" s="26" t="str">
        <x:v>P2</x:v>
      </x:c>
      <x:c r="E225" s="26" t="str">
        <x:v>Post-H6 / Release preparation</x:v>
      </x:c>
      <x:c r="F225" s="26" t="str">
        <x:v>Planned</x:v>
      </x:c>
      <x:c r="G225" s="26" t="str">
        <x:v>NOT RUN</x:v>
      </x:c>
      <x:c r="H225" s="26" t="str">
        <x:v>UX/Engineering</x:v>
      </x:c>
      <x:c r="I225" s="26" t="str">
        <x:v>Production/QA</x:v>
      </x:c>
      <x:c r="J225" s="26"/>
      <x:c r="K225" s="26"/>
      <x:c r="L225" s="26"/>
      <x:c r="M225" s="26" t="str">
        <x:v>Entregable verificable, evidencia registrada y dependencias satisfechas.</x:v>
      </x:c>
      <x:c r="N225" s="26" t="str">
        <x:v>Registro, artefacto y validación reproducible</x:v>
      </x:c>
      <x:c r="O225" s="26" t="str">
        <x:v>19_UI_Style_Guide.md</x:v>
      </x:c>
      <x:c r="P225" s="26" t="str">
        <x:v>UX/UI históricos v0.3–v0.6; Sprint 15–16</x:v>
      </x:c>
      <x:c r="Q225" s="26" t="str">
        <x:v>YES</x:v>
      </x:c>
      <x:c r="R225" s="26" t="str">
        <x:v>CONDITIONAL</x:v>
      </x:c>
      <x:c r="S225" s="26"/>
      <x:c r="T225" s="90" t="n">
        <x:v>0</x:v>
      </x:c>
    </x:row>
    <x:row r="226" ht="30" customHeight="1">
      <x:c r="A226" s="26" t="str">
        <x:v>UI-WP-14</x:v>
      </x:c>
      <x:c r="B226" s="26" t="str">
        <x:v>UI/UX</x:v>
      </x:c>
      <x:c r="C226" s="26" t="str">
        <x:v>Ejecutar matriz 720p/1080p/1440p, 80/100/150 y teclado</x:v>
      </x:c>
      <x:c r="D226" s="26" t="str">
        <x:v>P2</x:v>
      </x:c>
      <x:c r="E226" s="26" t="str">
        <x:v>Post-H6 / Release preparation</x:v>
      </x:c>
      <x:c r="F226" s="26" t="str">
        <x:v>Planned</x:v>
      </x:c>
      <x:c r="G226" s="26" t="str">
        <x:v>NOT RUN</x:v>
      </x:c>
      <x:c r="H226" s="26" t="str">
        <x:v>UX/Engineering</x:v>
      </x:c>
      <x:c r="I226" s="26" t="str">
        <x:v>Production/QA</x:v>
      </x:c>
      <x:c r="J226" s="26"/>
      <x:c r="K226" s="26"/>
      <x:c r="L226" s="26"/>
      <x:c r="M226" s="26" t="str">
        <x:v>Entregable verificable, evidencia registrada y dependencias satisfechas.</x:v>
      </x:c>
      <x:c r="N226" s="26" t="str">
        <x:v>Registro, artefacto y validación reproducible</x:v>
      </x:c>
      <x:c r="O226" s="26" t="str">
        <x:v>19_UI_Style_Guide.md</x:v>
      </x:c>
      <x:c r="P226" s="26" t="str">
        <x:v>UX/UI históricos v0.3–v0.6; Sprint 15–16</x:v>
      </x:c>
      <x:c r="Q226" s="26" t="str">
        <x:v>YES</x:v>
      </x:c>
      <x:c r="R226" s="26" t="str">
        <x:v>CONDITIONAL</x:v>
      </x:c>
      <x:c r="S226" s="26"/>
      <x:c r="T226" s="90" t="n">
        <x:v>0</x:v>
      </x:c>
    </x:row>
    <x:row r="227" ht="30" customHeight="1">
      <x:c r="A227" s="26" t="str">
        <x:v>UI-WP-15</x:v>
      </x:c>
      <x:c r="B227" s="26" t="str">
        <x:v>UI/UX</x:v>
      </x:c>
      <x:c r="C227" s="26" t="str">
        <x:v>Eliminar lenguaje de sprint/debug de candidata pública</x:v>
      </x:c>
      <x:c r="D227" s="26" t="str">
        <x:v>P2</x:v>
      </x:c>
      <x:c r="E227" s="26" t="str">
        <x:v>Post-H6 / Release preparation</x:v>
      </x:c>
      <x:c r="F227" s="26" t="str">
        <x:v>Planned</x:v>
      </x:c>
      <x:c r="G227" s="26" t="str">
        <x:v>NOT RUN</x:v>
      </x:c>
      <x:c r="H227" s="26" t="str">
        <x:v>UX/Engineering</x:v>
      </x:c>
      <x:c r="I227" s="26" t="str">
        <x:v>Production/QA</x:v>
      </x:c>
      <x:c r="J227" s="26"/>
      <x:c r="K227" s="26"/>
      <x:c r="L227" s="26"/>
      <x:c r="M227" s="26" t="str">
        <x:v>Entregable verificable, evidencia registrada y dependencias satisfechas.</x:v>
      </x:c>
      <x:c r="N227" s="26" t="str">
        <x:v>Registro, artefacto y validación reproducible</x:v>
      </x:c>
      <x:c r="O227" s="26" t="str">
        <x:v>19_UI_Style_Guide.md</x:v>
      </x:c>
      <x:c r="P227" s="26" t="str">
        <x:v>UX/UI históricos v0.3–v0.6; Sprint 15–16</x:v>
      </x:c>
      <x:c r="Q227" s="26" t="str">
        <x:v>YES</x:v>
      </x:c>
      <x:c r="R227" s="26" t="str">
        <x:v>CONDITIONAL</x:v>
      </x:c>
      <x:c r="S227" s="26"/>
      <x:c r="T227" s="90" t="n">
        <x:v>0</x:v>
      </x:c>
    </x:row>
    <x:row r="228" ht="30" customHeight="1">
      <x:c r="A228" s="26" t="str">
        <x:v>UI-WP-16</x:v>
      </x:c>
      <x:c r="B228" s="26" t="str">
        <x:v>UI/UX</x:v>
      </x:c>
      <x:c r="C228" s="26" t="str">
        <x:v>Documentar y probar opciones visuales/resolución reales</x:v>
      </x:c>
      <x:c r="D228" s="26" t="str">
        <x:v>P2</x:v>
      </x:c>
      <x:c r="E228" s="26" t="str">
        <x:v>Post-H6 / Release preparation</x:v>
      </x:c>
      <x:c r="F228" s="26" t="str">
        <x:v>Planned</x:v>
      </x:c>
      <x:c r="G228" s="26" t="str">
        <x:v>NOT RUN</x:v>
      </x:c>
      <x:c r="H228" s="26" t="str">
        <x:v>UX/Engineering</x:v>
      </x:c>
      <x:c r="I228" s="26" t="str">
        <x:v>Production/QA</x:v>
      </x:c>
      <x:c r="J228" s="26"/>
      <x:c r="K228" s="26"/>
      <x:c r="L228" s="26"/>
      <x:c r="M228" s="26" t="str">
        <x:v>Entregable verificable, evidencia registrada y dependencias satisfechas.</x:v>
      </x:c>
      <x:c r="N228" s="26" t="str">
        <x:v>Registro, artefacto y validación reproducible</x:v>
      </x:c>
      <x:c r="O228" s="26" t="str">
        <x:v>19_UI_Style_Guide.md</x:v>
      </x:c>
      <x:c r="P228" s="26" t="str">
        <x:v>UX/UI históricos v0.3–v0.6; Sprint 15–16</x:v>
      </x:c>
      <x:c r="Q228" s="26" t="str">
        <x:v>YES</x:v>
      </x:c>
      <x:c r="R228" s="26" t="str">
        <x:v>CONDITIONAL</x:v>
      </x:c>
      <x:c r="S228" s="26"/>
      <x:c r="T228" s="90" t="n">
        <x:v>0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58" hidden="0" customWidth="1"/>
    <x:col min="6" max="6" width="52" hidden="0" customWidth="1"/>
    <x:col min="7" max="7" width="48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28" customHeight="1">
      <x:c r="A1" s="47" t="str">
        <x:v>Trazabilidad H6 y Release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</x:row>
    <x:row r="2" ht="32" customHeight="1">
      <x:c r="A2" s="51" t="str">
        <x:v>475 controles con estado, evidencia, dependencias, build y vínculo de cambio.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  <x:c r="AA2" s="51"/>
      <x:c r="AB2" s="51"/>
    </x:row>
    <x:row r="4" ht="30" customHeight="1">
      <x:c r="A4" s="56" t="str">
        <x:v>Population</x:v>
      </x:c>
      <x:c r="B4" s="56" t="str">
        <x:v>ID</x:v>
      </x:c>
      <x:c r="C4" s="56" t="str">
        <x:v>Domain</x:v>
      </x:c>
      <x:c r="D4" s="56" t="str">
        <x:v>Subarea</x:v>
      </x:c>
      <x:c r="E4" s="56" t="str">
        <x:v>Acceptance / Readiness Criterion</x:v>
      </x:c>
      <x:c r="F4" s="56" t="str">
        <x:v>Verification Procedure</x:v>
      </x:c>
      <x:c r="G4" s="56" t="str">
        <x:v>Expected Result</x:v>
      </x:c>
      <x:c r="H4" s="56" t="str">
        <x:v>Required Evidence</x:v>
      </x:c>
      <x:c r="I4" s="56" t="str">
        <x:v>Current Source</x:v>
      </x:c>
      <x:c r="J4" s="56" t="str">
        <x:v>Historical Basis</x:v>
      </x:c>
      <x:c r="K4" s="56" t="str">
        <x:v>Gate / Stage</x:v>
      </x:c>
      <x:c r="L4" s="56" t="str">
        <x:v>Blocking</x:v>
      </x:c>
      <x:c r="M4" s="56" t="str">
        <x:v>Priority</x:v>
      </x:c>
      <x:c r="N4" s="56" t="str">
        <x:v>Owner</x:v>
      </x:c>
      <x:c r="O4" s="56" t="str">
        <x:v>Reviewer</x:v>
      </x:c>
      <x:c r="P4" s="56" t="str">
        <x:v>Status</x:v>
      </x:c>
      <x:c r="Q4" s="56" t="str">
        <x:v>Evidence ID</x:v>
      </x:c>
      <x:c r="R4" s="56" t="str">
        <x:v>Defect / Exception ID</x:v>
      </x:c>
      <x:c r="S4" s="56" t="str">
        <x:v>Dependency / Prerequisite</x:v>
      </x:c>
      <x:c r="T4" s="56" t="str">
        <x:v>Target Build</x:v>
      </x:c>
      <x:c r="U4" s="56" t="str">
        <x:v>Last Execution Date</x:v>
      </x:c>
      <x:c r="V4" s="56" t="str">
        <x:v>Notes</x:v>
      </x:c>
      <x:c r="W4" s="56" t="str">
        <x:v>Weight</x:v>
      </x:c>
      <x:c r="X4" s="56" t="str">
        <x:v>Earned Weight</x:v>
      </x:c>
      <x:c r="Y4" s="56" t="str">
        <x:v>Open Blocker</x:v>
      </x:c>
      <x:c r="Z4" s="56" t="str">
        <x:v>Decision Flag</x:v>
      </x:c>
      <x:c r="AA4" s="56" t="str">
        <x:v>Change ID</x:v>
      </x:c>
      <x:c r="AB4" s="56" t="str">
        <x:v>Traceability State</x:v>
      </x:c>
    </x:row>
    <x:row r="5" ht="30" customHeight="1">
      <x:c r="A5" s="26" t="str">
        <x:v>H6</x:v>
      </x:c>
      <x:c r="B5" s="26" t="str">
        <x:v>VS-APP-001</x:v>
      </x:c>
      <x:c r="C5" s="26" t="str">
        <x:v>Aplicación</x:v>
      </x:c>
      <x:c r="D5" s="26" t="str">
        <x:v>Criterio contractual VSS</x:v>
      </x:c>
      <x:c r="E5" s="26" t="str">
        <x:v>Bootstrap inicia y alcanza menú sin excepción bloqueante.</x:v>
      </x:c>
      <x:c r="F5" s="26" t="str">
        <x:v>Ejecutar la prueba correspondiente en Editor y/o build según el nivel definido en 02 y registrar resultado reproducible.</x:v>
      </x:c>
      <x:c r="G5" s="26" t="str">
        <x:v>El criterio se cumple sin desviaciones bloqueantes y con resultado trazable.</x:v>
      </x:c>
      <x:c r="H5" s="26" t="str">
        <x:v>Build/Editor, log y captura.</x:v>
      </x:c>
      <x:c r="I5" s="26" t="str">
        <x:v>02_Vertical_Slice_Specification.md §7</x:v>
      </x:c>
      <x:c r="J5" s="26" t="str">
        <x:v>Vertical Slice Specification v0.1–v0.4; QA Plan/Matrix v0.3–v0.6</x:v>
      </x:c>
      <x:c r="K5" s="26" t="str">
        <x:v>H6</x:v>
      </x:c>
      <x:c r="L5" s="26" t="str">
        <x:v>Yes</x:v>
      </x:c>
      <x:c r="M5" s="26" t="str">
        <x:v>P0</x:v>
      </x:c>
      <x:c r="N5" s="26" t="str">
        <x:v>Engineering</x:v>
      </x:c>
      <x:c r="O5" s="26" t="str">
        <x:v>QA/Production</x:v>
      </x:c>
      <x:c r="P5" s="26" t="str">
        <x:v>NOT RUN</x:v>
      </x:c>
      <x:c r="Q5" s="26"/>
      <x:c r="R5" s="26"/>
      <x:c r="S5" s="26"/>
      <x:c r="T5" s="26"/>
      <x:c r="U5" s="26"/>
      <x:c r="V5" s="26"/>
      <x:c r="W5" s="26" t="n">
        <x:v>1</x:v>
      </x:c>
      <x:c r="X5" s="26" t="n">
        <x:v>0</x:v>
      </x:c>
      <x:c r="Y5" s="26" t="n">
        <x:v>1</x:v>
      </x:c>
      <x:c r="Z5" s="26" t="str">
        <x:v>PENDING</x:v>
      </x:c>
      <x:c r="AA5" s="26" t="str">
        <x:v>CHG-RC1-DOC-31</x:v>
      </x:c>
      <x:c r="AB5" s="26" t="str">
        <x:v>DEFINED / NOT EXECUTED</x:v>
      </x:c>
    </x:row>
    <x:row r="6" ht="30" customHeight="1">
      <x:c r="A6" s="26" t="str">
        <x:v>H6</x:v>
      </x:c>
      <x:c r="B6" s="26" t="str">
        <x:v>VS-APP-002</x:v>
      </x:c>
      <x:c r="C6" s="26" t="str">
        <x:v>Aplicación</x:v>
      </x:c>
      <x:c r="D6" s="26" t="str">
        <x:v>Criterio contractual VSS</x:v>
      </x:c>
      <x:c r="E6" s="26" t="str">
        <x:v>Nueva partida crea un slot válido una sola vez.</x:v>
      </x:c>
      <x:c r="F6" s="26" t="str">
        <x:v>Ejecutar la prueba correspondiente en Editor y/o build según el nivel definido en 02 y registrar resultado reproducible.</x:v>
      </x:c>
      <x:c r="G6" s="26" t="str">
        <x:v>El criterio se cumple sin desviaciones bloqueantes y con resultado trazable.</x:v>
      </x:c>
      <x:c r="H6" s="26" t="str">
        <x:v>Prueba manual y comparación de archivos.</x:v>
      </x:c>
      <x:c r="I6" s="26" t="str">
        <x:v>02_Vertical_Slice_Specification.md §7</x:v>
      </x:c>
      <x:c r="J6" s="26" t="str">
        <x:v>Vertical Slice Specification v0.1–v0.4; QA Plan/Matrix v0.3–v0.6</x:v>
      </x:c>
      <x:c r="K6" s="26" t="str">
        <x:v>H6</x:v>
      </x:c>
      <x:c r="L6" s="26" t="str">
        <x:v>Yes</x:v>
      </x:c>
      <x:c r="M6" s="26" t="str">
        <x:v>P0</x:v>
      </x:c>
      <x:c r="N6" s="26" t="str">
        <x:v>Engineering</x:v>
      </x:c>
      <x:c r="O6" s="26" t="str">
        <x:v>QA/Production</x:v>
      </x:c>
      <x:c r="P6" s="26" t="str">
        <x:v>NOT RUN</x:v>
      </x:c>
      <x:c r="Q6" s="26"/>
      <x:c r="R6" s="26"/>
      <x:c r="S6" s="26"/>
      <x:c r="T6" s="26"/>
      <x:c r="U6" s="26"/>
      <x:c r="V6" s="26"/>
      <x:c r="W6" s="26" t="n">
        <x:v>1</x:v>
      </x:c>
      <x:c r="X6" s="26" t="n">
        <x:v>0</x:v>
      </x:c>
      <x:c r="Y6" s="26" t="n">
        <x:v>1</x:v>
      </x:c>
      <x:c r="Z6" s="26" t="str">
        <x:v>PENDING</x:v>
      </x:c>
      <x:c r="AA6" s="26" t="str">
        <x:v>CHG-RC1-DOC-31</x:v>
      </x:c>
      <x:c r="AB6" s="26" t="str">
        <x:v>DEFINED / NOT EXECUTED</x:v>
      </x:c>
    </x:row>
    <x:row r="7" ht="30" customHeight="1">
      <x:c r="A7" s="26" t="str">
        <x:v>H6</x:v>
      </x:c>
      <x:c r="B7" s="26" t="str">
        <x:v>VS-APP-003</x:v>
      </x:c>
      <x:c r="C7" s="26" t="str">
        <x:v>Aplicación</x:v>
      </x:c>
      <x:c r="D7" s="26" t="str">
        <x:v>Criterio contractual VSS</x:v>
      </x:c>
      <x:c r="E7" s="26" t="str">
        <x:v>Carga de slot entra en la sesión correcta sin duplicar inicialización.</x:v>
      </x:c>
      <x:c r="F7" s="26" t="str">
        <x:v>Ejecutar la prueba correspondiente en Editor y/o build según el nivel definido en 02 y registrar resultado reproducible.</x:v>
      </x:c>
      <x:c r="G7" s="26" t="str">
        <x:v>El criterio se cumple sin desviaciones bloqueantes y con resultado trazable.</x:v>
      </x:c>
      <x:c r="H7" s="26" t="str">
        <x:v>Golden Path y logs.</x:v>
      </x:c>
      <x:c r="I7" s="26" t="str">
        <x:v>02_Vertical_Slice_Specification.md §7</x:v>
      </x:c>
      <x:c r="J7" s="26" t="str">
        <x:v>Vertical Slice Specification v0.1–v0.4; QA Plan/Matrix v0.3–v0.6</x:v>
      </x:c>
      <x:c r="K7" s="26" t="str">
        <x:v>H6</x:v>
      </x:c>
      <x:c r="L7" s="26" t="str">
        <x:v>Yes</x:v>
      </x:c>
      <x:c r="M7" s="26" t="str">
        <x:v>P0</x:v>
      </x:c>
      <x:c r="N7" s="26" t="str">
        <x:v>Engineering</x:v>
      </x:c>
      <x:c r="O7" s="26" t="str">
        <x:v>QA/Production</x:v>
      </x:c>
      <x:c r="P7" s="26" t="str">
        <x:v>NOT RUN</x:v>
      </x:c>
      <x:c r="Q7" s="26"/>
      <x:c r="R7" s="26"/>
      <x:c r="S7" s="26"/>
      <x:c r="T7" s="26"/>
      <x:c r="U7" s="26"/>
      <x:c r="V7" s="26"/>
      <x:c r="W7" s="26" t="n">
        <x:v>1</x:v>
      </x:c>
      <x:c r="X7" s="26" t="n">
        <x:v>0</x:v>
      </x:c>
      <x:c r="Y7" s="26" t="n">
        <x:v>1</x:v>
      </x:c>
      <x:c r="Z7" s="26" t="str">
        <x:v>PENDING</x:v>
      </x:c>
      <x:c r="AA7" s="26" t="str">
        <x:v>CHG-RC1-DOC-31</x:v>
      </x:c>
      <x:c r="AB7" s="26" t="str">
        <x:v>DEFINED / NOT EXECUTED</x:v>
      </x:c>
    </x:row>
    <x:row r="8" ht="30" customHeight="1">
      <x:c r="A8" s="26" t="str">
        <x:v>H6</x:v>
      </x:c>
      <x:c r="B8" s="26" t="str">
        <x:v>VS-APP-004</x:v>
      </x:c>
      <x:c r="C8" s="26" t="str">
        <x:v>Aplicación</x:v>
      </x:c>
      <x:c r="D8" s="26" t="str">
        <x:v>Criterio contractual VSS</x:v>
      </x:c>
      <x:c r="E8" s="26" t="str">
        <x:v>Volver al menú o salir no pierde un guardado confirmado.</x:v>
      </x:c>
      <x:c r="F8" s="26" t="str">
        <x:v>Ejecutar la prueba correspondiente en Editor y/o build según el nivel definido en 02 y registrar resultado reproducible.</x:v>
      </x:c>
      <x:c r="G8" s="26" t="str">
        <x:v>El criterio se cumple sin desviaciones bloqueantes y con resultado trazable.</x:v>
      </x:c>
      <x:c r="H8" s="26" t="str">
        <x:v>Prueba manual.</x:v>
      </x:c>
      <x:c r="I8" s="26" t="str">
        <x:v>02_Vertical_Slice_Specification.md §7</x:v>
      </x:c>
      <x:c r="J8" s="26" t="str">
        <x:v>Vertical Slice Specification v0.1–v0.4; QA Plan/Matrix v0.3–v0.6</x:v>
      </x:c>
      <x:c r="K8" s="26" t="str">
        <x:v>H6</x:v>
      </x:c>
      <x:c r="L8" s="26" t="str">
        <x:v>Yes</x:v>
      </x:c>
      <x:c r="M8" s="26" t="str">
        <x:v>P0</x:v>
      </x:c>
      <x:c r="N8" s="26" t="str">
        <x:v>Engineering</x:v>
      </x:c>
      <x:c r="O8" s="26" t="str">
        <x:v>QA/Production</x:v>
      </x:c>
      <x:c r="P8" s="26" t="str">
        <x:v>NOT RUN</x:v>
      </x:c>
      <x:c r="Q8" s="26"/>
      <x:c r="R8" s="26"/>
      <x:c r="S8" s="26"/>
      <x:c r="T8" s="26"/>
      <x:c r="U8" s="26"/>
      <x:c r="V8" s="26"/>
      <x:c r="W8" s="26" t="n">
        <x:v>1</x:v>
      </x:c>
      <x:c r="X8" s="26" t="n">
        <x:v>0</x:v>
      </x:c>
      <x:c r="Y8" s="26" t="n">
        <x:v>1</x:v>
      </x:c>
      <x:c r="Z8" s="26" t="str">
        <x:v>PENDING</x:v>
      </x:c>
      <x:c r="AA8" s="26" t="str">
        <x:v>CHG-RC1-DOC-31</x:v>
      </x:c>
      <x:c r="AB8" s="26" t="str">
        <x:v>DEFINED / NOT EXECUTED</x:v>
      </x:c>
    </x:row>
    <x:row r="9" ht="30" customHeight="1">
      <x:c r="A9" s="26" t="str">
        <x:v>H6</x:v>
      </x:c>
      <x:c r="B9" s="26" t="str">
        <x:v>VS-SCN-001</x:v>
      </x:c>
      <x:c r="C9" s="26" t="str">
        <x:v>Escena</x:v>
      </x:c>
      <x:c r="D9" s="26" t="str">
        <x:v>Criterio contractual VSS</x:v>
      </x:c>
      <x:c r="E9" s="26" t="str">
        <x:v>`StoreInitial.unity` carga con referencias obligatorias válidas.</x:v>
      </x:c>
      <x:c r="F9" s="26" t="str">
        <x:v>Ejecutar la prueba correspondiente en Editor y/o build según el nivel definido en 02 y registrar resultado reproducible.</x:v>
      </x:c>
      <x:c r="G9" s="26" t="str">
        <x:v>El criterio se cumple sin desviaciones bloqueantes y con resultado trazable.</x:v>
      </x:c>
      <x:c r="H9" s="26" t="str">
        <x:v>Validación de escena y log.</x:v>
      </x:c>
      <x:c r="I9" s="26" t="str">
        <x:v>02_Vertical_Slice_Specification.md §7</x:v>
      </x:c>
      <x:c r="J9" s="26" t="str">
        <x:v>Vertical Slice Specification v0.1–v0.4; QA Plan/Matrix v0.3–v0.6</x:v>
      </x:c>
      <x:c r="K9" s="26" t="str">
        <x:v>H6</x:v>
      </x:c>
      <x:c r="L9" s="26" t="str">
        <x:v>Yes</x:v>
      </x:c>
      <x:c r="M9" s="26" t="str">
        <x:v>P0</x:v>
      </x:c>
      <x:c r="N9" s="26" t="str">
        <x:v>Level/Art</x:v>
      </x:c>
      <x:c r="O9" s="26" t="str">
        <x:v>QA/Production</x:v>
      </x:c>
      <x:c r="P9" s="26" t="str">
        <x:v>NOT RUN</x:v>
      </x:c>
      <x:c r="Q9" s="26"/>
      <x:c r="R9" s="26"/>
      <x:c r="S9" s="26"/>
      <x:c r="T9" s="26"/>
      <x:c r="U9" s="26"/>
      <x:c r="V9" s="26"/>
      <x:c r="W9" s="26" t="n">
        <x:v>1</x:v>
      </x:c>
      <x:c r="X9" s="26" t="n">
        <x:v>0</x:v>
      </x:c>
      <x:c r="Y9" s="26" t="n">
        <x:v>1</x:v>
      </x:c>
      <x:c r="Z9" s="26" t="str">
        <x:v>PENDING</x:v>
      </x:c>
      <x:c r="AA9" s="26" t="str">
        <x:v>CHG-RC1-DOC-31</x:v>
      </x:c>
      <x:c r="AB9" s="26" t="str">
        <x:v>DEFINED / NOT EXECUTED</x:v>
      </x:c>
    </x:row>
    <x:row r="10" ht="30" customHeight="1">
      <x:c r="A10" s="26" t="str">
        <x:v>H6</x:v>
      </x:c>
      <x:c r="B10" s="26" t="str">
        <x:v>VS-SCN-002</x:v>
      </x:c>
      <x:c r="C10" s="26" t="str">
        <x:v>Escena</x:v>
      </x:c>
      <x:c r="D10" s="26" t="str">
        <x:v>Criterio contractual VSS</x:v>
      </x:c>
      <x:c r="E10" s="26" t="str">
        <x:v>Arquitectura, puerta, zonas y mobiliario están colocados conforme al layout aprobado.</x:v>
      </x:c>
      <x:c r="F10" s="26" t="str">
        <x:v>Ejecutar la prueba correspondiente en Editor y/o build según el nivel definido en 02 y registrar resultado reproducible.</x:v>
      </x:c>
      <x:c r="G10" s="26" t="str">
        <x:v>El criterio se cumple sin desviaciones bloqueantes y con resultado trazable.</x:v>
      </x:c>
      <x:c r="H10" s="26" t="str">
        <x:v>Revisión visual y checklist.</x:v>
      </x:c>
      <x:c r="I10" s="26" t="str">
        <x:v>02_Vertical_Slice_Specification.md §7</x:v>
      </x:c>
      <x:c r="J10" s="26" t="str">
        <x:v>Vertical Slice Specification v0.1–v0.4; QA Plan/Matrix v0.3–v0.6</x:v>
      </x:c>
      <x:c r="K10" s="26" t="str">
        <x:v>H6</x:v>
      </x:c>
      <x:c r="L10" s="26" t="str">
        <x:v>Yes</x:v>
      </x:c>
      <x:c r="M10" s="26" t="str">
        <x:v>P0</x:v>
      </x:c>
      <x:c r="N10" s="26" t="str">
        <x:v>Level/Art</x:v>
      </x:c>
      <x:c r="O10" s="26" t="str">
        <x:v>QA/Production</x:v>
      </x:c>
      <x:c r="P10" s="26" t="str">
        <x:v>NOT RUN</x:v>
      </x:c>
      <x:c r="Q10" s="26"/>
      <x:c r="R10" s="26"/>
      <x:c r="S10" s="26"/>
      <x:c r="T10" s="26"/>
      <x:c r="U10" s="26"/>
      <x:c r="V10" s="26"/>
      <x:c r="W10" s="26" t="n">
        <x:v>1</x:v>
      </x:c>
      <x:c r="X10" s="26" t="n">
        <x:v>0</x:v>
      </x:c>
      <x:c r="Y10" s="26" t="n">
        <x:v>1</x:v>
      </x:c>
      <x:c r="Z10" s="26" t="str">
        <x:v>PENDING</x:v>
      </x:c>
      <x:c r="AA10" s="26" t="str">
        <x:v>CHG-RC1-DOC-31</x:v>
      </x:c>
      <x:c r="AB10" s="26" t="str">
        <x:v>DEFINED / NOT EXECUTED</x:v>
      </x:c>
    </x:row>
    <x:row r="11" ht="30" customHeight="1">
      <x:c r="A11" s="26" t="str">
        <x:v>H6</x:v>
      </x:c>
      <x:c r="B11" s="26" t="str">
        <x:v>VS-SCN-003</x:v>
      </x:c>
      <x:c r="C11" s="26" t="str">
        <x:v>Escena</x:v>
      </x:c>
      <x:c r="D11" s="26" t="str">
        <x:v>Criterio contractual VSS</x:v>
      </x:c>
      <x:c r="E11" s="26" t="str">
        <x:v>No existen placeholders visibles no exceptuados.</x:v>
      </x:c>
      <x:c r="F11" s="26" t="str">
        <x:v>Ejecutar la prueba correspondiente en Editor y/o build según el nivel definido en 02 y registrar resultado reproducible.</x:v>
      </x:c>
      <x:c r="G11" s="26" t="str">
        <x:v>El criterio se cumple sin desviaciones bloqueantes y con resultado trazable.</x:v>
      </x:c>
      <x:c r="H11" s="26" t="str">
        <x:v>Capturas y revisión.</x:v>
      </x:c>
      <x:c r="I11" s="26" t="str">
        <x:v>02_Vertical_Slice_Specification.md §7</x:v>
      </x:c>
      <x:c r="J11" s="26" t="str">
        <x:v>Vertical Slice Specification v0.1–v0.4; QA Plan/Matrix v0.3–v0.6</x:v>
      </x:c>
      <x:c r="K11" s="26" t="str">
        <x:v>H6</x:v>
      </x:c>
      <x:c r="L11" s="26" t="str">
        <x:v>Yes</x:v>
      </x:c>
      <x:c r="M11" s="26" t="str">
        <x:v>P0</x:v>
      </x:c>
      <x:c r="N11" s="26" t="str">
        <x:v>Level/Art</x:v>
      </x:c>
      <x:c r="O11" s="26" t="str">
        <x:v>QA/Production</x:v>
      </x:c>
      <x:c r="P11" s="26" t="str">
        <x:v>NOT RUN</x:v>
      </x:c>
      <x:c r="Q11" s="26"/>
      <x:c r="R11" s="26"/>
      <x:c r="S11" s="26"/>
      <x:c r="T11" s="26"/>
      <x:c r="U11" s="26"/>
      <x:c r="V11" s="26"/>
      <x:c r="W11" s="26" t="n">
        <x:v>1</x:v>
      </x:c>
      <x:c r="X11" s="26" t="n">
        <x:v>0</x:v>
      </x:c>
      <x:c r="Y11" s="26" t="n">
        <x:v>1</x:v>
      </x:c>
      <x:c r="Z11" s="26" t="str">
        <x:v>PENDING</x:v>
      </x:c>
      <x:c r="AA11" s="26" t="str">
        <x:v>CHG-RC1-DOC-31</x:v>
      </x:c>
      <x:c r="AB11" s="26" t="str">
        <x:v>DEFINED / NOT EXECUTED</x:v>
      </x:c>
    </x:row>
    <x:row r="12" ht="30" customHeight="1">
      <x:c r="A12" s="26" t="str">
        <x:v>H6</x:v>
      </x:c>
      <x:c r="B12" s="26" t="str">
        <x:v>VS-SCN-004</x:v>
      </x:c>
      <x:c r="C12" s="26" t="str">
        <x:v>Escena</x:v>
      </x:c>
      <x:c r="D12" s="26" t="str">
        <x:v>Criterio contractual VSS</x:v>
      </x:c>
      <x:c r="E12" s="26" t="str">
        <x:v>Visuales, colliders, navegación y puntos funcionales no se contradicen.</x:v>
      </x:c>
      <x:c r="F12" s="26" t="str">
        <x:v>Ejecutar la prueba correspondiente en Editor y/o build según el nivel definido en 02 y registrar resultado reproducible.</x:v>
      </x:c>
      <x:c r="G12" s="26" t="str">
        <x:v>El criterio se cumple sin desviaciones bloqueantes y con resultado trazable.</x:v>
      </x:c>
      <x:c r="H12" s="26" t="str">
        <x:v>Recorrido manual.</x:v>
      </x:c>
      <x:c r="I12" s="26" t="str">
        <x:v>02_Vertical_Slice_Specification.md §7</x:v>
      </x:c>
      <x:c r="J12" s="26" t="str">
        <x:v>Vertical Slice Specification v0.1–v0.4; QA Plan/Matrix v0.3–v0.6</x:v>
      </x:c>
      <x:c r="K12" s="26" t="str">
        <x:v>H6</x:v>
      </x:c>
      <x:c r="L12" s="26" t="str">
        <x:v>Yes</x:v>
      </x:c>
      <x:c r="M12" s="26" t="str">
        <x:v>P0</x:v>
      </x:c>
      <x:c r="N12" s="26" t="str">
        <x:v>Level/Art</x:v>
      </x:c>
      <x:c r="O12" s="26" t="str">
        <x:v>QA/Production</x:v>
      </x:c>
      <x:c r="P12" s="26" t="str">
        <x:v>NOT RUN</x:v>
      </x:c>
      <x:c r="Q12" s="26"/>
      <x:c r="R12" s="26"/>
      <x:c r="S12" s="26"/>
      <x:c r="T12" s="26"/>
      <x:c r="U12" s="26"/>
      <x:c r="V12" s="26"/>
      <x:c r="W12" s="26" t="n">
        <x:v>1</x:v>
      </x:c>
      <x:c r="X12" s="26" t="n">
        <x:v>0</x:v>
      </x:c>
      <x:c r="Y12" s="26" t="n">
        <x:v>1</x:v>
      </x:c>
      <x:c r="Z12" s="26" t="str">
        <x:v>PENDING</x:v>
      </x:c>
      <x:c r="AA12" s="26" t="str">
        <x:v>CHG-RC1-DOC-31</x:v>
      </x:c>
      <x:c r="AB12" s="26" t="str">
        <x:v>DEFINED / NOT EXECUTED</x:v>
      </x:c>
    </x:row>
    <x:row r="13" ht="30" customHeight="1">
      <x:c r="A13" s="26" t="str">
        <x:v>H6</x:v>
      </x:c>
      <x:c r="B13" s="26" t="str">
        <x:v>VS-INP-001</x:v>
      </x:c>
      <x:c r="C13" s="26" t="str">
        <x:v>Input</x:v>
      </x:c>
      <x:c r="D13" s="26" t="str">
        <x:v>Criterio contractual VSS</x:v>
      </x:c>
      <x:c r="E13" s="26" t="str">
        <x:v>Un evento consumido por UI no dispara movimiento, colocación o interacción de mundo.</x:v>
      </x:c>
      <x:c r="F13" s="26" t="str">
        <x:v>Ejecutar la prueba correspondiente en Editor y/o build según el nivel definido en 02 y registrar resultado reproducible.</x:v>
      </x:c>
      <x:c r="G13" s="26" t="str">
        <x:v>El criterio se cumple sin desviaciones bloqueantes y con resultado trazable.</x:v>
      </x:c>
      <x:c r="H13" s="26" t="str">
        <x:v>Pruebas de propagación.</x:v>
      </x:c>
      <x:c r="I13" s="26" t="str">
        <x:v>02_Vertical_Slice_Specification.md §7</x:v>
      </x:c>
      <x:c r="J13" s="26" t="str">
        <x:v>Vertical Slice Specification v0.1–v0.4; QA Plan/Matrix v0.3–v0.6</x:v>
      </x:c>
      <x:c r="K13" s="26" t="str">
        <x:v>H6</x:v>
      </x:c>
      <x:c r="L13" s="26" t="str">
        <x:v>Yes</x:v>
      </x:c>
      <x:c r="M13" s="26" t="str">
        <x:v>P0</x:v>
      </x:c>
      <x:c r="N13" s="26" t="str">
        <x:v>Engineering/UX</x:v>
      </x:c>
      <x:c r="O13" s="26" t="str">
        <x:v>QA/Production</x:v>
      </x:c>
      <x:c r="P13" s="26" t="str">
        <x:v>NOT RUN</x:v>
      </x:c>
      <x:c r="Q13" s="26"/>
      <x:c r="R13" s="26"/>
      <x:c r="S13" s="26"/>
      <x:c r="T13" s="26"/>
      <x:c r="U13" s="26"/>
      <x:c r="V13" s="26"/>
      <x:c r="W13" s="26" t="n">
        <x:v>1</x:v>
      </x:c>
      <x:c r="X13" s="26" t="n">
        <x:v>0</x:v>
      </x:c>
      <x:c r="Y13" s="26" t="n">
        <x:v>1</x:v>
      </x:c>
      <x:c r="Z13" s="26" t="str">
        <x:v>PENDING</x:v>
      </x:c>
      <x:c r="AA13" s="26" t="str">
        <x:v>CHG-RC1-DOC-31</x:v>
      </x:c>
      <x:c r="AB13" s="26" t="str">
        <x:v>DEFINED / NOT EXECUTED</x:v>
      </x:c>
    </x:row>
    <x:row r="14" ht="30" customHeight="1">
      <x:c r="A14" s="26" t="str">
        <x:v>H6</x:v>
      </x:c>
      <x:c r="B14" s="26" t="str">
        <x:v>VS-INP-002</x:v>
      </x:c>
      <x:c r="C14" s="26" t="str">
        <x:v>Input</x:v>
      </x:c>
      <x:c r="D14" s="26" t="str">
        <x:v>Criterio contractual VSS</x:v>
      </x:c>
      <x:c r="E14" s="26" t="str">
        <x:v>Clic de mundo produce destino válido o feedback de rechazo.</x:v>
      </x:c>
      <x:c r="F14" s="26" t="str">
        <x:v>Ejecutar la prueba correspondiente en Editor y/o build según el nivel definido en 02 y registrar resultado reproducible.</x:v>
      </x:c>
      <x:c r="G14" s="26" t="str">
        <x:v>El criterio se cumple sin desviaciones bloqueantes y con resultado trazable.</x:v>
      </x:c>
      <x:c r="H14" s="26" t="str">
        <x:v>Recorrido manual.</x:v>
      </x:c>
      <x:c r="I14" s="26" t="str">
        <x:v>02_Vertical_Slice_Specification.md §7</x:v>
      </x:c>
      <x:c r="J14" s="26" t="str">
        <x:v>Vertical Slice Specification v0.1–v0.4; QA Plan/Matrix v0.3–v0.6</x:v>
      </x:c>
      <x:c r="K14" s="26" t="str">
        <x:v>H6</x:v>
      </x:c>
      <x:c r="L14" s="26" t="str">
        <x:v>Yes</x:v>
      </x:c>
      <x:c r="M14" s="26" t="str">
        <x:v>P0</x:v>
      </x:c>
      <x:c r="N14" s="26" t="str">
        <x:v>Engineering/UX</x:v>
      </x:c>
      <x:c r="O14" s="26" t="str">
        <x:v>QA/Production</x:v>
      </x:c>
      <x:c r="P14" s="26" t="str">
        <x:v>NOT RUN</x:v>
      </x:c>
      <x:c r="Q14" s="26"/>
      <x:c r="R14" s="26"/>
      <x:c r="S14" s="26"/>
      <x:c r="T14" s="26"/>
      <x:c r="U14" s="26"/>
      <x:c r="V14" s="26"/>
      <x:c r="W14" s="26" t="n">
        <x:v>1</x:v>
      </x:c>
      <x:c r="X14" s="26" t="n">
        <x:v>0</x:v>
      </x:c>
      <x:c r="Y14" s="26" t="n">
        <x:v>1</x:v>
      </x:c>
      <x:c r="Z14" s="26" t="str">
        <x:v>PENDING</x:v>
      </x:c>
      <x:c r="AA14" s="26" t="str">
        <x:v>CHG-RC1-DOC-31</x:v>
      </x:c>
      <x:c r="AB14" s="26" t="str">
        <x:v>DEFINED / NOT EXECUTED</x:v>
      </x:c>
    </x:row>
    <x:row r="15" ht="30" customHeight="1">
      <x:c r="A15" s="26" t="str">
        <x:v>H6</x:v>
      </x:c>
      <x:c r="B15" s="26" t="str">
        <x:v>VS-CAM-001</x:v>
      </x:c>
      <x:c r="C15" s="26" t="str">
        <x:v>Cámara</x:v>
      </x:c>
      <x:c r="D15" s="26" t="str">
        <x:v>Criterio contractual VSS</x:v>
      </x:c>
      <x:c r="E15" s="26" t="str">
        <x:v>Órbita y zoom permanecen dentro de límites y no bloquean el flujo.</x:v>
      </x:c>
      <x:c r="F15" s="26" t="str">
        <x:v>Ejecutar la prueba correspondiente en Editor y/o build según el nivel definido en 02 y registrar resultado reproducible.</x:v>
      </x:c>
      <x:c r="G15" s="26" t="str">
        <x:v>El criterio se cumple sin desviaciones bloqueantes y con resultado trazable.</x:v>
      </x:c>
      <x:c r="H15" s="26" t="str">
        <x:v>Prueba manual.</x:v>
      </x:c>
      <x:c r="I15" s="26" t="str">
        <x:v>02_Vertical_Slice_Specification.md §7</x:v>
      </x:c>
      <x:c r="J15" s="26" t="str">
        <x:v>Vertical Slice Specification v0.1–v0.4; QA Plan/Matrix v0.3–v0.6</x:v>
      </x:c>
      <x:c r="K15" s="26" t="str">
        <x:v>H6</x:v>
      </x:c>
      <x:c r="L15" s="26" t="str">
        <x:v>Yes</x:v>
      </x:c>
      <x:c r="M15" s="26" t="str">
        <x:v>P0</x:v>
      </x:c>
      <x:c r="N15" s="26" t="str">
        <x:v>Engineering/UX</x:v>
      </x:c>
      <x:c r="O15" s="26" t="str">
        <x:v>QA/Production</x:v>
      </x:c>
      <x:c r="P15" s="26" t="str">
        <x:v>NOT RUN</x:v>
      </x:c>
      <x:c r="Q15" s="26"/>
      <x:c r="R15" s="26"/>
      <x:c r="S15" s="26"/>
      <x:c r="T15" s="26"/>
      <x:c r="U15" s="26"/>
      <x:c r="V15" s="26"/>
      <x:c r="W15" s="26" t="n">
        <x:v>1</x:v>
      </x:c>
      <x:c r="X15" s="26" t="n">
        <x:v>0</x:v>
      </x:c>
      <x:c r="Y15" s="26" t="n">
        <x:v>1</x:v>
      </x:c>
      <x:c r="Z15" s="26" t="str">
        <x:v>PENDING</x:v>
      </x:c>
      <x:c r="AA15" s="26" t="str">
        <x:v>CHG-RC1-DOC-31</x:v>
      </x:c>
      <x:c r="AB15" s="26" t="str">
        <x:v>DEFINED / NOT EXECUTED</x:v>
      </x:c>
    </x:row>
    <x:row r="16" ht="30" customHeight="1">
      <x:c r="A16" s="26" t="str">
        <x:v>H6</x:v>
      </x:c>
      <x:c r="B16" s="26" t="str">
        <x:v>VS-CAM-002</x:v>
      </x:c>
      <x:c r="C16" s="26" t="str">
        <x:v>Cámara</x:v>
      </x:c>
      <x:c r="D16" s="26" t="str">
        <x:v>Criterio contractual VSS</x:v>
      </x:c>
      <x:c r="E16" s="26" t="str">
        <x:v>La cámara mantiene legibles entrada, displays, cola y checkout.</x:v>
      </x:c>
      <x:c r="F16" s="26" t="str">
        <x:v>Ejecutar la prueba correspondiente en Editor y/o build según el nivel definido en 02 y registrar resultado reproducible.</x:v>
      </x:c>
      <x:c r="G16" s="26" t="str">
        <x:v>El criterio se cumple sin desviaciones bloqueantes y con resultado trazable.</x:v>
      </x:c>
      <x:c r="H16" s="26" t="str">
        <x:v>Capturas de referencia.</x:v>
      </x:c>
      <x:c r="I16" s="26" t="str">
        <x:v>02_Vertical_Slice_Specification.md §7</x:v>
      </x:c>
      <x:c r="J16" s="26" t="str">
        <x:v>Vertical Slice Specification v0.1–v0.4; QA Plan/Matrix v0.3–v0.6</x:v>
      </x:c>
      <x:c r="K16" s="26" t="str">
        <x:v>H6</x:v>
      </x:c>
      <x:c r="L16" s="26" t="str">
        <x:v>Yes</x:v>
      </x:c>
      <x:c r="M16" s="26" t="str">
        <x:v>P0</x:v>
      </x:c>
      <x:c r="N16" s="26" t="str">
        <x:v>Engineering/UX</x:v>
      </x:c>
      <x:c r="O16" s="26" t="str">
        <x:v>QA/Production</x:v>
      </x:c>
      <x:c r="P16" s="26" t="str">
        <x:v>NOT RUN</x:v>
      </x:c>
      <x:c r="Q16" s="26"/>
      <x:c r="R16" s="26"/>
      <x:c r="S16" s="26"/>
      <x:c r="T16" s="26"/>
      <x:c r="U16" s="26"/>
      <x:c r="V16" s="26"/>
      <x:c r="W16" s="26" t="n">
        <x:v>1</x:v>
      </x:c>
      <x:c r="X16" s="26" t="n">
        <x:v>0</x:v>
      </x:c>
      <x:c r="Y16" s="26" t="n">
        <x:v>1</x:v>
      </x:c>
      <x:c r="Z16" s="26" t="str">
        <x:v>PENDING</x:v>
      </x:c>
      <x:c r="AA16" s="26" t="str">
        <x:v>CHG-RC1-DOC-31</x:v>
      </x:c>
      <x:c r="AB16" s="26" t="str">
        <x:v>DEFINED / NOT EXECUTED</x:v>
      </x:c>
    </x:row>
    <x:row r="17" ht="30" customHeight="1">
      <x:c r="A17" s="26" t="str">
        <x:v>H6</x:v>
      </x:c>
      <x:c r="B17" s="26" t="str">
        <x:v>VS-MOV-001</x:v>
      </x:c>
      <x:c r="C17" s="26" t="str">
        <x:v>Movimiento</x:v>
      </x:c>
      <x:c r="D17" s="26" t="str">
        <x:v>Criterio contractual VSS</x:v>
      </x:c>
      <x:c r="E17" s="26" t="str">
        <x:v>El jugador alcanza todos los puntos accesibles obligatorios.</x:v>
      </x:c>
      <x:c r="F17" s="26" t="str">
        <x:v>Ejecutar la prueba correspondiente en Editor y/o build según el nivel definido en 02 y registrar resultado reproducible.</x:v>
      </x:c>
      <x:c r="G17" s="26" t="str">
        <x:v>El criterio se cumple sin desviaciones bloqueantes y con resultado trazable.</x:v>
      </x:c>
      <x:c r="H17" s="26" t="str">
        <x:v>Ruta completa.</x:v>
      </x:c>
      <x:c r="I17" s="26" t="str">
        <x:v>02_Vertical_Slice_Specification.md §7</x:v>
      </x:c>
      <x:c r="J17" s="26" t="str">
        <x:v>Vertical Slice Specification v0.1–v0.4; QA Plan/Matrix v0.3–v0.6</x:v>
      </x:c>
      <x:c r="K17" s="26" t="str">
        <x:v>H6</x:v>
      </x:c>
      <x:c r="L17" s="26" t="str">
        <x:v>Yes</x:v>
      </x:c>
      <x:c r="M17" s="26" t="str">
        <x:v>P0</x:v>
      </x:c>
      <x:c r="N17" s="26" t="str">
        <x:v>Engineering</x:v>
      </x:c>
      <x:c r="O17" s="26" t="str">
        <x:v>QA/Production</x:v>
      </x:c>
      <x:c r="P17" s="26" t="str">
        <x:v>NOT RUN</x:v>
      </x:c>
      <x:c r="Q17" s="26"/>
      <x:c r="R17" s="26"/>
      <x:c r="S17" s="26"/>
      <x:c r="T17" s="26"/>
      <x:c r="U17" s="26"/>
      <x:c r="V17" s="26"/>
      <x:c r="W17" s="26" t="n">
        <x:v>1</x:v>
      </x:c>
      <x:c r="X17" s="26" t="n">
        <x:v>0</x:v>
      </x:c>
      <x:c r="Y17" s="26" t="n">
        <x:v>1</x:v>
      </x:c>
      <x:c r="Z17" s="26" t="str">
        <x:v>PENDING</x:v>
      </x:c>
      <x:c r="AA17" s="26" t="str">
        <x:v>CHG-RC1-DOC-31</x:v>
      </x:c>
      <x:c r="AB17" s="26" t="str">
        <x:v>DEFINED / NOT EXECUTED</x:v>
      </x:c>
    </x:row>
    <x:row r="18" ht="30" customHeight="1">
      <x:c r="A18" s="26" t="str">
        <x:v>H6</x:v>
      </x:c>
      <x:c r="B18" s="26" t="str">
        <x:v>VS-MOV-002</x:v>
      </x:c>
      <x:c r="C18" s="26" t="str">
        <x:v>Movimiento</x:v>
      </x:c>
      <x:c r="D18" s="26" t="str">
        <x:v>Criterio contractual VSS</x:v>
      </x:c>
      <x:c r="E18" s="26" t="str">
        <x:v>El jugador no atraviesa arquitectura ni mobiliario.</x:v>
      </x:c>
      <x:c r="F18" s="26" t="str">
        <x:v>Ejecutar la prueba correspondiente en Editor y/o build según el nivel definido en 02 y registrar resultado reproducible.</x:v>
      </x:c>
      <x:c r="G18" s="26" t="str">
        <x:v>El criterio se cumple sin desviaciones bloqueantes y con resultado trazable.</x:v>
      </x:c>
      <x:c r="H18" s="26" t="str">
        <x:v>Pruebas de colisión/navegación.</x:v>
      </x:c>
      <x:c r="I18" s="26" t="str">
        <x:v>02_Vertical_Slice_Specification.md §7</x:v>
      </x:c>
      <x:c r="J18" s="26" t="str">
        <x:v>Vertical Slice Specification v0.1–v0.4; QA Plan/Matrix v0.3–v0.6</x:v>
      </x:c>
      <x:c r="K18" s="26" t="str">
        <x:v>H6</x:v>
      </x:c>
      <x:c r="L18" s="26" t="str">
        <x:v>Yes</x:v>
      </x:c>
      <x:c r="M18" s="26" t="str">
        <x:v>P0</x:v>
      </x:c>
      <x:c r="N18" s="26" t="str">
        <x:v>Engineering</x:v>
      </x:c>
      <x:c r="O18" s="26" t="str">
        <x:v>QA/Production</x:v>
      </x:c>
      <x:c r="P18" s="26" t="str">
        <x:v>NOT RUN</x:v>
      </x:c>
      <x:c r="Q18" s="26"/>
      <x:c r="R18" s="26"/>
      <x:c r="S18" s="26"/>
      <x:c r="T18" s="26"/>
      <x:c r="U18" s="26"/>
      <x:c r="V18" s="26"/>
      <x:c r="W18" s="26" t="n">
        <x:v>1</x:v>
      </x:c>
      <x:c r="X18" s="26" t="n">
        <x:v>0</x:v>
      </x:c>
      <x:c r="Y18" s="26" t="n">
        <x:v>1</x:v>
      </x:c>
      <x:c r="Z18" s="26" t="str">
        <x:v>PENDING</x:v>
      </x:c>
      <x:c r="AA18" s="26" t="str">
        <x:v>CHG-RC1-DOC-31</x:v>
      </x:c>
      <x:c r="AB18" s="26" t="str">
        <x:v>DEFINED / NOT EXECUTED</x:v>
      </x:c>
    </x:row>
    <x:row r="19" ht="30" customHeight="1">
      <x:c r="A19" s="26" t="str">
        <x:v>H6</x:v>
      </x:c>
      <x:c r="B19" s="26" t="str">
        <x:v>VS-MOV-003</x:v>
      </x:c>
      <x:c r="C19" s="26" t="str">
        <x:v>Movimiento</x:v>
      </x:c>
      <x:c r="D19" s="26" t="str">
        <x:v>Criterio contractual VSS</x:v>
      </x:c>
      <x:c r="E19" s="26" t="str">
        <x:v>Un destino inaccesible no deja al jugador en estado indefinido.</x:v>
      </x:c>
      <x:c r="F19" s="26" t="str">
        <x:v>Ejecutar la prueba correspondiente en Editor y/o build según el nivel definido en 02 y registrar resultado reproducible.</x:v>
      </x:c>
      <x:c r="G19" s="26" t="str">
        <x:v>El criterio se cumple sin desviaciones bloqueantes y con resultado trazable.</x:v>
      </x:c>
      <x:c r="H19" s="26" t="str">
        <x:v>Prueba negativa.</x:v>
      </x:c>
      <x:c r="I19" s="26" t="str">
        <x:v>02_Vertical_Slice_Specification.md §7</x:v>
      </x:c>
      <x:c r="J19" s="26" t="str">
        <x:v>Vertical Slice Specification v0.1–v0.4; QA Plan/Matrix v0.3–v0.6</x:v>
      </x:c>
      <x:c r="K19" s="26" t="str">
        <x:v>H6</x:v>
      </x:c>
      <x:c r="L19" s="26" t="str">
        <x:v>Yes</x:v>
      </x:c>
      <x:c r="M19" s="26" t="str">
        <x:v>P0</x:v>
      </x:c>
      <x:c r="N19" s="26" t="str">
        <x:v>Engineering</x:v>
      </x:c>
      <x:c r="O19" s="26" t="str">
        <x:v>QA/Production</x:v>
      </x:c>
      <x:c r="P19" s="26" t="str">
        <x:v>NOT RUN</x:v>
      </x:c>
      <x:c r="Q19" s="26"/>
      <x:c r="R19" s="26"/>
      <x:c r="S19" s="26"/>
      <x:c r="T19" s="26"/>
      <x:c r="U19" s="26"/>
      <x:c r="V19" s="26"/>
      <x:c r="W19" s="26" t="n">
        <x:v>1</x:v>
      </x:c>
      <x:c r="X19" s="26" t="n">
        <x:v>0</x:v>
      </x:c>
      <x:c r="Y19" s="26" t="n">
        <x:v>1</x:v>
      </x:c>
      <x:c r="Z19" s="26" t="str">
        <x:v>PENDING</x:v>
      </x:c>
      <x:c r="AA19" s="26" t="str">
        <x:v>CHG-RC1-DOC-31</x:v>
      </x:c>
      <x:c r="AB19" s="26" t="str">
        <x:v>DEFINED / NOT EXECUTED</x:v>
      </x:c>
    </x:row>
    <x:row r="20" ht="30" customHeight="1">
      <x:c r="A20" s="26" t="str">
        <x:v>H6</x:v>
      </x:c>
      <x:c r="B20" s="26" t="str">
        <x:v>VS-BLD-001</x:v>
      </x:c>
      <x:c r="C20" s="26" t="str">
        <x:v>Construcción</x:v>
      </x:c>
      <x:c r="D20" s="26" t="str">
        <x:v>Criterio contractual VSS</x:v>
      </x:c>
      <x:c r="E20" s="26" t="str">
        <x:v>Preview coincide con posición, rotación y huella final.</x:v>
      </x:c>
      <x:c r="F20" s="26" t="str">
        <x:v>Ejecutar la prueba correspondiente en Editor y/o build según el nivel definido en 02 y registrar resultado reproducible.</x:v>
      </x:c>
      <x:c r="G20" s="26" t="str">
        <x:v>El criterio se cumple sin desviaciones bloqueantes y con resultado trazable.</x:v>
      </x:c>
      <x:c r="H20" s="26" t="str">
        <x:v>Prueba de colocación.</x:v>
      </x:c>
      <x:c r="I20" s="26" t="str">
        <x:v>02_Vertical_Slice_Specification.md §7</x:v>
      </x:c>
      <x:c r="J20" s="26" t="str">
        <x:v>Vertical Slice Specification v0.1–v0.4; QA Plan/Matrix v0.3–v0.6</x:v>
      </x:c>
      <x:c r="K20" s="26" t="str">
        <x:v>H6</x:v>
      </x:c>
      <x:c r="L20" s="26" t="str">
        <x:v>Yes</x:v>
      </x:c>
      <x:c r="M20" s="26" t="str">
        <x:v>P0</x:v>
      </x:c>
      <x:c r="N20" s="26" t="str">
        <x:v>Engineering/Design</x:v>
      </x:c>
      <x:c r="O20" s="26" t="str">
        <x:v>QA/Production</x:v>
      </x:c>
      <x:c r="P20" s="26" t="str">
        <x:v>NOT RUN</x:v>
      </x:c>
      <x:c r="Q20" s="26"/>
      <x:c r="R20" s="26"/>
      <x:c r="S20" s="26"/>
      <x:c r="T20" s="26"/>
      <x:c r="U20" s="26"/>
      <x:c r="V20" s="26"/>
      <x:c r="W20" s="26" t="n">
        <x:v>1</x:v>
      </x:c>
      <x:c r="X20" s="26" t="n">
        <x:v>0</x:v>
      </x:c>
      <x:c r="Y20" s="26" t="n">
        <x:v>1</x:v>
      </x:c>
      <x:c r="Z20" s="26" t="str">
        <x:v>PENDING</x:v>
      </x:c>
      <x:c r="AA20" s="26" t="str">
        <x:v>CHG-RC1-DOC-31</x:v>
      </x:c>
      <x:c r="AB20" s="26" t="str">
        <x:v>DEFINED / NOT EXECUTED</x:v>
      </x:c>
    </x:row>
    <x:row r="21" ht="30" customHeight="1">
      <x:c r="A21" s="26" t="str">
        <x:v>H6</x:v>
      </x:c>
      <x:c r="B21" s="26" t="str">
        <x:v>VS-BLD-002</x:v>
      </x:c>
      <x:c r="C21" s="26" t="str">
        <x:v>Construcción</x:v>
      </x:c>
      <x:c r="D21" s="26" t="str">
        <x:v>Criterio contractual VSS</x:v>
      </x:c>
      <x:c r="E21" s="26" t="str">
        <x:v>No se confirma colocación fuera de límites o sobre celdas ocupadas.</x:v>
      </x:c>
      <x:c r="F21" s="26" t="str">
        <x:v>Ejecutar la prueba correspondiente en Editor y/o build según el nivel definido en 02 y registrar resultado reproducible.</x:v>
      </x:c>
      <x:c r="G21" s="26" t="str">
        <x:v>El criterio se cumple sin desviaciones bloqueantes y con resultado trazable.</x:v>
      </x:c>
      <x:c r="H21" s="26" t="str">
        <x:v>Pruebas negativas.</x:v>
      </x:c>
      <x:c r="I21" s="26" t="str">
        <x:v>02_Vertical_Slice_Specification.md §7</x:v>
      </x:c>
      <x:c r="J21" s="26" t="str">
        <x:v>Vertical Slice Specification v0.1–v0.4; QA Plan/Matrix v0.3–v0.6</x:v>
      </x:c>
      <x:c r="K21" s="26" t="str">
        <x:v>H6</x:v>
      </x:c>
      <x:c r="L21" s="26" t="str">
        <x:v>Yes</x:v>
      </x:c>
      <x:c r="M21" s="26" t="str">
        <x:v>P0</x:v>
      </x:c>
      <x:c r="N21" s="26" t="str">
        <x:v>Engineering/Design</x:v>
      </x:c>
      <x:c r="O21" s="26" t="str">
        <x:v>QA/Production</x:v>
      </x:c>
      <x:c r="P21" s="26" t="str">
        <x:v>NOT RUN</x:v>
      </x:c>
      <x:c r="Q21" s="26"/>
      <x:c r="R21" s="26"/>
      <x:c r="S21" s="26"/>
      <x:c r="T21" s="26"/>
      <x:c r="U21" s="26"/>
      <x:c r="V21" s="26"/>
      <x:c r="W21" s="26" t="n">
        <x:v>1</x:v>
      </x:c>
      <x:c r="X21" s="26" t="n">
        <x:v>0</x:v>
      </x:c>
      <x:c r="Y21" s="26" t="n">
        <x:v>1</x:v>
      </x:c>
      <x:c r="Z21" s="26" t="str">
        <x:v>PENDING</x:v>
      </x:c>
      <x:c r="AA21" s="26" t="str">
        <x:v>CHG-RC1-DOC-31</x:v>
      </x:c>
      <x:c r="AB21" s="26" t="str">
        <x:v>DEFINED / NOT EXECUTED</x:v>
      </x:c>
    </x:row>
    <x:row r="22" ht="30" customHeight="1">
      <x:c r="A22" s="26" t="str">
        <x:v>H6</x:v>
      </x:c>
      <x:c r="B22" s="26" t="str">
        <x:v>VS-BLD-003</x:v>
      </x:c>
      <x:c r="C22" s="26" t="str">
        <x:v>Construcción</x:v>
      </x:c>
      <x:c r="D22" s="26" t="str">
        <x:v>Criterio contractual VSS</x:v>
      </x:c>
      <x:c r="E22" s="26" t="str">
        <x:v>No se bloquean entrada, salida o puntos obligatorios.</x:v>
      </x:c>
      <x:c r="F22" s="26" t="str">
        <x:v>Ejecutar la prueba correspondiente en Editor y/o build según el nivel definido en 02 y registrar resultado reproducible.</x:v>
      </x:c>
      <x:c r="G22" s="26" t="str">
        <x:v>El criterio se cumple sin desviaciones bloqueantes y con resultado trazable.</x:v>
      </x:c>
      <x:c r="H22" s="26" t="str">
        <x:v>Prueba de acceso.</x:v>
      </x:c>
      <x:c r="I22" s="26" t="str">
        <x:v>02_Vertical_Slice_Specification.md §7</x:v>
      </x:c>
      <x:c r="J22" s="26" t="str">
        <x:v>Vertical Slice Specification v0.1–v0.4; QA Plan/Matrix v0.3–v0.6</x:v>
      </x:c>
      <x:c r="K22" s="26" t="str">
        <x:v>H6</x:v>
      </x:c>
      <x:c r="L22" s="26" t="str">
        <x:v>Yes</x:v>
      </x:c>
      <x:c r="M22" s="26" t="str">
        <x:v>P0</x:v>
      </x:c>
      <x:c r="N22" s="26" t="str">
        <x:v>Engineering/Design</x:v>
      </x:c>
      <x:c r="O22" s="26" t="str">
        <x:v>QA/Production</x:v>
      </x:c>
      <x:c r="P22" s="26" t="str">
        <x:v>NOT RUN</x:v>
      </x:c>
      <x:c r="Q22" s="26"/>
      <x:c r="R22" s="26"/>
      <x:c r="S22" s="26"/>
      <x:c r="T22" s="26"/>
      <x:c r="U22" s="26"/>
      <x:c r="V22" s="26"/>
      <x:c r="W22" s="26" t="n">
        <x:v>1</x:v>
      </x:c>
      <x:c r="X22" s="26" t="n">
        <x:v>0</x:v>
      </x:c>
      <x:c r="Y22" s="26" t="n">
        <x:v>1</x:v>
      </x:c>
      <x:c r="Z22" s="26" t="str">
        <x:v>PENDING</x:v>
      </x:c>
      <x:c r="AA22" s="26" t="str">
        <x:v>CHG-RC1-DOC-31</x:v>
      </x:c>
      <x:c r="AB22" s="26" t="str">
        <x:v>DEFINED / NOT EXECUTED</x:v>
      </x:c>
    </x:row>
    <x:row r="23" ht="30" customHeight="1">
      <x:c r="A23" s="26" t="str">
        <x:v>H6</x:v>
      </x:c>
      <x:c r="B23" s="26" t="str">
        <x:v>VS-BLD-004</x:v>
      </x:c>
      <x:c r="C23" s="26" t="str">
        <x:v>Construcción</x:v>
      </x:c>
      <x:c r="D23" s="26" t="str">
        <x:v>Criterio contractual VSS</x:v>
      </x:c>
      <x:c r="E23" s="26" t="str">
        <x:v>Fallo de validación no consume dinero ni altera ocupación.</x:v>
      </x:c>
      <x:c r="F23" s="26" t="str">
        <x:v>Ejecutar la prueba correspondiente en Editor y/o build según el nivel definido en 02 y registrar resultado reproducible.</x:v>
      </x:c>
      <x:c r="G23" s="26" t="str">
        <x:v>El criterio se cumple sin desviaciones bloqueantes y con resultado trazable.</x:v>
      </x:c>
      <x:c r="H23" s="26" t="str">
        <x:v>Comparación antes/después.</x:v>
      </x:c>
      <x:c r="I23" s="26" t="str">
        <x:v>02_Vertical_Slice_Specification.md §7</x:v>
      </x:c>
      <x:c r="J23" s="26" t="str">
        <x:v>Vertical Slice Specification v0.1–v0.4; QA Plan/Matrix v0.3–v0.6</x:v>
      </x:c>
      <x:c r="K23" s="26" t="str">
        <x:v>H6</x:v>
      </x:c>
      <x:c r="L23" s="26" t="str">
        <x:v>Yes</x:v>
      </x:c>
      <x:c r="M23" s="26" t="str">
        <x:v>P0</x:v>
      </x:c>
      <x:c r="N23" s="26" t="str">
        <x:v>Engineering/Design</x:v>
      </x:c>
      <x:c r="O23" s="26" t="str">
        <x:v>QA/Production</x:v>
      </x:c>
      <x:c r="P23" s="26" t="str">
        <x:v>NOT RUN</x:v>
      </x:c>
      <x:c r="Q23" s="26"/>
      <x:c r="R23" s="26"/>
      <x:c r="S23" s="26"/>
      <x:c r="T23" s="26"/>
      <x:c r="U23" s="26"/>
      <x:c r="V23" s="26"/>
      <x:c r="W23" s="26" t="n">
        <x:v>1</x:v>
      </x:c>
      <x:c r="X23" s="26" t="n">
        <x:v>0</x:v>
      </x:c>
      <x:c r="Y23" s="26" t="n">
        <x:v>1</x:v>
      </x:c>
      <x:c r="Z23" s="26" t="str">
        <x:v>PENDING</x:v>
      </x:c>
      <x:c r="AA23" s="26" t="str">
        <x:v>CHG-RC1-DOC-31</x:v>
      </x:c>
      <x:c r="AB23" s="26" t="str">
        <x:v>DEFINED / NOT EXECUTED</x:v>
      </x:c>
    </x:row>
    <x:row r="24" ht="30" customHeight="1">
      <x:c r="A24" s="26" t="str">
        <x:v>H6</x:v>
      </x:c>
      <x:c r="B24" s="26" t="str">
        <x:v>VS-BLD-005</x:v>
      </x:c>
      <x:c r="C24" s="26" t="str">
        <x:v>Construcción</x:v>
      </x:c>
      <x:c r="D24" s="26" t="str">
        <x:v>Criterio contractual VSS</x:v>
      </x:c>
      <x:c r="E24" s="26" t="str">
        <x:v>Mover o retirar libera exactamente las celdas ocupadas.</x:v>
      </x:c>
      <x:c r="F24" s="26" t="str">
        <x:v>Ejecutar la prueba correspondiente en Editor y/o build según el nivel definido en 02 y registrar resultado reproducible.</x:v>
      </x:c>
      <x:c r="G24" s="26" t="str">
        <x:v>El criterio se cumple sin desviaciones bloqueantes y con resultado trazable.</x:v>
      </x:c>
      <x:c r="H24" s="26" t="str">
        <x:v>Prueba automatizada/manual.</x:v>
      </x:c>
      <x:c r="I24" s="26" t="str">
        <x:v>02_Vertical_Slice_Specification.md §7</x:v>
      </x:c>
      <x:c r="J24" s="26" t="str">
        <x:v>Vertical Slice Specification v0.1–v0.4; QA Plan/Matrix v0.3–v0.6</x:v>
      </x:c>
      <x:c r="K24" s="26" t="str">
        <x:v>H6</x:v>
      </x:c>
      <x:c r="L24" s="26" t="str">
        <x:v>Yes</x:v>
      </x:c>
      <x:c r="M24" s="26" t="str">
        <x:v>P0</x:v>
      </x:c>
      <x:c r="N24" s="26" t="str">
        <x:v>Engineering/Design</x:v>
      </x:c>
      <x:c r="O24" s="26" t="str">
        <x:v>QA/Production</x:v>
      </x:c>
      <x:c r="P24" s="26" t="str">
        <x:v>NOT RUN</x:v>
      </x:c>
      <x:c r="Q24" s="26"/>
      <x:c r="R24" s="26"/>
      <x:c r="S24" s="26"/>
      <x:c r="T24" s="26"/>
      <x:c r="U24" s="26"/>
      <x:c r="V24" s="26"/>
      <x:c r="W24" s="26" t="n">
        <x:v>1</x:v>
      </x:c>
      <x:c r="X24" s="26" t="n">
        <x:v>0</x:v>
      </x:c>
      <x:c r="Y24" s="26" t="n">
        <x:v>1</x:v>
      </x:c>
      <x:c r="Z24" s="26" t="str">
        <x:v>PENDING</x:v>
      </x:c>
      <x:c r="AA24" s="26" t="str">
        <x:v>CHG-RC1-DOC-31</x:v>
      </x:c>
      <x:c r="AB24" s="26" t="str">
        <x:v>DEFINED / NOT EXECUTED</x:v>
      </x:c>
    </x:row>
    <x:row r="25" ht="30" customHeight="1">
      <x:c r="A25" s="26" t="str">
        <x:v>H6</x:v>
      </x:c>
      <x:c r="B25" s="26" t="str">
        <x:v>VS-BLD-006</x:v>
      </x:c>
      <x:c r="C25" s="26" t="str">
        <x:v>Construcción</x:v>
      </x:c>
      <x:c r="D25" s="26" t="str">
        <x:v>Criterio contractual VSS</x:v>
      </x:c>
      <x:c r="E25" s="26" t="str">
        <x:v>Posición, rotación, tipo e ID persisten tras recarga.</x:v>
      </x:c>
      <x:c r="F25" s="26" t="str">
        <x:v>Ejecutar la prueba correspondiente en Editor y/o build según el nivel definido en 02 y registrar resultado reproducible.</x:v>
      </x:c>
      <x:c r="G25" s="26" t="str">
        <x:v>El criterio se cumple sin desviaciones bloqueantes y con resultado trazable.</x:v>
      </x:c>
      <x:c r="H25" s="26" t="str">
        <x:v>Save/load.</x:v>
      </x:c>
      <x:c r="I25" s="26" t="str">
        <x:v>02_Vertical_Slice_Specification.md §7</x:v>
      </x:c>
      <x:c r="J25" s="26" t="str">
        <x:v>Vertical Slice Specification v0.1–v0.4; QA Plan/Matrix v0.3–v0.6</x:v>
      </x:c>
      <x:c r="K25" s="26" t="str">
        <x:v>H6</x:v>
      </x:c>
      <x:c r="L25" s="26" t="str">
        <x:v>Yes</x:v>
      </x:c>
      <x:c r="M25" s="26" t="str">
        <x:v>P0</x:v>
      </x:c>
      <x:c r="N25" s="26" t="str">
        <x:v>Engineering/Design</x:v>
      </x:c>
      <x:c r="O25" s="26" t="str">
        <x:v>QA/Production</x:v>
      </x:c>
      <x:c r="P25" s="26" t="str">
        <x:v>NOT RUN</x:v>
      </x:c>
      <x:c r="Q25" s="26"/>
      <x:c r="R25" s="26"/>
      <x:c r="S25" s="26"/>
      <x:c r="T25" s="26"/>
      <x:c r="U25" s="26"/>
      <x:c r="V25" s="26"/>
      <x:c r="W25" s="26" t="n">
        <x:v>1</x:v>
      </x:c>
      <x:c r="X25" s="26" t="n">
        <x:v>0</x:v>
      </x:c>
      <x:c r="Y25" s="26" t="n">
        <x:v>1</x:v>
      </x:c>
      <x:c r="Z25" s="26" t="str">
        <x:v>PENDING</x:v>
      </x:c>
      <x:c r="AA25" s="26" t="str">
        <x:v>CHG-RC1-DOC-31</x:v>
      </x:c>
      <x:c r="AB25" s="26" t="str">
        <x:v>DEFINED / NOT EXECUTED</x:v>
      </x:c>
    </x:row>
    <x:row r="26" ht="30" customHeight="1">
      <x:c r="A26" s="26" t="str">
        <x:v>H6</x:v>
      </x:c>
      <x:c r="B26" s="26" t="str">
        <x:v>VS-INV-001</x:v>
      </x:c>
      <x:c r="C26" s="26" t="str">
        <x:v>Inventario</x:v>
      </x:c>
      <x:c r="D26" s="26" t="str">
        <x:v>Criterio contractual VSS</x:v>
      </x:c>
      <x:c r="E26" s="26" t="str">
        <x:v>La suma de ubicaciones coincide con el stock registrado.</x:v>
      </x:c>
      <x:c r="F26" s="26" t="str">
        <x:v>Ejecutar la prueba correspondiente en Editor y/o build según el nivel definido en 02 y registrar resultado reproducible.</x:v>
      </x:c>
      <x:c r="G26" s="26" t="str">
        <x:v>El criterio se cumple sin desviaciones bloqueantes y con resultado trazable.</x:v>
      </x:c>
      <x:c r="H26" s="26" t="str">
        <x:v>Test de invariante.</x:v>
      </x:c>
      <x:c r="I26" s="26" t="str">
        <x:v>02_Vertical_Slice_Specification.md §7</x:v>
      </x:c>
      <x:c r="J26" s="26" t="str">
        <x:v>Vertical Slice Specification v0.1–v0.4; QA Plan/Matrix v0.3–v0.6</x:v>
      </x:c>
      <x:c r="K26" s="26" t="str">
        <x:v>H6</x:v>
      </x:c>
      <x:c r="L26" s="26" t="str">
        <x:v>Yes</x:v>
      </x:c>
      <x:c r="M26" s="26" t="str">
        <x:v>P0</x:v>
      </x:c>
      <x:c r="N26" s="26" t="str">
        <x:v>Engineering/Design</x:v>
      </x:c>
      <x:c r="O26" s="26" t="str">
        <x:v>QA/Production</x:v>
      </x:c>
      <x:c r="P26" s="26" t="str">
        <x:v>NOT RUN</x:v>
      </x:c>
      <x:c r="Q26" s="26"/>
      <x:c r="R26" s="26"/>
      <x:c r="S26" s="26"/>
      <x:c r="T26" s="26"/>
      <x:c r="U26" s="26"/>
      <x:c r="V26" s="26"/>
      <x:c r="W26" s="26" t="n">
        <x:v>1</x:v>
      </x:c>
      <x:c r="X26" s="26" t="n">
        <x:v>0</x:v>
      </x:c>
      <x:c r="Y26" s="26" t="n">
        <x:v>1</x:v>
      </x:c>
      <x:c r="Z26" s="26" t="str">
        <x:v>PENDING</x:v>
      </x:c>
      <x:c r="AA26" s="26" t="str">
        <x:v>CHG-RC1-DOC-31</x:v>
      </x:c>
      <x:c r="AB26" s="26" t="str">
        <x:v>DEFINED / NOT EXECUTED</x:v>
      </x:c>
    </x:row>
    <x:row r="27" ht="30" customHeight="1">
      <x:c r="A27" s="26" t="str">
        <x:v>H6</x:v>
      </x:c>
      <x:c r="B27" s="26" t="str">
        <x:v>VS-INV-002</x:v>
      </x:c>
      <x:c r="C27" s="26" t="str">
        <x:v>Inventario</x:v>
      </x:c>
      <x:c r="D27" s="26" t="str">
        <x:v>Criterio contractual VSS</x:v>
      </x:c>
      <x:c r="E27" s="26" t="str">
        <x:v>Una unidad solo ocupa una ubicación lógica.</x:v>
      </x:c>
      <x:c r="F27" s="26" t="str">
        <x:v>Ejecutar la prueba correspondiente en Editor y/o build según el nivel definido en 02 y registrar resultado reproducible.</x:v>
      </x:c>
      <x:c r="G27" s="26" t="str">
        <x:v>El criterio se cumple sin desviaciones bloqueantes y con resultado trazable.</x:v>
      </x:c>
      <x:c r="H27" s="26" t="str">
        <x:v>Test automatizado.</x:v>
      </x:c>
      <x:c r="I27" s="26" t="str">
        <x:v>02_Vertical_Slice_Specification.md §7</x:v>
      </x:c>
      <x:c r="J27" s="26" t="str">
        <x:v>Vertical Slice Specification v0.1–v0.4; QA Plan/Matrix v0.3–v0.6</x:v>
      </x:c>
      <x:c r="K27" s="26" t="str">
        <x:v>H6</x:v>
      </x:c>
      <x:c r="L27" s="26" t="str">
        <x:v>Yes</x:v>
      </x:c>
      <x:c r="M27" s="26" t="str">
        <x:v>P0</x:v>
      </x:c>
      <x:c r="N27" s="26" t="str">
        <x:v>Engineering/Design</x:v>
      </x:c>
      <x:c r="O27" s="26" t="str">
        <x:v>QA/Production</x:v>
      </x:c>
      <x:c r="P27" s="26" t="str">
        <x:v>NOT RUN</x:v>
      </x:c>
      <x:c r="Q27" s="26"/>
      <x:c r="R27" s="26"/>
      <x:c r="S27" s="26"/>
      <x:c r="T27" s="26"/>
      <x:c r="U27" s="26"/>
      <x:c r="V27" s="26"/>
      <x:c r="W27" s="26" t="n">
        <x:v>1</x:v>
      </x:c>
      <x:c r="X27" s="26" t="n">
        <x:v>0</x:v>
      </x:c>
      <x:c r="Y27" s="26" t="n">
        <x:v>1</x:v>
      </x:c>
      <x:c r="Z27" s="26" t="str">
        <x:v>PENDING</x:v>
      </x:c>
      <x:c r="AA27" s="26" t="str">
        <x:v>CHG-RC1-DOC-31</x:v>
      </x:c>
      <x:c r="AB27" s="26" t="str">
        <x:v>DEFINED / NOT EXECUTED</x:v>
      </x:c>
    </x:row>
    <x:row r="28" ht="30" customHeight="1">
      <x:c r="A28" s="26" t="str">
        <x:v>H6</x:v>
      </x:c>
      <x:c r="B28" s="26" t="str">
        <x:v>VS-INV-003</x:v>
      </x:c>
      <x:c r="C28" s="26" t="str">
        <x:v>Inventario</x:v>
      </x:c>
      <x:c r="D28" s="26" t="str">
        <x:v>Criterio contractual VSS</x:v>
      </x:c>
      <x:c r="E28" s="26" t="str">
        <x:v>Transferencia inválida no modifica origen ni destino.</x:v>
      </x:c>
      <x:c r="F28" s="26" t="str">
        <x:v>Ejecutar la prueba correspondiente en Editor y/o build según el nivel definido en 02 y registrar resultado reproducible.</x:v>
      </x:c>
      <x:c r="G28" s="26" t="str">
        <x:v>El criterio se cumple sin desviaciones bloqueantes y con resultado trazable.</x:v>
      </x:c>
      <x:c r="H28" s="26" t="str">
        <x:v>Prueba negativa.</x:v>
      </x:c>
      <x:c r="I28" s="26" t="str">
        <x:v>02_Vertical_Slice_Specification.md §7</x:v>
      </x:c>
      <x:c r="J28" s="26" t="str">
        <x:v>Vertical Slice Specification v0.1–v0.4; QA Plan/Matrix v0.3–v0.6</x:v>
      </x:c>
      <x:c r="K28" s="26" t="str">
        <x:v>H6</x:v>
      </x:c>
      <x:c r="L28" s="26" t="str">
        <x:v>Yes</x:v>
      </x:c>
      <x:c r="M28" s="26" t="str">
        <x:v>P0</x:v>
      </x:c>
      <x:c r="N28" s="26" t="str">
        <x:v>Engineering/Design</x:v>
      </x:c>
      <x:c r="O28" s="26" t="str">
        <x:v>QA/Production</x:v>
      </x:c>
      <x:c r="P28" s="26" t="str">
        <x:v>NOT RUN</x:v>
      </x:c>
      <x:c r="Q28" s="26"/>
      <x:c r="R28" s="26"/>
      <x:c r="S28" s="26"/>
      <x:c r="T28" s="26"/>
      <x:c r="U28" s="26"/>
      <x:c r="V28" s="26"/>
      <x:c r="W28" s="26" t="n">
        <x:v>1</x:v>
      </x:c>
      <x:c r="X28" s="26" t="n">
        <x:v>0</x:v>
      </x:c>
      <x:c r="Y28" s="26" t="n">
        <x:v>1</x:v>
      </x:c>
      <x:c r="Z28" s="26" t="str">
        <x:v>PENDING</x:v>
      </x:c>
      <x:c r="AA28" s="26" t="str">
        <x:v>CHG-RC1-DOC-31</x:v>
      </x:c>
      <x:c r="AB28" s="26" t="str">
        <x:v>DEFINED / NOT EXECUTED</x:v>
      </x:c>
    </x:row>
    <x:row r="29" ht="30" customHeight="1">
      <x:c r="A29" s="26" t="str">
        <x:v>H6</x:v>
      </x:c>
      <x:c r="B29" s="26" t="str">
        <x:v>VS-INV-004</x:v>
      </x:c>
      <x:c r="C29" s="26" t="str">
        <x:v>Inventario</x:v>
      </x:c>
      <x:c r="D29" s="26" t="str">
        <x:v>Criterio contractual VSS</x:v>
      </x:c>
      <x:c r="E29" s="26" t="str">
        <x:v>Transferencia válida conserva cantidad total.</x:v>
      </x:c>
      <x:c r="F29" s="26" t="str">
        <x:v>Ejecutar la prueba correspondiente en Editor y/o build según el nivel definido en 02 y registrar resultado reproducible.</x:v>
      </x:c>
      <x:c r="G29" s="26" t="str">
        <x:v>El criterio se cumple sin desviaciones bloqueantes y con resultado trazable.</x:v>
      </x:c>
      <x:c r="H29" s="26" t="str">
        <x:v>Prueba automatizada.</x:v>
      </x:c>
      <x:c r="I29" s="26" t="str">
        <x:v>02_Vertical_Slice_Specification.md §7</x:v>
      </x:c>
      <x:c r="J29" s="26" t="str">
        <x:v>Vertical Slice Specification v0.1–v0.4; QA Plan/Matrix v0.3–v0.6</x:v>
      </x:c>
      <x:c r="K29" s="26" t="str">
        <x:v>H6</x:v>
      </x:c>
      <x:c r="L29" s="26" t="str">
        <x:v>Yes</x:v>
      </x:c>
      <x:c r="M29" s="26" t="str">
        <x:v>P0</x:v>
      </x:c>
      <x:c r="N29" s="26" t="str">
        <x:v>Engineering/Design</x:v>
      </x:c>
      <x:c r="O29" s="26" t="str">
        <x:v>QA/Production</x:v>
      </x:c>
      <x:c r="P29" s="26" t="str">
        <x:v>NOT RUN</x:v>
      </x:c>
      <x:c r="Q29" s="26"/>
      <x:c r="R29" s="26"/>
      <x:c r="S29" s="26"/>
      <x:c r="T29" s="26"/>
      <x:c r="U29" s="26"/>
      <x:c r="V29" s="26"/>
      <x:c r="W29" s="26" t="n">
        <x:v>1</x:v>
      </x:c>
      <x:c r="X29" s="26" t="n">
        <x:v>0</x:v>
      </x:c>
      <x:c r="Y29" s="26" t="n">
        <x:v>1</x:v>
      </x:c>
      <x:c r="Z29" s="26" t="str">
        <x:v>PENDING</x:v>
      </x:c>
      <x:c r="AA29" s="26" t="str">
        <x:v>CHG-RC1-DOC-31</x:v>
      </x:c>
      <x:c r="AB29" s="26" t="str">
        <x:v>DEFINED / NOT EXECUTED</x:v>
      </x:c>
    </x:row>
    <x:row r="30" ht="30" customHeight="1">
      <x:c r="A30" s="26" t="str">
        <x:v>H6</x:v>
      </x:c>
      <x:c r="B30" s="26" t="str">
        <x:v>VS-INV-005</x:v>
      </x:c>
      <x:c r="C30" s="26" t="str">
        <x:v>Inventario</x:v>
      </x:c>
      <x:c r="D30" s="26" t="str">
        <x:v>Criterio contractual VSS</x:v>
      </x:c>
      <x:c r="E30" s="26" t="str">
        <x:v>No existen pérdidas o duplicaciones tras siete días.</x:v>
      </x:c>
      <x:c r="F30" s="26" t="str">
        <x:v>Ejecutar la prueba correspondiente en Editor y/o build según el nivel definido en 02 y registrar resultado reproducible.</x:v>
      </x:c>
      <x:c r="G30" s="26" t="str">
        <x:v>El criterio se cumple sin desviaciones bloqueantes y con resultado trazable.</x:v>
      </x:c>
      <x:c r="H30" s="26" t="str">
        <x:v>Auditoría de partida.</x:v>
      </x:c>
      <x:c r="I30" s="26" t="str">
        <x:v>02_Vertical_Slice_Specification.md §7</x:v>
      </x:c>
      <x:c r="J30" s="26" t="str">
        <x:v>Vertical Slice Specification v0.1–v0.4; QA Plan/Matrix v0.3–v0.6</x:v>
      </x:c>
      <x:c r="K30" s="26" t="str">
        <x:v>H6</x:v>
      </x:c>
      <x:c r="L30" s="26" t="str">
        <x:v>Yes</x:v>
      </x:c>
      <x:c r="M30" s="26" t="str">
        <x:v>P0</x:v>
      </x:c>
      <x:c r="N30" s="26" t="str">
        <x:v>Engineering/Design</x:v>
      </x:c>
      <x:c r="O30" s="26" t="str">
        <x:v>QA/Production</x:v>
      </x:c>
      <x:c r="P30" s="26" t="str">
        <x:v>NOT RUN</x:v>
      </x:c>
      <x:c r="Q30" s="26"/>
      <x:c r="R30" s="26"/>
      <x:c r="S30" s="26"/>
      <x:c r="T30" s="26"/>
      <x:c r="U30" s="26"/>
      <x:c r="V30" s="26"/>
      <x:c r="W30" s="26" t="n">
        <x:v>1</x:v>
      </x:c>
      <x:c r="X30" s="26" t="n">
        <x:v>0</x:v>
      </x:c>
      <x:c r="Y30" s="26" t="n">
        <x:v>1</x:v>
      </x:c>
      <x:c r="Z30" s="26" t="str">
        <x:v>PENDING</x:v>
      </x:c>
      <x:c r="AA30" s="26" t="str">
        <x:v>CHG-RC1-DOC-31</x:v>
      </x:c>
      <x:c r="AB30" s="26" t="str">
        <x:v>DEFINED / NOT EXECUTED</x:v>
      </x:c>
    </x:row>
    <x:row r="31" ht="30" customHeight="1">
      <x:c r="A31" s="26" t="str">
        <x:v>H6</x:v>
      </x:c>
      <x:c r="B31" s="26" t="str">
        <x:v>VS-ORD-001</x:v>
      </x:c>
      <x:c r="C31" s="26" t="str">
        <x:v>Pedidos</x:v>
      </x:c>
      <x:c r="D31" s="26" t="str">
        <x:v>Criterio contractual VSS</x:v>
      </x:c>
      <x:c r="E31" s="26" t="str">
        <x:v>Pedido inválido se rechaza sin coste.</x:v>
      </x:c>
      <x:c r="F31" s="26" t="str">
        <x:v>Ejecutar la prueba correspondiente en Editor y/o build según el nivel definido en 02 y registrar resultado reproducible.</x:v>
      </x:c>
      <x:c r="G31" s="26" t="str">
        <x:v>El criterio se cumple sin desviaciones bloqueantes y con resultado trazable.</x:v>
      </x:c>
      <x:c r="H31" s="26" t="str">
        <x:v>Prueba negativa.</x:v>
      </x:c>
      <x:c r="I31" s="26" t="str">
        <x:v>02_Vertical_Slice_Specification.md §7</x:v>
      </x:c>
      <x:c r="J31" s="26" t="str">
        <x:v>Vertical Slice Specification v0.1–v0.4; QA Plan/Matrix v0.3–v0.6</x:v>
      </x:c>
      <x:c r="K31" s="26" t="str">
        <x:v>H6</x:v>
      </x:c>
      <x:c r="L31" s="26" t="str">
        <x:v>Yes</x:v>
      </x:c>
      <x:c r="M31" s="26" t="str">
        <x:v>P0</x:v>
      </x:c>
      <x:c r="N31" s="26" t="str">
        <x:v>Engineering/Design</x:v>
      </x:c>
      <x:c r="O31" s="26" t="str">
        <x:v>QA/Production</x:v>
      </x:c>
      <x:c r="P31" s="26" t="str">
        <x:v>NOT RUN</x:v>
      </x:c>
      <x:c r="Q31" s="26"/>
      <x:c r="R31" s="26"/>
      <x:c r="S31" s="26"/>
      <x:c r="T31" s="26"/>
      <x:c r="U31" s="26"/>
      <x:c r="V31" s="26"/>
      <x:c r="W31" s="26" t="n">
        <x:v>1</x:v>
      </x:c>
      <x:c r="X31" s="26" t="n">
        <x:v>0</x:v>
      </x:c>
      <x:c r="Y31" s="26" t="n">
        <x:v>1</x:v>
      </x:c>
      <x:c r="Z31" s="26" t="str">
        <x:v>PENDING</x:v>
      </x:c>
      <x:c r="AA31" s="26" t="str">
        <x:v>CHG-RC1-DOC-31</x:v>
      </x:c>
      <x:c r="AB31" s="26" t="str">
        <x:v>DEFINED / NOT EXECUTED</x:v>
      </x:c>
    </x:row>
    <x:row r="32" ht="30" customHeight="1">
      <x:c r="A32" s="26" t="str">
        <x:v>H6</x:v>
      </x:c>
      <x:c r="B32" s="26" t="str">
        <x:v>VS-ORD-002</x:v>
      </x:c>
      <x:c r="C32" s="26" t="str">
        <x:v>Pedidos</x:v>
      </x:c>
      <x:c r="D32" s="26" t="str">
        <x:v>Criterio contractual VSS</x:v>
      </x:c>
      <x:c r="E32" s="26" t="str">
        <x:v>Pedido válido registra proveedor, producto, cantidad, coste e ID.</x:v>
      </x:c>
      <x:c r="F32" s="26" t="str">
        <x:v>Ejecutar la prueba correspondiente en Editor y/o build según el nivel definido en 02 y registrar resultado reproducible.</x:v>
      </x:c>
      <x:c r="G32" s="26" t="str">
        <x:v>El criterio se cumple sin desviaciones bloqueantes y con resultado trazable.</x:v>
      </x:c>
      <x:c r="H32" s="26" t="str">
        <x:v>Inspección funcional.</x:v>
      </x:c>
      <x:c r="I32" s="26" t="str">
        <x:v>02_Vertical_Slice_Specification.md §7</x:v>
      </x:c>
      <x:c r="J32" s="26" t="str">
        <x:v>Vertical Slice Specification v0.1–v0.4; QA Plan/Matrix v0.3–v0.6</x:v>
      </x:c>
      <x:c r="K32" s="26" t="str">
        <x:v>H6</x:v>
      </x:c>
      <x:c r="L32" s="26" t="str">
        <x:v>Yes</x:v>
      </x:c>
      <x:c r="M32" s="26" t="str">
        <x:v>P0</x:v>
      </x:c>
      <x:c r="N32" s="26" t="str">
        <x:v>Engineering/Design</x:v>
      </x:c>
      <x:c r="O32" s="26" t="str">
        <x:v>QA/Production</x:v>
      </x:c>
      <x:c r="P32" s="26" t="str">
        <x:v>NOT RUN</x:v>
      </x:c>
      <x:c r="Q32" s="26"/>
      <x:c r="R32" s="26"/>
      <x:c r="S32" s="26"/>
      <x:c r="T32" s="26"/>
      <x:c r="U32" s="26"/>
      <x:c r="V32" s="26"/>
      <x:c r="W32" s="26" t="n">
        <x:v>1</x:v>
      </x:c>
      <x:c r="X32" s="26" t="n">
        <x:v>0</x:v>
      </x:c>
      <x:c r="Y32" s="26" t="n">
        <x:v>1</x:v>
      </x:c>
      <x:c r="Z32" s="26" t="str">
        <x:v>PENDING</x:v>
      </x:c>
      <x:c r="AA32" s="26" t="str">
        <x:v>CHG-RC1-DOC-31</x:v>
      </x:c>
      <x:c r="AB32" s="26" t="str">
        <x:v>DEFINED / NOT EXECUTED</x:v>
      </x:c>
    </x:row>
    <x:row r="33" ht="30" customHeight="1">
      <x:c r="A33" s="26" t="str">
        <x:v>H6</x:v>
      </x:c>
      <x:c r="B33" s="26" t="str">
        <x:v>VS-ORD-003</x:v>
      </x:c>
      <x:c r="C33" s="26" t="str">
        <x:v>Pedidos</x:v>
      </x:c>
      <x:c r="D33" s="26" t="str">
        <x:v>Criterio contractual VSS</x:v>
      </x:c>
      <x:c r="E33" s="26" t="str">
        <x:v>Cada pedido se entrega una sola vez.</x:v>
      </x:c>
      <x:c r="F33" s="26" t="str">
        <x:v>Ejecutar la prueba correspondiente en Editor y/o build según el nivel definido en 02 y registrar resultado reproducible.</x:v>
      </x:c>
      <x:c r="G33" s="26" t="str">
        <x:v>El criterio se cumple sin desviaciones bloqueantes y con resultado trazable.</x:v>
      </x:c>
      <x:c r="H33" s="26" t="str">
        <x:v>Prueba de recarga/evento.</x:v>
      </x:c>
      <x:c r="I33" s="26" t="str">
        <x:v>02_Vertical_Slice_Specification.md §7</x:v>
      </x:c>
      <x:c r="J33" s="26" t="str">
        <x:v>Vertical Slice Specification v0.1–v0.4; QA Plan/Matrix v0.3–v0.6</x:v>
      </x:c>
      <x:c r="K33" s="26" t="str">
        <x:v>H6</x:v>
      </x:c>
      <x:c r="L33" s="26" t="str">
        <x:v>Yes</x:v>
      </x:c>
      <x:c r="M33" s="26" t="str">
        <x:v>P0</x:v>
      </x:c>
      <x:c r="N33" s="26" t="str">
        <x:v>Engineering/Design</x:v>
      </x:c>
      <x:c r="O33" s="26" t="str">
        <x:v>QA/Production</x:v>
      </x:c>
      <x:c r="P33" s="26" t="str">
        <x:v>NOT RUN</x:v>
      </x:c>
      <x:c r="Q33" s="26"/>
      <x:c r="R33" s="26"/>
      <x:c r="S33" s="26"/>
      <x:c r="T33" s="26"/>
      <x:c r="U33" s="26"/>
      <x:c r="V33" s="26"/>
      <x:c r="W33" s="26" t="n">
        <x:v>1</x:v>
      </x:c>
      <x:c r="X33" s="26" t="n">
        <x:v>0</x:v>
      </x:c>
      <x:c r="Y33" s="26" t="n">
        <x:v>1</x:v>
      </x:c>
      <x:c r="Z33" s="26" t="str">
        <x:v>PENDING</x:v>
      </x:c>
      <x:c r="AA33" s="26" t="str">
        <x:v>CHG-RC1-DOC-31</x:v>
      </x:c>
      <x:c r="AB33" s="26" t="str">
        <x:v>DEFINED / NOT EXECUTED</x:v>
      </x:c>
    </x:row>
    <x:row r="34" ht="30" customHeight="1">
      <x:c r="A34" s="26" t="str">
        <x:v>H6</x:v>
      </x:c>
      <x:c r="B34" s="26" t="str">
        <x:v>VS-ORD-004</x:v>
      </x:c>
      <x:c r="C34" s="26" t="str">
        <x:v>Pedidos</x:v>
      </x:c>
      <x:c r="D34" s="26" t="str">
        <x:v>Criterio contractual VSS</x:v>
      </x:c>
      <x:c r="E34" s="26" t="str">
        <x:v>La entrega contiene exactamente las cantidades confirmadas.</x:v>
      </x:c>
      <x:c r="F34" s="26" t="str">
        <x:v>Ejecutar la prueba correspondiente en Editor y/o build según el nivel definido en 02 y registrar resultado reproducible.</x:v>
      </x:c>
      <x:c r="G34" s="26" t="str">
        <x:v>El criterio se cumple sin desviaciones bloqueantes y con resultado trazable.</x:v>
      </x:c>
      <x:c r="H34" s="26" t="str">
        <x:v>Conteo y log.</x:v>
      </x:c>
      <x:c r="I34" s="26" t="str">
        <x:v>02_Vertical_Slice_Specification.md §7</x:v>
      </x:c>
      <x:c r="J34" s="26" t="str">
        <x:v>Vertical Slice Specification v0.1–v0.4; QA Plan/Matrix v0.3–v0.6</x:v>
      </x:c>
      <x:c r="K34" s="26" t="str">
        <x:v>H6</x:v>
      </x:c>
      <x:c r="L34" s="26" t="str">
        <x:v>Yes</x:v>
      </x:c>
      <x:c r="M34" s="26" t="str">
        <x:v>P0</x:v>
      </x:c>
      <x:c r="N34" s="26" t="str">
        <x:v>Engineering/Design</x:v>
      </x:c>
      <x:c r="O34" s="26" t="str">
        <x:v>QA/Production</x:v>
      </x:c>
      <x:c r="P34" s="26" t="str">
        <x:v>NOT RUN</x:v>
      </x:c>
      <x:c r="Q34" s="26"/>
      <x:c r="R34" s="26"/>
      <x:c r="S34" s="26"/>
      <x:c r="T34" s="26"/>
      <x:c r="U34" s="26"/>
      <x:c r="V34" s="26"/>
      <x:c r="W34" s="26" t="n">
        <x:v>1</x:v>
      </x:c>
      <x:c r="X34" s="26" t="n">
        <x:v>0</x:v>
      </x:c>
      <x:c r="Y34" s="26" t="n">
        <x:v>1</x:v>
      </x:c>
      <x:c r="Z34" s="26" t="str">
        <x:v>PENDING</x:v>
      </x:c>
      <x:c r="AA34" s="26" t="str">
        <x:v>CHG-RC1-DOC-31</x:v>
      </x:c>
      <x:c r="AB34" s="26" t="str">
        <x:v>DEFINED / NOT EXECUTED</x:v>
      </x:c>
    </x:row>
    <x:row r="35" ht="30" customHeight="1">
      <x:c r="A35" s="26" t="str">
        <x:v>H6</x:v>
      </x:c>
      <x:c r="B35" s="26" t="str">
        <x:v>VS-ORD-005</x:v>
      </x:c>
      <x:c r="C35" s="26" t="str">
        <x:v>Pedidos</x:v>
      </x:c>
      <x:c r="D35" s="26" t="str">
        <x:v>Criterio contractual VSS</x:v>
      </x:c>
      <x:c r="E35" s="26" t="str">
        <x:v>Pedido pendiente persiste y reanuda correctamente.</x:v>
      </x:c>
      <x:c r="F35" s="26" t="str">
        <x:v>Ejecutar la prueba correspondiente en Editor y/o build según el nivel definido en 02 y registrar resultado reproducible.</x:v>
      </x:c>
      <x:c r="G35" s="26" t="str">
        <x:v>El criterio se cumple sin desviaciones bloqueantes y con resultado trazable.</x:v>
      </x:c>
      <x:c r="H35" s="26" t="str">
        <x:v>Save/load.</x:v>
      </x:c>
      <x:c r="I35" s="26" t="str">
        <x:v>02_Vertical_Slice_Specification.md §7</x:v>
      </x:c>
      <x:c r="J35" s="26" t="str">
        <x:v>Vertical Slice Specification v0.1–v0.4; QA Plan/Matrix v0.3–v0.6</x:v>
      </x:c>
      <x:c r="K35" s="26" t="str">
        <x:v>H6</x:v>
      </x:c>
      <x:c r="L35" s="26" t="str">
        <x:v>Yes</x:v>
      </x:c>
      <x:c r="M35" s="26" t="str">
        <x:v>P0</x:v>
      </x:c>
      <x:c r="N35" s="26" t="str">
        <x:v>Engineering/Design</x:v>
      </x:c>
      <x:c r="O35" s="26" t="str">
        <x:v>QA/Production</x:v>
      </x:c>
      <x:c r="P35" s="26" t="str">
        <x:v>NOT RUN</x:v>
      </x:c>
      <x:c r="Q35" s="26"/>
      <x:c r="R35" s="26"/>
      <x:c r="S35" s="26"/>
      <x:c r="T35" s="26"/>
      <x:c r="U35" s="26"/>
      <x:c r="V35" s="26"/>
      <x:c r="W35" s="26" t="n">
        <x:v>1</x:v>
      </x:c>
      <x:c r="X35" s="26" t="n">
        <x:v>0</x:v>
      </x:c>
      <x:c r="Y35" s="26" t="n">
        <x:v>1</x:v>
      </x:c>
      <x:c r="Z35" s="26" t="str">
        <x:v>PENDING</x:v>
      </x:c>
      <x:c r="AA35" s="26" t="str">
        <x:v>CHG-RC1-DOC-31</x:v>
      </x:c>
      <x:c r="AB35" s="26" t="str">
        <x:v>DEFINED / NOT EXECUTED</x:v>
      </x:c>
    </x:row>
    <x:row r="36" ht="30" customHeight="1">
      <x:c r="A36" s="26" t="str">
        <x:v>H6</x:v>
      </x:c>
      <x:c r="B36" s="26" t="str">
        <x:v>VS-DSP-001</x:v>
      </x:c>
      <x:c r="C36" s="26" t="str">
        <x:v>Displays</x:v>
      </x:c>
      <x:c r="D36" s="26" t="str">
        <x:v>Criterio contractual VSS</x:v>
      </x:c>
      <x:c r="E36" s="26" t="str">
        <x:v>Asignación incompatible se rechaza con feedback.</x:v>
      </x:c>
      <x:c r="F36" s="26" t="str">
        <x:v>Ejecutar la prueba correspondiente en Editor y/o build según el nivel definido en 02 y registrar resultado reproducible.</x:v>
      </x:c>
      <x:c r="G36" s="26" t="str">
        <x:v>El criterio se cumple sin desviaciones bloqueantes y con resultado trazable.</x:v>
      </x:c>
      <x:c r="H36" s="26" t="str">
        <x:v>Prueba negativa.</x:v>
      </x:c>
      <x:c r="I36" s="26" t="str">
        <x:v>02_Vertical_Slice_Specification.md §7</x:v>
      </x:c>
      <x:c r="J36" s="26" t="str">
        <x:v>Vertical Slice Specification v0.1–v0.4; QA Plan/Matrix v0.3–v0.6</x:v>
      </x:c>
      <x:c r="K36" s="26" t="str">
        <x:v>H6</x:v>
      </x:c>
      <x:c r="L36" s="26" t="str">
        <x:v>Yes</x:v>
      </x:c>
      <x:c r="M36" s="26" t="str">
        <x:v>P0</x:v>
      </x:c>
      <x:c r="N36" s="26" t="str">
        <x:v>Engineering/Design</x:v>
      </x:c>
      <x:c r="O36" s="26" t="str">
        <x:v>QA/Production</x:v>
      </x:c>
      <x:c r="P36" s="26" t="str">
        <x:v>NOT RUN</x:v>
      </x:c>
      <x:c r="Q36" s="26"/>
      <x:c r="R36" s="26"/>
      <x:c r="S36" s="26"/>
      <x:c r="T36" s="26"/>
      <x:c r="U36" s="26"/>
      <x:c r="V36" s="26"/>
      <x:c r="W36" s="26" t="n">
        <x:v>1</x:v>
      </x:c>
      <x:c r="X36" s="26" t="n">
        <x:v>0</x:v>
      </x:c>
      <x:c r="Y36" s="26" t="n">
        <x:v>1</x:v>
      </x:c>
      <x:c r="Z36" s="26" t="str">
        <x:v>PENDING</x:v>
      </x:c>
      <x:c r="AA36" s="26" t="str">
        <x:v>CHG-RC1-DOC-31</x:v>
      </x:c>
      <x:c r="AB36" s="26" t="str">
        <x:v>DEFINED / NOT EXECUTED</x:v>
      </x:c>
    </x:row>
    <x:row r="37" ht="30" customHeight="1">
      <x:c r="A37" s="26" t="str">
        <x:v>H6</x:v>
      </x:c>
      <x:c r="B37" s="26" t="str">
        <x:v>VS-DSP-002</x:v>
      </x:c>
      <x:c r="C37" s="26" t="str">
        <x:v>Displays</x:v>
      </x:c>
      <x:c r="D37" s="26" t="str">
        <x:v>Criterio contractual VSS</x:v>
      </x:c>
      <x:c r="E37" s="26" t="str">
        <x:v>Capacidad impide sobrellenado.</x:v>
      </x:c>
      <x:c r="F37" s="26" t="str">
        <x:v>Ejecutar la prueba correspondiente en Editor y/o build según el nivel definido en 02 y registrar resultado reproducible.</x:v>
      </x:c>
      <x:c r="G37" s="26" t="str">
        <x:v>El criterio se cumple sin desviaciones bloqueantes y con resultado trazable.</x:v>
      </x:c>
      <x:c r="H37" s="26" t="str">
        <x:v>Prueba límite.</x:v>
      </x:c>
      <x:c r="I37" s="26" t="str">
        <x:v>02_Vertical_Slice_Specification.md §7</x:v>
      </x:c>
      <x:c r="J37" s="26" t="str">
        <x:v>Vertical Slice Specification v0.1–v0.4; QA Plan/Matrix v0.3–v0.6</x:v>
      </x:c>
      <x:c r="K37" s="26" t="str">
        <x:v>H6</x:v>
      </x:c>
      <x:c r="L37" s="26" t="str">
        <x:v>Yes</x:v>
      </x:c>
      <x:c r="M37" s="26" t="str">
        <x:v>P0</x:v>
      </x:c>
      <x:c r="N37" s="26" t="str">
        <x:v>Engineering/Design</x:v>
      </x:c>
      <x:c r="O37" s="26" t="str">
        <x:v>QA/Production</x:v>
      </x:c>
      <x:c r="P37" s="26" t="str">
        <x:v>NOT RUN</x:v>
      </x:c>
      <x:c r="Q37" s="26"/>
      <x:c r="R37" s="26"/>
      <x:c r="S37" s="26"/>
      <x:c r="T37" s="26"/>
      <x:c r="U37" s="26"/>
      <x:c r="V37" s="26"/>
      <x:c r="W37" s="26" t="n">
        <x:v>1</x:v>
      </x:c>
      <x:c r="X37" s="26" t="n">
        <x:v>0</x:v>
      </x:c>
      <x:c r="Y37" s="26" t="n">
        <x:v>1</x:v>
      </x:c>
      <x:c r="Z37" s="26" t="str">
        <x:v>PENDING</x:v>
      </x:c>
      <x:c r="AA37" s="26" t="str">
        <x:v>CHG-RC1-DOC-31</x:v>
      </x:c>
      <x:c r="AB37" s="26" t="str">
        <x:v>DEFINED / NOT EXECUTED</x:v>
      </x:c>
    </x:row>
    <x:row r="38" ht="30" customHeight="1">
      <x:c r="A38" s="26" t="str">
        <x:v>H6</x:v>
      </x:c>
      <x:c r="B38" s="26" t="str">
        <x:v>VS-DSP-003</x:v>
      </x:c>
      <x:c r="C38" s="26" t="str">
        <x:v>Displays</x:v>
      </x:c>
      <x:c r="D38" s="26" t="str">
        <x:v>Criterio contractual VSS</x:v>
      </x:c>
      <x:c r="E38" s="26" t="str">
        <x:v>Reposición consume origen y aumenta destino de forma atómica.</x:v>
      </x:c>
      <x:c r="F38" s="26" t="str">
        <x:v>Ejecutar la prueba correspondiente en Editor y/o build según el nivel definido en 02 y registrar resultado reproducible.</x:v>
      </x:c>
      <x:c r="G38" s="26" t="str">
        <x:v>El criterio se cumple sin desviaciones bloqueantes y con resultado trazable.</x:v>
      </x:c>
      <x:c r="H38" s="26" t="str">
        <x:v>Comparación de inventario.</x:v>
      </x:c>
      <x:c r="I38" s="26" t="str">
        <x:v>02_Vertical_Slice_Specification.md §7</x:v>
      </x:c>
      <x:c r="J38" s="26" t="str">
        <x:v>Vertical Slice Specification v0.1–v0.4; QA Plan/Matrix v0.3–v0.6</x:v>
      </x:c>
      <x:c r="K38" s="26" t="str">
        <x:v>H6</x:v>
      </x:c>
      <x:c r="L38" s="26" t="str">
        <x:v>Yes</x:v>
      </x:c>
      <x:c r="M38" s="26" t="str">
        <x:v>P0</x:v>
      </x:c>
      <x:c r="N38" s="26" t="str">
        <x:v>Engineering/Design</x:v>
      </x:c>
      <x:c r="O38" s="26" t="str">
        <x:v>QA/Production</x:v>
      </x:c>
      <x:c r="P38" s="26" t="str">
        <x:v>NOT RUN</x:v>
      </x:c>
      <x:c r="Q38" s="26"/>
      <x:c r="R38" s="26"/>
      <x:c r="S38" s="26"/>
      <x:c r="T38" s="26"/>
      <x:c r="U38" s="26"/>
      <x:c r="V38" s="26"/>
      <x:c r="W38" s="26" t="n">
        <x:v>1</x:v>
      </x:c>
      <x:c r="X38" s="26" t="n">
        <x:v>0</x:v>
      </x:c>
      <x:c r="Y38" s="26" t="n">
        <x:v>1</x:v>
      </x:c>
      <x:c r="Z38" s="26" t="str">
        <x:v>PENDING</x:v>
      </x:c>
      <x:c r="AA38" s="26" t="str">
        <x:v>CHG-RC1-DOC-31</x:v>
      </x:c>
      <x:c r="AB38" s="26" t="str">
        <x:v>DEFINED / NOT EXECUTED</x:v>
      </x:c>
    </x:row>
    <x:row r="39" ht="30" customHeight="1">
      <x:c r="A39" s="26" t="str">
        <x:v>H6</x:v>
      </x:c>
      <x:c r="B39" s="26" t="str">
        <x:v>VS-DSP-004</x:v>
      </x:c>
      <x:c r="C39" s="26" t="str">
        <x:v>Displays</x:v>
      </x:c>
      <x:c r="D39" s="26" t="str">
        <x:v>Criterio contractual VSS</x:v>
      </x:c>
      <x:c r="E39" s="26" t="str">
        <x:v>Visual de producto coincide con asignación y cantidad representada.</x:v>
      </x:c>
      <x:c r="F39" s="26" t="str">
        <x:v>Ejecutar la prueba correspondiente en Editor y/o build según el nivel definido en 02 y registrar resultado reproducible.</x:v>
      </x:c>
      <x:c r="G39" s="26" t="str">
        <x:v>El criterio se cumple sin desviaciones bloqueantes y con resultado trazable.</x:v>
      </x:c>
      <x:c r="H39" s="26" t="str">
        <x:v>Revisión visual.</x:v>
      </x:c>
      <x:c r="I39" s="26" t="str">
        <x:v>02_Vertical_Slice_Specification.md §7</x:v>
      </x:c>
      <x:c r="J39" s="26" t="str">
        <x:v>Vertical Slice Specification v0.1–v0.4; QA Plan/Matrix v0.3–v0.6</x:v>
      </x:c>
      <x:c r="K39" s="26" t="str">
        <x:v>H6</x:v>
      </x:c>
      <x:c r="L39" s="26" t="str">
        <x:v>Yes</x:v>
      </x:c>
      <x:c r="M39" s="26" t="str">
        <x:v>P0</x:v>
      </x:c>
      <x:c r="N39" s="26" t="str">
        <x:v>Engineering/Design</x:v>
      </x:c>
      <x:c r="O39" s="26" t="str">
        <x:v>QA/Production</x:v>
      </x:c>
      <x:c r="P39" s="26" t="str">
        <x:v>NOT RUN</x:v>
      </x:c>
      <x:c r="Q39" s="26"/>
      <x:c r="R39" s="26"/>
      <x:c r="S39" s="26"/>
      <x:c r="T39" s="26"/>
      <x:c r="U39" s="26"/>
      <x:c r="V39" s="26"/>
      <x:c r="W39" s="26" t="n">
        <x:v>1</x:v>
      </x:c>
      <x:c r="X39" s="26" t="n">
        <x:v>0</x:v>
      </x:c>
      <x:c r="Y39" s="26" t="n">
        <x:v>1</x:v>
      </x:c>
      <x:c r="Z39" s="26" t="str">
        <x:v>PENDING</x:v>
      </x:c>
      <x:c r="AA39" s="26" t="str">
        <x:v>CHG-RC1-DOC-31</x:v>
      </x:c>
      <x:c r="AB39" s="26" t="str">
        <x:v>DEFINED / NOT EXECUTED</x:v>
      </x:c>
    </x:row>
    <x:row r="40" ht="30" customHeight="1">
      <x:c r="A40" s="26" t="str">
        <x:v>H6</x:v>
      </x:c>
      <x:c r="B40" s="26" t="str">
        <x:v>VS-DSP-005</x:v>
      </x:c>
      <x:c r="C40" s="26" t="str">
        <x:v>Displays</x:v>
      </x:c>
      <x:c r="D40" s="26" t="str">
        <x:v>Criterio contractual VSS</x:v>
      </x:c>
      <x:c r="E40" s="26" t="str">
        <x:v>Asignación y stock visible persisten.</x:v>
      </x:c>
      <x:c r="F40" s="26" t="str">
        <x:v>Ejecutar la prueba correspondiente en Editor y/o build según el nivel definido en 02 y registrar resultado reproducible.</x:v>
      </x:c>
      <x:c r="G40" s="26" t="str">
        <x:v>El criterio se cumple sin desviaciones bloqueantes y con resultado trazable.</x:v>
      </x:c>
      <x:c r="H40" s="26" t="str">
        <x:v>Save/load.</x:v>
      </x:c>
      <x:c r="I40" s="26" t="str">
        <x:v>02_Vertical_Slice_Specification.md §7</x:v>
      </x:c>
      <x:c r="J40" s="26" t="str">
        <x:v>Vertical Slice Specification v0.1–v0.4; QA Plan/Matrix v0.3–v0.6</x:v>
      </x:c>
      <x:c r="K40" s="26" t="str">
        <x:v>H6</x:v>
      </x:c>
      <x:c r="L40" s="26" t="str">
        <x:v>Yes</x:v>
      </x:c>
      <x:c r="M40" s="26" t="str">
        <x:v>P0</x:v>
      </x:c>
      <x:c r="N40" s="26" t="str">
        <x:v>Engineering/Design</x:v>
      </x:c>
      <x:c r="O40" s="26" t="str">
        <x:v>QA/Production</x:v>
      </x:c>
      <x:c r="P40" s="26" t="str">
        <x:v>NOT RUN</x:v>
      </x:c>
      <x:c r="Q40" s="26"/>
      <x:c r="R40" s="26"/>
      <x:c r="S40" s="26"/>
      <x:c r="T40" s="26"/>
      <x:c r="U40" s="26"/>
      <x:c r="V40" s="26"/>
      <x:c r="W40" s="26" t="n">
        <x:v>1</x:v>
      </x:c>
      <x:c r="X40" s="26" t="n">
        <x:v>0</x:v>
      </x:c>
      <x:c r="Y40" s="26" t="n">
        <x:v>1</x:v>
      </x:c>
      <x:c r="Z40" s="26" t="str">
        <x:v>PENDING</x:v>
      </x:c>
      <x:c r="AA40" s="26" t="str">
        <x:v>CHG-RC1-DOC-31</x:v>
      </x:c>
      <x:c r="AB40" s="26" t="str">
        <x:v>DEFINED / NOT EXECUTED</x:v>
      </x:c>
    </x:row>
    <x:row r="41" ht="30" customHeight="1">
      <x:c r="A41" s="26" t="str">
        <x:v>H6</x:v>
      </x:c>
      <x:c r="B41" s="26" t="str">
        <x:v>VS-PRC-001</x:v>
      </x:c>
      <x:c r="C41" s="26" t="str">
        <x:v>Precios</x:v>
      </x:c>
      <x:c r="D41" s="26" t="str">
        <x:v>Criterio contractual VSS</x:v>
      </x:c>
      <x:c r="E41" s="26" t="str">
        <x:v>Precio inválido se rechaza.</x:v>
      </x:c>
      <x:c r="F41" s="26" t="str">
        <x:v>Ejecutar la prueba correspondiente en Editor y/o build según el nivel definido en 02 y registrar resultado reproducible.</x:v>
      </x:c>
      <x:c r="G41" s="26" t="str">
        <x:v>El criterio se cumple sin desviaciones bloqueantes y con resultado trazable.</x:v>
      </x:c>
      <x:c r="H41" s="26" t="str">
        <x:v>Prueba negativa.</x:v>
      </x:c>
      <x:c r="I41" s="26" t="str">
        <x:v>02_Vertical_Slice_Specification.md §7</x:v>
      </x:c>
      <x:c r="J41" s="26" t="str">
        <x:v>Vertical Slice Specification v0.1–v0.4; QA Plan/Matrix v0.3–v0.6</x:v>
      </x:c>
      <x:c r="K41" s="26" t="str">
        <x:v>H6</x:v>
      </x:c>
      <x:c r="L41" s="26" t="str">
        <x:v>Yes</x:v>
      </x:c>
      <x:c r="M41" s="26" t="str">
        <x:v>P0</x:v>
      </x:c>
      <x:c r="N41" s="26" t="str">
        <x:v>Design/Engineering</x:v>
      </x:c>
      <x:c r="O41" s="26" t="str">
        <x:v>QA/Production</x:v>
      </x:c>
      <x:c r="P41" s="26" t="str">
        <x:v>NOT RUN</x:v>
      </x:c>
      <x:c r="Q41" s="26"/>
      <x:c r="R41" s="26"/>
      <x:c r="S41" s="26"/>
      <x:c r="T41" s="26"/>
      <x:c r="U41" s="26"/>
      <x:c r="V41" s="26"/>
      <x:c r="W41" s="26" t="n">
        <x:v>1</x:v>
      </x:c>
      <x:c r="X41" s="26" t="n">
        <x:v>0</x:v>
      </x:c>
      <x:c r="Y41" s="26" t="n">
        <x:v>1</x:v>
      </x:c>
      <x:c r="Z41" s="26" t="str">
        <x:v>PENDING</x:v>
      </x:c>
      <x:c r="AA41" s="26" t="str">
        <x:v>CHG-RC1-DOC-31</x:v>
      </x:c>
      <x:c r="AB41" s="26" t="str">
        <x:v>DEFINED / NOT EXECUTED</x:v>
      </x:c>
    </x:row>
    <x:row r="42" ht="30" customHeight="1">
      <x:c r="A42" s="26" t="str">
        <x:v>H6</x:v>
      </x:c>
      <x:c r="B42" s="26" t="str">
        <x:v>VS-PRC-002</x:v>
      </x:c>
      <x:c r="C42" s="26" t="str">
        <x:v>Precios</x:v>
      </x:c>
      <x:c r="D42" s="26" t="str">
        <x:v>Criterio contractual VSS</x:v>
      </x:c>
      <x:c r="E42" s="26" t="str">
        <x:v>Precio confirmado persiste y se utiliza en la venta.</x:v>
      </x:c>
      <x:c r="F42" s="26" t="str">
        <x:v>Ejecutar la prueba correspondiente en Editor y/o build según el nivel definido en 02 y registrar resultado reproducible.</x:v>
      </x:c>
      <x:c r="G42" s="26" t="str">
        <x:v>El criterio se cumple sin desviaciones bloqueantes y con resultado trazable.</x:v>
      </x:c>
      <x:c r="H42" s="26" t="str">
        <x:v>Save/load y transacción.</x:v>
      </x:c>
      <x:c r="I42" s="26" t="str">
        <x:v>02_Vertical_Slice_Specification.md §7</x:v>
      </x:c>
      <x:c r="J42" s="26" t="str">
        <x:v>Vertical Slice Specification v0.1–v0.4; QA Plan/Matrix v0.3–v0.6</x:v>
      </x:c>
      <x:c r="K42" s="26" t="str">
        <x:v>H6</x:v>
      </x:c>
      <x:c r="L42" s="26" t="str">
        <x:v>Yes</x:v>
      </x:c>
      <x:c r="M42" s="26" t="str">
        <x:v>P0</x:v>
      </x:c>
      <x:c r="N42" s="26" t="str">
        <x:v>Design/Engineering</x:v>
      </x:c>
      <x:c r="O42" s="26" t="str">
        <x:v>QA/Production</x:v>
      </x:c>
      <x:c r="P42" s="26" t="str">
        <x:v>NOT RUN</x:v>
      </x:c>
      <x:c r="Q42" s="26"/>
      <x:c r="R42" s="26"/>
      <x:c r="S42" s="26"/>
      <x:c r="T42" s="26"/>
      <x:c r="U42" s="26"/>
      <x:c r="V42" s="26"/>
      <x:c r="W42" s="26" t="n">
        <x:v>1</x:v>
      </x:c>
      <x:c r="X42" s="26" t="n">
        <x:v>0</x:v>
      </x:c>
      <x:c r="Y42" s="26" t="n">
        <x:v>1</x:v>
      </x:c>
      <x:c r="Z42" s="26" t="str">
        <x:v>PENDING</x:v>
      </x:c>
      <x:c r="AA42" s="26" t="str">
        <x:v>CHG-RC1-DOC-31</x:v>
      </x:c>
      <x:c r="AB42" s="26" t="str">
        <x:v>DEFINED / NOT EXECUTED</x:v>
      </x:c>
    </x:row>
    <x:row r="43" ht="30" customHeight="1">
      <x:c r="A43" s="26" t="str">
        <x:v>H6</x:v>
      </x:c>
      <x:c r="B43" s="26" t="str">
        <x:v>VS-PRC-003</x:v>
      </x:c>
      <x:c r="C43" s="26" t="str">
        <x:v>Precios</x:v>
      </x:c>
      <x:c r="D43" s="26" t="str">
        <x:v>Criterio contractual VSS</x:v>
      </x:c>
      <x:c r="E43" s="26" t="str">
        <x:v>Cambiar precio afecta interés según regla determinista/configurada.</x:v>
      </x:c>
      <x:c r="F43" s="26" t="str">
        <x:v>Ejecutar la prueba correspondiente en Editor y/o build según el nivel definido en 02 y registrar resultado reproducible.</x:v>
      </x:c>
      <x:c r="G43" s="26" t="str">
        <x:v>El criterio se cumple sin desviaciones bloqueantes y con resultado trazable.</x:v>
      </x:c>
      <x:c r="H43" s="26" t="str">
        <x:v>Prueba comparativa.</x:v>
      </x:c>
      <x:c r="I43" s="26" t="str">
        <x:v>02_Vertical_Slice_Specification.md §7</x:v>
      </x:c>
      <x:c r="J43" s="26" t="str">
        <x:v>Vertical Slice Specification v0.1–v0.4; QA Plan/Matrix v0.3–v0.6</x:v>
      </x:c>
      <x:c r="K43" s="26" t="str">
        <x:v>H6</x:v>
      </x:c>
      <x:c r="L43" s="26" t="str">
        <x:v>Yes</x:v>
      </x:c>
      <x:c r="M43" s="26" t="str">
        <x:v>P0</x:v>
      </x:c>
      <x:c r="N43" s="26" t="str">
        <x:v>Design/Engineering</x:v>
      </x:c>
      <x:c r="O43" s="26" t="str">
        <x:v>QA/Production</x:v>
      </x:c>
      <x:c r="P43" s="26" t="str">
        <x:v>NOT RUN</x:v>
      </x:c>
      <x:c r="Q43" s="26"/>
      <x:c r="R43" s="26"/>
      <x:c r="S43" s="26"/>
      <x:c r="T43" s="26"/>
      <x:c r="U43" s="26"/>
      <x:c r="V43" s="26"/>
      <x:c r="W43" s="26" t="n">
        <x:v>1</x:v>
      </x:c>
      <x:c r="X43" s="26" t="n">
        <x:v>0</x:v>
      </x:c>
      <x:c r="Y43" s="26" t="n">
        <x:v>1</x:v>
      </x:c>
      <x:c r="Z43" s="26" t="str">
        <x:v>PENDING</x:v>
      </x:c>
      <x:c r="AA43" s="26" t="str">
        <x:v>CHG-RC1-DOC-31</x:v>
      </x:c>
      <x:c r="AB43" s="26" t="str">
        <x:v>DEFINED / NOT EXECUTED</x:v>
      </x:c>
    </x:row>
    <x:row r="44" ht="30" customHeight="1">
      <x:c r="A44" s="26" t="str">
        <x:v>H6</x:v>
      </x:c>
      <x:c r="B44" s="26" t="str">
        <x:v>VS-CUS-001</x:v>
      </x:c>
      <x:c r="C44" s="26" t="str">
        <x:v>Clientes</x:v>
      </x:c>
      <x:c r="D44" s="26" t="str">
        <x:v>Criterio contractual VSS</x:v>
      </x:c>
      <x:c r="E44" s="26" t="str">
        <x:v>Clientes solo aparecen durante estados permitidos.</x:v>
      </x:c>
      <x:c r="F44" s="26" t="str">
        <x:v>Ejecutar la prueba correspondiente en Editor y/o build según el nivel definido en 02 y registrar resultado reproducible.</x:v>
      </x:c>
      <x:c r="G44" s="26" t="str">
        <x:v>El criterio se cumple sin desviaciones bloqueantes y con resultado trazable.</x:v>
      </x:c>
      <x:c r="H44" s="26" t="str">
        <x:v>Prueba de estados.</x:v>
      </x:c>
      <x:c r="I44" s="26" t="str">
        <x:v>02_Vertical_Slice_Specification.md §7</x:v>
      </x:c>
      <x:c r="J44" s="26" t="str">
        <x:v>Vertical Slice Specification v0.1–v0.4; QA Plan/Matrix v0.3–v0.6</x:v>
      </x:c>
      <x:c r="K44" s="26" t="str">
        <x:v>H6</x:v>
      </x:c>
      <x:c r="L44" s="26" t="str">
        <x:v>Yes</x:v>
      </x:c>
      <x:c r="M44" s="26" t="str">
        <x:v>P0</x:v>
      </x:c>
      <x:c r="N44" s="26" t="str">
        <x:v>AI/Engineering</x:v>
      </x:c>
      <x:c r="O44" s="26" t="str">
        <x:v>QA/Production</x:v>
      </x:c>
      <x:c r="P44" s="26" t="str">
        <x:v>NOT RUN</x:v>
      </x:c>
      <x:c r="Q44" s="26"/>
      <x:c r="R44" s="26"/>
      <x:c r="S44" s="26"/>
      <x:c r="T44" s="26"/>
      <x:c r="U44" s="26"/>
      <x:c r="V44" s="26"/>
      <x:c r="W44" s="26" t="n">
        <x:v>1</x:v>
      </x:c>
      <x:c r="X44" s="26" t="n">
        <x:v>0</x:v>
      </x:c>
      <x:c r="Y44" s="26" t="n">
        <x:v>1</x:v>
      </x:c>
      <x:c r="Z44" s="26" t="str">
        <x:v>PENDING</x:v>
      </x:c>
      <x:c r="AA44" s="26" t="str">
        <x:v>CHG-RC1-DOC-31</x:v>
      </x:c>
      <x:c r="AB44" s="26" t="str">
        <x:v>DEFINED / NOT EXECUTED</x:v>
      </x:c>
    </x:row>
    <x:row r="45" ht="30" customHeight="1">
      <x:c r="A45" s="26" t="str">
        <x:v>H6</x:v>
      </x:c>
      <x:c r="B45" s="26" t="str">
        <x:v>VS-CUS-002</x:v>
      </x:c>
      <x:c r="C45" s="26" t="str">
        <x:v>Clientes</x:v>
      </x:c>
      <x:c r="D45" s="26" t="str">
        <x:v>Criterio contractual VSS</x:v>
      </x:c>
      <x:c r="E45" s="26" t="str">
        <x:v>Cliente selecciona objetivo compatible o abandona con causa.</x:v>
      </x:c>
      <x:c r="F45" s="26" t="str">
        <x:v>Ejecutar la prueba correspondiente en Editor y/o build según el nivel definido en 02 y registrar resultado reproducible.</x:v>
      </x:c>
      <x:c r="G45" s="26" t="str">
        <x:v>El criterio se cumple sin desviaciones bloqueantes y con resultado trazable.</x:v>
      </x:c>
      <x:c r="H45" s="26" t="str">
        <x:v>Observación y log de prueba.</x:v>
      </x:c>
      <x:c r="I45" s="26" t="str">
        <x:v>02_Vertical_Slice_Specification.md §7</x:v>
      </x:c>
      <x:c r="J45" s="26" t="str">
        <x:v>Vertical Slice Specification v0.1–v0.4; QA Plan/Matrix v0.3–v0.6</x:v>
      </x:c>
      <x:c r="K45" s="26" t="str">
        <x:v>H6</x:v>
      </x:c>
      <x:c r="L45" s="26" t="str">
        <x:v>Yes</x:v>
      </x:c>
      <x:c r="M45" s="26" t="str">
        <x:v>P0</x:v>
      </x:c>
      <x:c r="N45" s="26" t="str">
        <x:v>AI/Engineering</x:v>
      </x:c>
      <x:c r="O45" s="26" t="str">
        <x:v>QA/Production</x:v>
      </x:c>
      <x:c r="P45" s="26" t="str">
        <x:v>NOT RUN</x:v>
      </x:c>
      <x:c r="Q45" s="26"/>
      <x:c r="R45" s="26"/>
      <x:c r="S45" s="26"/>
      <x:c r="T45" s="26"/>
      <x:c r="U45" s="26"/>
      <x:c r="V45" s="26"/>
      <x:c r="W45" s="26" t="n">
        <x:v>1</x:v>
      </x:c>
      <x:c r="X45" s="26" t="n">
        <x:v>0</x:v>
      </x:c>
      <x:c r="Y45" s="26" t="n">
        <x:v>1</x:v>
      </x:c>
      <x:c r="Z45" s="26" t="str">
        <x:v>PENDING</x:v>
      </x:c>
      <x:c r="AA45" s="26" t="str">
        <x:v>CHG-RC1-DOC-31</x:v>
      </x:c>
      <x:c r="AB45" s="26" t="str">
        <x:v>DEFINED / NOT EXECUTED</x:v>
      </x:c>
    </x:row>
    <x:row r="46" ht="30" customHeight="1">
      <x:c r="A46" s="26" t="str">
        <x:v>H6</x:v>
      </x:c>
      <x:c r="B46" s="26" t="str">
        <x:v>VS-CUS-003</x:v>
      </x:c>
      <x:c r="C46" s="26" t="str">
        <x:v>Clientes</x:v>
      </x:c>
      <x:c r="D46" s="26" t="str">
        <x:v>Criterio contractual VSS</x:v>
      </x:c>
      <x:c r="E46" s="26" t="str">
        <x:v>Cliente navega sin atravesar obstáculos ni quedar bloqueado indefinidamente.</x:v>
      </x:c>
      <x:c r="F46" s="26" t="str">
        <x:v>Ejecutar la prueba correspondiente en Editor y/o build según el nivel definido en 02 y registrar resultado reproducible.</x:v>
      </x:c>
      <x:c r="G46" s="26" t="str">
        <x:v>El criterio se cumple sin desviaciones bloqueantes y con resultado trazable.</x:v>
      </x:c>
      <x:c r="H46" s="26" t="str">
        <x:v>Saturación y recorrido.</x:v>
      </x:c>
      <x:c r="I46" s="26" t="str">
        <x:v>02_Vertical_Slice_Specification.md §7</x:v>
      </x:c>
      <x:c r="J46" s="26" t="str">
        <x:v>Vertical Slice Specification v0.1–v0.4; QA Plan/Matrix v0.3–v0.6</x:v>
      </x:c>
      <x:c r="K46" s="26" t="str">
        <x:v>H6</x:v>
      </x:c>
      <x:c r="L46" s="26" t="str">
        <x:v>Yes</x:v>
      </x:c>
      <x:c r="M46" s="26" t="str">
        <x:v>P0</x:v>
      </x:c>
      <x:c r="N46" s="26" t="str">
        <x:v>AI/Engineering</x:v>
      </x:c>
      <x:c r="O46" s="26" t="str">
        <x:v>QA/Production</x:v>
      </x:c>
      <x:c r="P46" s="26" t="str">
        <x:v>NOT RUN</x:v>
      </x:c>
      <x:c r="Q46" s="26"/>
      <x:c r="R46" s="26"/>
      <x:c r="S46" s="26"/>
      <x:c r="T46" s="26"/>
      <x:c r="U46" s="26"/>
      <x:c r="V46" s="26"/>
      <x:c r="W46" s="26" t="n">
        <x:v>1</x:v>
      </x:c>
      <x:c r="X46" s="26" t="n">
        <x:v>0</x:v>
      </x:c>
      <x:c r="Y46" s="26" t="n">
        <x:v>1</x:v>
      </x:c>
      <x:c r="Z46" s="26" t="str">
        <x:v>PENDING</x:v>
      </x:c>
      <x:c r="AA46" s="26" t="str">
        <x:v>CHG-RC1-DOC-31</x:v>
      </x:c>
      <x:c r="AB46" s="26" t="str">
        <x:v>DEFINED / NOT EXECUTED</x:v>
      </x:c>
    </x:row>
    <x:row r="47" ht="30" customHeight="1">
      <x:c r="A47" s="26" t="str">
        <x:v>H6</x:v>
      </x:c>
      <x:c r="B47" s="26" t="str">
        <x:v>VS-CUS-004</x:v>
      </x:c>
      <x:c r="C47" s="26" t="str">
        <x:v>Clientes</x:v>
      </x:c>
      <x:c r="D47" s="26" t="str">
        <x:v>Criterio contractual VSS</x:v>
      </x:c>
      <x:c r="E47" s="26" t="str">
        <x:v>Falta de stock, precio o espera producen reacción legible.</x:v>
      </x:c>
      <x:c r="F47" s="26" t="str">
        <x:v>Ejecutar la prueba correspondiente en Editor y/o build según el nivel definido en 02 y registrar resultado reproducible.</x:v>
      </x:c>
      <x:c r="G47" s="26" t="str">
        <x:v>El criterio se cumple sin desviaciones bloqueantes y con resultado trazable.</x:v>
      </x:c>
      <x:c r="H47" s="26" t="str">
        <x:v>Pruebas de variantes.</x:v>
      </x:c>
      <x:c r="I47" s="26" t="str">
        <x:v>02_Vertical_Slice_Specification.md §7</x:v>
      </x:c>
      <x:c r="J47" s="26" t="str">
        <x:v>Vertical Slice Specification v0.1–v0.4; QA Plan/Matrix v0.3–v0.6</x:v>
      </x:c>
      <x:c r="K47" s="26" t="str">
        <x:v>H6</x:v>
      </x:c>
      <x:c r="L47" s="26" t="str">
        <x:v>Yes</x:v>
      </x:c>
      <x:c r="M47" s="26" t="str">
        <x:v>P0</x:v>
      </x:c>
      <x:c r="N47" s="26" t="str">
        <x:v>AI/Engineering</x:v>
      </x:c>
      <x:c r="O47" s="26" t="str">
        <x:v>QA/Production</x:v>
      </x:c>
      <x:c r="P47" s="26" t="str">
        <x:v>NOT RUN</x:v>
      </x:c>
      <x:c r="Q47" s="26"/>
      <x:c r="R47" s="26"/>
      <x:c r="S47" s="26"/>
      <x:c r="T47" s="26"/>
      <x:c r="U47" s="26"/>
      <x:c r="V47" s="26"/>
      <x:c r="W47" s="26" t="n">
        <x:v>1</x:v>
      </x:c>
      <x:c r="X47" s="26" t="n">
        <x:v>0</x:v>
      </x:c>
      <x:c r="Y47" s="26" t="n">
        <x:v>1</x:v>
      </x:c>
      <x:c r="Z47" s="26" t="str">
        <x:v>PENDING</x:v>
      </x:c>
      <x:c r="AA47" s="26" t="str">
        <x:v>CHG-RC1-DOC-31</x:v>
      </x:c>
      <x:c r="AB47" s="26" t="str">
        <x:v>DEFINED / NOT EXECUTED</x:v>
      </x:c>
    </x:row>
    <x:row r="48" ht="30" customHeight="1">
      <x:c r="A48" s="26" t="str">
        <x:v>H6</x:v>
      </x:c>
      <x:c r="B48" s="26" t="str">
        <x:v>VS-RES-001</x:v>
      </x:c>
      <x:c r="C48" s="26" t="str">
        <x:v>Reservas</x:v>
      </x:c>
      <x:c r="D48" s="26" t="str">
        <x:v>Criterio contractual VSS</x:v>
      </x:c>
      <x:c r="E48" s="26" t="str">
        <x:v>Una unidad no puede reservarse para dos clientes.</x:v>
      </x:c>
      <x:c r="F48" s="26" t="str">
        <x:v>Ejecutar la prueba correspondiente en Editor y/o build según el nivel definido en 02 y registrar resultado reproducible.</x:v>
      </x:c>
      <x:c r="G48" s="26" t="str">
        <x:v>El criterio se cumple sin desviaciones bloqueantes y con resultado trazable.</x:v>
      </x:c>
      <x:c r="H48" s="26" t="str">
        <x:v>Test concurrente.</x:v>
      </x:c>
      <x:c r="I48" s="26" t="str">
        <x:v>02_Vertical_Slice_Specification.md §7</x:v>
      </x:c>
      <x:c r="J48" s="26" t="str">
        <x:v>Vertical Slice Specification v0.1–v0.4; QA Plan/Matrix v0.3–v0.6</x:v>
      </x:c>
      <x:c r="K48" s="26" t="str">
        <x:v>H6</x:v>
      </x:c>
      <x:c r="L48" s="26" t="str">
        <x:v>Yes</x:v>
      </x:c>
      <x:c r="M48" s="26" t="str">
        <x:v>P0</x:v>
      </x:c>
      <x:c r="N48" s="26" t="str">
        <x:v>Engineering</x:v>
      </x:c>
      <x:c r="O48" s="26" t="str">
        <x:v>QA/Production</x:v>
      </x:c>
      <x:c r="P48" s="26" t="str">
        <x:v>NOT RUN</x:v>
      </x:c>
      <x:c r="Q48" s="26"/>
      <x:c r="R48" s="26"/>
      <x:c r="S48" s="26"/>
      <x:c r="T48" s="26"/>
      <x:c r="U48" s="26"/>
      <x:c r="V48" s="26"/>
      <x:c r="W48" s="26" t="n">
        <x:v>1</x:v>
      </x:c>
      <x:c r="X48" s="26" t="n">
        <x:v>0</x:v>
      </x:c>
      <x:c r="Y48" s="26" t="n">
        <x:v>1</x:v>
      </x:c>
      <x:c r="Z48" s="26" t="str">
        <x:v>PENDING</x:v>
      </x:c>
      <x:c r="AA48" s="26" t="str">
        <x:v>CHG-RC1-DOC-31</x:v>
      </x:c>
      <x:c r="AB48" s="26" t="str">
        <x:v>DEFINED / NOT EXECUTED</x:v>
      </x:c>
    </x:row>
    <x:row r="49" ht="30" customHeight="1">
      <x:c r="A49" s="26" t="str">
        <x:v>H6</x:v>
      </x:c>
      <x:c r="B49" s="26" t="str">
        <x:v>VS-RES-002</x:v>
      </x:c>
      <x:c r="C49" s="26" t="str">
        <x:v>Reservas</x:v>
      </x:c>
      <x:c r="D49" s="26" t="str">
        <x:v>Criterio contractual VSS</x:v>
      </x:c>
      <x:c r="E49" s="26" t="str">
        <x:v>Abandono, fallo o cierre liberan la reserva.</x:v>
      </x:c>
      <x:c r="F49" s="26" t="str">
        <x:v>Ejecutar la prueba correspondiente en Editor y/o build según el nivel definido en 02 y registrar resultado reproducible.</x:v>
      </x:c>
      <x:c r="G49" s="26" t="str">
        <x:v>El criterio se cumple sin desviaciones bloqueantes y con resultado trazable.</x:v>
      </x:c>
      <x:c r="H49" s="26" t="str">
        <x:v>Pruebas de resolución.</x:v>
      </x:c>
      <x:c r="I49" s="26" t="str">
        <x:v>02_Vertical_Slice_Specification.md §7</x:v>
      </x:c>
      <x:c r="J49" s="26" t="str">
        <x:v>Vertical Slice Specification v0.1–v0.4; QA Plan/Matrix v0.3–v0.6</x:v>
      </x:c>
      <x:c r="K49" s="26" t="str">
        <x:v>H6</x:v>
      </x:c>
      <x:c r="L49" s="26" t="str">
        <x:v>Yes</x:v>
      </x:c>
      <x:c r="M49" s="26" t="str">
        <x:v>P0</x:v>
      </x:c>
      <x:c r="N49" s="26" t="str">
        <x:v>Engineering</x:v>
      </x:c>
      <x:c r="O49" s="26" t="str">
        <x:v>QA/Production</x:v>
      </x:c>
      <x:c r="P49" s="26" t="str">
        <x:v>NOT RUN</x:v>
      </x:c>
      <x:c r="Q49" s="26"/>
      <x:c r="R49" s="26"/>
      <x:c r="S49" s="26"/>
      <x:c r="T49" s="26"/>
      <x:c r="U49" s="26"/>
      <x:c r="V49" s="26"/>
      <x:c r="W49" s="26" t="n">
        <x:v>1</x:v>
      </x:c>
      <x:c r="X49" s="26" t="n">
        <x:v>0</x:v>
      </x:c>
      <x:c r="Y49" s="26" t="n">
        <x:v>1</x:v>
      </x:c>
      <x:c r="Z49" s="26" t="str">
        <x:v>PENDING</x:v>
      </x:c>
      <x:c r="AA49" s="26" t="str">
        <x:v>CHG-RC1-DOC-31</x:v>
      </x:c>
      <x:c r="AB49" s="26" t="str">
        <x:v>DEFINED / NOT EXECUTED</x:v>
      </x:c>
    </x:row>
    <x:row r="50" ht="30" customHeight="1">
      <x:c r="A50" s="26" t="str">
        <x:v>H6</x:v>
      </x:c>
      <x:c r="B50" s="26" t="str">
        <x:v>VS-RES-003</x:v>
      </x:c>
      <x:c r="C50" s="26" t="str">
        <x:v>Reservas</x:v>
      </x:c>
      <x:c r="D50" s="26" t="str">
        <x:v>Criterio contractual VSS</x:v>
      </x:c>
      <x:c r="E50" s="26" t="str">
        <x:v>Venta consume la reserva exactamente una vez.</x:v>
      </x:c>
      <x:c r="F50" s="26" t="str">
        <x:v>Ejecutar la prueba correspondiente en Editor y/o build según el nivel definido en 02 y registrar resultado reproducible.</x:v>
      </x:c>
      <x:c r="G50" s="26" t="str">
        <x:v>El criterio se cumple sin desviaciones bloqueantes y con resultado trazable.</x:v>
      </x:c>
      <x:c r="H50" s="26" t="str">
        <x:v>Test de checkout.</x:v>
      </x:c>
      <x:c r="I50" s="26" t="str">
        <x:v>02_Vertical_Slice_Specification.md §7</x:v>
      </x:c>
      <x:c r="J50" s="26" t="str">
        <x:v>Vertical Slice Specification v0.1–v0.4; QA Plan/Matrix v0.3–v0.6</x:v>
      </x:c>
      <x:c r="K50" s="26" t="str">
        <x:v>H6</x:v>
      </x:c>
      <x:c r="L50" s="26" t="str">
        <x:v>Yes</x:v>
      </x:c>
      <x:c r="M50" s="26" t="str">
        <x:v>P0</x:v>
      </x:c>
      <x:c r="N50" s="26" t="str">
        <x:v>Engineering</x:v>
      </x:c>
      <x:c r="O50" s="26" t="str">
        <x:v>QA/Production</x:v>
      </x:c>
      <x:c r="P50" s="26" t="str">
        <x:v>NOT RUN</x:v>
      </x:c>
      <x:c r="Q50" s="26"/>
      <x:c r="R50" s="26"/>
      <x:c r="S50" s="26"/>
      <x:c r="T50" s="26"/>
      <x:c r="U50" s="26"/>
      <x:c r="V50" s="26"/>
      <x:c r="W50" s="26" t="n">
        <x:v>1</x:v>
      </x:c>
      <x:c r="X50" s="26" t="n">
        <x:v>0</x:v>
      </x:c>
      <x:c r="Y50" s="26" t="n">
        <x:v>1</x:v>
      </x:c>
      <x:c r="Z50" s="26" t="str">
        <x:v>PENDING</x:v>
      </x:c>
      <x:c r="AA50" s="26" t="str">
        <x:v>CHG-RC1-DOC-31</x:v>
      </x:c>
      <x:c r="AB50" s="26" t="str">
        <x:v>DEFINED / NOT EXECUTED</x:v>
      </x:c>
    </x:row>
    <x:row r="51" ht="30" customHeight="1">
      <x:c r="A51" s="26" t="str">
        <x:v>H6</x:v>
      </x:c>
      <x:c r="B51" s="26" t="str">
        <x:v>VS-QUE-001</x:v>
      </x:c>
      <x:c r="C51" s="26" t="str">
        <x:v>Cola</x:v>
      </x:c>
      <x:c r="D51" s="26" t="str">
        <x:v>Criterio contractual VSS</x:v>
      </x:c>
      <x:c r="E51" s="26" t="str">
        <x:v>El orden de atención es determinista.</x:v>
      </x:c>
      <x:c r="F51" s="26" t="str">
        <x:v>Ejecutar la prueba correspondiente en Editor y/o build según el nivel definido en 02 y registrar resultado reproducible.</x:v>
      </x:c>
      <x:c r="G51" s="26" t="str">
        <x:v>El criterio se cumple sin desviaciones bloqueantes y con resultado trazable.</x:v>
      </x:c>
      <x:c r="H51" s="26" t="str">
        <x:v>Prueba con varios clientes.</x:v>
      </x:c>
      <x:c r="I51" s="26" t="str">
        <x:v>02_Vertical_Slice_Specification.md §7</x:v>
      </x:c>
      <x:c r="J51" s="26" t="str">
        <x:v>Vertical Slice Specification v0.1–v0.4; QA Plan/Matrix v0.3–v0.6</x:v>
      </x:c>
      <x:c r="K51" s="26" t="str">
        <x:v>H6</x:v>
      </x:c>
      <x:c r="L51" s="26" t="str">
        <x:v>Yes</x:v>
      </x:c>
      <x:c r="M51" s="26" t="str">
        <x:v>P0</x:v>
      </x:c>
      <x:c r="N51" s="26" t="str">
        <x:v>AI/Engineering</x:v>
      </x:c>
      <x:c r="O51" s="26" t="str">
        <x:v>QA/Production</x:v>
      </x:c>
      <x:c r="P51" s="26" t="str">
        <x:v>NOT RUN</x:v>
      </x:c>
      <x:c r="Q51" s="26"/>
      <x:c r="R51" s="26"/>
      <x:c r="S51" s="26"/>
      <x:c r="T51" s="26"/>
      <x:c r="U51" s="26"/>
      <x:c r="V51" s="26"/>
      <x:c r="W51" s="26" t="n">
        <x:v>1</x:v>
      </x:c>
      <x:c r="X51" s="26" t="n">
        <x:v>0</x:v>
      </x:c>
      <x:c r="Y51" s="26" t="n">
        <x:v>1</x:v>
      </x:c>
      <x:c r="Z51" s="26" t="str">
        <x:v>PENDING</x:v>
      </x:c>
      <x:c r="AA51" s="26" t="str">
        <x:v>CHG-RC1-DOC-31</x:v>
      </x:c>
      <x:c r="AB51" s="26" t="str">
        <x:v>DEFINED / NOT EXECUTED</x:v>
      </x:c>
    </x:row>
    <x:row r="52" ht="30" customHeight="1">
      <x:c r="A52" s="26" t="str">
        <x:v>H6</x:v>
      </x:c>
      <x:c r="B52" s="26" t="str">
        <x:v>VS-QUE-002</x:v>
      </x:c>
      <x:c r="C52" s="26" t="str">
        <x:v>Cola</x:v>
      </x:c>
      <x:c r="D52" s="26" t="str">
        <x:v>Criterio contractual VSS</x:v>
      </x:c>
      <x:c r="E52" s="26" t="str">
        <x:v>Posiciones se liberan y avanzan correctamente.</x:v>
      </x:c>
      <x:c r="F52" s="26" t="str">
        <x:v>Ejecutar la prueba correspondiente en Editor y/o build según el nivel definido en 02 y registrar resultado reproducible.</x:v>
      </x:c>
      <x:c r="G52" s="26" t="str">
        <x:v>El criterio se cumple sin desviaciones bloqueantes y con resultado trazable.</x:v>
      </x:c>
      <x:c r="H52" s="26" t="str">
        <x:v>Observación.</x:v>
      </x:c>
      <x:c r="I52" s="26" t="str">
        <x:v>02_Vertical_Slice_Specification.md §7</x:v>
      </x:c>
      <x:c r="J52" s="26" t="str">
        <x:v>Vertical Slice Specification v0.1–v0.4; QA Plan/Matrix v0.3–v0.6</x:v>
      </x:c>
      <x:c r="K52" s="26" t="str">
        <x:v>H6</x:v>
      </x:c>
      <x:c r="L52" s="26" t="str">
        <x:v>Yes</x:v>
      </x:c>
      <x:c r="M52" s="26" t="str">
        <x:v>P0</x:v>
      </x:c>
      <x:c r="N52" s="26" t="str">
        <x:v>AI/Engineering</x:v>
      </x:c>
      <x:c r="O52" s="26" t="str">
        <x:v>QA/Production</x:v>
      </x:c>
      <x:c r="P52" s="26" t="str">
        <x:v>NOT RUN</x:v>
      </x:c>
      <x:c r="Q52" s="26"/>
      <x:c r="R52" s="26"/>
      <x:c r="S52" s="26"/>
      <x:c r="T52" s="26"/>
      <x:c r="U52" s="26"/>
      <x:c r="V52" s="26"/>
      <x:c r="W52" s="26" t="n">
        <x:v>1</x:v>
      </x:c>
      <x:c r="X52" s="26" t="n">
        <x:v>0</x:v>
      </x:c>
      <x:c r="Y52" s="26" t="n">
        <x:v>1</x:v>
      </x:c>
      <x:c r="Z52" s="26" t="str">
        <x:v>PENDING</x:v>
      </x:c>
      <x:c r="AA52" s="26" t="str">
        <x:v>CHG-RC1-DOC-31</x:v>
      </x:c>
      <x:c r="AB52" s="26" t="str">
        <x:v>DEFINED / NOT EXECUTED</x:v>
      </x:c>
    </x:row>
    <x:row r="53" ht="30" customHeight="1">
      <x:c r="A53" s="26" t="str">
        <x:v>H6</x:v>
      </x:c>
      <x:c r="B53" s="26" t="str">
        <x:v>VS-QUE-003</x:v>
      </x:c>
      <x:c r="C53" s="26" t="str">
        <x:v>Cola</x:v>
      </x:c>
      <x:c r="D53" s="26" t="str">
        <x:v>Criterio contractual VSS</x:v>
      </x:c>
      <x:c r="E53" s="26" t="str">
        <x:v>Saturación no produce bloqueo permanente.</x:v>
      </x:c>
      <x:c r="F53" s="26" t="str">
        <x:v>Ejecutar la prueba correspondiente en Editor y/o build según el nivel definido en 02 y registrar resultado reproducible.</x:v>
      </x:c>
      <x:c r="G53" s="26" t="str">
        <x:v>El criterio se cumple sin desviaciones bloqueantes y con resultado trazable.</x:v>
      </x:c>
      <x:c r="H53" s="26" t="str">
        <x:v>Stress funcional.</x:v>
      </x:c>
      <x:c r="I53" s="26" t="str">
        <x:v>02_Vertical_Slice_Specification.md §7</x:v>
      </x:c>
      <x:c r="J53" s="26" t="str">
        <x:v>Vertical Slice Specification v0.1–v0.4; QA Plan/Matrix v0.3–v0.6</x:v>
      </x:c>
      <x:c r="K53" s="26" t="str">
        <x:v>H6</x:v>
      </x:c>
      <x:c r="L53" s="26" t="str">
        <x:v>Yes</x:v>
      </x:c>
      <x:c r="M53" s="26" t="str">
        <x:v>P0</x:v>
      </x:c>
      <x:c r="N53" s="26" t="str">
        <x:v>AI/Engineering</x:v>
      </x:c>
      <x:c r="O53" s="26" t="str">
        <x:v>QA/Production</x:v>
      </x:c>
      <x:c r="P53" s="26" t="str">
        <x:v>NOT RUN</x:v>
      </x:c>
      <x:c r="Q53" s="26"/>
      <x:c r="R53" s="26"/>
      <x:c r="S53" s="26"/>
      <x:c r="T53" s="26"/>
      <x:c r="U53" s="26"/>
      <x:c r="V53" s="26"/>
      <x:c r="W53" s="26" t="n">
        <x:v>1</x:v>
      </x:c>
      <x:c r="X53" s="26" t="n">
        <x:v>0</x:v>
      </x:c>
      <x:c r="Y53" s="26" t="n">
        <x:v>1</x:v>
      </x:c>
      <x:c r="Z53" s="26" t="str">
        <x:v>PENDING</x:v>
      </x:c>
      <x:c r="AA53" s="26" t="str">
        <x:v>CHG-RC1-DOC-31</x:v>
      </x:c>
      <x:c r="AB53" s="26" t="str">
        <x:v>DEFINED / NOT EXECUTED</x:v>
      </x:c>
    </x:row>
    <x:row r="54" ht="30" customHeight="1">
      <x:c r="A54" s="26" t="str">
        <x:v>H6</x:v>
      </x:c>
      <x:c r="B54" s="26" t="str">
        <x:v>VS-CHK-001</x:v>
      </x:c>
      <x:c r="C54" s="26" t="str">
        <x:v>Checkout</x:v>
      </x:c>
      <x:c r="D54" s="26" t="str">
        <x:v>Criterio contractual VSS</x:v>
      </x:c>
      <x:c r="E54" s="26" t="str">
        <x:v>Preflight rechaza transacción inválida sin mutación.</x:v>
      </x:c>
      <x:c r="F54" s="26" t="str">
        <x:v>Ejecutar la prueba correspondiente en Editor y/o build según el nivel definido en 02 y registrar resultado reproducible.</x:v>
      </x:c>
      <x:c r="G54" s="26" t="str">
        <x:v>El criterio se cumple sin desviaciones bloqueantes y con resultado trazable.</x:v>
      </x:c>
      <x:c r="H54" s="26" t="str">
        <x:v>Test negativo.</x:v>
      </x:c>
      <x:c r="I54" s="26" t="str">
        <x:v>02_Vertical_Slice_Specification.md §7</x:v>
      </x:c>
      <x:c r="J54" s="26" t="str">
        <x:v>Vertical Slice Specification v0.1–v0.4; QA Plan/Matrix v0.3–v0.6</x:v>
      </x:c>
      <x:c r="K54" s="26" t="str">
        <x:v>H6</x:v>
      </x:c>
      <x:c r="L54" s="26" t="str">
        <x:v>Yes</x:v>
      </x:c>
      <x:c r="M54" s="26" t="str">
        <x:v>P0</x:v>
      </x:c>
      <x:c r="N54" s="26" t="str">
        <x:v>Engineering/Design</x:v>
      </x:c>
      <x:c r="O54" s="26" t="str">
        <x:v>QA/Production</x:v>
      </x:c>
      <x:c r="P54" s="26" t="str">
        <x:v>NOT RUN</x:v>
      </x:c>
      <x:c r="Q54" s="26"/>
      <x:c r="R54" s="26"/>
      <x:c r="S54" s="26"/>
      <x:c r="T54" s="26"/>
      <x:c r="U54" s="26"/>
      <x:c r="V54" s="26"/>
      <x:c r="W54" s="26" t="n">
        <x:v>1</x:v>
      </x:c>
      <x:c r="X54" s="26" t="n">
        <x:v>0</x:v>
      </x:c>
      <x:c r="Y54" s="26" t="n">
        <x:v>1</x:v>
      </x:c>
      <x:c r="Z54" s="26" t="str">
        <x:v>PENDING</x:v>
      </x:c>
      <x:c r="AA54" s="26" t="str">
        <x:v>CHG-RC1-DOC-31</x:v>
      </x:c>
      <x:c r="AB54" s="26" t="str">
        <x:v>DEFINED / NOT EXECUTED</x:v>
      </x:c>
    </x:row>
    <x:row r="55" ht="30" customHeight="1">
      <x:c r="A55" s="26" t="str">
        <x:v>H6</x:v>
      </x:c>
      <x:c r="B55" s="26" t="str">
        <x:v>VS-CHK-002</x:v>
      </x:c>
      <x:c r="C55" s="26" t="str">
        <x:v>Checkout</x:v>
      </x:c>
      <x:c r="D55" s="26" t="str">
        <x:v>Criterio contractual VSS</x:v>
      </x:c>
      <x:c r="E55" s="26" t="str">
        <x:v>Venta válida consume una unidad y registra un ingreso.</x:v>
      </x:c>
      <x:c r="F55" s="26" t="str">
        <x:v>Ejecutar la prueba correspondiente en Editor y/o build según el nivel definido en 02 y registrar resultado reproducible.</x:v>
      </x:c>
      <x:c r="G55" s="26" t="str">
        <x:v>El criterio se cumple sin desviaciones bloqueantes y con resultado trazable.</x:v>
      </x:c>
      <x:c r="H55" s="26" t="str">
        <x:v>Test automatizado.</x:v>
      </x:c>
      <x:c r="I55" s="26" t="str">
        <x:v>02_Vertical_Slice_Specification.md §7</x:v>
      </x:c>
      <x:c r="J55" s="26" t="str">
        <x:v>Vertical Slice Specification v0.1–v0.4; QA Plan/Matrix v0.3–v0.6</x:v>
      </x:c>
      <x:c r="K55" s="26" t="str">
        <x:v>H6</x:v>
      </x:c>
      <x:c r="L55" s="26" t="str">
        <x:v>Yes</x:v>
      </x:c>
      <x:c r="M55" s="26" t="str">
        <x:v>P0</x:v>
      </x:c>
      <x:c r="N55" s="26" t="str">
        <x:v>Engineering/Design</x:v>
      </x:c>
      <x:c r="O55" s="26" t="str">
        <x:v>QA/Production</x:v>
      </x:c>
      <x:c r="P55" s="26" t="str">
        <x:v>NOT RUN</x:v>
      </x:c>
      <x:c r="Q55" s="26"/>
      <x:c r="R55" s="26"/>
      <x:c r="S55" s="26"/>
      <x:c r="T55" s="26"/>
      <x:c r="U55" s="26"/>
      <x:c r="V55" s="26"/>
      <x:c r="W55" s="26" t="n">
        <x:v>1</x:v>
      </x:c>
      <x:c r="X55" s="26" t="n">
        <x:v>0</x:v>
      </x:c>
      <x:c r="Y55" s="26" t="n">
        <x:v>1</x:v>
      </x:c>
      <x:c r="Z55" s="26" t="str">
        <x:v>PENDING</x:v>
      </x:c>
      <x:c r="AA55" s="26" t="str">
        <x:v>CHG-RC1-DOC-31</x:v>
      </x:c>
      <x:c r="AB55" s="26" t="str">
        <x:v>DEFINED / NOT EXECUTED</x:v>
      </x:c>
    </x:row>
    <x:row r="56" ht="30" customHeight="1">
      <x:c r="A56" s="26" t="str">
        <x:v>H6</x:v>
      </x:c>
      <x:c r="B56" s="26" t="str">
        <x:v>VS-CHK-003</x:v>
      </x:c>
      <x:c r="C56" s="26" t="str">
        <x:v>Checkout</x:v>
      </x:c>
      <x:c r="D56" s="26" t="str">
        <x:v>Criterio contractual VSS</x:v>
      </x:c>
      <x:c r="E56" s="26" t="str">
        <x:v>La misma venta no puede confirmarse dos veces.</x:v>
      </x:c>
      <x:c r="F56" s="26" t="str">
        <x:v>Ejecutar la prueba correspondiente en Editor y/o build según el nivel definido en 02 y registrar resultado reproducible.</x:v>
      </x:c>
      <x:c r="G56" s="26" t="str">
        <x:v>El criterio se cumple sin desviaciones bloqueantes y con resultado trazable.</x:v>
      </x:c>
      <x:c r="H56" s="26" t="str">
        <x:v>Doble input/evento.</x:v>
      </x:c>
      <x:c r="I56" s="26" t="str">
        <x:v>02_Vertical_Slice_Specification.md §7</x:v>
      </x:c>
      <x:c r="J56" s="26" t="str">
        <x:v>Vertical Slice Specification v0.1–v0.4; QA Plan/Matrix v0.3–v0.6</x:v>
      </x:c>
      <x:c r="K56" s="26" t="str">
        <x:v>H6</x:v>
      </x:c>
      <x:c r="L56" s="26" t="str">
        <x:v>Yes</x:v>
      </x:c>
      <x:c r="M56" s="26" t="str">
        <x:v>P0</x:v>
      </x:c>
      <x:c r="N56" s="26" t="str">
        <x:v>Engineering/Design</x:v>
      </x:c>
      <x:c r="O56" s="26" t="str">
        <x:v>QA/Production</x:v>
      </x:c>
      <x:c r="P56" s="26" t="str">
        <x:v>NOT RUN</x:v>
      </x:c>
      <x:c r="Q56" s="26"/>
      <x:c r="R56" s="26"/>
      <x:c r="S56" s="26"/>
      <x:c r="T56" s="26"/>
      <x:c r="U56" s="26"/>
      <x:c r="V56" s="26"/>
      <x:c r="W56" s="26" t="n">
        <x:v>1</x:v>
      </x:c>
      <x:c r="X56" s="26" t="n">
        <x:v>0</x:v>
      </x:c>
      <x:c r="Y56" s="26" t="n">
        <x:v>1</x:v>
      </x:c>
      <x:c r="Z56" s="26" t="str">
        <x:v>PENDING</x:v>
      </x:c>
      <x:c r="AA56" s="26" t="str">
        <x:v>CHG-RC1-DOC-31</x:v>
      </x:c>
      <x:c r="AB56" s="26" t="str">
        <x:v>DEFINED / NOT EXECUTED</x:v>
      </x:c>
    </x:row>
    <x:row r="57" ht="30" customHeight="1">
      <x:c r="A57" s="26" t="str">
        <x:v>H6</x:v>
      </x:c>
      <x:c r="B57" s="26" t="str">
        <x:v>VS-CHK-004</x:v>
      </x:c>
      <x:c r="C57" s="26" t="str">
        <x:v>Checkout</x:v>
      </x:c>
      <x:c r="D57" s="26" t="str">
        <x:v>Criterio contractual VSS</x:v>
      </x:c>
      <x:c r="E57" s="26" t="str">
        <x:v>Cliente, reserva, cola y métricas quedan resueltos tras vender.</x:v>
      </x:c>
      <x:c r="F57" s="26" t="str">
        <x:v>Ejecutar la prueba correspondiente en Editor y/o build según el nivel definido en 02 y registrar resultado reproducible.</x:v>
      </x:c>
      <x:c r="G57" s="26" t="str">
        <x:v>El criterio se cumple sin desviaciones bloqueantes y con resultado trazable.</x:v>
      </x:c>
      <x:c r="H57" s="26" t="str">
        <x:v>Inspección postcondición.</x:v>
      </x:c>
      <x:c r="I57" s="26" t="str">
        <x:v>02_Vertical_Slice_Specification.md §7</x:v>
      </x:c>
      <x:c r="J57" s="26" t="str">
        <x:v>Vertical Slice Specification v0.1–v0.4; QA Plan/Matrix v0.3–v0.6</x:v>
      </x:c>
      <x:c r="K57" s="26" t="str">
        <x:v>H6</x:v>
      </x:c>
      <x:c r="L57" s="26" t="str">
        <x:v>Yes</x:v>
      </x:c>
      <x:c r="M57" s="26" t="str">
        <x:v>P0</x:v>
      </x:c>
      <x:c r="N57" s="26" t="str">
        <x:v>Engineering/Design</x:v>
      </x:c>
      <x:c r="O57" s="26" t="str">
        <x:v>QA/Production</x:v>
      </x:c>
      <x:c r="P57" s="26" t="str">
        <x:v>NOT RUN</x:v>
      </x:c>
      <x:c r="Q57" s="26"/>
      <x:c r="R57" s="26"/>
      <x:c r="S57" s="26"/>
      <x:c r="T57" s="26"/>
      <x:c r="U57" s="26"/>
      <x:c r="V57" s="26"/>
      <x:c r="W57" s="26" t="n">
        <x:v>1</x:v>
      </x:c>
      <x:c r="X57" s="26" t="n">
        <x:v>0</x:v>
      </x:c>
      <x:c r="Y57" s="26" t="n">
        <x:v>1</x:v>
      </x:c>
      <x:c r="Z57" s="26" t="str">
        <x:v>PENDING</x:v>
      </x:c>
      <x:c r="AA57" s="26" t="str">
        <x:v>CHG-RC1-DOC-31</x:v>
      </x:c>
      <x:c r="AB57" s="26" t="str">
        <x:v>DEFINED / NOT EXECUTED</x:v>
      </x:c>
    </x:row>
    <x:row r="58" ht="30" customHeight="1">
      <x:c r="A58" s="26" t="str">
        <x:v>H6</x:v>
      </x:c>
      <x:c r="B58" s="26" t="str">
        <x:v>VS-DAY-001</x:v>
      </x:c>
      <x:c r="C58" s="26" t="str">
        <x:v>Día</x:v>
      </x:c>
      <x:c r="D58" s="26" t="str">
        <x:v>Criterio contractual VSS</x:v>
      </x:c>
      <x:c r="E58" s="26" t="str">
        <x:v>Transiciones entre estados siguen el orden permitido.</x:v>
      </x:c>
      <x:c r="F58" s="26" t="str">
        <x:v>Ejecutar la prueba correspondiente en Editor y/o build según el nivel definido en 02 y registrar resultado reproducible.</x:v>
      </x:c>
      <x:c r="G58" s="26" t="str">
        <x:v>El criterio se cumple sin desviaciones bloqueantes y con resultado trazable.</x:v>
      </x:c>
      <x:c r="H58" s="26" t="str">
        <x:v>Test de state machine.</x:v>
      </x:c>
      <x:c r="I58" s="26" t="str">
        <x:v>02_Vertical_Slice_Specification.md §7</x:v>
      </x:c>
      <x:c r="J58" s="26" t="str">
        <x:v>Vertical Slice Specification v0.1–v0.4; QA Plan/Matrix v0.3–v0.6</x:v>
      </x:c>
      <x:c r="K58" s="26" t="str">
        <x:v>H6</x:v>
      </x:c>
      <x:c r="L58" s="26" t="str">
        <x:v>Yes</x:v>
      </x:c>
      <x:c r="M58" s="26" t="str">
        <x:v>P0</x:v>
      </x:c>
      <x:c r="N58" s="26" t="str">
        <x:v>Engineering/Design</x:v>
      </x:c>
      <x:c r="O58" s="26" t="str">
        <x:v>QA/Production</x:v>
      </x:c>
      <x:c r="P58" s="26" t="str">
        <x:v>NOT RUN</x:v>
      </x:c>
      <x:c r="Q58" s="26"/>
      <x:c r="R58" s="26"/>
      <x:c r="S58" s="26"/>
      <x:c r="T58" s="26"/>
      <x:c r="U58" s="26"/>
      <x:c r="V58" s="26"/>
      <x:c r="W58" s="26" t="n">
        <x:v>1</x:v>
      </x:c>
      <x:c r="X58" s="26" t="n">
        <x:v>0</x:v>
      </x:c>
      <x:c r="Y58" s="26" t="n">
        <x:v>1</x:v>
      </x:c>
      <x:c r="Z58" s="26" t="str">
        <x:v>PENDING</x:v>
      </x:c>
      <x:c r="AA58" s="26" t="str">
        <x:v>CHG-RC1-DOC-31</x:v>
      </x:c>
      <x:c r="AB58" s="26" t="str">
        <x:v>DEFINED / NOT EXECUTED</x:v>
      </x:c>
    </x:row>
    <x:row r="59" ht="30" customHeight="1">
      <x:c r="A59" s="26" t="str">
        <x:v>H6</x:v>
      </x:c>
      <x:c r="B59" s="26" t="str">
        <x:v>VS-DAY-002</x:v>
      </x:c>
      <x:c r="C59" s="26" t="str">
        <x:v>Día</x:v>
      </x:c>
      <x:c r="D59" s="26" t="str">
        <x:v>Criterio contractual VSS</x:v>
      </x:c>
      <x:c r="E59" s="26" t="str">
        <x:v>Abrir habilita clientes una sola vez.</x:v>
      </x:c>
      <x:c r="F59" s="26" t="str">
        <x:v>Ejecutar la prueba correspondiente en Editor y/o build según el nivel definido en 02 y registrar resultado reproducible.</x:v>
      </x:c>
      <x:c r="G59" s="26" t="str">
        <x:v>El criterio se cumple sin desviaciones bloqueantes y con resultado trazable.</x:v>
      </x:c>
      <x:c r="H59" s="26" t="str">
        <x:v>Prueba de apertura.</x:v>
      </x:c>
      <x:c r="I59" s="26" t="str">
        <x:v>02_Vertical_Slice_Specification.md §7</x:v>
      </x:c>
      <x:c r="J59" s="26" t="str">
        <x:v>Vertical Slice Specification v0.1–v0.4; QA Plan/Matrix v0.3–v0.6</x:v>
      </x:c>
      <x:c r="K59" s="26" t="str">
        <x:v>H6</x:v>
      </x:c>
      <x:c r="L59" s="26" t="str">
        <x:v>Yes</x:v>
      </x:c>
      <x:c r="M59" s="26" t="str">
        <x:v>P0</x:v>
      </x:c>
      <x:c r="N59" s="26" t="str">
        <x:v>Engineering/Design</x:v>
      </x:c>
      <x:c r="O59" s="26" t="str">
        <x:v>QA/Production</x:v>
      </x:c>
      <x:c r="P59" s="26" t="str">
        <x:v>NOT RUN</x:v>
      </x:c>
      <x:c r="Q59" s="26"/>
      <x:c r="R59" s="26"/>
      <x:c r="S59" s="26"/>
      <x:c r="T59" s="26"/>
      <x:c r="U59" s="26"/>
      <x:c r="V59" s="26"/>
      <x:c r="W59" s="26" t="n">
        <x:v>1</x:v>
      </x:c>
      <x:c r="X59" s="26" t="n">
        <x:v>0</x:v>
      </x:c>
      <x:c r="Y59" s="26" t="n">
        <x:v>1</x:v>
      </x:c>
      <x:c r="Z59" s="26" t="str">
        <x:v>PENDING</x:v>
      </x:c>
      <x:c r="AA59" s="26" t="str">
        <x:v>CHG-RC1-DOC-31</x:v>
      </x:c>
      <x:c r="AB59" s="26" t="str">
        <x:v>DEFINED / NOT EXECUTED</x:v>
      </x:c>
    </x:row>
    <x:row r="60" ht="30" customHeight="1">
      <x:c r="A60" s="26" t="str">
        <x:v>H6</x:v>
      </x:c>
      <x:c r="B60" s="26" t="str">
        <x:v>VS-DAY-003</x:v>
      </x:c>
      <x:c r="C60" s="26" t="str">
        <x:v>Día</x:v>
      </x:c>
      <x:c r="D60" s="26" t="str">
        <x:v>Criterio contractual VSS</x:v>
      </x:c>
      <x:c r="E60" s="26" t="str">
        <x:v>Cerrar impide nuevas entradas y resuelve activos.</x:v>
      </x:c>
      <x:c r="F60" s="26" t="str">
        <x:v>Ejecutar la prueba correspondiente en Editor y/o build según el nivel definido en 02 y registrar resultado reproducible.</x:v>
      </x:c>
      <x:c r="G60" s="26" t="str">
        <x:v>El criterio se cumple sin desviaciones bloqueantes y con resultado trazable.</x:v>
      </x:c>
      <x:c r="H60" s="26" t="str">
        <x:v>Cierre manual/forzado.</x:v>
      </x:c>
      <x:c r="I60" s="26" t="str">
        <x:v>02_Vertical_Slice_Specification.md §7</x:v>
      </x:c>
      <x:c r="J60" s="26" t="str">
        <x:v>Vertical Slice Specification v0.1–v0.4; QA Plan/Matrix v0.3–v0.6</x:v>
      </x:c>
      <x:c r="K60" s="26" t="str">
        <x:v>H6</x:v>
      </x:c>
      <x:c r="L60" s="26" t="str">
        <x:v>Yes</x:v>
      </x:c>
      <x:c r="M60" s="26" t="str">
        <x:v>P0</x:v>
      </x:c>
      <x:c r="N60" s="26" t="str">
        <x:v>Engineering/Design</x:v>
      </x:c>
      <x:c r="O60" s="26" t="str">
        <x:v>QA/Production</x:v>
      </x:c>
      <x:c r="P60" s="26" t="str">
        <x:v>NOT RUN</x:v>
      </x:c>
      <x:c r="Q60" s="26"/>
      <x:c r="R60" s="26"/>
      <x:c r="S60" s="26"/>
      <x:c r="T60" s="26"/>
      <x:c r="U60" s="26"/>
      <x:c r="V60" s="26"/>
      <x:c r="W60" s="26" t="n">
        <x:v>1</x:v>
      </x:c>
      <x:c r="X60" s="26" t="n">
        <x:v>0</x:v>
      </x:c>
      <x:c r="Y60" s="26" t="n">
        <x:v>1</x:v>
      </x:c>
      <x:c r="Z60" s="26" t="str">
        <x:v>PENDING</x:v>
      </x:c>
      <x:c r="AA60" s="26" t="str">
        <x:v>CHG-RC1-DOC-31</x:v>
      </x:c>
      <x:c r="AB60" s="26" t="str">
        <x:v>DEFINED / NOT EXECUTED</x:v>
      </x:c>
    </x:row>
    <x:row r="61" ht="30" customHeight="1">
      <x:c r="A61" s="26" t="str">
        <x:v>H6</x:v>
      </x:c>
      <x:c r="B61" s="26" t="str">
        <x:v>VS-DAY-004</x:v>
      </x:c>
      <x:c r="C61" s="26" t="str">
        <x:v>Día</x:v>
      </x:c>
      <x:c r="D61" s="26" t="str">
        <x:v>Criterio contractual VSS</x:v>
      </x:c>
      <x:c r="E61" s="26" t="str">
        <x:v>Resumen y avance se generan una sola vez.</x:v>
      </x:c>
      <x:c r="F61" s="26" t="str">
        <x:v>Ejecutar la prueba correspondiente en Editor y/o build según el nivel definido en 02 y registrar resultado reproducible.</x:v>
      </x:c>
      <x:c r="G61" s="26" t="str">
        <x:v>El criterio se cumple sin desviaciones bloqueantes y con resultado trazable.</x:v>
      </x:c>
      <x:c r="H61" s="26" t="str">
        <x:v>Doble input/recarga.</x:v>
      </x:c>
      <x:c r="I61" s="26" t="str">
        <x:v>02_Vertical_Slice_Specification.md §7</x:v>
      </x:c>
      <x:c r="J61" s="26" t="str">
        <x:v>Vertical Slice Specification v0.1–v0.4; QA Plan/Matrix v0.3–v0.6</x:v>
      </x:c>
      <x:c r="K61" s="26" t="str">
        <x:v>H6</x:v>
      </x:c>
      <x:c r="L61" s="26" t="str">
        <x:v>Yes</x:v>
      </x:c>
      <x:c r="M61" s="26" t="str">
        <x:v>P0</x:v>
      </x:c>
      <x:c r="N61" s="26" t="str">
        <x:v>Engineering/Design</x:v>
      </x:c>
      <x:c r="O61" s="26" t="str">
        <x:v>QA/Production</x:v>
      </x:c>
      <x:c r="P61" s="26" t="str">
        <x:v>NOT RUN</x:v>
      </x:c>
      <x:c r="Q61" s="26"/>
      <x:c r="R61" s="26"/>
      <x:c r="S61" s="26"/>
      <x:c r="T61" s="26"/>
      <x:c r="U61" s="26"/>
      <x:c r="V61" s="26"/>
      <x:c r="W61" s="26" t="n">
        <x:v>1</x:v>
      </x:c>
      <x:c r="X61" s="26" t="n">
        <x:v>0</x:v>
      </x:c>
      <x:c r="Y61" s="26" t="n">
        <x:v>1</x:v>
      </x:c>
      <x:c r="Z61" s="26" t="str">
        <x:v>PENDING</x:v>
      </x:c>
      <x:c r="AA61" s="26" t="str">
        <x:v>CHG-RC1-DOC-31</x:v>
      </x:c>
      <x:c r="AB61" s="26" t="str">
        <x:v>DEFINED / NOT EXECUTED</x:v>
      </x:c>
    </x:row>
    <x:row r="62" ht="30" customHeight="1">
      <x:c r="A62" s="26" t="str">
        <x:v>H6</x:v>
      </x:c>
      <x:c r="B62" s="26" t="str">
        <x:v>VS-ECO-001</x:v>
      </x:c>
      <x:c r="C62" s="26" t="str">
        <x:v>Economía</x:v>
      </x:c>
      <x:c r="D62" s="26" t="str">
        <x:v>Criterio contractual VSS</x:v>
      </x:c>
      <x:c r="E62" s="26" t="str">
        <x:v>Todo cambio de saldo tiene movimiento registrado.</x:v>
      </x:c>
      <x:c r="F62" s="26" t="str">
        <x:v>Ejecutar la prueba correspondiente en Editor y/o build según el nivel definido en 02 y registrar resultado reproducible.</x:v>
      </x:c>
      <x:c r="G62" s="26" t="str">
        <x:v>El criterio se cumple sin desviaciones bloqueantes y con resultado trazable.</x:v>
      </x:c>
      <x:c r="H62" s="26" t="str">
        <x:v>Auditoría contable.</x:v>
      </x:c>
      <x:c r="I62" s="26" t="str">
        <x:v>02_Vertical_Slice_Specification.md §7</x:v>
      </x:c>
      <x:c r="J62" s="26" t="str">
        <x:v>Vertical Slice Specification v0.1–v0.4; QA Plan/Matrix v0.3–v0.6</x:v>
      </x:c>
      <x:c r="K62" s="26" t="str">
        <x:v>H6</x:v>
      </x:c>
      <x:c r="L62" s="26" t="str">
        <x:v>Yes</x:v>
      </x:c>
      <x:c r="M62" s="26" t="str">
        <x:v>P0</x:v>
      </x:c>
      <x:c r="N62" s="26" t="str">
        <x:v>Design/Engineering</x:v>
      </x:c>
      <x:c r="O62" s="26" t="str">
        <x:v>QA/Production</x:v>
      </x:c>
      <x:c r="P62" s="26" t="str">
        <x:v>NOT RUN</x:v>
      </x:c>
      <x:c r="Q62" s="26"/>
      <x:c r="R62" s="26"/>
      <x:c r="S62" s="26"/>
      <x:c r="T62" s="26"/>
      <x:c r="U62" s="26"/>
      <x:c r="V62" s="26"/>
      <x:c r="W62" s="26" t="n">
        <x:v>1</x:v>
      </x:c>
      <x:c r="X62" s="26" t="n">
        <x:v>0</x:v>
      </x:c>
      <x:c r="Y62" s="26" t="n">
        <x:v>1</x:v>
      </x:c>
      <x:c r="Z62" s="26" t="str">
        <x:v>PENDING</x:v>
      </x:c>
      <x:c r="AA62" s="26" t="str">
        <x:v>CHG-RC1-DOC-31</x:v>
      </x:c>
      <x:c r="AB62" s="26" t="str">
        <x:v>DEFINED / NOT EXECUTED</x:v>
      </x:c>
    </x:row>
    <x:row r="63" ht="30" customHeight="1">
      <x:c r="A63" s="26" t="str">
        <x:v>H6</x:v>
      </x:c>
      <x:c r="B63" s="26" t="str">
        <x:v>VS-ECO-002</x:v>
      </x:c>
      <x:c r="C63" s="26" t="str">
        <x:v>Economía</x:v>
      </x:c>
      <x:c r="D63" s="26" t="str">
        <x:v>Criterio contractual VSS</x:v>
      </x:c>
      <x:c r="E63" s="26" t="str">
        <x:v>Venta genera un único ingreso con precio correcto.</x:v>
      </x:c>
      <x:c r="F63" s="26" t="str">
        <x:v>Ejecutar la prueba correspondiente en Editor y/o build según el nivel definido en 02 y registrar resultado reproducible.</x:v>
      </x:c>
      <x:c r="G63" s="26" t="str">
        <x:v>El criterio se cumple sin desviaciones bloqueantes y con resultado trazable.</x:v>
      </x:c>
      <x:c r="H63" s="26" t="str">
        <x:v>Test de transacción.</x:v>
      </x:c>
      <x:c r="I63" s="26" t="str">
        <x:v>02_Vertical_Slice_Specification.md §7</x:v>
      </x:c>
      <x:c r="J63" s="26" t="str">
        <x:v>Vertical Slice Specification v0.1–v0.4; QA Plan/Matrix v0.3–v0.6</x:v>
      </x:c>
      <x:c r="K63" s="26" t="str">
        <x:v>H6</x:v>
      </x:c>
      <x:c r="L63" s="26" t="str">
        <x:v>Yes</x:v>
      </x:c>
      <x:c r="M63" s="26" t="str">
        <x:v>P0</x:v>
      </x:c>
      <x:c r="N63" s="26" t="str">
        <x:v>Design/Engineering</x:v>
      </x:c>
      <x:c r="O63" s="26" t="str">
        <x:v>QA/Production</x:v>
      </x:c>
      <x:c r="P63" s="26" t="str">
        <x:v>NOT RUN</x:v>
      </x:c>
      <x:c r="Q63" s="26"/>
      <x:c r="R63" s="26"/>
      <x:c r="S63" s="26"/>
      <x:c r="T63" s="26"/>
      <x:c r="U63" s="26"/>
      <x:c r="V63" s="26"/>
      <x:c r="W63" s="26" t="n">
        <x:v>1</x:v>
      </x:c>
      <x:c r="X63" s="26" t="n">
        <x:v>0</x:v>
      </x:c>
      <x:c r="Y63" s="26" t="n">
        <x:v>1</x:v>
      </x:c>
      <x:c r="Z63" s="26" t="str">
        <x:v>PENDING</x:v>
      </x:c>
      <x:c r="AA63" s="26" t="str">
        <x:v>CHG-RC1-DOC-31</x:v>
      </x:c>
      <x:c r="AB63" s="26" t="str">
        <x:v>DEFINED / NOT EXECUTED</x:v>
      </x:c>
    </x:row>
    <x:row r="64" ht="30" customHeight="1">
      <x:c r="A64" s="26" t="str">
        <x:v>H6</x:v>
      </x:c>
      <x:c r="B64" s="26" t="str">
        <x:v>VS-ECO-003</x:v>
      </x:c>
      <x:c r="C64" s="26" t="str">
        <x:v>Economía</x:v>
      </x:c>
      <x:c r="D64" s="26" t="str">
        <x:v>Criterio contractual VSS</x:v>
      </x:c>
      <x:c r="E64" s="26" t="str">
        <x:v>Pedido rechazado no cambia saldo.</x:v>
      </x:c>
      <x:c r="F64" s="26" t="str">
        <x:v>Ejecutar la prueba correspondiente en Editor y/o build según el nivel definido en 02 y registrar resultado reproducible.</x:v>
      </x:c>
      <x:c r="G64" s="26" t="str">
        <x:v>El criterio se cumple sin desviaciones bloqueantes y con resultado trazable.</x:v>
      </x:c>
      <x:c r="H64" s="26" t="str">
        <x:v>Prueba negativa.</x:v>
      </x:c>
      <x:c r="I64" s="26" t="str">
        <x:v>02_Vertical_Slice_Specification.md §7</x:v>
      </x:c>
      <x:c r="J64" s="26" t="str">
        <x:v>Vertical Slice Specification v0.1–v0.4; QA Plan/Matrix v0.3–v0.6</x:v>
      </x:c>
      <x:c r="K64" s="26" t="str">
        <x:v>H6</x:v>
      </x:c>
      <x:c r="L64" s="26" t="str">
        <x:v>Yes</x:v>
      </x:c>
      <x:c r="M64" s="26" t="str">
        <x:v>P0</x:v>
      </x:c>
      <x:c r="N64" s="26" t="str">
        <x:v>Design/Engineering</x:v>
      </x:c>
      <x:c r="O64" s="26" t="str">
        <x:v>QA/Production</x:v>
      </x:c>
      <x:c r="P64" s="26" t="str">
        <x:v>NOT RUN</x:v>
      </x:c>
      <x:c r="Q64" s="26"/>
      <x:c r="R64" s="26"/>
      <x:c r="S64" s="26"/>
      <x:c r="T64" s="26"/>
      <x:c r="U64" s="26"/>
      <x:c r="V64" s="26"/>
      <x:c r="W64" s="26" t="n">
        <x:v>1</x:v>
      </x:c>
      <x:c r="X64" s="26" t="n">
        <x:v>0</x:v>
      </x:c>
      <x:c r="Y64" s="26" t="n">
        <x:v>1</x:v>
      </x:c>
      <x:c r="Z64" s="26" t="str">
        <x:v>PENDING</x:v>
      </x:c>
      <x:c r="AA64" s="26" t="str">
        <x:v>CHG-RC1-DOC-31</x:v>
      </x:c>
      <x:c r="AB64" s="26" t="str">
        <x:v>DEFINED / NOT EXECUTED</x:v>
      </x:c>
    </x:row>
    <x:row r="65" ht="30" customHeight="1">
      <x:c r="A65" s="26" t="str">
        <x:v>H6</x:v>
      </x:c>
      <x:c r="B65" s="26" t="str">
        <x:v>VS-ECO-004</x:v>
      </x:c>
      <x:c r="C65" s="26" t="str">
        <x:v>Economía</x:v>
      </x:c>
      <x:c r="D65" s="26" t="str">
        <x:v>Criterio contractual VSS</x:v>
      </x:c>
      <x:c r="E65" s="26" t="str">
        <x:v>Impuesto solo se aplica a beneficio semanal positivo.</x:v>
      </x:c>
      <x:c r="F65" s="26" t="str">
        <x:v>Ejecutar la prueba correspondiente en Editor y/o build según el nivel definido en 02 y registrar resultado reproducible.</x:v>
      </x:c>
      <x:c r="G65" s="26" t="str">
        <x:v>El criterio se cumple sin desviaciones bloqueantes y con resultado trazable.</x:v>
      </x:c>
      <x:c r="H65" s="26" t="str">
        <x:v>Casos positivo/cero/negativo.</x:v>
      </x:c>
      <x:c r="I65" s="26" t="str">
        <x:v>02_Vertical_Slice_Specification.md §7</x:v>
      </x:c>
      <x:c r="J65" s="26" t="str">
        <x:v>Vertical Slice Specification v0.1–v0.4; QA Plan/Matrix v0.3–v0.6</x:v>
      </x:c>
      <x:c r="K65" s="26" t="str">
        <x:v>H6</x:v>
      </x:c>
      <x:c r="L65" s="26" t="str">
        <x:v>Yes</x:v>
      </x:c>
      <x:c r="M65" s="26" t="str">
        <x:v>P0</x:v>
      </x:c>
      <x:c r="N65" s="26" t="str">
        <x:v>Design/Engineering</x:v>
      </x:c>
      <x:c r="O65" s="26" t="str">
        <x:v>QA/Production</x:v>
      </x:c>
      <x:c r="P65" s="26" t="str">
        <x:v>NOT RUN</x:v>
      </x:c>
      <x:c r="Q65" s="26"/>
      <x:c r="R65" s="26"/>
      <x:c r="S65" s="26"/>
      <x:c r="T65" s="26"/>
      <x:c r="U65" s="26"/>
      <x:c r="V65" s="26"/>
      <x:c r="W65" s="26" t="n">
        <x:v>1</x:v>
      </x:c>
      <x:c r="X65" s="26" t="n">
        <x:v>0</x:v>
      </x:c>
      <x:c r="Y65" s="26" t="n">
        <x:v>1</x:v>
      </x:c>
      <x:c r="Z65" s="26" t="str">
        <x:v>PENDING</x:v>
      </x:c>
      <x:c r="AA65" s="26" t="str">
        <x:v>CHG-RC1-DOC-31</x:v>
      </x:c>
      <x:c r="AB65" s="26" t="str">
        <x:v>DEFINED / NOT EXECUTED</x:v>
      </x:c>
    </x:row>
    <x:row r="66" ht="30" customHeight="1">
      <x:c r="A66" s="26" t="str">
        <x:v>H6</x:v>
      </x:c>
      <x:c r="B66" s="26" t="str">
        <x:v>VS-ECO-005</x:v>
      </x:c>
      <x:c r="C66" s="26" t="str">
        <x:v>Economía</x:v>
      </x:c>
      <x:c r="D66" s="26" t="str">
        <x:v>Criterio contractual VSS</x:v>
      </x:c>
      <x:c r="E66" s="26" t="str">
        <x:v>Resumen diario/semanal reconcilia movimientos.</x:v>
      </x:c>
      <x:c r="F66" s="26" t="str">
        <x:v>Ejecutar la prueba correspondiente en Editor y/o build según el nivel definido en 02 y registrar resultado reproducible.</x:v>
      </x:c>
      <x:c r="G66" s="26" t="str">
        <x:v>El criterio se cumple sin desviaciones bloqueantes y con resultado trazable.</x:v>
      </x:c>
      <x:c r="H66" s="26" t="str">
        <x:v>Comparación.</x:v>
      </x:c>
      <x:c r="I66" s="26" t="str">
        <x:v>02_Vertical_Slice_Specification.md §7</x:v>
      </x:c>
      <x:c r="J66" s="26" t="str">
        <x:v>Vertical Slice Specification v0.1–v0.4; QA Plan/Matrix v0.3–v0.6</x:v>
      </x:c>
      <x:c r="K66" s="26" t="str">
        <x:v>H6</x:v>
      </x:c>
      <x:c r="L66" s="26" t="str">
        <x:v>Yes</x:v>
      </x:c>
      <x:c r="M66" s="26" t="str">
        <x:v>P0</x:v>
      </x:c>
      <x:c r="N66" s="26" t="str">
        <x:v>Design/Engineering</x:v>
      </x:c>
      <x:c r="O66" s="26" t="str">
        <x:v>QA/Production</x:v>
      </x:c>
      <x:c r="P66" s="26" t="str">
        <x:v>NOT RUN</x:v>
      </x:c>
      <x:c r="Q66" s="26"/>
      <x:c r="R66" s="26"/>
      <x:c r="S66" s="26"/>
      <x:c r="T66" s="26"/>
      <x:c r="U66" s="26"/>
      <x:c r="V66" s="26"/>
      <x:c r="W66" s="26" t="n">
        <x:v>1</x:v>
      </x:c>
      <x:c r="X66" s="26" t="n">
        <x:v>0</x:v>
      </x:c>
      <x:c r="Y66" s="26" t="n">
        <x:v>1</x:v>
      </x:c>
      <x:c r="Z66" s="26" t="str">
        <x:v>PENDING</x:v>
      </x:c>
      <x:c r="AA66" s="26" t="str">
        <x:v>CHG-RC1-DOC-31</x:v>
      </x:c>
      <x:c r="AB66" s="26" t="str">
        <x:v>DEFINED / NOT EXECUTED</x:v>
      </x:c>
    </x:row>
    <x:row r="67" ht="30" customHeight="1">
      <x:c r="A67" s="26" t="str">
        <x:v>H6</x:v>
      </x:c>
      <x:c r="B67" s="26" t="str">
        <x:v>VS-SAV-001</x:v>
      </x:c>
      <x:c r="C67" s="26" t="str">
        <x:v>Persistencia</x:v>
      </x:c>
      <x:c r="D67" s="26" t="str">
        <x:v>Criterio contractual VSS</x:v>
      </x:c>
      <x:c r="E67" s="26" t="str">
        <x:v>Guardado conserva todos los campos obligatorios.</x:v>
      </x:c>
      <x:c r="F67" s="26" t="str">
        <x:v>Ejecutar la prueba correspondiente en Editor y/o build según el nivel definido en 02 y registrar resultado reproducible.</x:v>
      </x:c>
      <x:c r="G67" s="26" t="str">
        <x:v>El criterio se cumple sin desviaciones bloqueantes y con resultado trazable.</x:v>
      </x:c>
      <x:c r="H67" s="26" t="str">
        <x:v>Snapshot y diff.</x:v>
      </x:c>
      <x:c r="I67" s="26" t="str">
        <x:v>02_Vertical_Slice_Specification.md §7</x:v>
      </x:c>
      <x:c r="J67" s="26" t="str">
        <x:v>Vertical Slice Specification v0.1–v0.4; QA Plan/Matrix v0.3–v0.6</x:v>
      </x:c>
      <x:c r="K67" s="26" t="str">
        <x:v>H6</x:v>
      </x:c>
      <x:c r="L67" s="26" t="str">
        <x:v>Yes</x:v>
      </x:c>
      <x:c r="M67" s="26" t="str">
        <x:v>P0</x:v>
      </x:c>
      <x:c r="N67" s="26" t="str">
        <x:v>Engineering</x:v>
      </x:c>
      <x:c r="O67" s="26" t="str">
        <x:v>QA/Production</x:v>
      </x:c>
      <x:c r="P67" s="26" t="str">
        <x:v>NOT RUN</x:v>
      </x:c>
      <x:c r="Q67" s="26"/>
      <x:c r="R67" s="26"/>
      <x:c r="S67" s="26"/>
      <x:c r="T67" s="26"/>
      <x:c r="U67" s="26"/>
      <x:c r="V67" s="26"/>
      <x:c r="W67" s="26" t="n">
        <x:v>1</x:v>
      </x:c>
      <x:c r="X67" s="26" t="n">
        <x:v>0</x:v>
      </x:c>
      <x:c r="Y67" s="26" t="n">
        <x:v>1</x:v>
      </x:c>
      <x:c r="Z67" s="26" t="str">
        <x:v>PENDING</x:v>
      </x:c>
      <x:c r="AA67" s="26" t="str">
        <x:v>CHG-RC1-DOC-31</x:v>
      </x:c>
      <x:c r="AB67" s="26" t="str">
        <x:v>DEFINED / NOT EXECUTED</x:v>
      </x:c>
    </x:row>
    <x:row r="68" ht="30" customHeight="1">
      <x:c r="A68" s="26" t="str">
        <x:v>H6</x:v>
      </x:c>
      <x:c r="B68" s="26" t="str">
        <x:v>VS-SAV-002</x:v>
      </x:c>
      <x:c r="C68" s="26" t="str">
        <x:v>Persistencia</x:v>
      </x:c>
      <x:c r="D68" s="26" t="str">
        <x:v>Criterio contractual VSS</x:v>
      </x:c>
      <x:c r="E68" s="26" t="str">
        <x:v>Carga reconstruye un estado equivalente.</x:v>
      </x:c>
      <x:c r="F68" s="26" t="str">
        <x:v>Ejecutar la prueba correspondiente en Editor y/o build según el nivel definido en 02 y registrar resultado reproducible.</x:v>
      </x:c>
      <x:c r="G68" s="26" t="str">
        <x:v>El criterio se cumple sin desviaciones bloqueantes y con resultado trazable.</x:v>
      </x:c>
      <x:c r="H68" s="26" t="str">
        <x:v>Comparación antes/después.</x:v>
      </x:c>
      <x:c r="I68" s="26" t="str">
        <x:v>02_Vertical_Slice_Specification.md §7</x:v>
      </x:c>
      <x:c r="J68" s="26" t="str">
        <x:v>Vertical Slice Specification v0.1–v0.4; QA Plan/Matrix v0.3–v0.6</x:v>
      </x:c>
      <x:c r="K68" s="26" t="str">
        <x:v>H6</x:v>
      </x:c>
      <x:c r="L68" s="26" t="str">
        <x:v>Yes</x:v>
      </x:c>
      <x:c r="M68" s="26" t="str">
        <x:v>P0</x:v>
      </x:c>
      <x:c r="N68" s="26" t="str">
        <x:v>Engineering</x:v>
      </x:c>
      <x:c r="O68" s="26" t="str">
        <x:v>QA/Production</x:v>
      </x:c>
      <x:c r="P68" s="26" t="str">
        <x:v>NOT RUN</x:v>
      </x:c>
      <x:c r="Q68" s="26"/>
      <x:c r="R68" s="26"/>
      <x:c r="S68" s="26"/>
      <x:c r="T68" s="26"/>
      <x:c r="U68" s="26"/>
      <x:c r="V68" s="26"/>
      <x:c r="W68" s="26" t="n">
        <x:v>1</x:v>
      </x:c>
      <x:c r="X68" s="26" t="n">
        <x:v>0</x:v>
      </x:c>
      <x:c r="Y68" s="26" t="n">
        <x:v>1</x:v>
      </x:c>
      <x:c r="Z68" s="26" t="str">
        <x:v>PENDING</x:v>
      </x:c>
      <x:c r="AA68" s="26" t="str">
        <x:v>CHG-RC1-DOC-31</x:v>
      </x:c>
      <x:c r="AB68" s="26" t="str">
        <x:v>DEFINED / NOT EXECUTED</x:v>
      </x:c>
    </x:row>
    <x:row r="69" ht="30" customHeight="1">
      <x:c r="A69" s="26" t="str">
        <x:v>H6</x:v>
      </x:c>
      <x:c r="B69" s="26" t="str">
        <x:v>VS-SAV-003</x:v>
      </x:c>
      <x:c r="C69" s="26" t="str">
        <x:v>Persistencia</x:v>
      </x:c>
      <x:c r="D69" s="26" t="str">
        <x:v>Criterio contractual VSS</x:v>
      </x:c>
      <x:c r="E69" s="26" t="str">
        <x:v>Cargar no duplica pedidos, muebles, stock, clientes o ingresos.</x:v>
      </x:c>
      <x:c r="F69" s="26" t="str">
        <x:v>Ejecutar la prueba correspondiente en Editor y/o build según el nivel definido en 02 y registrar resultado reproducible.</x:v>
      </x:c>
      <x:c r="G69" s="26" t="str">
        <x:v>El criterio se cumple sin desviaciones bloqueantes y con resultado trazable.</x:v>
      </x:c>
      <x:c r="H69" s="26" t="str">
        <x:v>Prueba de repetición.</x:v>
      </x:c>
      <x:c r="I69" s="26" t="str">
        <x:v>02_Vertical_Slice_Specification.md §7</x:v>
      </x:c>
      <x:c r="J69" s="26" t="str">
        <x:v>Vertical Slice Specification v0.1–v0.4; QA Plan/Matrix v0.3–v0.6</x:v>
      </x:c>
      <x:c r="K69" s="26" t="str">
        <x:v>H6</x:v>
      </x:c>
      <x:c r="L69" s="26" t="str">
        <x:v>Yes</x:v>
      </x:c>
      <x:c r="M69" s="26" t="str">
        <x:v>P0</x:v>
      </x:c>
      <x:c r="N69" s="26" t="str">
        <x:v>Engineering</x:v>
      </x:c>
      <x:c r="O69" s="26" t="str">
        <x:v>QA/Production</x:v>
      </x:c>
      <x:c r="P69" s="26" t="str">
        <x:v>NOT RUN</x:v>
      </x:c>
      <x:c r="Q69" s="26"/>
      <x:c r="R69" s="26"/>
      <x:c r="S69" s="26"/>
      <x:c r="T69" s="26"/>
      <x:c r="U69" s="26"/>
      <x:c r="V69" s="26"/>
      <x:c r="W69" s="26" t="n">
        <x:v>1</x:v>
      </x:c>
      <x:c r="X69" s="26" t="n">
        <x:v>0</x:v>
      </x:c>
      <x:c r="Y69" s="26" t="n">
        <x:v>1</x:v>
      </x:c>
      <x:c r="Z69" s="26" t="str">
        <x:v>PENDING</x:v>
      </x:c>
      <x:c r="AA69" s="26" t="str">
        <x:v>CHG-RC1-DOC-31</x:v>
      </x:c>
      <x:c r="AB69" s="26" t="str">
        <x:v>DEFINED / NOT EXECUTED</x:v>
      </x:c>
    </x:row>
    <x:row r="70" ht="30" customHeight="1">
      <x:c r="A70" s="26" t="str">
        <x:v>H6</x:v>
      </x:c>
      <x:c r="B70" s="26" t="str">
        <x:v>VS-SAV-004</x:v>
      </x:c>
      <x:c r="C70" s="26" t="str">
        <x:v>Persistencia</x:v>
      </x:c>
      <x:c r="D70" s="26" t="str">
        <x:v>Criterio contractual VSS</x:v>
      </x:c>
      <x:c r="E70" s="26" t="str">
        <x:v>Archivo ausente o corrupto se maneja de forma controlada.</x:v>
      </x:c>
      <x:c r="F70" s="26" t="str">
        <x:v>Ejecutar la prueba correspondiente en Editor y/o build según el nivel definido en 02 y registrar resultado reproducible.</x:v>
      </x:c>
      <x:c r="G70" s="26" t="str">
        <x:v>El criterio se cumple sin desviaciones bloqueantes y con resultado trazable.</x:v>
      </x:c>
      <x:c r="H70" s="26" t="str">
        <x:v>Prueba negativa/backup.</x:v>
      </x:c>
      <x:c r="I70" s="26" t="str">
        <x:v>02_Vertical_Slice_Specification.md §7</x:v>
      </x:c>
      <x:c r="J70" s="26" t="str">
        <x:v>Vertical Slice Specification v0.1–v0.4; QA Plan/Matrix v0.3–v0.6</x:v>
      </x:c>
      <x:c r="K70" s="26" t="str">
        <x:v>H6</x:v>
      </x:c>
      <x:c r="L70" s="26" t="str">
        <x:v>Yes</x:v>
      </x:c>
      <x:c r="M70" s="26" t="str">
        <x:v>P0</x:v>
      </x:c>
      <x:c r="N70" s="26" t="str">
        <x:v>Engineering</x:v>
      </x:c>
      <x:c r="O70" s="26" t="str">
        <x:v>QA/Production</x:v>
      </x:c>
      <x:c r="P70" s="26" t="str">
        <x:v>NOT RUN</x:v>
      </x:c>
      <x:c r="Q70" s="26"/>
      <x:c r="R70" s="26"/>
      <x:c r="S70" s="26"/>
      <x:c r="T70" s="26"/>
      <x:c r="U70" s="26"/>
      <x:c r="V70" s="26"/>
      <x:c r="W70" s="26" t="n">
        <x:v>1</x:v>
      </x:c>
      <x:c r="X70" s="26" t="n">
        <x:v>0</x:v>
      </x:c>
      <x:c r="Y70" s="26" t="n">
        <x:v>1</x:v>
      </x:c>
      <x:c r="Z70" s="26" t="str">
        <x:v>PENDING</x:v>
      </x:c>
      <x:c r="AA70" s="26" t="str">
        <x:v>CHG-RC1-DOC-31</x:v>
      </x:c>
      <x:c r="AB70" s="26" t="str">
        <x:v>DEFINED / NOT EXECUTED</x:v>
      </x:c>
    </x:row>
    <x:row r="71" ht="30" customHeight="1">
      <x:c r="A71" s="26" t="str">
        <x:v>H6</x:v>
      </x:c>
      <x:c r="B71" s="26" t="str">
        <x:v>VS-SAV-005</x:v>
      </x:c>
      <x:c r="C71" s="26" t="str">
        <x:v>Persistencia</x:v>
      </x:c>
      <x:c r="D71" s="26" t="str">
        <x:v>Criterio contractual VSS</x:v>
      </x:c>
      <x:c r="E71" s="26" t="str">
        <x:v>Tres slots son independientes.</x:v>
      </x:c>
      <x:c r="F71" s="26" t="str">
        <x:v>Ejecutar la prueba correspondiente en Editor y/o build según el nivel definido en 02 y registrar resultado reproducible.</x:v>
      </x:c>
      <x:c r="G71" s="26" t="str">
        <x:v>El criterio se cumple sin desviaciones bloqueantes y con resultado trazable.</x:v>
      </x:c>
      <x:c r="H71" s="26" t="str">
        <x:v>Prueba cruzada.</x:v>
      </x:c>
      <x:c r="I71" s="26" t="str">
        <x:v>02_Vertical_Slice_Specification.md §7</x:v>
      </x:c>
      <x:c r="J71" s="26" t="str">
        <x:v>Vertical Slice Specification v0.1–v0.4; QA Plan/Matrix v0.3–v0.6</x:v>
      </x:c>
      <x:c r="K71" s="26" t="str">
        <x:v>H6</x:v>
      </x:c>
      <x:c r="L71" s="26" t="str">
        <x:v>Yes</x:v>
      </x:c>
      <x:c r="M71" s="26" t="str">
        <x:v>P0</x:v>
      </x:c>
      <x:c r="N71" s="26" t="str">
        <x:v>Engineering</x:v>
      </x:c>
      <x:c r="O71" s="26" t="str">
        <x:v>QA/Production</x:v>
      </x:c>
      <x:c r="P71" s="26" t="str">
        <x:v>NOT RUN</x:v>
      </x:c>
      <x:c r="Q71" s="26"/>
      <x:c r="R71" s="26"/>
      <x:c r="S71" s="26"/>
      <x:c r="T71" s="26"/>
      <x:c r="U71" s="26"/>
      <x:c r="V71" s="26"/>
      <x:c r="W71" s="26" t="n">
        <x:v>1</x:v>
      </x:c>
      <x:c r="X71" s="26" t="n">
        <x:v>0</x:v>
      </x:c>
      <x:c r="Y71" s="26" t="n">
        <x:v>1</x:v>
      </x:c>
      <x:c r="Z71" s="26" t="str">
        <x:v>PENDING</x:v>
      </x:c>
      <x:c r="AA71" s="26" t="str">
        <x:v>CHG-RC1-DOC-31</x:v>
      </x:c>
      <x:c r="AB71" s="26" t="str">
        <x:v>DEFINED / NOT EXECUTED</x:v>
      </x:c>
    </x:row>
    <x:row r="72" ht="30" customHeight="1">
      <x:c r="A72" s="26" t="str">
        <x:v>H6</x:v>
      </x:c>
      <x:c r="B72" s="26" t="str">
        <x:v>VS-UI-001</x:v>
      </x:c>
      <x:c r="C72" s="26" t="str">
        <x:v>UI/UX</x:v>
      </x:c>
      <x:c r="D72" s="26" t="str">
        <x:v>Criterio contractual VSS</x:v>
      </x:c>
      <x:c r="E72" s="26" t="str">
        <x:v>Golden Path puede completarse sin herramientas de debug.</x:v>
      </x:c>
      <x:c r="F72" s="26" t="str">
        <x:v>Ejecutar la prueba correspondiente en Editor y/o build según el nivel definido en 02 y registrar resultado reproducible.</x:v>
      </x:c>
      <x:c r="G72" s="26" t="str">
        <x:v>El criterio se cumple sin desviaciones bloqueantes y con resultado trazable.</x:v>
      </x:c>
      <x:c r="H72" s="26" t="str">
        <x:v>Sesión guiada/no guiada.</x:v>
      </x:c>
      <x:c r="I72" s="26" t="str">
        <x:v>02_Vertical_Slice_Specification.md §7</x:v>
      </x:c>
      <x:c r="J72" s="26" t="str">
        <x:v>Vertical Slice Specification v0.1–v0.4; QA Plan/Matrix v0.3–v0.6</x:v>
      </x:c>
      <x:c r="K72" s="26" t="str">
        <x:v>H6</x:v>
      </x:c>
      <x:c r="L72" s="26" t="str">
        <x:v>Yes</x:v>
      </x:c>
      <x:c r="M72" s="26" t="str">
        <x:v>P0</x:v>
      </x:c>
      <x:c r="N72" s="26" t="str">
        <x:v>UX/Engineering</x:v>
      </x:c>
      <x:c r="O72" s="26" t="str">
        <x:v>QA/Production</x:v>
      </x:c>
      <x:c r="P72" s="26" t="str">
        <x:v>NOT RUN</x:v>
      </x:c>
      <x:c r="Q72" s="26"/>
      <x:c r="R72" s="26"/>
      <x:c r="S72" s="26"/>
      <x:c r="T72" s="26"/>
      <x:c r="U72" s="26"/>
      <x:c r="V72" s="26"/>
      <x:c r="W72" s="26" t="n">
        <x:v>1</x:v>
      </x:c>
      <x:c r="X72" s="26" t="n">
        <x:v>0</x:v>
      </x:c>
      <x:c r="Y72" s="26" t="n">
        <x:v>1</x:v>
      </x:c>
      <x:c r="Z72" s="26" t="str">
        <x:v>PENDING</x:v>
      </x:c>
      <x:c r="AA72" s="26" t="str">
        <x:v>CHG-RC1-DOC-31</x:v>
      </x:c>
      <x:c r="AB72" s="26" t="str">
        <x:v>DEFINED / NOT EXECUTED</x:v>
      </x:c>
    </x:row>
    <x:row r="73" ht="30" customHeight="1">
      <x:c r="A73" s="26" t="str">
        <x:v>H6</x:v>
      </x:c>
      <x:c r="B73" s="26" t="str">
        <x:v>VS-UI-002</x:v>
      </x:c>
      <x:c r="C73" s="26" t="str">
        <x:v>UI/UX</x:v>
      </x:c>
      <x:c r="D73" s="26" t="str">
        <x:v>Criterio contractual VSS</x:v>
      </x:c>
      <x:c r="E73" s="26" t="str">
        <x:v>Errores y estados inválidos muestran causa comprensible.</x:v>
      </x:c>
      <x:c r="F73" s="26" t="str">
        <x:v>Ejecutar la prueba correspondiente en Editor y/o build según el nivel definido en 02 y registrar resultado reproducible.</x:v>
      </x:c>
      <x:c r="G73" s="26" t="str">
        <x:v>El criterio se cumple sin desviaciones bloqueantes y con resultado trazable.</x:v>
      </x:c>
      <x:c r="H73" s="26" t="str">
        <x:v>Checklist de feedback.</x:v>
      </x:c>
      <x:c r="I73" s="26" t="str">
        <x:v>02_Vertical_Slice_Specification.md §7</x:v>
      </x:c>
      <x:c r="J73" s="26" t="str">
        <x:v>Vertical Slice Specification v0.1–v0.4; QA Plan/Matrix v0.3–v0.6</x:v>
      </x:c>
      <x:c r="K73" s="26" t="str">
        <x:v>H6</x:v>
      </x:c>
      <x:c r="L73" s="26" t="str">
        <x:v>Yes</x:v>
      </x:c>
      <x:c r="M73" s="26" t="str">
        <x:v>P0</x:v>
      </x:c>
      <x:c r="N73" s="26" t="str">
        <x:v>UX/Engineering</x:v>
      </x:c>
      <x:c r="O73" s="26" t="str">
        <x:v>QA/Production</x:v>
      </x:c>
      <x:c r="P73" s="26" t="str">
        <x:v>NOT RUN</x:v>
      </x:c>
      <x:c r="Q73" s="26"/>
      <x:c r="R73" s="26"/>
      <x:c r="S73" s="26"/>
      <x:c r="T73" s="26"/>
      <x:c r="U73" s="26"/>
      <x:c r="V73" s="26"/>
      <x:c r="W73" s="26" t="n">
        <x:v>1</x:v>
      </x:c>
      <x:c r="X73" s="26" t="n">
        <x:v>0</x:v>
      </x:c>
      <x:c r="Y73" s="26" t="n">
        <x:v>1</x:v>
      </x:c>
      <x:c r="Z73" s="26" t="str">
        <x:v>PENDING</x:v>
      </x:c>
      <x:c r="AA73" s="26" t="str">
        <x:v>CHG-RC1-DOC-31</x:v>
      </x:c>
      <x:c r="AB73" s="26" t="str">
        <x:v>DEFINED / NOT EXECUTED</x:v>
      </x:c>
    </x:row>
    <x:row r="74" ht="30" customHeight="1">
      <x:c r="A74" s="26" t="str">
        <x:v>H6</x:v>
      </x:c>
      <x:c r="B74" s="26" t="str">
        <x:v>VS-UI-003</x:v>
      </x:c>
      <x:c r="C74" s="26" t="str">
        <x:v>UI/UX</x:v>
      </x:c>
      <x:c r="D74" s="26" t="str">
        <x:v>Criterio contractual VSS</x:v>
      </x:c>
      <x:c r="E74" s="26" t="str">
        <x:v>Controles críticos no dependen solo del color.</x:v>
      </x:c>
      <x:c r="F74" s="26" t="str">
        <x:v>Ejecutar la prueba correspondiente en Editor y/o build según el nivel definido en 02 y registrar resultado reproducible.</x:v>
      </x:c>
      <x:c r="G74" s="26" t="str">
        <x:v>El criterio se cumple sin desviaciones bloqueantes y con resultado trazable.</x:v>
      </x:c>
      <x:c r="H74" s="26" t="str">
        <x:v>Revisión de accesibilidad.</x:v>
      </x:c>
      <x:c r="I74" s="26" t="str">
        <x:v>02_Vertical_Slice_Specification.md §7</x:v>
      </x:c>
      <x:c r="J74" s="26" t="str">
        <x:v>Vertical Slice Specification v0.1–v0.4; QA Plan/Matrix v0.3–v0.6</x:v>
      </x:c>
      <x:c r="K74" s="26" t="str">
        <x:v>H6</x:v>
      </x:c>
      <x:c r="L74" s="26" t="str">
        <x:v>Yes</x:v>
      </x:c>
      <x:c r="M74" s="26" t="str">
        <x:v>P0</x:v>
      </x:c>
      <x:c r="N74" s="26" t="str">
        <x:v>UX/Engineering</x:v>
      </x:c>
      <x:c r="O74" s="26" t="str">
        <x:v>QA/Production</x:v>
      </x:c>
      <x:c r="P74" s="26" t="str">
        <x:v>NOT RUN</x:v>
      </x:c>
      <x:c r="Q74" s="26"/>
      <x:c r="R74" s="26"/>
      <x:c r="S74" s="26"/>
      <x:c r="T74" s="26"/>
      <x:c r="U74" s="26"/>
      <x:c r="V74" s="26"/>
      <x:c r="W74" s="26" t="n">
        <x:v>1</x:v>
      </x:c>
      <x:c r="X74" s="26" t="n">
        <x:v>0</x:v>
      </x:c>
      <x:c r="Y74" s="26" t="n">
        <x:v>1</x:v>
      </x:c>
      <x:c r="Z74" s="26" t="str">
        <x:v>PENDING</x:v>
      </x:c>
      <x:c r="AA74" s="26" t="str">
        <x:v>CHG-RC1-DOC-31</x:v>
      </x:c>
      <x:c r="AB74" s="26" t="str">
        <x:v>DEFINED / NOT EXECUTED</x:v>
      </x:c>
    </x:row>
    <x:row r="75" ht="30" customHeight="1">
      <x:c r="A75" s="26" t="str">
        <x:v>H6</x:v>
      </x:c>
      <x:c r="B75" s="26" t="str">
        <x:v>VS-UI-004</x:v>
      </x:c>
      <x:c r="C75" s="26" t="str">
        <x:v>UI/UX</x:v>
      </x:c>
      <x:c r="D75" s="26" t="str">
        <x:v>Criterio contractual VSS</x:v>
      </x:c>
      <x:c r="E75" s="26" t="str">
        <x:v>Textos incluidos están preparados para ES/EN sin desbordes bloqueantes.</x:v>
      </x:c>
      <x:c r="F75" s="26" t="str">
        <x:v>Ejecutar la prueba correspondiente en Editor y/o build según el nivel definido en 02 y registrar resultado reproducible.</x:v>
      </x:c>
      <x:c r="G75" s="26" t="str">
        <x:v>El criterio se cumple sin desviaciones bloqueantes y con resultado trazable.</x:v>
      </x:c>
      <x:c r="H75" s="26" t="str">
        <x:v>Revisión de localización.</x:v>
      </x:c>
      <x:c r="I75" s="26" t="str">
        <x:v>02_Vertical_Slice_Specification.md §7</x:v>
      </x:c>
      <x:c r="J75" s="26" t="str">
        <x:v>Vertical Slice Specification v0.1–v0.4; QA Plan/Matrix v0.3–v0.6</x:v>
      </x:c>
      <x:c r="K75" s="26" t="str">
        <x:v>H6</x:v>
      </x:c>
      <x:c r="L75" s="26" t="str">
        <x:v>Yes</x:v>
      </x:c>
      <x:c r="M75" s="26" t="str">
        <x:v>P0</x:v>
      </x:c>
      <x:c r="N75" s="26" t="str">
        <x:v>UX/Engineering</x:v>
      </x:c>
      <x:c r="O75" s="26" t="str">
        <x:v>QA/Production</x:v>
      </x:c>
      <x:c r="P75" s="26" t="str">
        <x:v>NOT RUN</x:v>
      </x:c>
      <x:c r="Q75" s="26"/>
      <x:c r="R75" s="26"/>
      <x:c r="S75" s="26"/>
      <x:c r="T75" s="26"/>
      <x:c r="U75" s="26"/>
      <x:c r="V75" s="26"/>
      <x:c r="W75" s="26" t="n">
        <x:v>1</x:v>
      </x:c>
      <x:c r="X75" s="26" t="n">
        <x:v>0</x:v>
      </x:c>
      <x:c r="Y75" s="26" t="n">
        <x:v>1</x:v>
      </x:c>
      <x:c r="Z75" s="26" t="str">
        <x:v>PENDING</x:v>
      </x:c>
      <x:c r="AA75" s="26" t="str">
        <x:v>CHG-RC1-DOC-31</x:v>
      </x:c>
      <x:c r="AB75" s="26" t="str">
        <x:v>DEFINED / NOT EXECUTED</x:v>
      </x:c>
    </x:row>
    <x:row r="76" ht="30" customHeight="1">
      <x:c r="A76" s="26" t="str">
        <x:v>H6</x:v>
      </x:c>
      <x:c r="B76" s="26" t="str">
        <x:v>VS-ART-001</x:v>
      </x:c>
      <x:c r="C76" s="26" t="str">
        <x:v>Representación</x:v>
      </x:c>
      <x:c r="D76" s="26" t="str">
        <x:v>Criterio contractual VSS</x:v>
      </x:c>
      <x:c r="E76" s="26" t="str">
        <x:v>Escena cumple layout, escala y silueta aprobados.</x:v>
      </x:c>
      <x:c r="F76" s="26" t="str">
        <x:v>Ejecutar la prueba correspondiente en Editor y/o build según el nivel definido en 02 y registrar resultado reproducible.</x:v>
      </x:c>
      <x:c r="G76" s="26" t="str">
        <x:v>El criterio se cumple sin desviaciones bloqueantes y con resultado trazable.</x:v>
      </x:c>
      <x:c r="H76" s="26" t="str">
        <x:v>Revisión visual.</x:v>
      </x:c>
      <x:c r="I76" s="26" t="str">
        <x:v>02_Vertical_Slice_Specification.md §7</x:v>
      </x:c>
      <x:c r="J76" s="26" t="str">
        <x:v>Vertical Slice Specification v0.1–v0.4; QA Plan/Matrix v0.3–v0.6</x:v>
      </x:c>
      <x:c r="K76" s="26" t="str">
        <x:v>H6</x:v>
      </x:c>
      <x:c r="L76" s="26" t="str">
        <x:v>Yes</x:v>
      </x:c>
      <x:c r="M76" s="26" t="str">
        <x:v>P0</x:v>
      </x:c>
      <x:c r="N76" s="26" t="str">
        <x:v>Art/Level</x:v>
      </x:c>
      <x:c r="O76" s="26" t="str">
        <x:v>QA/Production</x:v>
      </x:c>
      <x:c r="P76" s="26" t="str">
        <x:v>NOT RUN</x:v>
      </x:c>
      <x:c r="Q76" s="26"/>
      <x:c r="R76" s="26"/>
      <x:c r="S76" s="26"/>
      <x:c r="T76" s="26"/>
      <x:c r="U76" s="26"/>
      <x:c r="V76" s="26"/>
      <x:c r="W76" s="26" t="n">
        <x:v>1</x:v>
      </x:c>
      <x:c r="X76" s="26" t="n">
        <x:v>0</x:v>
      </x:c>
      <x:c r="Y76" s="26" t="n">
        <x:v>1</x:v>
      </x:c>
      <x:c r="Z76" s="26" t="str">
        <x:v>PENDING</x:v>
      </x:c>
      <x:c r="AA76" s="26" t="str">
        <x:v>CHG-RC1-DOC-31</x:v>
      </x:c>
      <x:c r="AB76" s="26" t="str">
        <x:v>DEFINED / NOT EXECUTED</x:v>
      </x:c>
    </x:row>
    <x:row r="77" ht="30" customHeight="1">
      <x:c r="A77" s="26" t="str">
        <x:v>H6</x:v>
      </x:c>
      <x:c r="B77" s="26" t="str">
        <x:v>VS-ART-002</x:v>
      </x:c>
      <x:c r="C77" s="26" t="str">
        <x:v>Representación</x:v>
      </x:c>
      <x:c r="D77" s="26" t="str">
        <x:v>Criterio contractual VSS</x:v>
      </x:c>
      <x:c r="E77" s="26" t="str">
        <x:v>Iluminación permite leer zonas, productos, clientes y cola.</x:v>
      </x:c>
      <x:c r="F77" s="26" t="str">
        <x:v>Ejecutar la prueba correspondiente en Editor y/o build según el nivel definido en 02 y registrar resultado reproducible.</x:v>
      </x:c>
      <x:c r="G77" s="26" t="str">
        <x:v>El criterio se cumple sin desviaciones bloqueantes y con resultado trazable.</x:v>
      </x:c>
      <x:c r="H77" s="26" t="str">
        <x:v>Capturas y recorrido.</x:v>
      </x:c>
      <x:c r="I77" s="26" t="str">
        <x:v>02_Vertical_Slice_Specification.md §7</x:v>
      </x:c>
      <x:c r="J77" s="26" t="str">
        <x:v>Vertical Slice Specification v0.1–v0.4; QA Plan/Matrix v0.3–v0.6</x:v>
      </x:c>
      <x:c r="K77" s="26" t="str">
        <x:v>H6</x:v>
      </x:c>
      <x:c r="L77" s="26" t="str">
        <x:v>Yes</x:v>
      </x:c>
      <x:c r="M77" s="26" t="str">
        <x:v>P0</x:v>
      </x:c>
      <x:c r="N77" s="26" t="str">
        <x:v>Art/Level</x:v>
      </x:c>
      <x:c r="O77" s="26" t="str">
        <x:v>QA/Production</x:v>
      </x:c>
      <x:c r="P77" s="26" t="str">
        <x:v>NOT RUN</x:v>
      </x:c>
      <x:c r="Q77" s="26"/>
      <x:c r="R77" s="26"/>
      <x:c r="S77" s="26"/>
      <x:c r="T77" s="26"/>
      <x:c r="U77" s="26"/>
      <x:c r="V77" s="26"/>
      <x:c r="W77" s="26" t="n">
        <x:v>1</x:v>
      </x:c>
      <x:c r="X77" s="26" t="n">
        <x:v>0</x:v>
      </x:c>
      <x:c r="Y77" s="26" t="n">
        <x:v>1</x:v>
      </x:c>
      <x:c r="Z77" s="26" t="str">
        <x:v>PENDING</x:v>
      </x:c>
      <x:c r="AA77" s="26" t="str">
        <x:v>CHG-RC1-DOC-31</x:v>
      </x:c>
      <x:c r="AB77" s="26" t="str">
        <x:v>DEFINED / NOT EXECUTED</x:v>
      </x:c>
    </x:row>
    <x:row r="78" ht="30" customHeight="1">
      <x:c r="A78" s="26" t="str">
        <x:v>H6</x:v>
      </x:c>
      <x:c r="B78" s="26" t="str">
        <x:v>VS-AUD-001</x:v>
      </x:c>
      <x:c r="C78" s="26" t="str">
        <x:v>Audio</x:v>
      </x:c>
      <x:c r="D78" s="26" t="str">
        <x:v>Criterio contractual VSS</x:v>
      </x:c>
      <x:c r="E78" s="26" t="str">
        <x:v>Acciones críticas incluidas tienen feedback sonoro o alternativa aprobada.</x:v>
      </x:c>
      <x:c r="F78" s="26" t="str">
        <x:v>Ejecutar la prueba correspondiente en Editor y/o build según el nivel definido en 02 y registrar resultado reproducible.</x:v>
      </x:c>
      <x:c r="G78" s="26" t="str">
        <x:v>El criterio se cumple sin desviaciones bloqueantes y con resultado trazable.</x:v>
      </x:c>
      <x:c r="H78" s="26" t="str">
        <x:v>Checklist.</x:v>
      </x:c>
      <x:c r="I78" s="26" t="str">
        <x:v>02_Vertical_Slice_Specification.md §7</x:v>
      </x:c>
      <x:c r="J78" s="26" t="str">
        <x:v>Vertical Slice Specification v0.1–v0.4; QA Plan/Matrix v0.3–v0.6</x:v>
      </x:c>
      <x:c r="K78" s="26" t="str">
        <x:v>H6</x:v>
      </x:c>
      <x:c r="L78" s="26" t="str">
        <x:v>Yes</x:v>
      </x:c>
      <x:c r="M78" s="26" t="str">
        <x:v>P0</x:v>
      </x:c>
      <x:c r="N78" s="26" t="str">
        <x:v>Audio</x:v>
      </x:c>
      <x:c r="O78" s="26" t="str">
        <x:v>QA/Production</x:v>
      </x:c>
      <x:c r="P78" s="26" t="str">
        <x:v>NOT RUN</x:v>
      </x:c>
      <x:c r="Q78" s="26"/>
      <x:c r="R78" s="26"/>
      <x:c r="S78" s="26"/>
      <x:c r="T78" s="26"/>
      <x:c r="U78" s="26"/>
      <x:c r="V78" s="26"/>
      <x:c r="W78" s="26" t="n">
        <x:v>1</x:v>
      </x:c>
      <x:c r="X78" s="26" t="n">
        <x:v>0</x:v>
      </x:c>
      <x:c r="Y78" s="26" t="n">
        <x:v>1</x:v>
      </x:c>
      <x:c r="Z78" s="26" t="str">
        <x:v>PENDING</x:v>
      </x:c>
      <x:c r="AA78" s="26" t="str">
        <x:v>CHG-RC1-DOC-31</x:v>
      </x:c>
      <x:c r="AB78" s="26" t="str">
        <x:v>DEFINED / NOT EXECUTED</x:v>
      </x:c>
    </x:row>
    <x:row r="79" ht="30" customHeight="1">
      <x:c r="A79" s="26" t="str">
        <x:v>H6</x:v>
      </x:c>
      <x:c r="B79" s="26" t="str">
        <x:v>VS-PER-001</x:v>
      </x:c>
      <x:c r="C79" s="26" t="str">
        <x:v>Rendimiento</x:v>
      </x:c>
      <x:c r="D79" s="26" t="str">
        <x:v>Criterio contractual VSS</x:v>
      </x:c>
      <x:c r="E79" s="26" t="str">
        <x:v>Prueba objetivo registra 60 FPS/1080p o desviación justificada en perfil documentado.</x:v>
      </x:c>
      <x:c r="F79" s="26" t="str">
        <x:v>Ejecutar la prueba correspondiente en Editor y/o build según el nivel definido en 02 y registrar resultado reproducible.</x:v>
      </x:c>
      <x:c r="G79" s="26" t="str">
        <x:v>El criterio se cumple sin desviaciones bloqueantes y con resultado trazable.</x:v>
      </x:c>
      <x:c r="H79" s="26" t="str">
        <x:v>Captura de profiler/medición.</x:v>
      </x:c>
      <x:c r="I79" s="26" t="str">
        <x:v>02_Vertical_Slice_Specification.md §7</x:v>
      </x:c>
      <x:c r="J79" s="26" t="str">
        <x:v>Vertical Slice Specification v0.1–v0.4; QA Plan/Matrix v0.3–v0.6</x:v>
      </x:c>
      <x:c r="K79" s="26" t="str">
        <x:v>H6</x:v>
      </x:c>
      <x:c r="L79" s="26" t="str">
        <x:v>Yes</x:v>
      </x:c>
      <x:c r="M79" s="26" t="str">
        <x:v>P0</x:v>
      </x:c>
      <x:c r="N79" s="26" t="str">
        <x:v>Engineering/QA</x:v>
      </x:c>
      <x:c r="O79" s="26" t="str">
        <x:v>QA/Production</x:v>
      </x:c>
      <x:c r="P79" s="26" t="str">
        <x:v>NOT RUN</x:v>
      </x:c>
      <x:c r="Q79" s="26"/>
      <x:c r="R79" s="26"/>
      <x:c r="S79" s="26"/>
      <x:c r="T79" s="26"/>
      <x:c r="U79" s="26"/>
      <x:c r="V79" s="26"/>
      <x:c r="W79" s="26" t="n">
        <x:v>1</x:v>
      </x:c>
      <x:c r="X79" s="26" t="n">
        <x:v>0</x:v>
      </x:c>
      <x:c r="Y79" s="26" t="n">
        <x:v>1</x:v>
      </x:c>
      <x:c r="Z79" s="26" t="str">
        <x:v>PENDING</x:v>
      </x:c>
      <x:c r="AA79" s="26" t="str">
        <x:v>CHG-RC1-DOC-31</x:v>
      </x:c>
      <x:c r="AB79" s="26" t="str">
        <x:v>DEFINED / NOT EXECUTED</x:v>
      </x:c>
    </x:row>
    <x:row r="80" ht="30" customHeight="1">
      <x:c r="A80" s="26" t="str">
        <x:v>H6</x:v>
      </x:c>
      <x:c r="B80" s="26" t="str">
        <x:v>VS-PER-002</x:v>
      </x:c>
      <x:c r="C80" s="26" t="str">
        <x:v>Rendimiento</x:v>
      </x:c>
      <x:c r="D80" s="26" t="str">
        <x:v>Criterio contractual VSS</x:v>
      </x:c>
      <x:c r="E80" s="26" t="str">
        <x:v>No existe degradación acumulativa grave durante la sesión extensa.</x:v>
      </x:c>
      <x:c r="F80" s="26" t="str">
        <x:v>Ejecutar la prueba correspondiente en Editor y/o build según el nivel definido en 02 y registrar resultado reproducible.</x:v>
      </x:c>
      <x:c r="G80" s="26" t="str">
        <x:v>El criterio se cumple sin desviaciones bloqueantes y con resultado trazable.</x:v>
      </x:c>
      <x:c r="H80" s="26" t="str">
        <x:v>Soak test.</x:v>
      </x:c>
      <x:c r="I80" s="26" t="str">
        <x:v>02_Vertical_Slice_Specification.md §7</x:v>
      </x:c>
      <x:c r="J80" s="26" t="str">
        <x:v>Vertical Slice Specification v0.1–v0.4; QA Plan/Matrix v0.3–v0.6</x:v>
      </x:c>
      <x:c r="K80" s="26" t="str">
        <x:v>H6</x:v>
      </x:c>
      <x:c r="L80" s="26" t="str">
        <x:v>Yes</x:v>
      </x:c>
      <x:c r="M80" s="26" t="str">
        <x:v>P0</x:v>
      </x:c>
      <x:c r="N80" s="26" t="str">
        <x:v>Engineering/QA</x:v>
      </x:c>
      <x:c r="O80" s="26" t="str">
        <x:v>QA/Production</x:v>
      </x:c>
      <x:c r="P80" s="26" t="str">
        <x:v>NOT RUN</x:v>
      </x:c>
      <x:c r="Q80" s="26"/>
      <x:c r="R80" s="26"/>
      <x:c r="S80" s="26"/>
      <x:c r="T80" s="26"/>
      <x:c r="U80" s="26"/>
      <x:c r="V80" s="26"/>
      <x:c r="W80" s="26" t="n">
        <x:v>1</x:v>
      </x:c>
      <x:c r="X80" s="26" t="n">
        <x:v>0</x:v>
      </x:c>
      <x:c r="Y80" s="26" t="n">
        <x:v>1</x:v>
      </x:c>
      <x:c r="Z80" s="26" t="str">
        <x:v>PENDING</x:v>
      </x:c>
      <x:c r="AA80" s="26" t="str">
        <x:v>CHG-RC1-DOC-31</x:v>
      </x:c>
      <x:c r="AB80" s="26" t="str">
        <x:v>DEFINED / NOT EXECUTED</x:v>
      </x:c>
    </x:row>
    <x:row r="81" ht="30" customHeight="1">
      <x:c r="A81" s="26" t="str">
        <x:v>H6</x:v>
      </x:c>
      <x:c r="B81" s="26" t="str">
        <x:v>VS-QA-001</x:v>
      </x:c>
      <x:c r="C81" s="26" t="str">
        <x:v>QA</x:v>
      </x:c>
      <x:c r="D81" s="26" t="str">
        <x:v>Criterio contractual VSS</x:v>
      </x:c>
      <x:c r="E81" s="26" t="str">
        <x:v>Suite automatizada completa permanece verde.</x:v>
      </x:c>
      <x:c r="F81" s="26" t="str">
        <x:v>Ejecutar la prueba correspondiente en Editor y/o build según el nivel definido en 02 y registrar resultado reproducible.</x:v>
      </x:c>
      <x:c r="G81" s="26" t="str">
        <x:v>El criterio se cumple sin desviaciones bloqueantes y con resultado trazable.</x:v>
      </x:c>
      <x:c r="H81" s="26" t="str">
        <x:v>Reporte de tests.</x:v>
      </x:c>
      <x:c r="I81" s="26" t="str">
        <x:v>02_Vertical_Slice_Specification.md §7</x:v>
      </x:c>
      <x:c r="J81" s="26" t="str">
        <x:v>Vertical Slice Specification v0.1–v0.4; QA Plan/Matrix v0.3–v0.6</x:v>
      </x:c>
      <x:c r="K81" s="26" t="str">
        <x:v>H6</x:v>
      </x:c>
      <x:c r="L81" s="26" t="str">
        <x:v>Yes</x:v>
      </x:c>
      <x:c r="M81" s="26" t="str">
        <x:v>P0</x:v>
      </x:c>
      <x:c r="N81" s="26" t="str">
        <x:v>QA</x:v>
      </x:c>
      <x:c r="O81" s="26" t="str">
        <x:v>QA/Production</x:v>
      </x:c>
      <x:c r="P81" s="26" t="str">
        <x:v>NOT RUN</x:v>
      </x:c>
      <x:c r="Q81" s="26"/>
      <x:c r="R81" s="26"/>
      <x:c r="S81" s="26"/>
      <x:c r="T81" s="26"/>
      <x:c r="U81" s="26"/>
      <x:c r="V81" s="26"/>
      <x:c r="W81" s="26" t="n">
        <x:v>1</x:v>
      </x:c>
      <x:c r="X81" s="26" t="n">
        <x:v>0</x:v>
      </x:c>
      <x:c r="Y81" s="26" t="n">
        <x:v>1</x:v>
      </x:c>
      <x:c r="Z81" s="26" t="str">
        <x:v>PENDING</x:v>
      </x:c>
      <x:c r="AA81" s="26" t="str">
        <x:v>CHG-RC1-DOC-31</x:v>
      </x:c>
      <x:c r="AB81" s="26" t="str">
        <x:v>DEFINED / NOT EXECUTED</x:v>
      </x:c>
    </x:row>
    <x:row r="82" ht="30" customHeight="1">
      <x:c r="A82" s="26" t="str">
        <x:v>H6</x:v>
      </x:c>
      <x:c r="B82" s="26" t="str">
        <x:v>VS-QA-002</x:v>
      </x:c>
      <x:c r="C82" s="26" t="str">
        <x:v>QA</x:v>
      </x:c>
      <x:c r="D82" s="26" t="str">
        <x:v>Criterio contractual VSS</x:v>
      </x:c>
      <x:c r="E82" s="26" t="str">
        <x:v>Golden Path manual obtiene PASS reproducible.</x:v>
      </x:c>
      <x:c r="F82" s="26" t="str">
        <x:v>Ejecutar la prueba correspondiente en Editor y/o build según el nivel definido en 02 y registrar resultado reproducible.</x:v>
      </x:c>
      <x:c r="G82" s="26" t="str">
        <x:v>El criterio se cumple sin desviaciones bloqueantes y con resultado trazable.</x:v>
      </x:c>
      <x:c r="H82" s="26" t="str">
        <x:v>Acta de ejecución.</x:v>
      </x:c>
      <x:c r="I82" s="26" t="str">
        <x:v>02_Vertical_Slice_Specification.md §7</x:v>
      </x:c>
      <x:c r="J82" s="26" t="str">
        <x:v>Vertical Slice Specification v0.1–v0.4; QA Plan/Matrix v0.3–v0.6</x:v>
      </x:c>
      <x:c r="K82" s="26" t="str">
        <x:v>H6</x:v>
      </x:c>
      <x:c r="L82" s="26" t="str">
        <x:v>Yes</x:v>
      </x:c>
      <x:c r="M82" s="26" t="str">
        <x:v>P0</x:v>
      </x:c>
      <x:c r="N82" s="26" t="str">
        <x:v>QA</x:v>
      </x:c>
      <x:c r="O82" s="26" t="str">
        <x:v>QA/Production</x:v>
      </x:c>
      <x:c r="P82" s="26" t="str">
        <x:v>NOT RUN</x:v>
      </x:c>
      <x:c r="Q82" s="26"/>
      <x:c r="R82" s="26"/>
      <x:c r="S82" s="26"/>
      <x:c r="T82" s="26"/>
      <x:c r="U82" s="26"/>
      <x:c r="V82" s="26"/>
      <x:c r="W82" s="26" t="n">
        <x:v>1</x:v>
      </x:c>
      <x:c r="X82" s="26" t="n">
        <x:v>0</x:v>
      </x:c>
      <x:c r="Y82" s="26" t="n">
        <x:v>1</x:v>
      </x:c>
      <x:c r="Z82" s="26" t="str">
        <x:v>PENDING</x:v>
      </x:c>
      <x:c r="AA82" s="26" t="str">
        <x:v>CHG-RC1-DOC-31</x:v>
      </x:c>
      <x:c r="AB82" s="26" t="str">
        <x:v>DEFINED / NOT EXECUTED</x:v>
      </x:c>
    </x:row>
    <x:row r="83" ht="30" customHeight="1">
      <x:c r="A83" s="26" t="str">
        <x:v>H6</x:v>
      </x:c>
      <x:c r="B83" s="26" t="str">
        <x:v>VS-BUILD-001</x:v>
      </x:c>
      <x:c r="C83" s="26" t="str">
        <x:v>Build</x:v>
      </x:c>
      <x:c r="D83" s="26" t="str">
        <x:v>Criterio contractual VSS</x:v>
      </x:c>
      <x:c r="E83" s="26" t="str">
        <x:v>Windows x64 Development Build se genera sin error.</x:v>
      </x:c>
      <x:c r="F83" s="26" t="str">
        <x:v>Ejecutar la prueba correspondiente en Editor y/o build según el nivel definido en 02 y registrar resultado reproducible.</x:v>
      </x:c>
      <x:c r="G83" s="26" t="str">
        <x:v>El criterio se cumple sin desviaciones bloqueantes y con resultado trazable.</x:v>
      </x:c>
      <x:c r="H83" s="26" t="str">
        <x:v>Artefacto y log.</x:v>
      </x:c>
      <x:c r="I83" s="26" t="str">
        <x:v>02_Vertical_Slice_Specification.md §7</x:v>
      </x:c>
      <x:c r="J83" s="26" t="str">
        <x:v>Vertical Slice Specification v0.1–v0.4; QA Plan/Matrix v0.3–v0.6</x:v>
      </x:c>
      <x:c r="K83" s="26" t="str">
        <x:v>H6</x:v>
      </x:c>
      <x:c r="L83" s="26" t="str">
        <x:v>Yes</x:v>
      </x:c>
      <x:c r="M83" s="26" t="str">
        <x:v>P0</x:v>
      </x:c>
      <x:c r="N83" s="26" t="str">
        <x:v>Build/Engineering</x:v>
      </x:c>
      <x:c r="O83" s="26" t="str">
        <x:v>QA/Production</x:v>
      </x:c>
      <x:c r="P83" s="26" t="str">
        <x:v>NOT RUN</x:v>
      </x:c>
      <x:c r="Q83" s="26"/>
      <x:c r="R83" s="26"/>
      <x:c r="S83" s="26"/>
      <x:c r="T83" s="26"/>
      <x:c r="U83" s="26"/>
      <x:c r="V83" s="26"/>
      <x:c r="W83" s="26" t="n">
        <x:v>1</x:v>
      </x:c>
      <x:c r="X83" s="26" t="n">
        <x:v>0</x:v>
      </x:c>
      <x:c r="Y83" s="26" t="n">
        <x:v>1</x:v>
      </x:c>
      <x:c r="Z83" s="26" t="str">
        <x:v>PENDING</x:v>
      </x:c>
      <x:c r="AA83" s="26" t="str">
        <x:v>CHG-RC1-DOC-31</x:v>
      </x:c>
      <x:c r="AB83" s="26" t="str">
        <x:v>DEFINED / NOT EXECUTED</x:v>
      </x:c>
    </x:row>
    <x:row r="84" ht="30" customHeight="1">
      <x:c r="A84" s="26" t="str">
        <x:v>H6</x:v>
      </x:c>
      <x:c r="B84" s="26" t="str">
        <x:v>VS-BUILD-002</x:v>
      </x:c>
      <x:c r="C84" s="26" t="str">
        <x:v>Build</x:v>
      </x:c>
      <x:c r="D84" s="26" t="str">
        <x:v>Criterio contractual VSS</x:v>
      </x:c>
      <x:c r="E84" s="26" t="str">
        <x:v>Ejecutable arranca y completa Golden Path fuera del Editor.</x:v>
      </x:c>
      <x:c r="F84" s="26" t="str">
        <x:v>Ejecutar la prueba correspondiente en Editor y/o build según el nivel definido en 02 y registrar resultado reproducible.</x:v>
      </x:c>
      <x:c r="G84" s="26" t="str">
        <x:v>El criterio se cumple sin desviaciones bloqueantes y con resultado trazable.</x:v>
      </x:c>
      <x:c r="H84" s="26" t="str">
        <x:v>Acta externa.</x:v>
      </x:c>
      <x:c r="I84" s="26" t="str">
        <x:v>02_Vertical_Slice_Specification.md §7</x:v>
      </x:c>
      <x:c r="J84" s="26" t="str">
        <x:v>Vertical Slice Specification v0.1–v0.4; QA Plan/Matrix v0.3–v0.6</x:v>
      </x:c>
      <x:c r="K84" s="26" t="str">
        <x:v>H6</x:v>
      </x:c>
      <x:c r="L84" s="26" t="str">
        <x:v>Yes</x:v>
      </x:c>
      <x:c r="M84" s="26" t="str">
        <x:v>P0</x:v>
      </x:c>
      <x:c r="N84" s="26" t="str">
        <x:v>Build/Engineering</x:v>
      </x:c>
      <x:c r="O84" s="26" t="str">
        <x:v>QA/Production</x:v>
      </x:c>
      <x:c r="P84" s="26" t="str">
        <x:v>NOT RUN</x:v>
      </x:c>
      <x:c r="Q84" s="26"/>
      <x:c r="R84" s="26"/>
      <x:c r="S84" s="26"/>
      <x:c r="T84" s="26"/>
      <x:c r="U84" s="26"/>
      <x:c r="V84" s="26"/>
      <x:c r="W84" s="26" t="n">
        <x:v>1</x:v>
      </x:c>
      <x:c r="X84" s="26" t="n">
        <x:v>0</x:v>
      </x:c>
      <x:c r="Y84" s="26" t="n">
        <x:v>1</x:v>
      </x:c>
      <x:c r="Z84" s="26" t="str">
        <x:v>PENDING</x:v>
      </x:c>
      <x:c r="AA84" s="26" t="str">
        <x:v>CHG-RC1-DOC-31</x:v>
      </x:c>
      <x:c r="AB84" s="26" t="str">
        <x:v>DEFINED / NOT EXECUTED</x:v>
      </x:c>
    </x:row>
    <x:row r="85" ht="30" customHeight="1">
      <x:c r="A85" s="26" t="str">
        <x:v>H6</x:v>
      </x:c>
      <x:c r="B85" s="26" t="str">
        <x:v>VS-BUILD-003</x:v>
      </x:c>
      <x:c r="C85" s="26" t="str">
        <x:v>Build</x:v>
      </x:c>
      <x:c r="D85" s="26" t="str">
        <x:v>Criterio contractual VSS</x:v>
      </x:c>
      <x:c r="E85" s="26" t="str">
        <x:v>`Player.log` no contiene errores bloqueantes o recurrentes.</x:v>
      </x:c>
      <x:c r="F85" s="26" t="str">
        <x:v>Ejecutar la prueba correspondiente en Editor y/o build según el nivel definido en 02 y registrar resultado reproducible.</x:v>
      </x:c>
      <x:c r="G85" s="26" t="str">
        <x:v>El criterio se cumple sin desviaciones bloqueantes y con resultado trazable.</x:v>
      </x:c>
      <x:c r="H85" s="26" t="str">
        <x:v>Log archivado.</x:v>
      </x:c>
      <x:c r="I85" s="26" t="str">
        <x:v>02_Vertical_Slice_Specification.md §7</x:v>
      </x:c>
      <x:c r="J85" s="26" t="str">
        <x:v>Vertical Slice Specification v0.1–v0.4; QA Plan/Matrix v0.3–v0.6</x:v>
      </x:c>
      <x:c r="K85" s="26" t="str">
        <x:v>H6</x:v>
      </x:c>
      <x:c r="L85" s="26" t="str">
        <x:v>Yes</x:v>
      </x:c>
      <x:c r="M85" s="26" t="str">
        <x:v>P0</x:v>
      </x:c>
      <x:c r="N85" s="26" t="str">
        <x:v>Build/Engineering</x:v>
      </x:c>
      <x:c r="O85" s="26" t="str">
        <x:v>QA/Production</x:v>
      </x:c>
      <x:c r="P85" s="26" t="str">
        <x:v>NOT RUN</x:v>
      </x:c>
      <x:c r="Q85" s="26"/>
      <x:c r="R85" s="26"/>
      <x:c r="S85" s="26"/>
      <x:c r="T85" s="26"/>
      <x:c r="U85" s="26"/>
      <x:c r="V85" s="26"/>
      <x:c r="W85" s="26" t="n">
        <x:v>1</x:v>
      </x:c>
      <x:c r="X85" s="26" t="n">
        <x:v>0</x:v>
      </x:c>
      <x:c r="Y85" s="26" t="n">
        <x:v>1</x:v>
      </x:c>
      <x:c r="Z85" s="26" t="str">
        <x:v>PENDING</x:v>
      </x:c>
      <x:c r="AA85" s="26" t="str">
        <x:v>CHG-RC1-DOC-31</x:v>
      </x:c>
      <x:c r="AB85" s="26" t="str">
        <x:v>DEFINED / NOT EXECUTED</x:v>
      </x:c>
    </x:row>
    <x:row r="86" ht="30" customHeight="1">
      <x:c r="A86" s="26" t="str">
        <x:v>H6</x:v>
      </x:c>
      <x:c r="B86" s="26" t="str">
        <x:v>VS-DOC-001</x:v>
      </x:c>
      <x:c r="C86" s="26" t="str">
        <x:v>Documentación</x:v>
      </x:c>
      <x:c r="D86" s="26" t="str">
        <x:v>Criterio contractual VSS</x:v>
      </x:c>
      <x:c r="E86" s="26" t="str">
        <x:v>Resultados, defectos, excepciones y decisiones están trazados.</x:v>
      </x:c>
      <x:c r="F86" s="26" t="str">
        <x:v>Ejecutar la prueba correspondiente en Editor y/o build según el nivel definido en 02 y registrar resultado reproducible.</x:v>
      </x:c>
      <x:c r="G86" s="26" t="str">
        <x:v>El criterio se cumple sin desviaciones bloqueantes y con resultado trazable.</x:v>
      </x:c>
      <x:c r="H86" s="26" t="str">
        <x:v>Matriz y changelog.</x:v>
      </x:c>
      <x:c r="I86" s="26" t="str">
        <x:v>02_Vertical_Slice_Specification.md §7</x:v>
      </x:c>
      <x:c r="J86" s="26" t="str">
        <x:v>Vertical Slice Specification v0.1–v0.4; QA Plan/Matrix v0.3–v0.6</x:v>
      </x:c>
      <x:c r="K86" s="26" t="str">
        <x:v>H6</x:v>
      </x:c>
      <x:c r="L86" s="26" t="str">
        <x:v>Yes</x:v>
      </x:c>
      <x:c r="M86" s="26" t="str">
        <x:v>P0</x:v>
      </x:c>
      <x:c r="N86" s="26" t="str">
        <x:v>Production/Documentation</x:v>
      </x:c>
      <x:c r="O86" s="26" t="str">
        <x:v>QA/Production</x:v>
      </x:c>
      <x:c r="P86" s="26" t="str">
        <x:v>NOT RUN</x:v>
      </x:c>
      <x:c r="Q86" s="26"/>
      <x:c r="R86" s="26"/>
      <x:c r="S86" s="26"/>
      <x:c r="T86" s="26"/>
      <x:c r="U86" s="26"/>
      <x:c r="V86" s="26"/>
      <x:c r="W86" s="26" t="n">
        <x:v>1</x:v>
      </x:c>
      <x:c r="X86" s="26" t="n">
        <x:v>0</x:v>
      </x:c>
      <x:c r="Y86" s="26" t="n">
        <x:v>1</x:v>
      </x:c>
      <x:c r="Z86" s="26" t="str">
        <x:v>PENDING</x:v>
      </x:c>
      <x:c r="AA86" s="26" t="str">
        <x:v>CHG-RC1-DOC-31</x:v>
      </x:c>
      <x:c r="AB86" s="26" t="str">
        <x:v>DEFINED / NOT EXECUTED</x:v>
      </x:c>
    </x:row>
    <x:row r="87" ht="30" customHeight="1">
      <x:c r="A87" s="26" t="str">
        <x:v>H6</x:v>
      </x:c>
      <x:c r="B87" s="26" t="str">
        <x:v>H6-GOV-001</x:v>
      </x:c>
      <x:c r="C87" s="26" t="str">
        <x:v>Gobierno y alcance</x:v>
      </x:c>
      <x:c r="D87" s="26" t="str">
        <x:v>Control especializado</x:v>
      </x:c>
      <x:c r="E87" s="26" t="str">
        <x:v>El alcance H6 está congelado y excluye empleados, investigación, puestos informáticos, online, publishing y plataforma digital.</x:v>
      </x:c>
      <x:c r="F87" s="26" t="str">
        <x:v>Comparar backlog activo, commits y escenas con 00, 02 y 06; registrar cualquier excepción mediante Change ID.</x:v>
      </x:c>
      <x:c r="G87" s="26" t="str">
        <x:v>Cumplimiento verificable sin desviaciones bloqueantes.</x:v>
      </x:c>
      <x:c r="H87" s="26" t="str">
        <x:v>Scope freeze firmado y diff de backlog.</x:v>
      </x:c>
      <x:c r="I87" s="26" t="str">
        <x:v>00_Enfoque_y_Alcance.md; 02_Vertical_Slice_Specification.md; 06_Production_Roadmap_y_Sprint_Plan.md; 15_Guia_Maestra.md</x:v>
      </x:c>
      <x:c r="J87" s="26" t="str">
        <x:v>Enfoque v0.6–v0.8; Roadmap v0.3–v0.6; VSS v0.1–v0.4</x:v>
      </x:c>
      <x:c r="K87" s="26" t="str">
        <x:v>H6</x:v>
      </x:c>
      <x:c r="L87" s="26" t="str">
        <x:v>Yes</x:v>
      </x:c>
      <x:c r="M87" s="26" t="str">
        <x:v>P0</x:v>
      </x:c>
      <x:c r="N87" s="26" t="str">
        <x:v>Production</x:v>
      </x:c>
      <x:c r="O87" s="26" t="str">
        <x:v>QA/Production</x:v>
      </x:c>
      <x:c r="P87" s="26" t="str">
        <x:v>NOT RUN</x:v>
      </x:c>
      <x:c r="Q87" s="26"/>
      <x:c r="R87" s="26"/>
      <x:c r="S87" s="26"/>
      <x:c r="T87" s="26"/>
      <x:c r="U87" s="26"/>
      <x:c r="V87" s="26"/>
      <x:c r="W87" s="26" t="n">
        <x:v>1</x:v>
      </x:c>
      <x:c r="X87" s="26" t="n">
        <x:v>0</x:v>
      </x:c>
      <x:c r="Y87" s="26" t="n">
        <x:v>1</x:v>
      </x:c>
      <x:c r="Z87" s="26" t="str">
        <x:v>PENDING</x:v>
      </x:c>
      <x:c r="AA87" s="26" t="str">
        <x:v>CHG-RC1-DOC-31</x:v>
      </x:c>
      <x:c r="AB87" s="26" t="str">
        <x:v>DEFINED / NOT EXECUTED</x:v>
      </x:c>
    </x:row>
    <x:row r="88" ht="30" customHeight="1">
      <x:c r="A88" s="26" t="str">
        <x:v>H6</x:v>
      </x:c>
      <x:c r="B88" s="26" t="str">
        <x:v>H6-GOV-002</x:v>
      </x:c>
      <x:c r="C88" s="26" t="str">
        <x:v>Gobierno y alcance</x:v>
      </x:c>
      <x:c r="D88" s="26" t="str">
        <x:v>Control especializado</x:v>
      </x:c>
      <x:c r="E88" s="26" t="str">
        <x:v>No existen features nuevas introducidas durante estabilización sin aprobación formal de cambio mayor.</x:v>
      </x:c>
      <x:c r="F88" s="26" t="str">
        <x:v>Auditar cambios desde el freeze y revisar ADR/Change Register.</x:v>
      </x:c>
      <x:c r="G88" s="26" t="str">
        <x:v>Cumplimiento verificable sin desviaciones bloqueantes.</x:v>
      </x:c>
      <x:c r="H88" s="26" t="str">
        <x:v>Informe de cambios posteriores al freeze.</x:v>
      </x:c>
      <x:c r="I88" s="26" t="str">
        <x:v>00_Enfoque_y_Alcance.md; 02_Vertical_Slice_Specification.md; 06_Production_Roadmap_y_Sprint_Plan.md; 15_Guia_Maestra.md</x:v>
      </x:c>
      <x:c r="J88" s="26" t="str">
        <x:v>Enfoque v0.6–v0.8; Roadmap v0.3–v0.6; VSS v0.1–v0.4</x:v>
      </x:c>
      <x:c r="K88" s="26" t="str">
        <x:v>H6</x:v>
      </x:c>
      <x:c r="L88" s="26" t="str">
        <x:v>Yes</x:v>
      </x:c>
      <x:c r="M88" s="26" t="str">
        <x:v>P1</x:v>
      </x:c>
      <x:c r="N88" s="26" t="str">
        <x:v>Production</x:v>
      </x:c>
      <x:c r="O88" s="26" t="str">
        <x:v>QA/Production</x:v>
      </x:c>
      <x:c r="P88" s="26" t="str">
        <x:v>NOT RUN</x:v>
      </x:c>
      <x:c r="Q88" s="26"/>
      <x:c r="R88" s="26"/>
      <x:c r="S88" s="26"/>
      <x:c r="T88" s="26"/>
      <x:c r="U88" s="26"/>
      <x:c r="V88" s="26"/>
      <x:c r="W88" s="26" t="n">
        <x:v>1</x:v>
      </x:c>
      <x:c r="X88" s="26" t="n">
        <x:v>0</x:v>
      </x:c>
      <x:c r="Y88" s="26" t="n">
        <x:v>1</x:v>
      </x:c>
      <x:c r="Z88" s="26" t="str">
        <x:v>PENDING</x:v>
      </x:c>
      <x:c r="AA88" s="26" t="str">
        <x:v>CHG-RC1-DOC-31</x:v>
      </x:c>
      <x:c r="AB88" s="26" t="str">
        <x:v>DEFINED / NOT EXECUTED</x:v>
      </x:c>
    </x:row>
    <x:row r="89" ht="30" customHeight="1">
      <x:c r="A89" s="26" t="str">
        <x:v>H6</x:v>
      </x:c>
      <x:c r="B89" s="26" t="str">
        <x:v>H6-GOV-003</x:v>
      </x:c>
      <x:c r="C89" s="26" t="str">
        <x:v>Gobierno y alcance</x:v>
      </x:c>
      <x:c r="D89" s="26" t="str">
        <x:v>Control especializado</x:v>
      </x:c>
      <x:c r="E89" s="26" t="str">
        <x:v>La escena objetivo, el Golden Path y el contenido mínimo coinciden con la baseline aprobada.</x:v>
      </x:c>
      <x:c r="F89" s="26" t="str">
        <x:v>Cruzar 02, 21, Build Profile y escena candidata.</x:v>
      </x:c>
      <x:c r="G89" s="26" t="str">
        <x:v>Cumplimiento verificable sin desviaciones bloqueantes.</x:v>
      </x:c>
      <x:c r="H89" s="26" t="str">
        <x:v>Matriz de coincidencia baseline-build.</x:v>
      </x:c>
      <x:c r="I89" s="26" t="str">
        <x:v>00_Enfoque_y_Alcance.md; 02_Vertical_Slice_Specification.md; 06_Production_Roadmap_y_Sprint_Plan.md; 15_Guia_Maestra.md</x:v>
      </x:c>
      <x:c r="J89" s="26" t="str">
        <x:v>Enfoque v0.6–v0.8; Roadmap v0.3–v0.6; VSS v0.1–v0.4</x:v>
      </x:c>
      <x:c r="K89" s="26" t="str">
        <x:v>H6</x:v>
      </x:c>
      <x:c r="L89" s="26" t="str">
        <x:v>Yes</x:v>
      </x:c>
      <x:c r="M89" s="26" t="str">
        <x:v>P1</x:v>
      </x:c>
      <x:c r="N89" s="26" t="str">
        <x:v>Production</x:v>
      </x:c>
      <x:c r="O89" s="26" t="str">
        <x:v>QA/Production</x:v>
      </x:c>
      <x:c r="P89" s="26" t="str">
        <x:v>NOT RUN</x:v>
      </x:c>
      <x:c r="Q89" s="26"/>
      <x:c r="R89" s="26"/>
      <x:c r="S89" s="26"/>
      <x:c r="T89" s="26"/>
      <x:c r="U89" s="26"/>
      <x:c r="V89" s="26"/>
      <x:c r="W89" s="26" t="n">
        <x:v>1</x:v>
      </x:c>
      <x:c r="X89" s="26" t="n">
        <x:v>0</x:v>
      </x:c>
      <x:c r="Y89" s="26" t="n">
        <x:v>1</x:v>
      </x:c>
      <x:c r="Z89" s="26" t="str">
        <x:v>PENDING</x:v>
      </x:c>
      <x:c r="AA89" s="26" t="str">
        <x:v>CHG-RC1-DOC-31</x:v>
      </x:c>
      <x:c r="AB89" s="26" t="str">
        <x:v>DEFINED / NOT EXECUTED</x:v>
      </x:c>
    </x:row>
    <x:row r="90" ht="30" customHeight="1">
      <x:c r="A90" s="26" t="str">
        <x:v>H6</x:v>
      </x:c>
      <x:c r="B90" s="26" t="str">
        <x:v>H6-GOV-004</x:v>
      </x:c>
      <x:c r="C90" s="26" t="str">
        <x:v>Gobierno y alcance</x:v>
      </x:c>
      <x:c r="D90" s="26" t="str">
        <x:v>Control especializado</x:v>
      </x:c>
      <x:c r="E90" s="26" t="str">
        <x:v>Existe un commit candidato único, rama identificada y working copy limpia.</x:v>
      </x:c>
      <x:c r="F90" s="26" t="str">
        <x:v>Registrar branch, SHA, git status y tag/candidate label.</x:v>
      </x:c>
      <x:c r="G90" s="26" t="str">
        <x:v>Cumplimiento verificable sin desviaciones bloqueantes.</x:v>
      </x:c>
      <x:c r="H90" s="26" t="str">
        <x:v>Captura/registro Git y Build Record.</x:v>
      </x:c>
      <x:c r="I90" s="26" t="str">
        <x:v>00_Enfoque_y_Alcance.md; 02_Vertical_Slice_Specification.md; 06_Production_Roadmap_y_Sprint_Plan.md; 15_Guia_Maestra.md</x:v>
      </x:c>
      <x:c r="J90" s="26" t="str">
        <x:v>Enfoque v0.6–v0.8; Roadmap v0.3–v0.6; VSS v0.1–v0.4</x:v>
      </x:c>
      <x:c r="K90" s="26" t="str">
        <x:v>H6</x:v>
      </x:c>
      <x:c r="L90" s="26" t="str">
        <x:v>Yes</x:v>
      </x:c>
      <x:c r="M90" s="26" t="str">
        <x:v>P0</x:v>
      </x:c>
      <x:c r="N90" s="26" t="str">
        <x:v>Production</x:v>
      </x:c>
      <x:c r="O90" s="26" t="str">
        <x:v>QA/Production</x:v>
      </x:c>
      <x:c r="P90" s="26" t="str">
        <x:v>NOT RUN</x:v>
      </x:c>
      <x:c r="Q90" s="26"/>
      <x:c r="R90" s="26"/>
      <x:c r="S90" s="26"/>
      <x:c r="T90" s="26"/>
      <x:c r="U90" s="26"/>
      <x:c r="V90" s="26"/>
      <x:c r="W90" s="26" t="n">
        <x:v>1</x:v>
      </x:c>
      <x:c r="X90" s="26" t="n">
        <x:v>0</x:v>
      </x:c>
      <x:c r="Y90" s="26" t="n">
        <x:v>1</x:v>
      </x:c>
      <x:c r="Z90" s="26" t="str">
        <x:v>PENDING</x:v>
      </x:c>
      <x:c r="AA90" s="26" t="str">
        <x:v>CHG-RC1-DOC-31</x:v>
      </x:c>
      <x:c r="AB90" s="26" t="str">
        <x:v>DEFINED / NOT EXECUTED</x:v>
      </x:c>
    </x:row>
    <x:row r="91" ht="30" customHeight="1">
      <x:c r="A91" s="26" t="str">
        <x:v>H6</x:v>
      </x:c>
      <x:c r="B91" s="26" t="str">
        <x:v>H6-GOV-005</x:v>
      </x:c>
      <x:c r="C91" s="26" t="str">
        <x:v>Gobierno y alcance</x:v>
      </x:c>
      <x:c r="D91" s="26" t="str">
        <x:v>Control especializado</x:v>
      </x:c>
      <x:c r="E91" s="26" t="str">
        <x:v>Todos los cambios de alcance, invariantes o aceptación tienen ADR o Change ID con impacto analizado.</x:v>
      </x:c>
      <x:c r="F91" s="26" t="str">
        <x:v>Revisar 13 y ADR Index contra commits del candidato.</x:v>
      </x:c>
      <x:c r="G91" s="26" t="str">
        <x:v>Cumplimiento verificable sin desviaciones bloqueantes.</x:v>
      </x:c>
      <x:c r="H91" s="26" t="str">
        <x:v>Extracto de trazabilidad y ADR asociados.</x:v>
      </x:c>
      <x:c r="I91" s="26" t="str">
        <x:v>00_Enfoque_y_Alcance.md; 02_Vertical_Slice_Specification.md; 06_Production_Roadmap_y_Sprint_Plan.md; 15_Guia_Maestra.md</x:v>
      </x:c>
      <x:c r="J91" s="26" t="str">
        <x:v>Enfoque v0.6–v0.8; Roadmap v0.3–v0.6; VSS v0.1–v0.4</x:v>
      </x:c>
      <x:c r="K91" s="26" t="str">
        <x:v>H6</x:v>
      </x:c>
      <x:c r="L91" s="26" t="str">
        <x:v>Yes</x:v>
      </x:c>
      <x:c r="M91" s="26" t="str">
        <x:v>P1</x:v>
      </x:c>
      <x:c r="N91" s="26" t="str">
        <x:v>Production</x:v>
      </x:c>
      <x:c r="O91" s="26" t="str">
        <x:v>QA/Production</x:v>
      </x:c>
      <x:c r="P91" s="26" t="str">
        <x:v>NOT RUN</x:v>
      </x:c>
      <x:c r="Q91" s="26"/>
      <x:c r="R91" s="26"/>
      <x:c r="S91" s="26"/>
      <x:c r="T91" s="26"/>
      <x:c r="U91" s="26"/>
      <x:c r="V91" s="26"/>
      <x:c r="W91" s="26" t="n">
        <x:v>1</x:v>
      </x:c>
      <x:c r="X91" s="26" t="n">
        <x:v>0</x:v>
      </x:c>
      <x:c r="Y91" s="26" t="n">
        <x:v>1</x:v>
      </x:c>
      <x:c r="Z91" s="26" t="str">
        <x:v>PENDING</x:v>
      </x:c>
      <x:c r="AA91" s="26" t="str">
        <x:v>CHG-RC1-DOC-31</x:v>
      </x:c>
      <x:c r="AB91" s="26" t="str">
        <x:v>DEFINED / NOT EXECUTED</x:v>
      </x:c>
    </x:row>
    <x:row r="92" ht="30" customHeight="1">
      <x:c r="A92" s="26" t="str">
        <x:v>H6</x:v>
      </x:c>
      <x:c r="B92" s="26" t="str">
        <x:v>H6-GOV-006</x:v>
      </x:c>
      <x:c r="C92" s="26" t="str">
        <x:v>Gobierno y alcance</x:v>
      </x:c>
      <x:c r="D92" s="26" t="str">
        <x:v>Control especializado</x:v>
      </x:c>
      <x:c r="E92" s="26" t="str">
        <x:v>La apertura de H6 no depende de fechas ficticias ni de tareas sin criterios de aceptación.</x:v>
      </x:c>
      <x:c r="F92" s="26" t="str">
        <x:v>Revisar roadmap, sprint backlog y gate package.</x:v>
      </x:c>
      <x:c r="G92" s="26" t="str">
        <x:v>Cumplimiento verificable sin desviaciones bloqueantes.</x:v>
      </x:c>
      <x:c r="H92" s="26" t="str">
        <x:v>Acta de revisión de planificación.</x:v>
      </x:c>
      <x:c r="I92" s="26" t="str">
        <x:v>00_Enfoque_y_Alcance.md; 02_Vertical_Slice_Specification.md; 06_Production_Roadmap_y_Sprint_Plan.md; 15_Guia_Maestra.md</x:v>
      </x:c>
      <x:c r="J92" s="26" t="str">
        <x:v>Enfoque v0.6–v0.8; Roadmap v0.3–v0.6; VSS v0.1–v0.4</x:v>
      </x:c>
      <x:c r="K92" s="26" t="str">
        <x:v>H6</x:v>
      </x:c>
      <x:c r="L92" s="26" t="str">
        <x:v>Yes</x:v>
      </x:c>
      <x:c r="M92" s="26" t="str">
        <x:v>P1</x:v>
      </x:c>
      <x:c r="N92" s="26" t="str">
        <x:v>Production</x:v>
      </x:c>
      <x:c r="O92" s="26" t="str">
        <x:v>QA/Production</x:v>
      </x:c>
      <x:c r="P92" s="26" t="str">
        <x:v>NOT RUN</x:v>
      </x:c>
      <x:c r="Q92" s="26"/>
      <x:c r="R92" s="26"/>
      <x:c r="S92" s="26"/>
      <x:c r="T92" s="26"/>
      <x:c r="U92" s="26"/>
      <x:c r="V92" s="26"/>
      <x:c r="W92" s="26" t="n">
        <x:v>1</x:v>
      </x:c>
      <x:c r="X92" s="26" t="n">
        <x:v>0</x:v>
      </x:c>
      <x:c r="Y92" s="26" t="n">
        <x:v>1</x:v>
      </x:c>
      <x:c r="Z92" s="26" t="str">
        <x:v>PENDING</x:v>
      </x:c>
      <x:c r="AA92" s="26" t="str">
        <x:v>CHG-RC1-DOC-31</x:v>
      </x:c>
      <x:c r="AB92" s="26" t="str">
        <x:v>DEFINED / NOT EXECUTED</x:v>
      </x:c>
    </x:row>
    <x:row r="93" ht="30" customHeight="1">
      <x:c r="A93" s="26" t="str">
        <x:v>H6</x:v>
      </x:c>
      <x:c r="B93" s="26" t="str">
        <x:v>H6-GOV-007</x:v>
      </x:c>
      <x:c r="C93" s="26" t="str">
        <x:v>Gobierno y alcance</x:v>
      </x:c>
      <x:c r="D93" s="26" t="str">
        <x:v>Control especializado</x:v>
      </x:c>
      <x:c r="E93" s="26" t="str">
        <x:v>Los términos H6, Sprint 16, Sprint 17, QA build y Steam RC se usan sin equivalencias incorrectas.</x:v>
      </x:c>
      <x:c r="F93" s="26" t="str">
        <x:v>Revisión terminológica de documentos, dashboards y nombres de builds.</x:v>
      </x:c>
      <x:c r="G93" s="26" t="str">
        <x:v>Cumplimiento verificable sin desviaciones bloqueantes.</x:v>
      </x:c>
      <x:c r="H93" s="26" t="str">
        <x:v>Checklist terminológico.</x:v>
      </x:c>
      <x:c r="I93" s="26" t="str">
        <x:v>00_Enfoque_y_Alcance.md; 02_Vertical_Slice_Specification.md; 06_Production_Roadmap_y_Sprint_Plan.md; 15_Guia_Maestra.md</x:v>
      </x:c>
      <x:c r="J93" s="26" t="str">
        <x:v>Enfoque v0.6–v0.8; Roadmap v0.3–v0.6; VSS v0.1–v0.4</x:v>
      </x:c>
      <x:c r="K93" s="26" t="str">
        <x:v>H6</x:v>
      </x:c>
      <x:c r="L93" s="26" t="str">
        <x:v>Yes</x:v>
      </x:c>
      <x:c r="M93" s="26" t="str">
        <x:v>P1</x:v>
      </x:c>
      <x:c r="N93" s="26" t="str">
        <x:v>Production</x:v>
      </x:c>
      <x:c r="O93" s="26" t="str">
        <x:v>QA/Production</x:v>
      </x:c>
      <x:c r="P93" s="26" t="str">
        <x:v>NOT RUN</x:v>
      </x:c>
      <x:c r="Q93" s="26"/>
      <x:c r="R93" s="26"/>
      <x:c r="S93" s="26"/>
      <x:c r="T93" s="26"/>
      <x:c r="U93" s="26"/>
      <x:c r="V93" s="26"/>
      <x:c r="W93" s="26" t="n">
        <x:v>1</x:v>
      </x:c>
      <x:c r="X93" s="26" t="n">
        <x:v>0</x:v>
      </x:c>
      <x:c r="Y93" s="26" t="n">
        <x:v>1</x:v>
      </x:c>
      <x:c r="Z93" s="26" t="str">
        <x:v>PENDING</x:v>
      </x:c>
      <x:c r="AA93" s="26" t="str">
        <x:v>CHG-RC1-DOC-31</x:v>
      </x:c>
      <x:c r="AB93" s="26" t="str">
        <x:v>DEFINED / NOT EXECUTED</x:v>
      </x:c>
    </x:row>
    <x:row r="94" ht="30" customHeight="1">
      <x:c r="A94" s="26" t="str">
        <x:v>H6</x:v>
      </x:c>
      <x:c r="B94" s="26" t="str">
        <x:v>H6-GOV-008</x:v>
      </x:c>
      <x:c r="C94" s="26" t="str">
        <x:v>Gobierno y alcance</x:v>
      </x:c>
      <x:c r="D94" s="26" t="str">
        <x:v>Control especializado</x:v>
      </x:c>
      <x:c r="E94" s="26" t="str">
        <x:v>No se utiliza PASS WITH ACCEPTED DEBT para pérdida de datos, duplicación, build no arrancable, Golden Path roto o S0/S1.</x:v>
      </x:c>
      <x:c r="F94" s="26" t="str">
        <x:v>Revisar todas las excepciones propuestas contra política de severidad.</x:v>
      </x:c>
      <x:c r="G94" s="26" t="str">
        <x:v>Cumplimiento verificable sin desviaciones bloqueantes.</x:v>
      </x:c>
      <x:c r="H94" s="26" t="str">
        <x:v>Exception Register revisado.</x:v>
      </x:c>
      <x:c r="I94" s="26" t="str">
        <x:v>00_Enfoque_y_Alcance.md; 02_Vertical_Slice_Specification.md; 06_Production_Roadmap_y_Sprint_Plan.md; 15_Guia_Maestra.md</x:v>
      </x:c>
      <x:c r="J94" s="26" t="str">
        <x:v>Enfoque v0.6–v0.8; Roadmap v0.3–v0.6; VSS v0.1–v0.4</x:v>
      </x:c>
      <x:c r="K94" s="26" t="str">
        <x:v>H6</x:v>
      </x:c>
      <x:c r="L94" s="26" t="str">
        <x:v>Yes</x:v>
      </x:c>
      <x:c r="M94" s="26" t="str">
        <x:v>P0</x:v>
      </x:c>
      <x:c r="N94" s="26" t="str">
        <x:v>Production</x:v>
      </x:c>
      <x:c r="O94" s="26" t="str">
        <x:v>QA/Production</x:v>
      </x:c>
      <x:c r="P94" s="26" t="str">
        <x:v>NOT RUN</x:v>
      </x:c>
      <x:c r="Q94" s="26"/>
      <x:c r="R94" s="26"/>
      <x:c r="S94" s="26"/>
      <x:c r="T94" s="26"/>
      <x:c r="U94" s="26"/>
      <x:c r="V94" s="26"/>
      <x:c r="W94" s="26" t="n">
        <x:v>1</x:v>
      </x:c>
      <x:c r="X94" s="26" t="n">
        <x:v>0</x:v>
      </x:c>
      <x:c r="Y94" s="26" t="n">
        <x:v>1</x:v>
      </x:c>
      <x:c r="Z94" s="26" t="str">
        <x:v>PENDING</x:v>
      </x:c>
      <x:c r="AA94" s="26" t="str">
        <x:v>CHG-RC1-DOC-31</x:v>
      </x:c>
      <x:c r="AB94" s="26" t="str">
        <x:v>DEFINED / NOT EXECUTED</x:v>
      </x:c>
    </x:row>
    <x:row r="95" ht="30" customHeight="1">
      <x:c r="A95" s="26" t="str">
        <x:v>H6</x:v>
      </x:c>
      <x:c r="B95" s="26" t="str">
        <x:v>H6-GOV-009</x:v>
      </x:c>
      <x:c r="C95" s="26" t="str">
        <x:v>Gobierno y alcance</x:v>
      </x:c>
      <x:c r="D95" s="26" t="str">
        <x:v>Control especializado</x:v>
      </x:c>
      <x:c r="E95" s="26" t="str">
        <x:v>El universo de bloqueantes de gate está normalizado y separado del contador general de defectos.</x:v>
      </x:c>
      <x:c r="F95" s="26" t="str">
        <x:v>Comparar QA, producción y defect register; verificar campo Bloquea H6.</x:v>
      </x:c>
      <x:c r="G95" s="26" t="str">
        <x:v>Cumplimiento verificable sin desviaciones bloqueantes.</x:v>
      </x:c>
      <x:c r="H95" s="26" t="str">
        <x:v>Registro único de bloqueantes y reconciliación.</x:v>
      </x:c>
      <x:c r="I95" s="26" t="str">
        <x:v>00_Enfoque_y_Alcance.md; 02_Vertical_Slice_Specification.md; 06_Production_Roadmap_y_Sprint_Plan.md; 15_Guia_Maestra.md</x:v>
      </x:c>
      <x:c r="J95" s="26" t="str">
        <x:v>Enfoque v0.6–v0.8; Roadmap v0.3–v0.6; VSS v0.1–v0.4</x:v>
      </x:c>
      <x:c r="K95" s="26" t="str">
        <x:v>H6</x:v>
      </x:c>
      <x:c r="L95" s="26" t="str">
        <x:v>Yes</x:v>
      </x:c>
      <x:c r="M95" s="26" t="str">
        <x:v>P0</x:v>
      </x:c>
      <x:c r="N95" s="26" t="str">
        <x:v>Production</x:v>
      </x:c>
      <x:c r="O95" s="26" t="str">
        <x:v>QA/Production</x:v>
      </x:c>
      <x:c r="P95" s="26" t="str">
        <x:v>NOT RUN</x:v>
      </x:c>
      <x:c r="Q95" s="26"/>
      <x:c r="R95" s="26"/>
      <x:c r="S95" s="26"/>
      <x:c r="T95" s="26"/>
      <x:c r="U95" s="26"/>
      <x:c r="V95" s="26"/>
      <x:c r="W95" s="26" t="n">
        <x:v>1</x:v>
      </x:c>
      <x:c r="X95" s="26" t="n">
        <x:v>0</x:v>
      </x:c>
      <x:c r="Y95" s="26" t="n">
        <x:v>1</x:v>
      </x:c>
      <x:c r="Z95" s="26" t="str">
        <x:v>PENDING</x:v>
      </x:c>
      <x:c r="AA95" s="26" t="str">
        <x:v>CHG-RC1-DOC-31</x:v>
      </x:c>
      <x:c r="AB95" s="26" t="str">
        <x:v>DEFINED / NOT EXECUTED</x:v>
      </x:c>
    </x:row>
    <x:row r="96" ht="30" customHeight="1">
      <x:c r="A96" s="26" t="str">
        <x:v>H6</x:v>
      </x:c>
      <x:c r="B96" s="26" t="str">
        <x:v>H6-GOV-010</x:v>
      </x:c>
      <x:c r="C96" s="26" t="str">
        <x:v>Gobierno y alcance</x:v>
      </x:c>
      <x:c r="D96" s="26" t="str">
        <x:v>Control especializado</x:v>
      </x:c>
      <x:c r="E96" s="26" t="str">
        <x:v>El responsable de decisión y los revisores de H6 están identificados antes de ejecutar la candidata.</x:v>
      </x:c>
      <x:c r="F96" s="26" t="str">
        <x:v>Completar matriz RACI y hoja de firmas.</x:v>
      </x:c>
      <x:c r="G96" s="26" t="str">
        <x:v>Cumplimiento verificable sin desviaciones bloqueantes.</x:v>
      </x:c>
      <x:c r="H96" s="26" t="str">
        <x:v>RACI y signoff preparado.</x:v>
      </x:c>
      <x:c r="I96" s="26" t="str">
        <x:v>00_Enfoque_y_Alcance.md; 02_Vertical_Slice_Specification.md; 06_Production_Roadmap_y_Sprint_Plan.md; 15_Guia_Maestra.md</x:v>
      </x:c>
      <x:c r="J96" s="26" t="str">
        <x:v>Enfoque v0.6–v0.8; Roadmap v0.3–v0.6; VSS v0.1–v0.4</x:v>
      </x:c>
      <x:c r="K96" s="26" t="str">
        <x:v>H6</x:v>
      </x:c>
      <x:c r="L96" s="26" t="str">
        <x:v>Yes</x:v>
      </x:c>
      <x:c r="M96" s="26" t="str">
        <x:v>P1</x:v>
      </x:c>
      <x:c r="N96" s="26" t="str">
        <x:v>Production</x:v>
      </x:c>
      <x:c r="O96" s="26" t="str">
        <x:v>QA/Production</x:v>
      </x:c>
      <x:c r="P96" s="26" t="str">
        <x:v>NOT RUN</x:v>
      </x:c>
      <x:c r="Q96" s="26"/>
      <x:c r="R96" s="26"/>
      <x:c r="S96" s="26"/>
      <x:c r="T96" s="26"/>
      <x:c r="U96" s="26"/>
      <x:c r="V96" s="26"/>
      <x:c r="W96" s="26" t="n">
        <x:v>1</x:v>
      </x:c>
      <x:c r="X96" s="26" t="n">
        <x:v>0</x:v>
      </x:c>
      <x:c r="Y96" s="26" t="n">
        <x:v>1</x:v>
      </x:c>
      <x:c r="Z96" s="26" t="str">
        <x:v>PENDING</x:v>
      </x:c>
      <x:c r="AA96" s="26" t="str">
        <x:v>CHG-RC1-DOC-31</x:v>
      </x:c>
      <x:c r="AB96" s="26" t="str">
        <x:v>DEFINED / NOT EXECUTED</x:v>
      </x:c>
    </x:row>
    <x:row r="97" ht="30" customHeight="1">
      <x:c r="A97" s="26" t="str">
        <x:v>H6</x:v>
      </x:c>
      <x:c r="B97" s="26" t="str">
        <x:v>H6-GOV-011</x:v>
      </x:c>
      <x:c r="C97" s="26" t="str">
        <x:v>Gobierno y alcance</x:v>
      </x:c>
      <x:c r="D97" s="26" t="str">
        <x:v>Control especializado</x:v>
      </x:c>
      <x:c r="E97" s="26" t="str">
        <x:v>La decisión H6 puede reproducirse meses después sin depender del historial del chat.</x:v>
      </x:c>
      <x:c r="F97" s="26" t="str">
        <x:v>Comprobar que paquete, hashes, logs, informes y acta son autosuficientes.</x:v>
      </x:c>
      <x:c r="G97" s="26" t="str">
        <x:v>Cumplimiento verificable sin desviaciones bloqueantes.</x:v>
      </x:c>
      <x:c r="H97" s="26" t="str">
        <x:v>Prueba de auditoría documental independiente.</x:v>
      </x:c>
      <x:c r="I97" s="26" t="str">
        <x:v>00_Enfoque_y_Alcance.md; 02_Vertical_Slice_Specification.md; 06_Production_Roadmap_y_Sprint_Plan.md; 15_Guia_Maestra.md</x:v>
      </x:c>
      <x:c r="J97" s="26" t="str">
        <x:v>Enfoque v0.6–v0.8; Roadmap v0.3–v0.6; VSS v0.1–v0.4</x:v>
      </x:c>
      <x:c r="K97" s="26" t="str">
        <x:v>H6</x:v>
      </x:c>
      <x:c r="L97" s="26" t="str">
        <x:v>Yes</x:v>
      </x:c>
      <x:c r="M97" s="26" t="str">
        <x:v>P1</x:v>
      </x:c>
      <x:c r="N97" s="26" t="str">
        <x:v>Production</x:v>
      </x:c>
      <x:c r="O97" s="26" t="str">
        <x:v>QA/Production</x:v>
      </x:c>
      <x:c r="P97" s="26" t="str">
        <x:v>NOT RUN</x:v>
      </x:c>
      <x:c r="Q97" s="26"/>
      <x:c r="R97" s="26"/>
      <x:c r="S97" s="26"/>
      <x:c r="T97" s="26"/>
      <x:c r="U97" s="26"/>
      <x:c r="V97" s="26"/>
      <x:c r="W97" s="26" t="n">
        <x:v>1</x:v>
      </x:c>
      <x:c r="X97" s="26" t="n">
        <x:v>0</x:v>
      </x:c>
      <x:c r="Y97" s="26" t="n">
        <x:v>1</x:v>
      </x:c>
      <x:c r="Z97" s="26" t="str">
        <x:v>PENDING</x:v>
      </x:c>
      <x:c r="AA97" s="26" t="str">
        <x:v>CHG-RC1-DOC-31</x:v>
      </x:c>
      <x:c r="AB97" s="26" t="str">
        <x:v>DEFINED / NOT EXECUTED</x:v>
      </x:c>
    </x:row>
    <x:row r="98" ht="30" customHeight="1">
      <x:c r="A98" s="26" t="str">
        <x:v>H6</x:v>
      </x:c>
      <x:c r="B98" s="26" t="str">
        <x:v>H6-GOV-012</x:v>
      </x:c>
      <x:c r="C98" s="26" t="str">
        <x:v>Gobierno y alcance</x:v>
      </x:c>
      <x:c r="D98" s="26" t="str">
        <x:v>Control especializado</x:v>
      </x:c>
      <x:c r="E98" s="26" t="str">
        <x:v>Cualquier desviación aceptada incluye impacto, mitigación, propietario y trigger de reapertura.</x:v>
      </x:c>
      <x:c r="F98" s="26" t="str">
        <x:v>Revisar excepciones y deuda aceptada.</x:v>
      </x:c>
      <x:c r="G98" s="26" t="str">
        <x:v>Cumplimiento verificable sin desviaciones bloqueantes.</x:v>
      </x:c>
      <x:c r="H98" s="26" t="str">
        <x:v>Registro de excepciones completo.</x:v>
      </x:c>
      <x:c r="I98" s="26" t="str">
        <x:v>00_Enfoque_y_Alcance.md; 02_Vertical_Slice_Specification.md; 06_Production_Roadmap_y_Sprint_Plan.md; 15_Guia_Maestra.md</x:v>
      </x:c>
      <x:c r="J98" s="26" t="str">
        <x:v>Enfoque v0.6–v0.8; Roadmap v0.3–v0.6; VSS v0.1–v0.4</x:v>
      </x:c>
      <x:c r="K98" s="26" t="str">
        <x:v>H6</x:v>
      </x:c>
      <x:c r="L98" s="26" t="str">
        <x:v>Yes</x:v>
      </x:c>
      <x:c r="M98" s="26" t="str">
        <x:v>P1</x:v>
      </x:c>
      <x:c r="N98" s="26" t="str">
        <x:v>Production</x:v>
      </x:c>
      <x:c r="O98" s="26" t="str">
        <x:v>QA/Production</x:v>
      </x:c>
      <x:c r="P98" s="26" t="str">
        <x:v>NOT RUN</x:v>
      </x:c>
      <x:c r="Q98" s="26"/>
      <x:c r="R98" s="26"/>
      <x:c r="S98" s="26"/>
      <x:c r="T98" s="26"/>
      <x:c r="U98" s="26"/>
      <x:c r="V98" s="26"/>
      <x:c r="W98" s="26" t="n">
        <x:v>1</x:v>
      </x:c>
      <x:c r="X98" s="26" t="n">
        <x:v>0</x:v>
      </x:c>
      <x:c r="Y98" s="26" t="n">
        <x:v>1</x:v>
      </x:c>
      <x:c r="Z98" s="26" t="str">
        <x:v>PENDING</x:v>
      </x:c>
      <x:c r="AA98" s="26" t="str">
        <x:v>CHG-RC1-DOC-31</x:v>
      </x:c>
      <x:c r="AB98" s="26" t="str">
        <x:v>DEFINED / NOT EXECUTED</x:v>
      </x:c>
    </x:row>
    <x:row r="99" ht="30" customHeight="1">
      <x:c r="A99" s="26" t="str">
        <x:v>H6</x:v>
      </x:c>
      <x:c r="B99" s="26" t="str">
        <x:v>H6-SCN-001</x:v>
      </x:c>
      <x:c r="C99" s="26" t="str">
        <x:v>StoreInitial y representación</x:v>
      </x:c>
      <x:c r="D99" s="26" t="str">
        <x:v>Control especializado</x:v>
      </x:c>
      <x:c r="E99" s="26" t="str">
        <x:v>StoreInitial.unity es la escena representativa conectada al flujo real de Bootstrap/Main Menu.</x:v>
      </x:c>
      <x:c r="F99" s="26" t="str">
        <x:v>Iniciar partida nueva y carga de slot desde build externa; comprobar escena cargada.</x:v>
      </x:c>
      <x:c r="G99" s="26" t="str">
        <x:v>Cumplimiento verificable sin desviaciones bloqueantes.</x:v>
      </x:c>
      <x:c r="H99" s="26" t="str">
        <x:v>Vídeo/capturas, log y Build Profile.</x:v>
      </x:c>
      <x:c r="I99" s="26" t="str">
        <x:v>02_Vertical_Slice_Specification.md; 17_Art_Bible.md; 19_UI_Style_Guide.md; 21_Initial_Content_Catalog.xlsx</x:v>
      </x:c>
      <x:c r="J99" s="26" t="str">
        <x:v>Art Bible v0.3–v0.5; Initial Content Catalog v0.1–v0.3; Sprint 16 StoreInitial records</x:v>
      </x:c>
      <x:c r="K99" s="26" t="str">
        <x:v>Sprint 16 / H6</x:v>
      </x:c>
      <x:c r="L99" s="26" t="str">
        <x:v>Yes</x:v>
      </x:c>
      <x:c r="M99" s="26" t="str">
        <x:v>P0</x:v>
      </x:c>
      <x:c r="N99" s="26" t="str">
        <x:v>Art/Level</x:v>
      </x:c>
      <x:c r="O99" s="26" t="str">
        <x:v>Art Direction/QA</x:v>
      </x:c>
      <x:c r="P99" s="26" t="str">
        <x:v>NOT RUN</x:v>
      </x:c>
      <x:c r="Q99" s="26"/>
      <x:c r="R99" s="26"/>
      <x:c r="S99" s="26"/>
      <x:c r="T99" s="26"/>
      <x:c r="U99" s="26"/>
      <x:c r="V99" s="26"/>
      <x:c r="W99" s="26" t="n">
        <x:v>1</x:v>
      </x:c>
      <x:c r="X99" s="26" t="n">
        <x:v>0</x:v>
      </x:c>
      <x:c r="Y99" s="26" t="n">
        <x:v>1</x:v>
      </x:c>
      <x:c r="Z99" s="26" t="str">
        <x:v>PENDING</x:v>
      </x:c>
      <x:c r="AA99" s="26" t="str">
        <x:v>CHG-RC1-DOC-31</x:v>
      </x:c>
      <x:c r="AB99" s="26" t="str">
        <x:v>DEFINED / NOT EXECUTED</x:v>
      </x:c>
    </x:row>
    <x:row r="100" ht="30" customHeight="1">
      <x:c r="A100" s="26" t="str">
        <x:v>H6</x:v>
      </x:c>
      <x:c r="B100" s="26" t="str">
        <x:v>H6-SCN-002</x:v>
      </x:c>
      <x:c r="C100" s="26" t="str">
        <x:v>StoreInitial y representación</x:v>
      </x:c>
      <x:c r="D100" s="26" t="str">
        <x:v>Control especializado</x:v>
      </x:c>
      <x:c r="E100" s="26" t="str">
        <x:v>El layout aprobado mantiene entrada, circulación, exposición, checkout, recepción y almacén funcionales.</x:v>
      </x:c>
      <x:c r="F100" s="26" t="str">
        <x:v>Recorrer puntos obligatorios y comparar con layout de referencia.</x:v>
      </x:c>
      <x:c r="G100" s="26" t="str">
        <x:v>Cumplimiento verificable sin desviaciones bloqueantes.</x:v>
      </x:c>
      <x:c r="H100" s="26" t="str">
        <x:v>Plano anotado y capturas de revisión.</x:v>
      </x:c>
      <x:c r="I100" s="26" t="str">
        <x:v>02_Vertical_Slice_Specification.md; 17_Art_Bible.md; 19_UI_Style_Guide.md; 21_Initial_Content_Catalog.xlsx</x:v>
      </x:c>
      <x:c r="J100" s="26" t="str">
        <x:v>Art Bible v0.3–v0.5; Initial Content Catalog v0.1–v0.3; Sprint 16 StoreInitial records</x:v>
      </x:c>
      <x:c r="K100" s="26" t="str">
        <x:v>Sprint 16 / H6</x:v>
      </x:c>
      <x:c r="L100" s="26" t="str">
        <x:v>Yes</x:v>
      </x:c>
      <x:c r="M100" s="26" t="str">
        <x:v>P1</x:v>
      </x:c>
      <x:c r="N100" s="26" t="str">
        <x:v>Art/Level</x:v>
      </x:c>
      <x:c r="O100" s="26" t="str">
        <x:v>Art Direction/QA</x:v>
      </x:c>
      <x:c r="P100" s="26" t="str">
        <x:v>NOT RUN</x:v>
      </x:c>
      <x:c r="Q100" s="26"/>
      <x:c r="R100" s="26"/>
      <x:c r="S100" s="26"/>
      <x:c r="T100" s="26"/>
      <x:c r="U100" s="26"/>
      <x:c r="V100" s="26"/>
      <x:c r="W100" s="26" t="n">
        <x:v>1</x:v>
      </x:c>
      <x:c r="X100" s="26" t="n">
        <x:v>0</x:v>
      </x:c>
      <x:c r="Y100" s="26" t="n">
        <x:v>1</x:v>
      </x:c>
      <x:c r="Z100" s="26" t="str">
        <x:v>PENDING</x:v>
      </x:c>
      <x:c r="AA100" s="26" t="str">
        <x:v>CHG-RC1-DOC-31</x:v>
      </x:c>
      <x:c r="AB100" s="26" t="str">
        <x:v>DEFINED / NOT EXECUTED</x:v>
      </x:c>
    </x:row>
    <x:row r="101" ht="30" customHeight="1">
      <x:c r="A101" s="26" t="str">
        <x:v>H6</x:v>
      </x:c>
      <x:c r="B101" s="26" t="str">
        <x:v>H6-SCN-003</x:v>
      </x:c>
      <x:c r="C101" s="26" t="str">
        <x:v>StoreInitial y representación</x:v>
      </x:c>
      <x:c r="D101" s="26" t="str">
        <x:v>Control especializado</x:v>
      </x:c>
      <x:c r="E101" s="26" t="str">
        <x:v>La puerta visual, collider, navegación y lógica de entrada/salida coinciden.</x:v>
      </x:c>
      <x:c r="F101" s="26" t="str">
        <x:v>Probar jugador y múltiples clientes atravesando la puerta.</x:v>
      </x:c>
      <x:c r="G101" s="26" t="str">
        <x:v>Cumplimiento verificable sin desviaciones bloqueantes.</x:v>
      </x:c>
      <x:c r="H101" s="26" t="str">
        <x:v>Acta de navegación y vídeo.</x:v>
      </x:c>
      <x:c r="I101" s="26" t="str">
        <x:v>02_Vertical_Slice_Specification.md; 17_Art_Bible.md; 19_UI_Style_Guide.md; 21_Initial_Content_Catalog.xlsx</x:v>
      </x:c>
      <x:c r="J101" s="26" t="str">
        <x:v>Art Bible v0.3–v0.5; Initial Content Catalog v0.1–v0.3; Sprint 16 StoreInitial records</x:v>
      </x:c>
      <x:c r="K101" s="26" t="str">
        <x:v>Sprint 16 / H6</x:v>
      </x:c>
      <x:c r="L101" s="26" t="str">
        <x:v>Yes</x:v>
      </x:c>
      <x:c r="M101" s="26" t="str">
        <x:v>P1</x:v>
      </x:c>
      <x:c r="N101" s="26" t="str">
        <x:v>Art/Level</x:v>
      </x:c>
      <x:c r="O101" s="26" t="str">
        <x:v>Art Direction/QA</x:v>
      </x:c>
      <x:c r="P101" s="26" t="str">
        <x:v>NOT RUN</x:v>
      </x:c>
      <x:c r="Q101" s="26"/>
      <x:c r="R101" s="26"/>
      <x:c r="S101" s="26"/>
      <x:c r="T101" s="26"/>
      <x:c r="U101" s="26"/>
      <x:c r="V101" s="26"/>
      <x:c r="W101" s="26" t="n">
        <x:v>1</x:v>
      </x:c>
      <x:c r="X101" s="26" t="n">
        <x:v>0</x:v>
      </x:c>
      <x:c r="Y101" s="26" t="n">
        <x:v>1</x:v>
      </x:c>
      <x:c r="Z101" s="26" t="str">
        <x:v>PENDING</x:v>
      </x:c>
      <x:c r="AA101" s="26" t="str">
        <x:v>CHG-RC1-DOC-31</x:v>
      </x:c>
      <x:c r="AB101" s="26" t="str">
        <x:v>DEFINED / NOT EXECUTED</x:v>
      </x:c>
    </x:row>
    <x:row r="102" ht="30" customHeight="1">
      <x:c r="A102" s="26" t="str">
        <x:v>H6</x:v>
      </x:c>
      <x:c r="B102" s="26" t="str">
        <x:v>H6-SCN-004</x:v>
      </x:c>
      <x:c r="C102" s="26" t="str">
        <x:v>StoreInitial y representación</x:v>
      </x:c>
      <x:c r="D102" s="26" t="str">
        <x:v>Control especializado</x:v>
      </x:c>
      <x:c r="E102" s="26" t="str">
        <x:v>No existen placeholders visibles no exceptuados en cámara normal de juego.</x:v>
      </x:c>
      <x:c r="F102" s="26" t="str">
        <x:v>Barrido visual de toda la tienda y estados del Golden Path.</x:v>
      </x:c>
      <x:c r="G102" s="26" t="str">
        <x:v>Cumplimiento verificable sin desviaciones bloqueantes.</x:v>
      </x:c>
      <x:c r="H102" s="26" t="str">
        <x:v>Set de capturas 1080p y lista de excepciones.</x:v>
      </x:c>
      <x:c r="I102" s="26" t="str">
        <x:v>02_Vertical_Slice_Specification.md; 17_Art_Bible.md; 19_UI_Style_Guide.md; 21_Initial_Content_Catalog.xlsx</x:v>
      </x:c>
      <x:c r="J102" s="26" t="str">
        <x:v>Art Bible v0.3–v0.5; Initial Content Catalog v0.1–v0.3; Sprint 16 StoreInitial records</x:v>
      </x:c>
      <x:c r="K102" s="26" t="str">
        <x:v>Sprint 16 / H6</x:v>
      </x:c>
      <x:c r="L102" s="26" t="str">
        <x:v>Yes</x:v>
      </x:c>
      <x:c r="M102" s="26" t="str">
        <x:v>P1</x:v>
      </x:c>
      <x:c r="N102" s="26" t="str">
        <x:v>Art/Level</x:v>
      </x:c>
      <x:c r="O102" s="26" t="str">
        <x:v>Art Direction/QA</x:v>
      </x:c>
      <x:c r="P102" s="26" t="str">
        <x:v>NOT RUN</x:v>
      </x:c>
      <x:c r="Q102" s="26"/>
      <x:c r="R102" s="26"/>
      <x:c r="S102" s="26"/>
      <x:c r="T102" s="26"/>
      <x:c r="U102" s="26"/>
      <x:c r="V102" s="26"/>
      <x:c r="W102" s="26" t="n">
        <x:v>1</x:v>
      </x:c>
      <x:c r="X102" s="26" t="n">
        <x:v>0</x:v>
      </x:c>
      <x:c r="Y102" s="26" t="n">
        <x:v>1</x:v>
      </x:c>
      <x:c r="Z102" s="26" t="str">
        <x:v>PENDING</x:v>
      </x:c>
      <x:c r="AA102" s="26" t="str">
        <x:v>CHG-RC1-DOC-31</x:v>
      </x:c>
      <x:c r="AB102" s="26" t="str">
        <x:v>DEFINED / NOT EXECUTED</x:v>
      </x:c>
    </x:row>
    <x:row r="103" ht="30" customHeight="1">
      <x:c r="A103" s="26" t="str">
        <x:v>H6</x:v>
      </x:c>
      <x:c r="B103" s="26" t="str">
        <x:v>H6-SCN-005</x:v>
      </x:c>
      <x:c r="C103" s="26" t="str">
        <x:v>StoreInitial y representación</x:v>
      </x:c>
      <x:c r="D103" s="26" t="str">
        <x:v>Control especializado</x:v>
      </x:c>
      <x:c r="E103" s="26" t="str">
        <x:v>Los muebles representativos sustituyen blockouts sin alterar huellas, pivotes, colliders ni puntos de interacción.</x:v>
      </x:c>
      <x:c r="F103" s="26" t="str">
        <x:v>Probar colocar, mover, retirar, reponer y guardar cada familia.</x:v>
      </x:c>
      <x:c r="G103" s="26" t="str">
        <x:v>Cumplimiento verificable sin desviaciones bloqueantes.</x:v>
      </x:c>
      <x:c r="H103" s="26" t="str">
        <x:v>Matriz prefab-función y pruebas.</x:v>
      </x:c>
      <x:c r="I103" s="26" t="str">
        <x:v>02_Vertical_Slice_Specification.md; 17_Art_Bible.md; 19_UI_Style_Guide.md; 21_Initial_Content_Catalog.xlsx</x:v>
      </x:c>
      <x:c r="J103" s="26" t="str">
        <x:v>Art Bible v0.3–v0.5; Initial Content Catalog v0.1–v0.3; Sprint 16 StoreInitial records</x:v>
      </x:c>
      <x:c r="K103" s="26" t="str">
        <x:v>Sprint 16 / H6</x:v>
      </x:c>
      <x:c r="L103" s="26" t="str">
        <x:v>Yes</x:v>
      </x:c>
      <x:c r="M103" s="26" t="str">
        <x:v>P1</x:v>
      </x:c>
      <x:c r="N103" s="26" t="str">
        <x:v>Art/Level</x:v>
      </x:c>
      <x:c r="O103" s="26" t="str">
        <x:v>Art Direction/QA</x:v>
      </x:c>
      <x:c r="P103" s="26" t="str">
        <x:v>NOT RUN</x:v>
      </x:c>
      <x:c r="Q103" s="26"/>
      <x:c r="R103" s="26"/>
      <x:c r="S103" s="26"/>
      <x:c r="T103" s="26"/>
      <x:c r="U103" s="26"/>
      <x:c r="V103" s="26"/>
      <x:c r="W103" s="26" t="n">
        <x:v>1</x:v>
      </x:c>
      <x:c r="X103" s="26" t="n">
        <x:v>0</x:v>
      </x:c>
      <x:c r="Y103" s="26" t="n">
        <x:v>1</x:v>
      </x:c>
      <x:c r="Z103" s="26" t="str">
        <x:v>PENDING</x:v>
      </x:c>
      <x:c r="AA103" s="26" t="str">
        <x:v>CHG-RC1-DOC-31</x:v>
      </x:c>
      <x:c r="AB103" s="26" t="str">
        <x:v>DEFINED / NOT EXECUTED</x:v>
      </x:c>
    </x:row>
    <x:row r="104" ht="30" customHeight="1">
      <x:c r="A104" s="26" t="str">
        <x:v>H6</x:v>
      </x:c>
      <x:c r="B104" s="26" t="str">
        <x:v>H6-SCN-006</x:v>
      </x:c>
      <x:c r="C104" s="26" t="str">
        <x:v>StoreInitial y representación</x:v>
      </x:c>
      <x:c r="D104" s="26" t="str">
        <x:v>Control especializado</x:v>
      </x:c>
      <x:c r="E104" s="26" t="str">
        <x:v>Los productos visibles corresponden al catálogo incluido y a su asignación lógica.</x:v>
      </x:c>
      <x:c r="F104" s="26" t="str">
        <x:v>Comparar contenido 21, ScriptableObjects y visuales en displays.</x:v>
      </x:c>
      <x:c r="G104" s="26" t="str">
        <x:v>Cumplimiento verificable sin desviaciones bloqueantes.</x:v>
      </x:c>
      <x:c r="H104" s="26" t="str">
        <x:v>Capturas y auditoría de catálogo.</x:v>
      </x:c>
      <x:c r="I104" s="26" t="str">
        <x:v>02_Vertical_Slice_Specification.md; 17_Art_Bible.md; 19_UI_Style_Guide.md; 21_Initial_Content_Catalog.xlsx</x:v>
      </x:c>
      <x:c r="J104" s="26" t="str">
        <x:v>Art Bible v0.3–v0.5; Initial Content Catalog v0.1–v0.3; Sprint 16 StoreInitial records</x:v>
      </x:c>
      <x:c r="K104" s="26" t="str">
        <x:v>Sprint 16 / H6</x:v>
      </x:c>
      <x:c r="L104" s="26" t="str">
        <x:v>Yes</x:v>
      </x:c>
      <x:c r="M104" s="26" t="str">
        <x:v>P1</x:v>
      </x:c>
      <x:c r="N104" s="26" t="str">
        <x:v>Art/Level</x:v>
      </x:c>
      <x:c r="O104" s="26" t="str">
        <x:v>Art Direction/QA</x:v>
      </x:c>
      <x:c r="P104" s="26" t="str">
        <x:v>NOT RUN</x:v>
      </x:c>
      <x:c r="Q104" s="26"/>
      <x:c r="R104" s="26"/>
      <x:c r="S104" s="26"/>
      <x:c r="T104" s="26"/>
      <x:c r="U104" s="26"/>
      <x:c r="V104" s="26"/>
      <x:c r="W104" s="26" t="n">
        <x:v>1</x:v>
      </x:c>
      <x:c r="X104" s="26" t="n">
        <x:v>0</x:v>
      </x:c>
      <x:c r="Y104" s="26" t="n">
        <x:v>1</x:v>
      </x:c>
      <x:c r="Z104" s="26" t="str">
        <x:v>PENDING</x:v>
      </x:c>
      <x:c r="AA104" s="26" t="str">
        <x:v>CHG-RC1-DOC-31</x:v>
      </x:c>
      <x:c r="AB104" s="26" t="str">
        <x:v>DEFINED / NOT EXECUTED</x:v>
      </x:c>
    </x:row>
    <x:row r="105" ht="30" customHeight="1">
      <x:c r="A105" s="26" t="str">
        <x:v>H6</x:v>
      </x:c>
      <x:c r="B105" s="26" t="str">
        <x:v>H6-SCN-007</x:v>
      </x:c>
      <x:c r="C105" s="26" t="str">
        <x:v>StoreInitial y representación</x:v>
      </x:c>
      <x:c r="D105" s="26" t="str">
        <x:v>Control especializado</x:v>
      </x:c>
      <x:c r="E105" s="26" t="str">
        <x:v>Iluminación y materiales permiten leer rutas, zonas, productos, clientes, cola y checkout.</x:v>
      </x:c>
      <x:c r="F105" s="26" t="str">
        <x:v>Recorrido en condiciones normales y capturas de referencia.</x:v>
      </x:c>
      <x:c r="G105" s="26" t="str">
        <x:v>Cumplimiento verificable sin desviaciones bloqueantes.</x:v>
      </x:c>
      <x:c r="H105" s="26" t="str">
        <x:v>Revisión visual aprobada.</x:v>
      </x:c>
      <x:c r="I105" s="26" t="str">
        <x:v>02_Vertical_Slice_Specification.md; 17_Art_Bible.md; 19_UI_Style_Guide.md; 21_Initial_Content_Catalog.xlsx</x:v>
      </x:c>
      <x:c r="J105" s="26" t="str">
        <x:v>Art Bible v0.3–v0.5; Initial Content Catalog v0.1–v0.3; Sprint 16 StoreInitial records</x:v>
      </x:c>
      <x:c r="K105" s="26" t="str">
        <x:v>Sprint 16 / H6</x:v>
      </x:c>
      <x:c r="L105" s="26" t="str">
        <x:v>Yes</x:v>
      </x:c>
      <x:c r="M105" s="26" t="str">
        <x:v>P1</x:v>
      </x:c>
      <x:c r="N105" s="26" t="str">
        <x:v>Art/Level</x:v>
      </x:c>
      <x:c r="O105" s="26" t="str">
        <x:v>Art Direction/QA</x:v>
      </x:c>
      <x:c r="P105" s="26" t="str">
        <x:v>NOT RUN</x:v>
      </x:c>
      <x:c r="Q105" s="26"/>
      <x:c r="R105" s="26"/>
      <x:c r="S105" s="26"/>
      <x:c r="T105" s="26"/>
      <x:c r="U105" s="26"/>
      <x:c r="V105" s="26"/>
      <x:c r="W105" s="26" t="n">
        <x:v>1</x:v>
      </x:c>
      <x:c r="X105" s="26" t="n">
        <x:v>0</x:v>
      </x:c>
      <x:c r="Y105" s="26" t="n">
        <x:v>1</x:v>
      </x:c>
      <x:c r="Z105" s="26" t="str">
        <x:v>PENDING</x:v>
      </x:c>
      <x:c r="AA105" s="26" t="str">
        <x:v>CHG-RC1-DOC-31</x:v>
      </x:c>
      <x:c r="AB105" s="26" t="str">
        <x:v>DEFINED / NOT EXECUTED</x:v>
      </x:c>
    </x:row>
    <x:row r="106" ht="30" customHeight="1">
      <x:c r="A106" s="26" t="str">
        <x:v>H6</x:v>
      </x:c>
      <x:c r="B106" s="26" t="str">
        <x:v>H6-SCN-008</x:v>
      </x:c>
      <x:c r="C106" s="26" t="str">
        <x:v>StoreInitial y representación</x:v>
      </x:c>
      <x:c r="D106" s="26" t="str">
        <x:v>Control especializado</x:v>
      </x:c>
      <x:c r="E106" s="26" t="str">
        <x:v>Las superficies caminables y NavMesh coinciden con arquitectura y mobiliario final.</x:v>
      </x:c>
      <x:c r="F106" s="26" t="str">
        <x:v>Bake/validación y prueba con saturación de agentes.</x:v>
      </x:c>
      <x:c r="G106" s="26" t="str">
        <x:v>Cumplimiento verificable sin desviaciones bloqueantes.</x:v>
      </x:c>
      <x:c r="H106" s="26" t="str">
        <x:v>Capturas NavMesh, logs y test de saturación.</x:v>
      </x:c>
      <x:c r="I106" s="26" t="str">
        <x:v>02_Vertical_Slice_Specification.md; 17_Art_Bible.md; 19_UI_Style_Guide.md; 21_Initial_Content_Catalog.xlsx</x:v>
      </x:c>
      <x:c r="J106" s="26" t="str">
        <x:v>Art Bible v0.3–v0.5; Initial Content Catalog v0.1–v0.3; Sprint 16 StoreInitial records</x:v>
      </x:c>
      <x:c r="K106" s="26" t="str">
        <x:v>Sprint 16 / H6</x:v>
      </x:c>
      <x:c r="L106" s="26" t="str">
        <x:v>Yes</x:v>
      </x:c>
      <x:c r="M106" s="26" t="str">
        <x:v>P1</x:v>
      </x:c>
      <x:c r="N106" s="26" t="str">
        <x:v>Art/Level</x:v>
      </x:c>
      <x:c r="O106" s="26" t="str">
        <x:v>Art Direction/QA</x:v>
      </x:c>
      <x:c r="P106" s="26" t="str">
        <x:v>NOT RUN</x:v>
      </x:c>
      <x:c r="Q106" s="26"/>
      <x:c r="R106" s="26"/>
      <x:c r="S106" s="26"/>
      <x:c r="T106" s="26"/>
      <x:c r="U106" s="26"/>
      <x:c r="V106" s="26"/>
      <x:c r="W106" s="26" t="n">
        <x:v>1</x:v>
      </x:c>
      <x:c r="X106" s="26" t="n">
        <x:v>0</x:v>
      </x:c>
      <x:c r="Y106" s="26" t="n">
        <x:v>1</x:v>
      </x:c>
      <x:c r="Z106" s="26" t="str">
        <x:v>PENDING</x:v>
      </x:c>
      <x:c r="AA106" s="26" t="str">
        <x:v>CHG-RC1-DOC-31</x:v>
      </x:c>
      <x:c r="AB106" s="26" t="str">
        <x:v>DEFINED / NOT EXECUTED</x:v>
      </x:c>
    </x:row>
    <x:row r="107" ht="30" customHeight="1">
      <x:c r="A107" s="26" t="str">
        <x:v>H6</x:v>
      </x:c>
      <x:c r="B107" s="26" t="str">
        <x:v>H6-SCN-009</x:v>
      </x:c>
      <x:c r="C107" s="26" t="str">
        <x:v>StoreInitial y representación</x:v>
      </x:c>
      <x:c r="D107" s="26" t="str">
        <x:v>Control especializado</x:v>
      </x:c>
      <x:c r="E107" s="26" t="str">
        <x:v>No existen referencias perdidas, Missing Scripts o errores recurrentes al cargar la escena.</x:v>
      </x:c>
      <x:c r="F107" s="26" t="str">
        <x:v>Validar escena, ejecutar build y revisar Player.log.</x:v>
      </x:c>
      <x:c r="G107" s="26" t="str">
        <x:v>Cumplimiento verificable sin desviaciones bloqueantes.</x:v>
      </x:c>
      <x:c r="H107" s="26" t="str">
        <x:v>Scene validation report y Player.log.</x:v>
      </x:c>
      <x:c r="I107" s="26" t="str">
        <x:v>02_Vertical_Slice_Specification.md; 17_Art_Bible.md; 19_UI_Style_Guide.md; 21_Initial_Content_Catalog.xlsx</x:v>
      </x:c>
      <x:c r="J107" s="26" t="str">
        <x:v>Art Bible v0.3–v0.5; Initial Content Catalog v0.1–v0.3; Sprint 16 StoreInitial records</x:v>
      </x:c>
      <x:c r="K107" s="26" t="str">
        <x:v>Sprint 16 / H6</x:v>
      </x:c>
      <x:c r="L107" s="26" t="str">
        <x:v>Yes</x:v>
      </x:c>
      <x:c r="M107" s="26" t="str">
        <x:v>P0</x:v>
      </x:c>
      <x:c r="N107" s="26" t="str">
        <x:v>Art/Level</x:v>
      </x:c>
      <x:c r="O107" s="26" t="str">
        <x:v>Art Direction/QA</x:v>
      </x:c>
      <x:c r="P107" s="26" t="str">
        <x:v>NOT RUN</x:v>
      </x:c>
      <x:c r="Q107" s="26"/>
      <x:c r="R107" s="26"/>
      <x:c r="S107" s="26"/>
      <x:c r="T107" s="26"/>
      <x:c r="U107" s="26"/>
      <x:c r="V107" s="26"/>
      <x:c r="W107" s="26" t="n">
        <x:v>1</x:v>
      </x:c>
      <x:c r="X107" s="26" t="n">
        <x:v>0</x:v>
      </x:c>
      <x:c r="Y107" s="26" t="n">
        <x:v>1</x:v>
      </x:c>
      <x:c r="Z107" s="26" t="str">
        <x:v>PENDING</x:v>
      </x:c>
      <x:c r="AA107" s="26" t="str">
        <x:v>CHG-RC1-DOC-31</x:v>
      </x:c>
      <x:c r="AB107" s="26" t="str">
        <x:v>DEFINED / NOT EXECUTED</x:v>
      </x:c>
    </x:row>
    <x:row r="108" ht="30" customHeight="1">
      <x:c r="A108" s="26" t="str">
        <x:v>H6</x:v>
      </x:c>
      <x:c r="B108" s="26" t="str">
        <x:v>H6-SCN-010</x:v>
      </x:c>
      <x:c r="C108" s="26" t="str">
        <x:v>StoreInitial y representación</x:v>
      </x:c>
      <x:c r="D108" s="26" t="str">
        <x:v>Control especializado</x:v>
      </x:c>
      <x:c r="E108" s="26" t="str">
        <x:v>La composición visual conserva la identidad objetivo negra/verde de VRM Games donde corresponde sin imponerla a proveedores o clientes.</x:v>
      </x:c>
      <x:c r="F108" s="26" t="str">
        <x:v>Comparar con Art Bible y objetivos visuales aprobados.</x:v>
      </x:c>
      <x:c r="G108" s="26" t="str">
        <x:v>Cumplimiento verificable sin desviaciones bloqueantes.</x:v>
      </x:c>
      <x:c r="H108" s="26" t="str">
        <x:v>Acta de dirección artística.</x:v>
      </x:c>
      <x:c r="I108" s="26" t="str">
        <x:v>02_Vertical_Slice_Specification.md; 17_Art_Bible.md; 19_UI_Style_Guide.md; 21_Initial_Content_Catalog.xlsx</x:v>
      </x:c>
      <x:c r="J108" s="26" t="str">
        <x:v>Art Bible v0.3–v0.5; Initial Content Catalog v0.1–v0.3; Sprint 16 StoreInitial records</x:v>
      </x:c>
      <x:c r="K108" s="26" t="str">
        <x:v>Sprint 16 / H6</x:v>
      </x:c>
      <x:c r="L108" s="26" t="str">
        <x:v>Yes</x:v>
      </x:c>
      <x:c r="M108" s="26" t="str">
        <x:v>P1</x:v>
      </x:c>
      <x:c r="N108" s="26" t="str">
        <x:v>Art/Level</x:v>
      </x:c>
      <x:c r="O108" s="26" t="str">
        <x:v>Art Direction/QA</x:v>
      </x:c>
      <x:c r="P108" s="26" t="str">
        <x:v>NOT RUN</x:v>
      </x:c>
      <x:c r="Q108" s="26"/>
      <x:c r="R108" s="26"/>
      <x:c r="S108" s="26"/>
      <x:c r="T108" s="26"/>
      <x:c r="U108" s="26"/>
      <x:c r="V108" s="26"/>
      <x:c r="W108" s="26" t="n">
        <x:v>1</x:v>
      </x:c>
      <x:c r="X108" s="26" t="n">
        <x:v>0</x:v>
      </x:c>
      <x:c r="Y108" s="26" t="n">
        <x:v>1</x:v>
      </x:c>
      <x:c r="Z108" s="26" t="str">
        <x:v>PENDING</x:v>
      </x:c>
      <x:c r="AA108" s="26" t="str">
        <x:v>CHG-RC1-DOC-31</x:v>
      </x:c>
      <x:c r="AB108" s="26" t="str">
        <x:v>DEFINED / NOT EXECUTED</x:v>
      </x:c>
    </x:row>
    <x:row r="109" ht="30" customHeight="1">
      <x:c r="A109" s="26" t="str">
        <x:v>H6</x:v>
      </x:c>
      <x:c r="B109" s="26" t="str">
        <x:v>H6-SCN-011</x:v>
      </x:c>
      <x:c r="C109" s="26" t="str">
        <x:v>StoreInitial y representación</x:v>
      </x:c>
      <x:c r="D109" s="26" t="str">
        <x:v>Control especializado</x:v>
      </x:c>
      <x:c r="E109" s="26" t="str">
        <x:v>Los elementos de debug, etiquetas de Sprint o mensajes de blockout no aparecen en la candidata H6.</x:v>
      </x:c>
      <x:c r="F109" s="26" t="str">
        <x:v>Buscar textos y GameObjects de desarrollo en escena/build.</x:v>
      </x:c>
      <x:c r="G109" s="26" t="str">
        <x:v>Cumplimiento verificable sin desviaciones bloqueantes.</x:v>
      </x:c>
      <x:c r="H109" s="26" t="str">
        <x:v>Checklist debug-clean y capturas.</x:v>
      </x:c>
      <x:c r="I109" s="26" t="str">
        <x:v>02_Vertical_Slice_Specification.md; 17_Art_Bible.md; 19_UI_Style_Guide.md; 21_Initial_Content_Catalog.xlsx</x:v>
      </x:c>
      <x:c r="J109" s="26" t="str">
        <x:v>Art Bible v0.3–v0.5; Initial Content Catalog v0.1–v0.3; Sprint 16 StoreInitial records</x:v>
      </x:c>
      <x:c r="K109" s="26" t="str">
        <x:v>Sprint 16 / H6</x:v>
      </x:c>
      <x:c r="L109" s="26" t="str">
        <x:v>Yes</x:v>
      </x:c>
      <x:c r="M109" s="26" t="str">
        <x:v>P1</x:v>
      </x:c>
      <x:c r="N109" s="26" t="str">
        <x:v>Art/Level</x:v>
      </x:c>
      <x:c r="O109" s="26" t="str">
        <x:v>Art Direction/QA</x:v>
      </x:c>
      <x:c r="P109" s="26" t="str">
        <x:v>NOT RUN</x:v>
      </x:c>
      <x:c r="Q109" s="26"/>
      <x:c r="R109" s="26"/>
      <x:c r="S109" s="26"/>
      <x:c r="T109" s="26"/>
      <x:c r="U109" s="26"/>
      <x:c r="V109" s="26"/>
      <x:c r="W109" s="26" t="n">
        <x:v>1</x:v>
      </x:c>
      <x:c r="X109" s="26" t="n">
        <x:v>0</x:v>
      </x:c>
      <x:c r="Y109" s="26" t="n">
        <x:v>1</x:v>
      </x:c>
      <x:c r="Z109" s="26" t="str">
        <x:v>PENDING</x:v>
      </x:c>
      <x:c r="AA109" s="26" t="str">
        <x:v>CHG-RC1-DOC-31</x:v>
      </x:c>
      <x:c r="AB109" s="26" t="str">
        <x:v>DEFINED / NOT EXECUTED</x:v>
      </x:c>
    </x:row>
    <x:row r="110" ht="30" customHeight="1">
      <x:c r="A110" s="26" t="str">
        <x:v>H6</x:v>
      </x:c>
      <x:c r="B110" s="26" t="str">
        <x:v>H6-SCN-012</x:v>
      </x:c>
      <x:c r="C110" s="26" t="str">
        <x:v>StoreInitial y representación</x:v>
      </x:c>
      <x:c r="D110" s="26" t="str">
        <x:v>Control especializado</x:v>
      </x:c>
      <x:c r="E110" s="26" t="str">
        <x:v>La escena puede ejecutarse sin herramientas editor-only ni generadores procedurales de shell necesarios para su funcionamiento.</x:v>
      </x:c>
      <x:c r="F110" s="26" t="str">
        <x:v>Clean build desde checkout y ejecución externa.</x:v>
      </x:c>
      <x:c r="G110" s="26" t="str">
        <x:v>Cumplimiento verificable sin desviaciones bloqueantes.</x:v>
      </x:c>
      <x:c r="H110" s="26" t="str">
        <x:v>Build log y acta externa.</x:v>
      </x:c>
      <x:c r="I110" s="26" t="str">
        <x:v>02_Vertical_Slice_Specification.md; 17_Art_Bible.md; 19_UI_Style_Guide.md; 21_Initial_Content_Catalog.xlsx</x:v>
      </x:c>
      <x:c r="J110" s="26" t="str">
        <x:v>Art Bible v0.3–v0.5; Initial Content Catalog v0.1–v0.3; Sprint 16 StoreInitial records</x:v>
      </x:c>
      <x:c r="K110" s="26" t="str">
        <x:v>Sprint 16 / H6</x:v>
      </x:c>
      <x:c r="L110" s="26" t="str">
        <x:v>Yes</x:v>
      </x:c>
      <x:c r="M110" s="26" t="str">
        <x:v>P1</x:v>
      </x:c>
      <x:c r="N110" s="26" t="str">
        <x:v>Art/Level</x:v>
      </x:c>
      <x:c r="O110" s="26" t="str">
        <x:v>Art Direction/QA</x:v>
      </x:c>
      <x:c r="P110" s="26" t="str">
        <x:v>NOT RUN</x:v>
      </x:c>
      <x:c r="Q110" s="26"/>
      <x:c r="R110" s="26"/>
      <x:c r="S110" s="26"/>
      <x:c r="T110" s="26"/>
      <x:c r="U110" s="26"/>
      <x:c r="V110" s="26"/>
      <x:c r="W110" s="26" t="n">
        <x:v>1</x:v>
      </x:c>
      <x:c r="X110" s="26" t="n">
        <x:v>0</x:v>
      </x:c>
      <x:c r="Y110" s="26" t="n">
        <x:v>1</x:v>
      </x:c>
      <x:c r="Z110" s="26" t="str">
        <x:v>PENDING</x:v>
      </x:c>
      <x:c r="AA110" s="26" t="str">
        <x:v>CHG-RC1-DOC-31</x:v>
      </x:c>
      <x:c r="AB110" s="26" t="str">
        <x:v>DEFINED / NOT EXECUTED</x:v>
      </x:c>
    </x:row>
    <x:row r="111" ht="30" customHeight="1">
      <x:c r="A111" s="26" t="str">
        <x:v>H6</x:v>
      </x:c>
      <x:c r="B111" s="26" t="str">
        <x:v>H6-SCN-013</x:v>
      </x:c>
      <x:c r="C111" s="26" t="str">
        <x:v>StoreInitial y representación</x:v>
      </x:c>
      <x:c r="D111" s="26" t="str">
        <x:v>Control especializado</x:v>
      </x:c>
      <x:c r="E111" s="26" t="str">
        <x:v>El contenido mínimo incluido está cerrado y no se usa volumen de contenido para ocultar deuda funcional.</x:v>
      </x:c>
      <x:c r="F111" s="26" t="str">
        <x:v>Comparar catálogo, backlog y requisitos H6.</x:v>
      </x:c>
      <x:c r="G111" s="26" t="str">
        <x:v>Cumplimiento verificable sin desviaciones bloqueantes.</x:v>
      </x:c>
      <x:c r="H111" s="26" t="str">
        <x:v>Content freeze firmado.</x:v>
      </x:c>
      <x:c r="I111" s="26" t="str">
        <x:v>02_Vertical_Slice_Specification.md; 17_Art_Bible.md; 19_UI_Style_Guide.md; 21_Initial_Content_Catalog.xlsx</x:v>
      </x:c>
      <x:c r="J111" s="26" t="str">
        <x:v>Art Bible v0.3–v0.5; Initial Content Catalog v0.1–v0.3; Sprint 16 StoreInitial records</x:v>
      </x:c>
      <x:c r="K111" s="26" t="str">
        <x:v>Sprint 16 / H6</x:v>
      </x:c>
      <x:c r="L111" s="26" t="str">
        <x:v>Yes</x:v>
      </x:c>
      <x:c r="M111" s="26" t="str">
        <x:v>P1</x:v>
      </x:c>
      <x:c r="N111" s="26" t="str">
        <x:v>Art/Level</x:v>
      </x:c>
      <x:c r="O111" s="26" t="str">
        <x:v>Art Direction/QA</x:v>
      </x:c>
      <x:c r="P111" s="26" t="str">
        <x:v>NOT RUN</x:v>
      </x:c>
      <x:c r="Q111" s="26"/>
      <x:c r="R111" s="26"/>
      <x:c r="S111" s="26"/>
      <x:c r="T111" s="26"/>
      <x:c r="U111" s="26"/>
      <x:c r="V111" s="26"/>
      <x:c r="W111" s="26" t="n">
        <x:v>1</x:v>
      </x:c>
      <x:c r="X111" s="26" t="n">
        <x:v>0</x:v>
      </x:c>
      <x:c r="Y111" s="26" t="n">
        <x:v>1</x:v>
      </x:c>
      <x:c r="Z111" s="26" t="str">
        <x:v>PENDING</x:v>
      </x:c>
      <x:c r="AA111" s="26" t="str">
        <x:v>CHG-RC1-DOC-31</x:v>
      </x:c>
      <x:c r="AB111" s="26" t="str">
        <x:v>DEFINED / NOT EXECUTED</x:v>
      </x:c>
    </x:row>
    <x:row r="112" ht="30" customHeight="1">
      <x:c r="A112" s="26" t="str">
        <x:v>H6</x:v>
      </x:c>
      <x:c r="B112" s="26" t="str">
        <x:v>H6-SCN-014</x:v>
      </x:c>
      <x:c r="C112" s="26" t="str">
        <x:v>StoreInitial y representación</x:v>
      </x:c>
      <x:c r="D112" s="26" t="str">
        <x:v>Control especializado</x:v>
      </x:c>
      <x:c r="E112" s="26" t="str">
        <x:v>La escena mantiene escala, silueta y densidad coherentes con el target visual aprobado.</x:v>
      </x:c>
      <x:c r="F112" s="26" t="str">
        <x:v>Revisión con referencias y métricas de escala.</x:v>
      </x:c>
      <x:c r="G112" s="26" t="str">
        <x:v>Cumplimiento verificable sin desviaciones bloqueantes.</x:v>
      </x:c>
      <x:c r="H112" s="26" t="str">
        <x:v>Comparativa visual anotada.</x:v>
      </x:c>
      <x:c r="I112" s="26" t="str">
        <x:v>02_Vertical_Slice_Specification.md; 17_Art_Bible.md; 19_UI_Style_Guide.md; 21_Initial_Content_Catalog.xlsx</x:v>
      </x:c>
      <x:c r="J112" s="26" t="str">
        <x:v>Art Bible v0.3–v0.5; Initial Content Catalog v0.1–v0.3; Sprint 16 StoreInitial records</x:v>
      </x:c>
      <x:c r="K112" s="26" t="str">
        <x:v>Sprint 16 / H6</x:v>
      </x:c>
      <x:c r="L112" s="26" t="str">
        <x:v>Yes</x:v>
      </x:c>
      <x:c r="M112" s="26" t="str">
        <x:v>P1</x:v>
      </x:c>
      <x:c r="N112" s="26" t="str">
        <x:v>Art/Level</x:v>
      </x:c>
      <x:c r="O112" s="26" t="str">
        <x:v>Art Direction/QA</x:v>
      </x:c>
      <x:c r="P112" s="26" t="str">
        <x:v>NOT RUN</x:v>
      </x:c>
      <x:c r="Q112" s="26"/>
      <x:c r="R112" s="26"/>
      <x:c r="S112" s="26"/>
      <x:c r="T112" s="26"/>
      <x:c r="U112" s="26"/>
      <x:c r="V112" s="26"/>
      <x:c r="W112" s="26" t="n">
        <x:v>1</x:v>
      </x:c>
      <x:c r="X112" s="26" t="n">
        <x:v>0</x:v>
      </x:c>
      <x:c r="Y112" s="26" t="n">
        <x:v>1</x:v>
      </x:c>
      <x:c r="Z112" s="26" t="str">
        <x:v>PENDING</x:v>
      </x:c>
      <x:c r="AA112" s="26" t="str">
        <x:v>CHG-RC1-DOC-31</x:v>
      </x:c>
      <x:c r="AB112" s="26" t="str">
        <x:v>DEFINED / NOT EXECUTED</x:v>
      </x:c>
    </x:row>
    <x:row r="113" ht="30" customHeight="1">
      <x:c r="A113" s="26" t="str">
        <x:v>H6</x:v>
      </x:c>
      <x:c r="B113" s="26" t="str">
        <x:v>H6-SCN-015</x:v>
      </x:c>
      <x:c r="C113" s="26" t="str">
        <x:v>StoreInitial y representación</x:v>
      </x:c>
      <x:c r="D113" s="26" t="str">
        <x:v>Control especializado</x:v>
      </x:c>
      <x:c r="E113" s="26" t="str">
        <x:v>Todos los puntos funcionales requeridos son accesibles tras configuraciones válidas de mobiliario.</x:v>
      </x:c>
      <x:c r="F113" s="26" t="str">
        <x:v>Ejecutar matriz de colocaciones límite y rutas.</x:v>
      </x:c>
      <x:c r="G113" s="26" t="str">
        <x:v>Cumplimiento verificable sin desviaciones bloqueantes.</x:v>
      </x:c>
      <x:c r="H113" s="26" t="str">
        <x:v>Resultados de acceso y defectos asociados.</x:v>
      </x:c>
      <x:c r="I113" s="26" t="str">
        <x:v>02_Vertical_Slice_Specification.md; 17_Art_Bible.md; 19_UI_Style_Guide.md; 21_Initial_Content_Catalog.xlsx</x:v>
      </x:c>
      <x:c r="J113" s="26" t="str">
        <x:v>Art Bible v0.3–v0.5; Initial Content Catalog v0.1–v0.3; Sprint 16 StoreInitial records</x:v>
      </x:c>
      <x:c r="K113" s="26" t="str">
        <x:v>Sprint 16 / H6</x:v>
      </x:c>
      <x:c r="L113" s="26" t="str">
        <x:v>Yes</x:v>
      </x:c>
      <x:c r="M113" s="26" t="str">
        <x:v>P1</x:v>
      </x:c>
      <x:c r="N113" s="26" t="str">
        <x:v>Art/Level</x:v>
      </x:c>
      <x:c r="O113" s="26" t="str">
        <x:v>Art Direction/QA</x:v>
      </x:c>
      <x:c r="P113" s="26" t="str">
        <x:v>NOT RUN</x:v>
      </x:c>
      <x:c r="Q113" s="26"/>
      <x:c r="R113" s="26"/>
      <x:c r="S113" s="26"/>
      <x:c r="T113" s="26"/>
      <x:c r="U113" s="26"/>
      <x:c r="V113" s="26"/>
      <x:c r="W113" s="26" t="n">
        <x:v>1</x:v>
      </x:c>
      <x:c r="X113" s="26" t="n">
        <x:v>0</x:v>
      </x:c>
      <x:c r="Y113" s="26" t="n">
        <x:v>1</x:v>
      </x:c>
      <x:c r="Z113" s="26" t="str">
        <x:v>PENDING</x:v>
      </x:c>
      <x:c r="AA113" s="26" t="str">
        <x:v>CHG-RC1-DOC-31</x:v>
      </x:c>
      <x:c r="AB113" s="26" t="str">
        <x:v>DEFINED / NOT EXECUTED</x:v>
      </x:c>
    </x:row>
    <x:row r="114" ht="30" customHeight="1">
      <x:c r="A114" s="26" t="str">
        <x:v>H6</x:v>
      </x:c>
      <x:c r="B114" s="26" t="str">
        <x:v>H6-SCN-016</x:v>
      </x:c>
      <x:c r="C114" s="26" t="str">
        <x:v>StoreInitial y representación</x:v>
      </x:c>
      <x:c r="D114" s="26" t="str">
        <x:v>Control especializado</x:v>
      </x:c>
      <x:c r="E114" s="26" t="str">
        <x:v>Las oclusiones de cámara no impiden acciones críticas y existen mitigaciones aprobadas.</x:v>
      </x:c>
      <x:c r="F114" s="26" t="str">
        <x:v>Probar órbita/zoom en zonas densas y cerca de paredes.</x:v>
      </x:c>
      <x:c r="G114" s="26" t="str">
        <x:v>Cumplimiento verificable sin desviaciones bloqueantes.</x:v>
      </x:c>
      <x:c r="H114" s="26" t="str">
        <x:v>Capturas y registro de UX.</x:v>
      </x:c>
      <x:c r="I114" s="26" t="str">
        <x:v>02_Vertical_Slice_Specification.md; 17_Art_Bible.md; 19_UI_Style_Guide.md; 21_Initial_Content_Catalog.xlsx</x:v>
      </x:c>
      <x:c r="J114" s="26" t="str">
        <x:v>Art Bible v0.3–v0.5; Initial Content Catalog v0.1–v0.3; Sprint 16 StoreInitial records</x:v>
      </x:c>
      <x:c r="K114" s="26" t="str">
        <x:v>Sprint 16 / H6</x:v>
      </x:c>
      <x:c r="L114" s="26" t="str">
        <x:v>Yes</x:v>
      </x:c>
      <x:c r="M114" s="26" t="str">
        <x:v>P1</x:v>
      </x:c>
      <x:c r="N114" s="26" t="str">
        <x:v>Art/Level</x:v>
      </x:c>
      <x:c r="O114" s="26" t="str">
        <x:v>Art Direction/QA</x:v>
      </x:c>
      <x:c r="P114" s="26" t="str">
        <x:v>NOT RUN</x:v>
      </x:c>
      <x:c r="Q114" s="26"/>
      <x:c r="R114" s="26"/>
      <x:c r="S114" s="26"/>
      <x:c r="T114" s="26"/>
      <x:c r="U114" s="26"/>
      <x:c r="V114" s="26"/>
      <x:c r="W114" s="26" t="n">
        <x:v>1</x:v>
      </x:c>
      <x:c r="X114" s="26" t="n">
        <x:v>0</x:v>
      </x:c>
      <x:c r="Y114" s="26" t="n">
        <x:v>1</x:v>
      </x:c>
      <x:c r="Z114" s="26" t="str">
        <x:v>PENDING</x:v>
      </x:c>
      <x:c r="AA114" s="26" t="str">
        <x:v>CHG-RC1-DOC-31</x:v>
      </x:c>
      <x:c r="AB114" s="26" t="str">
        <x:v>DEFINED / NOT EXECUTED</x:v>
      </x:c>
    </x:row>
    <x:row r="115" ht="30" customHeight="1">
      <x:c r="A115" s="26" t="str">
        <x:v>H6</x:v>
      </x:c>
      <x:c r="B115" s="26" t="str">
        <x:v>H6-UXA-001</x:v>
      </x:c>
      <x:c r="C115" s="26" t="str">
        <x:v>UI, input y accesibilidad</x:v>
      </x:c>
      <x:c r="D115" s="26" t="str">
        <x:v>Control especializado</x:v>
      </x:c>
      <x:c r="E115" s="26" t="str">
        <x:v>Todas las pantallas del Golden Path pueden operarse con ratón y teclado sin propagación de input al mundo.</x:v>
      </x:c>
      <x:c r="F115" s="26" t="str">
        <x:v>Ejecutar flujo completo, incluyendo modales, listas, sliders y confirmaciones.</x:v>
      </x:c>
      <x:c r="G115" s="26" t="str">
        <x:v>Cumplimiento verificable sin desviaciones bloqueantes.</x:v>
      </x:c>
      <x:c r="H115" s="26" t="str">
        <x:v>Vídeo de recorrido y matriz de input.</x:v>
      </x:c>
      <x:c r="I115" s="26" t="str">
        <x:v>05_UX_Flow.md; 19_UI_Style_Guide.md; 29_Accessibility_and_Inclusive_Design_Plan.md</x:v>
      </x:c>
      <x:c r="J115" s="26" t="str">
        <x:v>UX Flow v0.3–v0.5; UI Style Guide v0.3–v0.5; ADR/Sprint 15 accessibility preferences</x:v>
      </x:c>
      <x:c r="K115" s="26" t="str">
        <x:v>Sprint 17 / H6</x:v>
      </x:c>
      <x:c r="L115" s="26" t="str">
        <x:v>Yes</x:v>
      </x:c>
      <x:c r="M115" s="26" t="str">
        <x:v>P0</x:v>
      </x:c>
      <x:c r="N115" s="26" t="str">
        <x:v>UX/Engineering</x:v>
      </x:c>
      <x:c r="O115" s="26" t="str">
        <x:v>Accessibility/QA</x:v>
      </x:c>
      <x:c r="P115" s="26" t="str">
        <x:v>NOT RUN</x:v>
      </x:c>
      <x:c r="Q115" s="26"/>
      <x:c r="R115" s="26"/>
      <x:c r="S115" s="26"/>
      <x:c r="T115" s="26"/>
      <x:c r="U115" s="26"/>
      <x:c r="V115" s="26"/>
      <x:c r="W115" s="26" t="n">
        <x:v>1</x:v>
      </x:c>
      <x:c r="X115" s="26" t="n">
        <x:v>0</x:v>
      </x:c>
      <x:c r="Y115" s="26" t="n">
        <x:v>1</x:v>
      </x:c>
      <x:c r="Z115" s="26" t="str">
        <x:v>PENDING</x:v>
      </x:c>
      <x:c r="AA115" s="26" t="str">
        <x:v>CHG-RC1-DOC-31</x:v>
      </x:c>
      <x:c r="AB115" s="26" t="str">
        <x:v>DEFINED / NOT EXECUTED</x:v>
      </x:c>
    </x:row>
    <x:row r="116" ht="30" customHeight="1">
      <x:c r="A116" s="26" t="str">
        <x:v>H6</x:v>
      </x:c>
      <x:c r="B116" s="26" t="str">
        <x:v>H6-UXA-002</x:v>
      </x:c>
      <x:c r="C116" s="26" t="str">
        <x:v>UI, input y accesibilidad</x:v>
      </x:c>
      <x:c r="D116" s="26" t="str">
        <x:v>Control especializado</x:v>
      </x:c>
      <x:c r="E116" s="26" t="str">
        <x:v>El foco visual es visible, estable y sigue un orden lógico en las superficies que admiten teclado/mando.</x:v>
      </x:c>
      <x:c r="F116" s="26" t="str">
        <x:v>Recorrer controles sin ratón y registrar saltos/atrapamientos.</x:v>
      </x:c>
      <x:c r="G116" s="26" t="str">
        <x:v>Cumplimiento verificable sin desviaciones bloqueantes.</x:v>
      </x:c>
      <x:c r="H116" s="26" t="str">
        <x:v>Checklist de foco.</x:v>
      </x:c>
      <x:c r="I116" s="26" t="str">
        <x:v>05_UX_Flow.md; 19_UI_Style_Guide.md; 29_Accessibility_and_Inclusive_Design_Plan.md</x:v>
      </x:c>
      <x:c r="J116" s="26" t="str">
        <x:v>UX Flow v0.3–v0.5; UI Style Guide v0.3–v0.5; ADR/Sprint 15 accessibility preferences</x:v>
      </x:c>
      <x:c r="K116" s="26" t="str">
        <x:v>Sprint 17 / H6</x:v>
      </x:c>
      <x:c r="L116" s="26" t="str">
        <x:v>Yes</x:v>
      </x:c>
      <x:c r="M116" s="26" t="str">
        <x:v>P1</x:v>
      </x:c>
      <x:c r="N116" s="26" t="str">
        <x:v>UX/Engineering</x:v>
      </x:c>
      <x:c r="O116" s="26" t="str">
        <x:v>Accessibility/QA</x:v>
      </x:c>
      <x:c r="P116" s="26" t="str">
        <x:v>NOT RUN</x:v>
      </x:c>
      <x:c r="Q116" s="26"/>
      <x:c r="R116" s="26"/>
      <x:c r="S116" s="26"/>
      <x:c r="T116" s="26"/>
      <x:c r="U116" s="26"/>
      <x:c r="V116" s="26"/>
      <x:c r="W116" s="26" t="n">
        <x:v>1</x:v>
      </x:c>
      <x:c r="X116" s="26" t="n">
        <x:v>0</x:v>
      </x:c>
      <x:c r="Y116" s="26" t="n">
        <x:v>1</x:v>
      </x:c>
      <x:c r="Z116" s="26" t="str">
        <x:v>PENDING</x:v>
      </x:c>
      <x:c r="AA116" s="26" t="str">
        <x:v>CHG-RC1-DOC-31</x:v>
      </x:c>
      <x:c r="AB116" s="26" t="str">
        <x:v>DEFINED / NOT EXECUTED</x:v>
      </x:c>
    </x:row>
    <x:row r="117" ht="30" customHeight="1">
      <x:c r="A117" s="26" t="str">
        <x:v>H6</x:v>
      </x:c>
      <x:c r="B117" s="26" t="str">
        <x:v>H6-UXA-003</x:v>
      </x:c>
      <x:c r="C117" s="26" t="str">
        <x:v>UI, input y accesibilidad</x:v>
      </x:c>
      <x:c r="D117" s="26" t="str">
        <x:v>Control especializado</x:v>
      </x:c>
      <x:c r="E117" s="26" t="str">
        <x:v>Escape/Cancelar respeta la jerarquía de cierre y nunca abandona o modifica estado de forma ambigua.</x:v>
      </x:c>
      <x:c r="F117" s="26" t="str">
        <x:v>Probar cancelación en cada modal y modo de colocación.</x:v>
      </x:c>
      <x:c r="G117" s="26" t="str">
        <x:v>Cumplimiento verificable sin desviaciones bloqueantes.</x:v>
      </x:c>
      <x:c r="H117" s="26" t="str">
        <x:v>Matriz de cancelación.</x:v>
      </x:c>
      <x:c r="I117" s="26" t="str">
        <x:v>05_UX_Flow.md; 19_UI_Style_Guide.md; 29_Accessibility_and_Inclusive_Design_Plan.md</x:v>
      </x:c>
      <x:c r="J117" s="26" t="str">
        <x:v>UX Flow v0.3–v0.5; UI Style Guide v0.3–v0.5; ADR/Sprint 15 accessibility preferences</x:v>
      </x:c>
      <x:c r="K117" s="26" t="str">
        <x:v>Sprint 17 / H6</x:v>
      </x:c>
      <x:c r="L117" s="26" t="str">
        <x:v>Yes</x:v>
      </x:c>
      <x:c r="M117" s="26" t="str">
        <x:v>P1</x:v>
      </x:c>
      <x:c r="N117" s="26" t="str">
        <x:v>UX/Engineering</x:v>
      </x:c>
      <x:c r="O117" s="26" t="str">
        <x:v>Accessibility/QA</x:v>
      </x:c>
      <x:c r="P117" s="26" t="str">
        <x:v>NOT RUN</x:v>
      </x:c>
      <x:c r="Q117" s="26"/>
      <x:c r="R117" s="26"/>
      <x:c r="S117" s="26"/>
      <x:c r="T117" s="26"/>
      <x:c r="U117" s="26"/>
      <x:c r="V117" s="26"/>
      <x:c r="W117" s="26" t="n">
        <x:v>1</x:v>
      </x:c>
      <x:c r="X117" s="26" t="n">
        <x:v>0</x:v>
      </x:c>
      <x:c r="Y117" s="26" t="n">
        <x:v>1</x:v>
      </x:c>
      <x:c r="Z117" s="26" t="str">
        <x:v>PENDING</x:v>
      </x:c>
      <x:c r="AA117" s="26" t="str">
        <x:v>CHG-RC1-DOC-31</x:v>
      </x:c>
      <x:c r="AB117" s="26" t="str">
        <x:v>DEFINED / NOT EXECUTED</x:v>
      </x:c>
    </x:row>
    <x:row r="118" ht="30" customHeight="1">
      <x:c r="A118" s="26" t="str">
        <x:v>H6</x:v>
      </x:c>
      <x:c r="B118" s="26" t="str">
        <x:v>H6-UXA-004</x:v>
      </x:c>
      <x:c r="C118" s="26" t="str">
        <x:v>UI, input y accesibilidad</x:v>
      </x:c>
      <x:c r="D118" s="26" t="str">
        <x:v>Control especializado</x:v>
      </x:c>
      <x:c r="E118" s="26" t="str">
        <x:v>La escala de UI entre 80–150 % funciona en las resoluciones H6 sin ocultar acciones críticas.</x:v>
      </x:c>
      <x:c r="F118" s="26" t="str">
        <x:v>Ejecutar pantallas a mínimo, 100 % y máximo.</x:v>
      </x:c>
      <x:c r="G118" s="26" t="str">
        <x:v>Cumplimiento verificable sin desviaciones bloqueantes.</x:v>
      </x:c>
      <x:c r="H118" s="26" t="str">
        <x:v>Capturas por resolución y escala.</x:v>
      </x:c>
      <x:c r="I118" s="26" t="str">
        <x:v>05_UX_Flow.md; 19_UI_Style_Guide.md; 29_Accessibility_and_Inclusive_Design_Plan.md</x:v>
      </x:c>
      <x:c r="J118" s="26" t="str">
        <x:v>UX Flow v0.3–v0.5; UI Style Guide v0.3–v0.5; ADR/Sprint 15 accessibility preferences</x:v>
      </x:c>
      <x:c r="K118" s="26" t="str">
        <x:v>Sprint 17 / H6</x:v>
      </x:c>
      <x:c r="L118" s="26" t="str">
        <x:v>Yes</x:v>
      </x:c>
      <x:c r="M118" s="26" t="str">
        <x:v>P1</x:v>
      </x:c>
      <x:c r="N118" s="26" t="str">
        <x:v>UX/Engineering</x:v>
      </x:c>
      <x:c r="O118" s="26" t="str">
        <x:v>Accessibility/QA</x:v>
      </x:c>
      <x:c r="P118" s="26" t="str">
        <x:v>NOT RUN</x:v>
      </x:c>
      <x:c r="Q118" s="26"/>
      <x:c r="R118" s="26"/>
      <x:c r="S118" s="26"/>
      <x:c r="T118" s="26"/>
      <x:c r="U118" s="26"/>
      <x:c r="V118" s="26"/>
      <x:c r="W118" s="26" t="n">
        <x:v>1</x:v>
      </x:c>
      <x:c r="X118" s="26" t="n">
        <x:v>0</x:v>
      </x:c>
      <x:c r="Y118" s="26" t="n">
        <x:v>1</x:v>
      </x:c>
      <x:c r="Z118" s="26" t="str">
        <x:v>PENDING</x:v>
      </x:c>
      <x:c r="AA118" s="26" t="str">
        <x:v>CHG-RC1-DOC-31</x:v>
      </x:c>
      <x:c r="AB118" s="26" t="str">
        <x:v>DEFINED / NOT EXECUTED</x:v>
      </x:c>
    </x:row>
    <x:row r="119" ht="30" customHeight="1">
      <x:c r="A119" s="26" t="str">
        <x:v>H6</x:v>
      </x:c>
      <x:c r="B119" s="26" t="str">
        <x:v>H6-UXA-005</x:v>
      </x:c>
      <x:c r="C119" s="26" t="str">
        <x:v>UI, input y accesibilidad</x:v>
      </x:c>
      <x:c r="D119" s="26" t="str">
        <x:v>Control especializado</x:v>
      </x:c>
      <x:c r="E119" s="26" t="str">
        <x:v>La escala de texto entre 80–150 % no produce desbordes bloqueantes en ES/EN.</x:v>
      </x:c>
      <x:c r="F119" s="26" t="str">
        <x:v>Prueba matricial por idioma, escala y resolución.</x:v>
      </x:c>
      <x:c r="G119" s="26" t="str">
        <x:v>Cumplimiento verificable sin desviaciones bloqueantes.</x:v>
      </x:c>
      <x:c r="H119" s="26" t="str">
        <x:v>Matriz visual.</x:v>
      </x:c>
      <x:c r="I119" s="26" t="str">
        <x:v>05_UX_Flow.md; 19_UI_Style_Guide.md; 29_Accessibility_and_Inclusive_Design_Plan.md</x:v>
      </x:c>
      <x:c r="J119" s="26" t="str">
        <x:v>UX Flow v0.3–v0.5; UI Style Guide v0.3–v0.5; ADR/Sprint 15 accessibility preferences</x:v>
      </x:c>
      <x:c r="K119" s="26" t="str">
        <x:v>Sprint 17 / H6</x:v>
      </x:c>
      <x:c r="L119" s="26" t="str">
        <x:v>Yes</x:v>
      </x:c>
      <x:c r="M119" s="26" t="str">
        <x:v>P1</x:v>
      </x:c>
      <x:c r="N119" s="26" t="str">
        <x:v>UX/Engineering</x:v>
      </x:c>
      <x:c r="O119" s="26" t="str">
        <x:v>Accessibility/QA</x:v>
      </x:c>
      <x:c r="P119" s="26" t="str">
        <x:v>NOT RUN</x:v>
      </x:c>
      <x:c r="Q119" s="26"/>
      <x:c r="R119" s="26"/>
      <x:c r="S119" s="26"/>
      <x:c r="T119" s="26"/>
      <x:c r="U119" s="26"/>
      <x:c r="V119" s="26"/>
      <x:c r="W119" s="26" t="n">
        <x:v>1</x:v>
      </x:c>
      <x:c r="X119" s="26" t="n">
        <x:v>0</x:v>
      </x:c>
      <x:c r="Y119" s="26" t="n">
        <x:v>1</x:v>
      </x:c>
      <x:c r="Z119" s="26" t="str">
        <x:v>PENDING</x:v>
      </x:c>
      <x:c r="AA119" s="26" t="str">
        <x:v>CHG-RC1-DOC-31</x:v>
      </x:c>
      <x:c r="AB119" s="26" t="str">
        <x:v>DEFINED / NOT EXECUTED</x:v>
      </x:c>
    </x:row>
    <x:row r="120" ht="30" customHeight="1">
      <x:c r="A120" s="26" t="str">
        <x:v>H6</x:v>
      </x:c>
      <x:c r="B120" s="26" t="str">
        <x:v>H6-UXA-006</x:v>
      </x:c>
      <x:c r="C120" s="26" t="str">
        <x:v>UI, input y accesibilidad</x:v>
      </x:c>
      <x:c r="D120" s="26" t="str">
        <x:v>Control especializado</x:v>
      </x:c>
      <x:c r="E120" s="26" t="str">
        <x:v>La preferencia de reducción de movimiento afecta a todas las animaciones/VFX definidos como reducibles.</x:v>
      </x:c>
      <x:c r="F120" s="26" t="str">
        <x:v>Comparar ON/OFF durante Golden Path y transiciones.</x:v>
      </x:c>
      <x:c r="G120" s="26" t="str">
        <x:v>Cumplimiento verificable sin desviaciones bloqueantes.</x:v>
      </x:c>
      <x:c r="H120" s="26" t="str">
        <x:v>Vídeo comparativo y lista de consumidores.</x:v>
      </x:c>
      <x:c r="I120" s="26" t="str">
        <x:v>05_UX_Flow.md; 19_UI_Style_Guide.md; 29_Accessibility_and_Inclusive_Design_Plan.md</x:v>
      </x:c>
      <x:c r="J120" s="26" t="str">
        <x:v>UX Flow v0.3–v0.5; UI Style Guide v0.3–v0.5; ADR/Sprint 15 accessibility preferences</x:v>
      </x:c>
      <x:c r="K120" s="26" t="str">
        <x:v>Sprint 17 / H6</x:v>
      </x:c>
      <x:c r="L120" s="26" t="str">
        <x:v>Yes</x:v>
      </x:c>
      <x:c r="M120" s="26" t="str">
        <x:v>P1</x:v>
      </x:c>
      <x:c r="N120" s="26" t="str">
        <x:v>UX/Engineering</x:v>
      </x:c>
      <x:c r="O120" s="26" t="str">
        <x:v>Accessibility/QA</x:v>
      </x:c>
      <x:c r="P120" s="26" t="str">
        <x:v>NOT RUN</x:v>
      </x:c>
      <x:c r="Q120" s="26"/>
      <x:c r="R120" s="26"/>
      <x:c r="S120" s="26"/>
      <x:c r="T120" s="26"/>
      <x:c r="U120" s="26"/>
      <x:c r="V120" s="26"/>
      <x:c r="W120" s="26" t="n">
        <x:v>1</x:v>
      </x:c>
      <x:c r="X120" s="26" t="n">
        <x:v>0</x:v>
      </x:c>
      <x:c r="Y120" s="26" t="n">
        <x:v>1</x:v>
      </x:c>
      <x:c r="Z120" s="26" t="str">
        <x:v>PENDING</x:v>
      </x:c>
      <x:c r="AA120" s="26" t="str">
        <x:v>CHG-RC1-DOC-31</x:v>
      </x:c>
      <x:c r="AB120" s="26" t="str">
        <x:v>DEFINED / NOT EXECUTED</x:v>
      </x:c>
    </x:row>
    <x:row r="121" ht="30" customHeight="1">
      <x:c r="A121" s="26" t="str">
        <x:v>H6</x:v>
      </x:c>
      <x:c r="B121" s="26" t="str">
        <x:v>H6-UXA-007</x:v>
      </x:c>
      <x:c r="C121" s="26" t="str">
        <x:v>UI, input y accesibilidad</x:v>
      </x:c>
      <x:c r="D121" s="26" t="str">
        <x:v>Control especializado</x:v>
      </x:c>
      <x:c r="E121" s="26" t="str">
        <x:v>Los controles y señales críticas no dependen únicamente del color.</x:v>
      </x:c>
      <x:c r="F121" s="26" t="str">
        <x:v>Revisión de iconos, texto, forma y estados con simulación de color.</x:v>
      </x:c>
      <x:c r="G121" s="26" t="str">
        <x:v>Cumplimiento verificable sin desviaciones bloqueantes.</x:v>
      </x:c>
      <x:c r="H121" s="26" t="str">
        <x:v>Checklist de redundancia visual.</x:v>
      </x:c>
      <x:c r="I121" s="26" t="str">
        <x:v>05_UX_Flow.md; 19_UI_Style_Guide.md; 29_Accessibility_and_Inclusive_Design_Plan.md</x:v>
      </x:c>
      <x:c r="J121" s="26" t="str">
        <x:v>UX Flow v0.3–v0.5; UI Style Guide v0.3–v0.5; ADR/Sprint 15 accessibility preferences</x:v>
      </x:c>
      <x:c r="K121" s="26" t="str">
        <x:v>Sprint 17 / H6</x:v>
      </x:c>
      <x:c r="L121" s="26" t="str">
        <x:v>Yes</x:v>
      </x:c>
      <x:c r="M121" s="26" t="str">
        <x:v>P1</x:v>
      </x:c>
      <x:c r="N121" s="26" t="str">
        <x:v>UX/Engineering</x:v>
      </x:c>
      <x:c r="O121" s="26" t="str">
        <x:v>Accessibility/QA</x:v>
      </x:c>
      <x:c r="P121" s="26" t="str">
        <x:v>NOT RUN</x:v>
      </x:c>
      <x:c r="Q121" s="26"/>
      <x:c r="R121" s="26"/>
      <x:c r="S121" s="26"/>
      <x:c r="T121" s="26"/>
      <x:c r="U121" s="26"/>
      <x:c r="V121" s="26"/>
      <x:c r="W121" s="26" t="n">
        <x:v>1</x:v>
      </x:c>
      <x:c r="X121" s="26" t="n">
        <x:v>0</x:v>
      </x:c>
      <x:c r="Y121" s="26" t="n">
        <x:v>1</x:v>
      </x:c>
      <x:c r="Z121" s="26" t="str">
        <x:v>PENDING</x:v>
      </x:c>
      <x:c r="AA121" s="26" t="str">
        <x:v>CHG-RC1-DOC-31</x:v>
      </x:c>
      <x:c r="AB121" s="26" t="str">
        <x:v>DEFINED / NOT EXECUTED</x:v>
      </x:c>
    </x:row>
    <x:row r="122" ht="30" customHeight="1">
      <x:c r="A122" s="26" t="str">
        <x:v>H6</x:v>
      </x:c>
      <x:c r="B122" s="26" t="str">
        <x:v>H6-UXA-008</x:v>
      </x:c>
      <x:c r="C122" s="26" t="str">
        <x:v>UI, input y accesibilidad</x:v>
      </x:c>
      <x:c r="D122" s="26" t="str">
        <x:v>Control especializado</x:v>
      </x:c>
      <x:c r="E122" s="26" t="str">
        <x:v>Errores, rechazos y estados inválidos explican causa y siguiente acción posible.</x:v>
      </x:c>
      <x:c r="F122" s="26" t="str">
        <x:v>Forzar casos negativos en pedidos, colocación, precio, checkout y guardado.</x:v>
      </x:c>
      <x:c r="G122" s="26" t="str">
        <x:v>Cumplimiento verificable sin desviaciones bloqueantes.</x:v>
      </x:c>
      <x:c r="H122" s="26" t="str">
        <x:v>Capturas de mensajes y resultados.</x:v>
      </x:c>
      <x:c r="I122" s="26" t="str">
        <x:v>05_UX_Flow.md; 19_UI_Style_Guide.md; 29_Accessibility_and_Inclusive_Design_Plan.md</x:v>
      </x:c>
      <x:c r="J122" s="26" t="str">
        <x:v>UX Flow v0.3–v0.5; UI Style Guide v0.3–v0.5; ADR/Sprint 15 accessibility preferences</x:v>
      </x:c>
      <x:c r="K122" s="26" t="str">
        <x:v>Sprint 17 / H6</x:v>
      </x:c>
      <x:c r="L122" s="26" t="str">
        <x:v>Yes</x:v>
      </x:c>
      <x:c r="M122" s="26" t="str">
        <x:v>P1</x:v>
      </x:c>
      <x:c r="N122" s="26" t="str">
        <x:v>UX/Engineering</x:v>
      </x:c>
      <x:c r="O122" s="26" t="str">
        <x:v>Accessibility/QA</x:v>
      </x:c>
      <x:c r="P122" s="26" t="str">
        <x:v>NOT RUN</x:v>
      </x:c>
      <x:c r="Q122" s="26"/>
      <x:c r="R122" s="26"/>
      <x:c r="S122" s="26"/>
      <x:c r="T122" s="26"/>
      <x:c r="U122" s="26"/>
      <x:c r="V122" s="26"/>
      <x:c r="W122" s="26" t="n">
        <x:v>1</x:v>
      </x:c>
      <x:c r="X122" s="26" t="n">
        <x:v>0</x:v>
      </x:c>
      <x:c r="Y122" s="26" t="n">
        <x:v>1</x:v>
      </x:c>
      <x:c r="Z122" s="26" t="str">
        <x:v>PENDING</x:v>
      </x:c>
      <x:c r="AA122" s="26" t="str">
        <x:v>CHG-RC1-DOC-31</x:v>
      </x:c>
      <x:c r="AB122" s="26" t="str">
        <x:v>DEFINED / NOT EXECUTED</x:v>
      </x:c>
    </x:row>
    <x:row r="123" ht="30" customHeight="1">
      <x:c r="A123" s="26" t="str">
        <x:v>H6</x:v>
      </x:c>
      <x:c r="B123" s="26" t="str">
        <x:v>H6-UXA-009</x:v>
      </x:c>
      <x:c r="C123" s="26" t="str">
        <x:v>UI, input y accesibilidad</x:v>
      </x:c>
      <x:c r="D123" s="26" t="str">
        <x:v>Control especializado</x:v>
      </x:c>
      <x:c r="E123" s="26" t="str">
        <x:v>Las confirmaciones destructivas configurables se aplican de forma consistente.</x:v>
      </x:c>
      <x:c r="F123" s="26" t="str">
        <x:v>Probar borrar slot, salir con cambios y acciones destructivas incluidas.</x:v>
      </x:c>
      <x:c r="G123" s="26" t="str">
        <x:v>Cumplimiento verificable sin desviaciones bloqueantes.</x:v>
      </x:c>
      <x:c r="H123" s="26" t="str">
        <x:v>Registro de pruebas.</x:v>
      </x:c>
      <x:c r="I123" s="26" t="str">
        <x:v>05_UX_Flow.md; 19_UI_Style_Guide.md; 29_Accessibility_and_Inclusive_Design_Plan.md</x:v>
      </x:c>
      <x:c r="J123" s="26" t="str">
        <x:v>UX Flow v0.3–v0.5; UI Style Guide v0.3–v0.5; ADR/Sprint 15 accessibility preferences</x:v>
      </x:c>
      <x:c r="K123" s="26" t="str">
        <x:v>Sprint 17 / H6</x:v>
      </x:c>
      <x:c r="L123" s="26" t="str">
        <x:v>Yes</x:v>
      </x:c>
      <x:c r="M123" s="26" t="str">
        <x:v>P1</x:v>
      </x:c>
      <x:c r="N123" s="26" t="str">
        <x:v>UX/Engineering</x:v>
      </x:c>
      <x:c r="O123" s="26" t="str">
        <x:v>Accessibility/QA</x:v>
      </x:c>
      <x:c r="P123" s="26" t="str">
        <x:v>NOT RUN</x:v>
      </x:c>
      <x:c r="Q123" s="26"/>
      <x:c r="R123" s="26"/>
      <x:c r="S123" s="26"/>
      <x:c r="T123" s="26"/>
      <x:c r="U123" s="26"/>
      <x:c r="V123" s="26"/>
      <x:c r="W123" s="26" t="n">
        <x:v>1</x:v>
      </x:c>
      <x:c r="X123" s="26" t="n">
        <x:v>0</x:v>
      </x:c>
      <x:c r="Y123" s="26" t="n">
        <x:v>1</x:v>
      </x:c>
      <x:c r="Z123" s="26" t="str">
        <x:v>PENDING</x:v>
      </x:c>
      <x:c r="AA123" s="26" t="str">
        <x:v>CHG-RC1-DOC-31</x:v>
      </x:c>
      <x:c r="AB123" s="26" t="str">
        <x:v>DEFINED / NOT EXECUTED</x:v>
      </x:c>
    </x:row>
    <x:row r="124" ht="30" customHeight="1">
      <x:c r="A124" s="26" t="str">
        <x:v>H6</x:v>
      </x:c>
      <x:c r="B124" s="26" t="str">
        <x:v>H6-UXA-010</x:v>
      </x:c>
      <x:c r="C124" s="26" t="str">
        <x:v>UI, input y accesibilidad</x:v>
      </x:c>
      <x:c r="D124" s="26" t="str">
        <x:v>Control especializado</x:v>
      </x:c>
      <x:c r="E124" s="26" t="str">
        <x:v>El tutorial o guía permite completar el Golden Path sin depender de texto de debug.</x:v>
      </x:c>
      <x:c r="F124" s="26" t="str">
        <x:v>Sesión con usuario no familiarizado y registro de bloqueos.</x:v>
      </x:c>
      <x:c r="G124" s="26" t="str">
        <x:v>Cumplimiento verificable sin desviaciones bloqueantes.</x:v>
      </x:c>
      <x:c r="H124" s="26" t="str">
        <x:v>Acta de playtest y lista de fricciones.</x:v>
      </x:c>
      <x:c r="I124" s="26" t="str">
        <x:v>05_UX_Flow.md; 19_UI_Style_Guide.md; 29_Accessibility_and_Inclusive_Design_Plan.md</x:v>
      </x:c>
      <x:c r="J124" s="26" t="str">
        <x:v>UX Flow v0.3–v0.5; UI Style Guide v0.3–v0.5; ADR/Sprint 15 accessibility preferences</x:v>
      </x:c>
      <x:c r="K124" s="26" t="str">
        <x:v>Sprint 17 / H6</x:v>
      </x:c>
      <x:c r="L124" s="26" t="str">
        <x:v>Yes</x:v>
      </x:c>
      <x:c r="M124" s="26" t="str">
        <x:v>P1</x:v>
      </x:c>
      <x:c r="N124" s="26" t="str">
        <x:v>UX/Engineering</x:v>
      </x:c>
      <x:c r="O124" s="26" t="str">
        <x:v>Accessibility/QA</x:v>
      </x:c>
      <x:c r="P124" s="26" t="str">
        <x:v>NOT RUN</x:v>
      </x:c>
      <x:c r="Q124" s="26"/>
      <x:c r="R124" s="26"/>
      <x:c r="S124" s="26"/>
      <x:c r="T124" s="26"/>
      <x:c r="U124" s="26"/>
      <x:c r="V124" s="26"/>
      <x:c r="W124" s="26" t="n">
        <x:v>1</x:v>
      </x:c>
      <x:c r="X124" s="26" t="n">
        <x:v>0</x:v>
      </x:c>
      <x:c r="Y124" s="26" t="n">
        <x:v>1</x:v>
      </x:c>
      <x:c r="Z124" s="26" t="str">
        <x:v>PENDING</x:v>
      </x:c>
      <x:c r="AA124" s="26" t="str">
        <x:v>CHG-RC1-DOC-31</x:v>
      </x:c>
      <x:c r="AB124" s="26" t="str">
        <x:v>DEFINED / NOT EXECUTED</x:v>
      </x:c>
    </x:row>
    <x:row r="125" ht="30" customHeight="1">
      <x:c r="A125" s="26" t="str">
        <x:v>H6</x:v>
      </x:c>
      <x:c r="B125" s="26" t="str">
        <x:v>H6-UXA-011</x:v>
      </x:c>
      <x:c r="C125" s="26" t="str">
        <x:v>UI, input y accesibilidad</x:v>
      </x:c>
      <x:c r="D125" s="26" t="str">
        <x:v>Control especializado</x:v>
      </x:c>
      <x:c r="E125" s="26" t="str">
        <x:v>Las opciones globales persisten entre sesiones y slots según su alcance definido.</x:v>
      </x:c>
      <x:c r="F125" s="26" t="str">
        <x:v>Cambiar opciones, reiniciar aplicación y alternar slots.</x:v>
      </x:c>
      <x:c r="G125" s="26" t="str">
        <x:v>Cumplimiento verificable sin desviaciones bloqueantes.</x:v>
      </x:c>
      <x:c r="H125" s="26" t="str">
        <x:v>Diff de preferencias y vídeo.</x:v>
      </x:c>
      <x:c r="I125" s="26" t="str">
        <x:v>05_UX_Flow.md; 19_UI_Style_Guide.md; 29_Accessibility_and_Inclusive_Design_Plan.md</x:v>
      </x:c>
      <x:c r="J125" s="26" t="str">
        <x:v>UX Flow v0.3–v0.5; UI Style Guide v0.3–v0.5; ADR/Sprint 15 accessibility preferences</x:v>
      </x:c>
      <x:c r="K125" s="26" t="str">
        <x:v>Sprint 17 / H6</x:v>
      </x:c>
      <x:c r="L125" s="26" t="str">
        <x:v>Yes</x:v>
      </x:c>
      <x:c r="M125" s="26" t="str">
        <x:v>P1</x:v>
      </x:c>
      <x:c r="N125" s="26" t="str">
        <x:v>UX/Engineering</x:v>
      </x:c>
      <x:c r="O125" s="26" t="str">
        <x:v>Accessibility/QA</x:v>
      </x:c>
      <x:c r="P125" s="26" t="str">
        <x:v>NOT RUN</x:v>
      </x:c>
      <x:c r="Q125" s="26"/>
      <x:c r="R125" s="26"/>
      <x:c r="S125" s="26"/>
      <x:c r="T125" s="26"/>
      <x:c r="U125" s="26"/>
      <x:c r="V125" s="26"/>
      <x:c r="W125" s="26" t="n">
        <x:v>1</x:v>
      </x:c>
      <x:c r="X125" s="26" t="n">
        <x:v>0</x:v>
      </x:c>
      <x:c r="Y125" s="26" t="n">
        <x:v>1</x:v>
      </x:c>
      <x:c r="Z125" s="26" t="str">
        <x:v>PENDING</x:v>
      </x:c>
      <x:c r="AA125" s="26" t="str">
        <x:v>CHG-RC1-DOC-31</x:v>
      </x:c>
      <x:c r="AB125" s="26" t="str">
        <x:v>DEFINED / NOT EXECUTED</x:v>
      </x:c>
    </x:row>
    <x:row r="126" ht="30" customHeight="1">
      <x:c r="A126" s="26" t="str">
        <x:v>H6</x:v>
      </x:c>
      <x:c r="B126" s="26" t="str">
        <x:v>H6-UXA-012</x:v>
      </x:c>
      <x:c r="C126" s="26" t="str">
        <x:v>UI, input y accesibilidad</x:v>
      </x:c>
      <x:c r="D126" s="26" t="str">
        <x:v>Control especializado</x:v>
      </x:c>
      <x:c r="E126" s="26" t="str">
        <x:v>La UI no corta precios, cantidades, IDs visibles o acciones esenciales en 1080p y resolución mínima aprobada.</x:v>
      </x:c>
      <x:c r="F126" s="26" t="str">
        <x:v>Recorrido completo en matriz de resoluciones.</x:v>
      </x:c>
      <x:c r="G126" s="26" t="str">
        <x:v>Cumplimiento verificable sin desviaciones bloqueantes.</x:v>
      </x:c>
      <x:c r="H126" s="26" t="str">
        <x:v>Capturas y defect register.</x:v>
      </x:c>
      <x:c r="I126" s="26" t="str">
        <x:v>05_UX_Flow.md; 19_UI_Style_Guide.md; 29_Accessibility_and_Inclusive_Design_Plan.md</x:v>
      </x:c>
      <x:c r="J126" s="26" t="str">
        <x:v>UX Flow v0.3–v0.5; UI Style Guide v0.3–v0.5; ADR/Sprint 15 accessibility preferences</x:v>
      </x:c>
      <x:c r="K126" s="26" t="str">
        <x:v>Sprint 17 / H6</x:v>
      </x:c>
      <x:c r="L126" s="26" t="str">
        <x:v>Yes</x:v>
      </x:c>
      <x:c r="M126" s="26" t="str">
        <x:v>P1</x:v>
      </x:c>
      <x:c r="N126" s="26" t="str">
        <x:v>UX/Engineering</x:v>
      </x:c>
      <x:c r="O126" s="26" t="str">
        <x:v>Accessibility/QA</x:v>
      </x:c>
      <x:c r="P126" s="26" t="str">
        <x:v>NOT RUN</x:v>
      </x:c>
      <x:c r="Q126" s="26"/>
      <x:c r="R126" s="26"/>
      <x:c r="S126" s="26"/>
      <x:c r="T126" s="26"/>
      <x:c r="U126" s="26"/>
      <x:c r="V126" s="26"/>
      <x:c r="W126" s="26" t="n">
        <x:v>1</x:v>
      </x:c>
      <x:c r="X126" s="26" t="n">
        <x:v>0</x:v>
      </x:c>
      <x:c r="Y126" s="26" t="n">
        <x:v>1</x:v>
      </x:c>
      <x:c r="Z126" s="26" t="str">
        <x:v>PENDING</x:v>
      </x:c>
      <x:c r="AA126" s="26" t="str">
        <x:v>CHG-RC1-DOC-31</x:v>
      </x:c>
      <x:c r="AB126" s="26" t="str">
        <x:v>DEFINED / NOT EXECUTED</x:v>
      </x:c>
    </x:row>
    <x:row r="127" ht="30" customHeight="1">
      <x:c r="A127" s="26" t="str">
        <x:v>H6</x:v>
      </x:c>
      <x:c r="B127" s="26" t="str">
        <x:v>H6-UXA-013</x:v>
      </x:c>
      <x:c r="C127" s="26" t="str">
        <x:v>UI, input y accesibilidad</x:v>
      </x:c>
      <x:c r="D127" s="26" t="str">
        <x:v>Control especializado</x:v>
      </x:c>
      <x:c r="E127" s="26" t="str">
        <x:v>Las alertas y notificaciones tienen duración suficiente o configuración compatible con accesibilidad cognitiva.</x:v>
      </x:c>
      <x:c r="F127" s="26" t="str">
        <x:v>Probar duración y acumulación de mensajes.</x:v>
      </x:c>
      <x:c r="G127" s="26" t="str">
        <x:v>Cumplimiento verificable sin desviaciones bloqueantes.</x:v>
      </x:c>
      <x:c r="H127" s="26" t="str">
        <x:v>Registro de timing.</x:v>
      </x:c>
      <x:c r="I127" s="26" t="str">
        <x:v>05_UX_Flow.md; 19_UI_Style_Guide.md; 29_Accessibility_and_Inclusive_Design_Plan.md</x:v>
      </x:c>
      <x:c r="J127" s="26" t="str">
        <x:v>UX Flow v0.3–v0.5; UI Style Guide v0.3–v0.5; ADR/Sprint 15 accessibility preferences</x:v>
      </x:c>
      <x:c r="K127" s="26" t="str">
        <x:v>Sprint 17 / H6</x:v>
      </x:c>
      <x:c r="L127" s="26" t="str">
        <x:v>Yes</x:v>
      </x:c>
      <x:c r="M127" s="26" t="str">
        <x:v>P1</x:v>
      </x:c>
      <x:c r="N127" s="26" t="str">
        <x:v>UX/Engineering</x:v>
      </x:c>
      <x:c r="O127" s="26" t="str">
        <x:v>Accessibility/QA</x:v>
      </x:c>
      <x:c r="P127" s="26" t="str">
        <x:v>NOT RUN</x:v>
      </x:c>
      <x:c r="Q127" s="26"/>
      <x:c r="R127" s="26"/>
      <x:c r="S127" s="26"/>
      <x:c r="T127" s="26"/>
      <x:c r="U127" s="26"/>
      <x:c r="V127" s="26"/>
      <x:c r="W127" s="26" t="n">
        <x:v>1</x:v>
      </x:c>
      <x:c r="X127" s="26" t="n">
        <x:v>0</x:v>
      </x:c>
      <x:c r="Y127" s="26" t="n">
        <x:v>1</x:v>
      </x:c>
      <x:c r="Z127" s="26" t="str">
        <x:v>PENDING</x:v>
      </x:c>
      <x:c r="AA127" s="26" t="str">
        <x:v>CHG-RC1-DOC-31</x:v>
      </x:c>
      <x:c r="AB127" s="26" t="str">
        <x:v>DEFINED / NOT EXECUTED</x:v>
      </x:c>
    </x:row>
    <x:row r="128" ht="30" customHeight="1">
      <x:c r="A128" s="26" t="str">
        <x:v>H6</x:v>
      </x:c>
      <x:c r="B128" s="26" t="str">
        <x:v>H6-UXA-014</x:v>
      </x:c>
      <x:c r="C128" s="26" t="str">
        <x:v>UI, input y accesibilidad</x:v>
      </x:c>
      <x:c r="D128" s="26" t="str">
        <x:v>Control especializado</x:v>
      </x:c>
      <x:c r="E128" s="26" t="str">
        <x:v>Las características no implementadas —remapeo completo, narración, subtítulos o mando integral— no se declaran como disponibles.</x:v>
      </x:c>
      <x:c r="F128" s="26" t="str">
        <x:v>Revisar UI, documentación, Steam draft y marketing claims.</x:v>
      </x:c>
      <x:c r="G128" s="26" t="str">
        <x:v>Cumplimiento verificable sin desviaciones bloqueantes.</x:v>
      </x:c>
      <x:c r="H128" s="26" t="str">
        <x:v>Matriz de claims aprobada.</x:v>
      </x:c>
      <x:c r="I128" s="26" t="str">
        <x:v>05_UX_Flow.md; 19_UI_Style_Guide.md; 29_Accessibility_and_Inclusive_Design_Plan.md</x:v>
      </x:c>
      <x:c r="J128" s="26" t="str">
        <x:v>UX Flow v0.3–v0.5; UI Style Guide v0.3–v0.5; ADR/Sprint 15 accessibility preferences</x:v>
      </x:c>
      <x:c r="K128" s="26" t="str">
        <x:v>Sprint 17 / H6</x:v>
      </x:c>
      <x:c r="L128" s="26" t="str">
        <x:v>Yes</x:v>
      </x:c>
      <x:c r="M128" s="26" t="str">
        <x:v>P1</x:v>
      </x:c>
      <x:c r="N128" s="26" t="str">
        <x:v>UX/Engineering</x:v>
      </x:c>
      <x:c r="O128" s="26" t="str">
        <x:v>Accessibility/QA</x:v>
      </x:c>
      <x:c r="P128" s="26" t="str">
        <x:v>NOT RUN</x:v>
      </x:c>
      <x:c r="Q128" s="26"/>
      <x:c r="R128" s="26"/>
      <x:c r="S128" s="26"/>
      <x:c r="T128" s="26"/>
      <x:c r="U128" s="26"/>
      <x:c r="V128" s="26"/>
      <x:c r="W128" s="26" t="n">
        <x:v>1</x:v>
      </x:c>
      <x:c r="X128" s="26" t="n">
        <x:v>0</x:v>
      </x:c>
      <x:c r="Y128" s="26" t="n">
        <x:v>1</x:v>
      </x:c>
      <x:c r="Z128" s="26" t="str">
        <x:v>PENDING</x:v>
      </x:c>
      <x:c r="AA128" s="26" t="str">
        <x:v>CHG-RC1-DOC-31</x:v>
      </x:c>
      <x:c r="AB128" s="26" t="str">
        <x:v>DEFINED / NOT EXECUTED</x:v>
      </x:c>
    </x:row>
    <x:row r="129" ht="30" customHeight="1">
      <x:c r="A129" s="26" t="str">
        <x:v>H6</x:v>
      </x:c>
      <x:c r="B129" s="26" t="str">
        <x:v>H6-LOC-001</x:v>
      </x:c>
      <x:c r="C129" s="26" t="str">
        <x:v>Localización ES/EN</x:v>
      </x:c>
      <x:c r="D129" s="26" t="str">
        <x:v>Control especializado</x:v>
      </x:c>
      <x:c r="E129" s="26" t="str">
        <x:v>Todas las strings runtime incluidas en H6 usan claves canónicas y no texto hardcodeado salvo excepción aprobada.</x:v>
      </x:c>
      <x:c r="F129" s="26" t="str">
        <x:v>Escaneo de código/assets y ejecución con reporte de keys.</x:v>
      </x:c>
      <x:c r="G129" s="26" t="str">
        <x:v>Cumplimiento verificable sin desviaciones bloqueantes.</x:v>
      </x:c>
      <x:c r="H129" s="26" t="str">
        <x:v>Informe de hardcodes y excepciones.</x:v>
      </x:c>
      <x:c r="I129" s="26" t="str">
        <x:v>22_Localization_Plan.md; 29_Accessibility_and_Inclusive_Design_Plan.md</x:v>
      </x:c>
      <x:c r="J129" s="26" t="str">
        <x:v>Localization Plan v0.3–v0.5; UX/UI v0.3–v0.5</x:v>
      </x:c>
      <x:c r="K129" s="26" t="str">
        <x:v>Sprint 17 / H6</x:v>
      </x:c>
      <x:c r="L129" s="26" t="str">
        <x:v>Yes</x:v>
      </x:c>
      <x:c r="M129" s="26" t="str">
        <x:v>P1</x:v>
      </x:c>
      <x:c r="N129" s="26" t="str">
        <x:v>Localization/UX</x:v>
      </x:c>
      <x:c r="O129" s="26" t="str">
        <x:v>LQA/QA</x:v>
      </x:c>
      <x:c r="P129" s="26" t="str">
        <x:v>NOT RUN</x:v>
      </x:c>
      <x:c r="Q129" s="26"/>
      <x:c r="R129" s="26"/>
      <x:c r="S129" s="26"/>
      <x:c r="T129" s="26"/>
      <x:c r="U129" s="26"/>
      <x:c r="V129" s="26"/>
      <x:c r="W129" s="26" t="n">
        <x:v>1</x:v>
      </x:c>
      <x:c r="X129" s="26" t="n">
        <x:v>0</x:v>
      </x:c>
      <x:c r="Y129" s="26" t="n">
        <x:v>1</x:v>
      </x:c>
      <x:c r="Z129" s="26" t="str">
        <x:v>PENDING</x:v>
      </x:c>
      <x:c r="AA129" s="26" t="str">
        <x:v>CHG-RC1-DOC-31</x:v>
      </x:c>
      <x:c r="AB129" s="26" t="str">
        <x:v>DEFINED / NOT EXECUTED</x:v>
      </x:c>
    </x:row>
    <x:row r="130" ht="30" customHeight="1">
      <x:c r="A130" s="26" t="str">
        <x:v>H6</x:v>
      </x:c>
      <x:c r="B130" s="26" t="str">
        <x:v>H6-LOC-002</x:v>
      </x:c>
      <x:c r="C130" s="26" t="str">
        <x:v>Localización ES/EN</x:v>
      </x:c>
      <x:c r="D130" s="26" t="str">
        <x:v>Control especializado</x:v>
      </x:c>
      <x:c r="E130" s="26" t="str">
        <x:v>Las tablas es-ES y en-US contienen todas las entradas referenciadas en el alcance H6.</x:v>
      </x:c>
      <x:c r="F130" s="26" t="str">
        <x:v>Generar auditoría de missing entries por colección.</x:v>
      </x:c>
      <x:c r="G130" s="26" t="str">
        <x:v>Cumplimiento verificable sin desviaciones bloqueantes.</x:v>
      </x:c>
      <x:c r="H130" s="26" t="str">
        <x:v>Reporte de cobertura 100 %.</x:v>
      </x:c>
      <x:c r="I130" s="26" t="str">
        <x:v>22_Localization_Plan.md; 29_Accessibility_and_Inclusive_Design_Plan.md</x:v>
      </x:c>
      <x:c r="J130" s="26" t="str">
        <x:v>Localization Plan v0.3–v0.5; UX/UI v0.3–v0.5</x:v>
      </x:c>
      <x:c r="K130" s="26" t="str">
        <x:v>Sprint 17 / H6</x:v>
      </x:c>
      <x:c r="L130" s="26" t="str">
        <x:v>Yes</x:v>
      </x:c>
      <x:c r="M130" s="26" t="str">
        <x:v>P1</x:v>
      </x:c>
      <x:c r="N130" s="26" t="str">
        <x:v>Localization/UX</x:v>
      </x:c>
      <x:c r="O130" s="26" t="str">
        <x:v>LQA/QA</x:v>
      </x:c>
      <x:c r="P130" s="26" t="str">
        <x:v>NOT RUN</x:v>
      </x:c>
      <x:c r="Q130" s="26"/>
      <x:c r="R130" s="26"/>
      <x:c r="S130" s="26"/>
      <x:c r="T130" s="26"/>
      <x:c r="U130" s="26"/>
      <x:c r="V130" s="26"/>
      <x:c r="W130" s="26" t="n">
        <x:v>1</x:v>
      </x:c>
      <x:c r="X130" s="26" t="n">
        <x:v>0</x:v>
      </x:c>
      <x:c r="Y130" s="26" t="n">
        <x:v>1</x:v>
      </x:c>
      <x:c r="Z130" s="26" t="str">
        <x:v>PENDING</x:v>
      </x:c>
      <x:c r="AA130" s="26" t="str">
        <x:v>CHG-RC1-DOC-31</x:v>
      </x:c>
      <x:c r="AB130" s="26" t="str">
        <x:v>DEFINED / NOT EXECUTED</x:v>
      </x:c>
    </x:row>
    <x:row r="131" ht="30" customHeight="1">
      <x:c r="A131" s="26" t="str">
        <x:v>H6</x:v>
      </x:c>
      <x:c r="B131" s="26" t="str">
        <x:v>H6-LOC-003</x:v>
      </x:c>
      <x:c r="C131" s="26" t="str">
        <x:v>Localización ES/EN</x:v>
      </x:c>
      <x:c r="D131" s="26" t="str">
        <x:v>Control especializado</x:v>
      </x:c>
      <x:c r="E131" s="26" t="str">
        <x:v>No aparecen claves, tokens, placeholders o fallbacks visibles durante el Golden Path en ambos idiomas.</x:v>
      </x:c>
      <x:c r="F131" s="26" t="str">
        <x:v>Completar Golden Path ES y EN y revisar Player.log.</x:v>
      </x:c>
      <x:c r="G131" s="26" t="str">
        <x:v>Cumplimiento verificable sin desviaciones bloqueantes.</x:v>
      </x:c>
      <x:c r="H131" s="26" t="str">
        <x:v>Actas ES/EN y logs.</x:v>
      </x:c>
      <x:c r="I131" s="26" t="str">
        <x:v>22_Localization_Plan.md; 29_Accessibility_and_Inclusive_Design_Plan.md</x:v>
      </x:c>
      <x:c r="J131" s="26" t="str">
        <x:v>Localization Plan v0.3–v0.5; UX/UI v0.3–v0.5</x:v>
      </x:c>
      <x:c r="K131" s="26" t="str">
        <x:v>Sprint 17 / H6</x:v>
      </x:c>
      <x:c r="L131" s="26" t="str">
        <x:v>Yes</x:v>
      </x:c>
      <x:c r="M131" s="26" t="str">
        <x:v>P0</x:v>
      </x:c>
      <x:c r="N131" s="26" t="str">
        <x:v>Localization/UX</x:v>
      </x:c>
      <x:c r="O131" s="26" t="str">
        <x:v>LQA/QA</x:v>
      </x:c>
      <x:c r="P131" s="26" t="str">
        <x:v>NOT RUN</x:v>
      </x:c>
      <x:c r="Q131" s="26"/>
      <x:c r="R131" s="26"/>
      <x:c r="S131" s="26"/>
      <x:c r="T131" s="26"/>
      <x:c r="U131" s="26"/>
      <x:c r="V131" s="26"/>
      <x:c r="W131" s="26" t="n">
        <x:v>1</x:v>
      </x:c>
      <x:c r="X131" s="26" t="n">
        <x:v>0</x:v>
      </x:c>
      <x:c r="Y131" s="26" t="n">
        <x:v>1</x:v>
      </x:c>
      <x:c r="Z131" s="26" t="str">
        <x:v>PENDING</x:v>
      </x:c>
      <x:c r="AA131" s="26" t="str">
        <x:v>CHG-RC1-DOC-31</x:v>
      </x:c>
      <x:c r="AB131" s="26" t="str">
        <x:v>DEFINED / NOT EXECUTED</x:v>
      </x:c>
    </x:row>
    <x:row r="132" ht="30" customHeight="1">
      <x:c r="A132" s="26" t="str">
        <x:v>H6</x:v>
      </x:c>
      <x:c r="B132" s="26" t="str">
        <x:v>H6-LOC-004</x:v>
      </x:c>
      <x:c r="C132" s="26" t="str">
        <x:v>Localización ES/EN</x:v>
      </x:c>
      <x:c r="D132" s="26" t="str">
        <x:v>Control especializado</x:v>
      </x:c>
      <x:c r="E132" s="26" t="str">
        <x:v>El cambio de idioma es reproducible y persiste según el alcance de preferencias.</x:v>
      </x:c>
      <x:c r="F132" s="26" t="str">
        <x:v>Cambiar idioma, navegar, guardar, reiniciar y recargar.</x:v>
      </x:c>
      <x:c r="G132" s="26" t="str">
        <x:v>Cumplimiento verificable sin desviaciones bloqueantes.</x:v>
      </x:c>
      <x:c r="H132" s="26" t="str">
        <x:v>Vídeo y archivo de preferencias.</x:v>
      </x:c>
      <x:c r="I132" s="26" t="str">
        <x:v>22_Localization_Plan.md; 29_Accessibility_and_Inclusive_Design_Plan.md</x:v>
      </x:c>
      <x:c r="J132" s="26" t="str">
        <x:v>Localization Plan v0.3–v0.5; UX/UI v0.3–v0.5</x:v>
      </x:c>
      <x:c r="K132" s="26" t="str">
        <x:v>Sprint 17 / H6</x:v>
      </x:c>
      <x:c r="L132" s="26" t="str">
        <x:v>Yes</x:v>
      </x:c>
      <x:c r="M132" s="26" t="str">
        <x:v>P1</x:v>
      </x:c>
      <x:c r="N132" s="26" t="str">
        <x:v>Localization/UX</x:v>
      </x:c>
      <x:c r="O132" s="26" t="str">
        <x:v>LQA/QA</x:v>
      </x:c>
      <x:c r="P132" s="26" t="str">
        <x:v>NOT RUN</x:v>
      </x:c>
      <x:c r="Q132" s="26"/>
      <x:c r="R132" s="26"/>
      <x:c r="S132" s="26"/>
      <x:c r="T132" s="26"/>
      <x:c r="U132" s="26"/>
      <x:c r="V132" s="26"/>
      <x:c r="W132" s="26" t="n">
        <x:v>1</x:v>
      </x:c>
      <x:c r="X132" s="26" t="n">
        <x:v>0</x:v>
      </x:c>
      <x:c r="Y132" s="26" t="n">
        <x:v>1</x:v>
      </x:c>
      <x:c r="Z132" s="26" t="str">
        <x:v>PENDING</x:v>
      </x:c>
      <x:c r="AA132" s="26" t="str">
        <x:v>CHG-RC1-DOC-31</x:v>
      </x:c>
      <x:c r="AB132" s="26" t="str">
        <x:v>DEFINED / NOT EXECUTED</x:v>
      </x:c>
    </x:row>
    <x:row r="133" ht="30" customHeight="1">
      <x:c r="A133" s="26" t="str">
        <x:v>H6</x:v>
      </x:c>
      <x:c r="B133" s="26" t="str">
        <x:v>H6-LOC-005</x:v>
      </x:c>
      <x:c r="C133" s="26" t="str">
        <x:v>Localización ES/EN</x:v>
      </x:c>
      <x:c r="D133" s="26" t="str">
        <x:v>Control especializado</x:v>
      </x:c>
      <x:c r="E133" s="26" t="str">
        <x:v>Moneda, números, porcentajes, fechas y plurales se formatean mediante locale y no concatenación frágil.</x:v>
      </x:c>
      <x:c r="F133" s="26" t="str">
        <x:v>Probar casos límite y valores variables en ES/EN.</x:v>
      </x:c>
      <x:c r="G133" s="26" t="str">
        <x:v>Cumplimiento verificable sin desviaciones bloqueantes.</x:v>
      </x:c>
      <x:c r="H133" s="26" t="str">
        <x:v>Matriz de formato.</x:v>
      </x:c>
      <x:c r="I133" s="26" t="str">
        <x:v>22_Localization_Plan.md; 29_Accessibility_and_Inclusive_Design_Plan.md</x:v>
      </x:c>
      <x:c r="J133" s="26" t="str">
        <x:v>Localization Plan v0.3–v0.5; UX/UI v0.3–v0.5</x:v>
      </x:c>
      <x:c r="K133" s="26" t="str">
        <x:v>Sprint 17 / H6</x:v>
      </x:c>
      <x:c r="L133" s="26" t="str">
        <x:v>Yes</x:v>
      </x:c>
      <x:c r="M133" s="26" t="str">
        <x:v>P1</x:v>
      </x:c>
      <x:c r="N133" s="26" t="str">
        <x:v>Localization/UX</x:v>
      </x:c>
      <x:c r="O133" s="26" t="str">
        <x:v>LQA/QA</x:v>
      </x:c>
      <x:c r="P133" s="26" t="str">
        <x:v>NOT RUN</x:v>
      </x:c>
      <x:c r="Q133" s="26"/>
      <x:c r="R133" s="26"/>
      <x:c r="S133" s="26"/>
      <x:c r="T133" s="26"/>
      <x:c r="U133" s="26"/>
      <x:c r="V133" s="26"/>
      <x:c r="W133" s="26" t="n">
        <x:v>1</x:v>
      </x:c>
      <x:c r="X133" s="26" t="n">
        <x:v>0</x:v>
      </x:c>
      <x:c r="Y133" s="26" t="n">
        <x:v>1</x:v>
      </x:c>
      <x:c r="Z133" s="26" t="str">
        <x:v>PENDING</x:v>
      </x:c>
      <x:c r="AA133" s="26" t="str">
        <x:v>CHG-RC1-DOC-31</x:v>
      </x:c>
      <x:c r="AB133" s="26" t="str">
        <x:v>DEFINED / NOT EXECUTED</x:v>
      </x:c>
    </x:row>
    <x:row r="134" ht="30" customHeight="1">
      <x:c r="A134" s="26" t="str">
        <x:v>H6</x:v>
      </x:c>
      <x:c r="B134" s="26" t="str">
        <x:v>H6-LOC-006</x:v>
      </x:c>
      <x:c r="C134" s="26" t="str">
        <x:v>Localización ES/EN</x:v>
      </x:c>
      <x:c r="D134" s="26" t="str">
        <x:v>Control especializado</x:v>
      </x:c>
      <x:c r="E134" s="26" t="str">
        <x:v>La fuente final o aprobada contiene todos los glyphs necesarios y tiene fallback controlado.</x:v>
      </x:c>
      <x:c r="F134" s="26" t="str">
        <x:v>Auditar caracteres, acentos, símbolos monetarios y signos.</x:v>
      </x:c>
      <x:c r="G134" s="26" t="str">
        <x:v>Cumplimiento verificable sin desviaciones bloqueantes.</x:v>
      </x:c>
      <x:c r="H134" s="26" t="str">
        <x:v>Reporte de glyphs y licencia.</x:v>
      </x:c>
      <x:c r="I134" s="26" t="str">
        <x:v>22_Localization_Plan.md; 29_Accessibility_and_Inclusive_Design_Plan.md</x:v>
      </x:c>
      <x:c r="J134" s="26" t="str">
        <x:v>Localization Plan v0.3–v0.5; UX/UI v0.3–v0.5</x:v>
      </x:c>
      <x:c r="K134" s="26" t="str">
        <x:v>Sprint 17 / H6</x:v>
      </x:c>
      <x:c r="L134" s="26" t="str">
        <x:v>Yes</x:v>
      </x:c>
      <x:c r="M134" s="26" t="str">
        <x:v>P1</x:v>
      </x:c>
      <x:c r="N134" s="26" t="str">
        <x:v>Localization/UX</x:v>
      </x:c>
      <x:c r="O134" s="26" t="str">
        <x:v>LQA/QA</x:v>
      </x:c>
      <x:c r="P134" s="26" t="str">
        <x:v>NOT RUN</x:v>
      </x:c>
      <x:c r="Q134" s="26"/>
      <x:c r="R134" s="26"/>
      <x:c r="S134" s="26"/>
      <x:c r="T134" s="26"/>
      <x:c r="U134" s="26"/>
      <x:c r="V134" s="26"/>
      <x:c r="W134" s="26" t="n">
        <x:v>1</x:v>
      </x:c>
      <x:c r="X134" s="26" t="n">
        <x:v>0</x:v>
      </x:c>
      <x:c r="Y134" s="26" t="n">
        <x:v>1</x:v>
      </x:c>
      <x:c r="Z134" s="26" t="str">
        <x:v>PENDING</x:v>
      </x:c>
      <x:c r="AA134" s="26" t="str">
        <x:v>CHG-RC1-DOC-31</x:v>
      </x:c>
      <x:c r="AB134" s="26" t="str">
        <x:v>DEFINED / NOT EXECUTED</x:v>
      </x:c>
    </x:row>
    <x:row r="135" ht="30" customHeight="1">
      <x:c r="A135" s="26" t="str">
        <x:v>H6</x:v>
      </x:c>
      <x:c r="B135" s="26" t="str">
        <x:v>H6-LOC-007</x:v>
      </x:c>
      <x:c r="C135" s="26" t="str">
        <x:v>Localización ES/EN</x:v>
      </x:c>
      <x:c r="D135" s="26" t="str">
        <x:v>Control especializado</x:v>
      </x:c>
      <x:c r="E135" s="26" t="str">
        <x:v>La pseudolocalización no produce desbordes o recortes bloqueantes.</x:v>
      </x:c>
      <x:c r="F135" s="26" t="str">
        <x:v>Ejecutar pantallas y HUD con pseudolocale expandido.</x:v>
      </x:c>
      <x:c r="G135" s="26" t="str">
        <x:v>Cumplimiento verificable sin desviaciones bloqueantes.</x:v>
      </x:c>
      <x:c r="H135" s="26" t="str">
        <x:v>Capturas y defectos.</x:v>
      </x:c>
      <x:c r="I135" s="26" t="str">
        <x:v>22_Localization_Plan.md; 29_Accessibility_and_Inclusive_Design_Plan.md</x:v>
      </x:c>
      <x:c r="J135" s="26" t="str">
        <x:v>Localization Plan v0.3–v0.5; UX/UI v0.3–v0.5</x:v>
      </x:c>
      <x:c r="K135" s="26" t="str">
        <x:v>Sprint 17 / H6</x:v>
      </x:c>
      <x:c r="L135" s="26" t="str">
        <x:v>Yes</x:v>
      </x:c>
      <x:c r="M135" s="26" t="str">
        <x:v>P1</x:v>
      </x:c>
      <x:c r="N135" s="26" t="str">
        <x:v>Localization/UX</x:v>
      </x:c>
      <x:c r="O135" s="26" t="str">
        <x:v>LQA/QA</x:v>
      </x:c>
      <x:c r="P135" s="26" t="str">
        <x:v>NOT RUN</x:v>
      </x:c>
      <x:c r="Q135" s="26"/>
      <x:c r="R135" s="26"/>
      <x:c r="S135" s="26"/>
      <x:c r="T135" s="26"/>
      <x:c r="U135" s="26"/>
      <x:c r="V135" s="26"/>
      <x:c r="W135" s="26" t="n">
        <x:v>1</x:v>
      </x:c>
      <x:c r="X135" s="26" t="n">
        <x:v>0</x:v>
      </x:c>
      <x:c r="Y135" s="26" t="n">
        <x:v>1</x:v>
      </x:c>
      <x:c r="Z135" s="26" t="str">
        <x:v>PENDING</x:v>
      </x:c>
      <x:c r="AA135" s="26" t="str">
        <x:v>CHG-RC1-DOC-31</x:v>
      </x:c>
      <x:c r="AB135" s="26" t="str">
        <x:v>DEFINED / NOT EXECUTED</x:v>
      </x:c>
    </x:row>
    <x:row r="136" ht="30" customHeight="1">
      <x:c r="A136" s="26" t="str">
        <x:v>H6</x:v>
      </x:c>
      <x:c r="B136" s="26" t="str">
        <x:v>H6-LOC-008</x:v>
      </x:c>
      <x:c r="C136" s="26" t="str">
        <x:v>Localización ES/EN</x:v>
      </x:c>
      <x:c r="D136" s="26" t="str">
        <x:v>Control especializado</x:v>
      </x:c>
      <x:c r="E136" s="26" t="str">
        <x:v>Los comentarios de contexto, variables y límites están completos para entradas H6.</x:v>
      </x:c>
      <x:c r="F136" s="26" t="str">
        <x:v>Revisar metadata de tablas y paquete de traducción.</x:v>
      </x:c>
      <x:c r="G136" s="26" t="str">
        <x:v>Cumplimiento verificable sin desviaciones bloqueantes.</x:v>
      </x:c>
      <x:c r="H136" s="26" t="str">
        <x:v>Informe de metadata.</x:v>
      </x:c>
      <x:c r="I136" s="26" t="str">
        <x:v>22_Localization_Plan.md; 29_Accessibility_and_Inclusive_Design_Plan.md</x:v>
      </x:c>
      <x:c r="J136" s="26" t="str">
        <x:v>Localization Plan v0.3–v0.5; UX/UI v0.3–v0.5</x:v>
      </x:c>
      <x:c r="K136" s="26" t="str">
        <x:v>Sprint 17 / H6</x:v>
      </x:c>
      <x:c r="L136" s="26" t="str">
        <x:v>Yes</x:v>
      </x:c>
      <x:c r="M136" s="26" t="str">
        <x:v>P1</x:v>
      </x:c>
      <x:c r="N136" s="26" t="str">
        <x:v>Localization/UX</x:v>
      </x:c>
      <x:c r="O136" s="26" t="str">
        <x:v>LQA/QA</x:v>
      </x:c>
      <x:c r="P136" s="26" t="str">
        <x:v>NOT RUN</x:v>
      </x:c>
      <x:c r="Q136" s="26"/>
      <x:c r="R136" s="26"/>
      <x:c r="S136" s="26"/>
      <x:c r="T136" s="26"/>
      <x:c r="U136" s="26"/>
      <x:c r="V136" s="26"/>
      <x:c r="W136" s="26" t="n">
        <x:v>1</x:v>
      </x:c>
      <x:c r="X136" s="26" t="n">
        <x:v>0</x:v>
      </x:c>
      <x:c r="Y136" s="26" t="n">
        <x:v>1</x:v>
      </x:c>
      <x:c r="Z136" s="26" t="str">
        <x:v>PENDING</x:v>
      </x:c>
      <x:c r="AA136" s="26" t="str">
        <x:v>CHG-RC1-DOC-31</x:v>
      </x:c>
      <x:c r="AB136" s="26" t="str">
        <x:v>DEFINED / NOT EXECUTED</x:v>
      </x:c>
    </x:row>
    <x:row r="137" ht="30" customHeight="1">
      <x:c r="A137" s="26" t="str">
        <x:v>H6</x:v>
      </x:c>
      <x:c r="B137" s="26" t="str">
        <x:v>H6-LOC-009</x:v>
      </x:c>
      <x:c r="C137" s="26" t="str">
        <x:v>Localización ES/EN</x:v>
      </x:c>
      <x:c r="D137" s="26" t="str">
        <x:v>Control especializado</x:v>
      </x:c>
      <x:c r="E137" s="26" t="str">
        <x:v>El glosario de términos de juego está aprobado y aplicado de forma consistente en ES/EN.</x:v>
      </x:c>
      <x:c r="F137" s="26" t="str">
        <x:v>Revisión terminológica cruzada de UI, tutorial y contenido.</x:v>
      </x:c>
      <x:c r="G137" s="26" t="str">
        <x:v>Cumplimiento verificable sin desviaciones bloqueantes.</x:v>
      </x:c>
      <x:c r="H137" s="26" t="str">
        <x:v>Glosario versionado y QA terminológica.</x:v>
      </x:c>
      <x:c r="I137" s="26" t="str">
        <x:v>22_Localization_Plan.md; 29_Accessibility_and_Inclusive_Design_Plan.md</x:v>
      </x:c>
      <x:c r="J137" s="26" t="str">
        <x:v>Localization Plan v0.3–v0.5; UX/UI v0.3–v0.5</x:v>
      </x:c>
      <x:c r="K137" s="26" t="str">
        <x:v>Sprint 17 / H6</x:v>
      </x:c>
      <x:c r="L137" s="26" t="str">
        <x:v>Yes</x:v>
      </x:c>
      <x:c r="M137" s="26" t="str">
        <x:v>P1</x:v>
      </x:c>
      <x:c r="N137" s="26" t="str">
        <x:v>Localization/UX</x:v>
      </x:c>
      <x:c r="O137" s="26" t="str">
        <x:v>LQA/QA</x:v>
      </x:c>
      <x:c r="P137" s="26" t="str">
        <x:v>NOT RUN</x:v>
      </x:c>
      <x:c r="Q137" s="26"/>
      <x:c r="R137" s="26"/>
      <x:c r="S137" s="26"/>
      <x:c r="T137" s="26"/>
      <x:c r="U137" s="26"/>
      <x:c r="V137" s="26"/>
      <x:c r="W137" s="26" t="n">
        <x:v>1</x:v>
      </x:c>
      <x:c r="X137" s="26" t="n">
        <x:v>0</x:v>
      </x:c>
      <x:c r="Y137" s="26" t="n">
        <x:v>1</x:v>
      </x:c>
      <x:c r="Z137" s="26" t="str">
        <x:v>PENDING</x:v>
      </x:c>
      <x:c r="AA137" s="26" t="str">
        <x:v>CHG-RC1-DOC-31</x:v>
      </x:c>
      <x:c r="AB137" s="26" t="str">
        <x:v>DEFINED / NOT EXECUTED</x:v>
      </x:c>
    </x:row>
    <x:row r="138" ht="30" customHeight="1">
      <x:c r="A138" s="26" t="str">
        <x:v>H6</x:v>
      </x:c>
      <x:c r="B138" s="26" t="str">
        <x:v>H6-LOC-010</x:v>
      </x:c>
      <x:c r="C138" s="26" t="str">
        <x:v>Localización ES/EN</x:v>
      </x:c>
      <x:c r="D138" s="26" t="str">
        <x:v>Control especializado</x:v>
      </x:c>
      <x:c r="E138" s="26" t="str">
        <x:v>No existen strings de Sprint, phase, debug o instrucciones internas en la build H6.</x:v>
      </x:c>
      <x:c r="F138" s="26" t="str">
        <x:v>Búsqueda automatizada y recorrido manual.</x:v>
      </x:c>
      <x:c r="G138" s="26" t="str">
        <x:v>Cumplimiento verificable sin desviaciones bloqueantes.</x:v>
      </x:c>
      <x:c r="H138" s="26" t="str">
        <x:v>Informe debug-string-clean.</x:v>
      </x:c>
      <x:c r="I138" s="26" t="str">
        <x:v>22_Localization_Plan.md; 29_Accessibility_and_Inclusive_Design_Plan.md</x:v>
      </x:c>
      <x:c r="J138" s="26" t="str">
        <x:v>Localization Plan v0.3–v0.5; UX/UI v0.3–v0.5</x:v>
      </x:c>
      <x:c r="K138" s="26" t="str">
        <x:v>Sprint 17 / H6</x:v>
      </x:c>
      <x:c r="L138" s="26" t="str">
        <x:v>Yes</x:v>
      </x:c>
      <x:c r="M138" s="26" t="str">
        <x:v>P1</x:v>
      </x:c>
      <x:c r="N138" s="26" t="str">
        <x:v>Localization/UX</x:v>
      </x:c>
      <x:c r="O138" s="26" t="str">
        <x:v>LQA/QA</x:v>
      </x:c>
      <x:c r="P138" s="26" t="str">
        <x:v>NOT RUN</x:v>
      </x:c>
      <x:c r="Q138" s="26"/>
      <x:c r="R138" s="26"/>
      <x:c r="S138" s="26"/>
      <x:c r="T138" s="26"/>
      <x:c r="U138" s="26"/>
      <x:c r="V138" s="26"/>
      <x:c r="W138" s="26" t="n">
        <x:v>1</x:v>
      </x:c>
      <x:c r="X138" s="26" t="n">
        <x:v>0</x:v>
      </x:c>
      <x:c r="Y138" s="26" t="n">
        <x:v>1</x:v>
      </x:c>
      <x:c r="Z138" s="26" t="str">
        <x:v>PENDING</x:v>
      </x:c>
      <x:c r="AA138" s="26" t="str">
        <x:v>CHG-RC1-DOC-31</x:v>
      </x:c>
      <x:c r="AB138" s="26" t="str">
        <x:v>DEFINED / NOT EXECUTED</x:v>
      </x:c>
    </x:row>
    <x:row r="139" ht="30" customHeight="1">
      <x:c r="A139" s="26" t="str">
        <x:v>H6</x:v>
      </x:c>
      <x:c r="B139" s="26" t="str">
        <x:v>H6-LOC-011</x:v>
      </x:c>
      <x:c r="C139" s="26" t="str">
        <x:v>Localización ES/EN</x:v>
      </x:c>
      <x:c r="D139" s="26" t="str">
        <x:v>Control especializado</x:v>
      </x:c>
      <x:c r="E139" s="26" t="str">
        <x:v>Los archivos de localización, Shared Data, .meta y dependencias están versionados y sobreviven a clean checkout.</x:v>
      </x:c>
      <x:c r="F139" s="26" t="str">
        <x:v>Clonar/limpiar proyecto y generar build.</x:v>
      </x:c>
      <x:c r="G139" s="26" t="str">
        <x:v>Cumplimiento verificable sin desviaciones bloqueantes.</x:v>
      </x:c>
      <x:c r="H139" s="26" t="str">
        <x:v>Clean checkout record.</x:v>
      </x:c>
      <x:c r="I139" s="26" t="str">
        <x:v>22_Localization_Plan.md; 29_Accessibility_and_Inclusive_Design_Plan.md</x:v>
      </x:c>
      <x:c r="J139" s="26" t="str">
        <x:v>Localization Plan v0.3–v0.5; UX/UI v0.3–v0.5</x:v>
      </x:c>
      <x:c r="K139" s="26" t="str">
        <x:v>Sprint 17 / H6</x:v>
      </x:c>
      <x:c r="L139" s="26" t="str">
        <x:v>Yes</x:v>
      </x:c>
      <x:c r="M139" s="26" t="str">
        <x:v>P1</x:v>
      </x:c>
      <x:c r="N139" s="26" t="str">
        <x:v>Localization/UX</x:v>
      </x:c>
      <x:c r="O139" s="26" t="str">
        <x:v>LQA/QA</x:v>
      </x:c>
      <x:c r="P139" s="26" t="str">
        <x:v>NOT RUN</x:v>
      </x:c>
      <x:c r="Q139" s="26"/>
      <x:c r="R139" s="26"/>
      <x:c r="S139" s="26"/>
      <x:c r="T139" s="26"/>
      <x:c r="U139" s="26"/>
      <x:c r="V139" s="26"/>
      <x:c r="W139" s="26" t="n">
        <x:v>1</x:v>
      </x:c>
      <x:c r="X139" s="26" t="n">
        <x:v>0</x:v>
      </x:c>
      <x:c r="Y139" s="26" t="n">
        <x:v>1</x:v>
      </x:c>
      <x:c r="Z139" s="26" t="str">
        <x:v>PENDING</x:v>
      </x:c>
      <x:c r="AA139" s="26" t="str">
        <x:v>CHG-RC1-DOC-31</x:v>
      </x:c>
      <x:c r="AB139" s="26" t="str">
        <x:v>DEFINED / NOT EXECUTED</x:v>
      </x:c>
    </x:row>
    <x:row r="140" ht="30" customHeight="1">
      <x:c r="A140" s="26" t="str">
        <x:v>H6</x:v>
      </x:c>
      <x:c r="B140" s="26" t="str">
        <x:v>H6-LOC-012</x:v>
      </x:c>
      <x:c r="C140" s="26" t="str">
        <x:v>Localización ES/EN</x:v>
      </x:c>
      <x:c r="D140" s="26" t="str">
        <x:v>Control especializado</x:v>
      </x:c>
      <x:c r="E140" s="26" t="str">
        <x:v>Player.log no contiene missing table, missing entry, glyph o format exception recurrentes.</x:v>
      </x:c>
      <x:c r="F140" s="26" t="str">
        <x:v>Revisar log tras Golden Path ES/EN.</x:v>
      </x:c>
      <x:c r="G140" s="26" t="str">
        <x:v>Cumplimiento verificable sin desviaciones bloqueantes.</x:v>
      </x:c>
      <x:c r="H140" s="26" t="str">
        <x:v>Player.log anotado.</x:v>
      </x:c>
      <x:c r="I140" s="26" t="str">
        <x:v>22_Localization_Plan.md; 29_Accessibility_and_Inclusive_Design_Plan.md</x:v>
      </x:c>
      <x:c r="J140" s="26" t="str">
        <x:v>Localization Plan v0.3–v0.5; UX/UI v0.3–v0.5</x:v>
      </x:c>
      <x:c r="K140" s="26" t="str">
        <x:v>Sprint 17 / H6</x:v>
      </x:c>
      <x:c r="L140" s="26" t="str">
        <x:v>Yes</x:v>
      </x:c>
      <x:c r="M140" s="26" t="str">
        <x:v>P1</x:v>
      </x:c>
      <x:c r="N140" s="26" t="str">
        <x:v>Localization/UX</x:v>
      </x:c>
      <x:c r="O140" s="26" t="str">
        <x:v>LQA/QA</x:v>
      </x:c>
      <x:c r="P140" s="26" t="str">
        <x:v>NOT RUN</x:v>
      </x:c>
      <x:c r="Q140" s="26"/>
      <x:c r="R140" s="26"/>
      <x:c r="S140" s="26"/>
      <x:c r="T140" s="26"/>
      <x:c r="U140" s="26"/>
      <x:c r="V140" s="26"/>
      <x:c r="W140" s="26" t="n">
        <x:v>1</x:v>
      </x:c>
      <x:c r="X140" s="26" t="n">
        <x:v>0</x:v>
      </x:c>
      <x:c r="Y140" s="26" t="n">
        <x:v>1</x:v>
      </x:c>
      <x:c r="Z140" s="26" t="str">
        <x:v>PENDING</x:v>
      </x:c>
      <x:c r="AA140" s="26" t="str">
        <x:v>CHG-RC1-DOC-31</x:v>
      </x:c>
      <x:c r="AB140" s="26" t="str">
        <x:v>DEFINED / NOT EXECUTED</x:v>
      </x:c>
    </x:row>
    <x:row r="141" ht="30" customHeight="1">
      <x:c r="A141" s="26" t="str">
        <x:v>H6</x:v>
      </x:c>
      <x:c r="B141" s="26" t="str">
        <x:v>H6-LOC-013</x:v>
      </x:c>
      <x:c r="C141" s="26" t="str">
        <x:v>Localización ES/EN</x:v>
      </x:c>
      <x:c r="D141" s="26" t="str">
        <x:v>Control especializado</x:v>
      </x:c>
      <x:c r="E141" s="26" t="str">
        <x:v>La localización H6 funciona sin conexión de red.</x:v>
      </x:c>
      <x:c r="F141" s="26" t="str">
        <x:v>Ejecutar candidata offline en ambos idiomas.</x:v>
      </x:c>
      <x:c r="G141" s="26" t="str">
        <x:v>Cumplimiento verificable sin desviaciones bloqueantes.</x:v>
      </x:c>
      <x:c r="H141" s="26" t="str">
        <x:v>Acta offline.</x:v>
      </x:c>
      <x:c r="I141" s="26" t="str">
        <x:v>22_Localization_Plan.md; 29_Accessibility_and_Inclusive_Design_Plan.md</x:v>
      </x:c>
      <x:c r="J141" s="26" t="str">
        <x:v>Localization Plan v0.3–v0.5; UX/UI v0.3–v0.5</x:v>
      </x:c>
      <x:c r="K141" s="26" t="str">
        <x:v>Sprint 17 / H6</x:v>
      </x:c>
      <x:c r="L141" s="26" t="str">
        <x:v>Yes</x:v>
      </x:c>
      <x:c r="M141" s="26" t="str">
        <x:v>P1</x:v>
      </x:c>
      <x:c r="N141" s="26" t="str">
        <x:v>Localization/UX</x:v>
      </x:c>
      <x:c r="O141" s="26" t="str">
        <x:v>LQA/QA</x:v>
      </x:c>
      <x:c r="P141" s="26" t="str">
        <x:v>NOT RUN</x:v>
      </x:c>
      <x:c r="Q141" s="26"/>
      <x:c r="R141" s="26"/>
      <x:c r="S141" s="26"/>
      <x:c r="T141" s="26"/>
      <x:c r="U141" s="26"/>
      <x:c r="V141" s="26"/>
      <x:c r="W141" s="26" t="n">
        <x:v>1</x:v>
      </x:c>
      <x:c r="X141" s="26" t="n">
        <x:v>0</x:v>
      </x:c>
      <x:c r="Y141" s="26" t="n">
        <x:v>1</x:v>
      </x:c>
      <x:c r="Z141" s="26" t="str">
        <x:v>PENDING</x:v>
      </x:c>
      <x:c r="AA141" s="26" t="str">
        <x:v>CHG-RC1-DOC-31</x:v>
      </x:c>
      <x:c r="AB141" s="26" t="str">
        <x:v>DEFINED / NOT EXECUTED</x:v>
      </x:c>
    </x:row>
    <x:row r="142" ht="30" customHeight="1">
      <x:c r="A142" s="26" t="str">
        <x:v>H6</x:v>
      </x:c>
      <x:c r="B142" s="26" t="str">
        <x:v>H6-LOC-014</x:v>
      </x:c>
      <x:c r="C142" s="26" t="str">
        <x:v>Localización ES/EN</x:v>
      </x:c>
      <x:c r="D142" s="26" t="str">
        <x:v>Control especializado</x:v>
      </x:c>
      <x:c r="E142" s="26" t="str">
        <x:v>Los créditos de traducción y proveedores están preparados sin exponer datos personales no autorizados.</x:v>
      </x:c>
      <x:c r="F142" s="26" t="str">
        <x:v>Revisar Legal Register y credits draft.</x:v>
      </x:c>
      <x:c r="G142" s="26" t="str">
        <x:v>Cumplimiento verificable sin desviaciones bloqueantes.</x:v>
      </x:c>
      <x:c r="H142" s="26" t="str">
        <x:v>Aprobación legal/privacidad.</x:v>
      </x:c>
      <x:c r="I142" s="26" t="str">
        <x:v>22_Localization_Plan.md; 29_Accessibility_and_Inclusive_Design_Plan.md</x:v>
      </x:c>
      <x:c r="J142" s="26" t="str">
        <x:v>Localization Plan v0.3–v0.5; UX/UI v0.3–v0.5</x:v>
      </x:c>
      <x:c r="K142" s="26" t="str">
        <x:v>Sprint 17 / H6</x:v>
      </x:c>
      <x:c r="L142" s="26" t="str">
        <x:v>Yes</x:v>
      </x:c>
      <x:c r="M142" s="26" t="str">
        <x:v>P1</x:v>
      </x:c>
      <x:c r="N142" s="26" t="str">
        <x:v>Localization/UX</x:v>
      </x:c>
      <x:c r="O142" s="26" t="str">
        <x:v>LQA/QA</x:v>
      </x:c>
      <x:c r="P142" s="26" t="str">
        <x:v>NOT RUN</x:v>
      </x:c>
      <x:c r="Q142" s="26"/>
      <x:c r="R142" s="26"/>
      <x:c r="S142" s="26"/>
      <x:c r="T142" s="26"/>
      <x:c r="U142" s="26"/>
      <x:c r="V142" s="26"/>
      <x:c r="W142" s="26" t="n">
        <x:v>1</x:v>
      </x:c>
      <x:c r="X142" s="26" t="n">
        <x:v>0</x:v>
      </x:c>
      <x:c r="Y142" s="26" t="n">
        <x:v>1</x:v>
      </x:c>
      <x:c r="Z142" s="26" t="str">
        <x:v>PENDING</x:v>
      </x:c>
      <x:c r="AA142" s="26" t="str">
        <x:v>CHG-RC1-DOC-31</x:v>
      </x:c>
      <x:c r="AB142" s="26" t="str">
        <x:v>DEFINED / NOT EXECUTED</x:v>
      </x:c>
    </x:row>
    <x:row r="143" ht="30" customHeight="1">
      <x:c r="A143" s="26" t="str">
        <x:v>H6</x:v>
      </x:c>
      <x:c r="B143" s="26" t="str">
        <x:v>H6-ART-001</x:v>
      </x:c>
      <x:c r="C143" s="26" t="str">
        <x:v>Arte y presentación</x:v>
      </x:c>
      <x:c r="D143" s="26" t="str">
        <x:v>Control especializado</x:v>
      </x:c>
      <x:c r="E143" s="26" t="str">
        <x:v>La dirección visual de la candidata coincide con el target aprobado para Tier E/StoreInitial.</x:v>
      </x:c>
      <x:c r="F143" s="26" t="str">
        <x:v>Comparativa lado a lado con referencias aprobadas.</x:v>
      </x:c>
      <x:c r="G143" s="26" t="str">
        <x:v>Cumplimiento verificable sin desviaciones bloqueantes.</x:v>
      </x:c>
      <x:c r="H143" s="26" t="str">
        <x:v>Review board y signoff de arte.</x:v>
      </x:c>
      <x:c r="I143" s="26" t="str">
        <x:v>17_Art_Bible.md; 19_UI_Style_Guide.md; 23_Legal_Credits_and_Licenses_Register.xlsx</x:v>
      </x:c>
      <x:c r="J143" s="26" t="str">
        <x:v>Art Bible v0.3–v0.5; UI Guide v0.3–v0.5; historical asset records</x:v>
      </x:c>
      <x:c r="K143" s="26" t="str">
        <x:v>Sprint 16 / H6</x:v>
      </x:c>
      <x:c r="L143" s="26" t="str">
        <x:v>Yes</x:v>
      </x:c>
      <x:c r="M143" s="26" t="str">
        <x:v>P1</x:v>
      </x:c>
      <x:c r="N143" s="26" t="str">
        <x:v>Art</x:v>
      </x:c>
      <x:c r="O143" s="26" t="str">
        <x:v>Art Direction/Legal/QA</x:v>
      </x:c>
      <x:c r="P143" s="26" t="str">
        <x:v>NOT RUN</x:v>
      </x:c>
      <x:c r="Q143" s="26"/>
      <x:c r="R143" s="26"/>
      <x:c r="S143" s="26"/>
      <x:c r="T143" s="26"/>
      <x:c r="U143" s="26"/>
      <x:c r="V143" s="26"/>
      <x:c r="W143" s="26" t="n">
        <x:v>1</x:v>
      </x:c>
      <x:c r="X143" s="26" t="n">
        <x:v>0</x:v>
      </x:c>
      <x:c r="Y143" s="26" t="n">
        <x:v>1</x:v>
      </x:c>
      <x:c r="Z143" s="26" t="str">
        <x:v>PENDING</x:v>
      </x:c>
      <x:c r="AA143" s="26" t="str">
        <x:v>CHG-RC1-DOC-31</x:v>
      </x:c>
      <x:c r="AB143" s="26" t="str">
        <x:v>DEFINED / NOT EXECUTED</x:v>
      </x:c>
    </x:row>
    <x:row r="144" ht="30" customHeight="1">
      <x:c r="A144" s="26" t="str">
        <x:v>H6</x:v>
      </x:c>
      <x:c r="B144" s="26" t="str">
        <x:v>H6-ART-002</x:v>
      </x:c>
      <x:c r="C144" s="26" t="str">
        <x:v>Arte y presentación</x:v>
      </x:c>
      <x:c r="D144" s="26" t="str">
        <x:v>Control especializado</x:v>
      </x:c>
      <x:c r="E144" s="26" t="str">
        <x:v>Los assets incluidos tienen escala, pivote, orientación, naming y prefab correctos.</x:v>
      </x:c>
      <x:c r="F144" s="26" t="str">
        <x:v>Auditoría de importación y prueba funcional.</x:v>
      </x:c>
      <x:c r="G144" s="26" t="str">
        <x:v>Cumplimiento verificable sin desviaciones bloqueantes.</x:v>
      </x:c>
      <x:c r="H144" s="26" t="str">
        <x:v>Asset validation report.</x:v>
      </x:c>
      <x:c r="I144" s="26" t="str">
        <x:v>17_Art_Bible.md; 19_UI_Style_Guide.md; 23_Legal_Credits_and_Licenses_Register.xlsx</x:v>
      </x:c>
      <x:c r="J144" s="26" t="str">
        <x:v>Art Bible v0.3–v0.5; UI Guide v0.3–v0.5; historical asset records</x:v>
      </x:c>
      <x:c r="K144" s="26" t="str">
        <x:v>Sprint 16 / H6</x:v>
      </x:c>
      <x:c r="L144" s="26" t="str">
        <x:v>Yes</x:v>
      </x:c>
      <x:c r="M144" s="26" t="str">
        <x:v>P1</x:v>
      </x:c>
      <x:c r="N144" s="26" t="str">
        <x:v>Art</x:v>
      </x:c>
      <x:c r="O144" s="26" t="str">
        <x:v>Art Direction/Legal/QA</x:v>
      </x:c>
      <x:c r="P144" s="26" t="str">
        <x:v>NOT RUN</x:v>
      </x:c>
      <x:c r="Q144" s="26"/>
      <x:c r="R144" s="26"/>
      <x:c r="S144" s="26"/>
      <x:c r="T144" s="26"/>
      <x:c r="U144" s="26"/>
      <x:c r="V144" s="26"/>
      <x:c r="W144" s="26" t="n">
        <x:v>1</x:v>
      </x:c>
      <x:c r="X144" s="26" t="n">
        <x:v>0</x:v>
      </x:c>
      <x:c r="Y144" s="26" t="n">
        <x:v>1</x:v>
      </x:c>
      <x:c r="Z144" s="26" t="str">
        <x:v>PENDING</x:v>
      </x:c>
      <x:c r="AA144" s="26" t="str">
        <x:v>CHG-RC1-DOC-31</x:v>
      </x:c>
      <x:c r="AB144" s="26" t="str">
        <x:v>DEFINED / NOT EXECUTED</x:v>
      </x:c>
    </x:row>
    <x:row r="145" ht="30" customHeight="1">
      <x:c r="A145" s="26" t="str">
        <x:v>H6</x:v>
      </x:c>
      <x:c r="B145" s="26" t="str">
        <x:v>H6-ART-003</x:v>
      </x:c>
      <x:c r="C145" s="26" t="str">
        <x:v>Arte y presentación</x:v>
      </x:c>
      <x:c r="D145" s="26" t="str">
        <x:v>Control especializado</x:v>
      </x:c>
      <x:c r="E145" s="26" t="str">
        <x:v>No existen materiales rosas, texturas ausentes, UV rotas o normals invertidas visibles.</x:v>
      </x:c>
      <x:c r="F145" s="26" t="str">
        <x:v>Recorrido visual y revisión de logs de importación.</x:v>
      </x:c>
      <x:c r="G145" s="26" t="str">
        <x:v>Cumplimiento verificable sin desviaciones bloqueantes.</x:v>
      </x:c>
      <x:c r="H145" s="26" t="str">
        <x:v>Capturas y lista de incidencias.</x:v>
      </x:c>
      <x:c r="I145" s="26" t="str">
        <x:v>17_Art_Bible.md; 19_UI_Style_Guide.md; 23_Legal_Credits_and_Licenses_Register.xlsx</x:v>
      </x:c>
      <x:c r="J145" s="26" t="str">
        <x:v>Art Bible v0.3–v0.5; UI Guide v0.3–v0.5; historical asset records</x:v>
      </x:c>
      <x:c r="K145" s="26" t="str">
        <x:v>Sprint 16 / H6</x:v>
      </x:c>
      <x:c r="L145" s="26" t="str">
        <x:v>Yes</x:v>
      </x:c>
      <x:c r="M145" s="26" t="str">
        <x:v>P1</x:v>
      </x:c>
      <x:c r="N145" s="26" t="str">
        <x:v>Art</x:v>
      </x:c>
      <x:c r="O145" s="26" t="str">
        <x:v>Art Direction/Legal/QA</x:v>
      </x:c>
      <x:c r="P145" s="26" t="str">
        <x:v>NOT RUN</x:v>
      </x:c>
      <x:c r="Q145" s="26"/>
      <x:c r="R145" s="26"/>
      <x:c r="S145" s="26"/>
      <x:c r="T145" s="26"/>
      <x:c r="U145" s="26"/>
      <x:c r="V145" s="26"/>
      <x:c r="W145" s="26" t="n">
        <x:v>1</x:v>
      </x:c>
      <x:c r="X145" s="26" t="n">
        <x:v>0</x:v>
      </x:c>
      <x:c r="Y145" s="26" t="n">
        <x:v>1</x:v>
      </x:c>
      <x:c r="Z145" s="26" t="str">
        <x:v>PENDING</x:v>
      </x:c>
      <x:c r="AA145" s="26" t="str">
        <x:v>CHG-RC1-DOC-31</x:v>
      </x:c>
      <x:c r="AB145" s="26" t="str">
        <x:v>DEFINED / NOT EXECUTED</x:v>
      </x:c>
    </x:row>
    <x:row r="146" ht="30" customHeight="1">
      <x:c r="A146" s="26" t="str">
        <x:v>H6</x:v>
      </x:c>
      <x:c r="B146" s="26" t="str">
        <x:v>H6-ART-004</x:v>
      </x:c>
      <x:c r="C146" s="26" t="str">
        <x:v>Arte y presentación</x:v>
      </x:c>
      <x:c r="D146" s="26" t="str">
        <x:v>Control especializado</x:v>
      </x:c>
      <x:c r="E146" s="26" t="str">
        <x:v>Las texturas y materiales respetan presupuestos y no introducen degradación severa.</x:v>
      </x:c>
      <x:c r="F146" s="26" t="str">
        <x:v>Auditar import settings y profiling de memoria/GPU.</x:v>
      </x:c>
      <x:c r="G146" s="26" t="str">
        <x:v>Cumplimiento verificable sin desviaciones bloqueantes.</x:v>
      </x:c>
      <x:c r="H146" s="26" t="str">
        <x:v>Informe de assets y profiler.</x:v>
      </x:c>
      <x:c r="I146" s="26" t="str">
        <x:v>17_Art_Bible.md; 19_UI_Style_Guide.md; 23_Legal_Credits_and_Licenses_Register.xlsx</x:v>
      </x:c>
      <x:c r="J146" s="26" t="str">
        <x:v>Art Bible v0.3–v0.5; UI Guide v0.3–v0.5; historical asset records</x:v>
      </x:c>
      <x:c r="K146" s="26" t="str">
        <x:v>Sprint 16 / H6</x:v>
      </x:c>
      <x:c r="L146" s="26" t="str">
        <x:v>Yes</x:v>
      </x:c>
      <x:c r="M146" s="26" t="str">
        <x:v>P1</x:v>
      </x:c>
      <x:c r="N146" s="26" t="str">
        <x:v>Art</x:v>
      </x:c>
      <x:c r="O146" s="26" t="str">
        <x:v>Art Direction/Legal/QA</x:v>
      </x:c>
      <x:c r="P146" s="26" t="str">
        <x:v>NOT RUN</x:v>
      </x:c>
      <x:c r="Q146" s="26"/>
      <x:c r="R146" s="26"/>
      <x:c r="S146" s="26"/>
      <x:c r="T146" s="26"/>
      <x:c r="U146" s="26"/>
      <x:c r="V146" s="26"/>
      <x:c r="W146" s="26" t="n">
        <x:v>1</x:v>
      </x:c>
      <x:c r="X146" s="26" t="n">
        <x:v>0</x:v>
      </x:c>
      <x:c r="Y146" s="26" t="n">
        <x:v>1</x:v>
      </x:c>
      <x:c r="Z146" s="26" t="str">
        <x:v>PENDING</x:v>
      </x:c>
      <x:c r="AA146" s="26" t="str">
        <x:v>CHG-RC1-DOC-31</x:v>
      </x:c>
      <x:c r="AB146" s="26" t="str">
        <x:v>DEFINED / NOT EXECUTED</x:v>
      </x:c>
    </x:row>
    <x:row r="147" ht="30" customHeight="1">
      <x:c r="A147" s="26" t="str">
        <x:v>H6</x:v>
      </x:c>
      <x:c r="B147" s="26" t="str">
        <x:v>H6-ART-005</x:v>
      </x:c>
      <x:c r="C147" s="26" t="str">
        <x:v>Arte y presentación</x:v>
      </x:c>
      <x:c r="D147" s="26" t="str">
        <x:v>Control especializado</x:v>
      </x:c>
      <x:c r="E147" s="26" t="str">
        <x:v>Los LOD/culling aprobados no producen popping que impida leer productos o clientes.</x:v>
      </x:c>
      <x:c r="F147" s="26" t="str">
        <x:v>Recorrido de cámara a distancias extremas.</x:v>
      </x:c>
      <x:c r="G147" s="26" t="str">
        <x:v>Cumplimiento verificable sin desviaciones bloqueantes.</x:v>
      </x:c>
      <x:c r="H147" s="26" t="str">
        <x:v>Vídeo y capturas.</x:v>
      </x:c>
      <x:c r="I147" s="26" t="str">
        <x:v>17_Art_Bible.md; 19_UI_Style_Guide.md; 23_Legal_Credits_and_Licenses_Register.xlsx</x:v>
      </x:c>
      <x:c r="J147" s="26" t="str">
        <x:v>Art Bible v0.3–v0.5; UI Guide v0.3–v0.5; historical asset records</x:v>
      </x:c>
      <x:c r="K147" s="26" t="str">
        <x:v>Sprint 16 / H6</x:v>
      </x:c>
      <x:c r="L147" s="26" t="str">
        <x:v>Yes</x:v>
      </x:c>
      <x:c r="M147" s="26" t="str">
        <x:v>P1</x:v>
      </x:c>
      <x:c r="N147" s="26" t="str">
        <x:v>Art</x:v>
      </x:c>
      <x:c r="O147" s="26" t="str">
        <x:v>Art Direction/Legal/QA</x:v>
      </x:c>
      <x:c r="P147" s="26" t="str">
        <x:v>NOT RUN</x:v>
      </x:c>
      <x:c r="Q147" s="26"/>
      <x:c r="R147" s="26"/>
      <x:c r="S147" s="26"/>
      <x:c r="T147" s="26"/>
      <x:c r="U147" s="26"/>
      <x:c r="V147" s="26"/>
      <x:c r="W147" s="26" t="n">
        <x:v>1</x:v>
      </x:c>
      <x:c r="X147" s="26" t="n">
        <x:v>0</x:v>
      </x:c>
      <x:c r="Y147" s="26" t="n">
        <x:v>1</x:v>
      </x:c>
      <x:c r="Z147" s="26" t="str">
        <x:v>PENDING</x:v>
      </x:c>
      <x:c r="AA147" s="26" t="str">
        <x:v>CHG-RC1-DOC-31</x:v>
      </x:c>
      <x:c r="AB147" s="26" t="str">
        <x:v>DEFINED / NOT EXECUTED</x:v>
      </x:c>
    </x:row>
    <x:row r="148" ht="30" customHeight="1">
      <x:c r="A148" s="26" t="str">
        <x:v>H6</x:v>
      </x:c>
      <x:c r="B148" s="26" t="str">
        <x:v>H6-ART-006</x:v>
      </x:c>
      <x:c r="C148" s="26" t="str">
        <x:v>Arte y presentación</x:v>
      </x:c>
      <x:c r="D148" s="26" t="str">
        <x:v>Control especializado</x:v>
      </x:c>
      <x:c r="E148" s="26" t="str">
        <x:v>VFX y partículas no generan flashes, obstrucción o movimiento incompatible con preferencias.</x:v>
      </x:c>
      <x:c r="F148" s="26" t="str">
        <x:v>Prueba normal y reduce motion.</x:v>
      </x:c>
      <x:c r="G148" s="26" t="str">
        <x:v>Cumplimiento verificable sin desviaciones bloqueantes.</x:v>
      </x:c>
      <x:c r="H148" s="26" t="str">
        <x:v>Checklist VFX/accessibility.</x:v>
      </x:c>
      <x:c r="I148" s="26" t="str">
        <x:v>17_Art_Bible.md; 19_UI_Style_Guide.md; 23_Legal_Credits_and_Licenses_Register.xlsx</x:v>
      </x:c>
      <x:c r="J148" s="26" t="str">
        <x:v>Art Bible v0.3–v0.5; UI Guide v0.3–v0.5; historical asset records</x:v>
      </x:c>
      <x:c r="K148" s="26" t="str">
        <x:v>Sprint 16 / H6</x:v>
      </x:c>
      <x:c r="L148" s="26" t="str">
        <x:v>Yes</x:v>
      </x:c>
      <x:c r="M148" s="26" t="str">
        <x:v>P1</x:v>
      </x:c>
      <x:c r="N148" s="26" t="str">
        <x:v>Art</x:v>
      </x:c>
      <x:c r="O148" s="26" t="str">
        <x:v>Art Direction/Legal/QA</x:v>
      </x:c>
      <x:c r="P148" s="26" t="str">
        <x:v>NOT RUN</x:v>
      </x:c>
      <x:c r="Q148" s="26"/>
      <x:c r="R148" s="26"/>
      <x:c r="S148" s="26"/>
      <x:c r="T148" s="26"/>
      <x:c r="U148" s="26"/>
      <x:c r="V148" s="26"/>
      <x:c r="W148" s="26" t="n">
        <x:v>1</x:v>
      </x:c>
      <x:c r="X148" s="26" t="n">
        <x:v>0</x:v>
      </x:c>
      <x:c r="Y148" s="26" t="n">
        <x:v>1</x:v>
      </x:c>
      <x:c r="Z148" s="26" t="str">
        <x:v>PENDING</x:v>
      </x:c>
      <x:c r="AA148" s="26" t="str">
        <x:v>CHG-RC1-DOC-31</x:v>
      </x:c>
      <x:c r="AB148" s="26" t="str">
        <x:v>DEFINED / NOT EXECUTED</x:v>
      </x:c>
    </x:row>
    <x:row r="149" ht="30" customHeight="1">
      <x:c r="A149" s="26" t="str">
        <x:v>H6</x:v>
      </x:c>
      <x:c r="B149" s="26" t="str">
        <x:v>H6-ART-007</x:v>
      </x:c>
      <x:c r="C149" s="26" t="str">
        <x:v>Arte y presentación</x:v>
      </x:c>
      <x:c r="D149" s="26" t="str">
        <x:v>Control especializado</x:v>
      </x:c>
      <x:c r="E149" s="26" t="str">
        <x:v>La UI utiliza sprites, iconos y estados coherentes con la guía visual.</x:v>
      </x:c>
      <x:c r="F149" s="26" t="str">
        <x:v>Auditoría de pantallas y componentes.</x:v>
      </x:c>
      <x:c r="G149" s="26" t="str">
        <x:v>Cumplimiento verificable sin desviaciones bloqueantes.</x:v>
      </x:c>
      <x:c r="H149" s="26" t="str">
        <x:v>UI visual audit.</x:v>
      </x:c>
      <x:c r="I149" s="26" t="str">
        <x:v>17_Art_Bible.md; 19_UI_Style_Guide.md; 23_Legal_Credits_and_Licenses_Register.xlsx</x:v>
      </x:c>
      <x:c r="J149" s="26" t="str">
        <x:v>Art Bible v0.3–v0.5; UI Guide v0.3–v0.5; historical asset records</x:v>
      </x:c>
      <x:c r="K149" s="26" t="str">
        <x:v>Sprint 16 / H6</x:v>
      </x:c>
      <x:c r="L149" s="26" t="str">
        <x:v>Yes</x:v>
      </x:c>
      <x:c r="M149" s="26" t="str">
        <x:v>P1</x:v>
      </x:c>
      <x:c r="N149" s="26" t="str">
        <x:v>Art</x:v>
      </x:c>
      <x:c r="O149" s="26" t="str">
        <x:v>Art Direction/Legal/QA</x:v>
      </x:c>
      <x:c r="P149" s="26" t="str">
        <x:v>NOT RUN</x:v>
      </x:c>
      <x:c r="Q149" s="26"/>
      <x:c r="R149" s="26"/>
      <x:c r="S149" s="26"/>
      <x:c r="T149" s="26"/>
      <x:c r="U149" s="26"/>
      <x:c r="V149" s="26"/>
      <x:c r="W149" s="26" t="n">
        <x:v>1</x:v>
      </x:c>
      <x:c r="X149" s="26" t="n">
        <x:v>0</x:v>
      </x:c>
      <x:c r="Y149" s="26" t="n">
        <x:v>1</x:v>
      </x:c>
      <x:c r="Z149" s="26" t="str">
        <x:v>PENDING</x:v>
      </x:c>
      <x:c r="AA149" s="26" t="str">
        <x:v>CHG-RC1-DOC-31</x:v>
      </x:c>
      <x:c r="AB149" s="26" t="str">
        <x:v>DEFINED / NOT EXECUTED</x:v>
      </x:c>
    </x:row>
    <x:row r="150" ht="30" customHeight="1">
      <x:c r="A150" s="26" t="str">
        <x:v>H6</x:v>
      </x:c>
      <x:c r="B150" s="26" t="str">
        <x:v>H6-ART-008</x:v>
      </x:c>
      <x:c r="C150" s="26" t="str">
        <x:v>Arte y presentación</x:v>
      </x:c>
      <x:c r="D150" s="26" t="str">
        <x:v>Control especializado</x:v>
      </x:c>
      <x:c r="E150" s="26" t="str">
        <x:v>Las capturas de evidencia se obtienen de la build candidata sin overlays de debug.</x:v>
      </x:c>
      <x:c r="F150" s="26" t="str">
        <x:v>Comparar build ID y capturas.</x:v>
      </x:c>
      <x:c r="G150" s="26" t="str">
        <x:v>Cumplimiento verificable sin desviaciones bloqueantes.</x:v>
      </x:c>
      <x:c r="H150" s="26" t="str">
        <x:v>Set de capturas con metadata.</x:v>
      </x:c>
      <x:c r="I150" s="26" t="str">
        <x:v>17_Art_Bible.md; 19_UI_Style_Guide.md; 23_Legal_Credits_and_Licenses_Register.xlsx</x:v>
      </x:c>
      <x:c r="J150" s="26" t="str">
        <x:v>Art Bible v0.3–v0.5; UI Guide v0.3–v0.5; historical asset records</x:v>
      </x:c>
      <x:c r="K150" s="26" t="str">
        <x:v>Sprint 16 / H6</x:v>
      </x:c>
      <x:c r="L150" s="26" t="str">
        <x:v>Yes</x:v>
      </x:c>
      <x:c r="M150" s="26" t="str">
        <x:v>P1</x:v>
      </x:c>
      <x:c r="N150" s="26" t="str">
        <x:v>Art</x:v>
      </x:c>
      <x:c r="O150" s="26" t="str">
        <x:v>Art Direction/Legal/QA</x:v>
      </x:c>
      <x:c r="P150" s="26" t="str">
        <x:v>NOT RUN</x:v>
      </x:c>
      <x:c r="Q150" s="26"/>
      <x:c r="R150" s="26"/>
      <x:c r="S150" s="26"/>
      <x:c r="T150" s="26"/>
      <x:c r="U150" s="26"/>
      <x:c r="V150" s="26"/>
      <x:c r="W150" s="26" t="n">
        <x:v>1</x:v>
      </x:c>
      <x:c r="X150" s="26" t="n">
        <x:v>0</x:v>
      </x:c>
      <x:c r="Y150" s="26" t="n">
        <x:v>1</x:v>
      </x:c>
      <x:c r="Z150" s="26" t="str">
        <x:v>PENDING</x:v>
      </x:c>
      <x:c r="AA150" s="26" t="str">
        <x:v>CHG-RC1-DOC-31</x:v>
      </x:c>
      <x:c r="AB150" s="26" t="str">
        <x:v>DEFINED / NOT EXECUTED</x:v>
      </x:c>
    </x:row>
    <x:row r="151" ht="30" customHeight="1">
      <x:c r="A151" s="26" t="str">
        <x:v>H6</x:v>
      </x:c>
      <x:c r="B151" s="26" t="str">
        <x:v>H6-ART-009</x:v>
      </x:c>
      <x:c r="C151" s="26" t="str">
        <x:v>Arte y presentación</x:v>
      </x:c>
      <x:c r="D151" s="26" t="str">
        <x:v>Control especializado</x:v>
      </x:c>
      <x:c r="E151" s="26" t="str">
        <x:v>Los personajes/clientes/proveedores mantienen diversidad y claridad sin estereotipos dañinos.</x:v>
      </x:c>
      <x:c r="F151" s="26" t="str">
        <x:v>Revisión inclusiva de modelos, ropa y nomenclatura.</x:v>
      </x:c>
      <x:c r="G151" s="26" t="str">
        <x:v>Cumplimiento verificable sin desviaciones bloqueantes.</x:v>
      </x:c>
      <x:c r="H151" s="26" t="str">
        <x:v>Acta de revisión inclusiva.</x:v>
      </x:c>
      <x:c r="I151" s="26" t="str">
        <x:v>17_Art_Bible.md; 19_UI_Style_Guide.md; 23_Legal_Credits_and_Licenses_Register.xlsx</x:v>
      </x:c>
      <x:c r="J151" s="26" t="str">
        <x:v>Art Bible v0.3–v0.5; UI Guide v0.3–v0.5; historical asset records</x:v>
      </x:c>
      <x:c r="K151" s="26" t="str">
        <x:v>Sprint 16 / H6</x:v>
      </x:c>
      <x:c r="L151" s="26" t="str">
        <x:v>Yes</x:v>
      </x:c>
      <x:c r="M151" s="26" t="str">
        <x:v>P1</x:v>
      </x:c>
      <x:c r="N151" s="26" t="str">
        <x:v>Art</x:v>
      </x:c>
      <x:c r="O151" s="26" t="str">
        <x:v>Art Direction/Legal/QA</x:v>
      </x:c>
      <x:c r="P151" s="26" t="str">
        <x:v>NOT RUN</x:v>
      </x:c>
      <x:c r="Q151" s="26"/>
      <x:c r="R151" s="26"/>
      <x:c r="S151" s="26"/>
      <x:c r="T151" s="26"/>
      <x:c r="U151" s="26"/>
      <x:c r="V151" s="26"/>
      <x:c r="W151" s="26" t="n">
        <x:v>1</x:v>
      </x:c>
      <x:c r="X151" s="26" t="n">
        <x:v>0</x:v>
      </x:c>
      <x:c r="Y151" s="26" t="n">
        <x:v>1</x:v>
      </x:c>
      <x:c r="Z151" s="26" t="str">
        <x:v>PENDING</x:v>
      </x:c>
      <x:c r="AA151" s="26" t="str">
        <x:v>CHG-RC1-DOC-31</x:v>
      </x:c>
      <x:c r="AB151" s="26" t="str">
        <x:v>DEFINED / NOT EXECUTED</x:v>
      </x:c>
    </x:row>
    <x:row r="152" ht="30" customHeight="1">
      <x:c r="A152" s="26" t="str">
        <x:v>H6</x:v>
      </x:c>
      <x:c r="B152" s="26" t="str">
        <x:v>H6-ART-010</x:v>
      </x:c>
      <x:c r="C152" s="26" t="str">
        <x:v>Arte y presentación</x:v>
      </x:c>
      <x:c r="D152" s="26" t="str">
        <x:v>Control especializado</x:v>
      </x:c>
      <x:c r="E152" s="26" t="str">
        <x:v>La densidad visual no oculta feedback crítico ni puntos de interacción.</x:v>
      </x:c>
      <x:c r="F152" s="26" t="str">
        <x:v>Pruebas en configuración de tienda cargada.</x:v>
      </x:c>
      <x:c r="G152" s="26" t="str">
        <x:v>Cumplimiento verificable sin desviaciones bloqueantes.</x:v>
      </x:c>
      <x:c r="H152" s="26" t="str">
        <x:v>Capturas y observaciones UX.</x:v>
      </x:c>
      <x:c r="I152" s="26" t="str">
        <x:v>17_Art_Bible.md; 19_UI_Style_Guide.md; 23_Legal_Credits_and_Licenses_Register.xlsx</x:v>
      </x:c>
      <x:c r="J152" s="26" t="str">
        <x:v>Art Bible v0.3–v0.5; UI Guide v0.3–v0.5; historical asset records</x:v>
      </x:c>
      <x:c r="K152" s="26" t="str">
        <x:v>Sprint 16 / H6</x:v>
      </x:c>
      <x:c r="L152" s="26" t="str">
        <x:v>Yes</x:v>
      </x:c>
      <x:c r="M152" s="26" t="str">
        <x:v>P1</x:v>
      </x:c>
      <x:c r="N152" s="26" t="str">
        <x:v>Art</x:v>
      </x:c>
      <x:c r="O152" s="26" t="str">
        <x:v>Art Direction/Legal/QA</x:v>
      </x:c>
      <x:c r="P152" s="26" t="str">
        <x:v>NOT RUN</x:v>
      </x:c>
      <x:c r="Q152" s="26"/>
      <x:c r="R152" s="26"/>
      <x:c r="S152" s="26"/>
      <x:c r="T152" s="26"/>
      <x:c r="U152" s="26"/>
      <x:c r="V152" s="26"/>
      <x:c r="W152" s="26" t="n">
        <x:v>1</x:v>
      </x:c>
      <x:c r="X152" s="26" t="n">
        <x:v>0</x:v>
      </x:c>
      <x:c r="Y152" s="26" t="n">
        <x:v>1</x:v>
      </x:c>
      <x:c r="Z152" s="26" t="str">
        <x:v>PENDING</x:v>
      </x:c>
      <x:c r="AA152" s="26" t="str">
        <x:v>CHG-RC1-DOC-31</x:v>
      </x:c>
      <x:c r="AB152" s="26" t="str">
        <x:v>DEFINED / NOT EXECUTED</x:v>
      </x:c>
    </x:row>
    <x:row r="153" ht="30" customHeight="1">
      <x:c r="A153" s="26" t="str">
        <x:v>H6</x:v>
      </x:c>
      <x:c r="B153" s="26" t="str">
        <x:v>H6-ART-011</x:v>
      </x:c>
      <x:c r="C153" s="26" t="str">
        <x:v>Arte y presentación</x:v>
      </x:c>
      <x:c r="D153" s="26" t="str">
        <x:v>Control especializado</x:v>
      </x:c>
      <x:c r="E153" s="26" t="str">
        <x:v>Los assets de terceros usados en H6 están vinculados a una licencia/procedencia registrada.</x:v>
      </x:c>
      <x:c r="F153" s="26" t="str">
        <x:v>Cruzar Asset GUID/path con 23.</x:v>
      </x:c>
      <x:c r="G153" s="26" t="str">
        <x:v>Cumplimiento verificable sin desviaciones bloqueantes.</x:v>
      </x:c>
      <x:c r="H153" s="26" t="str">
        <x:v>Reporte de cobertura legal.</x:v>
      </x:c>
      <x:c r="I153" s="26" t="str">
        <x:v>17_Art_Bible.md; 19_UI_Style_Guide.md; 23_Legal_Credits_and_Licenses_Register.xlsx</x:v>
      </x:c>
      <x:c r="J153" s="26" t="str">
        <x:v>Art Bible v0.3–v0.5; UI Guide v0.3–v0.5; historical asset records</x:v>
      </x:c>
      <x:c r="K153" s="26" t="str">
        <x:v>Sprint 16 / H6</x:v>
      </x:c>
      <x:c r="L153" s="26" t="str">
        <x:v>Yes</x:v>
      </x:c>
      <x:c r="M153" s="26" t="str">
        <x:v>P1</x:v>
      </x:c>
      <x:c r="N153" s="26" t="str">
        <x:v>Art</x:v>
      </x:c>
      <x:c r="O153" s="26" t="str">
        <x:v>Art Direction/Legal/QA</x:v>
      </x:c>
      <x:c r="P153" s="26" t="str">
        <x:v>NOT RUN</x:v>
      </x:c>
      <x:c r="Q153" s="26"/>
      <x:c r="R153" s="26"/>
      <x:c r="S153" s="26"/>
      <x:c r="T153" s="26"/>
      <x:c r="U153" s="26"/>
      <x:c r="V153" s="26"/>
      <x:c r="W153" s="26" t="n">
        <x:v>1</x:v>
      </x:c>
      <x:c r="X153" s="26" t="n">
        <x:v>0</x:v>
      </x:c>
      <x:c r="Y153" s="26" t="n">
        <x:v>1</x:v>
      </x:c>
      <x:c r="Z153" s="26" t="str">
        <x:v>PENDING</x:v>
      </x:c>
      <x:c r="AA153" s="26" t="str">
        <x:v>CHG-RC1-DOC-31</x:v>
      </x:c>
      <x:c r="AB153" s="26" t="str">
        <x:v>DEFINED / NOT EXECUTED</x:v>
      </x:c>
    </x:row>
    <x:row r="154" ht="30" customHeight="1">
      <x:c r="A154" s="26" t="str">
        <x:v>H6</x:v>
      </x:c>
      <x:c r="B154" s="26" t="str">
        <x:v>H6-ART-012</x:v>
      </x:c>
      <x:c r="C154" s="26" t="str">
        <x:v>Arte y presentación</x:v>
      </x:c>
      <x:c r="D154" s="26" t="str">
        <x:v>Control especializado</x:v>
      </x:c>
      <x:c r="E154" s="26" t="str">
        <x:v>No se reutilizan marcas reales, logos o trade dress no autorizados.</x:v>
      </x:c>
      <x:c r="F154" s="26" t="str">
        <x:v>Revisión visual/legal de todos los assets visibles.</x:v>
      </x:c>
      <x:c r="G154" s="26" t="str">
        <x:v>Cumplimiento verificable sin desviaciones bloqueantes.</x:v>
      </x:c>
      <x:c r="H154" s="26" t="str">
        <x:v>Legal art clearance.</x:v>
      </x:c>
      <x:c r="I154" s="26" t="str">
        <x:v>17_Art_Bible.md; 19_UI_Style_Guide.md; 23_Legal_Credits_and_Licenses_Register.xlsx</x:v>
      </x:c>
      <x:c r="J154" s="26" t="str">
        <x:v>Art Bible v0.3–v0.5; UI Guide v0.3–v0.5; historical asset records</x:v>
      </x:c>
      <x:c r="K154" s="26" t="str">
        <x:v>Sprint 16 / H6</x:v>
      </x:c>
      <x:c r="L154" s="26" t="str">
        <x:v>Yes</x:v>
      </x:c>
      <x:c r="M154" s="26" t="str">
        <x:v>P1</x:v>
      </x:c>
      <x:c r="N154" s="26" t="str">
        <x:v>Art</x:v>
      </x:c>
      <x:c r="O154" s="26" t="str">
        <x:v>Art Direction/Legal/QA</x:v>
      </x:c>
      <x:c r="P154" s="26" t="str">
        <x:v>NOT RUN</x:v>
      </x:c>
      <x:c r="Q154" s="26"/>
      <x:c r="R154" s="26"/>
      <x:c r="S154" s="26"/>
      <x:c r="T154" s="26"/>
      <x:c r="U154" s="26"/>
      <x:c r="V154" s="26"/>
      <x:c r="W154" s="26" t="n">
        <x:v>1</x:v>
      </x:c>
      <x:c r="X154" s="26" t="n">
        <x:v>0</x:v>
      </x:c>
      <x:c r="Y154" s="26" t="n">
        <x:v>1</x:v>
      </x:c>
      <x:c r="Z154" s="26" t="str">
        <x:v>PENDING</x:v>
      </x:c>
      <x:c r="AA154" s="26" t="str">
        <x:v>CHG-RC1-DOC-31</x:v>
      </x:c>
      <x:c r="AB154" s="26" t="str">
        <x:v>DEFINED / NOT EXECUTED</x:v>
      </x:c>
    </x:row>
    <x:row r="155" ht="30" customHeight="1">
      <x:c r="A155" s="26" t="str">
        <x:v>H6</x:v>
      </x:c>
      <x:c r="B155" s="26" t="str">
        <x:v>H6-AUD-001</x:v>
      </x:c>
      <x:c r="C155" s="26" t="str">
        <x:v>Audio</x:v>
      </x:c>
      <x:c r="D155" s="26" t="str">
        <x:v>Control especializado</x:v>
      </x:c>
      <x:c r="E155" s="26" t="str">
        <x:v>Las acciones críticas incluidas tienen feedback sonoro o alternativa visual aprobada.</x:v>
      </x:c>
      <x:c r="F155" s="26" t="str">
        <x:v>Recorrer Golden Path con audio y con audio silenciado.</x:v>
      </x:c>
      <x:c r="G155" s="26" t="str">
        <x:v>Cumplimiento verificable sin desviaciones bloqueantes.</x:v>
      </x:c>
      <x:c r="H155" s="26" t="str">
        <x:v>Audio cue checklist.</x:v>
      </x:c>
      <x:c r="I155" s="26" t="str">
        <x:v>18_Audio_Bible.md; 23_Legal_Credits_and_Licenses_Register.xlsx; 29_Accessibility_and_Inclusive_Design_Plan.md</x:v>
      </x:c>
      <x:c r="J155" s="26" t="str">
        <x:v>Audio Bible v0.3–v0.5; Legal Register v0.3–v0.5</x:v>
      </x:c>
      <x:c r="K155" s="26" t="str">
        <x:v>H6</x:v>
      </x:c>
      <x:c r="L155" s="26" t="str">
        <x:v>Yes</x:v>
      </x:c>
      <x:c r="M155" s="26" t="str">
        <x:v>P1</x:v>
      </x:c>
      <x:c r="N155" s="26" t="str">
        <x:v>Audio</x:v>
      </x:c>
      <x:c r="O155" s="26" t="str">
        <x:v>QA/Legal</x:v>
      </x:c>
      <x:c r="P155" s="26" t="str">
        <x:v>NOT RUN</x:v>
      </x:c>
      <x:c r="Q155" s="26"/>
      <x:c r="R155" s="26"/>
      <x:c r="S155" s="26"/>
      <x:c r="T155" s="26"/>
      <x:c r="U155" s="26"/>
      <x:c r="V155" s="26"/>
      <x:c r="W155" s="26" t="n">
        <x:v>1</x:v>
      </x:c>
      <x:c r="X155" s="26" t="n">
        <x:v>0</x:v>
      </x:c>
      <x:c r="Y155" s="26" t="n">
        <x:v>1</x:v>
      </x:c>
      <x:c r="Z155" s="26" t="str">
        <x:v>PENDING</x:v>
      </x:c>
      <x:c r="AA155" s="26" t="str">
        <x:v>CHG-RC1-DOC-31</x:v>
      </x:c>
      <x:c r="AB155" s="26" t="str">
        <x:v>DEFINED / NOT EXECUTED</x:v>
      </x:c>
    </x:row>
    <x:row r="156" ht="30" customHeight="1">
      <x:c r="A156" s="26" t="str">
        <x:v>H6</x:v>
      </x:c>
      <x:c r="B156" s="26" t="str">
        <x:v>H6-AUD-002</x:v>
      </x:c>
      <x:c r="C156" s="26" t="str">
        <x:v>Audio</x:v>
      </x:c>
      <x:c r="D156" s="26" t="str">
        <x:v>Control especializado</x:v>
      </x:c>
      <x:c r="E156" s="26" t="str">
        <x:v>Los buses/canales de volumen funcionan y persisten.</x:v>
      </x:c>
      <x:c r="F156" s="26" t="str">
        <x:v>Probar master, música, SFX y otros canales definidos.</x:v>
      </x:c>
      <x:c r="G156" s="26" t="str">
        <x:v>Cumplimiento verificable sin desviaciones bloqueantes.</x:v>
      </x:c>
      <x:c r="H156" s="26" t="str">
        <x:v>Matriz de audio settings.</x:v>
      </x:c>
      <x:c r="I156" s="26" t="str">
        <x:v>18_Audio_Bible.md; 23_Legal_Credits_and_Licenses_Register.xlsx; 29_Accessibility_and_Inclusive_Design_Plan.md</x:v>
      </x:c>
      <x:c r="J156" s="26" t="str">
        <x:v>Audio Bible v0.3–v0.5; Legal Register v0.3–v0.5</x:v>
      </x:c>
      <x:c r="K156" s="26" t="str">
        <x:v>H6</x:v>
      </x:c>
      <x:c r="L156" s="26" t="str">
        <x:v>Yes</x:v>
      </x:c>
      <x:c r="M156" s="26" t="str">
        <x:v>P1</x:v>
      </x:c>
      <x:c r="N156" s="26" t="str">
        <x:v>Audio</x:v>
      </x:c>
      <x:c r="O156" s="26" t="str">
        <x:v>QA/Legal</x:v>
      </x:c>
      <x:c r="P156" s="26" t="str">
        <x:v>NOT RUN</x:v>
      </x:c>
      <x:c r="Q156" s="26"/>
      <x:c r="R156" s="26"/>
      <x:c r="S156" s="26"/>
      <x:c r="T156" s="26"/>
      <x:c r="U156" s="26"/>
      <x:c r="V156" s="26"/>
      <x:c r="W156" s="26" t="n">
        <x:v>1</x:v>
      </x:c>
      <x:c r="X156" s="26" t="n">
        <x:v>0</x:v>
      </x:c>
      <x:c r="Y156" s="26" t="n">
        <x:v>1</x:v>
      </x:c>
      <x:c r="Z156" s="26" t="str">
        <x:v>PENDING</x:v>
      </x:c>
      <x:c r="AA156" s="26" t="str">
        <x:v>CHG-RC1-DOC-31</x:v>
      </x:c>
      <x:c r="AB156" s="26" t="str">
        <x:v>DEFINED / NOT EXECUTED</x:v>
      </x:c>
    </x:row>
    <x:row r="157" ht="30" customHeight="1">
      <x:c r="A157" s="26" t="str">
        <x:v>H6</x:v>
      </x:c>
      <x:c r="B157" s="26" t="str">
        <x:v>H6-AUD-003</x:v>
      </x:c>
      <x:c r="C157" s="26" t="str">
        <x:v>Audio</x:v>
      </x:c>
      <x:c r="D157" s="26" t="str">
        <x:v>Control especializado</x:v>
      </x:c>
      <x:c r="E157" s="26" t="str">
        <x:v>No existen clips ausentes, referencias rotas o errores de reproducción recurrentes.</x:v>
      </x:c>
      <x:c r="F157" s="26" t="str">
        <x:v>Revisar escena, consola y Player.log.</x:v>
      </x:c>
      <x:c r="G157" s="26" t="str">
        <x:v>Cumplimiento verificable sin desviaciones bloqueantes.</x:v>
      </x:c>
      <x:c r="H157" s="26" t="str">
        <x:v>Audio validation report.</x:v>
      </x:c>
      <x:c r="I157" s="26" t="str">
        <x:v>18_Audio_Bible.md; 23_Legal_Credits_and_Licenses_Register.xlsx; 29_Accessibility_and_Inclusive_Design_Plan.md</x:v>
      </x:c>
      <x:c r="J157" s="26" t="str">
        <x:v>Audio Bible v0.3–v0.5; Legal Register v0.3–v0.5</x:v>
      </x:c>
      <x:c r="K157" s="26" t="str">
        <x:v>H6</x:v>
      </x:c>
      <x:c r="L157" s="26" t="str">
        <x:v>Yes</x:v>
      </x:c>
      <x:c r="M157" s="26" t="str">
        <x:v>P1</x:v>
      </x:c>
      <x:c r="N157" s="26" t="str">
        <x:v>Audio</x:v>
      </x:c>
      <x:c r="O157" s="26" t="str">
        <x:v>QA/Legal</x:v>
      </x:c>
      <x:c r="P157" s="26" t="str">
        <x:v>NOT RUN</x:v>
      </x:c>
      <x:c r="Q157" s="26"/>
      <x:c r="R157" s="26"/>
      <x:c r="S157" s="26"/>
      <x:c r="T157" s="26"/>
      <x:c r="U157" s="26"/>
      <x:c r="V157" s="26"/>
      <x:c r="W157" s="26" t="n">
        <x:v>1</x:v>
      </x:c>
      <x:c r="X157" s="26" t="n">
        <x:v>0</x:v>
      </x:c>
      <x:c r="Y157" s="26" t="n">
        <x:v>1</x:v>
      </x:c>
      <x:c r="Z157" s="26" t="str">
        <x:v>PENDING</x:v>
      </x:c>
      <x:c r="AA157" s="26" t="str">
        <x:v>CHG-RC1-DOC-31</x:v>
      </x:c>
      <x:c r="AB157" s="26" t="str">
        <x:v>DEFINED / NOT EXECUTED</x:v>
      </x:c>
    </x:row>
    <x:row r="158" ht="30" customHeight="1">
      <x:c r="A158" s="26" t="str">
        <x:v>H6</x:v>
      </x:c>
      <x:c r="B158" s="26" t="str">
        <x:v>H6-AUD-004</x:v>
      </x:c>
      <x:c r="C158" s="26" t="str">
        <x:v>Audio</x:v>
      </x:c>
      <x:c r="D158" s="26" t="str">
        <x:v>Control especializado</x:v>
      </x:c>
      <x:c r="E158" s="26" t="str">
        <x:v>Los clips no presentan clipping, ruido, loops defectuosos o variación de loudness extrema.</x:v>
      </x:c>
      <x:c r="F158" s="26" t="str">
        <x:v>Escucha técnica y medición aprobada.</x:v>
      </x:c>
      <x:c r="G158" s="26" t="str">
        <x:v>Cumplimiento verificable sin desviaciones bloqueantes.</x:v>
      </x:c>
      <x:c r="H158" s="26" t="str">
        <x:v>Informe de mezcla/loudness.</x:v>
      </x:c>
      <x:c r="I158" s="26" t="str">
        <x:v>18_Audio_Bible.md; 23_Legal_Credits_and_Licenses_Register.xlsx; 29_Accessibility_and_Inclusive_Design_Plan.md</x:v>
      </x:c>
      <x:c r="J158" s="26" t="str">
        <x:v>Audio Bible v0.3–v0.5; Legal Register v0.3–v0.5</x:v>
      </x:c>
      <x:c r="K158" s="26" t="str">
        <x:v>H6</x:v>
      </x:c>
      <x:c r="L158" s="26" t="str">
        <x:v>Yes</x:v>
      </x:c>
      <x:c r="M158" s="26" t="str">
        <x:v>P1</x:v>
      </x:c>
      <x:c r="N158" s="26" t="str">
        <x:v>Audio</x:v>
      </x:c>
      <x:c r="O158" s="26" t="str">
        <x:v>QA/Legal</x:v>
      </x:c>
      <x:c r="P158" s="26" t="str">
        <x:v>NOT RUN</x:v>
      </x:c>
      <x:c r="Q158" s="26"/>
      <x:c r="R158" s="26"/>
      <x:c r="S158" s="26"/>
      <x:c r="T158" s="26"/>
      <x:c r="U158" s="26"/>
      <x:c r="V158" s="26"/>
      <x:c r="W158" s="26" t="n">
        <x:v>1</x:v>
      </x:c>
      <x:c r="X158" s="26" t="n">
        <x:v>0</x:v>
      </x:c>
      <x:c r="Y158" s="26" t="n">
        <x:v>1</x:v>
      </x:c>
      <x:c r="Z158" s="26" t="str">
        <x:v>PENDING</x:v>
      </x:c>
      <x:c r="AA158" s="26" t="str">
        <x:v>CHG-RC1-DOC-31</x:v>
      </x:c>
      <x:c r="AB158" s="26" t="str">
        <x:v>DEFINED / NOT EXECUTED</x:v>
      </x:c>
    </x:row>
    <x:row r="159" ht="30" customHeight="1">
      <x:c r="A159" s="26" t="str">
        <x:v>H6</x:v>
      </x:c>
      <x:c r="B159" s="26" t="str">
        <x:v>H6-AUD-005</x:v>
      </x:c>
      <x:c r="C159" s="26" t="str">
        <x:v>Audio</x:v>
      </x:c>
      <x:c r="D159" s="26" t="str">
        <x:v>Control especializado</x:v>
      </x:c>
      <x:c r="E159" s="26" t="str">
        <x:v>La simultaneidad de clientes y acciones no supera límites de voces ni degrada el rendimiento.</x:v>
      </x:c>
      <x:c r="F159" s="26" t="str">
        <x:v>Stress de 8 clientes y múltiples acciones.</x:v>
      </x:c>
      <x:c r="G159" s="26" t="str">
        <x:v>Cumplimiento verificable sin desviaciones bloqueantes.</x:v>
      </x:c>
      <x:c r="H159" s="26" t="str">
        <x:v>Profiler/audio voices record.</x:v>
      </x:c>
      <x:c r="I159" s="26" t="str">
        <x:v>18_Audio_Bible.md; 23_Legal_Credits_and_Licenses_Register.xlsx; 29_Accessibility_and_Inclusive_Design_Plan.md</x:v>
      </x:c>
      <x:c r="J159" s="26" t="str">
        <x:v>Audio Bible v0.3–v0.5; Legal Register v0.3–v0.5</x:v>
      </x:c>
      <x:c r="K159" s="26" t="str">
        <x:v>H6</x:v>
      </x:c>
      <x:c r="L159" s="26" t="str">
        <x:v>Yes</x:v>
      </x:c>
      <x:c r="M159" s="26" t="str">
        <x:v>P1</x:v>
      </x:c>
      <x:c r="N159" s="26" t="str">
        <x:v>Audio</x:v>
      </x:c>
      <x:c r="O159" s="26" t="str">
        <x:v>QA/Legal</x:v>
      </x:c>
      <x:c r="P159" s="26" t="str">
        <x:v>NOT RUN</x:v>
      </x:c>
      <x:c r="Q159" s="26"/>
      <x:c r="R159" s="26"/>
      <x:c r="S159" s="26"/>
      <x:c r="T159" s="26"/>
      <x:c r="U159" s="26"/>
      <x:c r="V159" s="26"/>
      <x:c r="W159" s="26" t="n">
        <x:v>1</x:v>
      </x:c>
      <x:c r="X159" s="26" t="n">
        <x:v>0</x:v>
      </x:c>
      <x:c r="Y159" s="26" t="n">
        <x:v>1</x:v>
      </x:c>
      <x:c r="Z159" s="26" t="str">
        <x:v>PENDING</x:v>
      </x:c>
      <x:c r="AA159" s="26" t="str">
        <x:v>CHG-RC1-DOC-31</x:v>
      </x:c>
      <x:c r="AB159" s="26" t="str">
        <x:v>DEFINED / NOT EXECUTED</x:v>
      </x:c>
    </x:row>
    <x:row r="160" ht="30" customHeight="1">
      <x:c r="A160" s="26" t="str">
        <x:v>H6</x:v>
      </x:c>
      <x:c r="B160" s="26" t="str">
        <x:v>H6-AUD-006</x:v>
      </x:c>
      <x:c r="C160" s="26" t="str">
        <x:v>Audio</x:v>
      </x:c>
      <x:c r="D160" s="26" t="str">
        <x:v>Control especializado</x:v>
      </x:c>
      <x:c r="E160" s="26" t="str">
        <x:v>Las licencias, autores y condiciones de cada clip están registradas.</x:v>
      </x:c>
      <x:c r="F160" s="26" t="str">
        <x:v>Cruzar Assets/Audio con 23.</x:v>
      </x:c>
      <x:c r="G160" s="26" t="str">
        <x:v>Cumplimiento verificable sin desviaciones bloqueantes.</x:v>
      </x:c>
      <x:c r="H160" s="26" t="str">
        <x:v>Cobertura de licencias de audio.</x:v>
      </x:c>
      <x:c r="I160" s="26" t="str">
        <x:v>18_Audio_Bible.md; 23_Legal_Credits_and_Licenses_Register.xlsx; 29_Accessibility_and_Inclusive_Design_Plan.md</x:v>
      </x:c>
      <x:c r="J160" s="26" t="str">
        <x:v>Audio Bible v0.3–v0.5; Legal Register v0.3–v0.5</x:v>
      </x:c>
      <x:c r="K160" s="26" t="str">
        <x:v>H6</x:v>
      </x:c>
      <x:c r="L160" s="26" t="str">
        <x:v>Yes</x:v>
      </x:c>
      <x:c r="M160" s="26" t="str">
        <x:v>P0</x:v>
      </x:c>
      <x:c r="N160" s="26" t="str">
        <x:v>Audio</x:v>
      </x:c>
      <x:c r="O160" s="26" t="str">
        <x:v>QA/Legal</x:v>
      </x:c>
      <x:c r="P160" s="26" t="str">
        <x:v>NOT RUN</x:v>
      </x:c>
      <x:c r="Q160" s="26"/>
      <x:c r="R160" s="26"/>
      <x:c r="S160" s="26"/>
      <x:c r="T160" s="26"/>
      <x:c r="U160" s="26"/>
      <x:c r="V160" s="26"/>
      <x:c r="W160" s="26" t="n">
        <x:v>1</x:v>
      </x:c>
      <x:c r="X160" s="26" t="n">
        <x:v>0</x:v>
      </x:c>
      <x:c r="Y160" s="26" t="n">
        <x:v>1</x:v>
      </x:c>
      <x:c r="Z160" s="26" t="str">
        <x:v>PENDING</x:v>
      </x:c>
      <x:c r="AA160" s="26" t="str">
        <x:v>CHG-RC1-DOC-31</x:v>
      </x:c>
      <x:c r="AB160" s="26" t="str">
        <x:v>DEFINED / NOT EXECUTED</x:v>
      </x:c>
    </x:row>
    <x:row r="161" ht="30" customHeight="1">
      <x:c r="A161" s="26" t="str">
        <x:v>H6</x:v>
      </x:c>
      <x:c r="B161" s="26" t="str">
        <x:v>H6-AUD-007</x:v>
      </x:c>
      <x:c r="C161" s="26" t="str">
        <x:v>Audio</x:v>
      </x:c>
      <x:c r="D161" s="26" t="str">
        <x:v>Control especializado</x:v>
      </x:c>
      <x:c r="E161" s="26" t="str">
        <x:v>No se incluyen pistas o stems temporales no autorizados en el paquete H6.</x:v>
      </x:c>
      <x:c r="F161" s="26" t="str">
        <x:v>Inventario de clips incluidos en build.</x:v>
      </x:c>
      <x:c r="G161" s="26" t="str">
        <x:v>Cumplimiento verificable sin desviaciones bloqueantes.</x:v>
      </x:c>
      <x:c r="H161" s="26" t="str">
        <x:v>Build audio manifest.</x:v>
      </x:c>
      <x:c r="I161" s="26" t="str">
        <x:v>18_Audio_Bible.md; 23_Legal_Credits_and_Licenses_Register.xlsx; 29_Accessibility_and_Inclusive_Design_Plan.md</x:v>
      </x:c>
      <x:c r="J161" s="26" t="str">
        <x:v>Audio Bible v0.3–v0.5; Legal Register v0.3–v0.5</x:v>
      </x:c>
      <x:c r="K161" s="26" t="str">
        <x:v>H6</x:v>
      </x:c>
      <x:c r="L161" s="26" t="str">
        <x:v>Yes</x:v>
      </x:c>
      <x:c r="M161" s="26" t="str">
        <x:v>P1</x:v>
      </x:c>
      <x:c r="N161" s="26" t="str">
        <x:v>Audio</x:v>
      </x:c>
      <x:c r="O161" s="26" t="str">
        <x:v>QA/Legal</x:v>
      </x:c>
      <x:c r="P161" s="26" t="str">
        <x:v>NOT RUN</x:v>
      </x:c>
      <x:c r="Q161" s="26"/>
      <x:c r="R161" s="26"/>
      <x:c r="S161" s="26"/>
      <x:c r="T161" s="26"/>
      <x:c r="U161" s="26"/>
      <x:c r="V161" s="26"/>
      <x:c r="W161" s="26" t="n">
        <x:v>1</x:v>
      </x:c>
      <x:c r="X161" s="26" t="n">
        <x:v>0</x:v>
      </x:c>
      <x:c r="Y161" s="26" t="n">
        <x:v>1</x:v>
      </x:c>
      <x:c r="Z161" s="26" t="str">
        <x:v>PENDING</x:v>
      </x:c>
      <x:c r="AA161" s="26" t="str">
        <x:v>CHG-RC1-DOC-31</x:v>
      </x:c>
      <x:c r="AB161" s="26" t="str">
        <x:v>DEFINED / NOT EXECUTED</x:v>
      </x:c>
    </x:row>
    <x:row r="162" ht="30" customHeight="1">
      <x:c r="A162" s="26" t="str">
        <x:v>H6</x:v>
      </x:c>
      <x:c r="B162" s="26" t="str">
        <x:v>H6-AUD-008</x:v>
      </x:c>
      <x:c r="C162" s="26" t="str">
        <x:v>Audio</x:v>
      </x:c>
      <x:c r="D162" s="26" t="str">
        <x:v>Control especializado</x:v>
      </x:c>
      <x:c r="E162" s="26" t="str">
        <x:v>La ausencia de subtítulos/captions para contenido no verbal no se comunica como característica disponible.</x:v>
      </x:c>
      <x:c r="F162" s="26" t="str">
        <x:v>Revisar claims y surfaces públicas.</x:v>
      </x:c>
      <x:c r="G162" s="26" t="str">
        <x:v>Cumplimiento verificable sin desviaciones bloqueantes.</x:v>
      </x:c>
      <x:c r="H162" s="26" t="str">
        <x:v>Matriz de claims.</x:v>
      </x:c>
      <x:c r="I162" s="26" t="str">
        <x:v>18_Audio_Bible.md; 23_Legal_Credits_and_Licenses_Register.xlsx; 29_Accessibility_and_Inclusive_Design_Plan.md</x:v>
      </x:c>
      <x:c r="J162" s="26" t="str">
        <x:v>Audio Bible v0.3–v0.5; Legal Register v0.3–v0.5</x:v>
      </x:c>
      <x:c r="K162" s="26" t="str">
        <x:v>H6</x:v>
      </x:c>
      <x:c r="L162" s="26" t="str">
        <x:v>Yes</x:v>
      </x:c>
      <x:c r="M162" s="26" t="str">
        <x:v>P1</x:v>
      </x:c>
      <x:c r="N162" s="26" t="str">
        <x:v>Audio</x:v>
      </x:c>
      <x:c r="O162" s="26" t="str">
        <x:v>QA/Legal</x:v>
      </x:c>
      <x:c r="P162" s="26" t="str">
        <x:v>NOT RUN</x:v>
      </x:c>
      <x:c r="Q162" s="26"/>
      <x:c r="R162" s="26"/>
      <x:c r="S162" s="26"/>
      <x:c r="T162" s="26"/>
      <x:c r="U162" s="26"/>
      <x:c r="V162" s="26"/>
      <x:c r="W162" s="26" t="n">
        <x:v>1</x:v>
      </x:c>
      <x:c r="X162" s="26" t="n">
        <x:v>0</x:v>
      </x:c>
      <x:c r="Y162" s="26" t="n">
        <x:v>1</x:v>
      </x:c>
      <x:c r="Z162" s="26" t="str">
        <x:v>PENDING</x:v>
      </x:c>
      <x:c r="AA162" s="26" t="str">
        <x:v>CHG-RC1-DOC-31</x:v>
      </x:c>
      <x:c r="AB162" s="26" t="str">
        <x:v>DEFINED / NOT EXECUTED</x:v>
      </x:c>
    </x:row>
    <x:row r="163" ht="30" customHeight="1">
      <x:c r="A163" s="26" t="str">
        <x:v>H6</x:v>
      </x:c>
      <x:c r="B163" s="26" t="str">
        <x:v>H6-AUD-009</x:v>
      </x:c>
      <x:c r="C163" s="26" t="str">
        <x:v>Audio</x:v>
      </x:c>
      <x:c r="D163" s="26" t="str">
        <x:v>Control especializado</x:v>
      </x:c>
      <x:c r="E163" s="26" t="str">
        <x:v>Los sonidos repetitivos de operaciones no generan fatiga severa durante siete días.</x:v>
      </x:c>
      <x:c r="F163" s="26" t="str">
        <x:v>Sesión extensa y feedback QA.</x:v>
      </x:c>
      <x:c r="G163" s="26" t="str">
        <x:v>Cumplimiento verificable sin desviaciones bloqueantes.</x:v>
      </x:c>
      <x:c r="H163" s="26" t="str">
        <x:v>Soak audio notes.</x:v>
      </x:c>
      <x:c r="I163" s="26" t="str">
        <x:v>18_Audio_Bible.md; 23_Legal_Credits_and_Licenses_Register.xlsx; 29_Accessibility_and_Inclusive_Design_Plan.md</x:v>
      </x:c>
      <x:c r="J163" s="26" t="str">
        <x:v>Audio Bible v0.3–v0.5; Legal Register v0.3–v0.5</x:v>
      </x:c>
      <x:c r="K163" s="26" t="str">
        <x:v>H6</x:v>
      </x:c>
      <x:c r="L163" s="26" t="str">
        <x:v>Yes</x:v>
      </x:c>
      <x:c r="M163" s="26" t="str">
        <x:v>P1</x:v>
      </x:c>
      <x:c r="N163" s="26" t="str">
        <x:v>Audio</x:v>
      </x:c>
      <x:c r="O163" s="26" t="str">
        <x:v>QA/Legal</x:v>
      </x:c>
      <x:c r="P163" s="26" t="str">
        <x:v>NOT RUN</x:v>
      </x:c>
      <x:c r="Q163" s="26"/>
      <x:c r="R163" s="26"/>
      <x:c r="S163" s="26"/>
      <x:c r="T163" s="26"/>
      <x:c r="U163" s="26"/>
      <x:c r="V163" s="26"/>
      <x:c r="W163" s="26" t="n">
        <x:v>1</x:v>
      </x:c>
      <x:c r="X163" s="26" t="n">
        <x:v>0</x:v>
      </x:c>
      <x:c r="Y163" s="26" t="n">
        <x:v>1</x:v>
      </x:c>
      <x:c r="Z163" s="26" t="str">
        <x:v>PENDING</x:v>
      </x:c>
      <x:c r="AA163" s="26" t="str">
        <x:v>CHG-RC1-DOC-31</x:v>
      </x:c>
      <x:c r="AB163" s="26" t="str">
        <x:v>DEFINED / NOT EXECUTED</x:v>
      </x:c>
    </x:row>
    <x:row r="164" ht="30" customHeight="1">
      <x:c r="A164" s="26" t="str">
        <x:v>H6</x:v>
      </x:c>
      <x:c r="B164" s="26" t="str">
        <x:v>H6-AUD-010</x:v>
      </x:c>
      <x:c r="C164" s="26" t="str">
        <x:v>Audio</x:v>
      </x:c>
      <x:c r="D164" s="26" t="str">
        <x:v>Control especializado</x:v>
      </x:c>
      <x:c r="E164" s="26" t="str">
        <x:v>El comportamiento offline y tras cambio de dispositivo de audio es controlado.</x:v>
      </x:c>
      <x:c r="F164" s="26" t="str">
        <x:v>Desconectar/reconectar dispositivo y ejecutar sin red.</x:v>
      </x:c>
      <x:c r="G164" s="26" t="str">
        <x:v>Cumplimiento verificable sin desviaciones bloqueantes.</x:v>
      </x:c>
      <x:c r="H164" s="26" t="str">
        <x:v>Acta de resiliencia de audio.</x:v>
      </x:c>
      <x:c r="I164" s="26" t="str">
        <x:v>18_Audio_Bible.md; 23_Legal_Credits_and_Licenses_Register.xlsx; 29_Accessibility_and_Inclusive_Design_Plan.md</x:v>
      </x:c>
      <x:c r="J164" s="26" t="str">
        <x:v>Audio Bible v0.3–v0.5; Legal Register v0.3–v0.5</x:v>
      </x:c>
      <x:c r="K164" s="26" t="str">
        <x:v>H6</x:v>
      </x:c>
      <x:c r="L164" s="26" t="str">
        <x:v>Yes</x:v>
      </x:c>
      <x:c r="M164" s="26" t="str">
        <x:v>P1</x:v>
      </x:c>
      <x:c r="N164" s="26" t="str">
        <x:v>Audio</x:v>
      </x:c>
      <x:c r="O164" s="26" t="str">
        <x:v>QA/Legal</x:v>
      </x:c>
      <x:c r="P164" s="26" t="str">
        <x:v>NOT RUN</x:v>
      </x:c>
      <x:c r="Q164" s="26"/>
      <x:c r="R164" s="26"/>
      <x:c r="S164" s="26"/>
      <x:c r="T164" s="26"/>
      <x:c r="U164" s="26"/>
      <x:c r="V164" s="26"/>
      <x:c r="W164" s="26" t="n">
        <x:v>1</x:v>
      </x:c>
      <x:c r="X164" s="26" t="n">
        <x:v>0</x:v>
      </x:c>
      <x:c r="Y164" s="26" t="n">
        <x:v>1</x:v>
      </x:c>
      <x:c r="Z164" s="26" t="str">
        <x:v>PENDING</x:v>
      </x:c>
      <x:c r="AA164" s="26" t="str">
        <x:v>CHG-RC1-DOC-31</x:v>
      </x:c>
      <x:c r="AB164" s="26" t="str">
        <x:v>DEFINED / NOT EXECUTED</x:v>
      </x:c>
    </x:row>
    <x:row r="165" ht="30" customHeight="1">
      <x:c r="A165" s="26" t="str">
        <x:v>H6</x:v>
      </x:c>
      <x:c r="B165" s="26" t="str">
        <x:v>H6-QA-001</x:v>
      </x:c>
      <x:c r="C165" s="26" t="str">
        <x:v>QA, defectos y regresión</x:v>
      </x:c>
      <x:c r="D165" s="26" t="str">
        <x:v>Control especializado</x:v>
      </x:c>
      <x:c r="E165" s="26" t="str">
        <x:v>La suite automatizada completa se ejecuta en el commit candidato y termina verde.</x:v>
      </x:c>
      <x:c r="F165" s="26" t="str">
        <x:v>Ejecutar EditMode/PlayMode/otras suites definidas desde entorno limpio.</x:v>
      </x:c>
      <x:c r="G165" s="26" t="str">
        <x:v>Cumplimiento verificable sin desviaciones bloqueantes.</x:v>
      </x:c>
      <x:c r="H165" s="26" t="str">
        <x:v>Test reports con SHA.</x:v>
      </x:c>
      <x:c r="I165" s="26" t="str">
        <x:v>07_QA_Testing_Plan.md; 08_QA_Testing_Matrix.xlsx; 15_Guia_Maestra.md</x:v>
      </x:c>
      <x:c r="J165" s="26" t="str">
        <x:v>QA Plan/Matrix v0.3–v0.6; Sprint 1–16 acceptance matrices and validation checklists</x:v>
      </x:c>
      <x:c r="K165" s="26" t="str">
        <x:v>H6</x:v>
      </x:c>
      <x:c r="L165" s="26" t="str">
        <x:v>Yes</x:v>
      </x:c>
      <x:c r="M165" s="26" t="str">
        <x:v>P0</x:v>
      </x:c>
      <x:c r="N165" s="26" t="str">
        <x:v>QA</x:v>
      </x:c>
      <x:c r="O165" s="26" t="str">
        <x:v>Production/Engineering</x:v>
      </x:c>
      <x:c r="P165" s="26" t="str">
        <x:v>NOT RUN</x:v>
      </x:c>
      <x:c r="Q165" s="26"/>
      <x:c r="R165" s="26"/>
      <x:c r="S165" s="26"/>
      <x:c r="T165" s="26"/>
      <x:c r="U165" s="26"/>
      <x:c r="V165" s="26"/>
      <x:c r="W165" s="26" t="n">
        <x:v>1</x:v>
      </x:c>
      <x:c r="X165" s="26" t="n">
        <x:v>0</x:v>
      </x:c>
      <x:c r="Y165" s="26" t="n">
        <x:v>1</x:v>
      </x:c>
      <x:c r="Z165" s="26" t="str">
        <x:v>PENDING</x:v>
      </x:c>
      <x:c r="AA165" s="26" t="str">
        <x:v>CHG-RC1-DOC-31</x:v>
      </x:c>
      <x:c r="AB165" s="26" t="str">
        <x:v>DEFINED / NOT EXECUTED</x:v>
      </x:c>
    </x:row>
    <x:row r="166" ht="30" customHeight="1">
      <x:c r="A166" s="26" t="str">
        <x:v>H6</x:v>
      </x:c>
      <x:c r="B166" s="26" t="str">
        <x:v>H6-QA-002</x:v>
      </x:c>
      <x:c r="C166" s="26" t="str">
        <x:v>QA, defectos y regresión</x:v>
      </x:c>
      <x:c r="D166" s="26" t="str">
        <x:v>Control especializado</x:v>
      </x:c>
      <x:c r="E166" s="26" t="str">
        <x:v>No se acepta como PASS ningún test flaky, omitido sin justificación o ejecutado sobre SHA distinto.</x:v>
      </x:c>
      <x:c r="F166" s="26" t="str">
        <x:v>Revisar resultados, retries y metadata.</x:v>
      </x:c>
      <x:c r="G166" s="26" t="str">
        <x:v>Cumplimiento verificable sin desviaciones bloqueantes.</x:v>
      </x:c>
      <x:c r="H166" s="26" t="str">
        <x:v>Informe de estabilidad de tests.</x:v>
      </x:c>
      <x:c r="I166" s="26" t="str">
        <x:v>07_QA_Testing_Plan.md; 08_QA_Testing_Matrix.xlsx; 15_Guia_Maestra.md</x:v>
      </x:c>
      <x:c r="J166" s="26" t="str">
        <x:v>QA Plan/Matrix v0.3–v0.6; Sprint 1–16 acceptance matrices and validation checklists</x:v>
      </x:c>
      <x:c r="K166" s="26" t="str">
        <x:v>H6</x:v>
      </x:c>
      <x:c r="L166" s="26" t="str">
        <x:v>Yes</x:v>
      </x:c>
      <x:c r="M166" s="26" t="str">
        <x:v>P1</x:v>
      </x:c>
      <x:c r="N166" s="26" t="str">
        <x:v>QA</x:v>
      </x:c>
      <x:c r="O166" s="26" t="str">
        <x:v>Production/Engineering</x:v>
      </x:c>
      <x:c r="P166" s="26" t="str">
        <x:v>NOT RUN</x:v>
      </x:c>
      <x:c r="Q166" s="26"/>
      <x:c r="R166" s="26"/>
      <x:c r="S166" s="26"/>
      <x:c r="T166" s="26"/>
      <x:c r="U166" s="26"/>
      <x:c r="V166" s="26"/>
      <x:c r="W166" s="26" t="n">
        <x:v>1</x:v>
      </x:c>
      <x:c r="X166" s="26" t="n">
        <x:v>0</x:v>
      </x:c>
      <x:c r="Y166" s="26" t="n">
        <x:v>1</x:v>
      </x:c>
      <x:c r="Z166" s="26" t="str">
        <x:v>PENDING</x:v>
      </x:c>
      <x:c r="AA166" s="26" t="str">
        <x:v>CHG-RC1-DOC-31</x:v>
      </x:c>
      <x:c r="AB166" s="26" t="str">
        <x:v>DEFINED / NOT EXECUTED</x:v>
      </x:c>
    </x:row>
    <x:row r="167" ht="30" customHeight="1">
      <x:c r="A167" s="26" t="str">
        <x:v>H6</x:v>
      </x:c>
      <x:c r="B167" s="26" t="str">
        <x:v>H6-QA-003</x:v>
      </x:c>
      <x:c r="C167" s="26" t="str">
        <x:v>QA, defectos y regresión</x:v>
      </x:c>
      <x:c r="D167" s="26" t="str">
        <x:v>Control especializado</x:v>
      </x:c>
      <x:c r="E167" s="26" t="str">
        <x:v>El Golden Path manual se completa sin herramientas de debug en build externa.</x:v>
      </x:c>
      <x:c r="F167" s="26" t="str">
        <x:v>Ejecutar guion oficial completo.</x:v>
      </x:c>
      <x:c r="G167" s="26" t="str">
        <x:v>Cumplimiento verificable sin desviaciones bloqueantes.</x:v>
      </x:c>
      <x:c r="H167" s="26" t="str">
        <x:v>Golden Path Record y vídeo.</x:v>
      </x:c>
      <x:c r="I167" s="26" t="str">
        <x:v>07_QA_Testing_Plan.md; 08_QA_Testing_Matrix.xlsx; 15_Guia_Maestra.md</x:v>
      </x:c>
      <x:c r="J167" s="26" t="str">
        <x:v>QA Plan/Matrix v0.3–v0.6; Sprint 1–16 acceptance matrices and validation checklists</x:v>
      </x:c>
      <x:c r="K167" s="26" t="str">
        <x:v>H6</x:v>
      </x:c>
      <x:c r="L167" s="26" t="str">
        <x:v>Yes</x:v>
      </x:c>
      <x:c r="M167" s="26" t="str">
        <x:v>P0</x:v>
      </x:c>
      <x:c r="N167" s="26" t="str">
        <x:v>QA</x:v>
      </x:c>
      <x:c r="O167" s="26" t="str">
        <x:v>Production/Engineering</x:v>
      </x:c>
      <x:c r="P167" s="26" t="str">
        <x:v>NOT RUN</x:v>
      </x:c>
      <x:c r="Q167" s="26"/>
      <x:c r="R167" s="26"/>
      <x:c r="S167" s="26"/>
      <x:c r="T167" s="26"/>
      <x:c r="U167" s="26"/>
      <x:c r="V167" s="26"/>
      <x:c r="W167" s="26" t="n">
        <x:v>1</x:v>
      </x:c>
      <x:c r="X167" s="26" t="n">
        <x:v>0</x:v>
      </x:c>
      <x:c r="Y167" s="26" t="n">
        <x:v>1</x:v>
      </x:c>
      <x:c r="Z167" s="26" t="str">
        <x:v>PENDING</x:v>
      </x:c>
      <x:c r="AA167" s="26" t="str">
        <x:v>CHG-RC1-DOC-31</x:v>
      </x:c>
      <x:c r="AB167" s="26" t="str">
        <x:v>DEFINED / NOT EXECUTED</x:v>
      </x:c>
    </x:row>
    <x:row r="168" ht="30" customHeight="1">
      <x:c r="A168" s="26" t="str">
        <x:v>H6</x:v>
      </x:c>
      <x:c r="B168" s="26" t="str">
        <x:v>H6-QA-004</x:v>
      </x:c>
      <x:c r="C168" s="26" t="str">
        <x:v>QA, defectos y regresión</x:v>
      </x:c>
      <x:c r="D168" s="26" t="str">
        <x:v>Control especializado</x:v>
      </x:c>
      <x:c r="E168" s="26" t="str">
        <x:v>La campaña persistente de siete días se completa con compras, ventas, guardados y cargas.</x:v>
      </x:c>
      <x:c r="F168" s="26" t="str">
        <x:v>Ejecutar sesión extensa y auditoría económica/inventario.</x:v>
      </x:c>
      <x:c r="G168" s="26" t="str">
        <x:v>Cumplimiento verificable sin desviaciones bloqueantes.</x:v>
      </x:c>
      <x:c r="H168" s="26" t="str">
        <x:v>Seven Day Run Record.</x:v>
      </x:c>
      <x:c r="I168" s="26" t="str">
        <x:v>07_QA_Testing_Plan.md; 08_QA_Testing_Matrix.xlsx; 15_Guia_Maestra.md</x:v>
      </x:c>
      <x:c r="J168" s="26" t="str">
        <x:v>QA Plan/Matrix v0.3–v0.6; Sprint 1–16 acceptance matrices and validation checklists</x:v>
      </x:c>
      <x:c r="K168" s="26" t="str">
        <x:v>H6</x:v>
      </x:c>
      <x:c r="L168" s="26" t="str">
        <x:v>Yes</x:v>
      </x:c>
      <x:c r="M168" s="26" t="str">
        <x:v>P0</x:v>
      </x:c>
      <x:c r="N168" s="26" t="str">
        <x:v>QA</x:v>
      </x:c>
      <x:c r="O168" s="26" t="str">
        <x:v>Production/Engineering</x:v>
      </x:c>
      <x:c r="P168" s="26" t="str">
        <x:v>NOT RUN</x:v>
      </x:c>
      <x:c r="Q168" s="26"/>
      <x:c r="R168" s="26"/>
      <x:c r="S168" s="26"/>
      <x:c r="T168" s="26"/>
      <x:c r="U168" s="26"/>
      <x:c r="V168" s="26"/>
      <x:c r="W168" s="26" t="n">
        <x:v>1</x:v>
      </x:c>
      <x:c r="X168" s="26" t="n">
        <x:v>0</x:v>
      </x:c>
      <x:c r="Y168" s="26" t="n">
        <x:v>1</x:v>
      </x:c>
      <x:c r="Z168" s="26" t="str">
        <x:v>PENDING</x:v>
      </x:c>
      <x:c r="AA168" s="26" t="str">
        <x:v>CHG-RC1-DOC-31</x:v>
      </x:c>
      <x:c r="AB168" s="26" t="str">
        <x:v>DEFINED / NOT EXECUTED</x:v>
      </x:c>
    </x:row>
    <x:row r="169" ht="30" customHeight="1">
      <x:c r="A169" s="26" t="str">
        <x:v>H6</x:v>
      </x:c>
      <x:c r="B169" s="26" t="str">
        <x:v>H6-QA-005</x:v>
      </x:c>
      <x:c r="C169" s="26" t="str">
        <x:v>QA, defectos y regresión</x:v>
      </x:c>
      <x:c r="D169" s="26" t="str">
        <x:v>Control especializado</x:v>
      </x:c>
      <x:c r="E169" s="26" t="str">
        <x:v>Se prueban nueva instalación, tres slots, cierre manual/forzado y recuperación soportada.</x:v>
      </x:c>
      <x:c r="F169" s="26" t="str">
        <x:v>Ejecutar escenarios VS-TST correspondientes.</x:v>
      </x:c>
      <x:c r="G169" s="26" t="str">
        <x:v>Cumplimiento verificable sin desviaciones bloqueantes.</x:v>
      </x:c>
      <x:c r="H169" s="26" t="str">
        <x:v>Actas de escenarios.</x:v>
      </x:c>
      <x:c r="I169" s="26" t="str">
        <x:v>07_QA_Testing_Plan.md; 08_QA_Testing_Matrix.xlsx; 15_Guia_Maestra.md</x:v>
      </x:c>
      <x:c r="J169" s="26" t="str">
        <x:v>QA Plan/Matrix v0.3–v0.6; Sprint 1–16 acceptance matrices and validation checklists</x:v>
      </x:c>
      <x:c r="K169" s="26" t="str">
        <x:v>H6</x:v>
      </x:c>
      <x:c r="L169" s="26" t="str">
        <x:v>Yes</x:v>
      </x:c>
      <x:c r="M169" s="26" t="str">
        <x:v>P1</x:v>
      </x:c>
      <x:c r="N169" s="26" t="str">
        <x:v>QA</x:v>
      </x:c>
      <x:c r="O169" s="26" t="str">
        <x:v>Production/Engineering</x:v>
      </x:c>
      <x:c r="P169" s="26" t="str">
        <x:v>NOT RUN</x:v>
      </x:c>
      <x:c r="Q169" s="26"/>
      <x:c r="R169" s="26"/>
      <x:c r="S169" s="26"/>
      <x:c r="T169" s="26"/>
      <x:c r="U169" s="26"/>
      <x:c r="V169" s="26"/>
      <x:c r="W169" s="26" t="n">
        <x:v>1</x:v>
      </x:c>
      <x:c r="X169" s="26" t="n">
        <x:v>0</x:v>
      </x:c>
      <x:c r="Y169" s="26" t="n">
        <x:v>1</x:v>
      </x:c>
      <x:c r="Z169" s="26" t="str">
        <x:v>PENDING</x:v>
      </x:c>
      <x:c r="AA169" s="26" t="str">
        <x:v>CHG-RC1-DOC-31</x:v>
      </x:c>
      <x:c r="AB169" s="26" t="str">
        <x:v>DEFINED / NOT EXECUTED</x:v>
      </x:c>
    </x:row>
    <x:row r="170" ht="30" customHeight="1">
      <x:c r="A170" s="26" t="str">
        <x:v>H6</x:v>
      </x:c>
      <x:c r="B170" s="26" t="str">
        <x:v>H6-QA-006</x:v>
      </x:c>
      <x:c r="C170" s="26" t="str">
        <x:v>QA, defectos y regresión</x:v>
      </x:c>
      <x:c r="D170" s="26" t="str">
        <x:v>Control especializado</x:v>
      </x:c>
      <x:c r="E170" s="26" t="str">
        <x:v>El registro de defectos distingue severidad, prioridad, gate y campo Bloquea H6.</x:v>
      </x:c>
      <x:c r="F170" s="26" t="str">
        <x:v>Auditar defect register.</x:v>
      </x:c>
      <x:c r="G170" s="26" t="str">
        <x:v>Cumplimiento verificable sin desviaciones bloqueantes.</x:v>
      </x:c>
      <x:c r="H170" s="26" t="str">
        <x:v>Export del registro.</x:v>
      </x:c>
      <x:c r="I170" s="26" t="str">
        <x:v>07_QA_Testing_Plan.md; 08_QA_Testing_Matrix.xlsx; 15_Guia_Maestra.md</x:v>
      </x:c>
      <x:c r="J170" s="26" t="str">
        <x:v>QA Plan/Matrix v0.3–v0.6; Sprint 1–16 acceptance matrices and validation checklists</x:v>
      </x:c>
      <x:c r="K170" s="26" t="str">
        <x:v>H6</x:v>
      </x:c>
      <x:c r="L170" s="26" t="str">
        <x:v>Yes</x:v>
      </x:c>
      <x:c r="M170" s="26" t="str">
        <x:v>P1</x:v>
      </x:c>
      <x:c r="N170" s="26" t="str">
        <x:v>QA</x:v>
      </x:c>
      <x:c r="O170" s="26" t="str">
        <x:v>Production/Engineering</x:v>
      </x:c>
      <x:c r="P170" s="26" t="str">
        <x:v>NOT RUN</x:v>
      </x:c>
      <x:c r="Q170" s="26"/>
      <x:c r="R170" s="26"/>
      <x:c r="S170" s="26"/>
      <x:c r="T170" s="26"/>
      <x:c r="U170" s="26"/>
      <x:c r="V170" s="26"/>
      <x:c r="W170" s="26" t="n">
        <x:v>1</x:v>
      </x:c>
      <x:c r="X170" s="26" t="n">
        <x:v>0</x:v>
      </x:c>
      <x:c r="Y170" s="26" t="n">
        <x:v>1</x:v>
      </x:c>
      <x:c r="Z170" s="26" t="str">
        <x:v>PENDING</x:v>
      </x:c>
      <x:c r="AA170" s="26" t="str">
        <x:v>CHG-RC1-DOC-31</x:v>
      </x:c>
      <x:c r="AB170" s="26" t="str">
        <x:v>DEFINED / NOT EXECUTED</x:v>
      </x:c>
    </x:row>
    <x:row r="171" ht="30" customHeight="1">
      <x:c r="A171" s="26" t="str">
        <x:v>H6</x:v>
      </x:c>
      <x:c r="B171" s="26" t="str">
        <x:v>H6-QA-007</x:v>
      </x:c>
      <x:c r="C171" s="26" t="str">
        <x:v>QA, defectos y regresión</x:v>
      </x:c>
      <x:c r="D171" s="26" t="str">
        <x:v>Control especializado</x:v>
      </x:c>
      <x:c r="E171" s="26" t="str">
        <x:v>Existen cero S0 y cero S1 abiertos en el universo del gate.</x:v>
      </x:c>
      <x:c r="F171" s="26" t="str">
        <x:v>Filtrar defectos por severidad y gate.</x:v>
      </x:c>
      <x:c r="G171" s="26" t="str">
        <x:v>Cumplimiento verificable sin desviaciones bloqueantes.</x:v>
      </x:c>
      <x:c r="H171" s="26" t="str">
        <x:v>Reporte cero bloqueantes.</x:v>
      </x:c>
      <x:c r="I171" s="26" t="str">
        <x:v>07_QA_Testing_Plan.md; 08_QA_Testing_Matrix.xlsx; 15_Guia_Maestra.md</x:v>
      </x:c>
      <x:c r="J171" s="26" t="str">
        <x:v>QA Plan/Matrix v0.3–v0.6; Sprint 1–16 acceptance matrices and validation checklists</x:v>
      </x:c>
      <x:c r="K171" s="26" t="str">
        <x:v>H6</x:v>
      </x:c>
      <x:c r="L171" s="26" t="str">
        <x:v>Yes</x:v>
      </x:c>
      <x:c r="M171" s="26" t="str">
        <x:v>P0</x:v>
      </x:c>
      <x:c r="N171" s="26" t="str">
        <x:v>QA</x:v>
      </x:c>
      <x:c r="O171" s="26" t="str">
        <x:v>Production/Engineering</x:v>
      </x:c>
      <x:c r="P171" s="26" t="str">
        <x:v>NOT RUN</x:v>
      </x:c>
      <x:c r="Q171" s="26"/>
      <x:c r="R171" s="26"/>
      <x:c r="S171" s="26"/>
      <x:c r="T171" s="26"/>
      <x:c r="U171" s="26"/>
      <x:c r="V171" s="26"/>
      <x:c r="W171" s="26" t="n">
        <x:v>1</x:v>
      </x:c>
      <x:c r="X171" s="26" t="n">
        <x:v>0</x:v>
      </x:c>
      <x:c r="Y171" s="26" t="n">
        <x:v>1</x:v>
      </x:c>
      <x:c r="Z171" s="26" t="str">
        <x:v>PENDING</x:v>
      </x:c>
      <x:c r="AA171" s="26" t="str">
        <x:v>CHG-RC1-DOC-31</x:v>
      </x:c>
      <x:c r="AB171" s="26" t="str">
        <x:v>DEFINED / NOT EXECUTED</x:v>
      </x:c>
    </x:row>
    <x:row r="172" ht="30" customHeight="1">
      <x:c r="A172" s="26" t="str">
        <x:v>H6</x:v>
      </x:c>
      <x:c r="B172" s="26" t="str">
        <x:v>H6-QA-008</x:v>
      </x:c>
      <x:c r="C172" s="26" t="str">
        <x:v>QA, defectos y regresión</x:v>
      </x:c>
      <x:c r="D172" s="26" t="str">
        <x:v>Control especializado</x:v>
      </x:c>
      <x:c r="E172" s="26" t="str">
        <x:v>Todo S2 abierto tiene resolución o excepción formal aprobada.</x:v>
      </x:c>
      <x:c r="F172" s="26" t="str">
        <x:v>Revisar S2 y Exception Register.</x:v>
      </x:c>
      <x:c r="G172" s="26" t="str">
        <x:v>Cumplimiento verificable sin desviaciones bloqueantes.</x:v>
      </x:c>
      <x:c r="H172" s="26" t="str">
        <x:v>Lista de S2 resueltos/exceptuados.</x:v>
      </x:c>
      <x:c r="I172" s="26" t="str">
        <x:v>07_QA_Testing_Plan.md; 08_QA_Testing_Matrix.xlsx; 15_Guia_Maestra.md</x:v>
      </x:c>
      <x:c r="J172" s="26" t="str">
        <x:v>QA Plan/Matrix v0.3–v0.6; Sprint 1–16 acceptance matrices and validation checklists</x:v>
      </x:c>
      <x:c r="K172" s="26" t="str">
        <x:v>H6</x:v>
      </x:c>
      <x:c r="L172" s="26" t="str">
        <x:v>Yes</x:v>
      </x:c>
      <x:c r="M172" s="26" t="str">
        <x:v>P1</x:v>
      </x:c>
      <x:c r="N172" s="26" t="str">
        <x:v>QA</x:v>
      </x:c>
      <x:c r="O172" s="26" t="str">
        <x:v>Production/Engineering</x:v>
      </x:c>
      <x:c r="P172" s="26" t="str">
        <x:v>NOT RUN</x:v>
      </x:c>
      <x:c r="Q172" s="26"/>
      <x:c r="R172" s="26"/>
      <x:c r="S172" s="26"/>
      <x:c r="T172" s="26"/>
      <x:c r="U172" s="26"/>
      <x:c r="V172" s="26"/>
      <x:c r="W172" s="26" t="n">
        <x:v>1</x:v>
      </x:c>
      <x:c r="X172" s="26" t="n">
        <x:v>0</x:v>
      </x:c>
      <x:c r="Y172" s="26" t="n">
        <x:v>1</x:v>
      </x:c>
      <x:c r="Z172" s="26" t="str">
        <x:v>PENDING</x:v>
      </x:c>
      <x:c r="AA172" s="26" t="str">
        <x:v>CHG-RC1-DOC-31</x:v>
      </x:c>
      <x:c r="AB172" s="26" t="str">
        <x:v>DEFINED / NOT EXECUTED</x:v>
      </x:c>
    </x:row>
    <x:row r="173" ht="30" customHeight="1">
      <x:c r="A173" s="26" t="str">
        <x:v>H6</x:v>
      </x:c>
      <x:c r="B173" s="26" t="str">
        <x:v>H6-QA-009</x:v>
      </x:c>
      <x:c r="C173" s="26" t="str">
        <x:v>QA, defectos y regresión</x:v>
      </x:c>
      <x:c r="D173" s="26" t="str">
        <x:v>Control especializado</x:v>
      </x:c>
      <x:c r="E173" s="26" t="str">
        <x:v>Los S3/S4 aceptados no forman un problema sistémico ni contradicen la representatividad.</x:v>
      </x:c>
      <x:c r="F173" s="26" t="str">
        <x:v>Revisión agregada por área y frecuencia.</x:v>
      </x:c>
      <x:c r="G173" s="26" t="str">
        <x:v>Cumplimiento verificable sin desviaciones bloqueantes.</x:v>
      </x:c>
      <x:c r="H173" s="26" t="str">
        <x:v>Known Issues aprobado.</x:v>
      </x:c>
      <x:c r="I173" s="26" t="str">
        <x:v>07_QA_Testing_Plan.md; 08_QA_Testing_Matrix.xlsx; 15_Guia_Maestra.md</x:v>
      </x:c>
      <x:c r="J173" s="26" t="str">
        <x:v>QA Plan/Matrix v0.3–v0.6; Sprint 1–16 acceptance matrices and validation checklists</x:v>
      </x:c>
      <x:c r="K173" s="26" t="str">
        <x:v>H6</x:v>
      </x:c>
      <x:c r="L173" s="26" t="str">
        <x:v>Yes</x:v>
      </x:c>
      <x:c r="M173" s="26" t="str">
        <x:v>P1</x:v>
      </x:c>
      <x:c r="N173" s="26" t="str">
        <x:v>QA</x:v>
      </x:c>
      <x:c r="O173" s="26" t="str">
        <x:v>Production/Engineering</x:v>
      </x:c>
      <x:c r="P173" s="26" t="str">
        <x:v>NOT RUN</x:v>
      </x:c>
      <x:c r="Q173" s="26"/>
      <x:c r="R173" s="26"/>
      <x:c r="S173" s="26"/>
      <x:c r="T173" s="26"/>
      <x:c r="U173" s="26"/>
      <x:c r="V173" s="26"/>
      <x:c r="W173" s="26" t="n">
        <x:v>1</x:v>
      </x:c>
      <x:c r="X173" s="26" t="n">
        <x:v>0</x:v>
      </x:c>
      <x:c r="Y173" s="26" t="n">
        <x:v>1</x:v>
      </x:c>
      <x:c r="Z173" s="26" t="str">
        <x:v>PENDING</x:v>
      </x:c>
      <x:c r="AA173" s="26" t="str">
        <x:v>CHG-RC1-DOC-31</x:v>
      </x:c>
      <x:c r="AB173" s="26" t="str">
        <x:v>DEFINED / NOT EXECUTED</x:v>
      </x:c>
    </x:row>
    <x:row r="174" ht="30" customHeight="1">
      <x:c r="A174" s="26" t="str">
        <x:v>H6</x:v>
      </x:c>
      <x:c r="B174" s="26" t="str">
        <x:v>H6-QA-010</x:v>
      </x:c>
      <x:c r="C174" s="26" t="str">
        <x:v>QA, defectos y regresión</x:v>
      </x:c>
      <x:c r="D174" s="26" t="str">
        <x:v>Control especializado</x:v>
      </x:c>
      <x:c r="E174" s="26" t="str">
        <x:v>Cada corrección de S0/S1/S2 incluye prueba de regresión vinculada.</x:v>
      </x:c>
      <x:c r="F174" s="26" t="str">
        <x:v>Cruzar defectos cerrados con Test ID/evidencia.</x:v>
      </x:c>
      <x:c r="G174" s="26" t="str">
        <x:v>Cumplimiento verificable sin desviaciones bloqueantes.</x:v>
      </x:c>
      <x:c r="H174" s="26" t="str">
        <x:v>Matriz defecto-prueba.</x:v>
      </x:c>
      <x:c r="I174" s="26" t="str">
        <x:v>07_QA_Testing_Plan.md; 08_QA_Testing_Matrix.xlsx; 15_Guia_Maestra.md</x:v>
      </x:c>
      <x:c r="J174" s="26" t="str">
        <x:v>QA Plan/Matrix v0.3–v0.6; Sprint 1–16 acceptance matrices and validation checklists</x:v>
      </x:c>
      <x:c r="K174" s="26" t="str">
        <x:v>H6</x:v>
      </x:c>
      <x:c r="L174" s="26" t="str">
        <x:v>Yes</x:v>
      </x:c>
      <x:c r="M174" s="26" t="str">
        <x:v>P1</x:v>
      </x:c>
      <x:c r="N174" s="26" t="str">
        <x:v>QA</x:v>
      </x:c>
      <x:c r="O174" s="26" t="str">
        <x:v>Production/Engineering</x:v>
      </x:c>
      <x:c r="P174" s="26" t="str">
        <x:v>NOT RUN</x:v>
      </x:c>
      <x:c r="Q174" s="26"/>
      <x:c r="R174" s="26"/>
      <x:c r="S174" s="26"/>
      <x:c r="T174" s="26"/>
      <x:c r="U174" s="26"/>
      <x:c r="V174" s="26"/>
      <x:c r="W174" s="26" t="n">
        <x:v>1</x:v>
      </x:c>
      <x:c r="X174" s="26" t="n">
        <x:v>0</x:v>
      </x:c>
      <x:c r="Y174" s="26" t="n">
        <x:v>1</x:v>
      </x:c>
      <x:c r="Z174" s="26" t="str">
        <x:v>PENDING</x:v>
      </x:c>
      <x:c r="AA174" s="26" t="str">
        <x:v>CHG-RC1-DOC-31</x:v>
      </x:c>
      <x:c r="AB174" s="26" t="str">
        <x:v>DEFINED / NOT EXECUTED</x:v>
      </x:c>
    </x:row>
    <x:row r="175" ht="30" customHeight="1">
      <x:c r="A175" s="26" t="str">
        <x:v>H6</x:v>
      </x:c>
      <x:c r="B175" s="26" t="str">
        <x:v>H6-QA-011</x:v>
      </x:c>
      <x:c r="C175" s="26" t="str">
        <x:v>QA, defectos y regresión</x:v>
      </x:c>
      <x:c r="D175" s="26" t="str">
        <x:v>Control especializado</x:v>
      </x:c>
      <x:c r="E175" s="26" t="str">
        <x:v>Player.log se revisa completo y los errores recurrentes están cerrados o exceptuados.</x:v>
      </x:c>
      <x:c r="F175" s="26" t="str">
        <x:v>Analizar log de Golden Path, siete días y soak.</x:v>
      </x:c>
      <x:c r="G175" s="26" t="str">
        <x:v>Cumplimiento verificable sin desviaciones bloqueantes.</x:v>
      </x:c>
      <x:c r="H175" s="26" t="str">
        <x:v>Player.log anotado.</x:v>
      </x:c>
      <x:c r="I175" s="26" t="str">
        <x:v>07_QA_Testing_Plan.md; 08_QA_Testing_Matrix.xlsx; 15_Guia_Maestra.md</x:v>
      </x:c>
      <x:c r="J175" s="26" t="str">
        <x:v>QA Plan/Matrix v0.3–v0.6; Sprint 1–16 acceptance matrices and validation checklists</x:v>
      </x:c>
      <x:c r="K175" s="26" t="str">
        <x:v>H6</x:v>
      </x:c>
      <x:c r="L175" s="26" t="str">
        <x:v>Yes</x:v>
      </x:c>
      <x:c r="M175" s="26" t="str">
        <x:v>P1</x:v>
      </x:c>
      <x:c r="N175" s="26" t="str">
        <x:v>QA</x:v>
      </x:c>
      <x:c r="O175" s="26" t="str">
        <x:v>Production/Engineering</x:v>
      </x:c>
      <x:c r="P175" s="26" t="str">
        <x:v>NOT RUN</x:v>
      </x:c>
      <x:c r="Q175" s="26"/>
      <x:c r="R175" s="26"/>
      <x:c r="S175" s="26"/>
      <x:c r="T175" s="26"/>
      <x:c r="U175" s="26"/>
      <x:c r="V175" s="26"/>
      <x:c r="W175" s="26" t="n">
        <x:v>1</x:v>
      </x:c>
      <x:c r="X175" s="26" t="n">
        <x:v>0</x:v>
      </x:c>
      <x:c r="Y175" s="26" t="n">
        <x:v>1</x:v>
      </x:c>
      <x:c r="Z175" s="26" t="str">
        <x:v>PENDING</x:v>
      </x:c>
      <x:c r="AA175" s="26" t="str">
        <x:v>CHG-RC1-DOC-31</x:v>
      </x:c>
      <x:c r="AB175" s="26" t="str">
        <x:v>DEFINED / NOT EXECUTED</x:v>
      </x:c>
    </x:row>
    <x:row r="176" ht="30" customHeight="1">
      <x:c r="A176" s="26" t="str">
        <x:v>H6</x:v>
      </x:c>
      <x:c r="B176" s="26" t="str">
        <x:v>H6-QA-012</x:v>
      </x:c>
      <x:c r="C176" s="26" t="str">
        <x:v>QA, defectos y regresión</x:v>
      </x:c>
      <x:c r="D176" s="26" t="str">
        <x:v>Control especializado</x:v>
      </x:c>
      <x:c r="E176" s="26" t="str">
        <x:v>Las ejecuciones registran build, SHA, hardware, idioma, resolución, fecha y ejecutor.</x:v>
      </x:c>
      <x:c r="F176" s="26" t="str">
        <x:v>Auditar test records.</x:v>
      </x:c>
      <x:c r="G176" s="26" t="str">
        <x:v>Cumplimiento verificable sin desviaciones bloqueantes.</x:v>
      </x:c>
      <x:c r="H176" s="26" t="str">
        <x:v>Reporte de completitud de metadata.</x:v>
      </x:c>
      <x:c r="I176" s="26" t="str">
        <x:v>07_QA_Testing_Plan.md; 08_QA_Testing_Matrix.xlsx; 15_Guia_Maestra.md</x:v>
      </x:c>
      <x:c r="J176" s="26" t="str">
        <x:v>QA Plan/Matrix v0.3–v0.6; Sprint 1–16 acceptance matrices and validation checklists</x:v>
      </x:c>
      <x:c r="K176" s="26" t="str">
        <x:v>H6</x:v>
      </x:c>
      <x:c r="L176" s="26" t="str">
        <x:v>Yes</x:v>
      </x:c>
      <x:c r="M176" s="26" t="str">
        <x:v>P1</x:v>
      </x:c>
      <x:c r="N176" s="26" t="str">
        <x:v>QA</x:v>
      </x:c>
      <x:c r="O176" s="26" t="str">
        <x:v>Production/Engineering</x:v>
      </x:c>
      <x:c r="P176" s="26" t="str">
        <x:v>NOT RUN</x:v>
      </x:c>
      <x:c r="Q176" s="26"/>
      <x:c r="R176" s="26"/>
      <x:c r="S176" s="26"/>
      <x:c r="T176" s="26"/>
      <x:c r="U176" s="26"/>
      <x:c r="V176" s="26"/>
      <x:c r="W176" s="26" t="n">
        <x:v>1</x:v>
      </x:c>
      <x:c r="X176" s="26" t="n">
        <x:v>0</x:v>
      </x:c>
      <x:c r="Y176" s="26" t="n">
        <x:v>1</x:v>
      </x:c>
      <x:c r="Z176" s="26" t="str">
        <x:v>PENDING</x:v>
      </x:c>
      <x:c r="AA176" s="26" t="str">
        <x:v>CHG-RC1-DOC-31</x:v>
      </x:c>
      <x:c r="AB176" s="26" t="str">
        <x:v>DEFINED / NOT EXECUTED</x:v>
      </x:c>
    </x:row>
    <x:row r="177" ht="30" customHeight="1">
      <x:c r="A177" s="26" t="str">
        <x:v>H6</x:v>
      </x:c>
      <x:c r="B177" s="26" t="str">
        <x:v>H6-QA-013</x:v>
      </x:c>
      <x:c r="C177" s="26" t="str">
        <x:v>QA, defectos y regresión</x:v>
      </x:c>
      <x:c r="D177" s="26" t="str">
        <x:v>Control especializado</x:v>
      </x:c>
      <x:c r="E177" s="26" t="str">
        <x:v>La regresión cubre tanto capacidades automatizadas históricas como integración representativa nueva.</x:v>
      </x:c>
      <x:c r="F177" s="26" t="str">
        <x:v>Comparar baseline test histórica con matriz actual.</x:v>
      </x:c>
      <x:c r="G177" s="26" t="str">
        <x:v>Cumplimiento verificable sin desviaciones bloqueantes.</x:v>
      </x:c>
      <x:c r="H177" s="26" t="str">
        <x:v>Mapa de cobertura.</x:v>
      </x:c>
      <x:c r="I177" s="26" t="str">
        <x:v>07_QA_Testing_Plan.md; 08_QA_Testing_Matrix.xlsx; 15_Guia_Maestra.md</x:v>
      </x:c>
      <x:c r="J177" s="26" t="str">
        <x:v>QA Plan/Matrix v0.3–v0.6; Sprint 1–16 acceptance matrices and validation checklists</x:v>
      </x:c>
      <x:c r="K177" s="26" t="str">
        <x:v>H6</x:v>
      </x:c>
      <x:c r="L177" s="26" t="str">
        <x:v>Yes</x:v>
      </x:c>
      <x:c r="M177" s="26" t="str">
        <x:v>P1</x:v>
      </x:c>
      <x:c r="N177" s="26" t="str">
        <x:v>QA</x:v>
      </x:c>
      <x:c r="O177" s="26" t="str">
        <x:v>Production/Engineering</x:v>
      </x:c>
      <x:c r="P177" s="26" t="str">
        <x:v>NOT RUN</x:v>
      </x:c>
      <x:c r="Q177" s="26"/>
      <x:c r="R177" s="26"/>
      <x:c r="S177" s="26"/>
      <x:c r="T177" s="26"/>
      <x:c r="U177" s="26"/>
      <x:c r="V177" s="26"/>
      <x:c r="W177" s="26" t="n">
        <x:v>1</x:v>
      </x:c>
      <x:c r="X177" s="26" t="n">
        <x:v>0</x:v>
      </x:c>
      <x:c r="Y177" s="26" t="n">
        <x:v>1</x:v>
      </x:c>
      <x:c r="Z177" s="26" t="str">
        <x:v>PENDING</x:v>
      </x:c>
      <x:c r="AA177" s="26" t="str">
        <x:v>CHG-RC1-DOC-31</x:v>
      </x:c>
      <x:c r="AB177" s="26" t="str">
        <x:v>DEFINED / NOT EXECUTED</x:v>
      </x:c>
    </x:row>
    <x:row r="178" ht="30" customHeight="1">
      <x:c r="A178" s="26" t="str">
        <x:v>H6</x:v>
      </x:c>
      <x:c r="B178" s="26" t="str">
        <x:v>H6-QA-014</x:v>
      </x:c>
      <x:c r="C178" s="26" t="str">
        <x:v>QA, defectos y regresión</x:v>
      </x:c>
      <x:c r="D178" s="26" t="str">
        <x:v>Control especializado</x:v>
      </x:c>
      <x:c r="E178" s="26" t="str">
        <x:v>Los resultados de QA no mezclan casos, aserciones y controles sin etiquetar la unidad.</x:v>
      </x:c>
      <x:c r="F178" s="26" t="str">
        <x:v>Revisar dashboards e informes.</x:v>
      </x:c>
      <x:c r="G178" s="26" t="str">
        <x:v>Cumplimiento verificable sin desviaciones bloqueantes.</x:v>
      </x:c>
      <x:c r="H178" s="26" t="str">
        <x:v>Reconciliación de conteos.</x:v>
      </x:c>
      <x:c r="I178" s="26" t="str">
        <x:v>07_QA_Testing_Plan.md; 08_QA_Testing_Matrix.xlsx; 15_Guia_Maestra.md</x:v>
      </x:c>
      <x:c r="J178" s="26" t="str">
        <x:v>QA Plan/Matrix v0.3–v0.6; Sprint 1–16 acceptance matrices and validation checklists</x:v>
      </x:c>
      <x:c r="K178" s="26" t="str">
        <x:v>H6</x:v>
      </x:c>
      <x:c r="L178" s="26" t="str">
        <x:v>Yes</x:v>
      </x:c>
      <x:c r="M178" s="26" t="str">
        <x:v>P1</x:v>
      </x:c>
      <x:c r="N178" s="26" t="str">
        <x:v>QA</x:v>
      </x:c>
      <x:c r="O178" s="26" t="str">
        <x:v>Production/Engineering</x:v>
      </x:c>
      <x:c r="P178" s="26" t="str">
        <x:v>NOT RUN</x:v>
      </x:c>
      <x:c r="Q178" s="26"/>
      <x:c r="R178" s="26"/>
      <x:c r="S178" s="26"/>
      <x:c r="T178" s="26"/>
      <x:c r="U178" s="26"/>
      <x:c r="V178" s="26"/>
      <x:c r="W178" s="26" t="n">
        <x:v>1</x:v>
      </x:c>
      <x:c r="X178" s="26" t="n">
        <x:v>0</x:v>
      </x:c>
      <x:c r="Y178" s="26" t="n">
        <x:v>1</x:v>
      </x:c>
      <x:c r="Z178" s="26" t="str">
        <x:v>PENDING</x:v>
      </x:c>
      <x:c r="AA178" s="26" t="str">
        <x:v>CHG-RC1-DOC-31</x:v>
      </x:c>
      <x:c r="AB178" s="26" t="str">
        <x:v>DEFINED / NOT EXECUTED</x:v>
      </x:c>
    </x:row>
    <x:row r="179" ht="30" customHeight="1">
      <x:c r="A179" s="26" t="str">
        <x:v>H6</x:v>
      </x:c>
      <x:c r="B179" s="26" t="str">
        <x:v>H6-QA-015</x:v>
      </x:c>
      <x:c r="C179" s="26" t="str">
        <x:v>QA, defectos y regresión</x:v>
      </x:c>
      <x:c r="D179" s="26" t="str">
        <x:v>Control especializado</x:v>
      </x:c>
      <x:c r="E179" s="26" t="str">
        <x:v>Se ejecuta una sesión sin conexión y una sesión tras reinicio del sistema.</x:v>
      </x:c>
      <x:c r="F179" s="26" t="str">
        <x:v>Ejecutar candidata offline y tras reboot.</x:v>
      </x:c>
      <x:c r="G179" s="26" t="str">
        <x:v>Cumplimiento verificable sin desviaciones bloqueantes.</x:v>
      </x:c>
      <x:c r="H179" s="26" t="str">
        <x:v>Actas de entorno.</x:v>
      </x:c>
      <x:c r="I179" s="26" t="str">
        <x:v>07_QA_Testing_Plan.md; 08_QA_Testing_Matrix.xlsx; 15_Guia_Maestra.md</x:v>
      </x:c>
      <x:c r="J179" s="26" t="str">
        <x:v>QA Plan/Matrix v0.3–v0.6; Sprint 1–16 acceptance matrices and validation checklists</x:v>
      </x:c>
      <x:c r="K179" s="26" t="str">
        <x:v>H6</x:v>
      </x:c>
      <x:c r="L179" s="26" t="str">
        <x:v>Yes</x:v>
      </x:c>
      <x:c r="M179" s="26" t="str">
        <x:v>P1</x:v>
      </x:c>
      <x:c r="N179" s="26" t="str">
        <x:v>QA</x:v>
      </x:c>
      <x:c r="O179" s="26" t="str">
        <x:v>Production/Engineering</x:v>
      </x:c>
      <x:c r="P179" s="26" t="str">
        <x:v>NOT RUN</x:v>
      </x:c>
      <x:c r="Q179" s="26"/>
      <x:c r="R179" s="26"/>
      <x:c r="S179" s="26"/>
      <x:c r="T179" s="26"/>
      <x:c r="U179" s="26"/>
      <x:c r="V179" s="26"/>
      <x:c r="W179" s="26" t="n">
        <x:v>1</x:v>
      </x:c>
      <x:c r="X179" s="26" t="n">
        <x:v>0</x:v>
      </x:c>
      <x:c r="Y179" s="26" t="n">
        <x:v>1</x:v>
      </x:c>
      <x:c r="Z179" s="26" t="str">
        <x:v>PENDING</x:v>
      </x:c>
      <x:c r="AA179" s="26" t="str">
        <x:v>CHG-RC1-DOC-31</x:v>
      </x:c>
      <x:c r="AB179" s="26" t="str">
        <x:v>DEFINED / NOT EXECUTED</x:v>
      </x:c>
    </x:row>
    <x:row r="180" ht="30" customHeight="1">
      <x:c r="A180" s="26" t="str">
        <x:v>H6</x:v>
      </x:c>
      <x:c r="B180" s="26" t="str">
        <x:v>H6-QA-016</x:v>
      </x:c>
      <x:c r="C180" s="26" t="str">
        <x:v>QA, defectos y regresión</x:v>
      </x:c>
      <x:c r="D180" s="26" t="str">
        <x:v>Control especializado</x:v>
      </x:c>
      <x:c r="E180" s="26" t="str">
        <x:v>La decisión final se basa en evidencia de la candidata inmutable, no en resultados de builds previas.</x:v>
      </x:c>
      <x:c r="F180" s="26" t="str">
        <x:v>Cruzar todos los registros con Build ID/SHA/checksum.</x:v>
      </x:c>
      <x:c r="G180" s="26" t="str">
        <x:v>Cumplimiento verificable sin desviaciones bloqueantes.</x:v>
      </x:c>
      <x:c r="H180" s="26" t="str">
        <x:v>Informe de consistencia de evidencia.</x:v>
      </x:c>
      <x:c r="I180" s="26" t="str">
        <x:v>07_QA_Testing_Plan.md; 08_QA_Testing_Matrix.xlsx; 15_Guia_Maestra.md</x:v>
      </x:c>
      <x:c r="J180" s="26" t="str">
        <x:v>QA Plan/Matrix v0.3–v0.6; Sprint 1–16 acceptance matrices and validation checklists</x:v>
      </x:c>
      <x:c r="K180" s="26" t="str">
        <x:v>H6</x:v>
      </x:c>
      <x:c r="L180" s="26" t="str">
        <x:v>Yes</x:v>
      </x:c>
      <x:c r="M180" s="26" t="str">
        <x:v>P1</x:v>
      </x:c>
      <x:c r="N180" s="26" t="str">
        <x:v>QA</x:v>
      </x:c>
      <x:c r="O180" s="26" t="str">
        <x:v>Production/Engineering</x:v>
      </x:c>
      <x:c r="P180" s="26" t="str">
        <x:v>NOT RUN</x:v>
      </x:c>
      <x:c r="Q180" s="26"/>
      <x:c r="R180" s="26"/>
      <x:c r="S180" s="26"/>
      <x:c r="T180" s="26"/>
      <x:c r="U180" s="26"/>
      <x:c r="V180" s="26"/>
      <x:c r="W180" s="26" t="n">
        <x:v>1</x:v>
      </x:c>
      <x:c r="X180" s="26" t="n">
        <x:v>0</x:v>
      </x:c>
      <x:c r="Y180" s="26" t="n">
        <x:v>1</x:v>
      </x:c>
      <x:c r="Z180" s="26" t="str">
        <x:v>PENDING</x:v>
      </x:c>
      <x:c r="AA180" s="26" t="str">
        <x:v>CHG-RC1-DOC-31</x:v>
      </x:c>
      <x:c r="AB180" s="26" t="str">
        <x:v>DEFINED / NOT EXECUTED</x:v>
      </x:c>
    </x:row>
    <x:row r="181" ht="30" customHeight="1">
      <x:c r="A181" s="26" t="str">
        <x:v>H6</x:v>
      </x:c>
      <x:c r="B181" s="26" t="str">
        <x:v>H6-SAV-001</x:v>
      </x:c>
      <x:c r="C181" s="26" t="str">
        <x:v>Persistencia y recuperación</x:v>
      </x:c>
      <x:c r="D181" s="26" t="str">
        <x:v>Control especializado</x:v>
      </x:c>
      <x:c r="E181" s="26" t="str">
        <x:v>El conjunto persistente mínimo de H6 está explícitamente definido y coincide con la experiencia disponible.</x:v>
      </x:c>
      <x:c r="F181" s="26" t="str">
        <x:v>Comparar schema/modelo de datos con acciones del Golden Path.</x:v>
      </x:c>
      <x:c r="G181" s="26" t="str">
        <x:v>Cumplimiento verificable sin desviaciones bloqueantes.</x:v>
      </x:c>
      <x:c r="H181" s="26" t="str">
        <x:v>Persistent scope matrix.</x:v>
      </x:c>
      <x:c r="I181" s="26" t="str">
        <x:v>03_Technical_Design_Document.md; 04_Modelo_de_Datos.md; 26_Privacy_Data_and_Telemetry_Plan.md</x:v>
      </x:c>
      <x:c r="J181" s="26" t="str">
        <x:v>TDD/Modelo de Datos v0.3–v0.6; Sprint 2 save skeleton and later persistence records</x:v>
      </x:c>
      <x:c r="K181" s="26" t="str">
        <x:v>H6</x:v>
      </x:c>
      <x:c r="L181" s="26" t="str">
        <x:v>Yes</x:v>
      </x:c>
      <x:c r="M181" s="26" t="str">
        <x:v>P0</x:v>
      </x:c>
      <x:c r="N181" s="26" t="str">
        <x:v>Engineering</x:v>
      </x:c>
      <x:c r="O181" s="26" t="str">
        <x:v>QA/Architecture</x:v>
      </x:c>
      <x:c r="P181" s="26" t="str">
        <x:v>NOT RUN</x:v>
      </x:c>
      <x:c r="Q181" s="26"/>
      <x:c r="R181" s="26"/>
      <x:c r="S181" s="26"/>
      <x:c r="T181" s="26"/>
      <x:c r="U181" s="26"/>
      <x:c r="V181" s="26"/>
      <x:c r="W181" s="26" t="n">
        <x:v>1</x:v>
      </x:c>
      <x:c r="X181" s="26" t="n">
        <x:v>0</x:v>
      </x:c>
      <x:c r="Y181" s="26" t="n">
        <x:v>1</x:v>
      </x:c>
      <x:c r="Z181" s="26" t="str">
        <x:v>PENDING</x:v>
      </x:c>
      <x:c r="AA181" s="26" t="str">
        <x:v>CHG-RC1-DOC-31</x:v>
      </x:c>
      <x:c r="AB181" s="26" t="str">
        <x:v>DEFINED / NOT EXECUTED</x:v>
      </x:c>
    </x:row>
    <x:row r="182" ht="30" customHeight="1">
      <x:c r="A182" s="26" t="str">
        <x:v>H6</x:v>
      </x:c>
      <x:c r="B182" s="26" t="str">
        <x:v>H6-SAV-002</x:v>
      </x:c>
      <x:c r="C182" s="26" t="str">
        <x:v>Persistencia y recuperación</x:v>
      </x:c>
      <x:c r="D182" s="26" t="str">
        <x:v>Control especializado</x:v>
      </x:c>
      <x:c r="E182" s="26" t="str">
        <x:v>Guardar y cargar conserva equivalencia de inventario, muebles, pedidos, precios, economía, día y preferencias correspondientes.</x:v>
      </x:c>
      <x:c r="F182" s="26" t="str">
        <x:v>Snapshot/diff antes y después de recarga.</x:v>
      </x:c>
      <x:c r="G182" s="26" t="str">
        <x:v>Cumplimiento verificable sin desviaciones bloqueantes.</x:v>
      </x:c>
      <x:c r="H182" s="26" t="str">
        <x:v>Save comparison report.</x:v>
      </x:c>
      <x:c r="I182" s="26" t="str">
        <x:v>03_Technical_Design_Document.md; 04_Modelo_de_Datos.md; 26_Privacy_Data_and_Telemetry_Plan.md</x:v>
      </x:c>
      <x:c r="J182" s="26" t="str">
        <x:v>TDD/Modelo de Datos v0.3–v0.6; Sprint 2 save skeleton and later persistence records</x:v>
      </x:c>
      <x:c r="K182" s="26" t="str">
        <x:v>H6</x:v>
      </x:c>
      <x:c r="L182" s="26" t="str">
        <x:v>Yes</x:v>
      </x:c>
      <x:c r="M182" s="26" t="str">
        <x:v>P0</x:v>
      </x:c>
      <x:c r="N182" s="26" t="str">
        <x:v>Engineering</x:v>
      </x:c>
      <x:c r="O182" s="26" t="str">
        <x:v>QA/Architecture</x:v>
      </x:c>
      <x:c r="P182" s="26" t="str">
        <x:v>NOT RUN</x:v>
      </x:c>
      <x:c r="Q182" s="26"/>
      <x:c r="R182" s="26"/>
      <x:c r="S182" s="26"/>
      <x:c r="T182" s="26"/>
      <x:c r="U182" s="26"/>
      <x:c r="V182" s="26"/>
      <x:c r="W182" s="26" t="n">
        <x:v>1</x:v>
      </x:c>
      <x:c r="X182" s="26" t="n">
        <x:v>0</x:v>
      </x:c>
      <x:c r="Y182" s="26" t="n">
        <x:v>1</x:v>
      </x:c>
      <x:c r="Z182" s="26" t="str">
        <x:v>PENDING</x:v>
      </x:c>
      <x:c r="AA182" s="26" t="str">
        <x:v>CHG-RC1-DOC-31</x:v>
      </x:c>
      <x:c r="AB182" s="26" t="str">
        <x:v>DEFINED / NOT EXECUTED</x:v>
      </x:c>
    </x:row>
    <x:row r="183" ht="30" customHeight="1">
      <x:c r="A183" s="26" t="str">
        <x:v>H6</x:v>
      </x:c>
      <x:c r="B183" s="26" t="str">
        <x:v>H6-SAV-003</x:v>
      </x:c>
      <x:c r="C183" s="26" t="str">
        <x:v>Persistencia y recuperación</x:v>
      </x:c>
      <x:c r="D183" s="26" t="str">
        <x:v>Control especializado</x:v>
      </x:c>
      <x:c r="E183" s="26" t="str">
        <x:v>La colocación dinámica incluida persiste posición, rotación, tipo e ID.</x:v>
      </x:c>
      <x:c r="F183" s="26" t="str">
        <x:v>Mover/retirar/colocar, guardar, reiniciar y cargar.</x:v>
      </x:c>
      <x:c r="G183" s="26" t="str">
        <x:v>Cumplimiento verificable sin desviaciones bloqueantes.</x:v>
      </x:c>
      <x:c r="H183" s="26" t="str">
        <x:v>Diff y capturas.</x:v>
      </x:c>
      <x:c r="I183" s="26" t="str">
        <x:v>03_Technical_Design_Document.md; 04_Modelo_de_Datos.md; 26_Privacy_Data_and_Telemetry_Plan.md</x:v>
      </x:c>
      <x:c r="J183" s="26" t="str">
        <x:v>TDD/Modelo de Datos v0.3–v0.6; Sprint 2 save skeleton and later persistence records</x:v>
      </x:c>
      <x:c r="K183" s="26" t="str">
        <x:v>H6</x:v>
      </x:c>
      <x:c r="L183" s="26" t="str">
        <x:v>Yes</x:v>
      </x:c>
      <x:c r="M183" s="26" t="str">
        <x:v>P1</x:v>
      </x:c>
      <x:c r="N183" s="26" t="str">
        <x:v>Engineering</x:v>
      </x:c>
      <x:c r="O183" s="26" t="str">
        <x:v>QA/Architecture</x:v>
      </x:c>
      <x:c r="P183" s="26" t="str">
        <x:v>NOT RUN</x:v>
      </x:c>
      <x:c r="Q183" s="26"/>
      <x:c r="R183" s="26"/>
      <x:c r="S183" s="26"/>
      <x:c r="T183" s="26"/>
      <x:c r="U183" s="26"/>
      <x:c r="V183" s="26"/>
      <x:c r="W183" s="26" t="n">
        <x:v>1</x:v>
      </x:c>
      <x:c r="X183" s="26" t="n">
        <x:v>0</x:v>
      </x:c>
      <x:c r="Y183" s="26" t="n">
        <x:v>1</x:v>
      </x:c>
      <x:c r="Z183" s="26" t="str">
        <x:v>PENDING</x:v>
      </x:c>
      <x:c r="AA183" s="26" t="str">
        <x:v>CHG-RC1-DOC-31</x:v>
      </x:c>
      <x:c r="AB183" s="26" t="str">
        <x:v>DEFINED / NOT EXECUTED</x:v>
      </x:c>
    </x:row>
    <x:row r="184" ht="30" customHeight="1">
      <x:c r="A184" s="26" t="str">
        <x:v>H6</x:v>
      </x:c>
      <x:c r="B184" s="26" t="str">
        <x:v>H6-SAV-004</x:v>
      </x:c>
      <x:c r="C184" s="26" t="str">
        <x:v>Persistencia y recuperación</x:v>
      </x:c>
      <x:c r="D184" s="26" t="str">
        <x:v>Control especializado</x:v>
      </x:c>
      <x:c r="E184" s="26" t="str">
        <x:v>Cargar repetidamente no duplica entidades, pedidos, stock, clientes, movimientos o ingresos.</x:v>
      </x:c>
      <x:c r="F184" s="26" t="str">
        <x:v>Ciclo de cargas repetidas y auditoría de IDs/cantidades.</x:v>
      </x:c>
      <x:c r="G184" s="26" t="str">
        <x:v>Cumplimiento verificable sin desviaciones bloqueantes.</x:v>
      </x:c>
      <x:c r="H184" s="26" t="str">
        <x:v>Repetition test report.</x:v>
      </x:c>
      <x:c r="I184" s="26" t="str">
        <x:v>03_Technical_Design_Document.md; 04_Modelo_de_Datos.md; 26_Privacy_Data_and_Telemetry_Plan.md</x:v>
      </x:c>
      <x:c r="J184" s="26" t="str">
        <x:v>TDD/Modelo de Datos v0.3–v0.6; Sprint 2 save skeleton and later persistence records</x:v>
      </x:c>
      <x:c r="K184" s="26" t="str">
        <x:v>H6</x:v>
      </x:c>
      <x:c r="L184" s="26" t="str">
        <x:v>Yes</x:v>
      </x:c>
      <x:c r="M184" s="26" t="str">
        <x:v>P1</x:v>
      </x:c>
      <x:c r="N184" s="26" t="str">
        <x:v>Engineering</x:v>
      </x:c>
      <x:c r="O184" s="26" t="str">
        <x:v>QA/Architecture</x:v>
      </x:c>
      <x:c r="P184" s="26" t="str">
        <x:v>NOT RUN</x:v>
      </x:c>
      <x:c r="Q184" s="26"/>
      <x:c r="R184" s="26"/>
      <x:c r="S184" s="26"/>
      <x:c r="T184" s="26"/>
      <x:c r="U184" s="26"/>
      <x:c r="V184" s="26"/>
      <x:c r="W184" s="26" t="n">
        <x:v>1</x:v>
      </x:c>
      <x:c r="X184" s="26" t="n">
        <x:v>0</x:v>
      </x:c>
      <x:c r="Y184" s="26" t="n">
        <x:v>1</x:v>
      </x:c>
      <x:c r="Z184" s="26" t="str">
        <x:v>PENDING</x:v>
      </x:c>
      <x:c r="AA184" s="26" t="str">
        <x:v>CHG-RC1-DOC-31</x:v>
      </x:c>
      <x:c r="AB184" s="26" t="str">
        <x:v>DEFINED / NOT EXECUTED</x:v>
      </x:c>
    </x:row>
    <x:row r="185" ht="30" customHeight="1">
      <x:c r="A185" s="26" t="str">
        <x:v>H6</x:v>
      </x:c>
      <x:c r="B185" s="26" t="str">
        <x:v>H6-SAV-005</x:v>
      </x:c>
      <x:c r="C185" s="26" t="str">
        <x:v>Persistencia y recuperación</x:v>
      </x:c>
      <x:c r="D185" s="26" t="str">
        <x:v>Control especializado</x:v>
      </x:c>
      <x:c r="E185" s="26" t="str">
        <x:v>Los tres slots son independientes y las preferencias globales no contaminan datos de partida.</x:v>
      </x:c>
      <x:c r="F185" s="26" t="str">
        <x:v>Crear estados divergentes y alternar slots.</x:v>
      </x:c>
      <x:c r="G185" s="26" t="str">
        <x:v>Cumplimiento verificable sin desviaciones bloqueantes.</x:v>
      </x:c>
      <x:c r="H185" s="26" t="str">
        <x:v>Slot isolation record.</x:v>
      </x:c>
      <x:c r="I185" s="26" t="str">
        <x:v>03_Technical_Design_Document.md; 04_Modelo_de_Datos.md; 26_Privacy_Data_and_Telemetry_Plan.md</x:v>
      </x:c>
      <x:c r="J185" s="26" t="str">
        <x:v>TDD/Modelo de Datos v0.3–v0.6; Sprint 2 save skeleton and later persistence records</x:v>
      </x:c>
      <x:c r="K185" s="26" t="str">
        <x:v>H6</x:v>
      </x:c>
      <x:c r="L185" s="26" t="str">
        <x:v>Yes</x:v>
      </x:c>
      <x:c r="M185" s="26" t="str">
        <x:v>P1</x:v>
      </x:c>
      <x:c r="N185" s="26" t="str">
        <x:v>Engineering</x:v>
      </x:c>
      <x:c r="O185" s="26" t="str">
        <x:v>QA/Architecture</x:v>
      </x:c>
      <x:c r="P185" s="26" t="str">
        <x:v>NOT RUN</x:v>
      </x:c>
      <x:c r="Q185" s="26"/>
      <x:c r="R185" s="26"/>
      <x:c r="S185" s="26"/>
      <x:c r="T185" s="26"/>
      <x:c r="U185" s="26"/>
      <x:c r="V185" s="26"/>
      <x:c r="W185" s="26" t="n">
        <x:v>1</x:v>
      </x:c>
      <x:c r="X185" s="26" t="n">
        <x:v>0</x:v>
      </x:c>
      <x:c r="Y185" s="26" t="n">
        <x:v>1</x:v>
      </x:c>
      <x:c r="Z185" s="26" t="str">
        <x:v>PENDING</x:v>
      </x:c>
      <x:c r="AA185" s="26" t="str">
        <x:v>CHG-RC1-DOC-31</x:v>
      </x:c>
      <x:c r="AB185" s="26" t="str">
        <x:v>DEFINED / NOT EXECUTED</x:v>
      </x:c>
    </x:row>
    <x:row r="186" ht="30" customHeight="1">
      <x:c r="A186" s="26" t="str">
        <x:v>H6</x:v>
      </x:c>
      <x:c r="B186" s="26" t="str">
        <x:v>H6-SAV-006</x:v>
      </x:c>
      <x:c r="C186" s="26" t="str">
        <x:v>Persistencia y recuperación</x:v>
      </x:c>
      <x:c r="D186" s="26" t="str">
        <x:v>Control especializado</x:v>
      </x:c>
      <x:c r="E186" s="26" t="str">
        <x:v>El versionado de save y la migración soportada están documentados y probados.</x:v>
      </x:c>
      <x:c r="F186" s="26" t="str">
        <x:v>Cargar fixtures de versiones admitidas.</x:v>
      </x:c>
      <x:c r="G186" s="26" t="str">
        <x:v>Cumplimiento verificable sin desviaciones bloqueantes.</x:v>
      </x:c>
      <x:c r="H186" s="26" t="str">
        <x:v>Migration test report.</x:v>
      </x:c>
      <x:c r="I186" s="26" t="str">
        <x:v>03_Technical_Design_Document.md; 04_Modelo_de_Datos.md; 26_Privacy_Data_and_Telemetry_Plan.md</x:v>
      </x:c>
      <x:c r="J186" s="26" t="str">
        <x:v>TDD/Modelo de Datos v0.3–v0.6; Sprint 2 save skeleton and later persistence records</x:v>
      </x:c>
      <x:c r="K186" s="26" t="str">
        <x:v>H6</x:v>
      </x:c>
      <x:c r="L186" s="26" t="str">
        <x:v>Yes</x:v>
      </x:c>
      <x:c r="M186" s="26" t="str">
        <x:v>P1</x:v>
      </x:c>
      <x:c r="N186" s="26" t="str">
        <x:v>Engineering</x:v>
      </x:c>
      <x:c r="O186" s="26" t="str">
        <x:v>QA/Architecture</x:v>
      </x:c>
      <x:c r="P186" s="26" t="str">
        <x:v>NOT RUN</x:v>
      </x:c>
      <x:c r="Q186" s="26"/>
      <x:c r="R186" s="26"/>
      <x:c r="S186" s="26"/>
      <x:c r="T186" s="26"/>
      <x:c r="U186" s="26"/>
      <x:c r="V186" s="26"/>
      <x:c r="W186" s="26" t="n">
        <x:v>1</x:v>
      </x:c>
      <x:c r="X186" s="26" t="n">
        <x:v>0</x:v>
      </x:c>
      <x:c r="Y186" s="26" t="n">
        <x:v>1</x:v>
      </x:c>
      <x:c r="Z186" s="26" t="str">
        <x:v>PENDING</x:v>
      </x:c>
      <x:c r="AA186" s="26" t="str">
        <x:v>CHG-RC1-DOC-31</x:v>
      </x:c>
      <x:c r="AB186" s="26" t="str">
        <x:v>DEFINED / NOT EXECUTED</x:v>
      </x:c>
    </x:row>
    <x:row r="187" ht="30" customHeight="1">
      <x:c r="A187" s="26" t="str">
        <x:v>H6</x:v>
      </x:c>
      <x:c r="B187" s="26" t="str">
        <x:v>H6-SAV-007</x:v>
      </x:c>
      <x:c r="C187" s="26" t="str">
        <x:v>Persistencia y recuperación</x:v>
      </x:c>
      <x:c r="D187" s="26" t="str">
        <x:v>Control especializado</x:v>
      </x:c>
      <x:c r="E187" s="26" t="str">
        <x:v>Archivo ausente/corrupto se maneja sin sobrescribir evidencia y con recuperación aprobada.</x:v>
      </x:c>
      <x:c r="F187" s="26" t="str">
        <x:v>Fault injection y restore/backup.</x:v>
      </x:c>
      <x:c r="G187" s="26" t="str">
        <x:v>Cumplimiento verificable sin desviaciones bloqueantes.</x:v>
      </x:c>
      <x:c r="H187" s="26" t="str">
        <x:v>Recovery record.</x:v>
      </x:c>
      <x:c r="I187" s="26" t="str">
        <x:v>03_Technical_Design_Document.md; 04_Modelo_de_Datos.md; 26_Privacy_Data_and_Telemetry_Plan.md</x:v>
      </x:c>
      <x:c r="J187" s="26" t="str">
        <x:v>TDD/Modelo de Datos v0.3–v0.6; Sprint 2 save skeleton and later persistence records</x:v>
      </x:c>
      <x:c r="K187" s="26" t="str">
        <x:v>H6</x:v>
      </x:c>
      <x:c r="L187" s="26" t="str">
        <x:v>Yes</x:v>
      </x:c>
      <x:c r="M187" s="26" t="str">
        <x:v>P0</x:v>
      </x:c>
      <x:c r="N187" s="26" t="str">
        <x:v>Engineering</x:v>
      </x:c>
      <x:c r="O187" s="26" t="str">
        <x:v>QA/Architecture</x:v>
      </x:c>
      <x:c r="P187" s="26" t="str">
        <x:v>NOT RUN</x:v>
      </x:c>
      <x:c r="Q187" s="26"/>
      <x:c r="R187" s="26"/>
      <x:c r="S187" s="26"/>
      <x:c r="T187" s="26"/>
      <x:c r="U187" s="26"/>
      <x:c r="V187" s="26"/>
      <x:c r="W187" s="26" t="n">
        <x:v>1</x:v>
      </x:c>
      <x:c r="X187" s="26" t="n">
        <x:v>0</x:v>
      </x:c>
      <x:c r="Y187" s="26" t="n">
        <x:v>1</x:v>
      </x:c>
      <x:c r="Z187" s="26" t="str">
        <x:v>PENDING</x:v>
      </x:c>
      <x:c r="AA187" s="26" t="str">
        <x:v>CHG-RC1-DOC-31</x:v>
      </x:c>
      <x:c r="AB187" s="26" t="str">
        <x:v>DEFINED / NOT EXECUTED</x:v>
      </x:c>
    </x:row>
    <x:row r="188" ht="30" customHeight="1">
      <x:c r="A188" s="26" t="str">
        <x:v>H6</x:v>
      </x:c>
      <x:c r="B188" s="26" t="str">
        <x:v>H6-SAV-008</x:v>
      </x:c>
      <x:c r="C188" s="26" t="str">
        <x:v>Persistencia y recuperación</x:v>
      </x:c>
      <x:c r="D188" s="26" t="str">
        <x:v>Control especializado</x:v>
      </x:c>
      <x:c r="E188" s="26" t="str">
        <x:v>El guardado/autosave no produce estado parcial si falla la escritura.</x:v>
      </x:c>
      <x:c r="F188" s="26" t="str">
        <x:v>Interrumpir escritura en entorno controlado.</x:v>
      </x:c>
      <x:c r="G188" s="26" t="str">
        <x:v>Cumplimiento verificable sin desviaciones bloqueantes.</x:v>
      </x:c>
      <x:c r="H188" s="26" t="str">
        <x:v>Atomicity/fault injection report.</x:v>
      </x:c>
      <x:c r="I188" s="26" t="str">
        <x:v>03_Technical_Design_Document.md; 04_Modelo_de_Datos.md; 26_Privacy_Data_and_Telemetry_Plan.md</x:v>
      </x:c>
      <x:c r="J188" s="26" t="str">
        <x:v>TDD/Modelo de Datos v0.3–v0.6; Sprint 2 save skeleton and later persistence records</x:v>
      </x:c>
      <x:c r="K188" s="26" t="str">
        <x:v>H6</x:v>
      </x:c>
      <x:c r="L188" s="26" t="str">
        <x:v>Yes</x:v>
      </x:c>
      <x:c r="M188" s="26" t="str">
        <x:v>P1</x:v>
      </x:c>
      <x:c r="N188" s="26" t="str">
        <x:v>Engineering</x:v>
      </x:c>
      <x:c r="O188" s="26" t="str">
        <x:v>QA/Architecture</x:v>
      </x:c>
      <x:c r="P188" s="26" t="str">
        <x:v>NOT RUN</x:v>
      </x:c>
      <x:c r="Q188" s="26"/>
      <x:c r="R188" s="26"/>
      <x:c r="S188" s="26"/>
      <x:c r="T188" s="26"/>
      <x:c r="U188" s="26"/>
      <x:c r="V188" s="26"/>
      <x:c r="W188" s="26" t="n">
        <x:v>1</x:v>
      </x:c>
      <x:c r="X188" s="26" t="n">
        <x:v>0</x:v>
      </x:c>
      <x:c r="Y188" s="26" t="n">
        <x:v>1</x:v>
      </x:c>
      <x:c r="Z188" s="26" t="str">
        <x:v>PENDING</x:v>
      </x:c>
      <x:c r="AA188" s="26" t="str">
        <x:v>CHG-RC1-DOC-31</x:v>
      </x:c>
      <x:c r="AB188" s="26" t="str">
        <x:v>DEFINED / NOT EXECUTED</x:v>
      </x:c>
    </x:row>
    <x:row r="189" ht="30" customHeight="1">
      <x:c r="A189" s="26" t="str">
        <x:v>H6</x:v>
      </x:c>
      <x:c r="B189" s="26" t="str">
        <x:v>H6-SAV-009</x:v>
      </x:c>
      <x:c r="C189" s="26" t="str">
        <x:v>Persistencia y recuperación</x:v>
      </x:c>
      <x:c r="D189" s="26" t="str">
        <x:v>Control especializado</x:v>
      </x:c>
      <x:c r="E189" s="26" t="str">
        <x:v>Los tiempos de guardar, salir y cargar cumplen el presupuesto o tienen desviación formal.</x:v>
      </x:c>
      <x:c r="F189" s="26" t="str">
        <x:v>Medir en hardware registrado y dataset representativo.</x:v>
      </x:c>
      <x:c r="G189" s="26" t="str">
        <x:v>Cumplimiento verificable sin desviaciones bloqueantes.</x:v>
      </x:c>
      <x:c r="H189" s="26" t="str">
        <x:v>Timing report.</x:v>
      </x:c>
      <x:c r="I189" s="26" t="str">
        <x:v>03_Technical_Design_Document.md; 04_Modelo_de_Datos.md; 26_Privacy_Data_and_Telemetry_Plan.md</x:v>
      </x:c>
      <x:c r="J189" s="26" t="str">
        <x:v>TDD/Modelo de Datos v0.3–v0.6; Sprint 2 save skeleton and later persistence records</x:v>
      </x:c>
      <x:c r="K189" s="26" t="str">
        <x:v>H6</x:v>
      </x:c>
      <x:c r="L189" s="26" t="str">
        <x:v>Yes</x:v>
      </x:c>
      <x:c r="M189" s="26" t="str">
        <x:v>P1</x:v>
      </x:c>
      <x:c r="N189" s="26" t="str">
        <x:v>Engineering</x:v>
      </x:c>
      <x:c r="O189" s="26" t="str">
        <x:v>QA/Architecture</x:v>
      </x:c>
      <x:c r="P189" s="26" t="str">
        <x:v>NOT RUN</x:v>
      </x:c>
      <x:c r="Q189" s="26"/>
      <x:c r="R189" s="26"/>
      <x:c r="S189" s="26"/>
      <x:c r="T189" s="26"/>
      <x:c r="U189" s="26"/>
      <x:c r="V189" s="26"/>
      <x:c r="W189" s="26" t="n">
        <x:v>1</x:v>
      </x:c>
      <x:c r="X189" s="26" t="n">
        <x:v>0</x:v>
      </x:c>
      <x:c r="Y189" s="26" t="n">
        <x:v>1</x:v>
      </x:c>
      <x:c r="Z189" s="26" t="str">
        <x:v>PENDING</x:v>
      </x:c>
      <x:c r="AA189" s="26" t="str">
        <x:v>CHG-RC1-DOC-31</x:v>
      </x:c>
      <x:c r="AB189" s="26" t="str">
        <x:v>DEFINED / NOT EXECUTED</x:v>
      </x:c>
    </x:row>
    <x:row r="190" ht="30" customHeight="1">
      <x:c r="A190" s="26" t="str">
        <x:v>H6</x:v>
      </x:c>
      <x:c r="B190" s="26" t="str">
        <x:v>H6-SAV-010</x:v>
      </x:c>
      <x:c r="C190" s="26" t="str">
        <x:v>Persistencia y recuperación</x:v>
      </x:c>
      <x:c r="D190" s="26" t="str">
        <x:v>Control especializado</x:v>
      </x:c>
      <x:c r="E190" s="26" t="str">
        <x:v>Los logs de persistencia no exponen datos sensibles ni rutas innecesarias en build candidata.</x:v>
      </x:c>
      <x:c r="F190" s="26" t="str">
        <x:v>Revisar Player.log y artefactos.</x:v>
      </x:c>
      <x:c r="G190" s="26" t="str">
        <x:v>Cumplimiento verificable sin desviaciones bloqueantes.</x:v>
      </x:c>
      <x:c r="H190" s="26" t="str">
        <x:v>Log privacy review.</x:v>
      </x:c>
      <x:c r="I190" s="26" t="str">
        <x:v>03_Technical_Design_Document.md; 04_Modelo_de_Datos.md; 26_Privacy_Data_and_Telemetry_Plan.md</x:v>
      </x:c>
      <x:c r="J190" s="26" t="str">
        <x:v>TDD/Modelo de Datos v0.3–v0.6; Sprint 2 save skeleton and later persistence records</x:v>
      </x:c>
      <x:c r="K190" s="26" t="str">
        <x:v>H6</x:v>
      </x:c>
      <x:c r="L190" s="26" t="str">
        <x:v>Yes</x:v>
      </x:c>
      <x:c r="M190" s="26" t="str">
        <x:v>P1</x:v>
      </x:c>
      <x:c r="N190" s="26" t="str">
        <x:v>Engineering</x:v>
      </x:c>
      <x:c r="O190" s="26" t="str">
        <x:v>QA/Architecture</x:v>
      </x:c>
      <x:c r="P190" s="26" t="str">
        <x:v>NOT RUN</x:v>
      </x:c>
      <x:c r="Q190" s="26"/>
      <x:c r="R190" s="26"/>
      <x:c r="S190" s="26"/>
      <x:c r="T190" s="26"/>
      <x:c r="U190" s="26"/>
      <x:c r="V190" s="26"/>
      <x:c r="W190" s="26" t="n">
        <x:v>1</x:v>
      </x:c>
      <x:c r="X190" s="26" t="n">
        <x:v>0</x:v>
      </x:c>
      <x:c r="Y190" s="26" t="n">
        <x:v>1</x:v>
      </x:c>
      <x:c r="Z190" s="26" t="str">
        <x:v>PENDING</x:v>
      </x:c>
      <x:c r="AA190" s="26" t="str">
        <x:v>CHG-RC1-DOC-31</x:v>
      </x:c>
      <x:c r="AB190" s="26" t="str">
        <x:v>DEFINED / NOT EXECUTED</x:v>
      </x:c>
    </x:row>
    <x:row r="191" ht="30" customHeight="1">
      <x:c r="A191" s="26" t="str">
        <x:v>H6</x:v>
      </x:c>
      <x:c r="B191" s="26" t="str">
        <x:v>H6-PER-001</x:v>
      </x:c>
      <x:c r="C191" s="26" t="str">
        <x:v>Rendimiento y estabilidad</x:v>
      </x:c>
      <x:c r="D191" s="26" t="str">
        <x:v>Control especializado</x:v>
      </x:c>
      <x:c r="E191" s="26" t="str">
        <x:v>La candidata se perfila en hardware registrado, build Player y escena representativa equipada.</x:v>
      </x:c>
      <x:c r="F191" s="26" t="str">
        <x:v>Ejecutar protocolo de 30 con metadata completa.</x:v>
      </x:c>
      <x:c r="G191" s="26" t="str">
        <x:v>Cumplimiento verificable sin desviaciones bloqueantes.</x:v>
      </x:c>
      <x:c r="H191" s="26" t="str">
        <x:v>Performance Run Record.</x:v>
      </x:c>
      <x:c r="I191" s="26" t="str">
        <x:v>30_Performance_and_Optimization_Plan.md; 02_Vertical_Slice_Specification.md</x:v>
      </x:c>
      <x:c r="J191" s="26" t="str">
        <x:v>TDD/VSS/Art/Audio historical v0.3–v0.6 performance targets</x:v>
      </x:c>
      <x:c r="K191" s="26" t="str">
        <x:v>Sprint 17 / H6</x:v>
      </x:c>
      <x:c r="L191" s="26" t="str">
        <x:v>Yes</x:v>
      </x:c>
      <x:c r="M191" s="26" t="str">
        <x:v>P0</x:v>
      </x:c>
      <x:c r="N191" s="26" t="str">
        <x:v>Engineering/QA</x:v>
      </x:c>
      <x:c r="O191" s="26" t="str">
        <x:v>Technical Direction</x:v>
      </x:c>
      <x:c r="P191" s="26" t="str">
        <x:v>NOT RUN</x:v>
      </x:c>
      <x:c r="Q191" s="26"/>
      <x:c r="R191" s="26"/>
      <x:c r="S191" s="26"/>
      <x:c r="T191" s="26"/>
      <x:c r="U191" s="26"/>
      <x:c r="V191" s="26"/>
      <x:c r="W191" s="26" t="n">
        <x:v>1</x:v>
      </x:c>
      <x:c r="X191" s="26" t="n">
        <x:v>0</x:v>
      </x:c>
      <x:c r="Y191" s="26" t="n">
        <x:v>1</x:v>
      </x:c>
      <x:c r="Z191" s="26" t="str">
        <x:v>PENDING</x:v>
      </x:c>
      <x:c r="AA191" s="26" t="str">
        <x:v>CHG-RC1-DOC-31</x:v>
      </x:c>
      <x:c r="AB191" s="26" t="str">
        <x:v>DEFINED / NOT EXECUTED</x:v>
      </x:c>
    </x:row>
    <x:row r="192" ht="30" customHeight="1">
      <x:c r="A192" s="26" t="str">
        <x:v>H6</x:v>
      </x:c>
      <x:c r="B192" s="26" t="str">
        <x:v>H6-PER-002</x:v>
      </x:c>
      <x:c r="C192" s="26" t="str">
        <x:v>Rendimiento y estabilidad</x:v>
      </x:c>
      <x:c r="D192" s="26" t="str">
        <x:v>Control especializado</x:v>
      </x:c>
      <x:c r="E192" s="26" t="str">
        <x:v>El objetivo provisional de 60 FPS a 1080p se mide con media, percentiles/frame time y desviaciones.</x:v>
      </x:c>
      <x:c r="F192" s="26" t="str">
        <x:v>Capturar métricas en escenarios definidos.</x:v>
      </x:c>
      <x:c r="G192" s="26" t="str">
        <x:v>Cumplimiento verificable sin desviaciones bloqueantes.</x:v>
      </x:c>
      <x:c r="H192" s="26" t="str">
        <x:v>Profiler/capture y tabla de resultados.</x:v>
      </x:c>
      <x:c r="I192" s="26" t="str">
        <x:v>30_Performance_and_Optimization_Plan.md; 02_Vertical_Slice_Specification.md</x:v>
      </x:c>
      <x:c r="J192" s="26" t="str">
        <x:v>TDD/VSS/Art/Audio historical v0.3–v0.6 performance targets</x:v>
      </x:c>
      <x:c r="K192" s="26" t="str">
        <x:v>Sprint 17 / H6</x:v>
      </x:c>
      <x:c r="L192" s="26" t="str">
        <x:v>Yes</x:v>
      </x:c>
      <x:c r="M192" s="26" t="str">
        <x:v>P1</x:v>
      </x:c>
      <x:c r="N192" s="26" t="str">
        <x:v>Engineering/QA</x:v>
      </x:c>
      <x:c r="O192" s="26" t="str">
        <x:v>Technical Direction</x:v>
      </x:c>
      <x:c r="P192" s="26" t="str">
        <x:v>NOT RUN</x:v>
      </x:c>
      <x:c r="Q192" s="26"/>
      <x:c r="R192" s="26"/>
      <x:c r="S192" s="26"/>
      <x:c r="T192" s="26"/>
      <x:c r="U192" s="26"/>
      <x:c r="V192" s="26"/>
      <x:c r="W192" s="26" t="n">
        <x:v>1</x:v>
      </x:c>
      <x:c r="X192" s="26" t="n">
        <x:v>0</x:v>
      </x:c>
      <x:c r="Y192" s="26" t="n">
        <x:v>1</x:v>
      </x:c>
      <x:c r="Z192" s="26" t="str">
        <x:v>PENDING</x:v>
      </x:c>
      <x:c r="AA192" s="26" t="str">
        <x:v>CHG-RC1-DOC-31</x:v>
      </x:c>
      <x:c r="AB192" s="26" t="str">
        <x:v>DEFINED / NOT EXECUTED</x:v>
      </x:c>
    </x:row>
    <x:row r="193" ht="30" customHeight="1">
      <x:c r="A193" s="26" t="str">
        <x:v>H6</x:v>
      </x:c>
      <x:c r="B193" s="26" t="str">
        <x:v>H6-PER-003</x:v>
      </x:c>
      <x:c r="C193" s="26" t="str">
        <x:v>Rendimiento y estabilidad</x:v>
      </x:c>
      <x:c r="D193" s="26" t="str">
        <x:v>Control especializado</x:v>
      </x:c>
      <x:c r="E193" s="26" t="str">
        <x:v>La prueba con hasta 8 clientes no presenta stutter persistente ni bloqueo de simulación.</x:v>
      </x:c>
      <x:c r="F193" s="26" t="str">
        <x:v>Ejecutar escenario de saturación.</x:v>
      </x:c>
      <x:c r="G193" s="26" t="str">
        <x:v>Cumplimiento verificable sin desviaciones bloqueantes.</x:v>
      </x:c>
      <x:c r="H193" s="26" t="str">
        <x:v>Frame-time trace y vídeo.</x:v>
      </x:c>
      <x:c r="I193" s="26" t="str">
        <x:v>30_Performance_and_Optimization_Plan.md; 02_Vertical_Slice_Specification.md</x:v>
      </x:c>
      <x:c r="J193" s="26" t="str">
        <x:v>TDD/VSS/Art/Audio historical v0.3–v0.6 performance targets</x:v>
      </x:c>
      <x:c r="K193" s="26" t="str">
        <x:v>Sprint 17 / H6</x:v>
      </x:c>
      <x:c r="L193" s="26" t="str">
        <x:v>Yes</x:v>
      </x:c>
      <x:c r="M193" s="26" t="str">
        <x:v>P1</x:v>
      </x:c>
      <x:c r="N193" s="26" t="str">
        <x:v>Engineering/QA</x:v>
      </x:c>
      <x:c r="O193" s="26" t="str">
        <x:v>Technical Direction</x:v>
      </x:c>
      <x:c r="P193" s="26" t="str">
        <x:v>NOT RUN</x:v>
      </x:c>
      <x:c r="Q193" s="26"/>
      <x:c r="R193" s="26"/>
      <x:c r="S193" s="26"/>
      <x:c r="T193" s="26"/>
      <x:c r="U193" s="26"/>
      <x:c r="V193" s="26"/>
      <x:c r="W193" s="26" t="n">
        <x:v>1</x:v>
      </x:c>
      <x:c r="X193" s="26" t="n">
        <x:v>0</x:v>
      </x:c>
      <x:c r="Y193" s="26" t="n">
        <x:v>1</x:v>
      </x:c>
      <x:c r="Z193" s="26" t="str">
        <x:v>PENDING</x:v>
      </x:c>
      <x:c r="AA193" s="26" t="str">
        <x:v>CHG-RC1-DOC-31</x:v>
      </x:c>
      <x:c r="AB193" s="26" t="str">
        <x:v>DEFINED / NOT EXECUTED</x:v>
      </x:c>
    </x:row>
    <x:row r="194" ht="30" customHeight="1">
      <x:c r="A194" s="26" t="str">
        <x:v>H6</x:v>
      </x:c>
      <x:c r="B194" s="26" t="str">
        <x:v>H6-PER-004</x:v>
      </x:c>
      <x:c r="C194" s="26" t="str">
        <x:v>Rendimiento y estabilidad</x:v>
      </x:c>
      <x:c r="D194" s="26" t="str">
        <x:v>Control especializado</x:v>
      </x:c>
      <x:c r="E194" s="26" t="str">
        <x:v>El tiempo de carga del slice se mide frente al objetivo histórico &lt;5 s.</x:v>
      </x:c>
      <x:c r="F194" s="26" t="str">
        <x:v>Medir cold/warm load con protocolo repetible.</x:v>
      </x:c>
      <x:c r="G194" s="26" t="str">
        <x:v>Cumplimiento verificable sin desviaciones bloqueantes.</x:v>
      </x:c>
      <x:c r="H194" s="26" t="str">
        <x:v>Load timing report.</x:v>
      </x:c>
      <x:c r="I194" s="26" t="str">
        <x:v>30_Performance_and_Optimization_Plan.md; 02_Vertical_Slice_Specification.md</x:v>
      </x:c>
      <x:c r="J194" s="26" t="str">
        <x:v>TDD/VSS/Art/Audio historical v0.3–v0.6 performance targets</x:v>
      </x:c>
      <x:c r="K194" s="26" t="str">
        <x:v>Sprint 17 / H6</x:v>
      </x:c>
      <x:c r="L194" s="26" t="str">
        <x:v>Yes</x:v>
      </x:c>
      <x:c r="M194" s="26" t="str">
        <x:v>P1</x:v>
      </x:c>
      <x:c r="N194" s="26" t="str">
        <x:v>Engineering/QA</x:v>
      </x:c>
      <x:c r="O194" s="26" t="str">
        <x:v>Technical Direction</x:v>
      </x:c>
      <x:c r="P194" s="26" t="str">
        <x:v>NOT RUN</x:v>
      </x:c>
      <x:c r="Q194" s="26"/>
      <x:c r="R194" s="26"/>
      <x:c r="S194" s="26"/>
      <x:c r="T194" s="26"/>
      <x:c r="U194" s="26"/>
      <x:c r="V194" s="26"/>
      <x:c r="W194" s="26" t="n">
        <x:v>1</x:v>
      </x:c>
      <x:c r="X194" s="26" t="n">
        <x:v>0</x:v>
      </x:c>
      <x:c r="Y194" s="26" t="n">
        <x:v>1</x:v>
      </x:c>
      <x:c r="Z194" s="26" t="str">
        <x:v>PENDING</x:v>
      </x:c>
      <x:c r="AA194" s="26" t="str">
        <x:v>CHG-RC1-DOC-31</x:v>
      </x:c>
      <x:c r="AB194" s="26" t="str">
        <x:v>DEFINED / NOT EXECUTED</x:v>
      </x:c>
    </x:row>
    <x:row r="195" ht="30" customHeight="1">
      <x:c r="A195" s="26" t="str">
        <x:v>H6</x:v>
      </x:c>
      <x:c r="B195" s="26" t="str">
        <x:v>H6-PER-005</x:v>
      </x:c>
      <x:c r="C195" s="26" t="str">
        <x:v>Rendimiento y estabilidad</x:v>
      </x:c>
      <x:c r="D195" s="26" t="str">
        <x:v>Control especializado</x:v>
      </x:c>
      <x:c r="E195" s="26" t="str">
        <x:v>Guardar/cerrar se mide frente al objetivo histórico &lt;2 s o se documenta desviación.</x:v>
      </x:c>
      <x:c r="F195" s="26" t="str">
        <x:v>Medir múltiples datasets.</x:v>
      </x:c>
      <x:c r="G195" s="26" t="str">
        <x:v>Cumplimiento verificable sin desviaciones bloqueantes.</x:v>
      </x:c>
      <x:c r="H195" s="26" t="str">
        <x:v>Save/exit timing report.</x:v>
      </x:c>
      <x:c r="I195" s="26" t="str">
        <x:v>30_Performance_and_Optimization_Plan.md; 02_Vertical_Slice_Specification.md</x:v>
      </x:c>
      <x:c r="J195" s="26" t="str">
        <x:v>TDD/VSS/Art/Audio historical v0.3–v0.6 performance targets</x:v>
      </x:c>
      <x:c r="K195" s="26" t="str">
        <x:v>Sprint 17 / H6</x:v>
      </x:c>
      <x:c r="L195" s="26" t="str">
        <x:v>Yes</x:v>
      </x:c>
      <x:c r="M195" s="26" t="str">
        <x:v>P1</x:v>
      </x:c>
      <x:c r="N195" s="26" t="str">
        <x:v>Engineering/QA</x:v>
      </x:c>
      <x:c r="O195" s="26" t="str">
        <x:v>Technical Direction</x:v>
      </x:c>
      <x:c r="P195" s="26" t="str">
        <x:v>NOT RUN</x:v>
      </x:c>
      <x:c r="Q195" s="26"/>
      <x:c r="R195" s="26"/>
      <x:c r="S195" s="26"/>
      <x:c r="T195" s="26"/>
      <x:c r="U195" s="26"/>
      <x:c r="V195" s="26"/>
      <x:c r="W195" s="26" t="n">
        <x:v>1</x:v>
      </x:c>
      <x:c r="X195" s="26" t="n">
        <x:v>0</x:v>
      </x:c>
      <x:c r="Y195" s="26" t="n">
        <x:v>1</x:v>
      </x:c>
      <x:c r="Z195" s="26" t="str">
        <x:v>PENDING</x:v>
      </x:c>
      <x:c r="AA195" s="26" t="str">
        <x:v>CHG-RC1-DOC-31</x:v>
      </x:c>
      <x:c r="AB195" s="26" t="str">
        <x:v>DEFINED / NOT EXECUTED</x:v>
      </x:c>
    </x:row>
    <x:row r="196" ht="30" customHeight="1">
      <x:c r="A196" s="26" t="str">
        <x:v>H6</x:v>
      </x:c>
      <x:c r="B196" s="26" t="str">
        <x:v>H6-PER-006</x:v>
      </x:c>
      <x:c r="C196" s="26" t="str">
        <x:v>Rendimiento y estabilidad</x:v>
      </x:c>
      <x:c r="D196" s="26" t="str">
        <x:v>Control especializado</x:v>
      </x:c>
      <x:c r="E196" s="26" t="str">
        <x:v>Las allocations por frame en estado estable son próximas a cero o están justificadas.</x:v>
      </x:c>
      <x:c r="F196" s="26" t="str">
        <x:v>Profiler Memory/GC durante simulación estable.</x:v>
      </x:c>
      <x:c r="G196" s="26" t="str">
        <x:v>Cumplimiento verificable sin desviaciones bloqueantes.</x:v>
      </x:c>
      <x:c r="H196" s="26" t="str">
        <x:v>Allocation capture.</x:v>
      </x:c>
      <x:c r="I196" s="26" t="str">
        <x:v>30_Performance_and_Optimization_Plan.md; 02_Vertical_Slice_Specification.md</x:v>
      </x:c>
      <x:c r="J196" s="26" t="str">
        <x:v>TDD/VSS/Art/Audio historical v0.3–v0.6 performance targets</x:v>
      </x:c>
      <x:c r="K196" s="26" t="str">
        <x:v>Sprint 17 / H6</x:v>
      </x:c>
      <x:c r="L196" s="26" t="str">
        <x:v>Yes</x:v>
      </x:c>
      <x:c r="M196" s="26" t="str">
        <x:v>P1</x:v>
      </x:c>
      <x:c r="N196" s="26" t="str">
        <x:v>Engineering/QA</x:v>
      </x:c>
      <x:c r="O196" s="26" t="str">
        <x:v>Technical Direction</x:v>
      </x:c>
      <x:c r="P196" s="26" t="str">
        <x:v>NOT RUN</x:v>
      </x:c>
      <x:c r="Q196" s="26"/>
      <x:c r="R196" s="26"/>
      <x:c r="S196" s="26"/>
      <x:c r="T196" s="26"/>
      <x:c r="U196" s="26"/>
      <x:c r="V196" s="26"/>
      <x:c r="W196" s="26" t="n">
        <x:v>1</x:v>
      </x:c>
      <x:c r="X196" s="26" t="n">
        <x:v>0</x:v>
      </x:c>
      <x:c r="Y196" s="26" t="n">
        <x:v>1</x:v>
      </x:c>
      <x:c r="Z196" s="26" t="str">
        <x:v>PENDING</x:v>
      </x:c>
      <x:c r="AA196" s="26" t="str">
        <x:v>CHG-RC1-DOC-31</x:v>
      </x:c>
      <x:c r="AB196" s="26" t="str">
        <x:v>DEFINED / NOT EXECUTED</x:v>
      </x:c>
    </x:row>
    <x:row r="197" ht="30" customHeight="1">
      <x:c r="A197" s="26" t="str">
        <x:v>H6</x:v>
      </x:c>
      <x:c r="B197" s="26" t="str">
        <x:v>H6-PER-007</x:v>
      </x:c>
      <x:c r="C197" s="26" t="str">
        <x:v>Rendimiento y estabilidad</x:v>
      </x:c>
      <x:c r="D197" s="26" t="str">
        <x:v>Control especializado</x:v>
      </x:c>
      <x:c r="E197" s="26" t="str">
        <x:v>No existe crecimiento de memoria grave durante Golden Path, siete días y soak.</x:v>
      </x:c>
      <x:c r="F197" s="26" t="str">
        <x:v>Registrar memoria inicial, picos y final.</x:v>
      </x:c>
      <x:c r="G197" s="26" t="str">
        <x:v>Cumplimiento verificable sin desviaciones bloqueantes.</x:v>
      </x:c>
      <x:c r="H197" s="26" t="str">
        <x:v>Memory timeline.</x:v>
      </x:c>
      <x:c r="I197" s="26" t="str">
        <x:v>30_Performance_and_Optimization_Plan.md; 02_Vertical_Slice_Specification.md</x:v>
      </x:c>
      <x:c r="J197" s="26" t="str">
        <x:v>TDD/VSS/Art/Audio historical v0.3–v0.6 performance targets</x:v>
      </x:c>
      <x:c r="K197" s="26" t="str">
        <x:v>Sprint 17 / H6</x:v>
      </x:c>
      <x:c r="L197" s="26" t="str">
        <x:v>Yes</x:v>
      </x:c>
      <x:c r="M197" s="26" t="str">
        <x:v>P1</x:v>
      </x:c>
      <x:c r="N197" s="26" t="str">
        <x:v>Engineering/QA</x:v>
      </x:c>
      <x:c r="O197" s="26" t="str">
        <x:v>Technical Direction</x:v>
      </x:c>
      <x:c r="P197" s="26" t="str">
        <x:v>NOT RUN</x:v>
      </x:c>
      <x:c r="Q197" s="26"/>
      <x:c r="R197" s="26"/>
      <x:c r="S197" s="26"/>
      <x:c r="T197" s="26"/>
      <x:c r="U197" s="26"/>
      <x:c r="V197" s="26"/>
      <x:c r="W197" s="26" t="n">
        <x:v>1</x:v>
      </x:c>
      <x:c r="X197" s="26" t="n">
        <x:v>0</x:v>
      </x:c>
      <x:c r="Y197" s="26" t="n">
        <x:v>1</x:v>
      </x:c>
      <x:c r="Z197" s="26" t="str">
        <x:v>PENDING</x:v>
      </x:c>
      <x:c r="AA197" s="26" t="str">
        <x:v>CHG-RC1-DOC-31</x:v>
      </x:c>
      <x:c r="AB197" s="26" t="str">
        <x:v>DEFINED / NOT EXECUTED</x:v>
      </x:c>
    </x:row>
    <x:row r="198" ht="30" customHeight="1">
      <x:c r="A198" s="26" t="str">
        <x:v>H6</x:v>
      </x:c>
      <x:c r="B198" s="26" t="str">
        <x:v>H6-PER-008</x:v>
      </x:c>
      <x:c r="C198" s="26" t="str">
        <x:v>Rendimiento y estabilidad</x:v>
      </x:c>
      <x:c r="D198" s="26" t="str">
        <x:v>Control especializado</x:v>
      </x:c>
      <x:c r="E198" s="26" t="str">
        <x:v>No hay degradación acumulativa de FPS, navegación, audio o UI durante sesión extensa.</x:v>
      </x:c>
      <x:c r="F198" s="26" t="str">
        <x:v>Comparar ventanas temporales de soak.</x:v>
      </x:c>
      <x:c r="G198" s="26" t="str">
        <x:v>Cumplimiento verificable sin desviaciones bloqueantes.</x:v>
      </x:c>
      <x:c r="H198" s="26" t="str">
        <x:v>Soak report.</x:v>
      </x:c>
      <x:c r="I198" s="26" t="str">
        <x:v>30_Performance_and_Optimization_Plan.md; 02_Vertical_Slice_Specification.md</x:v>
      </x:c>
      <x:c r="J198" s="26" t="str">
        <x:v>TDD/VSS/Art/Audio historical v0.3–v0.6 performance targets</x:v>
      </x:c>
      <x:c r="K198" s="26" t="str">
        <x:v>Sprint 17 / H6</x:v>
      </x:c>
      <x:c r="L198" s="26" t="str">
        <x:v>Yes</x:v>
      </x:c>
      <x:c r="M198" s="26" t="str">
        <x:v>P1</x:v>
      </x:c>
      <x:c r="N198" s="26" t="str">
        <x:v>Engineering/QA</x:v>
      </x:c>
      <x:c r="O198" s="26" t="str">
        <x:v>Technical Direction</x:v>
      </x:c>
      <x:c r="P198" s="26" t="str">
        <x:v>NOT RUN</x:v>
      </x:c>
      <x:c r="Q198" s="26"/>
      <x:c r="R198" s="26"/>
      <x:c r="S198" s="26"/>
      <x:c r="T198" s="26"/>
      <x:c r="U198" s="26"/>
      <x:c r="V198" s="26"/>
      <x:c r="W198" s="26" t="n">
        <x:v>1</x:v>
      </x:c>
      <x:c r="X198" s="26" t="n">
        <x:v>0</x:v>
      </x:c>
      <x:c r="Y198" s="26" t="n">
        <x:v>1</x:v>
      </x:c>
      <x:c r="Z198" s="26" t="str">
        <x:v>PENDING</x:v>
      </x:c>
      <x:c r="AA198" s="26" t="str">
        <x:v>CHG-RC1-DOC-31</x:v>
      </x:c>
      <x:c r="AB198" s="26" t="str">
        <x:v>DEFINED / NOT EXECUTED</x:v>
      </x:c>
    </x:row>
    <x:row r="199" ht="30" customHeight="1">
      <x:c r="A199" s="26" t="str">
        <x:v>H6</x:v>
      </x:c>
      <x:c r="B199" s="26" t="str">
        <x:v>H6-PER-009</x:v>
      </x:c>
      <x:c r="C199" s="26" t="str">
        <x:v>Rendimiento y estabilidad</x:v>
      </x:c>
      <x:c r="D199" s="26" t="str">
        <x:v>Control especializado</x:v>
      </x:c>
      <x:c r="E199" s="26" t="str">
        <x:v>Sombras, SSAO, luces, transparencias y VFX se revisan en el coste real de StoreInitial.</x:v>
      </x:c>
      <x:c r="F199" s="26" t="str">
        <x:v>GPU profiling y pruebas de toggles diagnósticos.</x:v>
      </x:c>
      <x:c r="G199" s="26" t="str">
        <x:v>Cumplimiento verificable sin desviaciones bloqueantes.</x:v>
      </x:c>
      <x:c r="H199" s="26" t="str">
        <x:v>GPU budget report.</x:v>
      </x:c>
      <x:c r="I199" s="26" t="str">
        <x:v>30_Performance_and_Optimization_Plan.md; 02_Vertical_Slice_Specification.md</x:v>
      </x:c>
      <x:c r="J199" s="26" t="str">
        <x:v>TDD/VSS/Art/Audio historical v0.3–v0.6 performance targets</x:v>
      </x:c>
      <x:c r="K199" s="26" t="str">
        <x:v>Sprint 17 / H6</x:v>
      </x:c>
      <x:c r="L199" s="26" t="str">
        <x:v>Yes</x:v>
      </x:c>
      <x:c r="M199" s="26" t="str">
        <x:v>P1</x:v>
      </x:c>
      <x:c r="N199" s="26" t="str">
        <x:v>Engineering/QA</x:v>
      </x:c>
      <x:c r="O199" s="26" t="str">
        <x:v>Technical Direction</x:v>
      </x:c>
      <x:c r="P199" s="26" t="str">
        <x:v>NOT RUN</x:v>
      </x:c>
      <x:c r="Q199" s="26"/>
      <x:c r="R199" s="26"/>
      <x:c r="S199" s="26"/>
      <x:c r="T199" s="26"/>
      <x:c r="U199" s="26"/>
      <x:c r="V199" s="26"/>
      <x:c r="W199" s="26" t="n">
        <x:v>1</x:v>
      </x:c>
      <x:c r="X199" s="26" t="n">
        <x:v>0</x:v>
      </x:c>
      <x:c r="Y199" s="26" t="n">
        <x:v>1</x:v>
      </x:c>
      <x:c r="Z199" s="26" t="str">
        <x:v>PENDING</x:v>
      </x:c>
      <x:c r="AA199" s="26" t="str">
        <x:v>CHG-RC1-DOC-31</x:v>
      </x:c>
      <x:c r="AB199" s="26" t="str">
        <x:v>DEFINED / NOT EXECUTED</x:v>
      </x:c>
    </x:row>
    <x:row r="200" ht="30" customHeight="1">
      <x:c r="A200" s="26" t="str">
        <x:v>H6</x:v>
      </x:c>
      <x:c r="B200" s="26" t="str">
        <x:v>H6-PER-010</x:v>
      </x:c>
      <x:c r="C200" s="26" t="str">
        <x:v>Rendimiento y estabilidad</x:v>
      </x:c>
      <x:c r="D200" s="26" t="str">
        <x:v>Control especializado</x:v>
      </x:c>
      <x:c r="E200" s="26" t="str">
        <x:v>La UI y localización extrema no generan spikes frecuentes de layout o GC.</x:v>
      </x:c>
      <x:c r="F200" s="26" t="str">
        <x:v>Profiler con ES/EN y escalas 80/150 %.</x:v>
      </x:c>
      <x:c r="G200" s="26" t="str">
        <x:v>Cumplimiento verificable sin desviaciones bloqueantes.</x:v>
      </x:c>
      <x:c r="H200" s="26" t="str">
        <x:v>UI performance trace.</x:v>
      </x:c>
      <x:c r="I200" s="26" t="str">
        <x:v>30_Performance_and_Optimization_Plan.md; 02_Vertical_Slice_Specification.md</x:v>
      </x:c>
      <x:c r="J200" s="26" t="str">
        <x:v>TDD/VSS/Art/Audio historical v0.3–v0.6 performance targets</x:v>
      </x:c>
      <x:c r="K200" s="26" t="str">
        <x:v>Sprint 17 / H6</x:v>
      </x:c>
      <x:c r="L200" s="26" t="str">
        <x:v>Yes</x:v>
      </x:c>
      <x:c r="M200" s="26" t="str">
        <x:v>P1</x:v>
      </x:c>
      <x:c r="N200" s="26" t="str">
        <x:v>Engineering/QA</x:v>
      </x:c>
      <x:c r="O200" s="26" t="str">
        <x:v>Technical Direction</x:v>
      </x:c>
      <x:c r="P200" s="26" t="str">
        <x:v>NOT RUN</x:v>
      </x:c>
      <x:c r="Q200" s="26"/>
      <x:c r="R200" s="26"/>
      <x:c r="S200" s="26"/>
      <x:c r="T200" s="26"/>
      <x:c r="U200" s="26"/>
      <x:c r="V200" s="26"/>
      <x:c r="W200" s="26" t="n">
        <x:v>1</x:v>
      </x:c>
      <x:c r="X200" s="26" t="n">
        <x:v>0</x:v>
      </x:c>
      <x:c r="Y200" s="26" t="n">
        <x:v>1</x:v>
      </x:c>
      <x:c r="Z200" s="26" t="str">
        <x:v>PENDING</x:v>
      </x:c>
      <x:c r="AA200" s="26" t="str">
        <x:v>CHG-RC1-DOC-31</x:v>
      </x:c>
      <x:c r="AB200" s="26" t="str">
        <x:v>DEFINED / NOT EXECUTED</x:v>
      </x:c>
    </x:row>
    <x:row r="201" ht="30" customHeight="1">
      <x:c r="A201" s="26" t="str">
        <x:v>H6</x:v>
      </x:c>
      <x:c r="B201" s="26" t="str">
        <x:v>H6-PER-011</x:v>
      </x:c>
      <x:c r="C201" s="26" t="str">
        <x:v>Rendimiento y estabilidad</x:v>
      </x:c>
      <x:c r="D201" s="26" t="str">
        <x:v>Control especializado</x:v>
      </x:c>
      <x:c r="E201" s="26" t="str">
        <x:v>Audio y número de voces permanecen dentro del presupuesto durante saturación.</x:v>
      </x:c>
      <x:c r="F201" s="26" t="str">
        <x:v>Audio Profiler con eventos simultáneos.</x:v>
      </x:c>
      <x:c r="G201" s="26" t="str">
        <x:v>Cumplimiento verificable sin desviaciones bloqueantes.</x:v>
      </x:c>
      <x:c r="H201" s="26" t="str">
        <x:v>Audio performance record.</x:v>
      </x:c>
      <x:c r="I201" s="26" t="str">
        <x:v>30_Performance_and_Optimization_Plan.md; 02_Vertical_Slice_Specification.md</x:v>
      </x:c>
      <x:c r="J201" s="26" t="str">
        <x:v>TDD/VSS/Art/Audio historical v0.3–v0.6 performance targets</x:v>
      </x:c>
      <x:c r="K201" s="26" t="str">
        <x:v>Sprint 17 / H6</x:v>
      </x:c>
      <x:c r="L201" s="26" t="str">
        <x:v>Yes</x:v>
      </x:c>
      <x:c r="M201" s="26" t="str">
        <x:v>P1</x:v>
      </x:c>
      <x:c r="N201" s="26" t="str">
        <x:v>Engineering/QA</x:v>
      </x:c>
      <x:c r="O201" s="26" t="str">
        <x:v>Technical Direction</x:v>
      </x:c>
      <x:c r="P201" s="26" t="str">
        <x:v>NOT RUN</x:v>
      </x:c>
      <x:c r="Q201" s="26"/>
      <x:c r="R201" s="26"/>
      <x:c r="S201" s="26"/>
      <x:c r="T201" s="26"/>
      <x:c r="U201" s="26"/>
      <x:c r="V201" s="26"/>
      <x:c r="W201" s="26" t="n">
        <x:v>1</x:v>
      </x:c>
      <x:c r="X201" s="26" t="n">
        <x:v>0</x:v>
      </x:c>
      <x:c r="Y201" s="26" t="n">
        <x:v>1</x:v>
      </x:c>
      <x:c r="Z201" s="26" t="str">
        <x:v>PENDING</x:v>
      </x:c>
      <x:c r="AA201" s="26" t="str">
        <x:v>CHG-RC1-DOC-31</x:v>
      </x:c>
      <x:c r="AB201" s="26" t="str">
        <x:v>DEFINED / NOT EXECUTED</x:v>
      </x:c>
    </x:row>
    <x:row r="202" ht="30" customHeight="1">
      <x:c r="A202" s="26" t="str">
        <x:v>H6</x:v>
      </x:c>
      <x:c r="B202" s="26" t="str">
        <x:v>H6-PER-012</x:v>
      </x:c>
      <x:c r="C202" s="26" t="str">
        <x:v>Rendimiento y estabilidad</x:v>
      </x:c>
      <x:c r="D202" s="26" t="str">
        <x:v>Control especializado</x:v>
      </x:c>
      <x:c r="E202" s="26" t="str">
        <x:v>La resolución, modo de ventana, VSync y frame cap tienen decisión de producto cerrada para H6.</x:v>
      </x:c>
      <x:c r="F202" s="26" t="str">
        <x:v>Revisar settings y validarlos en build.</x:v>
      </x:c>
      <x:c r="G202" s="26" t="str">
        <x:v>Cumplimiento verificable sin desviaciones bloqueantes.</x:v>
      </x:c>
      <x:c r="H202" s="26" t="str">
        <x:v>PC presentation decision record.</x:v>
      </x:c>
      <x:c r="I202" s="26" t="str">
        <x:v>30_Performance_and_Optimization_Plan.md; 02_Vertical_Slice_Specification.md</x:v>
      </x:c>
      <x:c r="J202" s="26" t="str">
        <x:v>TDD/VSS/Art/Audio historical v0.3–v0.6 performance targets</x:v>
      </x:c>
      <x:c r="K202" s="26" t="str">
        <x:v>Sprint 17 / H6</x:v>
      </x:c>
      <x:c r="L202" s="26" t="str">
        <x:v>Yes</x:v>
      </x:c>
      <x:c r="M202" s="26" t="str">
        <x:v>P1</x:v>
      </x:c>
      <x:c r="N202" s="26" t="str">
        <x:v>Engineering/QA</x:v>
      </x:c>
      <x:c r="O202" s="26" t="str">
        <x:v>Technical Direction</x:v>
      </x:c>
      <x:c r="P202" s="26" t="str">
        <x:v>NOT RUN</x:v>
      </x:c>
      <x:c r="Q202" s="26"/>
      <x:c r="R202" s="26"/>
      <x:c r="S202" s="26"/>
      <x:c r="T202" s="26"/>
      <x:c r="U202" s="26"/>
      <x:c r="V202" s="26"/>
      <x:c r="W202" s="26" t="n">
        <x:v>1</x:v>
      </x:c>
      <x:c r="X202" s="26" t="n">
        <x:v>0</x:v>
      </x:c>
      <x:c r="Y202" s="26" t="n">
        <x:v>1</x:v>
      </x:c>
      <x:c r="Z202" s="26" t="str">
        <x:v>PENDING</x:v>
      </x:c>
      <x:c r="AA202" s="26" t="str">
        <x:v>CHG-RC1-DOC-31</x:v>
      </x:c>
      <x:c r="AB202" s="26" t="str">
        <x:v>DEFINED / NOT EXECUTED</x:v>
      </x:c>
    </x:row>
    <x:row r="203" ht="30" customHeight="1">
      <x:c r="A203" s="26" t="str">
        <x:v>H6</x:v>
      </x:c>
      <x:c r="B203" s="26" t="str">
        <x:v>H6-PER-013</x:v>
      </x:c>
      <x:c r="C203" s="26" t="str">
        <x:v>Rendimiento y estabilidad</x:v>
      </x:c>
      <x:c r="D203" s="26" t="str">
        <x:v>Control especializado</x:v>
      </x:c>
      <x:c r="E203" s="26" t="str">
        <x:v>Los presets o settings disponibles no permiten una configuración rota o no probada.</x:v>
      </x:c>
      <x:c r="F203" s="26" t="str">
        <x:v>Ejecutar combinaciones soportadas.</x:v>
      </x:c>
      <x:c r="G203" s="26" t="str">
        <x:v>Cumplimiento verificable sin desviaciones bloqueantes.</x:v>
      </x:c>
      <x:c r="H203" s="26" t="str">
        <x:v>Settings matrix.</x:v>
      </x:c>
      <x:c r="I203" s="26" t="str">
        <x:v>30_Performance_and_Optimization_Plan.md; 02_Vertical_Slice_Specification.md</x:v>
      </x:c>
      <x:c r="J203" s="26" t="str">
        <x:v>TDD/VSS/Art/Audio historical v0.3–v0.6 performance targets</x:v>
      </x:c>
      <x:c r="K203" s="26" t="str">
        <x:v>Sprint 17 / H6</x:v>
      </x:c>
      <x:c r="L203" s="26" t="str">
        <x:v>Yes</x:v>
      </x:c>
      <x:c r="M203" s="26" t="str">
        <x:v>P1</x:v>
      </x:c>
      <x:c r="N203" s="26" t="str">
        <x:v>Engineering/QA</x:v>
      </x:c>
      <x:c r="O203" s="26" t="str">
        <x:v>Technical Direction</x:v>
      </x:c>
      <x:c r="P203" s="26" t="str">
        <x:v>NOT RUN</x:v>
      </x:c>
      <x:c r="Q203" s="26"/>
      <x:c r="R203" s="26"/>
      <x:c r="S203" s="26"/>
      <x:c r="T203" s="26"/>
      <x:c r="U203" s="26"/>
      <x:c r="V203" s="26"/>
      <x:c r="W203" s="26" t="n">
        <x:v>1</x:v>
      </x:c>
      <x:c r="X203" s="26" t="n">
        <x:v>0</x:v>
      </x:c>
      <x:c r="Y203" s="26" t="n">
        <x:v>1</x:v>
      </x:c>
      <x:c r="Z203" s="26" t="str">
        <x:v>PENDING</x:v>
      </x:c>
      <x:c r="AA203" s="26" t="str">
        <x:v>CHG-RC1-DOC-31</x:v>
      </x:c>
      <x:c r="AB203" s="26" t="str">
        <x:v>DEFINED / NOT EXECUTED</x:v>
      </x:c>
    </x:row>
    <x:row r="204" ht="30" customHeight="1">
      <x:c r="A204" s="26" t="str">
        <x:v>H6</x:v>
      </x:c>
      <x:c r="B204" s="26" t="str">
        <x:v>H6-PER-014</x:v>
      </x:c>
      <x:c r="C204" s="26" t="str">
        <x:v>Rendimiento y estabilidad</x:v>
      </x:c>
      <x:c r="D204" s="26" t="str">
        <x:v>Control especializado</x:v>
      </x:c>
      <x:c r="E204" s="26" t="str">
        <x:v>Toda desviación del presupuesto incluye escenario, hardware, impacto y plan de mitigación.</x:v>
      </x:c>
      <x:c r="F204" s="26" t="str">
        <x:v>Revisar Performance Exceptions.</x:v>
      </x:c>
      <x:c r="G204" s="26" t="str">
        <x:v>Cumplimiento verificable sin desviaciones bloqueantes.</x:v>
      </x:c>
      <x:c r="H204" s="26" t="str">
        <x:v>Registro de desviaciones.</x:v>
      </x:c>
      <x:c r="I204" s="26" t="str">
        <x:v>30_Performance_and_Optimization_Plan.md; 02_Vertical_Slice_Specification.md</x:v>
      </x:c>
      <x:c r="J204" s="26" t="str">
        <x:v>TDD/VSS/Art/Audio historical v0.3–v0.6 performance targets</x:v>
      </x:c>
      <x:c r="K204" s="26" t="str">
        <x:v>Sprint 17 / H6</x:v>
      </x:c>
      <x:c r="L204" s="26" t="str">
        <x:v>Yes</x:v>
      </x:c>
      <x:c r="M204" s="26" t="str">
        <x:v>P1</x:v>
      </x:c>
      <x:c r="N204" s="26" t="str">
        <x:v>Engineering/QA</x:v>
      </x:c>
      <x:c r="O204" s="26" t="str">
        <x:v>Technical Direction</x:v>
      </x:c>
      <x:c r="P204" s="26" t="str">
        <x:v>NOT RUN</x:v>
      </x:c>
      <x:c r="Q204" s="26"/>
      <x:c r="R204" s="26"/>
      <x:c r="S204" s="26"/>
      <x:c r="T204" s="26"/>
      <x:c r="U204" s="26"/>
      <x:c r="V204" s="26"/>
      <x:c r="W204" s="26" t="n">
        <x:v>1</x:v>
      </x:c>
      <x:c r="X204" s="26" t="n">
        <x:v>0</x:v>
      </x:c>
      <x:c r="Y204" s="26" t="n">
        <x:v>1</x:v>
      </x:c>
      <x:c r="Z204" s="26" t="str">
        <x:v>PENDING</x:v>
      </x:c>
      <x:c r="AA204" s="26" t="str">
        <x:v>CHG-RC1-DOC-31</x:v>
      </x:c>
      <x:c r="AB204" s="26" t="str">
        <x:v>DEFINED / NOT EXECUTED</x:v>
      </x:c>
    </x:row>
    <x:row r="205" ht="30" customHeight="1">
      <x:c r="A205" s="26" t="str">
        <x:v>H6</x:v>
      </x:c>
      <x:c r="B205" s="26" t="str">
        <x:v>H6-BLD-001</x:v>
      </x:c>
      <x:c r="C205" s="26" t="str">
        <x:v>Build, versión e integridad</x:v>
      </x:c>
      <x:c r="D205" s="26" t="str">
        <x:v>Control especializado</x:v>
      </x:c>
      <x:c r="E205" s="26" t="str">
        <x:v>Existe un Build Profile H6 controlado con Bootstrap, MainMenu y StoreInitial, sin TestLab ni escenas no autorizadas.</x:v>
      </x:c>
      <x:c r="F205" s="26" t="str">
        <x:v>Inspeccionar profile y manifest de escenas.</x:v>
      </x:c>
      <x:c r="G205" s="26" t="str">
        <x:v>Cumplimiento verificable sin desviaciones bloqueantes.</x:v>
      </x:c>
      <x:c r="H205" s="26" t="str">
        <x:v>Build Profile manifest.</x:v>
      </x:c>
      <x:c r="I205" s="26" t="str">
        <x:v>11_Build_y_Versioning_Guide.md; 27_Security_and_Incident_Response_Plan.md; 30_Performance_and_Optimization_Plan.md</x:v>
      </x:c>
      <x:c r="J205" s="26" t="str">
        <x:v>Build Guide v0.3–v0.6; ADR phase-level build evidence; Sprint build execution records</x:v>
      </x:c>
      <x:c r="K205" s="26" t="str">
        <x:v>H6</x:v>
      </x:c>
      <x:c r="L205" s="26" t="str">
        <x:v>Yes</x:v>
      </x:c>
      <x:c r="M205" s="26" t="str">
        <x:v>P0</x:v>
      </x:c>
      <x:c r="N205" s="26" t="str">
        <x:v>Build/Engineering</x:v>
      </x:c>
      <x:c r="O205" s="26" t="str">
        <x:v>QA/Security/Production</x:v>
      </x:c>
      <x:c r="P205" s="26" t="str">
        <x:v>NOT RUN</x:v>
      </x:c>
      <x:c r="Q205" s="26"/>
      <x:c r="R205" s="26"/>
      <x:c r="S205" s="26"/>
      <x:c r="T205" s="26"/>
      <x:c r="U205" s="26"/>
      <x:c r="V205" s="26"/>
      <x:c r="W205" s="26" t="n">
        <x:v>1</x:v>
      </x:c>
      <x:c r="X205" s="26" t="n">
        <x:v>0</x:v>
      </x:c>
      <x:c r="Y205" s="26" t="n">
        <x:v>1</x:v>
      </x:c>
      <x:c r="Z205" s="26" t="str">
        <x:v>PENDING</x:v>
      </x:c>
      <x:c r="AA205" s="26" t="str">
        <x:v>CHG-RC1-DOC-31</x:v>
      </x:c>
      <x:c r="AB205" s="26" t="str">
        <x:v>DEFINED / NOT EXECUTED</x:v>
      </x:c>
    </x:row>
    <x:row r="206" ht="30" customHeight="1">
      <x:c r="A206" s="26" t="str">
        <x:v>H6</x:v>
      </x:c>
      <x:c r="B206" s="26" t="str">
        <x:v>H6-BLD-002</x:v>
      </x:c>
      <x:c r="C206" s="26" t="str">
        <x:v>Build, versión e integridad</x:v>
      </x:c>
      <x:c r="D206" s="26" t="str">
        <x:v>Control especializado</x:v>
      </x:c>
      <x:c r="E206" s="26" t="str">
        <x:v>La candidata Windows x64 se genera desde clean checkout con Unity y paquetes registrados.</x:v>
      </x:c>
      <x:c r="F206" s="26" t="str">
        <x:v>Ejecutar preflight y build reproducible.</x:v>
      </x:c>
      <x:c r="G206" s="26" t="str">
        <x:v>Cumplimiento verificable sin desviaciones bloqueantes.</x:v>
      </x:c>
      <x:c r="H206" s="26" t="str">
        <x:v>Build log y environment manifest.</x:v>
      </x:c>
      <x:c r="I206" s="26" t="str">
        <x:v>11_Build_y_Versioning_Guide.md; 27_Security_and_Incident_Response_Plan.md; 30_Performance_and_Optimization_Plan.md</x:v>
      </x:c>
      <x:c r="J206" s="26" t="str">
        <x:v>Build Guide v0.3–v0.6; ADR phase-level build evidence; Sprint build execution records</x:v>
      </x:c>
      <x:c r="K206" s="26" t="str">
        <x:v>H6</x:v>
      </x:c>
      <x:c r="L206" s="26" t="str">
        <x:v>Yes</x:v>
      </x:c>
      <x:c r="M206" s="26" t="str">
        <x:v>P0</x:v>
      </x:c>
      <x:c r="N206" s="26" t="str">
        <x:v>Build/Engineering</x:v>
      </x:c>
      <x:c r="O206" s="26" t="str">
        <x:v>QA/Security/Production</x:v>
      </x:c>
      <x:c r="P206" s="26" t="str">
        <x:v>NOT RUN</x:v>
      </x:c>
      <x:c r="Q206" s="26"/>
      <x:c r="R206" s="26"/>
      <x:c r="S206" s="26"/>
      <x:c r="T206" s="26"/>
      <x:c r="U206" s="26"/>
      <x:c r="V206" s="26"/>
      <x:c r="W206" s="26" t="n">
        <x:v>1</x:v>
      </x:c>
      <x:c r="X206" s="26" t="n">
        <x:v>0</x:v>
      </x:c>
      <x:c r="Y206" s="26" t="n">
        <x:v>1</x:v>
      </x:c>
      <x:c r="Z206" s="26" t="str">
        <x:v>PENDING</x:v>
      </x:c>
      <x:c r="AA206" s="26" t="str">
        <x:v>CHG-RC1-DOC-31</x:v>
      </x:c>
      <x:c r="AB206" s="26" t="str">
        <x:v>DEFINED / NOT EXECUTED</x:v>
      </x:c>
    </x:row>
    <x:row r="207" ht="30" customHeight="1">
      <x:c r="A207" s="26" t="str">
        <x:v>H6</x:v>
      </x:c>
      <x:c r="B207" s="26" t="str">
        <x:v>H6-BLD-003</x:v>
      </x:c>
      <x:c r="C207" s="26" t="str">
        <x:v>Build, versión e integridad</x:v>
      </x:c>
      <x:c r="D207" s="26" t="str">
        <x:v>Control especializado</x:v>
      </x:c>
      <x:c r="E207" s="26" t="str">
        <x:v>La versión de aplicación, Build ID, Sprint/Gate, SHA y fecha son coherentes en ejecutable y registros.</x:v>
      </x:c>
      <x:c r="F207" s="26" t="str">
        <x:v>Comparar About/log/build record/package.</x:v>
      </x:c>
      <x:c r="G207" s="26" t="str">
        <x:v>Cumplimiento verificable sin desviaciones bloqueantes.</x:v>
      </x:c>
      <x:c r="H207" s="26" t="str">
        <x:v>Metadata consistency report.</x:v>
      </x:c>
      <x:c r="I207" s="26" t="str">
        <x:v>11_Build_y_Versioning_Guide.md; 27_Security_and_Incident_Response_Plan.md; 30_Performance_and_Optimization_Plan.md</x:v>
      </x:c>
      <x:c r="J207" s="26" t="str">
        <x:v>Build Guide v0.3–v0.6; ADR phase-level build evidence; Sprint build execution records</x:v>
      </x:c>
      <x:c r="K207" s="26" t="str">
        <x:v>H6</x:v>
      </x:c>
      <x:c r="L207" s="26" t="str">
        <x:v>Yes</x:v>
      </x:c>
      <x:c r="M207" s="26" t="str">
        <x:v>P1</x:v>
      </x:c>
      <x:c r="N207" s="26" t="str">
        <x:v>Build/Engineering</x:v>
      </x:c>
      <x:c r="O207" s="26" t="str">
        <x:v>QA/Security/Production</x:v>
      </x:c>
      <x:c r="P207" s="26" t="str">
        <x:v>NOT RUN</x:v>
      </x:c>
      <x:c r="Q207" s="26"/>
      <x:c r="R207" s="26"/>
      <x:c r="S207" s="26"/>
      <x:c r="T207" s="26"/>
      <x:c r="U207" s="26"/>
      <x:c r="V207" s="26"/>
      <x:c r="W207" s="26" t="n">
        <x:v>1</x:v>
      </x:c>
      <x:c r="X207" s="26" t="n">
        <x:v>0</x:v>
      </x:c>
      <x:c r="Y207" s="26" t="n">
        <x:v>1</x:v>
      </x:c>
      <x:c r="Z207" s="26" t="str">
        <x:v>PENDING</x:v>
      </x:c>
      <x:c r="AA207" s="26" t="str">
        <x:v>CHG-RC1-DOC-31</x:v>
      </x:c>
      <x:c r="AB207" s="26" t="str">
        <x:v>DEFINED / NOT EXECUTED</x:v>
      </x:c>
    </x:row>
    <x:row r="208" ht="30" customHeight="1">
      <x:c r="A208" s="26" t="str">
        <x:v>H6</x:v>
      </x:c>
      <x:c r="B208" s="26" t="str">
        <x:v>H6-BLD-004</x:v>
      </x:c>
      <x:c r="C208" s="26" t="str">
        <x:v>Build, versión e integridad</x:v>
      </x:c>
      <x:c r="D208" s="26" t="str">
        <x:v>Control especializado</x:v>
      </x:c>
      <x:c r="E208" s="26" t="str">
        <x:v>El artefacto H6 es inmutable y dispone de checksum SHA-256 verificado.</x:v>
      </x:c>
      <x:c r="F208" s="26" t="str">
        <x:v>Calcular checksum, copiar y recalcular.</x:v>
      </x:c>
      <x:c r="G208" s="26" t="str">
        <x:v>Cumplimiento verificable sin desviaciones bloqueantes.</x:v>
      </x:c>
      <x:c r="H208" s="26" t="str">
        <x:v>Checksum file y verificación.</x:v>
      </x:c>
      <x:c r="I208" s="26" t="str">
        <x:v>11_Build_y_Versioning_Guide.md; 27_Security_and_Incident_Response_Plan.md; 30_Performance_and_Optimization_Plan.md</x:v>
      </x:c>
      <x:c r="J208" s="26" t="str">
        <x:v>Build Guide v0.3–v0.6; ADR phase-level build evidence; Sprint build execution records</x:v>
      </x:c>
      <x:c r="K208" s="26" t="str">
        <x:v>H6</x:v>
      </x:c>
      <x:c r="L208" s="26" t="str">
        <x:v>Yes</x:v>
      </x:c>
      <x:c r="M208" s="26" t="str">
        <x:v>P0</x:v>
      </x:c>
      <x:c r="N208" s="26" t="str">
        <x:v>Build/Engineering</x:v>
      </x:c>
      <x:c r="O208" s="26" t="str">
        <x:v>QA/Security/Production</x:v>
      </x:c>
      <x:c r="P208" s="26" t="str">
        <x:v>NOT RUN</x:v>
      </x:c>
      <x:c r="Q208" s="26"/>
      <x:c r="R208" s="26"/>
      <x:c r="S208" s="26"/>
      <x:c r="T208" s="26"/>
      <x:c r="U208" s="26"/>
      <x:c r="V208" s="26"/>
      <x:c r="W208" s="26" t="n">
        <x:v>1</x:v>
      </x:c>
      <x:c r="X208" s="26" t="n">
        <x:v>0</x:v>
      </x:c>
      <x:c r="Y208" s="26" t="n">
        <x:v>1</x:v>
      </x:c>
      <x:c r="Z208" s="26" t="str">
        <x:v>PENDING</x:v>
      </x:c>
      <x:c r="AA208" s="26" t="str">
        <x:v>CHG-RC1-DOC-31</x:v>
      </x:c>
      <x:c r="AB208" s="26" t="str">
        <x:v>DEFINED / NOT EXECUTED</x:v>
      </x:c>
    </x:row>
    <x:row r="209" ht="30" customHeight="1">
      <x:c r="A209" s="26" t="str">
        <x:v>H6</x:v>
      </x:c>
      <x:c r="B209" s="26" t="str">
        <x:v>H6-BLD-005</x:v>
      </x:c>
      <x:c r="C209" s="26" t="str">
        <x:v>Build, versión e integridad</x:v>
      </x:c>
      <x:c r="D209" s="26" t="str">
        <x:v>Control especializado</x:v>
      </x:c>
      <x:c r="E209" s="26" t="str">
        <x:v>El ejecutable arranca fuera del Editor en una máquina/usuario distinto del entorno de desarrollo cuando sea posible.</x:v>
      </x:c>
      <x:c r="F209" s="26" t="str">
        <x:v>Prueba externa controlada.</x:v>
      </x:c>
      <x:c r="G209" s="26" t="str">
        <x:v>Cumplimiento verificable sin desviaciones bloqueantes.</x:v>
      </x:c>
      <x:c r="H209" s="26" t="str">
        <x:v>External execution record.</x:v>
      </x:c>
      <x:c r="I209" s="26" t="str">
        <x:v>11_Build_y_Versioning_Guide.md; 27_Security_and_Incident_Response_Plan.md; 30_Performance_and_Optimization_Plan.md</x:v>
      </x:c>
      <x:c r="J209" s="26" t="str">
        <x:v>Build Guide v0.3–v0.6; ADR phase-level build evidence; Sprint build execution records</x:v>
      </x:c>
      <x:c r="K209" s="26" t="str">
        <x:v>H6</x:v>
      </x:c>
      <x:c r="L209" s="26" t="str">
        <x:v>Yes</x:v>
      </x:c>
      <x:c r="M209" s="26" t="str">
        <x:v>P1</x:v>
      </x:c>
      <x:c r="N209" s="26" t="str">
        <x:v>Build/Engineering</x:v>
      </x:c>
      <x:c r="O209" s="26" t="str">
        <x:v>QA/Security/Production</x:v>
      </x:c>
      <x:c r="P209" s="26" t="str">
        <x:v>NOT RUN</x:v>
      </x:c>
      <x:c r="Q209" s="26"/>
      <x:c r="R209" s="26"/>
      <x:c r="S209" s="26"/>
      <x:c r="T209" s="26"/>
      <x:c r="U209" s="26"/>
      <x:c r="V209" s="26"/>
      <x:c r="W209" s="26" t="n">
        <x:v>1</x:v>
      </x:c>
      <x:c r="X209" s="26" t="n">
        <x:v>0</x:v>
      </x:c>
      <x:c r="Y209" s="26" t="n">
        <x:v>1</x:v>
      </x:c>
      <x:c r="Z209" s="26" t="str">
        <x:v>PENDING</x:v>
      </x:c>
      <x:c r="AA209" s="26" t="str">
        <x:v>CHG-RC1-DOC-31</x:v>
      </x:c>
      <x:c r="AB209" s="26" t="str">
        <x:v>DEFINED / NOT EXECUTED</x:v>
      </x:c>
    </x:row>
    <x:row r="210" ht="30" customHeight="1">
      <x:c r="A210" s="26" t="str">
        <x:v>H6</x:v>
      </x:c>
      <x:c r="B210" s="26" t="str">
        <x:v>H6-BLD-006</x:v>
      </x:c>
      <x:c r="C210" s="26" t="str">
        <x:v>Build, versión e integridad</x:v>
      </x:c>
      <x:c r="D210" s="26" t="str">
        <x:v>Control especializado</x:v>
      </x:c>
      <x:c r="E210" s="26" t="str">
        <x:v>La build no depende de rutas locales, Library previa, assets ignorados o archivos no versionados.</x:v>
      </x:c>
      <x:c r="F210" s="26" t="str">
        <x:v>Clean checkout/build y comparación de manifest.</x:v>
      </x:c>
      <x:c r="G210" s="26" t="str">
        <x:v>Cumplimiento verificable sin desviaciones bloqueantes.</x:v>
      </x:c>
      <x:c r="H210" s="26" t="str">
        <x:v>Reproducibility record.</x:v>
      </x:c>
      <x:c r="I210" s="26" t="str">
        <x:v>11_Build_y_Versioning_Guide.md; 27_Security_and_Incident_Response_Plan.md; 30_Performance_and_Optimization_Plan.md</x:v>
      </x:c>
      <x:c r="J210" s="26" t="str">
        <x:v>Build Guide v0.3–v0.6; ADR phase-level build evidence; Sprint build execution records</x:v>
      </x:c>
      <x:c r="K210" s="26" t="str">
        <x:v>H6</x:v>
      </x:c>
      <x:c r="L210" s="26" t="str">
        <x:v>Yes</x:v>
      </x:c>
      <x:c r="M210" s="26" t="str">
        <x:v>P1</x:v>
      </x:c>
      <x:c r="N210" s="26" t="str">
        <x:v>Build/Engineering</x:v>
      </x:c>
      <x:c r="O210" s="26" t="str">
        <x:v>QA/Security/Production</x:v>
      </x:c>
      <x:c r="P210" s="26" t="str">
        <x:v>NOT RUN</x:v>
      </x:c>
      <x:c r="Q210" s="26"/>
      <x:c r="R210" s="26"/>
      <x:c r="S210" s="26"/>
      <x:c r="T210" s="26"/>
      <x:c r="U210" s="26"/>
      <x:c r="V210" s="26"/>
      <x:c r="W210" s="26" t="n">
        <x:v>1</x:v>
      </x:c>
      <x:c r="X210" s="26" t="n">
        <x:v>0</x:v>
      </x:c>
      <x:c r="Y210" s="26" t="n">
        <x:v>1</x:v>
      </x:c>
      <x:c r="Z210" s="26" t="str">
        <x:v>PENDING</x:v>
      </x:c>
      <x:c r="AA210" s="26" t="str">
        <x:v>CHG-RC1-DOC-31</x:v>
      </x:c>
      <x:c r="AB210" s="26" t="str">
        <x:v>DEFINED / NOT EXECUTED</x:v>
      </x:c>
    </x:row>
    <x:row r="211" ht="30" customHeight="1">
      <x:c r="A211" s="26" t="str">
        <x:v>H6</x:v>
      </x:c>
      <x:c r="B211" s="26" t="str">
        <x:v>H6-BLD-007</x:v>
      </x:c>
      <x:c r="C211" s="26" t="str">
        <x:v>Build, versión e integridad</x:v>
      </x:c>
      <x:c r="D211" s="26" t="str">
        <x:v>Control especializado</x:v>
      </x:c>
      <x:c r="E211" s="26" t="str">
        <x:v>El paquete contiene únicamente archivos necesarios y no incluye secretos, drafts, previews o herramientas internas.</x:v>
      </x:c>
      <x:c r="F211" s="26" t="str">
        <x:v>Inventario de paquete y secrets scan.</x:v>
      </x:c>
      <x:c r="G211" s="26" t="str">
        <x:v>Cumplimiento verificable sin desviaciones bloqueantes.</x:v>
      </x:c>
      <x:c r="H211" s="26" t="str">
        <x:v>Package audit report.</x:v>
      </x:c>
      <x:c r="I211" s="26" t="str">
        <x:v>11_Build_y_Versioning_Guide.md; 27_Security_and_Incident_Response_Plan.md; 30_Performance_and_Optimization_Plan.md</x:v>
      </x:c>
      <x:c r="J211" s="26" t="str">
        <x:v>Build Guide v0.3–v0.6; ADR phase-level build evidence; Sprint build execution records</x:v>
      </x:c>
      <x:c r="K211" s="26" t="str">
        <x:v>H6</x:v>
      </x:c>
      <x:c r="L211" s="26" t="str">
        <x:v>Yes</x:v>
      </x:c>
      <x:c r="M211" s="26" t="str">
        <x:v>P1</x:v>
      </x:c>
      <x:c r="N211" s="26" t="str">
        <x:v>Build/Engineering</x:v>
      </x:c>
      <x:c r="O211" s="26" t="str">
        <x:v>QA/Security/Production</x:v>
      </x:c>
      <x:c r="P211" s="26" t="str">
        <x:v>NOT RUN</x:v>
      </x:c>
      <x:c r="Q211" s="26"/>
      <x:c r="R211" s="26"/>
      <x:c r="S211" s="26"/>
      <x:c r="T211" s="26"/>
      <x:c r="U211" s="26"/>
      <x:c r="V211" s="26"/>
      <x:c r="W211" s="26" t="n">
        <x:v>1</x:v>
      </x:c>
      <x:c r="X211" s="26" t="n">
        <x:v>0</x:v>
      </x:c>
      <x:c r="Y211" s="26" t="n">
        <x:v>1</x:v>
      </x:c>
      <x:c r="Z211" s="26" t="str">
        <x:v>PENDING</x:v>
      </x:c>
      <x:c r="AA211" s="26" t="str">
        <x:v>CHG-RC1-DOC-31</x:v>
      </x:c>
      <x:c r="AB211" s="26" t="str">
        <x:v>DEFINED / NOT EXECUTED</x:v>
      </x:c>
    </x:row>
    <x:row r="212" ht="30" customHeight="1">
      <x:c r="A212" s="26" t="str">
        <x:v>H6</x:v>
      </x:c>
      <x:c r="B212" s="26" t="str">
        <x:v>H6-BLD-008</x:v>
      </x:c>
      <x:c r="C212" s="26" t="str">
        <x:v>Build, versión e integridad</x:v>
      </x:c>
      <x:c r="D212" s="26" t="str">
        <x:v>Control especializado</x:v>
      </x:c>
      <x:c r="E212" s="26" t="str">
        <x:v>Development symbols/logging se incluyen o excluyen según perfil definido y quedan documentados.</x:v>
      </x:c>
      <x:c r="F212" s="26" t="str">
        <x:v>Revisar build settings y contenido del paquete.</x:v>
      </x:c>
      <x:c r="G212" s="26" t="str">
        <x:v>Cumplimiento verificable sin desviaciones bloqueantes.</x:v>
      </x:c>
      <x:c r="H212" s="26" t="str">
        <x:v>Build configuration record.</x:v>
      </x:c>
      <x:c r="I212" s="26" t="str">
        <x:v>11_Build_y_Versioning_Guide.md; 27_Security_and_Incident_Response_Plan.md; 30_Performance_and_Optimization_Plan.md</x:v>
      </x:c>
      <x:c r="J212" s="26" t="str">
        <x:v>Build Guide v0.3–v0.6; ADR phase-level build evidence; Sprint build execution records</x:v>
      </x:c>
      <x:c r="K212" s="26" t="str">
        <x:v>H6</x:v>
      </x:c>
      <x:c r="L212" s="26" t="str">
        <x:v>Yes</x:v>
      </x:c>
      <x:c r="M212" s="26" t="str">
        <x:v>P1</x:v>
      </x:c>
      <x:c r="N212" s="26" t="str">
        <x:v>Build/Engineering</x:v>
      </x:c>
      <x:c r="O212" s="26" t="str">
        <x:v>QA/Security/Production</x:v>
      </x:c>
      <x:c r="P212" s="26" t="str">
        <x:v>NOT RUN</x:v>
      </x:c>
      <x:c r="Q212" s="26"/>
      <x:c r="R212" s="26"/>
      <x:c r="S212" s="26"/>
      <x:c r="T212" s="26"/>
      <x:c r="U212" s="26"/>
      <x:c r="V212" s="26"/>
      <x:c r="W212" s="26" t="n">
        <x:v>1</x:v>
      </x:c>
      <x:c r="X212" s="26" t="n">
        <x:v>0</x:v>
      </x:c>
      <x:c r="Y212" s="26" t="n">
        <x:v>1</x:v>
      </x:c>
      <x:c r="Z212" s="26" t="str">
        <x:v>PENDING</x:v>
      </x:c>
      <x:c r="AA212" s="26" t="str">
        <x:v>CHG-RC1-DOC-31</x:v>
      </x:c>
      <x:c r="AB212" s="26" t="str">
        <x:v>DEFINED / NOT EXECUTED</x:v>
      </x:c>
    </x:row>
    <x:row r="213" ht="30" customHeight="1">
      <x:c r="A213" s="26" t="str">
        <x:v>H6</x:v>
      </x:c>
      <x:c r="B213" s="26" t="str">
        <x:v>H6-BLD-009</x:v>
      </x:c>
      <x:c r="C213" s="26" t="str">
        <x:v>Build, versión e integridad</x:v>
      </x:c>
      <x:c r="D213" s="26" t="str">
        <x:v>Control especializado</x:v>
      </x:c>
      <x:c r="E213" s="26" t="str">
        <x:v>Player.log de arranque, Golden Path y cierre no contiene errores bloqueantes o recurrentes.</x:v>
      </x:c>
      <x:c r="F213" s="26" t="str">
        <x:v>Revisar logs de varias ejecuciones.</x:v>
      </x:c>
      <x:c r="G213" s="26" t="str">
        <x:v>Cumplimiento verificable sin desviaciones bloqueantes.</x:v>
      </x:c>
      <x:c r="H213" s="26" t="str">
        <x:v>Logs anotados.</x:v>
      </x:c>
      <x:c r="I213" s="26" t="str">
        <x:v>11_Build_y_Versioning_Guide.md; 27_Security_and_Incident_Response_Plan.md; 30_Performance_and_Optimization_Plan.md</x:v>
      </x:c>
      <x:c r="J213" s="26" t="str">
        <x:v>Build Guide v0.3–v0.6; ADR phase-level build evidence; Sprint build execution records</x:v>
      </x:c>
      <x:c r="K213" s="26" t="str">
        <x:v>H6</x:v>
      </x:c>
      <x:c r="L213" s="26" t="str">
        <x:v>Yes</x:v>
      </x:c>
      <x:c r="M213" s="26" t="str">
        <x:v>P1</x:v>
      </x:c>
      <x:c r="N213" s="26" t="str">
        <x:v>Build/Engineering</x:v>
      </x:c>
      <x:c r="O213" s="26" t="str">
        <x:v>QA/Security/Production</x:v>
      </x:c>
      <x:c r="P213" s="26" t="str">
        <x:v>NOT RUN</x:v>
      </x:c>
      <x:c r="Q213" s="26"/>
      <x:c r="R213" s="26"/>
      <x:c r="S213" s="26"/>
      <x:c r="T213" s="26"/>
      <x:c r="U213" s="26"/>
      <x:c r="V213" s="26"/>
      <x:c r="W213" s="26" t="n">
        <x:v>1</x:v>
      </x:c>
      <x:c r="X213" s="26" t="n">
        <x:v>0</x:v>
      </x:c>
      <x:c r="Y213" s="26" t="n">
        <x:v>1</x:v>
      </x:c>
      <x:c r="Z213" s="26" t="str">
        <x:v>PENDING</x:v>
      </x:c>
      <x:c r="AA213" s="26" t="str">
        <x:v>CHG-RC1-DOC-31</x:v>
      </x:c>
      <x:c r="AB213" s="26" t="str">
        <x:v>DEFINED / NOT EXECUTED</x:v>
      </x:c>
    </x:row>
    <x:row r="214" ht="30" customHeight="1">
      <x:c r="A214" s="26" t="str">
        <x:v>H6</x:v>
      </x:c>
      <x:c r="B214" s="26" t="str">
        <x:v>H6-BLD-010</x:v>
      </x:c>
      <x:c r="C214" s="26" t="str">
        <x:v>Build, versión e integridad</x:v>
      </x:c>
      <x:c r="D214" s="26" t="str">
        <x:v>Control especializado</x:v>
      </x:c>
      <x:c r="E214" s="26" t="str">
        <x:v>La build funciona offline y sin credenciales de servicios de desarrollo.</x:v>
      </x:c>
      <x:c r="F214" s="26" t="str">
        <x:v>Ejecutar aislada de red y limpiar variables/credenciales.</x:v>
      </x:c>
      <x:c r="G214" s="26" t="str">
        <x:v>Cumplimiento verificable sin desviaciones bloqueantes.</x:v>
      </x:c>
      <x:c r="H214" s="26" t="str">
        <x:v>Offline execution record.</x:v>
      </x:c>
      <x:c r="I214" s="26" t="str">
        <x:v>11_Build_y_Versioning_Guide.md; 27_Security_and_Incident_Response_Plan.md; 30_Performance_and_Optimization_Plan.md</x:v>
      </x:c>
      <x:c r="J214" s="26" t="str">
        <x:v>Build Guide v0.3–v0.6; ADR phase-level build evidence; Sprint build execution records</x:v>
      </x:c>
      <x:c r="K214" s="26" t="str">
        <x:v>H6</x:v>
      </x:c>
      <x:c r="L214" s="26" t="str">
        <x:v>Yes</x:v>
      </x:c>
      <x:c r="M214" s="26" t="str">
        <x:v>P1</x:v>
      </x:c>
      <x:c r="N214" s="26" t="str">
        <x:v>Build/Engineering</x:v>
      </x:c>
      <x:c r="O214" s="26" t="str">
        <x:v>QA/Security/Production</x:v>
      </x:c>
      <x:c r="P214" s="26" t="str">
        <x:v>NOT RUN</x:v>
      </x:c>
      <x:c r="Q214" s="26"/>
      <x:c r="R214" s="26"/>
      <x:c r="S214" s="26"/>
      <x:c r="T214" s="26"/>
      <x:c r="U214" s="26"/>
      <x:c r="V214" s="26"/>
      <x:c r="W214" s="26" t="n">
        <x:v>1</x:v>
      </x:c>
      <x:c r="X214" s="26" t="n">
        <x:v>0</x:v>
      </x:c>
      <x:c r="Y214" s="26" t="n">
        <x:v>1</x:v>
      </x:c>
      <x:c r="Z214" s="26" t="str">
        <x:v>PENDING</x:v>
      </x:c>
      <x:c r="AA214" s="26" t="str">
        <x:v>CHG-RC1-DOC-31</x:v>
      </x:c>
      <x:c r="AB214" s="26" t="str">
        <x:v>DEFINED / NOT EXECUTED</x:v>
      </x:c>
    </x:row>
    <x:row r="215" ht="30" customHeight="1">
      <x:c r="A215" s="26" t="str">
        <x:v>H6</x:v>
      </x:c>
      <x:c r="B215" s="26" t="str">
        <x:v>H6-BLD-011</x:v>
      </x:c>
      <x:c r="C215" s="26" t="str">
        <x:v>Build, versión e integridad</x:v>
      </x:c>
      <x:c r="D215" s="26" t="str">
        <x:v>Control especializado</x:v>
      </x:c>
      <x:c r="E215" s="26" t="str">
        <x:v>Las dependencias y packages coinciden con manifest/lock versionados.</x:v>
      </x:c>
      <x:c r="F215" s="26" t="str">
        <x:v>Comparar Packages y environment manifest.</x:v>
      </x:c>
      <x:c r="G215" s="26" t="str">
        <x:v>Cumplimiento verificable sin desviaciones bloqueantes.</x:v>
      </x:c>
      <x:c r="H215" s="26" t="str">
        <x:v>Dependency manifest.</x:v>
      </x:c>
      <x:c r="I215" s="26" t="str">
        <x:v>11_Build_y_Versioning_Guide.md; 27_Security_and_Incident_Response_Plan.md; 30_Performance_and_Optimization_Plan.md</x:v>
      </x:c>
      <x:c r="J215" s="26" t="str">
        <x:v>Build Guide v0.3–v0.6; ADR phase-level build evidence; Sprint build execution records</x:v>
      </x:c>
      <x:c r="K215" s="26" t="str">
        <x:v>H6</x:v>
      </x:c>
      <x:c r="L215" s="26" t="str">
        <x:v>Yes</x:v>
      </x:c>
      <x:c r="M215" s="26" t="str">
        <x:v>P1</x:v>
      </x:c>
      <x:c r="N215" s="26" t="str">
        <x:v>Build/Engineering</x:v>
      </x:c>
      <x:c r="O215" s="26" t="str">
        <x:v>QA/Security/Production</x:v>
      </x:c>
      <x:c r="P215" s="26" t="str">
        <x:v>NOT RUN</x:v>
      </x:c>
      <x:c r="Q215" s="26"/>
      <x:c r="R215" s="26"/>
      <x:c r="S215" s="26"/>
      <x:c r="T215" s="26"/>
      <x:c r="U215" s="26"/>
      <x:c r="V215" s="26"/>
      <x:c r="W215" s="26" t="n">
        <x:v>1</x:v>
      </x:c>
      <x:c r="X215" s="26" t="n">
        <x:v>0</x:v>
      </x:c>
      <x:c r="Y215" s="26" t="n">
        <x:v>1</x:v>
      </x:c>
      <x:c r="Z215" s="26" t="str">
        <x:v>PENDING</x:v>
      </x:c>
      <x:c r="AA215" s="26" t="str">
        <x:v>CHG-RC1-DOC-31</x:v>
      </x:c>
      <x:c r="AB215" s="26" t="str">
        <x:v>DEFINED / NOT EXECUTED</x:v>
      </x:c>
    </x:row>
    <x:row r="216" ht="30" customHeight="1">
      <x:c r="A216" s="26" t="str">
        <x:v>H6</x:v>
      </x:c>
      <x:c r="B216" s="26" t="str">
        <x:v>H6-BLD-012</x:v>
      </x:c>
      <x:c r="C216" s="26" t="str">
        <x:v>Build, versión e integridad</x:v>
      </x:c>
      <x:c r="D216" s="26" t="str">
        <x:v>Control especializado</x:v>
      </x:c>
      <x:c r="E216" s="26" t="str">
        <x:v>No se actualizan Unity, URP o paquetes después del freeze sin reabrir validación.</x:v>
      </x:c>
      <x:c r="F216" s="26" t="str">
        <x:v>Comparar versiones con freeze record.</x:v>
      </x:c>
      <x:c r="G216" s="26" t="str">
        <x:v>Cumplimiento verificable sin desviaciones bloqueantes.</x:v>
      </x:c>
      <x:c r="H216" s="26" t="str">
        <x:v>Version freeze diff.</x:v>
      </x:c>
      <x:c r="I216" s="26" t="str">
        <x:v>11_Build_y_Versioning_Guide.md; 27_Security_and_Incident_Response_Plan.md; 30_Performance_and_Optimization_Plan.md</x:v>
      </x:c>
      <x:c r="J216" s="26" t="str">
        <x:v>Build Guide v0.3–v0.6; ADR phase-level build evidence; Sprint build execution records</x:v>
      </x:c>
      <x:c r="K216" s="26" t="str">
        <x:v>H6</x:v>
      </x:c>
      <x:c r="L216" s="26" t="str">
        <x:v>Yes</x:v>
      </x:c>
      <x:c r="M216" s="26" t="str">
        <x:v>P1</x:v>
      </x:c>
      <x:c r="N216" s="26" t="str">
        <x:v>Build/Engineering</x:v>
      </x:c>
      <x:c r="O216" s="26" t="str">
        <x:v>QA/Security/Production</x:v>
      </x:c>
      <x:c r="P216" s="26" t="str">
        <x:v>NOT RUN</x:v>
      </x:c>
      <x:c r="Q216" s="26"/>
      <x:c r="R216" s="26"/>
      <x:c r="S216" s="26"/>
      <x:c r="T216" s="26"/>
      <x:c r="U216" s="26"/>
      <x:c r="V216" s="26"/>
      <x:c r="W216" s="26" t="n">
        <x:v>1</x:v>
      </x:c>
      <x:c r="X216" s="26" t="n">
        <x:v>0</x:v>
      </x:c>
      <x:c r="Y216" s="26" t="n">
        <x:v>1</x:v>
      </x:c>
      <x:c r="Z216" s="26" t="str">
        <x:v>PENDING</x:v>
      </x:c>
      <x:c r="AA216" s="26" t="str">
        <x:v>CHG-RC1-DOC-31</x:v>
      </x:c>
      <x:c r="AB216" s="26" t="str">
        <x:v>DEFINED / NOT EXECUTED</x:v>
      </x:c>
    </x:row>
    <x:row r="217" ht="30" customHeight="1">
      <x:c r="A217" s="26" t="str">
        <x:v>H6</x:v>
      </x:c>
      <x:c r="B217" s="26" t="str">
        <x:v>H6-BLD-013</x:v>
      </x:c>
      <x:c r="C217" s="26" t="str">
        <x:v>Build, versión e integridad</x:v>
      </x:c>
      <x:c r="D217" s="26" t="str">
        <x:v>Control especializado</x:v>
      </x:c>
      <x:c r="E217" s="26" t="str">
        <x:v>El build pipeline conserva logs completos y código de salida fiable.</x:v>
      </x:c>
      <x:c r="F217" s="26" t="str">
        <x:v>Ejecutar éxito y fallo controlado.</x:v>
      </x:c>
      <x:c r="G217" s="26" t="str">
        <x:v>Cumplimiento verificable sin desviaciones bloqueantes.</x:v>
      </x:c>
      <x:c r="H217" s="26" t="str">
        <x:v>CI/local pipeline records.</x:v>
      </x:c>
      <x:c r="I217" s="26" t="str">
        <x:v>11_Build_y_Versioning_Guide.md; 27_Security_and_Incident_Response_Plan.md; 30_Performance_and_Optimization_Plan.md</x:v>
      </x:c>
      <x:c r="J217" s="26" t="str">
        <x:v>Build Guide v0.3–v0.6; ADR phase-level build evidence; Sprint build execution records</x:v>
      </x:c>
      <x:c r="K217" s="26" t="str">
        <x:v>H6</x:v>
      </x:c>
      <x:c r="L217" s="26" t="str">
        <x:v>Yes</x:v>
      </x:c>
      <x:c r="M217" s="26" t="str">
        <x:v>P1</x:v>
      </x:c>
      <x:c r="N217" s="26" t="str">
        <x:v>Build/Engineering</x:v>
      </x:c>
      <x:c r="O217" s="26" t="str">
        <x:v>QA/Security/Production</x:v>
      </x:c>
      <x:c r="P217" s="26" t="str">
        <x:v>NOT RUN</x:v>
      </x:c>
      <x:c r="Q217" s="26"/>
      <x:c r="R217" s="26"/>
      <x:c r="S217" s="26"/>
      <x:c r="T217" s="26"/>
      <x:c r="U217" s="26"/>
      <x:c r="V217" s="26"/>
      <x:c r="W217" s="26" t="n">
        <x:v>1</x:v>
      </x:c>
      <x:c r="X217" s="26" t="n">
        <x:v>0</x:v>
      </x:c>
      <x:c r="Y217" s="26" t="n">
        <x:v>1</x:v>
      </x:c>
      <x:c r="Z217" s="26" t="str">
        <x:v>PENDING</x:v>
      </x:c>
      <x:c r="AA217" s="26" t="str">
        <x:v>CHG-RC1-DOC-31</x:v>
      </x:c>
      <x:c r="AB217" s="26" t="str">
        <x:v>DEFINED / NOT EXECUTED</x:v>
      </x:c>
    </x:row>
    <x:row r="218" ht="30" customHeight="1">
      <x:c r="A218" s="26" t="str">
        <x:v>H6</x:v>
      </x:c>
      <x:c r="B218" s="26" t="str">
        <x:v>H6-BLD-014</x:v>
      </x:c>
      <x:c r="C218" s="26" t="str">
        <x:v>Build, versión e integridad</x:v>
      </x:c>
      <x:c r="D218" s="26" t="str">
        <x:v>Control especializado</x:v>
      </x:c>
      <x:c r="E218" s="26" t="str">
        <x:v>El nombre del paquete y carpetas no realiza claims comerciales no autorizados.</x:v>
      </x:c>
      <x:c r="F218" s="26" t="str">
        <x:v>Revisar naming contra legal/marketing.</x:v>
      </x:c>
      <x:c r="G218" s="26" t="str">
        <x:v>Cumplimiento verificable sin desviaciones bloqueantes.</x:v>
      </x:c>
      <x:c r="H218" s="26" t="str">
        <x:v>Package naming approval.</x:v>
      </x:c>
      <x:c r="I218" s="26" t="str">
        <x:v>11_Build_y_Versioning_Guide.md; 27_Security_and_Incident_Response_Plan.md; 30_Performance_and_Optimization_Plan.md</x:v>
      </x:c>
      <x:c r="J218" s="26" t="str">
        <x:v>Build Guide v0.3–v0.6; ADR phase-level build evidence; Sprint build execution records</x:v>
      </x:c>
      <x:c r="K218" s="26" t="str">
        <x:v>H6</x:v>
      </x:c>
      <x:c r="L218" s="26" t="str">
        <x:v>Yes</x:v>
      </x:c>
      <x:c r="M218" s="26" t="str">
        <x:v>P1</x:v>
      </x:c>
      <x:c r="N218" s="26" t="str">
        <x:v>Build/Engineering</x:v>
      </x:c>
      <x:c r="O218" s="26" t="str">
        <x:v>QA/Security/Production</x:v>
      </x:c>
      <x:c r="P218" s="26" t="str">
        <x:v>NOT RUN</x:v>
      </x:c>
      <x:c r="Q218" s="26"/>
      <x:c r="R218" s="26"/>
      <x:c r="S218" s="26"/>
      <x:c r="T218" s="26"/>
      <x:c r="U218" s="26"/>
      <x:c r="V218" s="26"/>
      <x:c r="W218" s="26" t="n">
        <x:v>1</x:v>
      </x:c>
      <x:c r="X218" s="26" t="n">
        <x:v>0</x:v>
      </x:c>
      <x:c r="Y218" s="26" t="n">
        <x:v>1</x:v>
      </x:c>
      <x:c r="Z218" s="26" t="str">
        <x:v>PENDING</x:v>
      </x:c>
      <x:c r="AA218" s="26" t="str">
        <x:v>CHG-RC1-DOC-31</x:v>
      </x:c>
      <x:c r="AB218" s="26" t="str">
        <x:v>DEFINED / NOT EXECUTED</x:v>
      </x:c>
    </x:row>
    <x:row r="219" ht="30" customHeight="1">
      <x:c r="A219" s="26" t="str">
        <x:v>H6</x:v>
      </x:c>
      <x:c r="B219" s="26" t="str">
        <x:v>H6-BLD-015</x:v>
      </x:c>
      <x:c r="C219" s="26" t="str">
        <x:v>Build, versión e integridad</x:v>
      </x:c>
      <x:c r="D219" s="26" t="str">
        <x:v>Control especializado</x:v>
      </x:c>
      <x:c r="E219" s="26" t="str">
        <x:v>La candidata se archiva con manifest de archivos, tamaños y hashes.</x:v>
      </x:c>
      <x:c r="F219" s="26" t="str">
        <x:v>Generar manifest recursivo y validar.</x:v>
      </x:c>
      <x:c r="G219" s="26" t="str">
        <x:v>Cumplimiento verificable sin desviaciones bloqueantes.</x:v>
      </x:c>
      <x:c r="H219" s="26" t="str">
        <x:v>Artifact manifest.</x:v>
      </x:c>
      <x:c r="I219" s="26" t="str">
        <x:v>11_Build_y_Versioning_Guide.md; 27_Security_and_Incident_Response_Plan.md; 30_Performance_and_Optimization_Plan.md</x:v>
      </x:c>
      <x:c r="J219" s="26" t="str">
        <x:v>Build Guide v0.3–v0.6; ADR phase-level build evidence; Sprint build execution records</x:v>
      </x:c>
      <x:c r="K219" s="26" t="str">
        <x:v>H6</x:v>
      </x:c>
      <x:c r="L219" s="26" t="str">
        <x:v>Yes</x:v>
      </x:c>
      <x:c r="M219" s="26" t="str">
        <x:v>P1</x:v>
      </x:c>
      <x:c r="N219" s="26" t="str">
        <x:v>Build/Engineering</x:v>
      </x:c>
      <x:c r="O219" s="26" t="str">
        <x:v>QA/Security/Production</x:v>
      </x:c>
      <x:c r="P219" s="26" t="str">
        <x:v>NOT RUN</x:v>
      </x:c>
      <x:c r="Q219" s="26"/>
      <x:c r="R219" s="26"/>
      <x:c r="S219" s="26"/>
      <x:c r="T219" s="26"/>
      <x:c r="U219" s="26"/>
      <x:c r="V219" s="26"/>
      <x:c r="W219" s="26" t="n">
        <x:v>1</x:v>
      </x:c>
      <x:c r="X219" s="26" t="n">
        <x:v>0</x:v>
      </x:c>
      <x:c r="Y219" s="26" t="n">
        <x:v>1</x:v>
      </x:c>
      <x:c r="Z219" s="26" t="str">
        <x:v>PENDING</x:v>
      </x:c>
      <x:c r="AA219" s="26" t="str">
        <x:v>CHG-RC1-DOC-31</x:v>
      </x:c>
      <x:c r="AB219" s="26" t="str">
        <x:v>DEFINED / NOT EXECUTED</x:v>
      </x:c>
    </x:row>
    <x:row r="220" ht="30" customHeight="1">
      <x:c r="A220" s="26" t="str">
        <x:v>H6</x:v>
      </x:c>
      <x:c r="B220" s="26" t="str">
        <x:v>H6-BLD-016</x:v>
      </x:c>
      <x:c r="C220" s="26" t="str">
        <x:v>Build, versión e integridad</x:v>
      </x:c>
      <x:c r="D220" s="26" t="str">
        <x:v>Control especializado</x:v>
      </x:c>
      <x:c r="E220" s="26" t="str">
        <x:v>Existe una build QA separada de la candidata H6 cuando contiene TestLab, cheats o diagnósticos.</x:v>
      </x:c>
      <x:c r="F220" s="26" t="str">
        <x:v>Comparar profiles y artefactos.</x:v>
      </x:c>
      <x:c r="G220" s="26" t="str">
        <x:v>Cumplimiento verificable sin desviaciones bloqueantes.</x:v>
      </x:c>
      <x:c r="H220" s="26" t="str">
        <x:v>Build channel matrix.</x:v>
      </x:c>
      <x:c r="I220" s="26" t="str">
        <x:v>11_Build_y_Versioning_Guide.md; 27_Security_and_Incident_Response_Plan.md; 30_Performance_and_Optimization_Plan.md</x:v>
      </x:c>
      <x:c r="J220" s="26" t="str">
        <x:v>Build Guide v0.3–v0.6; ADR phase-level build evidence; Sprint build execution records</x:v>
      </x:c>
      <x:c r="K220" s="26" t="str">
        <x:v>H6</x:v>
      </x:c>
      <x:c r="L220" s="26" t="str">
        <x:v>Yes</x:v>
      </x:c>
      <x:c r="M220" s="26" t="str">
        <x:v>P1</x:v>
      </x:c>
      <x:c r="N220" s="26" t="str">
        <x:v>Build/Engineering</x:v>
      </x:c>
      <x:c r="O220" s="26" t="str">
        <x:v>QA/Security/Production</x:v>
      </x:c>
      <x:c r="P220" s="26" t="str">
        <x:v>NOT RUN</x:v>
      </x:c>
      <x:c r="Q220" s="26"/>
      <x:c r="R220" s="26"/>
      <x:c r="S220" s="26"/>
      <x:c r="T220" s="26"/>
      <x:c r="U220" s="26"/>
      <x:c r="V220" s="26"/>
      <x:c r="W220" s="26" t="n">
        <x:v>1</x:v>
      </x:c>
      <x:c r="X220" s="26" t="n">
        <x:v>0</x:v>
      </x:c>
      <x:c r="Y220" s="26" t="n">
        <x:v>1</x:v>
      </x:c>
      <x:c r="Z220" s="26" t="str">
        <x:v>PENDING</x:v>
      </x:c>
      <x:c r="AA220" s="26" t="str">
        <x:v>CHG-RC1-DOC-31</x:v>
      </x:c>
      <x:c r="AB220" s="26" t="str">
        <x:v>DEFINED / NOT EXECUTED</x:v>
      </x:c>
    </x:row>
    <x:row r="221" ht="30" customHeight="1">
      <x:c r="A221" s="26" t="str">
        <x:v>H6</x:v>
      </x:c>
      <x:c r="B221" s="26" t="str">
        <x:v>H6-SEC-001</x:v>
      </x:c>
      <x:c r="C221" s="26" t="str">
        <x:v>Seguridad y privacidad</x:v>
      </x:c>
      <x:c r="D221" s="26" t="str">
        <x:v>Control especializado</x:v>
      </x:c>
      <x:c r="E221" s="26" t="str">
        <x:v>No existen secretos, tokens, credenciales o claves privadas en repositorio, build, logs o evidencias.</x:v>
      </x:c>
      <x:c r="F221" s="26" t="str">
        <x:v>Secrets scan y revisión manual de artefactos.</x:v>
      </x:c>
      <x:c r="G221" s="26" t="str">
        <x:v>Cumplimiento verificable sin desviaciones bloqueantes.</x:v>
      </x:c>
      <x:c r="H221" s="26" t="str">
        <x:v>Scan report.</x:v>
      </x:c>
      <x:c r="I221" s="26" t="str">
        <x:v>26_Privacy_Data_and_Telemetry_Plan.md; 27_Security_and_Incident_Response_Plan.md</x:v>
      </x:c>
      <x:c r="J221" s="26" t="str">
        <x:v>Historical build, legal and governance records; no autonomous security plan before document 27</x:v>
      </x:c>
      <x:c r="K221" s="26" t="str">
        <x:v>H6</x:v>
      </x:c>
      <x:c r="L221" s="26" t="str">
        <x:v>Yes</x:v>
      </x:c>
      <x:c r="M221" s="26" t="str">
        <x:v>P0</x:v>
      </x:c>
      <x:c r="N221" s="26" t="str">
        <x:v>Security/Engineering</x:v>
      </x:c>
      <x:c r="O221" s="26" t="str">
        <x:v>Privacy/Production</x:v>
      </x:c>
      <x:c r="P221" s="26" t="str">
        <x:v>NOT RUN</x:v>
      </x:c>
      <x:c r="Q221" s="26"/>
      <x:c r="R221" s="26"/>
      <x:c r="S221" s="26"/>
      <x:c r="T221" s="26"/>
      <x:c r="U221" s="26"/>
      <x:c r="V221" s="26"/>
      <x:c r="W221" s="26" t="n">
        <x:v>1</x:v>
      </x:c>
      <x:c r="X221" s="26" t="n">
        <x:v>0</x:v>
      </x:c>
      <x:c r="Y221" s="26" t="n">
        <x:v>1</x:v>
      </x:c>
      <x:c r="Z221" s="26" t="str">
        <x:v>PENDING</x:v>
      </x:c>
      <x:c r="AA221" s="26" t="str">
        <x:v>CHG-RC1-DOC-31</x:v>
      </x:c>
      <x:c r="AB221" s="26" t="str">
        <x:v>DEFINED / NOT EXECUTED</x:v>
      </x:c>
    </x:row>
    <x:row r="222" ht="30" customHeight="1">
      <x:c r="A222" s="26" t="str">
        <x:v>H6</x:v>
      </x:c>
      <x:c r="B222" s="26" t="str">
        <x:v>H6-SEC-002</x:v>
      </x:c>
      <x:c r="C222" s="26" t="str">
        <x:v>Seguridad y privacidad</x:v>
      </x:c>
      <x:c r="D222" s="26" t="str">
        <x:v>Control especializado</x:v>
      </x:c>
      <x:c r="E222" s="26" t="str">
        <x:v>Las dependencias y packages tienen revisión de vulnerabilidades y procedencia suficiente para H6.</x:v>
      </x:c>
      <x:c r="F222" s="26" t="str">
        <x:v>Inventario y consulta de advisories/lockfile.</x:v>
      </x:c>
      <x:c r="G222" s="26" t="str">
        <x:v>Cumplimiento verificable sin desviaciones bloqueantes.</x:v>
      </x:c>
      <x:c r="H222" s="26" t="str">
        <x:v>Dependency security report.</x:v>
      </x:c>
      <x:c r="I222" s="26" t="str">
        <x:v>26_Privacy_Data_and_Telemetry_Plan.md; 27_Security_and_Incident_Response_Plan.md</x:v>
      </x:c>
      <x:c r="J222" s="26" t="str">
        <x:v>Historical build, legal and governance records; no autonomous security plan before document 27</x:v>
      </x:c>
      <x:c r="K222" s="26" t="str">
        <x:v>H6</x:v>
      </x:c>
      <x:c r="L222" s="26" t="str">
        <x:v>Yes</x:v>
      </x:c>
      <x:c r="M222" s="26" t="str">
        <x:v>P1</x:v>
      </x:c>
      <x:c r="N222" s="26" t="str">
        <x:v>Security/Engineering</x:v>
      </x:c>
      <x:c r="O222" s="26" t="str">
        <x:v>Privacy/Production</x:v>
      </x:c>
      <x:c r="P222" s="26" t="str">
        <x:v>NOT RUN</x:v>
      </x:c>
      <x:c r="Q222" s="26"/>
      <x:c r="R222" s="26"/>
      <x:c r="S222" s="26"/>
      <x:c r="T222" s="26"/>
      <x:c r="U222" s="26"/>
      <x:c r="V222" s="26"/>
      <x:c r="W222" s="26" t="n">
        <x:v>1</x:v>
      </x:c>
      <x:c r="X222" s="26" t="n">
        <x:v>0</x:v>
      </x:c>
      <x:c r="Y222" s="26" t="n">
        <x:v>1</x:v>
      </x:c>
      <x:c r="Z222" s="26" t="str">
        <x:v>PENDING</x:v>
      </x:c>
      <x:c r="AA222" s="26" t="str">
        <x:v>CHG-RC1-DOC-31</x:v>
      </x:c>
      <x:c r="AB222" s="26" t="str">
        <x:v>DEFINED / NOT EXECUTED</x:v>
      </x:c>
    </x:row>
    <x:row r="223" ht="30" customHeight="1">
      <x:c r="A223" s="26" t="str">
        <x:v>H6</x:v>
      </x:c>
      <x:c r="B223" s="26" t="str">
        <x:v>H6-SEC-003</x:v>
      </x:c>
      <x:c r="C223" s="26" t="str">
        <x:v>Seguridad y privacidad</x:v>
      </x:c>
      <x:c r="D223" s="26" t="str">
        <x:v>Control especializado</x:v>
      </x:c>
      <x:c r="E223" s="26" t="str">
        <x:v>Los logs de build y runtime no exponen datos personales, rutas sensibles o credenciales.</x:v>
      </x:c>
      <x:c r="F223" s="26" t="str">
        <x:v>Revisión de logs y fault cases.</x:v>
      </x:c>
      <x:c r="G223" s="26" t="str">
        <x:v>Cumplimiento verificable sin desviaciones bloqueantes.</x:v>
      </x:c>
      <x:c r="H223" s="26" t="str">
        <x:v>Log sanitization report.</x:v>
      </x:c>
      <x:c r="I223" s="26" t="str">
        <x:v>26_Privacy_Data_and_Telemetry_Plan.md; 27_Security_and_Incident_Response_Plan.md</x:v>
      </x:c>
      <x:c r="J223" s="26" t="str">
        <x:v>Historical build, legal and governance records; no autonomous security plan before document 27</x:v>
      </x:c>
      <x:c r="K223" s="26" t="str">
        <x:v>H6</x:v>
      </x:c>
      <x:c r="L223" s="26" t="str">
        <x:v>Yes</x:v>
      </x:c>
      <x:c r="M223" s="26" t="str">
        <x:v>P1</x:v>
      </x:c>
      <x:c r="N223" s="26" t="str">
        <x:v>Security/Engineering</x:v>
      </x:c>
      <x:c r="O223" s="26" t="str">
        <x:v>Privacy/Production</x:v>
      </x:c>
      <x:c r="P223" s="26" t="str">
        <x:v>NOT RUN</x:v>
      </x:c>
      <x:c r="Q223" s="26"/>
      <x:c r="R223" s="26"/>
      <x:c r="S223" s="26"/>
      <x:c r="T223" s="26"/>
      <x:c r="U223" s="26"/>
      <x:c r="V223" s="26"/>
      <x:c r="W223" s="26" t="n">
        <x:v>1</x:v>
      </x:c>
      <x:c r="X223" s="26" t="n">
        <x:v>0</x:v>
      </x:c>
      <x:c r="Y223" s="26" t="n">
        <x:v>1</x:v>
      </x:c>
      <x:c r="Z223" s="26" t="str">
        <x:v>PENDING</x:v>
      </x:c>
      <x:c r="AA223" s="26" t="str">
        <x:v>CHG-RC1-DOC-31</x:v>
      </x:c>
      <x:c r="AB223" s="26" t="str">
        <x:v>DEFINED / NOT EXECUTED</x:v>
      </x:c>
    </x:row>
    <x:row r="224" ht="30" customHeight="1">
      <x:c r="A224" s="26" t="str">
        <x:v>H6</x:v>
      </x:c>
      <x:c r="B224" s="26" t="str">
        <x:v>H6-SEC-004</x:v>
      </x:c>
      <x:c r="C224" s="26" t="str">
        <x:v>Seguridad y privacidad</x:v>
      </x:c>
      <x:c r="D224" s="26" t="str">
        <x:v>Control especializado</x:v>
      </x:c>
      <x:c r="E224" s="26" t="str">
        <x:v>La telemetría remota no es necesaria para completar H6 y permanece desactivada/no presente salvo aprobación.</x:v>
      </x:c>
      <x:c r="F224" s="26" t="str">
        <x:v>Inspeccionar tráfico, configuración y código.</x:v>
      </x:c>
      <x:c r="G224" s="26" t="str">
        <x:v>Cumplimiento verificable sin desviaciones bloqueantes.</x:v>
      </x:c>
      <x:c r="H224" s="26" t="str">
        <x:v>Telemetry state record.</x:v>
      </x:c>
      <x:c r="I224" s="26" t="str">
        <x:v>26_Privacy_Data_and_Telemetry_Plan.md; 27_Security_and_Incident_Response_Plan.md</x:v>
      </x:c>
      <x:c r="J224" s="26" t="str">
        <x:v>Historical build, legal and governance records; no autonomous security plan before document 27</x:v>
      </x:c>
      <x:c r="K224" s="26" t="str">
        <x:v>H6</x:v>
      </x:c>
      <x:c r="L224" s="26" t="str">
        <x:v>Yes</x:v>
      </x:c>
      <x:c r="M224" s="26" t="str">
        <x:v>P1</x:v>
      </x:c>
      <x:c r="N224" s="26" t="str">
        <x:v>Security/Engineering</x:v>
      </x:c>
      <x:c r="O224" s="26" t="str">
        <x:v>Privacy/Production</x:v>
      </x:c>
      <x:c r="P224" s="26" t="str">
        <x:v>NOT RUN</x:v>
      </x:c>
      <x:c r="Q224" s="26"/>
      <x:c r="R224" s="26"/>
      <x:c r="S224" s="26"/>
      <x:c r="T224" s="26"/>
      <x:c r="U224" s="26"/>
      <x:c r="V224" s="26"/>
      <x:c r="W224" s="26" t="n">
        <x:v>1</x:v>
      </x:c>
      <x:c r="X224" s="26" t="n">
        <x:v>0</x:v>
      </x:c>
      <x:c r="Y224" s="26" t="n">
        <x:v>1</x:v>
      </x:c>
      <x:c r="Z224" s="26" t="str">
        <x:v>PENDING</x:v>
      </x:c>
      <x:c r="AA224" s="26" t="str">
        <x:v>CHG-RC1-DOC-31</x:v>
      </x:c>
      <x:c r="AB224" s="26" t="str">
        <x:v>DEFINED / NOT EXECUTED</x:v>
      </x:c>
    </x:row>
    <x:row r="225" ht="30" customHeight="1">
      <x:c r="A225" s="26" t="str">
        <x:v>H6</x:v>
      </x:c>
      <x:c r="B225" s="26" t="str">
        <x:v>H6-SEC-005</x:v>
      </x:c>
      <x:c r="C225" s="26" t="str">
        <x:v>Seguridad y privacidad</x:v>
      </x:c>
      <x:c r="D225" s="26" t="str">
        <x:v>Control especializado</x:v>
      </x:c>
      <x:c r="E225" s="26" t="str">
        <x:v>Existe inventario de datos tratados por la build y su base/propósito está documentado.</x:v>
      </x:c>
      <x:c r="F225" s="26" t="str">
        <x:v>Cruzar funciones con 26.</x:v>
      </x:c>
      <x:c r="G225" s="26" t="str">
        <x:v>Cumplimiento verificable sin desviaciones bloqueantes.</x:v>
      </x:c>
      <x:c r="H225" s="26" t="str">
        <x:v>Data inventory.</x:v>
      </x:c>
      <x:c r="I225" s="26" t="str">
        <x:v>26_Privacy_Data_and_Telemetry_Plan.md; 27_Security_and_Incident_Response_Plan.md</x:v>
      </x:c>
      <x:c r="J225" s="26" t="str">
        <x:v>Historical build, legal and governance records; no autonomous security plan before document 27</x:v>
      </x:c>
      <x:c r="K225" s="26" t="str">
        <x:v>H6</x:v>
      </x:c>
      <x:c r="L225" s="26" t="str">
        <x:v>Yes</x:v>
      </x:c>
      <x:c r="M225" s="26" t="str">
        <x:v>P1</x:v>
      </x:c>
      <x:c r="N225" s="26" t="str">
        <x:v>Security/Engineering</x:v>
      </x:c>
      <x:c r="O225" s="26" t="str">
        <x:v>Privacy/Production</x:v>
      </x:c>
      <x:c r="P225" s="26" t="str">
        <x:v>NOT RUN</x:v>
      </x:c>
      <x:c r="Q225" s="26"/>
      <x:c r="R225" s="26"/>
      <x:c r="S225" s="26"/>
      <x:c r="T225" s="26"/>
      <x:c r="U225" s="26"/>
      <x:c r="V225" s="26"/>
      <x:c r="W225" s="26" t="n">
        <x:v>1</x:v>
      </x:c>
      <x:c r="X225" s="26" t="n">
        <x:v>0</x:v>
      </x:c>
      <x:c r="Y225" s="26" t="n">
        <x:v>1</x:v>
      </x:c>
      <x:c r="Z225" s="26" t="str">
        <x:v>PENDING</x:v>
      </x:c>
      <x:c r="AA225" s="26" t="str">
        <x:v>CHG-RC1-DOC-31</x:v>
      </x:c>
      <x:c r="AB225" s="26" t="str">
        <x:v>DEFINED / NOT EXECUTED</x:v>
      </x:c>
    </x:row>
    <x:row r="226" ht="30" customHeight="1">
      <x:c r="A226" s="26" t="str">
        <x:v>H6</x:v>
      </x:c>
      <x:c r="B226" s="26" t="str">
        <x:v>H6-SEC-006</x:v>
      </x:c>
      <x:c r="C226" s="26" t="str">
        <x:v>Seguridad y privacidad</x:v>
      </x:c>
      <x:c r="D226" s="26" t="str">
        <x:v>Control especializado</x:v>
      </x:c>
      <x:c r="E226" s="26" t="str">
        <x:v>Los archivos de save/configuración se almacenan en ubicación controlada y con permisos adecuados.</x:v>
      </x:c>
      <x:c r="F226" s="26" t="str">
        <x:v>Revisar rutas y comportamiento multiusuario.</x:v>
      </x:c>
      <x:c r="G226" s="26" t="str">
        <x:v>Cumplimiento verificable sin desviaciones bloqueantes.</x:v>
      </x:c>
      <x:c r="H226" s="26" t="str">
        <x:v>Storage review.</x:v>
      </x:c>
      <x:c r="I226" s="26" t="str">
        <x:v>26_Privacy_Data_and_Telemetry_Plan.md; 27_Security_and_Incident_Response_Plan.md</x:v>
      </x:c>
      <x:c r="J226" s="26" t="str">
        <x:v>Historical build, legal and governance records; no autonomous security plan before document 27</x:v>
      </x:c>
      <x:c r="K226" s="26" t="str">
        <x:v>H6</x:v>
      </x:c>
      <x:c r="L226" s="26" t="str">
        <x:v>Yes</x:v>
      </x:c>
      <x:c r="M226" s="26" t="str">
        <x:v>P1</x:v>
      </x:c>
      <x:c r="N226" s="26" t="str">
        <x:v>Security/Engineering</x:v>
      </x:c>
      <x:c r="O226" s="26" t="str">
        <x:v>Privacy/Production</x:v>
      </x:c>
      <x:c r="P226" s="26" t="str">
        <x:v>NOT RUN</x:v>
      </x:c>
      <x:c r="Q226" s="26"/>
      <x:c r="R226" s="26"/>
      <x:c r="S226" s="26"/>
      <x:c r="T226" s="26"/>
      <x:c r="U226" s="26"/>
      <x:c r="V226" s="26"/>
      <x:c r="W226" s="26" t="n">
        <x:v>1</x:v>
      </x:c>
      <x:c r="X226" s="26" t="n">
        <x:v>0</x:v>
      </x:c>
      <x:c r="Y226" s="26" t="n">
        <x:v>1</x:v>
      </x:c>
      <x:c r="Z226" s="26" t="str">
        <x:v>PENDING</x:v>
      </x:c>
      <x:c r="AA226" s="26" t="str">
        <x:v>CHG-RC1-DOC-31</x:v>
      </x:c>
      <x:c r="AB226" s="26" t="str">
        <x:v>DEFINED / NOT EXECUTED</x:v>
      </x:c>
    </x:row>
    <x:row r="227" ht="30" customHeight="1">
      <x:c r="A227" s="26" t="str">
        <x:v>H6</x:v>
      </x:c>
      <x:c r="B227" s="26" t="str">
        <x:v>H6-SEC-007</x:v>
      </x:c>
      <x:c r="C227" s="26" t="str">
        <x:v>Seguridad y privacidad</x:v>
      </x:c>
      <x:c r="D227" s="26" t="str">
        <x:v>Control especializado</x:v>
      </x:c>
      <x:c r="E227" s="26" t="str">
        <x:v>La build no ejecuta descargas, actualizaciones o conexiones ocultas no declaradas.</x:v>
      </x:c>
      <x:c r="F227" s="26" t="str">
        <x:v>Prueba offline y captura de red.</x:v>
      </x:c>
      <x:c r="G227" s="26" t="str">
        <x:v>Cumplimiento verificable sin desviaciones bloqueantes.</x:v>
      </x:c>
      <x:c r="H227" s="26" t="str">
        <x:v>Network behavior report.</x:v>
      </x:c>
      <x:c r="I227" s="26" t="str">
        <x:v>26_Privacy_Data_and_Telemetry_Plan.md; 27_Security_and_Incident_Response_Plan.md</x:v>
      </x:c>
      <x:c r="J227" s="26" t="str">
        <x:v>Historical build, legal and governance records; no autonomous security plan before document 27</x:v>
      </x:c>
      <x:c r="K227" s="26" t="str">
        <x:v>H6</x:v>
      </x:c>
      <x:c r="L227" s="26" t="str">
        <x:v>Yes</x:v>
      </x:c>
      <x:c r="M227" s="26" t="str">
        <x:v>P1</x:v>
      </x:c>
      <x:c r="N227" s="26" t="str">
        <x:v>Security/Engineering</x:v>
      </x:c>
      <x:c r="O227" s="26" t="str">
        <x:v>Privacy/Production</x:v>
      </x:c>
      <x:c r="P227" s="26" t="str">
        <x:v>NOT RUN</x:v>
      </x:c>
      <x:c r="Q227" s="26"/>
      <x:c r="R227" s="26"/>
      <x:c r="S227" s="26"/>
      <x:c r="T227" s="26"/>
      <x:c r="U227" s="26"/>
      <x:c r="V227" s="26"/>
      <x:c r="W227" s="26" t="n">
        <x:v>1</x:v>
      </x:c>
      <x:c r="X227" s="26" t="n">
        <x:v>0</x:v>
      </x:c>
      <x:c r="Y227" s="26" t="n">
        <x:v>1</x:v>
      </x:c>
      <x:c r="Z227" s="26" t="str">
        <x:v>PENDING</x:v>
      </x:c>
      <x:c r="AA227" s="26" t="str">
        <x:v>CHG-RC1-DOC-31</x:v>
      </x:c>
      <x:c r="AB227" s="26" t="str">
        <x:v>DEFINED / NOT EXECUTED</x:v>
      </x:c>
    </x:row>
    <x:row r="228" ht="30" customHeight="1">
      <x:c r="A228" s="26" t="str">
        <x:v>H6</x:v>
      </x:c>
      <x:c r="B228" s="26" t="str">
        <x:v>H6-SEC-008</x:v>
      </x:c>
      <x:c r="C228" s="26" t="str">
        <x:v>Seguridad y privacidad</x:v>
      </x:c>
      <x:c r="D228" s="26" t="str">
        <x:v>Control especializado</x:v>
      </x:c>
      <x:c r="E228" s="26" t="str">
        <x:v>Backups de repositorio y documentación existen y se ha verificado una restauración básica.</x:v>
      </x:c>
      <x:c r="F228" s="26" t="str">
        <x:v>Restore drill de muestra.</x:v>
      </x:c>
      <x:c r="G228" s="26" t="str">
        <x:v>Cumplimiento verificable sin desviaciones bloqueantes.</x:v>
      </x:c>
      <x:c r="H228" s="26" t="str">
        <x:v>Backup restore record.</x:v>
      </x:c>
      <x:c r="I228" s="26" t="str">
        <x:v>26_Privacy_Data_and_Telemetry_Plan.md; 27_Security_and_Incident_Response_Plan.md</x:v>
      </x:c>
      <x:c r="J228" s="26" t="str">
        <x:v>Historical build, legal and governance records; no autonomous security plan before document 27</x:v>
      </x:c>
      <x:c r="K228" s="26" t="str">
        <x:v>H6</x:v>
      </x:c>
      <x:c r="L228" s="26" t="str">
        <x:v>Yes</x:v>
      </x:c>
      <x:c r="M228" s="26" t="str">
        <x:v>P1</x:v>
      </x:c>
      <x:c r="N228" s="26" t="str">
        <x:v>Security/Engineering</x:v>
      </x:c>
      <x:c r="O228" s="26" t="str">
        <x:v>Privacy/Production</x:v>
      </x:c>
      <x:c r="P228" s="26" t="str">
        <x:v>NOT RUN</x:v>
      </x:c>
      <x:c r="Q228" s="26"/>
      <x:c r="R228" s="26"/>
      <x:c r="S228" s="26"/>
      <x:c r="T228" s="26"/>
      <x:c r="U228" s="26"/>
      <x:c r="V228" s="26"/>
      <x:c r="W228" s="26" t="n">
        <x:v>1</x:v>
      </x:c>
      <x:c r="X228" s="26" t="n">
        <x:v>0</x:v>
      </x:c>
      <x:c r="Y228" s="26" t="n">
        <x:v>1</x:v>
      </x:c>
      <x:c r="Z228" s="26" t="str">
        <x:v>PENDING</x:v>
      </x:c>
      <x:c r="AA228" s="26" t="str">
        <x:v>CHG-RC1-DOC-31</x:v>
      </x:c>
      <x:c r="AB228" s="26" t="str">
        <x:v>DEFINED / NOT EXECUTED</x:v>
      </x:c>
    </x:row>
    <x:row r="229" ht="30" customHeight="1">
      <x:c r="A229" s="26" t="str">
        <x:v>H6</x:v>
      </x:c>
      <x:c r="B229" s="26" t="str">
        <x:v>H6-SEC-009</x:v>
      </x:c>
      <x:c r="C229" s="26" t="str">
        <x:v>Seguridad y privacidad</x:v>
      </x:c>
      <x:c r="D229" s="26" t="str">
        <x:v>Control especializado</x:v>
      </x:c>
      <x:c r="E229" s="26" t="str">
        <x:v>Los accesos a Steam, firma, repositorio y almacenamiento de builds aplican mínimo privilegio.</x:v>
      </x:c>
      <x:c r="F229" s="26" t="str">
        <x:v>Revisión de cuentas y permisos.</x:v>
      </x:c>
      <x:c r="G229" s="26" t="str">
        <x:v>Cumplimiento verificable sin desviaciones bloqueantes.</x:v>
      </x:c>
      <x:c r="H229" s="26" t="str">
        <x:v>Access review.</x:v>
      </x:c>
      <x:c r="I229" s="26" t="str">
        <x:v>26_Privacy_Data_and_Telemetry_Plan.md; 27_Security_and_Incident_Response_Plan.md</x:v>
      </x:c>
      <x:c r="J229" s="26" t="str">
        <x:v>Historical build, legal and governance records; no autonomous security plan before document 27</x:v>
      </x:c>
      <x:c r="K229" s="26" t="str">
        <x:v>H6</x:v>
      </x:c>
      <x:c r="L229" s="26" t="str">
        <x:v>Yes</x:v>
      </x:c>
      <x:c r="M229" s="26" t="str">
        <x:v>P1</x:v>
      </x:c>
      <x:c r="N229" s="26" t="str">
        <x:v>Security/Engineering</x:v>
      </x:c>
      <x:c r="O229" s="26" t="str">
        <x:v>Privacy/Production</x:v>
      </x:c>
      <x:c r="P229" s="26" t="str">
        <x:v>NOT RUN</x:v>
      </x:c>
      <x:c r="Q229" s="26"/>
      <x:c r="R229" s="26"/>
      <x:c r="S229" s="26"/>
      <x:c r="T229" s="26"/>
      <x:c r="U229" s="26"/>
      <x:c r="V229" s="26"/>
      <x:c r="W229" s="26" t="n">
        <x:v>1</x:v>
      </x:c>
      <x:c r="X229" s="26" t="n">
        <x:v>0</x:v>
      </x:c>
      <x:c r="Y229" s="26" t="n">
        <x:v>1</x:v>
      </x:c>
      <x:c r="Z229" s="26" t="str">
        <x:v>PENDING</x:v>
      </x:c>
      <x:c r="AA229" s="26" t="str">
        <x:v>CHG-RC1-DOC-31</x:v>
      </x:c>
      <x:c r="AB229" s="26" t="str">
        <x:v>DEFINED / NOT EXECUTED</x:v>
      </x:c>
    </x:row>
    <x:row r="230" ht="30" customHeight="1">
      <x:c r="A230" s="26" t="str">
        <x:v>H6</x:v>
      </x:c>
      <x:c r="B230" s="26" t="str">
        <x:v>H6-SEC-010</x:v>
      </x:c>
      <x:c r="C230" s="26" t="str">
        <x:v>Seguridad y privacidad</x:v>
      </x:c>
      <x:c r="D230" s="26" t="str">
        <x:v>Control especializado</x:v>
      </x:c>
      <x:c r="E230" s="26" t="str">
        <x:v>Existe contacto y procedimiento para responder a un incidente que afecte la candidata.</x:v>
      </x:c>
      <x:c r="F230" s="26" t="str">
        <x:v>Revisar 27 y realizar tabletop breve.</x:v>
      </x:c>
      <x:c r="G230" s="26" t="str">
        <x:v>Cumplimiento verificable sin desviaciones bloqueantes.</x:v>
      </x:c>
      <x:c r="H230" s="26" t="str">
        <x:v>Incident tabletop record.</x:v>
      </x:c>
      <x:c r="I230" s="26" t="str">
        <x:v>26_Privacy_Data_and_Telemetry_Plan.md; 27_Security_and_Incident_Response_Plan.md</x:v>
      </x:c>
      <x:c r="J230" s="26" t="str">
        <x:v>Historical build, legal and governance records; no autonomous security plan before document 27</x:v>
      </x:c>
      <x:c r="K230" s="26" t="str">
        <x:v>H6</x:v>
      </x:c>
      <x:c r="L230" s="26" t="str">
        <x:v>Yes</x:v>
      </x:c>
      <x:c r="M230" s="26" t="str">
        <x:v>P1</x:v>
      </x:c>
      <x:c r="N230" s="26" t="str">
        <x:v>Security/Engineering</x:v>
      </x:c>
      <x:c r="O230" s="26" t="str">
        <x:v>Privacy/Production</x:v>
      </x:c>
      <x:c r="P230" s="26" t="str">
        <x:v>NOT RUN</x:v>
      </x:c>
      <x:c r="Q230" s="26"/>
      <x:c r="R230" s="26"/>
      <x:c r="S230" s="26"/>
      <x:c r="T230" s="26"/>
      <x:c r="U230" s="26"/>
      <x:c r="V230" s="26"/>
      <x:c r="W230" s="26" t="n">
        <x:v>1</x:v>
      </x:c>
      <x:c r="X230" s="26" t="n">
        <x:v>0</x:v>
      </x:c>
      <x:c r="Y230" s="26" t="n">
        <x:v>1</x:v>
      </x:c>
      <x:c r="Z230" s="26" t="str">
        <x:v>PENDING</x:v>
      </x:c>
      <x:c r="AA230" s="26" t="str">
        <x:v>CHG-RC1-DOC-31</x:v>
      </x:c>
      <x:c r="AB230" s="26" t="str">
        <x:v>DEFINED / NOT EXECUTED</x:v>
      </x:c>
    </x:row>
    <x:row r="231" ht="30" customHeight="1">
      <x:c r="A231" s="26" t="str">
        <x:v>H6</x:v>
      </x:c>
      <x:c r="B231" s="26" t="str">
        <x:v>H6-SEC-011</x:v>
      </x:c>
      <x:c r="C231" s="26" t="str">
        <x:v>Seguridad y privacidad</x:v>
      </x:c>
      <x:c r="D231" s="26" t="str">
        <x:v>Control especializado</x:v>
      </x:c>
      <x:c r="E231" s="26" t="str">
        <x:v>Los artefactos de crash/debug que puedan contener información sensible se manejan con reglas definidas.</x:v>
      </x:c>
      <x:c r="F231" s="26" t="str">
        <x:v>Revisar flujo de recopilación y almacenamiento.</x:v>
      </x:c>
      <x:c r="G231" s="26" t="str">
        <x:v>Cumplimiento verificable sin desviaciones bloqueantes.</x:v>
      </x:c>
      <x:c r="H231" s="26" t="str">
        <x:v>Crash artifact handling record.</x:v>
      </x:c>
      <x:c r="I231" s="26" t="str">
        <x:v>26_Privacy_Data_and_Telemetry_Plan.md; 27_Security_and_Incident_Response_Plan.md</x:v>
      </x:c>
      <x:c r="J231" s="26" t="str">
        <x:v>Historical build, legal and governance records; no autonomous security plan before document 27</x:v>
      </x:c>
      <x:c r="K231" s="26" t="str">
        <x:v>H6</x:v>
      </x:c>
      <x:c r="L231" s="26" t="str">
        <x:v>Yes</x:v>
      </x:c>
      <x:c r="M231" s="26" t="str">
        <x:v>P1</x:v>
      </x:c>
      <x:c r="N231" s="26" t="str">
        <x:v>Security/Engineering</x:v>
      </x:c>
      <x:c r="O231" s="26" t="str">
        <x:v>Privacy/Production</x:v>
      </x:c>
      <x:c r="P231" s="26" t="str">
        <x:v>NOT RUN</x:v>
      </x:c>
      <x:c r="Q231" s="26"/>
      <x:c r="R231" s="26"/>
      <x:c r="S231" s="26"/>
      <x:c r="T231" s="26"/>
      <x:c r="U231" s="26"/>
      <x:c r="V231" s="26"/>
      <x:c r="W231" s="26" t="n">
        <x:v>1</x:v>
      </x:c>
      <x:c r="X231" s="26" t="n">
        <x:v>0</x:v>
      </x:c>
      <x:c r="Y231" s="26" t="n">
        <x:v>1</x:v>
      </x:c>
      <x:c r="Z231" s="26" t="str">
        <x:v>PENDING</x:v>
      </x:c>
      <x:c r="AA231" s="26" t="str">
        <x:v>CHG-RC1-DOC-31</x:v>
      </x:c>
      <x:c r="AB231" s="26" t="str">
        <x:v>DEFINED / NOT EXECUTED</x:v>
      </x:c>
    </x:row>
    <x:row r="232" ht="30" customHeight="1">
      <x:c r="A232" s="26" t="str">
        <x:v>H6</x:v>
      </x:c>
      <x:c r="B232" s="26" t="str">
        <x:v>H6-SEC-012</x:v>
      </x:c>
      <x:c r="C232" s="26" t="str">
        <x:v>Seguridad y privacidad</x:v>
      </x:c>
      <x:c r="D232" s="26" t="str">
        <x:v>Control especializado</x:v>
      </x:c>
      <x:c r="E232" s="26" t="str">
        <x:v>Cualquier proveedor/herramienta que reciba datos del proyecto está registrado o fuera del flujo H6.</x:v>
      </x:c>
      <x:c r="F232" s="26" t="str">
        <x:v>Auditar herramientas y exportaciones.</x:v>
      </x:c>
      <x:c r="G232" s="26" t="str">
        <x:v>Cumplimiento verificable sin desviaciones bloqueantes.</x:v>
      </x:c>
      <x:c r="H232" s="26" t="str">
        <x:v>Processor/tool inventory.</x:v>
      </x:c>
      <x:c r="I232" s="26" t="str">
        <x:v>26_Privacy_Data_and_Telemetry_Plan.md; 27_Security_and_Incident_Response_Plan.md</x:v>
      </x:c>
      <x:c r="J232" s="26" t="str">
        <x:v>Historical build, legal and governance records; no autonomous security plan before document 27</x:v>
      </x:c>
      <x:c r="K232" s="26" t="str">
        <x:v>H6</x:v>
      </x:c>
      <x:c r="L232" s="26" t="str">
        <x:v>Yes</x:v>
      </x:c>
      <x:c r="M232" s="26" t="str">
        <x:v>P1</x:v>
      </x:c>
      <x:c r="N232" s="26" t="str">
        <x:v>Security/Engineering</x:v>
      </x:c>
      <x:c r="O232" s="26" t="str">
        <x:v>Privacy/Production</x:v>
      </x:c>
      <x:c r="P232" s="26" t="str">
        <x:v>NOT RUN</x:v>
      </x:c>
      <x:c r="Q232" s="26"/>
      <x:c r="R232" s="26"/>
      <x:c r="S232" s="26"/>
      <x:c r="T232" s="26"/>
      <x:c r="U232" s="26"/>
      <x:c r="V232" s="26"/>
      <x:c r="W232" s="26" t="n">
        <x:v>1</x:v>
      </x:c>
      <x:c r="X232" s="26" t="n">
        <x:v>0</x:v>
      </x:c>
      <x:c r="Y232" s="26" t="n">
        <x:v>1</x:v>
      </x:c>
      <x:c r="Z232" s="26" t="str">
        <x:v>PENDING</x:v>
      </x:c>
      <x:c r="AA232" s="26" t="str">
        <x:v>CHG-RC1-DOC-31</x:v>
      </x:c>
      <x:c r="AB232" s="26" t="str">
        <x:v>DEFINED / NOT EXECUTED</x:v>
      </x:c>
    </x:row>
    <x:row r="233" ht="30" customHeight="1">
      <x:c r="A233" s="26" t="str">
        <x:v>H6</x:v>
      </x:c>
      <x:c r="B233" s="26" t="str">
        <x:v>H6-LEG-001</x:v>
      </x:c>
      <x:c r="C233" s="26" t="str">
        <x:v>Legal, créditos y licencias</x:v>
      </x:c>
      <x:c r="D233" s="26" t="str">
        <x:v>Control especializado</x:v>
      </x:c>
      <x:c r="E233" s="26" t="str">
        <x:v>El nombre de trabajo y el nombre del estudio no se presentan como clearance comercial definitivo sin validación.</x:v>
      </x:c>
      <x:c r="F233" s="26" t="str">
        <x:v>Revisar splash, package, documentos y capturas.</x:v>
      </x:c>
      <x:c r="G233" s="26" t="str">
        <x:v>Cumplimiento verificable sin desviaciones bloqueantes.</x:v>
      </x:c>
      <x:c r="H233" s="26" t="str">
        <x:v>Naming status record.</x:v>
      </x:c>
      <x:c r="I233" s="26" t="str">
        <x:v>23_Legal_Credits_and_Licenses_Register.xlsx; 28_Marketing_and_Communication_Plan.md</x:v>
      </x:c>
      <x:c r="J233" s="26" t="str">
        <x:v>Legal/Credits/Licenses Register v0.3–v0.5; Marketing Plan v0.3–v0.5</x:v>
      </x:c>
      <x:c r="K233" s="26" t="str">
        <x:v>H6</x:v>
      </x:c>
      <x:c r="L233" s="26" t="str">
        <x:v>Yes</x:v>
      </x:c>
      <x:c r="M233" s="26" t="str">
        <x:v>P0</x:v>
      </x:c>
      <x:c r="N233" s="26" t="str">
        <x:v>Legal/Production</x:v>
      </x:c>
      <x:c r="O233" s="26" t="str">
        <x:v>Production/Security</x:v>
      </x:c>
      <x:c r="P233" s="26" t="str">
        <x:v>NOT RUN</x:v>
      </x:c>
      <x:c r="Q233" s="26"/>
      <x:c r="R233" s="26"/>
      <x:c r="S233" s="26"/>
      <x:c r="T233" s="26"/>
      <x:c r="U233" s="26"/>
      <x:c r="V233" s="26"/>
      <x:c r="W233" s="26" t="n">
        <x:v>1</x:v>
      </x:c>
      <x:c r="X233" s="26" t="n">
        <x:v>0</x:v>
      </x:c>
      <x:c r="Y233" s="26" t="n">
        <x:v>1</x:v>
      </x:c>
      <x:c r="Z233" s="26" t="str">
        <x:v>PENDING</x:v>
      </x:c>
      <x:c r="AA233" s="26" t="str">
        <x:v>CHG-RC1-DOC-31</x:v>
      </x:c>
      <x:c r="AB233" s="26" t="str">
        <x:v>DEFINED / NOT EXECUTED</x:v>
      </x:c>
    </x:row>
    <x:row r="234" ht="30" customHeight="1">
      <x:c r="A234" s="26" t="str">
        <x:v>H6</x:v>
      </x:c>
      <x:c r="B234" s="26" t="str">
        <x:v>H6-LEG-002</x:v>
      </x:c>
      <x:c r="C234" s="26" t="str">
        <x:v>Legal, créditos y licencias</x:v>
      </x:c>
      <x:c r="D234" s="26" t="str">
        <x:v>Control especializado</x:v>
      </x:c>
      <x:c r="E234" s="26" t="str">
        <x:v>Cada asset de terceros incluido tiene licencia, fuente, versión, uso permitido y evidencia archivada.</x:v>
      </x:c>
      <x:c r="F234" s="26" t="str">
        <x:v>Cruzar build manifest con 23.</x:v>
      </x:c>
      <x:c r="G234" s="26" t="str">
        <x:v>Cumplimiento verificable sin desviaciones bloqueantes.</x:v>
      </x:c>
      <x:c r="H234" s="26" t="str">
        <x:v>License coverage report.</x:v>
      </x:c>
      <x:c r="I234" s="26" t="str">
        <x:v>23_Legal_Credits_and_Licenses_Register.xlsx; 28_Marketing_and_Communication_Plan.md</x:v>
      </x:c>
      <x:c r="J234" s="26" t="str">
        <x:v>Legal/Credits/Licenses Register v0.3–v0.5; Marketing Plan v0.3–v0.5</x:v>
      </x:c>
      <x:c r="K234" s="26" t="str">
        <x:v>H6</x:v>
      </x:c>
      <x:c r="L234" s="26" t="str">
        <x:v>Yes</x:v>
      </x:c>
      <x:c r="M234" s="26" t="str">
        <x:v>P0</x:v>
      </x:c>
      <x:c r="N234" s="26" t="str">
        <x:v>Legal/Production</x:v>
      </x:c>
      <x:c r="O234" s="26" t="str">
        <x:v>Production/Security</x:v>
      </x:c>
      <x:c r="P234" s="26" t="str">
        <x:v>NOT RUN</x:v>
      </x:c>
      <x:c r="Q234" s="26"/>
      <x:c r="R234" s="26"/>
      <x:c r="S234" s="26"/>
      <x:c r="T234" s="26"/>
      <x:c r="U234" s="26"/>
      <x:c r="V234" s="26"/>
      <x:c r="W234" s="26" t="n">
        <x:v>1</x:v>
      </x:c>
      <x:c r="X234" s="26" t="n">
        <x:v>0</x:v>
      </x:c>
      <x:c r="Y234" s="26" t="n">
        <x:v>1</x:v>
      </x:c>
      <x:c r="Z234" s="26" t="str">
        <x:v>PENDING</x:v>
      </x:c>
      <x:c r="AA234" s="26" t="str">
        <x:v>CHG-RC1-DOC-31</x:v>
      </x:c>
      <x:c r="AB234" s="26" t="str">
        <x:v>DEFINED / NOT EXECUTED</x:v>
      </x:c>
    </x:row>
    <x:row r="235" ht="30" customHeight="1">
      <x:c r="A235" s="26" t="str">
        <x:v>H6</x:v>
      </x:c>
      <x:c r="B235" s="26" t="str">
        <x:v>H6-LEG-003</x:v>
      </x:c>
      <x:c r="C235" s="26" t="str">
        <x:v>Legal, créditos y licencias</x:v>
      </x:c>
      <x:c r="D235" s="26" t="str">
        <x:v>Control especializado</x:v>
      </x:c>
      <x:c r="E235" s="26" t="str">
        <x:v>Las fuentes tipográficas incluidas tienen licencia compatible con distribución.</x:v>
      </x:c>
      <x:c r="F235" s="26" t="str">
        <x:v>Revisar archivo, licencia y embedding.</x:v>
      </x:c>
      <x:c r="G235" s="26" t="str">
        <x:v>Cumplimiento verificable sin desviaciones bloqueantes.</x:v>
      </x:c>
      <x:c r="H235" s="26" t="str">
        <x:v>Font license record.</x:v>
      </x:c>
      <x:c r="I235" s="26" t="str">
        <x:v>23_Legal_Credits_and_Licenses_Register.xlsx; 28_Marketing_and_Communication_Plan.md</x:v>
      </x:c>
      <x:c r="J235" s="26" t="str">
        <x:v>Legal/Credits/Licenses Register v0.3–v0.5; Marketing Plan v0.3–v0.5</x:v>
      </x:c>
      <x:c r="K235" s="26" t="str">
        <x:v>H6</x:v>
      </x:c>
      <x:c r="L235" s="26" t="str">
        <x:v>Yes</x:v>
      </x:c>
      <x:c r="M235" s="26" t="str">
        <x:v>P1</x:v>
      </x:c>
      <x:c r="N235" s="26" t="str">
        <x:v>Legal/Production</x:v>
      </x:c>
      <x:c r="O235" s="26" t="str">
        <x:v>Production/Security</x:v>
      </x:c>
      <x:c r="P235" s="26" t="str">
        <x:v>NOT RUN</x:v>
      </x:c>
      <x:c r="Q235" s="26"/>
      <x:c r="R235" s="26"/>
      <x:c r="S235" s="26"/>
      <x:c r="T235" s="26"/>
      <x:c r="U235" s="26"/>
      <x:c r="V235" s="26"/>
      <x:c r="W235" s="26" t="n">
        <x:v>1</x:v>
      </x:c>
      <x:c r="X235" s="26" t="n">
        <x:v>0</x:v>
      </x:c>
      <x:c r="Y235" s="26" t="n">
        <x:v>1</x:v>
      </x:c>
      <x:c r="Z235" s="26" t="str">
        <x:v>PENDING</x:v>
      </x:c>
      <x:c r="AA235" s="26" t="str">
        <x:v>CHG-RC1-DOC-31</x:v>
      </x:c>
      <x:c r="AB235" s="26" t="str">
        <x:v>DEFINED / NOT EXECUTED</x:v>
      </x:c>
    </x:row>
    <x:row r="236" ht="30" customHeight="1">
      <x:c r="A236" s="26" t="str">
        <x:v>H6</x:v>
      </x:c>
      <x:c r="B236" s="26" t="str">
        <x:v>H6-LEG-004</x:v>
      </x:c>
      <x:c r="C236" s="26" t="str">
        <x:v>Legal, créditos y licencias</x:v>
      </x:c>
      <x:c r="D236" s="26" t="str">
        <x:v>Control especializado</x:v>
      </x:c>
      <x:c r="E236" s="26" t="str">
        <x:v>Todo audio incluido tiene autorización de distribución y créditos definidos.</x:v>
      </x:c>
      <x:c r="F236" s="26" t="str">
        <x:v>Cruzar audio manifest con 23.</x:v>
      </x:c>
      <x:c r="G236" s="26" t="str">
        <x:v>Cumplimiento verificable sin desviaciones bloqueantes.</x:v>
      </x:c>
      <x:c r="H236" s="26" t="str">
        <x:v>Audio license coverage.</x:v>
      </x:c>
      <x:c r="I236" s="26" t="str">
        <x:v>23_Legal_Credits_and_Licenses_Register.xlsx; 28_Marketing_and_Communication_Plan.md</x:v>
      </x:c>
      <x:c r="J236" s="26" t="str">
        <x:v>Legal/Credits/Licenses Register v0.3–v0.5; Marketing Plan v0.3–v0.5</x:v>
      </x:c>
      <x:c r="K236" s="26" t="str">
        <x:v>H6</x:v>
      </x:c>
      <x:c r="L236" s="26" t="str">
        <x:v>Yes</x:v>
      </x:c>
      <x:c r="M236" s="26" t="str">
        <x:v>P1</x:v>
      </x:c>
      <x:c r="N236" s="26" t="str">
        <x:v>Legal/Production</x:v>
      </x:c>
      <x:c r="O236" s="26" t="str">
        <x:v>Production/Security</x:v>
      </x:c>
      <x:c r="P236" s="26" t="str">
        <x:v>NOT RUN</x:v>
      </x:c>
      <x:c r="Q236" s="26"/>
      <x:c r="R236" s="26"/>
      <x:c r="S236" s="26"/>
      <x:c r="T236" s="26"/>
      <x:c r="U236" s="26"/>
      <x:c r="V236" s="26"/>
      <x:c r="W236" s="26" t="n">
        <x:v>1</x:v>
      </x:c>
      <x:c r="X236" s="26" t="n">
        <x:v>0</x:v>
      </x:c>
      <x:c r="Y236" s="26" t="n">
        <x:v>1</x:v>
      </x:c>
      <x:c r="Z236" s="26" t="str">
        <x:v>PENDING</x:v>
      </x:c>
      <x:c r="AA236" s="26" t="str">
        <x:v>CHG-RC1-DOC-31</x:v>
      </x:c>
      <x:c r="AB236" s="26" t="str">
        <x:v>DEFINED / NOT EXECUTED</x:v>
      </x:c>
    </x:row>
    <x:row r="237" ht="30" customHeight="1">
      <x:c r="A237" s="26" t="str">
        <x:v>H6</x:v>
      </x:c>
      <x:c r="B237" s="26" t="str">
        <x:v>H6-LEG-005</x:v>
      </x:c>
      <x:c r="C237" s="26" t="str">
        <x:v>Legal, créditos y licencias</x:v>
      </x:c>
      <x:c r="D237" s="26" t="str">
        <x:v>Control especializado</x:v>
      </x:c>
      <x:c r="E237" s="26" t="str">
        <x:v>No existen marcas, logos, nombres de producto o diseños protegidos no autorizados.</x:v>
      </x:c>
      <x:c r="F237" s="26" t="str">
        <x:v>Revisión legal de arte, UI y texto.</x:v>
      </x:c>
      <x:c r="G237" s="26" t="str">
        <x:v>Cumplimiento verificable sin desviaciones bloqueantes.</x:v>
      </x:c>
      <x:c r="H237" s="26" t="str">
        <x:v>IP clearance checklist.</x:v>
      </x:c>
      <x:c r="I237" s="26" t="str">
        <x:v>23_Legal_Credits_and_Licenses_Register.xlsx; 28_Marketing_and_Communication_Plan.md</x:v>
      </x:c>
      <x:c r="J237" s="26" t="str">
        <x:v>Legal/Credits/Licenses Register v0.3–v0.5; Marketing Plan v0.3–v0.5</x:v>
      </x:c>
      <x:c r="K237" s="26" t="str">
        <x:v>H6</x:v>
      </x:c>
      <x:c r="L237" s="26" t="str">
        <x:v>Yes</x:v>
      </x:c>
      <x:c r="M237" s="26" t="str">
        <x:v>P1</x:v>
      </x:c>
      <x:c r="N237" s="26" t="str">
        <x:v>Legal/Production</x:v>
      </x:c>
      <x:c r="O237" s="26" t="str">
        <x:v>Production/Security</x:v>
      </x:c>
      <x:c r="P237" s="26" t="str">
        <x:v>NOT RUN</x:v>
      </x:c>
      <x:c r="Q237" s="26"/>
      <x:c r="R237" s="26"/>
      <x:c r="S237" s="26"/>
      <x:c r="T237" s="26"/>
      <x:c r="U237" s="26"/>
      <x:c r="V237" s="26"/>
      <x:c r="W237" s="26" t="n">
        <x:v>1</x:v>
      </x:c>
      <x:c r="X237" s="26" t="n">
        <x:v>0</x:v>
      </x:c>
      <x:c r="Y237" s="26" t="n">
        <x:v>1</x:v>
      </x:c>
      <x:c r="Z237" s="26" t="str">
        <x:v>PENDING</x:v>
      </x:c>
      <x:c r="AA237" s="26" t="str">
        <x:v>CHG-RC1-DOC-31</x:v>
      </x:c>
      <x:c r="AB237" s="26" t="str">
        <x:v>DEFINED / NOT EXECUTED</x:v>
      </x:c>
    </x:row>
    <x:row r="238" ht="30" customHeight="1">
      <x:c r="A238" s="26" t="str">
        <x:v>H6</x:v>
      </x:c>
      <x:c r="B238" s="26" t="str">
        <x:v>H6-LEG-006</x:v>
      </x:c>
      <x:c r="C238" s="26" t="str">
        <x:v>Legal, créditos y licencias</x:v>
      </x:c>
      <x:c r="D238" s="26" t="str">
        <x:v>Control especializado</x:v>
      </x:c>
      <x:c r="E238" s="26" t="str">
        <x:v>Los notices y atribuciones obligatorios están preparados para el paquete correspondiente.</x:v>
      </x:c>
      <x:c r="F238" s="26" t="str">
        <x:v>Generar notices desde registro de licencias.</x:v>
      </x:c>
      <x:c r="G238" s="26" t="str">
        <x:v>Cumplimiento verificable sin desviaciones bloqueantes.</x:v>
      </x:c>
      <x:c r="H238" s="26" t="str">
        <x:v>Third-party notices draft.</x:v>
      </x:c>
      <x:c r="I238" s="26" t="str">
        <x:v>23_Legal_Credits_and_Licenses_Register.xlsx; 28_Marketing_and_Communication_Plan.md</x:v>
      </x:c>
      <x:c r="J238" s="26" t="str">
        <x:v>Legal/Credits/Licenses Register v0.3–v0.5; Marketing Plan v0.3–v0.5</x:v>
      </x:c>
      <x:c r="K238" s="26" t="str">
        <x:v>H6</x:v>
      </x:c>
      <x:c r="L238" s="26" t="str">
        <x:v>Yes</x:v>
      </x:c>
      <x:c r="M238" s="26" t="str">
        <x:v>P1</x:v>
      </x:c>
      <x:c r="N238" s="26" t="str">
        <x:v>Legal/Production</x:v>
      </x:c>
      <x:c r="O238" s="26" t="str">
        <x:v>Production/Security</x:v>
      </x:c>
      <x:c r="P238" s="26" t="str">
        <x:v>NOT RUN</x:v>
      </x:c>
      <x:c r="Q238" s="26"/>
      <x:c r="R238" s="26"/>
      <x:c r="S238" s="26"/>
      <x:c r="T238" s="26"/>
      <x:c r="U238" s="26"/>
      <x:c r="V238" s="26"/>
      <x:c r="W238" s="26" t="n">
        <x:v>1</x:v>
      </x:c>
      <x:c r="X238" s="26" t="n">
        <x:v>0</x:v>
      </x:c>
      <x:c r="Y238" s="26" t="n">
        <x:v>1</x:v>
      </x:c>
      <x:c r="Z238" s="26" t="str">
        <x:v>PENDING</x:v>
      </x:c>
      <x:c r="AA238" s="26" t="str">
        <x:v>CHG-RC1-DOC-31</x:v>
      </x:c>
      <x:c r="AB238" s="26" t="str">
        <x:v>DEFINED / NOT EXECUTED</x:v>
      </x:c>
    </x:row>
    <x:row r="239" ht="30" customHeight="1">
      <x:c r="A239" s="26" t="str">
        <x:v>H6</x:v>
      </x:c>
      <x:c r="B239" s="26" t="str">
        <x:v>H6-LEG-007</x:v>
      </x:c>
      <x:c r="C239" s="26" t="str">
        <x:v>Legal, créditos y licencias</x:v>
      </x:c>
      <x:c r="D239" s="26" t="str">
        <x:v>Control especializado</x:v>
      </x:c>
      <x:c r="E239" s="26" t="str">
        <x:v>Los créditos del equipo/proveedores respetan nombres autorizados y privacidad.</x:v>
      </x:c>
      <x:c r="F239" s="26" t="str">
        <x:v>Revisión de consentimientos y créditos.</x:v>
      </x:c>
      <x:c r="G239" s="26" t="str">
        <x:v>Cumplimiento verificable sin desviaciones bloqueantes.</x:v>
      </x:c>
      <x:c r="H239" s="26" t="str">
        <x:v>Credits approval.</x:v>
      </x:c>
      <x:c r="I239" s="26" t="str">
        <x:v>23_Legal_Credits_and_Licenses_Register.xlsx; 28_Marketing_and_Communication_Plan.md</x:v>
      </x:c>
      <x:c r="J239" s="26" t="str">
        <x:v>Legal/Credits/Licenses Register v0.3–v0.5; Marketing Plan v0.3–v0.5</x:v>
      </x:c>
      <x:c r="K239" s="26" t="str">
        <x:v>H6</x:v>
      </x:c>
      <x:c r="L239" s="26" t="str">
        <x:v>Yes</x:v>
      </x:c>
      <x:c r="M239" s="26" t="str">
        <x:v>P1</x:v>
      </x:c>
      <x:c r="N239" s="26" t="str">
        <x:v>Legal/Production</x:v>
      </x:c>
      <x:c r="O239" s="26" t="str">
        <x:v>Production/Security</x:v>
      </x:c>
      <x:c r="P239" s="26" t="str">
        <x:v>NOT RUN</x:v>
      </x:c>
      <x:c r="Q239" s="26"/>
      <x:c r="R239" s="26"/>
      <x:c r="S239" s="26"/>
      <x:c r="T239" s="26"/>
      <x:c r="U239" s="26"/>
      <x:c r="V239" s="26"/>
      <x:c r="W239" s="26" t="n">
        <x:v>1</x:v>
      </x:c>
      <x:c r="X239" s="26" t="n">
        <x:v>0</x:v>
      </x:c>
      <x:c r="Y239" s="26" t="n">
        <x:v>1</x:v>
      </x:c>
      <x:c r="Z239" s="26" t="str">
        <x:v>PENDING</x:v>
      </x:c>
      <x:c r="AA239" s="26" t="str">
        <x:v>CHG-RC1-DOC-31</x:v>
      </x:c>
      <x:c r="AB239" s="26" t="str">
        <x:v>DEFINED / NOT EXECUTED</x:v>
      </x:c>
    </x:row>
    <x:row r="240" ht="30" customHeight="1">
      <x:c r="A240" s="26" t="str">
        <x:v>H6</x:v>
      </x:c>
      <x:c r="B240" s="26" t="str">
        <x:v>H6-LEG-008</x:v>
      </x:c>
      <x:c r="C240" s="26" t="str">
        <x:v>Legal, créditos y licencias</x:v>
      </x:c>
      <x:c r="D240" s="26" t="str">
        <x:v>Control especializado</x:v>
      </x:c>
      <x:c r="E240" s="26" t="str">
        <x:v>Las licencias de Unity/packages/SDK usados se han revisado para el uso previsto.</x:v>
      </x:c>
      <x:c r="F240" s="26" t="str">
        <x:v>Inventario de packages y términos aplicables.</x:v>
      </x:c>
      <x:c r="G240" s="26" t="str">
        <x:v>Cumplimiento verificable sin desviaciones bloqueantes.</x:v>
      </x:c>
      <x:c r="H240" s="26" t="str">
        <x:v>Package legal review.</x:v>
      </x:c>
      <x:c r="I240" s="26" t="str">
        <x:v>23_Legal_Credits_and_Licenses_Register.xlsx; 28_Marketing_and_Communication_Plan.md</x:v>
      </x:c>
      <x:c r="J240" s="26" t="str">
        <x:v>Legal/Credits/Licenses Register v0.3–v0.5; Marketing Plan v0.3–v0.5</x:v>
      </x:c>
      <x:c r="K240" s="26" t="str">
        <x:v>H6</x:v>
      </x:c>
      <x:c r="L240" s="26" t="str">
        <x:v>Yes</x:v>
      </x:c>
      <x:c r="M240" s="26" t="str">
        <x:v>P1</x:v>
      </x:c>
      <x:c r="N240" s="26" t="str">
        <x:v>Legal/Production</x:v>
      </x:c>
      <x:c r="O240" s="26" t="str">
        <x:v>Production/Security</x:v>
      </x:c>
      <x:c r="P240" s="26" t="str">
        <x:v>NOT RUN</x:v>
      </x:c>
      <x:c r="Q240" s="26"/>
      <x:c r="R240" s="26"/>
      <x:c r="S240" s="26"/>
      <x:c r="T240" s="26"/>
      <x:c r="U240" s="26"/>
      <x:c r="V240" s="26"/>
      <x:c r="W240" s="26" t="n">
        <x:v>1</x:v>
      </x:c>
      <x:c r="X240" s="26" t="n">
        <x:v>0</x:v>
      </x:c>
      <x:c r="Y240" s="26" t="n">
        <x:v>1</x:v>
      </x:c>
      <x:c r="Z240" s="26" t="str">
        <x:v>PENDING</x:v>
      </x:c>
      <x:c r="AA240" s="26" t="str">
        <x:v>CHG-RC1-DOC-31</x:v>
      </x:c>
      <x:c r="AB240" s="26" t="str">
        <x:v>DEFINED / NOT EXECUTED</x:v>
      </x:c>
    </x:row>
    <x:row r="241" ht="30" customHeight="1">
      <x:c r="A241" s="26" t="str">
        <x:v>H6</x:v>
      </x:c>
      <x:c r="B241" s="26" t="str">
        <x:v>H6-LEG-009</x:v>
      </x:c>
      <x:c r="C241" s="26" t="str">
        <x:v>Legal, créditos y licencias</x:v>
      </x:c>
      <x:c r="D241" s="26" t="str">
        <x:v>Control especializado</x:v>
      </x:c>
      <x:c r="E241" s="26" t="str">
        <x:v>Las capturas, vídeos y evidencias H6 no incorporan contenido externo no autorizado.</x:v>
      </x:c>
      <x:c r="F241" s="26" t="str">
        <x:v>Revisión previa a compartir.</x:v>
      </x:c>
      <x:c r="G241" s="26" t="str">
        <x:v>Cumplimiento verificable sin desviaciones bloqueantes.</x:v>
      </x:c>
      <x:c r="H241" s="26" t="str">
        <x:v>Media clearance record.</x:v>
      </x:c>
      <x:c r="I241" s="26" t="str">
        <x:v>23_Legal_Credits_and_Licenses_Register.xlsx; 28_Marketing_and_Communication_Plan.md</x:v>
      </x:c>
      <x:c r="J241" s="26" t="str">
        <x:v>Legal/Credits/Licenses Register v0.3–v0.5; Marketing Plan v0.3–v0.5</x:v>
      </x:c>
      <x:c r="K241" s="26" t="str">
        <x:v>H6</x:v>
      </x:c>
      <x:c r="L241" s="26" t="str">
        <x:v>Yes</x:v>
      </x:c>
      <x:c r="M241" s="26" t="str">
        <x:v>P1</x:v>
      </x:c>
      <x:c r="N241" s="26" t="str">
        <x:v>Legal/Production</x:v>
      </x:c>
      <x:c r="O241" s="26" t="str">
        <x:v>Production/Security</x:v>
      </x:c>
      <x:c r="P241" s="26" t="str">
        <x:v>NOT RUN</x:v>
      </x:c>
      <x:c r="Q241" s="26"/>
      <x:c r="R241" s="26"/>
      <x:c r="S241" s="26"/>
      <x:c r="T241" s="26"/>
      <x:c r="U241" s="26"/>
      <x:c r="V241" s="26"/>
      <x:c r="W241" s="26" t="n">
        <x:v>1</x:v>
      </x:c>
      <x:c r="X241" s="26" t="n">
        <x:v>0</x:v>
      </x:c>
      <x:c r="Y241" s="26" t="n">
        <x:v>1</x:v>
      </x:c>
      <x:c r="Z241" s="26" t="str">
        <x:v>PENDING</x:v>
      </x:c>
      <x:c r="AA241" s="26" t="str">
        <x:v>CHG-RC1-DOC-31</x:v>
      </x:c>
      <x:c r="AB241" s="26" t="str">
        <x:v>DEFINED / NOT EXECUTED</x:v>
      </x:c>
    </x:row>
    <x:row r="242" ht="30" customHeight="1">
      <x:c r="A242" s="26" t="str">
        <x:v>H6</x:v>
      </x:c>
      <x:c r="B242" s="26" t="str">
        <x:v>H6-LEG-010</x:v>
      </x:c>
      <x:c r="C242" s="26" t="str">
        <x:v>Legal, créditos y licencias</x:v>
      </x:c>
      <x:c r="D242" s="26" t="str">
        <x:v>Control especializado</x:v>
      </x:c>
      <x:c r="E242" s="26" t="str">
        <x:v>Los documentos legales históricos no se tratan como prueba suficiente cuando falta el registro vigente.</x:v>
      </x:c>
      <x:c r="F242" s="26" t="str">
        <x:v>Comparar versiones y estado de 23.</x:v>
      </x:c>
      <x:c r="G242" s="26" t="str">
        <x:v>Cumplimiento verificable sin desviaciones bloqueantes.</x:v>
      </x:c>
      <x:c r="H242" s="26" t="str">
        <x:v>Legal baseline reconciliation.</x:v>
      </x:c>
      <x:c r="I242" s="26" t="str">
        <x:v>23_Legal_Credits_and_Licenses_Register.xlsx; 28_Marketing_and_Communication_Plan.md</x:v>
      </x:c>
      <x:c r="J242" s="26" t="str">
        <x:v>Legal/Credits/Licenses Register v0.3–v0.5; Marketing Plan v0.3–v0.5</x:v>
      </x:c>
      <x:c r="K242" s="26" t="str">
        <x:v>H6</x:v>
      </x:c>
      <x:c r="L242" s="26" t="str">
        <x:v>Yes</x:v>
      </x:c>
      <x:c r="M242" s="26" t="str">
        <x:v>P1</x:v>
      </x:c>
      <x:c r="N242" s="26" t="str">
        <x:v>Legal/Production</x:v>
      </x:c>
      <x:c r="O242" s="26" t="str">
        <x:v>Production/Security</x:v>
      </x:c>
      <x:c r="P242" s="26" t="str">
        <x:v>NOT RUN</x:v>
      </x:c>
      <x:c r="Q242" s="26"/>
      <x:c r="R242" s="26"/>
      <x:c r="S242" s="26"/>
      <x:c r="T242" s="26"/>
      <x:c r="U242" s="26"/>
      <x:c r="V242" s="26"/>
      <x:c r="W242" s="26" t="n">
        <x:v>1</x:v>
      </x:c>
      <x:c r="X242" s="26" t="n">
        <x:v>0</x:v>
      </x:c>
      <x:c r="Y242" s="26" t="n">
        <x:v>1</x:v>
      </x:c>
      <x:c r="Z242" s="26" t="str">
        <x:v>PENDING</x:v>
      </x:c>
      <x:c r="AA242" s="26" t="str">
        <x:v>CHG-RC1-DOC-31</x:v>
      </x:c>
      <x:c r="AB242" s="26" t="str">
        <x:v>DEFINED / NOT EXECUTED</x:v>
      </x:c>
    </x:row>
    <x:row r="243" ht="30" customHeight="1">
      <x:c r="A243" s="26" t="str">
        <x:v>H6</x:v>
      </x:c>
      <x:c r="B243" s="26" t="str">
        <x:v>H6-LEG-011</x:v>
      </x:c>
      <x:c r="C243" s="26" t="str">
        <x:v>Legal, créditos y licencias</x:v>
      </x:c>
      <x:c r="D243" s="26" t="str">
        <x:v>Control especializado</x:v>
      </x:c>
      <x:c r="E243" s="26" t="str">
        <x:v>Cualquier excepción de licencia bloqueante impide empaquetar la candidata hasta resolver o retirar el asset.</x:v>
      </x:c>
      <x:c r="F243" s="26" t="str">
        <x:v>Filtrar registro por BLOCKING/UNKNOWN.</x:v>
      </x:c>
      <x:c r="G243" s="26" t="str">
        <x:v>Cumplimiento verificable sin desviaciones bloqueantes.</x:v>
      </x:c>
      <x:c r="H243" s="26" t="str">
        <x:v>Zero blocking licenses report.</x:v>
      </x:c>
      <x:c r="I243" s="26" t="str">
        <x:v>23_Legal_Credits_and_Licenses_Register.xlsx; 28_Marketing_and_Communication_Plan.md</x:v>
      </x:c>
      <x:c r="J243" s="26" t="str">
        <x:v>Legal/Credits/Licenses Register v0.3–v0.5; Marketing Plan v0.3–v0.5</x:v>
      </x:c>
      <x:c r="K243" s="26" t="str">
        <x:v>H6</x:v>
      </x:c>
      <x:c r="L243" s="26" t="str">
        <x:v>Yes</x:v>
      </x:c>
      <x:c r="M243" s="26" t="str">
        <x:v>P0</x:v>
      </x:c>
      <x:c r="N243" s="26" t="str">
        <x:v>Legal/Production</x:v>
      </x:c>
      <x:c r="O243" s="26" t="str">
        <x:v>Production/Security</x:v>
      </x:c>
      <x:c r="P243" s="26" t="str">
        <x:v>NOT RUN</x:v>
      </x:c>
      <x:c r="Q243" s="26"/>
      <x:c r="R243" s="26"/>
      <x:c r="S243" s="26"/>
      <x:c r="T243" s="26"/>
      <x:c r="U243" s="26"/>
      <x:c r="V243" s="26"/>
      <x:c r="W243" s="26" t="n">
        <x:v>1</x:v>
      </x:c>
      <x:c r="X243" s="26" t="n">
        <x:v>0</x:v>
      </x:c>
      <x:c r="Y243" s="26" t="n">
        <x:v>1</x:v>
      </x:c>
      <x:c r="Z243" s="26" t="str">
        <x:v>PENDING</x:v>
      </x:c>
      <x:c r="AA243" s="26" t="str">
        <x:v>CHG-RC1-DOC-31</x:v>
      </x:c>
      <x:c r="AB243" s="26" t="str">
        <x:v>DEFINED / NOT EXECUTED</x:v>
      </x:c>
    </x:row>
    <x:row r="244" ht="30" customHeight="1">
      <x:c r="A244" s="26" t="str">
        <x:v>H6</x:v>
      </x:c>
      <x:c r="B244" s="26" t="str">
        <x:v>H6-LEG-012</x:v>
      </x:c>
      <x:c r="C244" s="26" t="str">
        <x:v>Legal, créditos y licencias</x:v>
      </x:c>
      <x:c r="D244" s="26" t="str">
        <x:v>Control especializado</x:v>
      </x:c>
      <x:c r="E244" s="26" t="str">
        <x:v>La distribución H6 se limita al público autorizado y no se presenta como demo pública.</x:v>
      </x:c>
      <x:c r="F244" s="26" t="str">
        <x:v>Revisar canal, destinatarios y copy.</x:v>
      </x:c>
      <x:c r="G244" s="26" t="str">
        <x:v>Cumplimiento verificable sin desviaciones bloqueantes.</x:v>
      </x:c>
      <x:c r="H244" s="26" t="str">
        <x:v>Distribution authorization.</x:v>
      </x:c>
      <x:c r="I244" s="26" t="str">
        <x:v>23_Legal_Credits_and_Licenses_Register.xlsx; 28_Marketing_and_Communication_Plan.md</x:v>
      </x:c>
      <x:c r="J244" s="26" t="str">
        <x:v>Legal/Credits/Licenses Register v0.3–v0.5; Marketing Plan v0.3–v0.5</x:v>
      </x:c>
      <x:c r="K244" s="26" t="str">
        <x:v>H6</x:v>
      </x:c>
      <x:c r="L244" s="26" t="str">
        <x:v>Yes</x:v>
      </x:c>
      <x:c r="M244" s="26" t="str">
        <x:v>P1</x:v>
      </x:c>
      <x:c r="N244" s="26" t="str">
        <x:v>Legal/Production</x:v>
      </x:c>
      <x:c r="O244" s="26" t="str">
        <x:v>Production/Security</x:v>
      </x:c>
      <x:c r="P244" s="26" t="str">
        <x:v>NOT RUN</x:v>
      </x:c>
      <x:c r="Q244" s="26"/>
      <x:c r="R244" s="26"/>
      <x:c r="S244" s="26"/>
      <x:c r="T244" s="26"/>
      <x:c r="U244" s="26"/>
      <x:c r="V244" s="26"/>
      <x:c r="W244" s="26" t="n">
        <x:v>1</x:v>
      </x:c>
      <x:c r="X244" s="26" t="n">
        <x:v>0</x:v>
      </x:c>
      <x:c r="Y244" s="26" t="n">
        <x:v>1</x:v>
      </x:c>
      <x:c r="Z244" s="26" t="str">
        <x:v>PENDING</x:v>
      </x:c>
      <x:c r="AA244" s="26" t="str">
        <x:v>CHG-RC1-DOC-31</x:v>
      </x:c>
      <x:c r="AB244" s="26" t="str">
        <x:v>DEFINED / NOT EXECUTED</x:v>
      </x:c>
    </x:row>
    <x:row r="245" ht="30" customHeight="1">
      <x:c r="A245" s="26" t="str">
        <x:v>H6</x:v>
      </x:c>
      <x:c r="B245" s="26" t="str">
        <x:v>H6-DOC-001</x:v>
      </x:c>
      <x:c r="C245" s="26" t="str">
        <x:v>Documentación y trazabilidad</x:v>
      </x:c>
      <x:c r="D245" s="26" t="str">
        <x:v>Control especializado</x:v>
      </x:c>
      <x:c r="E245" s="26" t="str">
        <x:v>Los documentos 00–30 están inventariados con nombre, versión, estado y autoridad correctos.</x:v>
      </x:c>
      <x:c r="F245" s="26" t="str">
        <x:v>Comparar carpeta documental con Binder/manifest provisional.</x:v>
      </x:c>
      <x:c r="G245" s="26" t="str">
        <x:v>Cumplimiento verificable sin desviaciones bloqueantes.</x:v>
      </x:c>
      <x:c r="H245" s="26" t="str">
        <x:v>Document inventory.</x:v>
      </x:c>
      <x:c r="I245" s="26" t="str">
        <x:v>13_Trazabilidad_y_Control_de_Cambios.xlsx; 14_Project_Binder_Indice_Maestro.md; 15_Guia_Maestra.md; 16_Auditoria_Global_de_Coherencia.md</x:v>
      </x:c>
      <x:c r="J245" s="26" t="str">
        <x:v>Project Binder/Guide/Validation/Manifests v0.3–v0.6; sprint closure ledgers</x:v>
      </x:c>
      <x:c r="K245" s="26" t="str">
        <x:v>H6</x:v>
      </x:c>
      <x:c r="L245" s="26" t="str">
        <x:v>Yes</x:v>
      </x:c>
      <x:c r="M245" s="26" t="str">
        <x:v>P1</x:v>
      </x:c>
      <x:c r="N245" s="26" t="str">
        <x:v>Documentation/Production</x:v>
      </x:c>
      <x:c r="O245" s="26" t="str">
        <x:v>QA/Production</x:v>
      </x:c>
      <x:c r="P245" s="26" t="str">
        <x:v>NOT RUN</x:v>
      </x:c>
      <x:c r="Q245" s="26"/>
      <x:c r="R245" s="26"/>
      <x:c r="S245" s="26"/>
      <x:c r="T245" s="26"/>
      <x:c r="U245" s="26"/>
      <x:c r="V245" s="26"/>
      <x:c r="W245" s="26" t="n">
        <x:v>1</x:v>
      </x:c>
      <x:c r="X245" s="26" t="n">
        <x:v>0</x:v>
      </x:c>
      <x:c r="Y245" s="26" t="n">
        <x:v>1</x:v>
      </x:c>
      <x:c r="Z245" s="26" t="str">
        <x:v>PENDING</x:v>
      </x:c>
      <x:c r="AA245" s="26" t="str">
        <x:v>CHG-RC1-DOC-31</x:v>
      </x:c>
      <x:c r="AB245" s="26" t="str">
        <x:v>DEFINED / NOT EXECUTED</x:v>
      </x:c>
    </x:row>
    <x:row r="246" ht="30" customHeight="1">
      <x:c r="A246" s="26" t="str">
        <x:v>H6</x:v>
      </x:c>
      <x:c r="B246" s="26" t="str">
        <x:v>H6-DOC-002</x:v>
      </x:c>
      <x:c r="C246" s="26" t="str">
        <x:v>Documentación y trazabilidad</x:v>
      </x:c>
      <x:c r="D246" s="26" t="str">
        <x:v>Control especializado</x:v>
      </x:c>
      <x:c r="E246" s="26" t="str">
        <x:v>Los requisitos H6 están vinculados a pruebas, evidencias, defectos y builds mediante IDs estables.</x:v>
      </x:c>
      <x:c r="F246" s="26" t="str">
        <x:v>Auditar muestras y cobertura.</x:v>
      </x:c>
      <x:c r="G246" s="26" t="str">
        <x:v>Cumplimiento verificable sin desviaciones bloqueantes.</x:v>
      </x:c>
      <x:c r="H246" s="26" t="str">
        <x:v>Traceability coverage report.</x:v>
      </x:c>
      <x:c r="I246" s="26" t="str">
        <x:v>13_Trazabilidad_y_Control_de_Cambios.xlsx; 14_Project_Binder_Indice_Maestro.md; 15_Guia_Maestra.md; 16_Auditoria_Global_de_Coherencia.md</x:v>
      </x:c>
      <x:c r="J246" s="26" t="str">
        <x:v>Project Binder/Guide/Validation/Manifests v0.3–v0.6; sprint closure ledgers</x:v>
      </x:c>
      <x:c r="K246" s="26" t="str">
        <x:v>H6</x:v>
      </x:c>
      <x:c r="L246" s="26" t="str">
        <x:v>Yes</x:v>
      </x:c>
      <x:c r="M246" s="26" t="str">
        <x:v>P0</x:v>
      </x:c>
      <x:c r="N246" s="26" t="str">
        <x:v>Documentation/Production</x:v>
      </x:c>
      <x:c r="O246" s="26" t="str">
        <x:v>QA/Production</x:v>
      </x:c>
      <x:c r="P246" s="26" t="str">
        <x:v>NOT RUN</x:v>
      </x:c>
      <x:c r="Q246" s="26"/>
      <x:c r="R246" s="26"/>
      <x:c r="S246" s="26"/>
      <x:c r="T246" s="26"/>
      <x:c r="U246" s="26"/>
      <x:c r="V246" s="26"/>
      <x:c r="W246" s="26" t="n">
        <x:v>1</x:v>
      </x:c>
      <x:c r="X246" s="26" t="n">
        <x:v>0</x:v>
      </x:c>
      <x:c r="Y246" s="26" t="n">
        <x:v>1</x:v>
      </x:c>
      <x:c r="Z246" s="26" t="str">
        <x:v>PENDING</x:v>
      </x:c>
      <x:c r="AA246" s="26" t="str">
        <x:v>CHG-RC1-DOC-31</x:v>
      </x:c>
      <x:c r="AB246" s="26" t="str">
        <x:v>DEFINED / NOT EXECUTED</x:v>
      </x:c>
    </x:row>
    <x:row r="247" ht="30" customHeight="1">
      <x:c r="A247" s="26" t="str">
        <x:v>H6</x:v>
      </x:c>
      <x:c r="B247" s="26" t="str">
        <x:v>H6-DOC-003</x:v>
      </x:c>
      <x:c r="C247" s="26" t="str">
        <x:v>Documentación y trazabilidad</x:v>
      </x:c>
      <x:c r="D247" s="26" t="str">
        <x:v>Control especializado</x:v>
      </x:c>
      <x:c r="E247" s="26" t="str">
        <x:v>Los hashes o campos pendientes no producen PASS automático en dashboards.</x:v>
      </x:c>
      <x:c r="F247" s="26" t="str">
        <x:v>Probar fórmulas con campos vacíos.</x:v>
      </x:c>
      <x:c r="G247" s="26" t="str">
        <x:v>Cumplimiento verificable sin desviaciones bloqueantes.</x:v>
      </x:c>
      <x:c r="H247" s="26" t="str">
        <x:v>Spreadsheet formula audit.</x:v>
      </x:c>
      <x:c r="I247" s="26" t="str">
        <x:v>13_Trazabilidad_y_Control_de_Cambios.xlsx; 14_Project_Binder_Indice_Maestro.md; 15_Guia_Maestra.md; 16_Auditoria_Global_de_Coherencia.md</x:v>
      </x:c>
      <x:c r="J247" s="26" t="str">
        <x:v>Project Binder/Guide/Validation/Manifests v0.3–v0.6; sprint closure ledgers</x:v>
      </x:c>
      <x:c r="K247" s="26" t="str">
        <x:v>H6</x:v>
      </x:c>
      <x:c r="L247" s="26" t="str">
        <x:v>Yes</x:v>
      </x:c>
      <x:c r="M247" s="26" t="str">
        <x:v>P1</x:v>
      </x:c>
      <x:c r="N247" s="26" t="str">
        <x:v>Documentation/Production</x:v>
      </x:c>
      <x:c r="O247" s="26" t="str">
        <x:v>QA/Production</x:v>
      </x:c>
      <x:c r="P247" s="26" t="str">
        <x:v>NOT RUN</x:v>
      </x:c>
      <x:c r="Q247" s="26"/>
      <x:c r="R247" s="26"/>
      <x:c r="S247" s="26"/>
      <x:c r="T247" s="26"/>
      <x:c r="U247" s="26"/>
      <x:c r="V247" s="26"/>
      <x:c r="W247" s="26" t="n">
        <x:v>1</x:v>
      </x:c>
      <x:c r="X247" s="26" t="n">
        <x:v>0</x:v>
      </x:c>
      <x:c r="Y247" s="26" t="n">
        <x:v>1</x:v>
      </x:c>
      <x:c r="Z247" s="26" t="str">
        <x:v>PENDING</x:v>
      </x:c>
      <x:c r="AA247" s="26" t="str">
        <x:v>CHG-RC1-DOC-31</x:v>
      </x:c>
      <x:c r="AB247" s="26" t="str">
        <x:v>DEFINED / NOT EXECUTED</x:v>
      </x:c>
    </x:row>
    <x:row r="248" ht="30" customHeight="1">
      <x:c r="A248" s="26" t="str">
        <x:v>H6</x:v>
      </x:c>
      <x:c r="B248" s="26" t="str">
        <x:v>H6-DOC-004</x:v>
      </x:c>
      <x:c r="C248" s="26" t="str">
        <x:v>Documentación y trazabilidad</x:v>
      </x:c>
      <x:c r="D248" s="26" t="str">
        <x:v>Control especializado</x:v>
      </x:c>
      <x:c r="E248" s="26" t="str">
        <x:v>Los conteos de requisitos, casos, aserciones y controles indican su unidad.</x:v>
      </x:c>
      <x:c r="F248" s="26" t="str">
        <x:v>Revisar 08, 12, 13, 31 e informes.</x:v>
      </x:c>
      <x:c r="G248" s="26" t="str">
        <x:v>Cumplimiento verificable sin desviaciones bloqueantes.</x:v>
      </x:c>
      <x:c r="H248" s="26" t="str">
        <x:v>Metrics taxonomy review.</x:v>
      </x:c>
      <x:c r="I248" s="26" t="str">
        <x:v>13_Trazabilidad_y_Control_de_Cambios.xlsx; 14_Project_Binder_Indice_Maestro.md; 15_Guia_Maestra.md; 16_Auditoria_Global_de_Coherencia.md</x:v>
      </x:c>
      <x:c r="J248" s="26" t="str">
        <x:v>Project Binder/Guide/Validation/Manifests v0.3–v0.6; sprint closure ledgers</x:v>
      </x:c>
      <x:c r="K248" s="26" t="str">
        <x:v>H6</x:v>
      </x:c>
      <x:c r="L248" s="26" t="str">
        <x:v>Yes</x:v>
      </x:c>
      <x:c r="M248" s="26" t="str">
        <x:v>P1</x:v>
      </x:c>
      <x:c r="N248" s="26" t="str">
        <x:v>Documentation/Production</x:v>
      </x:c>
      <x:c r="O248" s="26" t="str">
        <x:v>QA/Production</x:v>
      </x:c>
      <x:c r="P248" s="26" t="str">
        <x:v>NOT RUN</x:v>
      </x:c>
      <x:c r="Q248" s="26"/>
      <x:c r="R248" s="26"/>
      <x:c r="S248" s="26"/>
      <x:c r="T248" s="26"/>
      <x:c r="U248" s="26"/>
      <x:c r="V248" s="26"/>
      <x:c r="W248" s="26" t="n">
        <x:v>1</x:v>
      </x:c>
      <x:c r="X248" s="26" t="n">
        <x:v>0</x:v>
      </x:c>
      <x:c r="Y248" s="26" t="n">
        <x:v>1</x:v>
      </x:c>
      <x:c r="Z248" s="26" t="str">
        <x:v>PENDING</x:v>
      </x:c>
      <x:c r="AA248" s="26" t="str">
        <x:v>CHG-RC1-DOC-31</x:v>
      </x:c>
      <x:c r="AB248" s="26" t="str">
        <x:v>DEFINED / NOT EXECUTED</x:v>
      </x:c>
    </x:row>
    <x:row r="249" ht="30" customHeight="1">
      <x:c r="A249" s="26" t="str">
        <x:v>H6</x:v>
      </x:c>
      <x:c r="B249" s="26" t="str">
        <x:v>H6-DOC-005</x:v>
      </x:c>
      <x:c r="C249" s="26" t="str">
        <x:v>Documentación y trazabilidad</x:v>
      </x:c>
      <x:c r="D249" s="26" t="str">
        <x:v>Control especializado</x:v>
      </x:c>
      <x:c r="E249" s="26" t="str">
        <x:v>Las referencias de baseline/versiones no apuntan de forma engañosa a v0.6 cuando el documento es consolidado.</x:v>
      </x:c>
      <x:c r="F249" s="26" t="str">
        <x:v>Escaneo de metadata y referencias.</x:v>
      </x:c>
      <x:c r="G249" s="26" t="str">
        <x:v>Cumplimiento verificable sin desviaciones bloqueantes.</x:v>
      </x:c>
      <x:c r="H249" s="26" t="str">
        <x:v>Metadata audit.</x:v>
      </x:c>
      <x:c r="I249" s="26" t="str">
        <x:v>13_Trazabilidad_y_Control_de_Cambios.xlsx; 14_Project_Binder_Indice_Maestro.md; 15_Guia_Maestra.md; 16_Auditoria_Global_de_Coherencia.md</x:v>
      </x:c>
      <x:c r="J249" s="26" t="str">
        <x:v>Project Binder/Guide/Validation/Manifests v0.3–v0.6; sprint closure ledgers</x:v>
      </x:c>
      <x:c r="K249" s="26" t="str">
        <x:v>H6</x:v>
      </x:c>
      <x:c r="L249" s="26" t="str">
        <x:v>Yes</x:v>
      </x:c>
      <x:c r="M249" s="26" t="str">
        <x:v>P1</x:v>
      </x:c>
      <x:c r="N249" s="26" t="str">
        <x:v>Documentation/Production</x:v>
      </x:c>
      <x:c r="O249" s="26" t="str">
        <x:v>QA/Production</x:v>
      </x:c>
      <x:c r="P249" s="26" t="str">
        <x:v>NOT RUN</x:v>
      </x:c>
      <x:c r="Q249" s="26"/>
      <x:c r="R249" s="26"/>
      <x:c r="S249" s="26"/>
      <x:c r="T249" s="26"/>
      <x:c r="U249" s="26"/>
      <x:c r="V249" s="26"/>
      <x:c r="W249" s="26" t="n">
        <x:v>1</x:v>
      </x:c>
      <x:c r="X249" s="26" t="n">
        <x:v>0</x:v>
      </x:c>
      <x:c r="Y249" s="26" t="n">
        <x:v>1</x:v>
      </x:c>
      <x:c r="Z249" s="26" t="str">
        <x:v>PENDING</x:v>
      </x:c>
      <x:c r="AA249" s="26" t="str">
        <x:v>CHG-RC1-DOC-31</x:v>
      </x:c>
      <x:c r="AB249" s="26" t="str">
        <x:v>DEFINED / NOT EXECUTED</x:v>
      </x:c>
    </x:row>
    <x:row r="250" ht="30" customHeight="1">
      <x:c r="A250" s="26" t="str">
        <x:v>H6</x:v>
      </x:c>
      <x:c r="B250" s="26" t="str">
        <x:v>H6-DOC-006</x:v>
      </x:c>
      <x:c r="C250" s="26" t="str">
        <x:v>Documentación y trazabilidad</x:v>
      </x:c>
      <x:c r="D250" s="26" t="str">
        <x:v>Control especializado</x:v>
      </x:c>
      <x:c r="E250" s="26" t="str">
        <x:v>Los hallazgos A1/A2 relevantes para H6 están cerrados o transferidos con decisión explícita.</x:v>
      </x:c>
      <x:c r="F250" s="26" t="str">
        <x:v>Revisar hoja de defectos/excepciones y auditoría 16.</x:v>
      </x:c>
      <x:c r="G250" s="26" t="str">
        <x:v>Cumplimiento verificable sin desviaciones bloqueantes.</x:v>
      </x:c>
      <x:c r="H250" s="26" t="str">
        <x:v>Audit finding closure report.</x:v>
      </x:c>
      <x:c r="I250" s="26" t="str">
        <x:v>13_Trazabilidad_y_Control_de_Cambios.xlsx; 14_Project_Binder_Indice_Maestro.md; 15_Guia_Maestra.md; 16_Auditoria_Global_de_Coherencia.md</x:v>
      </x:c>
      <x:c r="J250" s="26" t="str">
        <x:v>Project Binder/Guide/Validation/Manifests v0.3–v0.6; sprint closure ledgers</x:v>
      </x:c>
      <x:c r="K250" s="26" t="str">
        <x:v>H6</x:v>
      </x:c>
      <x:c r="L250" s="26" t="str">
        <x:v>Yes</x:v>
      </x:c>
      <x:c r="M250" s="26" t="str">
        <x:v>P1</x:v>
      </x:c>
      <x:c r="N250" s="26" t="str">
        <x:v>Documentation/Production</x:v>
      </x:c>
      <x:c r="O250" s="26" t="str">
        <x:v>QA/Production</x:v>
      </x:c>
      <x:c r="P250" s="26" t="str">
        <x:v>NOT RUN</x:v>
      </x:c>
      <x:c r="Q250" s="26"/>
      <x:c r="R250" s="26"/>
      <x:c r="S250" s="26"/>
      <x:c r="T250" s="26"/>
      <x:c r="U250" s="26"/>
      <x:c r="V250" s="26"/>
      <x:c r="W250" s="26" t="n">
        <x:v>1</x:v>
      </x:c>
      <x:c r="X250" s="26" t="n">
        <x:v>0</x:v>
      </x:c>
      <x:c r="Y250" s="26" t="n">
        <x:v>1</x:v>
      </x:c>
      <x:c r="Z250" s="26" t="str">
        <x:v>PENDING</x:v>
      </x:c>
      <x:c r="AA250" s="26" t="str">
        <x:v>CHG-RC1-DOC-31</x:v>
      </x:c>
      <x:c r="AB250" s="26" t="str">
        <x:v>DEFINED / NOT EXECUTED</x:v>
      </x:c>
    </x:row>
    <x:row r="251" ht="30" customHeight="1">
      <x:c r="A251" s="26" t="str">
        <x:v>H6</x:v>
      </x:c>
      <x:c r="B251" s="26" t="str">
        <x:v>H6-DOC-007</x:v>
      </x:c>
      <x:c r="C251" s="26" t="str">
        <x:v>Documentación y trazabilidad</x:v>
      </x:c>
      <x:c r="D251" s="26" t="str">
        <x:v>Control especializado</x:v>
      </x:c>
      <x:c r="E251" s="26" t="str">
        <x:v>El paquete de evidencias sigue la estructura definida por 02 y contiene todos los archivos obligatorios.</x:v>
      </x:c>
      <x:c r="F251" s="26" t="str">
        <x:v>Validar carpetas y manifest.</x:v>
      </x:c>
      <x:c r="G251" s="26" t="str">
        <x:v>Cumplimiento verificable sin desviaciones bloqueantes.</x:v>
      </x:c>
      <x:c r="H251" s="26" t="str">
        <x:v>Evidence package validation.</x:v>
      </x:c>
      <x:c r="I251" s="26" t="str">
        <x:v>13_Trazabilidad_y_Control_de_Cambios.xlsx; 14_Project_Binder_Indice_Maestro.md; 15_Guia_Maestra.md; 16_Auditoria_Global_de_Coherencia.md</x:v>
      </x:c>
      <x:c r="J251" s="26" t="str">
        <x:v>Project Binder/Guide/Validation/Manifests v0.3–v0.6; sprint closure ledgers</x:v>
      </x:c>
      <x:c r="K251" s="26" t="str">
        <x:v>H6</x:v>
      </x:c>
      <x:c r="L251" s="26" t="str">
        <x:v>Yes</x:v>
      </x:c>
      <x:c r="M251" s="26" t="str">
        <x:v>P1</x:v>
      </x:c>
      <x:c r="N251" s="26" t="str">
        <x:v>Documentation/Production</x:v>
      </x:c>
      <x:c r="O251" s="26" t="str">
        <x:v>QA/Production</x:v>
      </x:c>
      <x:c r="P251" s="26" t="str">
        <x:v>NOT RUN</x:v>
      </x:c>
      <x:c r="Q251" s="26"/>
      <x:c r="R251" s="26"/>
      <x:c r="S251" s="26"/>
      <x:c r="T251" s="26"/>
      <x:c r="U251" s="26"/>
      <x:c r="V251" s="26"/>
      <x:c r="W251" s="26" t="n">
        <x:v>1</x:v>
      </x:c>
      <x:c r="X251" s="26" t="n">
        <x:v>0</x:v>
      </x:c>
      <x:c r="Y251" s="26" t="n">
        <x:v>1</x:v>
      </x:c>
      <x:c r="Z251" s="26" t="str">
        <x:v>PENDING</x:v>
      </x:c>
      <x:c r="AA251" s="26" t="str">
        <x:v>CHG-RC1-DOC-31</x:v>
      </x:c>
      <x:c r="AB251" s="26" t="str">
        <x:v>DEFINED / NOT EXECUTED</x:v>
      </x:c>
    </x:row>
    <x:row r="252" ht="30" customHeight="1">
      <x:c r="A252" s="26" t="str">
        <x:v>H6</x:v>
      </x:c>
      <x:c r="B252" s="26" t="str">
        <x:v>H6-DOC-008</x:v>
      </x:c>
      <x:c r="C252" s="26" t="str">
        <x:v>Documentación y trazabilidad</x:v>
      </x:c>
      <x:c r="D252" s="26" t="str">
        <x:v>Control especializado</x:v>
      </x:c>
      <x:c r="E252" s="26" t="str">
        <x:v>Cada evidencia identifica build, SHA, fecha, ejecutor y resultado.</x:v>
      </x:c>
      <x:c r="F252" s="26" t="str">
        <x:v>Auditar register y archivos.</x:v>
      </x:c>
      <x:c r="G252" s="26" t="str">
        <x:v>Cumplimiento verificable sin desviaciones bloqueantes.</x:v>
      </x:c>
      <x:c r="H252" s="26" t="str">
        <x:v>Evidence metadata completeness.</x:v>
      </x:c>
      <x:c r="I252" s="26" t="str">
        <x:v>13_Trazabilidad_y_Control_de_Cambios.xlsx; 14_Project_Binder_Indice_Maestro.md; 15_Guia_Maestra.md; 16_Auditoria_Global_de_Coherencia.md</x:v>
      </x:c>
      <x:c r="J252" s="26" t="str">
        <x:v>Project Binder/Guide/Validation/Manifests v0.3–v0.6; sprint closure ledgers</x:v>
      </x:c>
      <x:c r="K252" s="26" t="str">
        <x:v>H6</x:v>
      </x:c>
      <x:c r="L252" s="26" t="str">
        <x:v>Yes</x:v>
      </x:c>
      <x:c r="M252" s="26" t="str">
        <x:v>P1</x:v>
      </x:c>
      <x:c r="N252" s="26" t="str">
        <x:v>Documentation/Production</x:v>
      </x:c>
      <x:c r="O252" s="26" t="str">
        <x:v>QA/Production</x:v>
      </x:c>
      <x:c r="P252" s="26" t="str">
        <x:v>NOT RUN</x:v>
      </x:c>
      <x:c r="Q252" s="26"/>
      <x:c r="R252" s="26"/>
      <x:c r="S252" s="26"/>
      <x:c r="T252" s="26"/>
      <x:c r="U252" s="26"/>
      <x:c r="V252" s="26"/>
      <x:c r="W252" s="26" t="n">
        <x:v>1</x:v>
      </x:c>
      <x:c r="X252" s="26" t="n">
        <x:v>0</x:v>
      </x:c>
      <x:c r="Y252" s="26" t="n">
        <x:v>1</x:v>
      </x:c>
      <x:c r="Z252" s="26" t="str">
        <x:v>PENDING</x:v>
      </x:c>
      <x:c r="AA252" s="26" t="str">
        <x:v>CHG-RC1-DOC-31</x:v>
      </x:c>
      <x:c r="AB252" s="26" t="str">
        <x:v>DEFINED / NOT EXECUTED</x:v>
      </x:c>
    </x:row>
    <x:row r="253" ht="30" customHeight="1">
      <x:c r="A253" s="26" t="str">
        <x:v>H6</x:v>
      </x:c>
      <x:c r="B253" s="26" t="str">
        <x:v>H6-DOC-009</x:v>
      </x:c>
      <x:c r="C253" s="26" t="str">
        <x:v>Documentación y trazabilidad</x:v>
      </x:c>
      <x:c r="D253" s="26" t="str">
        <x:v>Control especializado</x:v>
      </x:c>
      <x:c r="E253" s="26" t="str">
        <x:v>Las decisiones históricas conservadas y sustituidas están documentadas sin borrar la genealogía.</x:v>
      </x:c>
      <x:c r="F253" s="26" t="str">
        <x:v>Revisar trazabilidad histórica de 31.</x:v>
      </x:c>
      <x:c r="G253" s="26" t="str">
        <x:v>Cumplimiento verificable sin desviaciones bloqueantes.</x:v>
      </x:c>
      <x:c r="H253" s="26" t="str">
        <x:v>Historical lineage review.</x:v>
      </x:c>
      <x:c r="I253" s="26" t="str">
        <x:v>13_Trazabilidad_y_Control_de_Cambios.xlsx; 14_Project_Binder_Indice_Maestro.md; 15_Guia_Maestra.md; 16_Auditoria_Global_de_Coherencia.md</x:v>
      </x:c>
      <x:c r="J253" s="26" t="str">
        <x:v>Project Binder/Guide/Validation/Manifests v0.3–v0.6; sprint closure ledgers</x:v>
      </x:c>
      <x:c r="K253" s="26" t="str">
        <x:v>H6</x:v>
      </x:c>
      <x:c r="L253" s="26" t="str">
        <x:v>Yes</x:v>
      </x:c>
      <x:c r="M253" s="26" t="str">
        <x:v>P1</x:v>
      </x:c>
      <x:c r="N253" s="26" t="str">
        <x:v>Documentation/Production</x:v>
      </x:c>
      <x:c r="O253" s="26" t="str">
        <x:v>QA/Production</x:v>
      </x:c>
      <x:c r="P253" s="26" t="str">
        <x:v>NOT RUN</x:v>
      </x:c>
      <x:c r="Q253" s="26"/>
      <x:c r="R253" s="26"/>
      <x:c r="S253" s="26"/>
      <x:c r="T253" s="26"/>
      <x:c r="U253" s="26"/>
      <x:c r="V253" s="26"/>
      <x:c r="W253" s="26" t="n">
        <x:v>1</x:v>
      </x:c>
      <x:c r="X253" s="26" t="n">
        <x:v>0</x:v>
      </x:c>
      <x:c r="Y253" s="26" t="n">
        <x:v>1</x:v>
      </x:c>
      <x:c r="Z253" s="26" t="str">
        <x:v>PENDING</x:v>
      </x:c>
      <x:c r="AA253" s="26" t="str">
        <x:v>CHG-RC1-DOC-31</x:v>
      </x:c>
      <x:c r="AB253" s="26" t="str">
        <x:v>DEFINED / NOT EXECUTED</x:v>
      </x:c>
    </x:row>
    <x:row r="254" ht="30" customHeight="1">
      <x:c r="A254" s="26" t="str">
        <x:v>H6</x:v>
      </x:c>
      <x:c r="B254" s="26" t="str">
        <x:v>H6-DOC-010</x:v>
      </x:c>
      <x:c r="C254" s="26" t="str">
        <x:v>Documentación y trazabilidad</x:v>
      </x:c>
      <x:c r="D254" s="26" t="str">
        <x:v>Control especializado</x:v>
      </x:c>
      <x:c r="E254" s="26" t="str">
        <x:v>El changelog registra cambios desde la baseline previa hasta la candidata.</x:v>
      </x:c>
      <x:c r="F254" s="26" t="str">
        <x:v>Comparar commits y documentos.</x:v>
      </x:c>
      <x:c r="G254" s="26" t="str">
        <x:v>Cumplimiento verificable sin desviaciones bloqueantes.</x:v>
      </x:c>
      <x:c r="H254" s="26" t="str">
        <x:v>Candidate changelog.</x:v>
      </x:c>
      <x:c r="I254" s="26" t="str">
        <x:v>13_Trazabilidad_y_Control_de_Cambios.xlsx; 14_Project_Binder_Indice_Maestro.md; 15_Guia_Maestra.md; 16_Auditoria_Global_de_Coherencia.md</x:v>
      </x:c>
      <x:c r="J254" s="26" t="str">
        <x:v>Project Binder/Guide/Validation/Manifests v0.3–v0.6; sprint closure ledgers</x:v>
      </x:c>
      <x:c r="K254" s="26" t="str">
        <x:v>H6</x:v>
      </x:c>
      <x:c r="L254" s="26" t="str">
        <x:v>Yes</x:v>
      </x:c>
      <x:c r="M254" s="26" t="str">
        <x:v>P1</x:v>
      </x:c>
      <x:c r="N254" s="26" t="str">
        <x:v>Documentation/Production</x:v>
      </x:c>
      <x:c r="O254" s="26" t="str">
        <x:v>QA/Production</x:v>
      </x:c>
      <x:c r="P254" s="26" t="str">
        <x:v>NOT RUN</x:v>
      </x:c>
      <x:c r="Q254" s="26"/>
      <x:c r="R254" s="26"/>
      <x:c r="S254" s="26"/>
      <x:c r="T254" s="26"/>
      <x:c r="U254" s="26"/>
      <x:c r="V254" s="26"/>
      <x:c r="W254" s="26" t="n">
        <x:v>1</x:v>
      </x:c>
      <x:c r="X254" s="26" t="n">
        <x:v>0</x:v>
      </x:c>
      <x:c r="Y254" s="26" t="n">
        <x:v>1</x:v>
      </x:c>
      <x:c r="Z254" s="26" t="str">
        <x:v>PENDING</x:v>
      </x:c>
      <x:c r="AA254" s="26" t="str">
        <x:v>CHG-RC1-DOC-31</x:v>
      </x:c>
      <x:c r="AB254" s="26" t="str">
        <x:v>DEFINED / NOT EXECUTED</x:v>
      </x:c>
    </x:row>
    <x:row r="255" ht="30" customHeight="1">
      <x:c r="A255" s="26" t="str">
        <x:v>H6</x:v>
      </x:c>
      <x:c r="B255" s="26" t="str">
        <x:v>H6-DOC-011</x:v>
      </x:c>
      <x:c r="C255" s="26" t="str">
        <x:v>Documentación y trazabilidad</x:v>
      </x:c>
      <x:c r="D255" s="26" t="str">
        <x:v>Control especializado</x:v>
      </x:c>
      <x:c r="E255" s="26" t="str">
        <x:v>Existe acta formal de PASS, FAIL o PASS WITH ACCEPTED DEBT con firmas/roles.</x:v>
      </x:c>
      <x:c r="F255" s="26" t="str">
        <x:v>Completar hoja Gate Signoff.</x:v>
      </x:c>
      <x:c r="G255" s="26" t="str">
        <x:v>Cumplimiento verificable sin desviaciones bloqueantes.</x:v>
      </x:c>
      <x:c r="H255" s="26" t="str">
        <x:v>H6 decision record.</x:v>
      </x:c>
      <x:c r="I255" s="26" t="str">
        <x:v>13_Trazabilidad_y_Control_de_Cambios.xlsx; 14_Project_Binder_Indice_Maestro.md; 15_Guia_Maestra.md; 16_Auditoria_Global_de_Coherencia.md</x:v>
      </x:c>
      <x:c r="J255" s="26" t="str">
        <x:v>Project Binder/Guide/Validation/Manifests v0.3–v0.6; sprint closure ledgers</x:v>
      </x:c>
      <x:c r="K255" s="26" t="str">
        <x:v>H6</x:v>
      </x:c>
      <x:c r="L255" s="26" t="str">
        <x:v>Yes</x:v>
      </x:c>
      <x:c r="M255" s="26" t="str">
        <x:v>P0</x:v>
      </x:c>
      <x:c r="N255" s="26" t="str">
        <x:v>Documentation/Production</x:v>
      </x:c>
      <x:c r="O255" s="26" t="str">
        <x:v>QA/Production</x:v>
      </x:c>
      <x:c r="P255" s="26" t="str">
        <x:v>NOT RUN</x:v>
      </x:c>
      <x:c r="Q255" s="26"/>
      <x:c r="R255" s="26"/>
      <x:c r="S255" s="26"/>
      <x:c r="T255" s="26"/>
      <x:c r="U255" s="26"/>
      <x:c r="V255" s="26"/>
      <x:c r="W255" s="26" t="n">
        <x:v>1</x:v>
      </x:c>
      <x:c r="X255" s="26" t="n">
        <x:v>0</x:v>
      </x:c>
      <x:c r="Y255" s="26" t="n">
        <x:v>1</x:v>
      </x:c>
      <x:c r="Z255" s="26" t="str">
        <x:v>PENDING</x:v>
      </x:c>
      <x:c r="AA255" s="26" t="str">
        <x:v>CHG-RC1-DOC-31</x:v>
      </x:c>
      <x:c r="AB255" s="26" t="str">
        <x:v>DEFINED / NOT EXECUTED</x:v>
      </x:c>
    </x:row>
    <x:row r="256" ht="30" customHeight="1">
      <x:c r="A256" s="26" t="str">
        <x:v>H6</x:v>
      </x:c>
      <x:c r="B256" s="26" t="str">
        <x:v>H6-DOC-012</x:v>
      </x:c>
      <x:c r="C256" s="26" t="str">
        <x:v>Documentación y trazabilidad</x:v>
      </x:c>
      <x:c r="D256" s="26" t="str">
        <x:v>Control especializado</x:v>
      </x:c>
      <x:c r="E256" s="26" t="str">
        <x:v>La baseline H6 puede congelarse sin incluir drafts, previews o archivos temporales.</x:v>
      </x:c>
      <x:c r="F256" s="26" t="str">
        <x:v>Auditar paquete final.</x:v>
      </x:c>
      <x:c r="G256" s="26" t="str">
        <x:v>Cumplimiento verificable sin desviaciones bloqueantes.</x:v>
      </x:c>
      <x:c r="H256" s="26" t="str">
        <x:v>Packaging audit.</x:v>
      </x:c>
      <x:c r="I256" s="26" t="str">
        <x:v>13_Trazabilidad_y_Control_de_Cambios.xlsx; 14_Project_Binder_Indice_Maestro.md; 15_Guia_Maestra.md; 16_Auditoria_Global_de_Coherencia.md</x:v>
      </x:c>
      <x:c r="J256" s="26" t="str">
        <x:v>Project Binder/Guide/Validation/Manifests v0.3–v0.6; sprint closure ledgers</x:v>
      </x:c>
      <x:c r="K256" s="26" t="str">
        <x:v>H6</x:v>
      </x:c>
      <x:c r="L256" s="26" t="str">
        <x:v>Yes</x:v>
      </x:c>
      <x:c r="M256" s="26" t="str">
        <x:v>P1</x:v>
      </x:c>
      <x:c r="N256" s="26" t="str">
        <x:v>Documentation/Production</x:v>
      </x:c>
      <x:c r="O256" s="26" t="str">
        <x:v>QA/Production</x:v>
      </x:c>
      <x:c r="P256" s="26" t="str">
        <x:v>NOT RUN</x:v>
      </x:c>
      <x:c r="Q256" s="26"/>
      <x:c r="R256" s="26"/>
      <x:c r="S256" s="26"/>
      <x:c r="T256" s="26"/>
      <x:c r="U256" s="26"/>
      <x:c r="V256" s="26"/>
      <x:c r="W256" s="26" t="n">
        <x:v>1</x:v>
      </x:c>
      <x:c r="X256" s="26" t="n">
        <x:v>0</x:v>
      </x:c>
      <x:c r="Y256" s="26" t="n">
        <x:v>1</x:v>
      </x:c>
      <x:c r="Z256" s="26" t="str">
        <x:v>PENDING</x:v>
      </x:c>
      <x:c r="AA256" s="26" t="str">
        <x:v>CHG-RC1-DOC-31</x:v>
      </x:c>
      <x:c r="AB256" s="26" t="str">
        <x:v>DEFINED / NOT EXECUTED</x:v>
      </x:c>
    </x:row>
    <x:row r="257" ht="30" customHeight="1">
      <x:c r="A257" s="26" t="str">
        <x:v>H6</x:v>
      </x:c>
      <x:c r="B257" s="26" t="str">
        <x:v>H6-DOC-013</x:v>
      </x:c>
      <x:c r="C257" s="26" t="str">
        <x:v>Documentación y trazabilidad</x:v>
      </x:c>
      <x:c r="D257" s="26" t="str">
        <x:v>Control especializado</x:v>
      </x:c>
      <x:c r="E257" s="26" t="str">
        <x:v>Los documentos 12–16 tienen plan explícito de actualización posterior a 31–34.</x:v>
      </x:c>
      <x:c r="F257" s="26" t="str">
        <x:v>Revisar backlog de consolidación.</x:v>
      </x:c>
      <x:c r="G257" s="26" t="str">
        <x:v>Cumplimiento verificable sin desviaciones bloqueantes.</x:v>
      </x:c>
      <x:c r="H257" s="26" t="str">
        <x:v>Documentation closure plan.</x:v>
      </x:c>
      <x:c r="I257" s="26" t="str">
        <x:v>13_Trazabilidad_y_Control_de_Cambios.xlsx; 14_Project_Binder_Indice_Maestro.md; 15_Guia_Maestra.md; 16_Auditoria_Global_de_Coherencia.md</x:v>
      </x:c>
      <x:c r="J257" s="26" t="str">
        <x:v>Project Binder/Guide/Validation/Manifests v0.3–v0.6; sprint closure ledgers</x:v>
      </x:c>
      <x:c r="K257" s="26" t="str">
        <x:v>H6</x:v>
      </x:c>
      <x:c r="L257" s="26" t="str">
        <x:v>Yes</x:v>
      </x:c>
      <x:c r="M257" s="26" t="str">
        <x:v>P1</x:v>
      </x:c>
      <x:c r="N257" s="26" t="str">
        <x:v>Documentation/Production</x:v>
      </x:c>
      <x:c r="O257" s="26" t="str">
        <x:v>QA/Production</x:v>
      </x:c>
      <x:c r="P257" s="26" t="str">
        <x:v>NOT RUN</x:v>
      </x:c>
      <x:c r="Q257" s="26"/>
      <x:c r="R257" s="26"/>
      <x:c r="S257" s="26"/>
      <x:c r="T257" s="26"/>
      <x:c r="U257" s="26"/>
      <x:c r="V257" s="26"/>
      <x:c r="W257" s="26" t="n">
        <x:v>1</x:v>
      </x:c>
      <x:c r="X257" s="26" t="n">
        <x:v>0</x:v>
      </x:c>
      <x:c r="Y257" s="26" t="n">
        <x:v>1</x:v>
      </x:c>
      <x:c r="Z257" s="26" t="str">
        <x:v>PENDING</x:v>
      </x:c>
      <x:c r="AA257" s="26" t="str">
        <x:v>CHG-RC1-DOC-31</x:v>
      </x:c>
      <x:c r="AB257" s="26" t="str">
        <x:v>DEFINED / NOT EXECUTED</x:v>
      </x:c>
    </x:row>
    <x:row r="258" ht="30" customHeight="1">
      <x:c r="A258" s="26" t="str">
        <x:v>H6</x:v>
      </x:c>
      <x:c r="B258" s="26" t="str">
        <x:v>H6-DOC-014</x:v>
      </x:c>
      <x:c r="C258" s="26" t="str">
        <x:v>Documentación y trazabilidad</x:v>
      </x:c>
      <x:c r="D258" s="26" t="str">
        <x:v>Control especializado</x:v>
      </x:c>
      <x:c r="E258" s="26" t="str">
        <x:v>El paquete H6 conserva checksums y referencias para verificar que la build evaluada es la aprobada.</x:v>
      </x:c>
      <x:c r="F258" s="26" t="str">
        <x:v>Recalcular y cruzar hashes.</x:v>
      </x:c>
      <x:c r="G258" s="26" t="str">
        <x:v>Cumplimiento verificable sin desviaciones bloqueantes.</x:v>
      </x:c>
      <x:c r="H258" s="26" t="str">
        <x:v>Integrity verification report.</x:v>
      </x:c>
      <x:c r="I258" s="26" t="str">
        <x:v>13_Trazabilidad_y_Control_de_Cambios.xlsx; 14_Project_Binder_Indice_Maestro.md; 15_Guia_Maestra.md; 16_Auditoria_Global_de_Coherencia.md</x:v>
      </x:c>
      <x:c r="J258" s="26" t="str">
        <x:v>Project Binder/Guide/Validation/Manifests v0.3–v0.6; sprint closure ledgers</x:v>
      </x:c>
      <x:c r="K258" s="26" t="str">
        <x:v>H6</x:v>
      </x:c>
      <x:c r="L258" s="26" t="str">
        <x:v>Yes</x:v>
      </x:c>
      <x:c r="M258" s="26" t="str">
        <x:v>P0</x:v>
      </x:c>
      <x:c r="N258" s="26" t="str">
        <x:v>Documentation/Production</x:v>
      </x:c>
      <x:c r="O258" s="26" t="str">
        <x:v>QA/Production</x:v>
      </x:c>
      <x:c r="P258" s="26" t="str">
        <x:v>NOT RUN</x:v>
      </x:c>
      <x:c r="Q258" s="26"/>
      <x:c r="R258" s="26"/>
      <x:c r="S258" s="26"/>
      <x:c r="T258" s="26"/>
      <x:c r="U258" s="26"/>
      <x:c r="V258" s="26"/>
      <x:c r="W258" s="26" t="n">
        <x:v>1</x:v>
      </x:c>
      <x:c r="X258" s="26" t="n">
        <x:v>0</x:v>
      </x:c>
      <x:c r="Y258" s="26" t="n">
        <x:v>1</x:v>
      </x:c>
      <x:c r="Z258" s="26" t="str">
        <x:v>PENDING</x:v>
      </x:c>
      <x:c r="AA258" s="26" t="str">
        <x:v>CHG-RC1-DOC-31</x:v>
      </x:c>
      <x:c r="AB258" s="26" t="str">
        <x:v>DEFINED / NOT EXECUTED</x:v>
      </x:c>
    </x:row>
    <x:row r="259" ht="30" customHeight="1">
      <x:c r="A259" s="26" t="str">
        <x:v>H6</x:v>
      </x:c>
      <x:c r="B259" s="26" t="str">
        <x:v>H6-DEC-001</x:v>
      </x:c>
      <x:c r="C259" s="26" t="str">
        <x:v>Paquete de decisión H6</x:v>
      </x:c>
      <x:c r="D259" s="26" t="str">
        <x:v>Control especializado</x:v>
      </x:c>
      <x:c r="E259" s="26" t="str">
        <x:v>La candidata inmutable incluye Build ID, versión, SHA, checksum y canal.</x:v>
      </x:c>
      <x:c r="F259" s="26" t="str">
        <x:v>Revisar build record y artefacto.</x:v>
      </x:c>
      <x:c r="G259" s="26" t="str">
        <x:v>Cumplimiento verificable sin desviaciones bloqueantes.</x:v>
      </x:c>
      <x:c r="H259" s="26" t="str">
        <x:v>Build Record completo.</x:v>
      </x:c>
      <x:c r="I259" s="26" t="str">
        <x:v>02_Vertical_Slice_Specification.md; 15_Guia_Maestra.md; 31_H6_and_Release_Readiness_Checklist.xlsx</x:v>
      </x:c>
      <x:c r="J259" s="26" t="str">
        <x:v>Historical package manifests, validation reports and build evidence policies v0.3–v0.6</x:v>
      </x:c>
      <x:c r="K259" s="26" t="str">
        <x:v>H6</x:v>
      </x:c>
      <x:c r="L259" s="26" t="str">
        <x:v>Yes</x:v>
      </x:c>
      <x:c r="M259" s="26" t="str">
        <x:v>P0</x:v>
      </x:c>
      <x:c r="N259" s="26" t="str">
        <x:v>Production</x:v>
      </x:c>
      <x:c r="O259" s="26" t="str">
        <x:v>All Discipline Leads</x:v>
      </x:c>
      <x:c r="P259" s="26" t="str">
        <x:v>NOT RUN</x:v>
      </x:c>
      <x:c r="Q259" s="26"/>
      <x:c r="R259" s="26"/>
      <x:c r="S259" s="26"/>
      <x:c r="T259" s="26"/>
      <x:c r="U259" s="26"/>
      <x:c r="V259" s="26"/>
      <x:c r="W259" s="26" t="n">
        <x:v>1</x:v>
      </x:c>
      <x:c r="X259" s="26" t="n">
        <x:v>0</x:v>
      </x:c>
      <x:c r="Y259" s="26" t="n">
        <x:v>1</x:v>
      </x:c>
      <x:c r="Z259" s="26" t="str">
        <x:v>PENDING</x:v>
      </x:c>
      <x:c r="AA259" s="26" t="str">
        <x:v>CHG-RC1-DOC-31</x:v>
      </x:c>
      <x:c r="AB259" s="26" t="str">
        <x:v>DEFINED / NOT EXECUTED</x:v>
      </x:c>
    </x:row>
    <x:row r="260" ht="30" customHeight="1">
      <x:c r="A260" s="26" t="str">
        <x:v>H6</x:v>
      </x:c>
      <x:c r="B260" s="26" t="str">
        <x:v>H6-DEC-002</x:v>
      </x:c>
      <x:c r="C260" s="26" t="str">
        <x:v>Paquete de decisión H6</x:v>
      </x:c>
      <x:c r="D260" s="26" t="str">
        <x:v>Control especializado</x:v>
      </x:c>
      <x:c r="E260" s="26" t="str">
        <x:v>Existe manifest de Unity, packages, escenas, profile y archivos distribuidos.</x:v>
      </x:c>
      <x:c r="F260" s="26" t="str">
        <x:v>Comparar manifests con candidato.</x:v>
      </x:c>
      <x:c r="G260" s="26" t="str">
        <x:v>Cumplimiento verificable sin desviaciones bloqueantes.</x:v>
      </x:c>
      <x:c r="H260" s="26" t="str">
        <x:v>Environment/package manifests.</x:v>
      </x:c>
      <x:c r="I260" s="26" t="str">
        <x:v>02_Vertical_Slice_Specification.md; 15_Guia_Maestra.md; 31_H6_and_Release_Readiness_Checklist.xlsx</x:v>
      </x:c>
      <x:c r="J260" s="26" t="str">
        <x:v>Historical package manifests, validation reports and build evidence policies v0.3–v0.6</x:v>
      </x:c>
      <x:c r="K260" s="26" t="str">
        <x:v>H6</x:v>
      </x:c>
      <x:c r="L260" s="26" t="str">
        <x:v>Yes</x:v>
      </x:c>
      <x:c r="M260" s="26" t="str">
        <x:v>P1</x:v>
      </x:c>
      <x:c r="N260" s="26" t="str">
        <x:v>Production</x:v>
      </x:c>
      <x:c r="O260" s="26" t="str">
        <x:v>All Discipline Leads</x:v>
      </x:c>
      <x:c r="P260" s="26" t="str">
        <x:v>NOT RUN</x:v>
      </x:c>
      <x:c r="Q260" s="26"/>
      <x:c r="R260" s="26"/>
      <x:c r="S260" s="26"/>
      <x:c r="T260" s="26"/>
      <x:c r="U260" s="26"/>
      <x:c r="V260" s="26"/>
      <x:c r="W260" s="26" t="n">
        <x:v>1</x:v>
      </x:c>
      <x:c r="X260" s="26" t="n">
        <x:v>0</x:v>
      </x:c>
      <x:c r="Y260" s="26" t="n">
        <x:v>1</x:v>
      </x:c>
      <x:c r="Z260" s="26" t="str">
        <x:v>PENDING</x:v>
      </x:c>
      <x:c r="AA260" s="26" t="str">
        <x:v>CHG-RC1-DOC-31</x:v>
      </x:c>
      <x:c r="AB260" s="26" t="str">
        <x:v>DEFINED / NOT EXECUTED</x:v>
      </x:c>
    </x:row>
    <x:row r="261" ht="30" customHeight="1">
      <x:c r="A261" s="26" t="str">
        <x:v>H6</x:v>
      </x:c>
      <x:c r="B261" s="26" t="str">
        <x:v>H6-DEC-003</x:v>
      </x:c>
      <x:c r="C261" s="26" t="str">
        <x:v>Paquete de decisión H6</x:v>
      </x:c>
      <x:c r="D261" s="26" t="str">
        <x:v>Control especializado</x:v>
      </x:c>
      <x:c r="E261" s="26" t="str">
        <x:v>Se incluyen test reports automatizados y ejecuciones manuales.</x:v>
      </x:c>
      <x:c r="F261" s="26" t="str">
        <x:v>Validar Evidence Register.</x:v>
      </x:c>
      <x:c r="G261" s="26" t="str">
        <x:v>Cumplimiento verificable sin desviaciones bloqueantes.</x:v>
      </x:c>
      <x:c r="H261" s="26" t="str">
        <x:v>Test evidence package.</x:v>
      </x:c>
      <x:c r="I261" s="26" t="str">
        <x:v>02_Vertical_Slice_Specification.md; 15_Guia_Maestra.md; 31_H6_and_Release_Readiness_Checklist.xlsx</x:v>
      </x:c>
      <x:c r="J261" s="26" t="str">
        <x:v>Historical package manifests, validation reports and build evidence policies v0.3–v0.6</x:v>
      </x:c>
      <x:c r="K261" s="26" t="str">
        <x:v>H6</x:v>
      </x:c>
      <x:c r="L261" s="26" t="str">
        <x:v>Yes</x:v>
      </x:c>
      <x:c r="M261" s="26" t="str">
        <x:v>P1</x:v>
      </x:c>
      <x:c r="N261" s="26" t="str">
        <x:v>Production</x:v>
      </x:c>
      <x:c r="O261" s="26" t="str">
        <x:v>All Discipline Leads</x:v>
      </x:c>
      <x:c r="P261" s="26" t="str">
        <x:v>NOT RUN</x:v>
      </x:c>
      <x:c r="Q261" s="26"/>
      <x:c r="R261" s="26"/>
      <x:c r="S261" s="26"/>
      <x:c r="T261" s="26"/>
      <x:c r="U261" s="26"/>
      <x:c r="V261" s="26"/>
      <x:c r="W261" s="26" t="n">
        <x:v>1</x:v>
      </x:c>
      <x:c r="X261" s="26" t="n">
        <x:v>0</x:v>
      </x:c>
      <x:c r="Y261" s="26" t="n">
        <x:v>1</x:v>
      </x:c>
      <x:c r="Z261" s="26" t="str">
        <x:v>PENDING</x:v>
      </x:c>
      <x:c r="AA261" s="26" t="str">
        <x:v>CHG-RC1-DOC-31</x:v>
      </x:c>
      <x:c r="AB261" s="26" t="str">
        <x:v>DEFINED / NOT EXECUTED</x:v>
      </x:c>
    </x:row>
    <x:row r="262" ht="30" customHeight="1">
      <x:c r="A262" s="26" t="str">
        <x:v>H6</x:v>
      </x:c>
      <x:c r="B262" s="26" t="str">
        <x:v>H6-DEC-004</x:v>
      </x:c>
      <x:c r="C262" s="26" t="str">
        <x:v>Paquete de decisión H6</x:v>
      </x:c>
      <x:c r="D262" s="26" t="str">
        <x:v>Control especializado</x:v>
      </x:c>
      <x:c r="E262" s="26" t="str">
        <x:v>Se incluyen Golden Path Record y Seven Day Run Record aprobados.</x:v>
      </x:c>
      <x:c r="F262" s="26" t="str">
        <x:v>Revisar firmas y build IDs.</x:v>
      </x:c>
      <x:c r="G262" s="26" t="str">
        <x:v>Cumplimiento verificable sin desviaciones bloqueantes.</x:v>
      </x:c>
      <x:c r="H262" s="26" t="str">
        <x:v>Records firmados.</x:v>
      </x:c>
      <x:c r="I262" s="26" t="str">
        <x:v>02_Vertical_Slice_Specification.md; 15_Guia_Maestra.md; 31_H6_and_Release_Readiness_Checklist.xlsx</x:v>
      </x:c>
      <x:c r="J262" s="26" t="str">
        <x:v>Historical package manifests, validation reports and build evidence policies v0.3–v0.6</x:v>
      </x:c>
      <x:c r="K262" s="26" t="str">
        <x:v>H6</x:v>
      </x:c>
      <x:c r="L262" s="26" t="str">
        <x:v>Yes</x:v>
      </x:c>
      <x:c r="M262" s="26" t="str">
        <x:v>P0</x:v>
      </x:c>
      <x:c r="N262" s="26" t="str">
        <x:v>Production</x:v>
      </x:c>
      <x:c r="O262" s="26" t="str">
        <x:v>All Discipline Leads</x:v>
      </x:c>
      <x:c r="P262" s="26" t="str">
        <x:v>NOT RUN</x:v>
      </x:c>
      <x:c r="Q262" s="26"/>
      <x:c r="R262" s="26"/>
      <x:c r="S262" s="26"/>
      <x:c r="T262" s="26"/>
      <x:c r="U262" s="26"/>
      <x:c r="V262" s="26"/>
      <x:c r="W262" s="26" t="n">
        <x:v>1</x:v>
      </x:c>
      <x:c r="X262" s="26" t="n">
        <x:v>0</x:v>
      </x:c>
      <x:c r="Y262" s="26" t="n">
        <x:v>1</x:v>
      </x:c>
      <x:c r="Z262" s="26" t="str">
        <x:v>PENDING</x:v>
      </x:c>
      <x:c r="AA262" s="26" t="str">
        <x:v>CHG-RC1-DOC-31</x:v>
      </x:c>
      <x:c r="AB262" s="26" t="str">
        <x:v>DEFINED / NOT EXECUTED</x:v>
      </x:c>
    </x:row>
    <x:row r="263" ht="30" customHeight="1">
      <x:c r="A263" s="26" t="str">
        <x:v>H6</x:v>
      </x:c>
      <x:c r="B263" s="26" t="str">
        <x:v>H6-DEC-005</x:v>
      </x:c>
      <x:c r="C263" s="26" t="str">
        <x:v>Paquete de decisión H6</x:v>
      </x:c>
      <x:c r="D263" s="26" t="str">
        <x:v>Control especializado</x:v>
      </x:c>
      <x:c r="E263" s="26" t="str">
        <x:v>Se incluyen Player.log, métricas de rendimiento y soak.</x:v>
      </x:c>
      <x:c r="F263" s="26" t="str">
        <x:v>Validar logs y performance records.</x:v>
      </x:c>
      <x:c r="G263" s="26" t="str">
        <x:v>Cumplimiento verificable sin desviaciones bloqueantes.</x:v>
      </x:c>
      <x:c r="H263" s="26" t="str">
        <x:v>Runtime evidence package.</x:v>
      </x:c>
      <x:c r="I263" s="26" t="str">
        <x:v>02_Vertical_Slice_Specification.md; 15_Guia_Maestra.md; 31_H6_and_Release_Readiness_Checklist.xlsx</x:v>
      </x:c>
      <x:c r="J263" s="26" t="str">
        <x:v>Historical package manifests, validation reports and build evidence policies v0.3–v0.6</x:v>
      </x:c>
      <x:c r="K263" s="26" t="str">
        <x:v>H6</x:v>
      </x:c>
      <x:c r="L263" s="26" t="str">
        <x:v>Yes</x:v>
      </x:c>
      <x:c r="M263" s="26" t="str">
        <x:v>P1</x:v>
      </x:c>
      <x:c r="N263" s="26" t="str">
        <x:v>Production</x:v>
      </x:c>
      <x:c r="O263" s="26" t="str">
        <x:v>All Discipline Leads</x:v>
      </x:c>
      <x:c r="P263" s="26" t="str">
        <x:v>NOT RUN</x:v>
      </x:c>
      <x:c r="Q263" s="26"/>
      <x:c r="R263" s="26"/>
      <x:c r="S263" s="26"/>
      <x:c r="T263" s="26"/>
      <x:c r="U263" s="26"/>
      <x:c r="V263" s="26"/>
      <x:c r="W263" s="26" t="n">
        <x:v>1</x:v>
      </x:c>
      <x:c r="X263" s="26" t="n">
        <x:v>0</x:v>
      </x:c>
      <x:c r="Y263" s="26" t="n">
        <x:v>1</x:v>
      </x:c>
      <x:c r="Z263" s="26" t="str">
        <x:v>PENDING</x:v>
      </x:c>
      <x:c r="AA263" s="26" t="str">
        <x:v>CHG-RC1-DOC-31</x:v>
      </x:c>
      <x:c r="AB263" s="26" t="str">
        <x:v>DEFINED / NOT EXECUTED</x:v>
      </x:c>
    </x:row>
    <x:row r="264" ht="30" customHeight="1">
      <x:c r="A264" s="26" t="str">
        <x:v>H6</x:v>
      </x:c>
      <x:c r="B264" s="26" t="str">
        <x:v>H6-DEC-006</x:v>
      </x:c>
      <x:c r="C264" s="26" t="str">
        <x:v>Paquete de decisión H6</x:v>
      </x:c>
      <x:c r="D264" s="26" t="str">
        <x:v>Control especializado</x:v>
      </x:c>
      <x:c r="E264" s="26" t="str">
        <x:v>Se incluye estado de defectos, deuda aceptada, excepciones y Known Issues.</x:v>
      </x:c>
      <x:c r="F264" s="26" t="str">
        <x:v>Comparar registros y decisión.</x:v>
      </x:c>
      <x:c r="G264" s="26" t="str">
        <x:v>Cumplimiento verificable sin desviaciones bloqueantes.</x:v>
      </x:c>
      <x:c r="H264" s="26" t="str">
        <x:v>Defect/exception package.</x:v>
      </x:c>
      <x:c r="I264" s="26" t="str">
        <x:v>02_Vertical_Slice_Specification.md; 15_Guia_Maestra.md; 31_H6_and_Release_Readiness_Checklist.xlsx</x:v>
      </x:c>
      <x:c r="J264" s="26" t="str">
        <x:v>Historical package manifests, validation reports and build evidence policies v0.3–v0.6</x:v>
      </x:c>
      <x:c r="K264" s="26" t="str">
        <x:v>H6</x:v>
      </x:c>
      <x:c r="L264" s="26" t="str">
        <x:v>Yes</x:v>
      </x:c>
      <x:c r="M264" s="26" t="str">
        <x:v>P1</x:v>
      </x:c>
      <x:c r="N264" s="26" t="str">
        <x:v>Production</x:v>
      </x:c>
      <x:c r="O264" s="26" t="str">
        <x:v>All Discipline Leads</x:v>
      </x:c>
      <x:c r="P264" s="26" t="str">
        <x:v>NOT RUN</x:v>
      </x:c>
      <x:c r="Q264" s="26"/>
      <x:c r="R264" s="26"/>
      <x:c r="S264" s="26"/>
      <x:c r="T264" s="26"/>
      <x:c r="U264" s="26"/>
      <x:c r="V264" s="26"/>
      <x:c r="W264" s="26" t="n">
        <x:v>1</x:v>
      </x:c>
      <x:c r="X264" s="26" t="n">
        <x:v>0</x:v>
      </x:c>
      <x:c r="Y264" s="26" t="n">
        <x:v>1</x:v>
      </x:c>
      <x:c r="Z264" s="26" t="str">
        <x:v>PENDING</x:v>
      </x:c>
      <x:c r="AA264" s="26" t="str">
        <x:v>CHG-RC1-DOC-31</x:v>
      </x:c>
      <x:c r="AB264" s="26" t="str">
        <x:v>DEFINED / NOT EXECUTED</x:v>
      </x:c>
    </x:row>
    <x:row r="265" ht="30" customHeight="1">
      <x:c r="A265" s="26" t="str">
        <x:v>H6</x:v>
      </x:c>
      <x:c r="B265" s="26" t="str">
        <x:v>H6-DEC-007</x:v>
      </x:c>
      <x:c r="C265" s="26" t="str">
        <x:v>Paquete de decisión H6</x:v>
      </x:c>
      <x:c r="D265" s="26" t="str">
        <x:v>Control especializado</x:v>
      </x:c>
      <x:c r="E265" s="26" t="str">
        <x:v>Se incluye evidencia visual, ES/EN y accesibilidad básica.</x:v>
      </x:c>
      <x:c r="F265" s="26" t="str">
        <x:v>Validar capturas/matrices.</x:v>
      </x:c>
      <x:c r="G265" s="26" t="str">
        <x:v>Cumplimiento verificable sin desviaciones bloqueantes.</x:v>
      </x:c>
      <x:c r="H265" s="26" t="str">
        <x:v>Visual/LQA/accessibility package.</x:v>
      </x:c>
      <x:c r="I265" s="26" t="str">
        <x:v>02_Vertical_Slice_Specification.md; 15_Guia_Maestra.md; 31_H6_and_Release_Readiness_Checklist.xlsx</x:v>
      </x:c>
      <x:c r="J265" s="26" t="str">
        <x:v>Historical package manifests, validation reports and build evidence policies v0.3–v0.6</x:v>
      </x:c>
      <x:c r="K265" s="26" t="str">
        <x:v>H6</x:v>
      </x:c>
      <x:c r="L265" s="26" t="str">
        <x:v>Yes</x:v>
      </x:c>
      <x:c r="M265" s="26" t="str">
        <x:v>P1</x:v>
      </x:c>
      <x:c r="N265" s="26" t="str">
        <x:v>Production</x:v>
      </x:c>
      <x:c r="O265" s="26" t="str">
        <x:v>All Discipline Leads</x:v>
      </x:c>
      <x:c r="P265" s="26" t="str">
        <x:v>NOT RUN</x:v>
      </x:c>
      <x:c r="Q265" s="26"/>
      <x:c r="R265" s="26"/>
      <x:c r="S265" s="26"/>
      <x:c r="T265" s="26"/>
      <x:c r="U265" s="26"/>
      <x:c r="V265" s="26"/>
      <x:c r="W265" s="26" t="n">
        <x:v>1</x:v>
      </x:c>
      <x:c r="X265" s="26" t="n">
        <x:v>0</x:v>
      </x:c>
      <x:c r="Y265" s="26" t="n">
        <x:v>1</x:v>
      </x:c>
      <x:c r="Z265" s="26" t="str">
        <x:v>PENDING</x:v>
      </x:c>
      <x:c r="AA265" s="26" t="str">
        <x:v>CHG-RC1-DOC-31</x:v>
      </x:c>
      <x:c r="AB265" s="26" t="str">
        <x:v>DEFINED / NOT EXECUTED</x:v>
      </x:c>
    </x:row>
    <x:row r="266" ht="30" customHeight="1">
      <x:c r="A266" s="26" t="str">
        <x:v>H6</x:v>
      </x:c>
      <x:c r="B266" s="26" t="str">
        <x:v>H6-DEC-008</x:v>
      </x:c>
      <x:c r="C266" s="26" t="str">
        <x:v>Paquete de decisión H6</x:v>
      </x:c>
      <x:c r="D266" s="26" t="str">
        <x:v>Control especializado</x:v>
      </x:c>
      <x:c r="E266" s="26" t="str">
        <x:v>Se incluye estado legal, licencias, seguridad y privacidad del candidato.</x:v>
      </x:c>
      <x:c r="F266" s="26" t="str">
        <x:v>Revisar signoffs especializados.</x:v>
      </x:c>
      <x:c r="G266" s="26" t="str">
        <x:v>Cumplimiento verificable sin desviaciones bloqueantes.</x:v>
      </x:c>
      <x:c r="H266" s="26" t="str">
        <x:v>Compliance signoff package.</x:v>
      </x:c>
      <x:c r="I266" s="26" t="str">
        <x:v>02_Vertical_Slice_Specification.md; 15_Guia_Maestra.md; 31_H6_and_Release_Readiness_Checklist.xlsx</x:v>
      </x:c>
      <x:c r="J266" s="26" t="str">
        <x:v>Historical package manifests, validation reports and build evidence policies v0.3–v0.6</x:v>
      </x:c>
      <x:c r="K266" s="26" t="str">
        <x:v>H6</x:v>
      </x:c>
      <x:c r="L266" s="26" t="str">
        <x:v>Yes</x:v>
      </x:c>
      <x:c r="M266" s="26" t="str">
        <x:v>P1</x:v>
      </x:c>
      <x:c r="N266" s="26" t="str">
        <x:v>Production</x:v>
      </x:c>
      <x:c r="O266" s="26" t="str">
        <x:v>All Discipline Leads</x:v>
      </x:c>
      <x:c r="P266" s="26" t="str">
        <x:v>NOT RUN</x:v>
      </x:c>
      <x:c r="Q266" s="26"/>
      <x:c r="R266" s="26"/>
      <x:c r="S266" s="26"/>
      <x:c r="T266" s="26"/>
      <x:c r="U266" s="26"/>
      <x:c r="V266" s="26"/>
      <x:c r="W266" s="26" t="n">
        <x:v>1</x:v>
      </x:c>
      <x:c r="X266" s="26" t="n">
        <x:v>0</x:v>
      </x:c>
      <x:c r="Y266" s="26" t="n">
        <x:v>1</x:v>
      </x:c>
      <x:c r="Z266" s="26" t="str">
        <x:v>PENDING</x:v>
      </x:c>
      <x:c r="AA266" s="26" t="str">
        <x:v>CHG-RC1-DOC-31</x:v>
      </x:c>
      <x:c r="AB266" s="26" t="str">
        <x:v>DEFINED / NOT EXECUTED</x:v>
      </x:c>
    </x:row>
    <x:row r="267" ht="30" customHeight="1">
      <x:c r="A267" s="26" t="str">
        <x:v>H6</x:v>
      </x:c>
      <x:c r="B267" s="26" t="str">
        <x:v>H6-DEC-009</x:v>
      </x:c>
      <x:c r="C267" s="26" t="str">
        <x:v>Paquete de decisión H6</x:v>
      </x:c>
      <x:c r="D267" s="26" t="str">
        <x:v>Control especializado</x:v>
      </x:c>
      <x:c r="E267" s="26" t="str">
        <x:v>Se incluye estado de documentación, trazabilidad y auditoría.</x:v>
      </x:c>
      <x:c r="F267" s="26" t="str">
        <x:v>Validar document inventory y findings.</x:v>
      </x:c>
      <x:c r="G267" s="26" t="str">
        <x:v>Cumplimiento verificable sin desviaciones bloqueantes.</x:v>
      </x:c>
      <x:c r="H267" s="26" t="str">
        <x:v>Documentation signoff.</x:v>
      </x:c>
      <x:c r="I267" s="26" t="str">
        <x:v>02_Vertical_Slice_Specification.md; 15_Guia_Maestra.md; 31_H6_and_Release_Readiness_Checklist.xlsx</x:v>
      </x:c>
      <x:c r="J267" s="26" t="str">
        <x:v>Historical package manifests, validation reports and build evidence policies v0.3–v0.6</x:v>
      </x:c>
      <x:c r="K267" s="26" t="str">
        <x:v>H6</x:v>
      </x:c>
      <x:c r="L267" s="26" t="str">
        <x:v>Yes</x:v>
      </x:c>
      <x:c r="M267" s="26" t="str">
        <x:v>P1</x:v>
      </x:c>
      <x:c r="N267" s="26" t="str">
        <x:v>Production</x:v>
      </x:c>
      <x:c r="O267" s="26" t="str">
        <x:v>All Discipline Leads</x:v>
      </x:c>
      <x:c r="P267" s="26" t="str">
        <x:v>NOT RUN</x:v>
      </x:c>
      <x:c r="Q267" s="26"/>
      <x:c r="R267" s="26"/>
      <x:c r="S267" s="26"/>
      <x:c r="T267" s="26"/>
      <x:c r="U267" s="26"/>
      <x:c r="V267" s="26"/>
      <x:c r="W267" s="26" t="n">
        <x:v>1</x:v>
      </x:c>
      <x:c r="X267" s="26" t="n">
        <x:v>0</x:v>
      </x:c>
      <x:c r="Y267" s="26" t="n">
        <x:v>1</x:v>
      </x:c>
      <x:c r="Z267" s="26" t="str">
        <x:v>PENDING</x:v>
      </x:c>
      <x:c r="AA267" s="26" t="str">
        <x:v>CHG-RC1-DOC-31</x:v>
      </x:c>
      <x:c r="AB267" s="26" t="str">
        <x:v>DEFINED / NOT EXECUTED</x:v>
      </x:c>
    </x:row>
    <x:row r="268" ht="30" customHeight="1">
      <x:c r="A268" s="26" t="str">
        <x:v>H6</x:v>
      </x:c>
      <x:c r="B268" s="26" t="str">
        <x:v>H6-DEC-010</x:v>
      </x:c>
      <x:c r="C268" s="26" t="str">
        <x:v>Paquete de decisión H6</x:v>
      </x:c>
      <x:c r="D268" s="26" t="str">
        <x:v>Control especializado</x:v>
      </x:c>
      <x:c r="E268" s="26" t="str">
        <x:v>La reunión de decisión registra participantes, discrepancias, resultado y acciones.</x:v>
      </x:c>
      <x:c r="F268" s="26" t="str">
        <x:v>Completar acta.</x:v>
      </x:c>
      <x:c r="G268" s="26" t="str">
        <x:v>Cumplimiento verificable sin desviaciones bloqueantes.</x:v>
      </x:c>
      <x:c r="H268" s="26" t="str">
        <x:v>H6 Decision Minutes.</x:v>
      </x:c>
      <x:c r="I268" s="26" t="str">
        <x:v>02_Vertical_Slice_Specification.md; 15_Guia_Maestra.md; 31_H6_and_Release_Readiness_Checklist.xlsx</x:v>
      </x:c>
      <x:c r="J268" s="26" t="str">
        <x:v>Historical package manifests, validation reports and build evidence policies v0.3–v0.6</x:v>
      </x:c>
      <x:c r="K268" s="26" t="str">
        <x:v>H6</x:v>
      </x:c>
      <x:c r="L268" s="26" t="str">
        <x:v>Yes</x:v>
      </x:c>
      <x:c r="M268" s="26" t="str">
        <x:v>P1</x:v>
      </x:c>
      <x:c r="N268" s="26" t="str">
        <x:v>Production</x:v>
      </x:c>
      <x:c r="O268" s="26" t="str">
        <x:v>All Discipline Leads</x:v>
      </x:c>
      <x:c r="P268" s="26" t="str">
        <x:v>NOT RUN</x:v>
      </x:c>
      <x:c r="Q268" s="26"/>
      <x:c r="R268" s="26"/>
      <x:c r="S268" s="26"/>
      <x:c r="T268" s="26"/>
      <x:c r="U268" s="26"/>
      <x:c r="V268" s="26"/>
      <x:c r="W268" s="26" t="n">
        <x:v>1</x:v>
      </x:c>
      <x:c r="X268" s="26" t="n">
        <x:v>0</x:v>
      </x:c>
      <x:c r="Y268" s="26" t="n">
        <x:v>1</x:v>
      </x:c>
      <x:c r="Z268" s="26" t="str">
        <x:v>PENDING</x:v>
      </x:c>
      <x:c r="AA268" s="26" t="str">
        <x:v>CHG-RC1-DOC-31</x:v>
      </x:c>
      <x:c r="AB268" s="26" t="str">
        <x:v>DEFINED / NOT EXECUTED</x:v>
      </x:c>
    </x:row>
    <x:row r="269" ht="30" customHeight="1">
      <x:c r="A269" s="26" t="str">
        <x:v>H6</x:v>
      </x:c>
      <x:c r="B269" s="26" t="str">
        <x:v>H6-DEC-011</x:v>
      </x:c>
      <x:c r="C269" s="26" t="str">
        <x:v>Paquete de decisión H6</x:v>
      </x:c>
      <x:c r="D269" s="26" t="str">
        <x:v>Control especializado</x:v>
      </x:c>
      <x:c r="E269" s="26" t="str">
        <x:v>Un resultado FAIL identifica blockers, propietarios y condición de reentrada.</x:v>
      </x:c>
      <x:c r="F269" s="26" t="str">
        <x:v>Revisar acta y risk/dependency log.</x:v>
      </x:c>
      <x:c r="G269" s="26" t="str">
        <x:v>Cumplimiento verificable sin desviaciones bloqueantes.</x:v>
      </x:c>
      <x:c r="H269" s="26" t="str">
        <x:v>Re-entry plan.</x:v>
      </x:c>
      <x:c r="I269" s="26" t="str">
        <x:v>02_Vertical_Slice_Specification.md; 15_Guia_Maestra.md; 31_H6_and_Release_Readiness_Checklist.xlsx</x:v>
      </x:c>
      <x:c r="J269" s="26" t="str">
        <x:v>Historical package manifests, validation reports and build evidence policies v0.3–v0.6</x:v>
      </x:c>
      <x:c r="K269" s="26" t="str">
        <x:v>H6</x:v>
      </x:c>
      <x:c r="L269" s="26" t="str">
        <x:v>Yes</x:v>
      </x:c>
      <x:c r="M269" s="26" t="str">
        <x:v>P1</x:v>
      </x:c>
      <x:c r="N269" s="26" t="str">
        <x:v>Production</x:v>
      </x:c>
      <x:c r="O269" s="26" t="str">
        <x:v>All Discipline Leads</x:v>
      </x:c>
      <x:c r="P269" s="26" t="str">
        <x:v>NOT RUN</x:v>
      </x:c>
      <x:c r="Q269" s="26"/>
      <x:c r="R269" s="26"/>
      <x:c r="S269" s="26"/>
      <x:c r="T269" s="26"/>
      <x:c r="U269" s="26"/>
      <x:c r="V269" s="26"/>
      <x:c r="W269" s="26" t="n">
        <x:v>1</x:v>
      </x:c>
      <x:c r="X269" s="26" t="n">
        <x:v>0</x:v>
      </x:c>
      <x:c r="Y269" s="26" t="n">
        <x:v>1</x:v>
      </x:c>
      <x:c r="Z269" s="26" t="str">
        <x:v>PENDING</x:v>
      </x:c>
      <x:c r="AA269" s="26" t="str">
        <x:v>CHG-RC1-DOC-31</x:v>
      </x:c>
      <x:c r="AB269" s="26" t="str">
        <x:v>DEFINED / NOT EXECUTED</x:v>
      </x:c>
    </x:row>
    <x:row r="270" ht="30" customHeight="1">
      <x:c r="A270" s="26" t="str">
        <x:v>H6</x:v>
      </x:c>
      <x:c r="B270" s="26" t="str">
        <x:v>H6-DEC-012</x:v>
      </x:c>
      <x:c r="C270" s="26" t="str">
        <x:v>Paquete de decisión H6</x:v>
      </x:c>
      <x:c r="D270" s="26" t="str">
        <x:v>Control especializado</x:v>
      </x:c>
      <x:c r="E270" s="26" t="str">
        <x:v>Un resultado PASS congela la baseline y prohíbe seguir sobre una working copy ambigua.</x:v>
      </x:c>
      <x:c r="F270" s="26" t="str">
        <x:v>Crear tag/baseline y handoff.</x:v>
      </x:c>
      <x:c r="G270" s="26" t="str">
        <x:v>Cumplimiento verificable sin desviaciones bloqueantes.</x:v>
      </x:c>
      <x:c r="H270" s="26" t="str">
        <x:v>Baseline freeze record.</x:v>
      </x:c>
      <x:c r="I270" s="26" t="str">
        <x:v>02_Vertical_Slice_Specification.md; 15_Guia_Maestra.md; 31_H6_and_Release_Readiness_Checklist.xlsx</x:v>
      </x:c>
      <x:c r="J270" s="26" t="str">
        <x:v>Historical package manifests, validation reports and build evidence policies v0.3–v0.6</x:v>
      </x:c>
      <x:c r="K270" s="26" t="str">
        <x:v>H6</x:v>
      </x:c>
      <x:c r="L270" s="26" t="str">
        <x:v>Yes</x:v>
      </x:c>
      <x:c r="M270" s="26" t="str">
        <x:v>P1</x:v>
      </x:c>
      <x:c r="N270" s="26" t="str">
        <x:v>Production</x:v>
      </x:c>
      <x:c r="O270" s="26" t="str">
        <x:v>All Discipline Leads</x:v>
      </x:c>
      <x:c r="P270" s="26" t="str">
        <x:v>NOT RUN</x:v>
      </x:c>
      <x:c r="Q270" s="26"/>
      <x:c r="R270" s="26"/>
      <x:c r="S270" s="26"/>
      <x:c r="T270" s="26"/>
      <x:c r="U270" s="26"/>
      <x:c r="V270" s="26"/>
      <x:c r="W270" s="26" t="n">
        <x:v>1</x:v>
      </x:c>
      <x:c r="X270" s="26" t="n">
        <x:v>0</x:v>
      </x:c>
      <x:c r="Y270" s="26" t="n">
        <x:v>1</x:v>
      </x:c>
      <x:c r="Z270" s="26" t="str">
        <x:v>PENDING</x:v>
      </x:c>
      <x:c r="AA270" s="26" t="str">
        <x:v>CHG-RC1-DOC-31</x:v>
      </x:c>
      <x:c r="AB270" s="26" t="str">
        <x:v>DEFINED / NOT EXECUTED</x:v>
      </x:c>
    </x:row>
    <x:row r="271" ht="30" customHeight="1">
      <x:c r="A271" s="26" t="str">
        <x:v>Release</x:v>
      </x:c>
      <x:c r="B271" s="26" t="str">
        <x:v>REL-GOV-001</x:v>
      </x:c>
      <x:c r="C271" s="26" t="str">
        <x:v>Producto, alcance y planificación</x:v>
      </x:c>
      <x:c r="D271" s="26" t="str">
        <x:v>Release readiness</x:v>
      </x:c>
      <x:c r="E271" s="26" t="str">
        <x:v>H6 ha obtenido PASS formal y su baseline está congelada.</x:v>
      </x:c>
      <x:c r="F271" s="26" t="str">
        <x:v>Verificar acta, tag, checksum y paquete H6.</x:v>
      </x:c>
      <x:c r="G271" s="26" t="str">
        <x:v>Cumplimiento verificable antes del gate indicado.</x:v>
      </x:c>
      <x:c r="H271" s="26" t="str">
        <x:v>H6 Decision Record.</x:v>
      </x:c>
      <x:c r="I271" s="26" t="str">
        <x:v>24_Steam_Publishing_Plan.md; 25_Post_Launch_and_Live_Operations_Plan.md; 28_Marketing_and_Communication_Plan.md</x:v>
      </x:c>
      <x:c r="J271" s="26" t="str">
        <x:v>Steam/Marketing/Roadmap historical v0.3–v0.6</x:v>
      </x:c>
      <x:c r="K271" s="26" t="str">
        <x:v>Release</x:v>
      </x:c>
      <x:c r="L271" s="26" t="str">
        <x:v>Yes</x:v>
      </x:c>
      <x:c r="M271" s="26" t="str">
        <x:v>P0</x:v>
      </x:c>
      <x:c r="N271" s="26" t="str">
        <x:v>Production</x:v>
      </x:c>
      <x:c r="O271" s="26" t="str">
        <x:v>Production/QA</x:v>
      </x:c>
      <x:c r="P271" s="26" t="str">
        <x:v>NOT RUN</x:v>
      </x:c>
      <x:c r="Q271" s="26"/>
      <x:c r="R271" s="26"/>
      <x:c r="S271" s="26"/>
      <x:c r="T271" s="26"/>
      <x:c r="U271" s="26"/>
      <x:c r="V271" s="26"/>
      <x:c r="W271" s="26" t="n">
        <x:v>1</x:v>
      </x:c>
      <x:c r="X271" s="26" t="n">
        <x:v>0</x:v>
      </x:c>
      <x:c r="Y271" s="26" t="n">
        <x:v>1</x:v>
      </x:c>
      <x:c r="Z271" s="26" t="str">
        <x:v>PENDING</x:v>
      </x:c>
      <x:c r="AA271" s="26" t="str">
        <x:v>CHG-RC1-DOC-31</x:v>
      </x:c>
      <x:c r="AB271" s="26" t="str">
        <x:v>DEFINED / NOT EXECUTED</x:v>
      </x:c>
    </x:row>
    <x:row r="272" ht="30" customHeight="1">
      <x:c r="A272" s="26" t="str">
        <x:v>Release</x:v>
      </x:c>
      <x:c r="B272" s="26" t="str">
        <x:v>REL-GOV-002</x:v>
      </x:c>
      <x:c r="C272" s="26" t="str">
        <x:v>Producto, alcance y planificación</x:v>
      </x:c>
      <x:c r="D272" s="26" t="str">
        <x:v>Release readiness</x:v>
      </x:c>
      <x:c r="E272" s="26" t="str">
        <x:v>La fase Steam/release se abre mediante decisión separada de H6.</x:v>
      </x:c>
      <x:c r="F272" s="26" t="str">
        <x:v>Revisar acta de apertura y roadmap.</x:v>
      </x:c>
      <x:c r="G272" s="26" t="str">
        <x:v>Cumplimiento verificable antes del gate indicado.</x:v>
      </x:c>
      <x:c r="H272" s="26" t="str">
        <x:v>Steam phase opening decision.</x:v>
      </x:c>
      <x:c r="I272" s="26" t="str">
        <x:v>24_Steam_Publishing_Plan.md; 25_Post_Launch_and_Live_Operations_Plan.md; 28_Marketing_and_Communication_Plan.md</x:v>
      </x:c>
      <x:c r="J272" s="26" t="str">
        <x:v>Steam/Marketing/Roadmap historical v0.3–v0.6</x:v>
      </x:c>
      <x:c r="K272" s="26" t="str">
        <x:v>Release</x:v>
      </x:c>
      <x:c r="L272" s="26" t="str">
        <x:v>Yes</x:v>
      </x:c>
      <x:c r="M272" s="26" t="str">
        <x:v>P1</x:v>
      </x:c>
      <x:c r="N272" s="26" t="str">
        <x:v>Production</x:v>
      </x:c>
      <x:c r="O272" s="26" t="str">
        <x:v>Production/QA</x:v>
      </x:c>
      <x:c r="P272" s="26" t="str">
        <x:v>NOT RUN</x:v>
      </x:c>
      <x:c r="Q272" s="26"/>
      <x:c r="R272" s="26"/>
      <x:c r="S272" s="26"/>
      <x:c r="T272" s="26"/>
      <x:c r="U272" s="26"/>
      <x:c r="V272" s="26"/>
      <x:c r="W272" s="26" t="n">
        <x:v>1</x:v>
      </x:c>
      <x:c r="X272" s="26" t="n">
        <x:v>0</x:v>
      </x:c>
      <x:c r="Y272" s="26" t="n">
        <x:v>1</x:v>
      </x:c>
      <x:c r="Z272" s="26" t="str">
        <x:v>PENDING</x:v>
      </x:c>
      <x:c r="AA272" s="26" t="str">
        <x:v>CHG-RC1-DOC-31</x:v>
      </x:c>
      <x:c r="AB272" s="26" t="str">
        <x:v>DEFINED / NOT EXECUTED</x:v>
      </x:c>
    </x:row>
    <x:row r="273" ht="30" customHeight="1">
      <x:c r="A273" s="26" t="str">
        <x:v>Release</x:v>
      </x:c>
      <x:c r="B273" s="26" t="str">
        <x:v>REL-GOV-003</x:v>
      </x:c>
      <x:c r="C273" s="26" t="str">
        <x:v>Producto, alcance y planificación</x:v>
      </x:c>
      <x:c r="D273" s="26" t="str">
        <x:v>Release readiness</x:v>
      </x:c>
      <x:c r="E273" s="26" t="str">
        <x:v>El alcance de release está congelado y diferencia must-have, deferred y post-launch.</x:v>
      </x:c>
      <x:c r="F273" s="26" t="str">
        <x:v>Revisar backlog y change control.</x:v>
      </x:c>
      <x:c r="G273" s="26" t="str">
        <x:v>Cumplimiento verificable antes del gate indicado.</x:v>
      </x:c>
      <x:c r="H273" s="26" t="str">
        <x:v>Release scope freeze.</x:v>
      </x:c>
      <x:c r="I273" s="26" t="str">
        <x:v>24_Steam_Publishing_Plan.md; 25_Post_Launch_and_Live_Operations_Plan.md; 28_Marketing_and_Communication_Plan.md</x:v>
      </x:c>
      <x:c r="J273" s="26" t="str">
        <x:v>Steam/Marketing/Roadmap historical v0.3–v0.6</x:v>
      </x:c>
      <x:c r="K273" s="26" t="str">
        <x:v>Release</x:v>
      </x:c>
      <x:c r="L273" s="26" t="str">
        <x:v>Yes</x:v>
      </x:c>
      <x:c r="M273" s="26" t="str">
        <x:v>P1</x:v>
      </x:c>
      <x:c r="N273" s="26" t="str">
        <x:v>Production</x:v>
      </x:c>
      <x:c r="O273" s="26" t="str">
        <x:v>Production/QA</x:v>
      </x:c>
      <x:c r="P273" s="26" t="str">
        <x:v>NOT RUN</x:v>
      </x:c>
      <x:c r="Q273" s="26"/>
      <x:c r="R273" s="26"/>
      <x:c r="S273" s="26"/>
      <x:c r="T273" s="26"/>
      <x:c r="U273" s="26"/>
      <x:c r="V273" s="26"/>
      <x:c r="W273" s="26" t="n">
        <x:v>1</x:v>
      </x:c>
      <x:c r="X273" s="26" t="n">
        <x:v>0</x:v>
      </x:c>
      <x:c r="Y273" s="26" t="n">
        <x:v>1</x:v>
      </x:c>
      <x:c r="Z273" s="26" t="str">
        <x:v>PENDING</x:v>
      </x:c>
      <x:c r="AA273" s="26" t="str">
        <x:v>CHG-RC1-DOC-31</x:v>
      </x:c>
      <x:c r="AB273" s="26" t="str">
        <x:v>DEFINED / NOT EXECUTED</x:v>
      </x:c>
    </x:row>
    <x:row r="274" ht="30" customHeight="1">
      <x:c r="A274" s="26" t="str">
        <x:v>Release</x:v>
      </x:c>
      <x:c r="B274" s="26" t="str">
        <x:v>REL-GOV-004</x:v>
      </x:c>
      <x:c r="C274" s="26" t="str">
        <x:v>Producto, alcance y planificación</x:v>
      </x:c>
      <x:c r="D274" s="26" t="str">
        <x:v>Release readiness</x:v>
      </x:c>
      <x:c r="E274" s="26" t="str">
        <x:v>Existe calendario basado en capacidad medida, dependencias y buffers, no en fecha inventada.</x:v>
      </x:c>
      <x:c r="F274" s="26" t="str">
        <x:v>Revisar roadmap y capacidad.</x:v>
      </x:c>
      <x:c r="G274" s="26" t="str">
        <x:v>Cumplimiento verificable antes del gate indicado.</x:v>
      </x:c>
      <x:c r="H274" s="26" t="str">
        <x:v>Release plan aprobado.</x:v>
      </x:c>
      <x:c r="I274" s="26" t="str">
        <x:v>24_Steam_Publishing_Plan.md; 25_Post_Launch_and_Live_Operations_Plan.md; 28_Marketing_and_Communication_Plan.md</x:v>
      </x:c>
      <x:c r="J274" s="26" t="str">
        <x:v>Steam/Marketing/Roadmap historical v0.3–v0.6</x:v>
      </x:c>
      <x:c r="K274" s="26" t="str">
        <x:v>Release</x:v>
      </x:c>
      <x:c r="L274" s="26" t="str">
        <x:v>Yes</x:v>
      </x:c>
      <x:c r="M274" s="26" t="str">
        <x:v>P1</x:v>
      </x:c>
      <x:c r="N274" s="26" t="str">
        <x:v>Production</x:v>
      </x:c>
      <x:c r="O274" s="26" t="str">
        <x:v>Production/QA</x:v>
      </x:c>
      <x:c r="P274" s="26" t="str">
        <x:v>NOT RUN</x:v>
      </x:c>
      <x:c r="Q274" s="26"/>
      <x:c r="R274" s="26"/>
      <x:c r="S274" s="26"/>
      <x:c r="T274" s="26"/>
      <x:c r="U274" s="26"/>
      <x:c r="V274" s="26"/>
      <x:c r="W274" s="26" t="n">
        <x:v>1</x:v>
      </x:c>
      <x:c r="X274" s="26" t="n">
        <x:v>0</x:v>
      </x:c>
      <x:c r="Y274" s="26" t="n">
        <x:v>1</x:v>
      </x:c>
      <x:c r="Z274" s="26" t="str">
        <x:v>PENDING</x:v>
      </x:c>
      <x:c r="AA274" s="26" t="str">
        <x:v>CHG-RC1-DOC-31</x:v>
      </x:c>
      <x:c r="AB274" s="26" t="str">
        <x:v>DEFINED / NOT EXECUTED</x:v>
      </x:c>
    </x:row>
    <x:row r="275" ht="30" customHeight="1">
      <x:c r="A275" s="26" t="str">
        <x:v>Release</x:v>
      </x:c>
      <x:c r="B275" s="26" t="str">
        <x:v>REL-GOV-005</x:v>
      </x:c>
      <x:c r="C275" s="26" t="str">
        <x:v>Producto, alcance y planificación</x:v>
      </x:c>
      <x:c r="D275" s="26" t="str">
        <x:v>Release readiness</x:v>
      </x:c>
      <x:c r="E275" s="26" t="str">
        <x:v>Cada gate —Coming Soon, demo, Playtest, RC y launch— tiene entrada, salida y propietario.</x:v>
      </x:c>
      <x:c r="F275" s="26" t="str">
        <x:v>Revisar Gate Signoff.</x:v>
      </x:c>
      <x:c r="G275" s="26" t="str">
        <x:v>Cumplimiento verificable antes del gate indicado.</x:v>
      </x:c>
      <x:c r="H275" s="26" t="str">
        <x:v>Gate map.</x:v>
      </x:c>
      <x:c r="I275" s="26" t="str">
        <x:v>24_Steam_Publishing_Plan.md; 25_Post_Launch_and_Live_Operations_Plan.md; 28_Marketing_and_Communication_Plan.md</x:v>
      </x:c>
      <x:c r="J275" s="26" t="str">
        <x:v>Steam/Marketing/Roadmap historical v0.3–v0.6</x:v>
      </x:c>
      <x:c r="K275" s="26" t="str">
        <x:v>Release</x:v>
      </x:c>
      <x:c r="L275" s="26" t="str">
        <x:v>Yes</x:v>
      </x:c>
      <x:c r="M275" s="26" t="str">
        <x:v>P1</x:v>
      </x:c>
      <x:c r="N275" s="26" t="str">
        <x:v>Production</x:v>
      </x:c>
      <x:c r="O275" s="26" t="str">
        <x:v>Production/QA</x:v>
      </x:c>
      <x:c r="P275" s="26" t="str">
        <x:v>NOT RUN</x:v>
      </x:c>
      <x:c r="Q275" s="26"/>
      <x:c r="R275" s="26"/>
      <x:c r="S275" s="26"/>
      <x:c r="T275" s="26"/>
      <x:c r="U275" s="26"/>
      <x:c r="V275" s="26"/>
      <x:c r="W275" s="26" t="n">
        <x:v>1</x:v>
      </x:c>
      <x:c r="X275" s="26" t="n">
        <x:v>0</x:v>
      </x:c>
      <x:c r="Y275" s="26" t="n">
        <x:v>1</x:v>
      </x:c>
      <x:c r="Z275" s="26" t="str">
        <x:v>PENDING</x:v>
      </x:c>
      <x:c r="AA275" s="26" t="str">
        <x:v>CHG-RC1-DOC-31</x:v>
      </x:c>
      <x:c r="AB275" s="26" t="str">
        <x:v>DEFINED / NOT EXECUTED</x:v>
      </x:c>
    </x:row>
    <x:row r="276" ht="30" customHeight="1">
      <x:c r="A276" s="26" t="str">
        <x:v>Release</x:v>
      </x:c>
      <x:c r="B276" s="26" t="str">
        <x:v>REL-GOV-006</x:v>
      </x:c>
      <x:c r="C276" s="26" t="str">
        <x:v>Producto, alcance y planificación</x:v>
      </x:c>
      <x:c r="D276" s="26" t="str">
        <x:v>Release readiness</x:v>
      </x:c>
      <x:c r="E276" s="26" t="str">
        <x:v>Las features anunciadas públicamente están implementadas, validadas y planificadas para release.</x:v>
      </x:c>
      <x:c r="F276" s="26" t="str">
        <x:v>Cruzar store copy/marketing con build y roadmap.</x:v>
      </x:c>
      <x:c r="G276" s="26" t="str">
        <x:v>Cumplimiento verificable antes del gate indicado.</x:v>
      </x:c>
      <x:c r="H276" s="26" t="str">
        <x:v>Claims verification matrix.</x:v>
      </x:c>
      <x:c r="I276" s="26" t="str">
        <x:v>24_Steam_Publishing_Plan.md; 25_Post_Launch_and_Live_Operations_Plan.md; 28_Marketing_and_Communication_Plan.md</x:v>
      </x:c>
      <x:c r="J276" s="26" t="str">
        <x:v>Steam/Marketing/Roadmap historical v0.3–v0.6</x:v>
      </x:c>
      <x:c r="K276" s="26" t="str">
        <x:v>Release</x:v>
      </x:c>
      <x:c r="L276" s="26" t="str">
        <x:v>Yes</x:v>
      </x:c>
      <x:c r="M276" s="26" t="str">
        <x:v>P0</x:v>
      </x:c>
      <x:c r="N276" s="26" t="str">
        <x:v>Production</x:v>
      </x:c>
      <x:c r="O276" s="26" t="str">
        <x:v>Production/QA</x:v>
      </x:c>
      <x:c r="P276" s="26" t="str">
        <x:v>NOT RUN</x:v>
      </x:c>
      <x:c r="Q276" s="26"/>
      <x:c r="R276" s="26"/>
      <x:c r="S276" s="26"/>
      <x:c r="T276" s="26"/>
      <x:c r="U276" s="26"/>
      <x:c r="V276" s="26"/>
      <x:c r="W276" s="26" t="n">
        <x:v>1</x:v>
      </x:c>
      <x:c r="X276" s="26" t="n">
        <x:v>0</x:v>
      </x:c>
      <x:c r="Y276" s="26" t="n">
        <x:v>1</x:v>
      </x:c>
      <x:c r="Z276" s="26" t="str">
        <x:v>PENDING</x:v>
      </x:c>
      <x:c r="AA276" s="26" t="str">
        <x:v>CHG-RC1-DOC-31</x:v>
      </x:c>
      <x:c r="AB276" s="26" t="str">
        <x:v>DEFINED / NOT EXECUTED</x:v>
      </x:c>
    </x:row>
    <x:row r="277" ht="30" customHeight="1">
      <x:c r="A277" s="26" t="str">
        <x:v>Release</x:v>
      </x:c>
      <x:c r="B277" s="26" t="str">
        <x:v>REL-GOV-007</x:v>
      </x:c>
      <x:c r="C277" s="26" t="str">
        <x:v>Producto, alcance y planificación</x:v>
      </x:c>
      <x:c r="D277" s="26" t="str">
        <x:v>Release readiness</x:v>
      </x:c>
      <x:c r="E277" s="26" t="str">
        <x:v>Las funciones diferidas no aparecen como promesas implícitas en screenshots, trailers o FAQ.</x:v>
      </x:c>
      <x:c r="F277" s="26" t="str">
        <x:v>Revisión conjunta marketing/producto.</x:v>
      </x:c>
      <x:c r="G277" s="26" t="str">
        <x:v>Cumplimiento verificable antes del gate indicado.</x:v>
      </x:c>
      <x:c r="H277" s="26" t="str">
        <x:v>Media/content review.</x:v>
      </x:c>
      <x:c r="I277" s="26" t="str">
        <x:v>24_Steam_Publishing_Plan.md; 25_Post_Launch_and_Live_Operations_Plan.md; 28_Marketing_and_Communication_Plan.md</x:v>
      </x:c>
      <x:c r="J277" s="26" t="str">
        <x:v>Steam/Marketing/Roadmap historical v0.3–v0.6</x:v>
      </x:c>
      <x:c r="K277" s="26" t="str">
        <x:v>Release</x:v>
      </x:c>
      <x:c r="L277" s="26" t="str">
        <x:v>Yes</x:v>
      </x:c>
      <x:c r="M277" s="26" t="str">
        <x:v>P1</x:v>
      </x:c>
      <x:c r="N277" s="26" t="str">
        <x:v>Production</x:v>
      </x:c>
      <x:c r="O277" s="26" t="str">
        <x:v>Production/QA</x:v>
      </x:c>
      <x:c r="P277" s="26" t="str">
        <x:v>NOT RUN</x:v>
      </x:c>
      <x:c r="Q277" s="26"/>
      <x:c r="R277" s="26"/>
      <x:c r="S277" s="26"/>
      <x:c r="T277" s="26"/>
      <x:c r="U277" s="26"/>
      <x:c r="V277" s="26"/>
      <x:c r="W277" s="26" t="n">
        <x:v>1</x:v>
      </x:c>
      <x:c r="X277" s="26" t="n">
        <x:v>0</x:v>
      </x:c>
      <x:c r="Y277" s="26" t="n">
        <x:v>1</x:v>
      </x:c>
      <x:c r="Z277" s="26" t="str">
        <x:v>PENDING</x:v>
      </x:c>
      <x:c r="AA277" s="26" t="str">
        <x:v>CHG-RC1-DOC-31</x:v>
      </x:c>
      <x:c r="AB277" s="26" t="str">
        <x:v>DEFINED / NOT EXECUTED</x:v>
      </x:c>
    </x:row>
    <x:row r="278" ht="30" customHeight="1">
      <x:c r="A278" s="26" t="str">
        <x:v>Release</x:v>
      </x:c>
      <x:c r="B278" s="26" t="str">
        <x:v>REL-GOV-008</x:v>
      </x:c>
      <x:c r="C278" s="26" t="str">
        <x:v>Producto, alcance y planificación</x:v>
      </x:c>
      <x:c r="D278" s="26" t="str">
        <x:v>Release readiness</x:v>
      </x:c>
      <x:c r="E278" s="26" t="str">
        <x:v>Existe un criterio formal de no-go y proceso de retraso/cambio de fecha.</x:v>
      </x:c>
      <x:c r="F278" s="26" t="str">
        <x:v>Revisar release playbook.</x:v>
      </x:c>
      <x:c r="G278" s="26" t="str">
        <x:v>Cumplimiento verificable antes del gate indicado.</x:v>
      </x:c>
      <x:c r="H278" s="26" t="str">
        <x:v>No-go/escalation plan.</x:v>
      </x:c>
      <x:c r="I278" s="26" t="str">
        <x:v>24_Steam_Publishing_Plan.md; 25_Post_Launch_and_Live_Operations_Plan.md; 28_Marketing_and_Communication_Plan.md</x:v>
      </x:c>
      <x:c r="J278" s="26" t="str">
        <x:v>Steam/Marketing/Roadmap historical v0.3–v0.6</x:v>
      </x:c>
      <x:c r="K278" s="26" t="str">
        <x:v>Release</x:v>
      </x:c>
      <x:c r="L278" s="26" t="str">
        <x:v>Yes</x:v>
      </x:c>
      <x:c r="M278" s="26" t="str">
        <x:v>P1</x:v>
      </x:c>
      <x:c r="N278" s="26" t="str">
        <x:v>Production</x:v>
      </x:c>
      <x:c r="O278" s="26" t="str">
        <x:v>Production/QA</x:v>
      </x:c>
      <x:c r="P278" s="26" t="str">
        <x:v>NOT RUN</x:v>
      </x:c>
      <x:c r="Q278" s="26"/>
      <x:c r="R278" s="26"/>
      <x:c r="S278" s="26"/>
      <x:c r="T278" s="26"/>
      <x:c r="U278" s="26"/>
      <x:c r="V278" s="26"/>
      <x:c r="W278" s="26" t="n">
        <x:v>1</x:v>
      </x:c>
      <x:c r="X278" s="26" t="n">
        <x:v>0</x:v>
      </x:c>
      <x:c r="Y278" s="26" t="n">
        <x:v>1</x:v>
      </x:c>
      <x:c r="Z278" s="26" t="str">
        <x:v>PENDING</x:v>
      </x:c>
      <x:c r="AA278" s="26" t="str">
        <x:v>CHG-RC1-DOC-31</x:v>
      </x:c>
      <x:c r="AB278" s="26" t="str">
        <x:v>DEFINED / NOT EXECUTED</x:v>
      </x:c>
    </x:row>
    <x:row r="279" ht="30" customHeight="1">
      <x:c r="A279" s="26" t="str">
        <x:v>Release</x:v>
      </x:c>
      <x:c r="B279" s="26" t="str">
        <x:v>REL-GOV-009</x:v>
      </x:c>
      <x:c r="C279" s="26" t="str">
        <x:v>Producto, alcance y planificación</x:v>
      </x:c>
      <x:c r="D279" s="26" t="str">
        <x:v>Release readiness</x:v>
      </x:c>
      <x:c r="E279" s="26" t="str">
        <x:v>Los propietarios de producto, build, QA, Steam, legal, marketing y soporte están identificados.</x:v>
      </x:c>
      <x:c r="F279" s="26" t="str">
        <x:v>Completar RACI.</x:v>
      </x:c>
      <x:c r="G279" s="26" t="str">
        <x:v>Cumplimiento verificable antes del gate indicado.</x:v>
      </x:c>
      <x:c r="H279" s="26" t="str">
        <x:v>Release RACI.</x:v>
      </x:c>
      <x:c r="I279" s="26" t="str">
        <x:v>24_Steam_Publishing_Plan.md; 25_Post_Launch_and_Live_Operations_Plan.md; 28_Marketing_and_Communication_Plan.md</x:v>
      </x:c>
      <x:c r="J279" s="26" t="str">
        <x:v>Steam/Marketing/Roadmap historical v0.3–v0.6</x:v>
      </x:c>
      <x:c r="K279" s="26" t="str">
        <x:v>Release</x:v>
      </x:c>
      <x:c r="L279" s="26" t="str">
        <x:v>Yes</x:v>
      </x:c>
      <x:c r="M279" s="26" t="str">
        <x:v>P1</x:v>
      </x:c>
      <x:c r="N279" s="26" t="str">
        <x:v>Production</x:v>
      </x:c>
      <x:c r="O279" s="26" t="str">
        <x:v>Production/QA</x:v>
      </x:c>
      <x:c r="P279" s="26" t="str">
        <x:v>NOT RUN</x:v>
      </x:c>
      <x:c r="Q279" s="26"/>
      <x:c r="R279" s="26"/>
      <x:c r="S279" s="26"/>
      <x:c r="T279" s="26"/>
      <x:c r="U279" s="26"/>
      <x:c r="V279" s="26"/>
      <x:c r="W279" s="26" t="n">
        <x:v>1</x:v>
      </x:c>
      <x:c r="X279" s="26" t="n">
        <x:v>0</x:v>
      </x:c>
      <x:c r="Y279" s="26" t="n">
        <x:v>1</x:v>
      </x:c>
      <x:c r="Z279" s="26" t="str">
        <x:v>PENDING</x:v>
      </x:c>
      <x:c r="AA279" s="26" t="str">
        <x:v>CHG-RC1-DOC-31</x:v>
      </x:c>
      <x:c r="AB279" s="26" t="str">
        <x:v>DEFINED / NOT EXECUTED</x:v>
      </x:c>
    </x:row>
    <x:row r="280" ht="30" customHeight="1">
      <x:c r="A280" s="26" t="str">
        <x:v>Release</x:v>
      </x:c>
      <x:c r="B280" s="26" t="str">
        <x:v>REL-GOV-010</x:v>
      </x:c>
      <x:c r="C280" s="26" t="str">
        <x:v>Producto, alcance y planificación</x:v>
      </x:c>
      <x:c r="D280" s="26" t="str">
        <x:v>Release readiness</x:v>
      </x:c>
      <x:c r="E280" s="26" t="str">
        <x:v>Los riesgos críticos y dependencias externas tienen contingencia y fecha/trigger de revisión.</x:v>
      </x:c>
      <x:c r="F280" s="26" t="str">
        <x:v>Revisar risk/dependency log.</x:v>
      </x:c>
      <x:c r="G280" s="26" t="str">
        <x:v>Cumplimiento verificable antes del gate indicado.</x:v>
      </x:c>
      <x:c r="H280" s="26" t="str">
        <x:v>Critical risk review.</x:v>
      </x:c>
      <x:c r="I280" s="26" t="str">
        <x:v>24_Steam_Publishing_Plan.md; 25_Post_Launch_and_Live_Operations_Plan.md; 28_Marketing_and_Communication_Plan.md</x:v>
      </x:c>
      <x:c r="J280" s="26" t="str">
        <x:v>Steam/Marketing/Roadmap historical v0.3–v0.6</x:v>
      </x:c>
      <x:c r="K280" s="26" t="str">
        <x:v>Release</x:v>
      </x:c>
      <x:c r="L280" s="26" t="str">
        <x:v>Yes</x:v>
      </x:c>
      <x:c r="M280" s="26" t="str">
        <x:v>P1</x:v>
      </x:c>
      <x:c r="N280" s="26" t="str">
        <x:v>Production</x:v>
      </x:c>
      <x:c r="O280" s="26" t="str">
        <x:v>Production/QA</x:v>
      </x:c>
      <x:c r="P280" s="26" t="str">
        <x:v>NOT RUN</x:v>
      </x:c>
      <x:c r="Q280" s="26"/>
      <x:c r="R280" s="26"/>
      <x:c r="S280" s="26"/>
      <x:c r="T280" s="26"/>
      <x:c r="U280" s="26"/>
      <x:c r="V280" s="26"/>
      <x:c r="W280" s="26" t="n">
        <x:v>1</x:v>
      </x:c>
      <x:c r="X280" s="26" t="n">
        <x:v>0</x:v>
      </x:c>
      <x:c r="Y280" s="26" t="n">
        <x:v>1</x:v>
      </x:c>
      <x:c r="Z280" s="26" t="str">
        <x:v>PENDING</x:v>
      </x:c>
      <x:c r="AA280" s="26" t="str">
        <x:v>CHG-RC1-DOC-31</x:v>
      </x:c>
      <x:c r="AB280" s="26" t="str">
        <x:v>DEFINED / NOT EXECUTED</x:v>
      </x:c>
    </x:row>
    <x:row r="281" ht="30" customHeight="1">
      <x:c r="A281" s="26" t="str">
        <x:v>Release</x:v>
      </x:c>
      <x:c r="B281" s="26" t="str">
        <x:v>REL-STM-001</x:v>
      </x:c>
      <x:c r="C281" s="26" t="str">
        <x:v>Steamworks y cuenta</x:v>
      </x:c>
      <x:c r="D281" s="26" t="str">
        <x:v>Release readiness</x:v>
      </x:c>
      <x:c r="E281" s="26" t="str">
        <x:v>La cuenta Steamworks, organización y datos fiscales/bancarios están operativos y bajo acceso controlado.</x:v>
      </x:c>
      <x:c r="F281" s="26" t="str">
        <x:v>Revisar, ejecutar y registrar evidencia reproducible.</x:v>
      </x:c>
      <x:c r="G281" s="26" t="str">
        <x:v>Cumplimiento verificable antes del gate indicado.</x:v>
      </x:c>
      <x:c r="H281" s="26" t="str">
        <x:v>Steamworks onboarding signoff.</x:v>
      </x:c>
      <x:c r="I281" s="26" t="str">
        <x:v>24_Steam_Publishing_Plan.md; 26_Privacy_Data_and_Telemetry_Plan.md; 27_Security_and_Incident_Response_Plan.md</x:v>
      </x:c>
      <x:c r="J281" s="26" t="str">
        <x:v>Steam Publishing Plan v0.3–v0.5; historical build guides</x:v>
      </x:c>
      <x:c r="K281" s="26" t="str">
        <x:v>Release</x:v>
      </x:c>
      <x:c r="L281" s="26" t="str">
        <x:v>Yes</x:v>
      </x:c>
      <x:c r="M281" s="26" t="str">
        <x:v>P0</x:v>
      </x:c>
      <x:c r="N281" s="26" t="str">
        <x:v>Steam/Engineering</x:v>
      </x:c>
      <x:c r="O281" s="26" t="str">
        <x:v>Security/Production</x:v>
      </x:c>
      <x:c r="P281" s="26" t="str">
        <x:v>NOT RUN</x:v>
      </x:c>
      <x:c r="Q281" s="26"/>
      <x:c r="R281" s="26"/>
      <x:c r="S281" s="26"/>
      <x:c r="T281" s="26"/>
      <x:c r="U281" s="26"/>
      <x:c r="V281" s="26"/>
      <x:c r="W281" s="26" t="n">
        <x:v>1</x:v>
      </x:c>
      <x:c r="X281" s="26" t="n">
        <x:v>0</x:v>
      </x:c>
      <x:c r="Y281" s="26" t="n">
        <x:v>1</x:v>
      </x:c>
      <x:c r="Z281" s="26" t="str">
        <x:v>PENDING</x:v>
      </x:c>
      <x:c r="AA281" s="26" t="str">
        <x:v>CHG-RC1-DOC-31</x:v>
      </x:c>
      <x:c r="AB281" s="26" t="str">
        <x:v>DEFINED / NOT EXECUTED</x:v>
      </x:c>
    </x:row>
    <x:row r="282" ht="30" customHeight="1">
      <x:c r="A282" s="26" t="str">
        <x:v>Release</x:v>
      </x:c>
      <x:c r="B282" s="26" t="str">
        <x:v>REL-STM-002</x:v>
      </x:c>
      <x:c r="C282" s="26" t="str">
        <x:v>Steamworks y cuenta</x:v>
      </x:c>
      <x:c r="D282" s="26" t="str">
        <x:v>Release readiness</x:v>
      </x:c>
      <x:c r="E282" s="26" t="str">
        <x:v>El AppID y nombre interno están creados sin publicar un naming no autorizado.</x:v>
      </x:c>
      <x:c r="F282" s="26" t="str">
        <x:v>Revisar, ejecutar y registrar evidencia reproducible.</x:v>
      </x:c>
      <x:c r="G282" s="26" t="str">
        <x:v>Cumplimiento verificable antes del gate indicado.</x:v>
      </x:c>
      <x:c r="H282" s="26" t="str">
        <x:v>App record y naming approval.</x:v>
      </x:c>
      <x:c r="I282" s="26" t="str">
        <x:v>24_Steam_Publishing_Plan.md; 26_Privacy_Data_and_Telemetry_Plan.md; 27_Security_and_Incident_Response_Plan.md</x:v>
      </x:c>
      <x:c r="J282" s="26" t="str">
        <x:v>Steam Publishing Plan v0.3–v0.5; historical build guides</x:v>
      </x:c>
      <x:c r="K282" s="26" t="str">
        <x:v>Release</x:v>
      </x:c>
      <x:c r="L282" s="26" t="str">
        <x:v>Yes</x:v>
      </x:c>
      <x:c r="M282" s="26" t="str">
        <x:v>P1</x:v>
      </x:c>
      <x:c r="N282" s="26" t="str">
        <x:v>Steam/Engineering</x:v>
      </x:c>
      <x:c r="O282" s="26" t="str">
        <x:v>Security/Production</x:v>
      </x:c>
      <x:c r="P282" s="26" t="str">
        <x:v>NOT RUN</x:v>
      </x:c>
      <x:c r="Q282" s="26"/>
      <x:c r="R282" s="26"/>
      <x:c r="S282" s="26"/>
      <x:c r="T282" s="26"/>
      <x:c r="U282" s="26"/>
      <x:c r="V282" s="26"/>
      <x:c r="W282" s="26" t="n">
        <x:v>1</x:v>
      </x:c>
      <x:c r="X282" s="26" t="n">
        <x:v>0</x:v>
      </x:c>
      <x:c r="Y282" s="26" t="n">
        <x:v>1</x:v>
      </x:c>
      <x:c r="Z282" s="26" t="str">
        <x:v>PENDING</x:v>
      </x:c>
      <x:c r="AA282" s="26" t="str">
        <x:v>CHG-RC1-DOC-31</x:v>
      </x:c>
      <x:c r="AB282" s="26" t="str">
        <x:v>DEFINED / NOT EXECUTED</x:v>
      </x:c>
    </x:row>
    <x:row r="283" ht="30" customHeight="1">
      <x:c r="A283" s="26" t="str">
        <x:v>Release</x:v>
      </x:c>
      <x:c r="B283" s="26" t="str">
        <x:v>REL-STM-003</x:v>
      </x:c>
      <x:c r="C283" s="26" t="str">
        <x:v>Steamworks y cuenta</x:v>
      </x:c>
      <x:c r="D283" s="26" t="str">
        <x:v>Release readiness</x:v>
      </x:c>
      <x:c r="E283" s="26" t="str">
        <x:v>Roles y permisos de Steamworks aplican mínimo privilegio y MFA donde esté disponible.</x:v>
      </x:c>
      <x:c r="F283" s="26" t="str">
        <x:v>Revisar, ejecutar y registrar evidencia reproducible.</x:v>
      </x:c>
      <x:c r="G283" s="26" t="str">
        <x:v>Cumplimiento verificable antes del gate indicado.</x:v>
      </x:c>
      <x:c r="H283" s="26" t="str">
        <x:v>Access review.</x:v>
      </x:c>
      <x:c r="I283" s="26" t="str">
        <x:v>24_Steam_Publishing_Plan.md; 26_Privacy_Data_and_Telemetry_Plan.md; 27_Security_and_Incident_Response_Plan.md</x:v>
      </x:c>
      <x:c r="J283" s="26" t="str">
        <x:v>Steam Publishing Plan v0.3–v0.5; historical build guides</x:v>
      </x:c>
      <x:c r="K283" s="26" t="str">
        <x:v>Release</x:v>
      </x:c>
      <x:c r="L283" s="26" t="str">
        <x:v>Yes</x:v>
      </x:c>
      <x:c r="M283" s="26" t="str">
        <x:v>P1</x:v>
      </x:c>
      <x:c r="N283" s="26" t="str">
        <x:v>Steam/Engineering</x:v>
      </x:c>
      <x:c r="O283" s="26" t="str">
        <x:v>Security/Production</x:v>
      </x:c>
      <x:c r="P283" s="26" t="str">
        <x:v>NOT RUN</x:v>
      </x:c>
      <x:c r="Q283" s="26"/>
      <x:c r="R283" s="26"/>
      <x:c r="S283" s="26"/>
      <x:c r="T283" s="26"/>
      <x:c r="U283" s="26"/>
      <x:c r="V283" s="26"/>
      <x:c r="W283" s="26" t="n">
        <x:v>1</x:v>
      </x:c>
      <x:c r="X283" s="26" t="n">
        <x:v>0</x:v>
      </x:c>
      <x:c r="Y283" s="26" t="n">
        <x:v>1</x:v>
      </x:c>
      <x:c r="Z283" s="26" t="str">
        <x:v>PENDING</x:v>
      </x:c>
      <x:c r="AA283" s="26" t="str">
        <x:v>CHG-RC1-DOC-31</x:v>
      </x:c>
      <x:c r="AB283" s="26" t="str">
        <x:v>DEFINED / NOT EXECUTED</x:v>
      </x:c>
    </x:row>
    <x:row r="284" ht="30" customHeight="1">
      <x:c r="A284" s="26" t="str">
        <x:v>Release</x:v>
      </x:c>
      <x:c r="B284" s="26" t="str">
        <x:v>REL-STM-004</x:v>
      </x:c>
      <x:c r="C284" s="26" t="str">
        <x:v>Steamworks y cuenta</x:v>
      </x:c>
      <x:c r="D284" s="26" t="str">
        <x:v>Release readiness</x:v>
      </x:c>
      <x:c r="E284" s="26" t="str">
        <x:v>Los contactos de Valve y responsables internos están documentados.</x:v>
      </x:c>
      <x:c r="F284" s="26" t="str">
        <x:v>Revisar, ejecutar y registrar evidencia reproducible.</x:v>
      </x:c>
      <x:c r="G284" s="26" t="str">
        <x:v>Cumplimiento verificable antes del gate indicado.</x:v>
      </x:c>
      <x:c r="H284" s="26" t="str">
        <x:v>Contact register.</x:v>
      </x:c>
      <x:c r="I284" s="26" t="str">
        <x:v>24_Steam_Publishing_Plan.md; 26_Privacy_Data_and_Telemetry_Plan.md; 27_Security_and_Incident_Response_Plan.md</x:v>
      </x:c>
      <x:c r="J284" s="26" t="str">
        <x:v>Steam Publishing Plan v0.3–v0.5; historical build guides</x:v>
      </x:c>
      <x:c r="K284" s="26" t="str">
        <x:v>Release</x:v>
      </x:c>
      <x:c r="L284" s="26" t="str">
        <x:v>Yes</x:v>
      </x:c>
      <x:c r="M284" s="26" t="str">
        <x:v>P1</x:v>
      </x:c>
      <x:c r="N284" s="26" t="str">
        <x:v>Steam/Engineering</x:v>
      </x:c>
      <x:c r="O284" s="26" t="str">
        <x:v>Security/Production</x:v>
      </x:c>
      <x:c r="P284" s="26" t="str">
        <x:v>NOT RUN</x:v>
      </x:c>
      <x:c r="Q284" s="26"/>
      <x:c r="R284" s="26"/>
      <x:c r="S284" s="26"/>
      <x:c r="T284" s="26"/>
      <x:c r="U284" s="26"/>
      <x:c r="V284" s="26"/>
      <x:c r="W284" s="26" t="n">
        <x:v>1</x:v>
      </x:c>
      <x:c r="X284" s="26" t="n">
        <x:v>0</x:v>
      </x:c>
      <x:c r="Y284" s="26" t="n">
        <x:v>1</x:v>
      </x:c>
      <x:c r="Z284" s="26" t="str">
        <x:v>PENDING</x:v>
      </x:c>
      <x:c r="AA284" s="26" t="str">
        <x:v>CHG-RC1-DOC-31</x:v>
      </x:c>
      <x:c r="AB284" s="26" t="str">
        <x:v>DEFINED / NOT EXECUTED</x:v>
      </x:c>
    </x:row>
    <x:row r="285" ht="30" customHeight="1">
      <x:c r="A285" s="26" t="str">
        <x:v>Release</x:v>
      </x:c>
      <x:c r="B285" s="26" t="str">
        <x:v>REL-STM-005</x:v>
      </x:c>
      <x:c r="C285" s="26" t="str">
        <x:v>Steamworks y cuenta</x:v>
      </x:c>
      <x:c r="D285" s="26" t="str">
        <x:v>Release readiness</x:v>
      </x:c>
      <x:c r="E285" s="26" t="str">
        <x:v>Los SDK/redistributables necesarios están versionados y sus licencias revisadas.</x:v>
      </x:c>
      <x:c r="F285" s="26" t="str">
        <x:v>Revisar, ejecutar y registrar evidencia reproducible.</x:v>
      </x:c>
      <x:c r="G285" s="26" t="str">
        <x:v>Cumplimiento verificable antes del gate indicado.</x:v>
      </x:c>
      <x:c r="H285" s="26" t="str">
        <x:v>SDK manifest/legal review.</x:v>
      </x:c>
      <x:c r="I285" s="26" t="str">
        <x:v>24_Steam_Publishing_Plan.md; 26_Privacy_Data_and_Telemetry_Plan.md; 27_Security_and_Incident_Response_Plan.md</x:v>
      </x:c>
      <x:c r="J285" s="26" t="str">
        <x:v>Steam Publishing Plan v0.3–v0.5; historical build guides</x:v>
      </x:c>
      <x:c r="K285" s="26" t="str">
        <x:v>Release</x:v>
      </x:c>
      <x:c r="L285" s="26" t="str">
        <x:v>Yes</x:v>
      </x:c>
      <x:c r="M285" s="26" t="str">
        <x:v>P1</x:v>
      </x:c>
      <x:c r="N285" s="26" t="str">
        <x:v>Steam/Engineering</x:v>
      </x:c>
      <x:c r="O285" s="26" t="str">
        <x:v>Security/Production</x:v>
      </x:c>
      <x:c r="P285" s="26" t="str">
        <x:v>NOT RUN</x:v>
      </x:c>
      <x:c r="Q285" s="26"/>
      <x:c r="R285" s="26"/>
      <x:c r="S285" s="26"/>
      <x:c r="T285" s="26"/>
      <x:c r="U285" s="26"/>
      <x:c r="V285" s="26"/>
      <x:c r="W285" s="26" t="n">
        <x:v>1</x:v>
      </x:c>
      <x:c r="X285" s="26" t="n">
        <x:v>0</x:v>
      </x:c>
      <x:c r="Y285" s="26" t="n">
        <x:v>1</x:v>
      </x:c>
      <x:c r="Z285" s="26" t="str">
        <x:v>PENDING</x:v>
      </x:c>
      <x:c r="AA285" s="26" t="str">
        <x:v>CHG-RC1-DOC-31</x:v>
      </x:c>
      <x:c r="AB285" s="26" t="str">
        <x:v>DEFINED / NOT EXECUTED</x:v>
      </x:c>
    </x:row>
    <x:row r="286" ht="30" customHeight="1">
      <x:c r="A286" s="26" t="str">
        <x:v>Release</x:v>
      </x:c>
      <x:c r="B286" s="26" t="str">
        <x:v>REL-STM-006</x:v>
      </x:c>
      <x:c r="C286" s="26" t="str">
        <x:v>Steamworks y cuenta</x:v>
      </x:c>
      <x:c r="D286" s="26" t="str">
        <x:v>Release readiness</x:v>
      </x:c>
      <x:c r="E286" s="26" t="str">
        <x:v>La integración Steamworks está aislada y ofrece fallback/no-op cuando corresponde.</x:v>
      </x:c>
      <x:c r="F286" s="26" t="str">
        <x:v>Revisar, ejecutar y registrar evidencia reproducible.</x:v>
      </x:c>
      <x:c r="G286" s="26" t="str">
        <x:v>Cumplimiento verificable antes del gate indicado.</x:v>
      </x:c>
      <x:c r="H286" s="26" t="str">
        <x:v>Architecture/test record.</x:v>
      </x:c>
      <x:c r="I286" s="26" t="str">
        <x:v>24_Steam_Publishing_Plan.md; 26_Privacy_Data_and_Telemetry_Plan.md; 27_Security_and_Incident_Response_Plan.md</x:v>
      </x:c>
      <x:c r="J286" s="26" t="str">
        <x:v>Steam Publishing Plan v0.3–v0.5; historical build guides</x:v>
      </x:c>
      <x:c r="K286" s="26" t="str">
        <x:v>Release</x:v>
      </x:c>
      <x:c r="L286" s="26" t="str">
        <x:v>Yes</x:v>
      </x:c>
      <x:c r="M286" s="26" t="str">
        <x:v>P1</x:v>
      </x:c>
      <x:c r="N286" s="26" t="str">
        <x:v>Steam/Engineering</x:v>
      </x:c>
      <x:c r="O286" s="26" t="str">
        <x:v>Security/Production</x:v>
      </x:c>
      <x:c r="P286" s="26" t="str">
        <x:v>NOT RUN</x:v>
      </x:c>
      <x:c r="Q286" s="26"/>
      <x:c r="R286" s="26"/>
      <x:c r="S286" s="26"/>
      <x:c r="T286" s="26"/>
      <x:c r="U286" s="26"/>
      <x:c r="V286" s="26"/>
      <x:c r="W286" s="26" t="n">
        <x:v>1</x:v>
      </x:c>
      <x:c r="X286" s="26" t="n">
        <x:v>0</x:v>
      </x:c>
      <x:c r="Y286" s="26" t="n">
        <x:v>1</x:v>
      </x:c>
      <x:c r="Z286" s="26" t="str">
        <x:v>PENDING</x:v>
      </x:c>
      <x:c r="AA286" s="26" t="str">
        <x:v>CHG-RC1-DOC-31</x:v>
      </x:c>
      <x:c r="AB286" s="26" t="str">
        <x:v>DEFINED / NOT EXECUTED</x:v>
      </x:c>
    </x:row>
    <x:row r="287" ht="30" customHeight="1">
      <x:c r="A287" s="26" t="str">
        <x:v>Release</x:v>
      </x:c>
      <x:c r="B287" s="26" t="str">
        <x:v>REL-STM-007</x:v>
      </x:c>
      <x:c r="C287" s="26" t="str">
        <x:v>Steamworks y cuenta</x:v>
      </x:c>
      <x:c r="D287" s="26" t="str">
        <x:v>Release readiness</x:v>
      </x:c>
      <x:c r="E287" s="26" t="str">
        <x:v>La aplicación arranca correctamente desde Steam y directamente según soporte definido.</x:v>
      </x:c>
      <x:c r="F287" s="26" t="str">
        <x:v>Revisar, ejecutar y registrar evidencia reproducible.</x:v>
      </x:c>
      <x:c r="G287" s="26" t="str">
        <x:v>Cumplimiento verificable antes del gate indicado.</x:v>
      </x:c>
      <x:c r="H287" s="26" t="str">
        <x:v>Launch matrix.</x:v>
      </x:c>
      <x:c r="I287" s="26" t="str">
        <x:v>24_Steam_Publishing_Plan.md; 26_Privacy_Data_and_Telemetry_Plan.md; 27_Security_and_Incident_Response_Plan.md</x:v>
      </x:c>
      <x:c r="J287" s="26" t="str">
        <x:v>Steam Publishing Plan v0.3–v0.5; historical build guides</x:v>
      </x:c>
      <x:c r="K287" s="26" t="str">
        <x:v>Release</x:v>
      </x:c>
      <x:c r="L287" s="26" t="str">
        <x:v>Yes</x:v>
      </x:c>
      <x:c r="M287" s="26" t="str">
        <x:v>P1</x:v>
      </x:c>
      <x:c r="N287" s="26" t="str">
        <x:v>Steam/Engineering</x:v>
      </x:c>
      <x:c r="O287" s="26" t="str">
        <x:v>Security/Production</x:v>
      </x:c>
      <x:c r="P287" s="26" t="str">
        <x:v>NOT RUN</x:v>
      </x:c>
      <x:c r="Q287" s="26"/>
      <x:c r="R287" s="26"/>
      <x:c r="S287" s="26"/>
      <x:c r="T287" s="26"/>
      <x:c r="U287" s="26"/>
      <x:c r="V287" s="26"/>
      <x:c r="W287" s="26" t="n">
        <x:v>1</x:v>
      </x:c>
      <x:c r="X287" s="26" t="n">
        <x:v>0</x:v>
      </x:c>
      <x:c r="Y287" s="26" t="n">
        <x:v>1</x:v>
      </x:c>
      <x:c r="Z287" s="26" t="str">
        <x:v>PENDING</x:v>
      </x:c>
      <x:c r="AA287" s="26" t="str">
        <x:v>CHG-RC1-DOC-31</x:v>
      </x:c>
      <x:c r="AB287" s="26" t="str">
        <x:v>DEFINED / NOT EXECUTED</x:v>
      </x:c>
    </x:row>
    <x:row r="288" ht="30" customHeight="1">
      <x:c r="A288" s="26" t="str">
        <x:v>Release</x:v>
      </x:c>
      <x:c r="B288" s="26" t="str">
        <x:v>REL-STM-008</x:v>
      </x:c>
      <x:c r="C288" s="26" t="str">
        <x:v>Steamworks y cuenta</x:v>
      </x:c>
      <x:c r="D288" s="26" t="str">
        <x:v>Release readiness</x:v>
      </x:c>
      <x:c r="E288" s="26" t="str">
        <x:v>Overlay, achievements, cloud u otras funciones solo se habilitan si están implementadas y probadas.</x:v>
      </x:c>
      <x:c r="F288" s="26" t="str">
        <x:v>Revisar, ejecutar y registrar evidencia reproducible.</x:v>
      </x:c>
      <x:c r="G288" s="26" t="str">
        <x:v>Cumplimiento verificable antes del gate indicado.</x:v>
      </x:c>
      <x:c r="H288" s="26" t="str">
        <x:v>Steam feature matrix.</x:v>
      </x:c>
      <x:c r="I288" s="26" t="str">
        <x:v>24_Steam_Publishing_Plan.md; 26_Privacy_Data_and_Telemetry_Plan.md; 27_Security_and_Incident_Response_Plan.md</x:v>
      </x:c>
      <x:c r="J288" s="26" t="str">
        <x:v>Steam Publishing Plan v0.3–v0.5; historical build guides</x:v>
      </x:c>
      <x:c r="K288" s="26" t="str">
        <x:v>Release</x:v>
      </x:c>
      <x:c r="L288" s="26" t="str">
        <x:v>Yes</x:v>
      </x:c>
      <x:c r="M288" s="26" t="str">
        <x:v>P1</x:v>
      </x:c>
      <x:c r="N288" s="26" t="str">
        <x:v>Steam/Engineering</x:v>
      </x:c>
      <x:c r="O288" s="26" t="str">
        <x:v>Security/Production</x:v>
      </x:c>
      <x:c r="P288" s="26" t="str">
        <x:v>NOT RUN</x:v>
      </x:c>
      <x:c r="Q288" s="26"/>
      <x:c r="R288" s="26"/>
      <x:c r="S288" s="26"/>
      <x:c r="T288" s="26"/>
      <x:c r="U288" s="26"/>
      <x:c r="V288" s="26"/>
      <x:c r="W288" s="26" t="n">
        <x:v>1</x:v>
      </x:c>
      <x:c r="X288" s="26" t="n">
        <x:v>0</x:v>
      </x:c>
      <x:c r="Y288" s="26" t="n">
        <x:v>1</x:v>
      </x:c>
      <x:c r="Z288" s="26" t="str">
        <x:v>PENDING</x:v>
      </x:c>
      <x:c r="AA288" s="26" t="str">
        <x:v>CHG-RC1-DOC-31</x:v>
      </x:c>
      <x:c r="AB288" s="26" t="str">
        <x:v>DEFINED / NOT EXECUTED</x:v>
      </x:c>
    </x:row>
    <x:row r="289" ht="30" customHeight="1">
      <x:c r="A289" s="26" t="str">
        <x:v>Release</x:v>
      </x:c>
      <x:c r="B289" s="26" t="str">
        <x:v>REL-STM-009</x:v>
      </x:c>
      <x:c r="C289" s="26" t="str">
        <x:v>Steamworks y cuenta</x:v>
      </x:c>
      <x:c r="D289" s="26" t="str">
        <x:v>Release readiness</x:v>
      </x:c>
      <x:c r="E289" s="26" t="str">
        <x:v>Steam Cloud, si se activa, tiene conflictos, cuota, exclusiones y pruebas de corrupción definidos.</x:v>
      </x:c>
      <x:c r="F289" s="26" t="str">
        <x:v>Revisar, ejecutar y registrar evidencia reproducible.</x:v>
      </x:c>
      <x:c r="G289" s="26" t="str">
        <x:v>Cumplimiento verificable antes del gate indicado.</x:v>
      </x:c>
      <x:c r="H289" s="26" t="str">
        <x:v>Cloud test plan/report.</x:v>
      </x:c>
      <x:c r="I289" s="26" t="str">
        <x:v>24_Steam_Publishing_Plan.md; 26_Privacy_Data_and_Telemetry_Plan.md; 27_Security_and_Incident_Response_Plan.md</x:v>
      </x:c>
      <x:c r="J289" s="26" t="str">
        <x:v>Steam Publishing Plan v0.3–v0.5; historical build guides</x:v>
      </x:c>
      <x:c r="K289" s="26" t="str">
        <x:v>Release</x:v>
      </x:c>
      <x:c r="L289" s="26" t="str">
        <x:v>Yes</x:v>
      </x:c>
      <x:c r="M289" s="26" t="str">
        <x:v>P1</x:v>
      </x:c>
      <x:c r="N289" s="26" t="str">
        <x:v>Steam/Engineering</x:v>
      </x:c>
      <x:c r="O289" s="26" t="str">
        <x:v>Security/Production</x:v>
      </x:c>
      <x:c r="P289" s="26" t="str">
        <x:v>NOT RUN</x:v>
      </x:c>
      <x:c r="Q289" s="26"/>
      <x:c r="R289" s="26"/>
      <x:c r="S289" s="26"/>
      <x:c r="T289" s="26"/>
      <x:c r="U289" s="26"/>
      <x:c r="V289" s="26"/>
      <x:c r="W289" s="26" t="n">
        <x:v>1</x:v>
      </x:c>
      <x:c r="X289" s="26" t="n">
        <x:v>0</x:v>
      </x:c>
      <x:c r="Y289" s="26" t="n">
        <x:v>1</x:v>
      </x:c>
      <x:c r="Z289" s="26" t="str">
        <x:v>PENDING</x:v>
      </x:c>
      <x:c r="AA289" s="26" t="str">
        <x:v>CHG-RC1-DOC-31</x:v>
      </x:c>
      <x:c r="AB289" s="26" t="str">
        <x:v>DEFINED / NOT EXECUTED</x:v>
      </x:c>
    </x:row>
    <x:row r="290" ht="30" customHeight="1">
      <x:c r="A290" s="26" t="str">
        <x:v>Release</x:v>
      </x:c>
      <x:c r="B290" s="26" t="str">
        <x:v>REL-STM-010</x:v>
      </x:c>
      <x:c r="C290" s="26" t="str">
        <x:v>Steamworks y cuenta</x:v>
      </x:c>
      <x:c r="D290" s="26" t="str">
        <x:v>Release readiness</x:v>
      </x:c>
      <x:c r="E290" s="26" t="str">
        <x:v>Los logros, si existen, no revelan contenido no anunciado y funcionan offline/online según diseño.</x:v>
      </x:c>
      <x:c r="F290" s="26" t="str">
        <x:v>Revisar, ejecutar y registrar evidencia reproducible.</x:v>
      </x:c>
      <x:c r="G290" s="26" t="str">
        <x:v>Cumplimiento verificable antes del gate indicado.</x:v>
      </x:c>
      <x:c r="H290" s="26" t="str">
        <x:v>Achievement QA report.</x:v>
      </x:c>
      <x:c r="I290" s="26" t="str">
        <x:v>24_Steam_Publishing_Plan.md; 26_Privacy_Data_and_Telemetry_Plan.md; 27_Security_and_Incident_Response_Plan.md</x:v>
      </x:c>
      <x:c r="J290" s="26" t="str">
        <x:v>Steam Publishing Plan v0.3–v0.5; historical build guides</x:v>
      </x:c>
      <x:c r="K290" s="26" t="str">
        <x:v>Release</x:v>
      </x:c>
      <x:c r="L290" s="26" t="str">
        <x:v>Yes</x:v>
      </x:c>
      <x:c r="M290" s="26" t="str">
        <x:v>P1</x:v>
      </x:c>
      <x:c r="N290" s="26" t="str">
        <x:v>Steam/Engineering</x:v>
      </x:c>
      <x:c r="O290" s="26" t="str">
        <x:v>Security/Production</x:v>
      </x:c>
      <x:c r="P290" s="26" t="str">
        <x:v>NOT RUN</x:v>
      </x:c>
      <x:c r="Q290" s="26"/>
      <x:c r="R290" s="26"/>
      <x:c r="S290" s="26"/>
      <x:c r="T290" s="26"/>
      <x:c r="U290" s="26"/>
      <x:c r="V290" s="26"/>
      <x:c r="W290" s="26" t="n">
        <x:v>1</x:v>
      </x:c>
      <x:c r="X290" s="26" t="n">
        <x:v>0</x:v>
      </x:c>
      <x:c r="Y290" s="26" t="n">
        <x:v>1</x:v>
      </x:c>
      <x:c r="Z290" s="26" t="str">
        <x:v>PENDING</x:v>
      </x:c>
      <x:c r="AA290" s="26" t="str">
        <x:v>CHG-RC1-DOC-31</x:v>
      </x:c>
      <x:c r="AB290" s="26" t="str">
        <x:v>DEFINED / NOT EXECUTED</x:v>
      </x:c>
    </x:row>
    <x:row r="291" ht="30" customHeight="1">
      <x:c r="A291" s="26" t="str">
        <x:v>Release</x:v>
      </x:c>
      <x:c r="B291" s="26" t="str">
        <x:v>REL-STM-011</x:v>
      </x:c>
      <x:c r="C291" s="26" t="str">
        <x:v>Steamworks y cuenta</x:v>
      </x:c>
      <x:c r="D291" s="26" t="str">
        <x:v>Release readiness</x:v>
      </x:c>
      <x:c r="E291" s="26" t="str">
        <x:v>Los redistributables y requisitos de runtime se instalan correctamente.</x:v>
      </x:c>
      <x:c r="F291" s="26" t="str">
        <x:v>Revisar, ejecutar y registrar evidencia reproducible.</x:v>
      </x:c>
      <x:c r="G291" s="26" t="str">
        <x:v>Cumplimiento verificable antes del gate indicado.</x:v>
      </x:c>
      <x:c r="H291" s="26" t="str">
        <x:v>Fresh machine install record.</x:v>
      </x:c>
      <x:c r="I291" s="26" t="str">
        <x:v>24_Steam_Publishing_Plan.md; 26_Privacy_Data_and_Telemetry_Plan.md; 27_Security_and_Incident_Response_Plan.md</x:v>
      </x:c>
      <x:c r="J291" s="26" t="str">
        <x:v>Steam Publishing Plan v0.3–v0.5; historical build guides</x:v>
      </x:c>
      <x:c r="K291" s="26" t="str">
        <x:v>Release</x:v>
      </x:c>
      <x:c r="L291" s="26" t="str">
        <x:v>Yes</x:v>
      </x:c>
      <x:c r="M291" s="26" t="str">
        <x:v>P1</x:v>
      </x:c>
      <x:c r="N291" s="26" t="str">
        <x:v>Steam/Engineering</x:v>
      </x:c>
      <x:c r="O291" s="26" t="str">
        <x:v>Security/Production</x:v>
      </x:c>
      <x:c r="P291" s="26" t="str">
        <x:v>NOT RUN</x:v>
      </x:c>
      <x:c r="Q291" s="26"/>
      <x:c r="R291" s="26"/>
      <x:c r="S291" s="26"/>
      <x:c r="T291" s="26"/>
      <x:c r="U291" s="26"/>
      <x:c r="V291" s="26"/>
      <x:c r="W291" s="26" t="n">
        <x:v>1</x:v>
      </x:c>
      <x:c r="X291" s="26" t="n">
        <x:v>0</x:v>
      </x:c>
      <x:c r="Y291" s="26" t="n">
        <x:v>1</x:v>
      </x:c>
      <x:c r="Z291" s="26" t="str">
        <x:v>PENDING</x:v>
      </x:c>
      <x:c r="AA291" s="26" t="str">
        <x:v>CHG-RC1-DOC-31</x:v>
      </x:c>
      <x:c r="AB291" s="26" t="str">
        <x:v>DEFINED / NOT EXECUTED</x:v>
      </x:c>
    </x:row>
    <x:row r="292" ht="30" customHeight="1">
      <x:c r="A292" s="26" t="str">
        <x:v>Release</x:v>
      </x:c>
      <x:c r="B292" s="26" t="str">
        <x:v>REL-STM-012</x:v>
      </x:c>
      <x:c r="C292" s="26" t="str">
        <x:v>Steamworks y cuenta</x:v>
      </x:c>
      <x:c r="D292" s="26" t="str">
        <x:v>Release readiness</x:v>
      </x:c>
      <x:c r="E292" s="26" t="str">
        <x:v>La configuración de OS soportados y arquitectura coincide con las builds probadas.</x:v>
      </x:c>
      <x:c r="F292" s="26" t="str">
        <x:v>Revisar, ejecutar y registrar evidencia reproducible.</x:v>
      </x:c>
      <x:c r="G292" s="26" t="str">
        <x:v>Cumplimiento verificable antes del gate indicado.</x:v>
      </x:c>
      <x:c r="H292" s="26" t="str">
        <x:v>Platform support matrix.</x:v>
      </x:c>
      <x:c r="I292" s="26" t="str">
        <x:v>24_Steam_Publishing_Plan.md; 26_Privacy_Data_and_Telemetry_Plan.md; 27_Security_and_Incident_Response_Plan.md</x:v>
      </x:c>
      <x:c r="J292" s="26" t="str">
        <x:v>Steam Publishing Plan v0.3–v0.5; historical build guides</x:v>
      </x:c>
      <x:c r="K292" s="26" t="str">
        <x:v>Release</x:v>
      </x:c>
      <x:c r="L292" s="26" t="str">
        <x:v>Yes</x:v>
      </x:c>
      <x:c r="M292" s="26" t="str">
        <x:v>P1</x:v>
      </x:c>
      <x:c r="N292" s="26" t="str">
        <x:v>Steam/Engineering</x:v>
      </x:c>
      <x:c r="O292" s="26" t="str">
        <x:v>Security/Production</x:v>
      </x:c>
      <x:c r="P292" s="26" t="str">
        <x:v>NOT RUN</x:v>
      </x:c>
      <x:c r="Q292" s="26"/>
      <x:c r="R292" s="26"/>
      <x:c r="S292" s="26"/>
      <x:c r="T292" s="26"/>
      <x:c r="U292" s="26"/>
      <x:c r="V292" s="26"/>
      <x:c r="W292" s="26" t="n">
        <x:v>1</x:v>
      </x:c>
      <x:c r="X292" s="26" t="n">
        <x:v>0</x:v>
      </x:c>
      <x:c r="Y292" s="26" t="n">
        <x:v>1</x:v>
      </x:c>
      <x:c r="Z292" s="26" t="str">
        <x:v>PENDING</x:v>
      </x:c>
      <x:c r="AA292" s="26" t="str">
        <x:v>CHG-RC1-DOC-31</x:v>
      </x:c>
      <x:c r="AB292" s="26" t="str">
        <x:v>DEFINED / NOT EXECUTED</x:v>
      </x:c>
    </x:row>
    <x:row r="293" ht="30" customHeight="1">
      <x:c r="A293" s="26" t="str">
        <x:v>Release</x:v>
      </x:c>
      <x:c r="B293" s="26" t="str">
        <x:v>REL-STM-013</x:v>
      </x:c>
      <x:c r="C293" s="26" t="str">
        <x:v>Steamworks y cuenta</x:v>
      </x:c>
      <x:c r="D293" s="26" t="str">
        <x:v>Release readiness</x:v>
      </x:c>
      <x:c r="E293" s="26" t="str">
        <x:v>La integración no introduce una dependencia justo antes del gate sin regresión completa.</x:v>
      </x:c>
      <x:c r="F293" s="26" t="str">
        <x:v>Revisar, ejecutar y registrar evidencia reproducible.</x:v>
      </x:c>
      <x:c r="G293" s="26" t="str">
        <x:v>Cumplimiento verificable antes del gate indicado.</x:v>
      </x:c>
      <x:c r="H293" s="26" t="str">
        <x:v>Dependency change record.</x:v>
      </x:c>
      <x:c r="I293" s="26" t="str">
        <x:v>24_Steam_Publishing_Plan.md; 26_Privacy_Data_and_Telemetry_Plan.md; 27_Security_and_Incident_Response_Plan.md</x:v>
      </x:c>
      <x:c r="J293" s="26" t="str">
        <x:v>Steam Publishing Plan v0.3–v0.5; historical build guides</x:v>
      </x:c>
      <x:c r="K293" s="26" t="str">
        <x:v>Release</x:v>
      </x:c>
      <x:c r="L293" s="26" t="str">
        <x:v>Yes</x:v>
      </x:c>
      <x:c r="M293" s="26" t="str">
        <x:v>P1</x:v>
      </x:c>
      <x:c r="N293" s="26" t="str">
        <x:v>Steam/Engineering</x:v>
      </x:c>
      <x:c r="O293" s="26" t="str">
        <x:v>Security/Production</x:v>
      </x:c>
      <x:c r="P293" s="26" t="str">
        <x:v>NOT RUN</x:v>
      </x:c>
      <x:c r="Q293" s="26"/>
      <x:c r="R293" s="26"/>
      <x:c r="S293" s="26"/>
      <x:c r="T293" s="26"/>
      <x:c r="U293" s="26"/>
      <x:c r="V293" s="26"/>
      <x:c r="W293" s="26" t="n">
        <x:v>1</x:v>
      </x:c>
      <x:c r="X293" s="26" t="n">
        <x:v>0</x:v>
      </x:c>
      <x:c r="Y293" s="26" t="n">
        <x:v>1</x:v>
      </x:c>
      <x:c r="Z293" s="26" t="str">
        <x:v>PENDING</x:v>
      </x:c>
      <x:c r="AA293" s="26" t="str">
        <x:v>CHG-RC1-DOC-31</x:v>
      </x:c>
      <x:c r="AB293" s="26" t="str">
        <x:v>DEFINED / NOT EXECUTED</x:v>
      </x:c>
    </x:row>
    <x:row r="294" ht="30" customHeight="1">
      <x:c r="A294" s="26" t="str">
        <x:v>Release</x:v>
      </x:c>
      <x:c r="B294" s="26" t="str">
        <x:v>REL-STM-014</x:v>
      </x:c>
      <x:c r="C294" s="26" t="str">
        <x:v>Steamworks y cuenta</x:v>
      </x:c>
      <x:c r="D294" s="26" t="str">
        <x:v>Release readiness</x:v>
      </x:c>
      <x:c r="E294" s="26" t="str">
        <x:v>Los datos/estadísticas Steam usados cumplen privacidad y propósito declarado.</x:v>
      </x:c>
      <x:c r="F294" s="26" t="str">
        <x:v>Revisar, ejecutar y registrar evidencia reproducible.</x:v>
      </x:c>
      <x:c r="G294" s="26" t="str">
        <x:v>Cumplimiento verificable antes del gate indicado.</x:v>
      </x:c>
      <x:c r="H294" s="26" t="str">
        <x:v>Data inventory update.</x:v>
      </x:c>
      <x:c r="I294" s="26" t="str">
        <x:v>24_Steam_Publishing_Plan.md; 26_Privacy_Data_and_Telemetry_Plan.md; 27_Security_and_Incident_Response_Plan.md</x:v>
      </x:c>
      <x:c r="J294" s="26" t="str">
        <x:v>Steam Publishing Plan v0.3–v0.5; historical build guides</x:v>
      </x:c>
      <x:c r="K294" s="26" t="str">
        <x:v>Release</x:v>
      </x:c>
      <x:c r="L294" s="26" t="str">
        <x:v>Yes</x:v>
      </x:c>
      <x:c r="M294" s="26" t="str">
        <x:v>P1</x:v>
      </x:c>
      <x:c r="N294" s="26" t="str">
        <x:v>Steam/Engineering</x:v>
      </x:c>
      <x:c r="O294" s="26" t="str">
        <x:v>Security/Production</x:v>
      </x:c>
      <x:c r="P294" s="26" t="str">
        <x:v>NOT RUN</x:v>
      </x:c>
      <x:c r="Q294" s="26"/>
      <x:c r="R294" s="26"/>
      <x:c r="S294" s="26"/>
      <x:c r="T294" s="26"/>
      <x:c r="U294" s="26"/>
      <x:c r="V294" s="26"/>
      <x:c r="W294" s="26" t="n">
        <x:v>1</x:v>
      </x:c>
      <x:c r="X294" s="26" t="n">
        <x:v>0</x:v>
      </x:c>
      <x:c r="Y294" s="26" t="n">
        <x:v>1</x:v>
      </x:c>
      <x:c r="Z294" s="26" t="str">
        <x:v>PENDING</x:v>
      </x:c>
      <x:c r="AA294" s="26" t="str">
        <x:v>CHG-RC1-DOC-31</x:v>
      </x:c>
      <x:c r="AB294" s="26" t="str">
        <x:v>DEFINED / NOT EXECUTED</x:v>
      </x:c>
    </x:row>
    <x:row r="295" ht="30" customHeight="1">
      <x:c r="A295" s="26" t="str">
        <x:v>Release</x:v>
      </x:c>
      <x:c r="B295" s="26" t="str">
        <x:v>REL-STM-015</x:v>
      </x:c>
      <x:c r="C295" s="26" t="str">
        <x:v>Steamworks y cuenta</x:v>
      </x:c>
      <x:c r="D295" s="26" t="str">
        <x:v>Release readiness</x:v>
      </x:c>
      <x:c r="E295" s="26" t="str">
        <x:v>No se exponen claves de publisher, depot o credenciales en repositorio/CI.</x:v>
      </x:c>
      <x:c r="F295" s="26" t="str">
        <x:v>Revisar, ejecutar y registrar evidencia reproducible.</x:v>
      </x:c>
      <x:c r="G295" s="26" t="str">
        <x:v>Cumplimiento verificable antes del gate indicado.</x:v>
      </x:c>
      <x:c r="H295" s="26" t="str">
        <x:v>Secrets scan.</x:v>
      </x:c>
      <x:c r="I295" s="26" t="str">
        <x:v>24_Steam_Publishing_Plan.md; 26_Privacy_Data_and_Telemetry_Plan.md; 27_Security_and_Incident_Response_Plan.md</x:v>
      </x:c>
      <x:c r="J295" s="26" t="str">
        <x:v>Steam Publishing Plan v0.3–v0.5; historical build guides</x:v>
      </x:c>
      <x:c r="K295" s="26" t="str">
        <x:v>Release</x:v>
      </x:c>
      <x:c r="L295" s="26" t="str">
        <x:v>Yes</x:v>
      </x:c>
      <x:c r="M295" s="26" t="str">
        <x:v>P1</x:v>
      </x:c>
      <x:c r="N295" s="26" t="str">
        <x:v>Steam/Engineering</x:v>
      </x:c>
      <x:c r="O295" s="26" t="str">
        <x:v>Security/Production</x:v>
      </x:c>
      <x:c r="P295" s="26" t="str">
        <x:v>NOT RUN</x:v>
      </x:c>
      <x:c r="Q295" s="26"/>
      <x:c r="R295" s="26"/>
      <x:c r="S295" s="26"/>
      <x:c r="T295" s="26"/>
      <x:c r="U295" s="26"/>
      <x:c r="V295" s="26"/>
      <x:c r="W295" s="26" t="n">
        <x:v>1</x:v>
      </x:c>
      <x:c r="X295" s="26" t="n">
        <x:v>0</x:v>
      </x:c>
      <x:c r="Y295" s="26" t="n">
        <x:v>1</x:v>
      </x:c>
      <x:c r="Z295" s="26" t="str">
        <x:v>PENDING</x:v>
      </x:c>
      <x:c r="AA295" s="26" t="str">
        <x:v>CHG-RC1-DOC-31</x:v>
      </x:c>
      <x:c r="AB295" s="26" t="str">
        <x:v>DEFINED / NOT EXECUTED</x:v>
      </x:c>
    </x:row>
    <x:row r="296" ht="30" customHeight="1">
      <x:c r="A296" s="26" t="str">
        <x:v>Release</x:v>
      </x:c>
      <x:c r="B296" s="26" t="str">
        <x:v>REL-STORE-001</x:v>
      </x:c>
      <x:c r="C296" s="26" t="str">
        <x:v>Página de tienda y contenido público</x:v>
      </x:c>
      <x:c r="D296" s="26" t="str">
        <x:v>Release readiness</x:v>
      </x:c>
      <x:c r="E296" s="26" t="str">
        <x:v>El nombre comercial y del estudio tienen clearance suficiente para publicación.</x:v>
      </x:c>
      <x:c r="F296" s="26" t="str">
        <x:v>Revisar, ejecutar y registrar evidencia reproducible.</x:v>
      </x:c>
      <x:c r="G296" s="26" t="str">
        <x:v>Cumplimiento verificable antes del gate indicado.</x:v>
      </x:c>
      <x:c r="H296" s="26" t="str">
        <x:v>Naming clearance.</x:v>
      </x:c>
      <x:c r="I296" s="26" t="str">
        <x:v>24_Steam_Publishing_Plan.md; 28_Marketing_and_Communication_Plan.md; 29_Accessibility_and_Inclusive_Design_Plan.md</x:v>
      </x:c>
      <x:c r="J296" s="26" t="str">
        <x:v>Steam/Marketing/Localization plans v0.3–v0.5</x:v>
      </x:c>
      <x:c r="K296" s="26" t="str">
        <x:v>Release</x:v>
      </x:c>
      <x:c r="L296" s="26" t="str">
        <x:v>Yes</x:v>
      </x:c>
      <x:c r="M296" s="26" t="str">
        <x:v>P0</x:v>
      </x:c>
      <x:c r="N296" s="26" t="str">
        <x:v>Marketing/Steam</x:v>
      </x:c>
      <x:c r="O296" s="26" t="str">
        <x:v>Product/Legal/LQA</x:v>
      </x:c>
      <x:c r="P296" s="26" t="str">
        <x:v>NOT RUN</x:v>
      </x:c>
      <x:c r="Q296" s="26"/>
      <x:c r="R296" s="26"/>
      <x:c r="S296" s="26"/>
      <x:c r="T296" s="26"/>
      <x:c r="U296" s="26"/>
      <x:c r="V296" s="26"/>
      <x:c r="W296" s="26" t="n">
        <x:v>1</x:v>
      </x:c>
      <x:c r="X296" s="26" t="n">
        <x:v>0</x:v>
      </x:c>
      <x:c r="Y296" s="26" t="n">
        <x:v>1</x:v>
      </x:c>
      <x:c r="Z296" s="26" t="str">
        <x:v>PENDING</x:v>
      </x:c>
      <x:c r="AA296" s="26" t="str">
        <x:v>CHG-RC1-DOC-31</x:v>
      </x:c>
      <x:c r="AB296" s="26" t="str">
        <x:v>DEFINED / NOT EXECUTED</x:v>
      </x:c>
    </x:row>
    <x:row r="297" ht="30" customHeight="1">
      <x:c r="A297" s="26" t="str">
        <x:v>Release</x:v>
      </x:c>
      <x:c r="B297" s="26" t="str">
        <x:v>REL-STORE-002</x:v>
      </x:c>
      <x:c r="C297" s="26" t="str">
        <x:v>Página de tienda y contenido público</x:v>
      </x:c>
      <x:c r="D297" s="26" t="str">
        <x:v>Release readiness</x:v>
      </x:c>
      <x:c r="E297" s="26" t="str">
        <x:v>La descripción corta comunica la fantasía y alcance real sin claims no demostrados.</x:v>
      </x:c>
      <x:c r="F297" s="26" t="str">
        <x:v>Revisar, ejecutar y registrar evidencia reproducible.</x:v>
      </x:c>
      <x:c r="G297" s="26" t="str">
        <x:v>Cumplimiento verificable antes del gate indicado.</x:v>
      </x:c>
      <x:c r="H297" s="26" t="str">
        <x:v>Approved short description.</x:v>
      </x:c>
      <x:c r="I297" s="26" t="str">
        <x:v>24_Steam_Publishing_Plan.md; 28_Marketing_and_Communication_Plan.md; 29_Accessibility_and_Inclusive_Design_Plan.md</x:v>
      </x:c>
      <x:c r="J297" s="26" t="str">
        <x:v>Steam/Marketing/Localization plans v0.3–v0.5</x:v>
      </x:c>
      <x:c r="K297" s="26" t="str">
        <x:v>Release</x:v>
      </x:c>
      <x:c r="L297" s="26" t="str">
        <x:v>Yes</x:v>
      </x:c>
      <x:c r="M297" s="26" t="str">
        <x:v>P1</x:v>
      </x:c>
      <x:c r="N297" s="26" t="str">
        <x:v>Marketing/Steam</x:v>
      </x:c>
      <x:c r="O297" s="26" t="str">
        <x:v>Product/Legal/LQA</x:v>
      </x:c>
      <x:c r="P297" s="26" t="str">
        <x:v>NOT RUN</x:v>
      </x:c>
      <x:c r="Q297" s="26"/>
      <x:c r="R297" s="26"/>
      <x:c r="S297" s="26"/>
      <x:c r="T297" s="26"/>
      <x:c r="U297" s="26"/>
      <x:c r="V297" s="26"/>
      <x:c r="W297" s="26" t="n">
        <x:v>1</x:v>
      </x:c>
      <x:c r="X297" s="26" t="n">
        <x:v>0</x:v>
      </x:c>
      <x:c r="Y297" s="26" t="n">
        <x:v>1</x:v>
      </x:c>
      <x:c r="Z297" s="26" t="str">
        <x:v>PENDING</x:v>
      </x:c>
      <x:c r="AA297" s="26" t="str">
        <x:v>CHG-RC1-DOC-31</x:v>
      </x:c>
      <x:c r="AB297" s="26" t="str">
        <x:v>DEFINED / NOT EXECUTED</x:v>
      </x:c>
    </x:row>
    <x:row r="298" ht="30" customHeight="1">
      <x:c r="A298" s="26" t="str">
        <x:v>Release</x:v>
      </x:c>
      <x:c r="B298" s="26" t="str">
        <x:v>REL-STORE-003</x:v>
      </x:c>
      <x:c r="C298" s="26" t="str">
        <x:v>Página de tienda y contenido público</x:v>
      </x:c>
      <x:c r="D298" s="26" t="str">
        <x:v>Release readiness</x:v>
      </x:c>
      <x:c r="E298" s="26" t="str">
        <x:v>La descripción larga, features y FAQ coinciden con la build y roadmap aprobado.</x:v>
      </x:c>
      <x:c r="F298" s="26" t="str">
        <x:v>Revisar, ejecutar y registrar evidencia reproducible.</x:v>
      </x:c>
      <x:c r="G298" s="26" t="str">
        <x:v>Cumplimiento verificable antes del gate indicado.</x:v>
      </x:c>
      <x:c r="H298" s="26" t="str">
        <x:v>Claims matrix.</x:v>
      </x:c>
      <x:c r="I298" s="26" t="str">
        <x:v>24_Steam_Publishing_Plan.md; 28_Marketing_and_Communication_Plan.md; 29_Accessibility_and_Inclusive_Design_Plan.md</x:v>
      </x:c>
      <x:c r="J298" s="26" t="str">
        <x:v>Steam/Marketing/Localization plans v0.3–v0.5</x:v>
      </x:c>
      <x:c r="K298" s="26" t="str">
        <x:v>Release</x:v>
      </x:c>
      <x:c r="L298" s="26" t="str">
        <x:v>Yes</x:v>
      </x:c>
      <x:c r="M298" s="26" t="str">
        <x:v>P1</x:v>
      </x:c>
      <x:c r="N298" s="26" t="str">
        <x:v>Marketing/Steam</x:v>
      </x:c>
      <x:c r="O298" s="26" t="str">
        <x:v>Product/Legal/LQA</x:v>
      </x:c>
      <x:c r="P298" s="26" t="str">
        <x:v>NOT RUN</x:v>
      </x:c>
      <x:c r="Q298" s="26"/>
      <x:c r="R298" s="26"/>
      <x:c r="S298" s="26"/>
      <x:c r="T298" s="26"/>
      <x:c r="U298" s="26"/>
      <x:c r="V298" s="26"/>
      <x:c r="W298" s="26" t="n">
        <x:v>1</x:v>
      </x:c>
      <x:c r="X298" s="26" t="n">
        <x:v>0</x:v>
      </x:c>
      <x:c r="Y298" s="26" t="n">
        <x:v>1</x:v>
      </x:c>
      <x:c r="Z298" s="26" t="str">
        <x:v>PENDING</x:v>
      </x:c>
      <x:c r="AA298" s="26" t="str">
        <x:v>CHG-RC1-DOC-31</x:v>
      </x:c>
      <x:c r="AB298" s="26" t="str">
        <x:v>DEFINED / NOT EXECUTED</x:v>
      </x:c>
    </x:row>
    <x:row r="299" ht="30" customHeight="1">
      <x:c r="A299" s="26" t="str">
        <x:v>Release</x:v>
      </x:c>
      <x:c r="B299" s="26" t="str">
        <x:v>REL-STORE-004</x:v>
      </x:c>
      <x:c r="C299" s="26" t="str">
        <x:v>Página de tienda y contenido público</x:v>
      </x:c>
      <x:c r="D299" s="26" t="str">
        <x:v>Release readiness</x:v>
      </x:c>
      <x:c r="E299" s="26" t="str">
        <x:v>Las categorías, tags y géneros no inducen a error sobre el producto.</x:v>
      </x:c>
      <x:c r="F299" s="26" t="str">
        <x:v>Revisar, ejecutar y registrar evidencia reproducible.</x:v>
      </x:c>
      <x:c r="G299" s="26" t="str">
        <x:v>Cumplimiento verificable antes del gate indicado.</x:v>
      </x:c>
      <x:c r="H299" s="26" t="str">
        <x:v>Store taxonomy review.</x:v>
      </x:c>
      <x:c r="I299" s="26" t="str">
        <x:v>24_Steam_Publishing_Plan.md; 28_Marketing_and_Communication_Plan.md; 29_Accessibility_and_Inclusive_Design_Plan.md</x:v>
      </x:c>
      <x:c r="J299" s="26" t="str">
        <x:v>Steam/Marketing/Localization plans v0.3–v0.5</x:v>
      </x:c>
      <x:c r="K299" s="26" t="str">
        <x:v>Release</x:v>
      </x:c>
      <x:c r="L299" s="26" t="str">
        <x:v>Yes</x:v>
      </x:c>
      <x:c r="M299" s="26" t="str">
        <x:v>P1</x:v>
      </x:c>
      <x:c r="N299" s="26" t="str">
        <x:v>Marketing/Steam</x:v>
      </x:c>
      <x:c r="O299" s="26" t="str">
        <x:v>Product/Legal/LQA</x:v>
      </x:c>
      <x:c r="P299" s="26" t="str">
        <x:v>NOT RUN</x:v>
      </x:c>
      <x:c r="Q299" s="26"/>
      <x:c r="R299" s="26"/>
      <x:c r="S299" s="26"/>
      <x:c r="T299" s="26"/>
      <x:c r="U299" s="26"/>
      <x:c r="V299" s="26"/>
      <x:c r="W299" s="26" t="n">
        <x:v>1</x:v>
      </x:c>
      <x:c r="X299" s="26" t="n">
        <x:v>0</x:v>
      </x:c>
      <x:c r="Y299" s="26" t="n">
        <x:v>1</x:v>
      </x:c>
      <x:c r="Z299" s="26" t="str">
        <x:v>PENDING</x:v>
      </x:c>
      <x:c r="AA299" s="26" t="str">
        <x:v>CHG-RC1-DOC-31</x:v>
      </x:c>
      <x:c r="AB299" s="26" t="str">
        <x:v>DEFINED / NOT EXECUTED</x:v>
      </x:c>
    </x:row>
    <x:row r="300" ht="30" customHeight="1">
      <x:c r="A300" s="26" t="str">
        <x:v>Release</x:v>
      </x:c>
      <x:c r="B300" s="26" t="str">
        <x:v>REL-STORE-005</x:v>
      </x:c>
      <x:c r="C300" s="26" t="str">
        <x:v>Página de tienda y contenido público</x:v>
      </x:c>
      <x:c r="D300" s="26" t="str">
        <x:v>Release readiness</x:v>
      </x:c>
      <x:c r="E300" s="26" t="str">
        <x:v>Las cápsulas cumplen tamaños, legibilidad, branding y licencias.</x:v>
      </x:c>
      <x:c r="F300" s="26" t="str">
        <x:v>Revisar, ejecutar y registrar evidencia reproducible.</x:v>
      </x:c>
      <x:c r="G300" s="26" t="str">
        <x:v>Cumplimiento verificable antes del gate indicado.</x:v>
      </x:c>
      <x:c r="H300" s="26" t="str">
        <x:v>Capsule asset checklist.</x:v>
      </x:c>
      <x:c r="I300" s="26" t="str">
        <x:v>24_Steam_Publishing_Plan.md; 28_Marketing_and_Communication_Plan.md; 29_Accessibility_and_Inclusive_Design_Plan.md</x:v>
      </x:c>
      <x:c r="J300" s="26" t="str">
        <x:v>Steam/Marketing/Localization plans v0.3–v0.5</x:v>
      </x:c>
      <x:c r="K300" s="26" t="str">
        <x:v>Release</x:v>
      </x:c>
      <x:c r="L300" s="26" t="str">
        <x:v>Yes</x:v>
      </x:c>
      <x:c r="M300" s="26" t="str">
        <x:v>P1</x:v>
      </x:c>
      <x:c r="N300" s="26" t="str">
        <x:v>Marketing/Steam</x:v>
      </x:c>
      <x:c r="O300" s="26" t="str">
        <x:v>Product/Legal/LQA</x:v>
      </x:c>
      <x:c r="P300" s="26" t="str">
        <x:v>NOT RUN</x:v>
      </x:c>
      <x:c r="Q300" s="26"/>
      <x:c r="R300" s="26"/>
      <x:c r="S300" s="26"/>
      <x:c r="T300" s="26"/>
      <x:c r="U300" s="26"/>
      <x:c r="V300" s="26"/>
      <x:c r="W300" s="26" t="n">
        <x:v>1</x:v>
      </x:c>
      <x:c r="X300" s="26" t="n">
        <x:v>0</x:v>
      </x:c>
      <x:c r="Y300" s="26" t="n">
        <x:v>1</x:v>
      </x:c>
      <x:c r="Z300" s="26" t="str">
        <x:v>PENDING</x:v>
      </x:c>
      <x:c r="AA300" s="26" t="str">
        <x:v>CHG-RC1-DOC-31</x:v>
      </x:c>
      <x:c r="AB300" s="26" t="str">
        <x:v>DEFINED / NOT EXECUTED</x:v>
      </x:c>
    </x:row>
    <x:row r="301" ht="30" customHeight="1">
      <x:c r="A301" s="26" t="str">
        <x:v>Release</x:v>
      </x:c>
      <x:c r="B301" s="26" t="str">
        <x:v>REL-STORE-006</x:v>
      </x:c>
      <x:c r="C301" s="26" t="str">
        <x:v>Página de tienda y contenido público</x:v>
      </x:c>
      <x:c r="D301" s="26" t="str">
        <x:v>Release readiness</x:v>
      </x:c>
      <x:c r="E301" s="26" t="str">
        <x:v>Los screenshots provienen de build aprobada, sin debug, placeholders ni contenido no autorizado.</x:v>
      </x:c>
      <x:c r="F301" s="26" t="str">
        <x:v>Revisar, ejecutar y registrar evidencia reproducible.</x:v>
      </x:c>
      <x:c r="G301" s="26" t="str">
        <x:v>Cumplimiento verificable antes del gate indicado.</x:v>
      </x:c>
      <x:c r="H301" s="26" t="str">
        <x:v>Screenshot manifest con Build ID.</x:v>
      </x:c>
      <x:c r="I301" s="26" t="str">
        <x:v>24_Steam_Publishing_Plan.md; 28_Marketing_and_Communication_Plan.md; 29_Accessibility_and_Inclusive_Design_Plan.md</x:v>
      </x:c>
      <x:c r="J301" s="26" t="str">
        <x:v>Steam/Marketing/Localization plans v0.3–v0.5</x:v>
      </x:c>
      <x:c r="K301" s="26" t="str">
        <x:v>Release</x:v>
      </x:c>
      <x:c r="L301" s="26" t="str">
        <x:v>Yes</x:v>
      </x:c>
      <x:c r="M301" s="26" t="str">
        <x:v>P1</x:v>
      </x:c>
      <x:c r="N301" s="26" t="str">
        <x:v>Marketing/Steam</x:v>
      </x:c>
      <x:c r="O301" s="26" t="str">
        <x:v>Product/Legal/LQA</x:v>
      </x:c>
      <x:c r="P301" s="26" t="str">
        <x:v>NOT RUN</x:v>
      </x:c>
      <x:c r="Q301" s="26"/>
      <x:c r="R301" s="26"/>
      <x:c r="S301" s="26"/>
      <x:c r="T301" s="26"/>
      <x:c r="U301" s="26"/>
      <x:c r="V301" s="26"/>
      <x:c r="W301" s="26" t="n">
        <x:v>1</x:v>
      </x:c>
      <x:c r="X301" s="26" t="n">
        <x:v>0</x:v>
      </x:c>
      <x:c r="Y301" s="26" t="n">
        <x:v>1</x:v>
      </x:c>
      <x:c r="Z301" s="26" t="str">
        <x:v>PENDING</x:v>
      </x:c>
      <x:c r="AA301" s="26" t="str">
        <x:v>CHG-RC1-DOC-31</x:v>
      </x:c>
      <x:c r="AB301" s="26" t="str">
        <x:v>DEFINED / NOT EXECUTED</x:v>
      </x:c>
    </x:row>
    <x:row r="302" ht="30" customHeight="1">
      <x:c r="A302" s="26" t="str">
        <x:v>Release</x:v>
      </x:c>
      <x:c r="B302" s="26" t="str">
        <x:v>REL-STORE-007</x:v>
      </x:c>
      <x:c r="C302" s="26" t="str">
        <x:v>Página de tienda y contenido público</x:v>
      </x:c>
      <x:c r="D302" s="26" t="str">
        <x:v>Release readiness</x:v>
      </x:c>
      <x:c r="E302" s="26" t="str">
        <x:v>El trailer utiliza footage representativo, audio autorizado y disclaimers cuando sean necesarios.</x:v>
      </x:c>
      <x:c r="F302" s="26" t="str">
        <x:v>Revisar, ejecutar y registrar evidencia reproducible.</x:v>
      </x:c>
      <x:c r="G302" s="26" t="str">
        <x:v>Cumplimiento verificable antes del gate indicado.</x:v>
      </x:c>
      <x:c r="H302" s="26" t="str">
        <x:v>Trailer clearance.</x:v>
      </x:c>
      <x:c r="I302" s="26" t="str">
        <x:v>24_Steam_Publishing_Plan.md; 28_Marketing_and_Communication_Plan.md; 29_Accessibility_and_Inclusive_Design_Plan.md</x:v>
      </x:c>
      <x:c r="J302" s="26" t="str">
        <x:v>Steam/Marketing/Localization plans v0.3–v0.5</x:v>
      </x:c>
      <x:c r="K302" s="26" t="str">
        <x:v>Release</x:v>
      </x:c>
      <x:c r="L302" s="26" t="str">
        <x:v>Yes</x:v>
      </x:c>
      <x:c r="M302" s="26" t="str">
        <x:v>P1</x:v>
      </x:c>
      <x:c r="N302" s="26" t="str">
        <x:v>Marketing/Steam</x:v>
      </x:c>
      <x:c r="O302" s="26" t="str">
        <x:v>Product/Legal/LQA</x:v>
      </x:c>
      <x:c r="P302" s="26" t="str">
        <x:v>NOT RUN</x:v>
      </x:c>
      <x:c r="Q302" s="26"/>
      <x:c r="R302" s="26"/>
      <x:c r="S302" s="26"/>
      <x:c r="T302" s="26"/>
      <x:c r="U302" s="26"/>
      <x:c r="V302" s="26"/>
      <x:c r="W302" s="26" t="n">
        <x:v>1</x:v>
      </x:c>
      <x:c r="X302" s="26" t="n">
        <x:v>0</x:v>
      </x:c>
      <x:c r="Y302" s="26" t="n">
        <x:v>1</x:v>
      </x:c>
      <x:c r="Z302" s="26" t="str">
        <x:v>PENDING</x:v>
      </x:c>
      <x:c r="AA302" s="26" t="str">
        <x:v>CHG-RC1-DOC-31</x:v>
      </x:c>
      <x:c r="AB302" s="26" t="str">
        <x:v>DEFINED / NOT EXECUTED</x:v>
      </x:c>
    </x:row>
    <x:row r="303" ht="30" customHeight="1">
      <x:c r="A303" s="26" t="str">
        <x:v>Release</x:v>
      </x:c>
      <x:c r="B303" s="26" t="str">
        <x:v>REL-STORE-008</x:v>
      </x:c>
      <x:c r="C303" s="26" t="str">
        <x:v>Página de tienda y contenido público</x:v>
      </x:c>
      <x:c r="D303" s="26" t="str">
        <x:v>Release readiness</x:v>
      </x:c>
      <x:c r="E303" s="26" t="str">
        <x:v>Los idiomas declarados coinciden con texto, interfaz, subtítulos y audio realmente soportados.</x:v>
      </x:c>
      <x:c r="F303" s="26" t="str">
        <x:v>Revisar, ejecutar y registrar evidencia reproducible.</x:v>
      </x:c>
      <x:c r="G303" s="26" t="str">
        <x:v>Cumplimiento verificable antes del gate indicado.</x:v>
      </x:c>
      <x:c r="H303" s="26" t="str">
        <x:v>Language support matrix.</x:v>
      </x:c>
      <x:c r="I303" s="26" t="str">
        <x:v>24_Steam_Publishing_Plan.md; 28_Marketing_and_Communication_Plan.md; 29_Accessibility_and_Inclusive_Design_Plan.md</x:v>
      </x:c>
      <x:c r="J303" s="26" t="str">
        <x:v>Steam/Marketing/Localization plans v0.3–v0.5</x:v>
      </x:c>
      <x:c r="K303" s="26" t="str">
        <x:v>Release</x:v>
      </x:c>
      <x:c r="L303" s="26" t="str">
        <x:v>Yes</x:v>
      </x:c>
      <x:c r="M303" s="26" t="str">
        <x:v>P0</x:v>
      </x:c>
      <x:c r="N303" s="26" t="str">
        <x:v>Marketing/Steam</x:v>
      </x:c>
      <x:c r="O303" s="26" t="str">
        <x:v>Product/Legal/LQA</x:v>
      </x:c>
      <x:c r="P303" s="26" t="str">
        <x:v>NOT RUN</x:v>
      </x:c>
      <x:c r="Q303" s="26"/>
      <x:c r="R303" s="26"/>
      <x:c r="S303" s="26"/>
      <x:c r="T303" s="26"/>
      <x:c r="U303" s="26"/>
      <x:c r="V303" s="26"/>
      <x:c r="W303" s="26" t="n">
        <x:v>1</x:v>
      </x:c>
      <x:c r="X303" s="26" t="n">
        <x:v>0</x:v>
      </x:c>
      <x:c r="Y303" s="26" t="n">
        <x:v>1</x:v>
      </x:c>
      <x:c r="Z303" s="26" t="str">
        <x:v>PENDING</x:v>
      </x:c>
      <x:c r="AA303" s="26" t="str">
        <x:v>CHG-RC1-DOC-31</x:v>
      </x:c>
      <x:c r="AB303" s="26" t="str">
        <x:v>DEFINED / NOT EXECUTED</x:v>
      </x:c>
    </x:row>
    <x:row r="304" ht="30" customHeight="1">
      <x:c r="A304" s="26" t="str">
        <x:v>Release</x:v>
      </x:c>
      <x:c r="B304" s="26" t="str">
        <x:v>REL-STORE-009</x:v>
      </x:c>
      <x:c r="C304" s="26" t="str">
        <x:v>Página de tienda y contenido público</x:v>
      </x:c>
      <x:c r="D304" s="26" t="str">
        <x:v>Release readiness</x:v>
      </x:c>
      <x:c r="E304" s="26" t="str">
        <x:v>Las características de accesibilidad declaradas en Steam tienen evidencia de extremo a extremo.</x:v>
      </x:c>
      <x:c r="F304" s="26" t="str">
        <x:v>Revisar, ejecutar y registrar evidencia reproducible.</x:v>
      </x:c>
      <x:c r="G304" s="26" t="str">
        <x:v>Cumplimiento verificable antes del gate indicado.</x:v>
      </x:c>
      <x:c r="H304" s="26" t="str">
        <x:v>Accessibility claims matrix.</x:v>
      </x:c>
      <x:c r="I304" s="26" t="str">
        <x:v>24_Steam_Publishing_Plan.md; 28_Marketing_and_Communication_Plan.md; 29_Accessibility_and_Inclusive_Design_Plan.md</x:v>
      </x:c>
      <x:c r="J304" s="26" t="str">
        <x:v>Steam/Marketing/Localization plans v0.3–v0.5</x:v>
      </x:c>
      <x:c r="K304" s="26" t="str">
        <x:v>Release</x:v>
      </x:c>
      <x:c r="L304" s="26" t="str">
        <x:v>Yes</x:v>
      </x:c>
      <x:c r="M304" s="26" t="str">
        <x:v>P0</x:v>
      </x:c>
      <x:c r="N304" s="26" t="str">
        <x:v>Marketing/Steam</x:v>
      </x:c>
      <x:c r="O304" s="26" t="str">
        <x:v>Product/Legal/LQA</x:v>
      </x:c>
      <x:c r="P304" s="26" t="str">
        <x:v>NOT RUN</x:v>
      </x:c>
      <x:c r="Q304" s="26"/>
      <x:c r="R304" s="26"/>
      <x:c r="S304" s="26"/>
      <x:c r="T304" s="26"/>
      <x:c r="U304" s="26"/>
      <x:c r="V304" s="26"/>
      <x:c r="W304" s="26" t="n">
        <x:v>1</x:v>
      </x:c>
      <x:c r="X304" s="26" t="n">
        <x:v>0</x:v>
      </x:c>
      <x:c r="Y304" s="26" t="n">
        <x:v>1</x:v>
      </x:c>
      <x:c r="Z304" s="26" t="str">
        <x:v>PENDING</x:v>
      </x:c>
      <x:c r="AA304" s="26" t="str">
        <x:v>CHG-RC1-DOC-31</x:v>
      </x:c>
      <x:c r="AB304" s="26" t="str">
        <x:v>DEFINED / NOT EXECUTED</x:v>
      </x:c>
    </x:row>
    <x:row r="305" ht="30" customHeight="1">
      <x:c r="A305" s="26" t="str">
        <x:v>Release</x:v>
      </x:c>
      <x:c r="B305" s="26" t="str">
        <x:v>REL-STORE-010</x:v>
      </x:c>
      <x:c r="C305" s="26" t="str">
        <x:v>Página de tienda y contenido público</x:v>
      </x:c>
      <x:c r="D305" s="26" t="str">
        <x:v>Release readiness</x:v>
      </x:c>
      <x:c r="E305" s="26" t="str">
        <x:v>Los requisitos del sistema se basan en hardware probado y no en estimaciones no verificadas.</x:v>
      </x:c>
      <x:c r="F305" s="26" t="str">
        <x:v>Revisar, ejecutar y registrar evidencia reproducible.</x:v>
      </x:c>
      <x:c r="G305" s="26" t="str">
        <x:v>Cumplimiento verificable antes del gate indicado.</x:v>
      </x:c>
      <x:c r="H305" s="26" t="str">
        <x:v>System requirements rationale.</x:v>
      </x:c>
      <x:c r="I305" s="26" t="str">
        <x:v>24_Steam_Publishing_Plan.md; 28_Marketing_and_Communication_Plan.md; 29_Accessibility_and_Inclusive_Design_Plan.md</x:v>
      </x:c>
      <x:c r="J305" s="26" t="str">
        <x:v>Steam/Marketing/Localization plans v0.3–v0.5</x:v>
      </x:c>
      <x:c r="K305" s="26" t="str">
        <x:v>Release</x:v>
      </x:c>
      <x:c r="L305" s="26" t="str">
        <x:v>Yes</x:v>
      </x:c>
      <x:c r="M305" s="26" t="str">
        <x:v>P1</x:v>
      </x:c>
      <x:c r="N305" s="26" t="str">
        <x:v>Marketing/Steam</x:v>
      </x:c>
      <x:c r="O305" s="26" t="str">
        <x:v>Product/Legal/LQA</x:v>
      </x:c>
      <x:c r="P305" s="26" t="str">
        <x:v>NOT RUN</x:v>
      </x:c>
      <x:c r="Q305" s="26"/>
      <x:c r="R305" s="26"/>
      <x:c r="S305" s="26"/>
      <x:c r="T305" s="26"/>
      <x:c r="U305" s="26"/>
      <x:c r="V305" s="26"/>
      <x:c r="W305" s="26" t="n">
        <x:v>1</x:v>
      </x:c>
      <x:c r="X305" s="26" t="n">
        <x:v>0</x:v>
      </x:c>
      <x:c r="Y305" s="26" t="n">
        <x:v>1</x:v>
      </x:c>
      <x:c r="Z305" s="26" t="str">
        <x:v>PENDING</x:v>
      </x:c>
      <x:c r="AA305" s="26" t="str">
        <x:v>CHG-RC1-DOC-31</x:v>
      </x:c>
      <x:c r="AB305" s="26" t="str">
        <x:v>DEFINED / NOT EXECUTED</x:v>
      </x:c>
    </x:row>
    <x:row r="306" ht="30" customHeight="1">
      <x:c r="A306" s="26" t="str">
        <x:v>Release</x:v>
      </x:c>
      <x:c r="B306" s="26" t="str">
        <x:v>REL-STORE-011</x:v>
      </x:c>
      <x:c r="C306" s="26" t="str">
        <x:v>Página de tienda y contenido público</x:v>
      </x:c>
      <x:c r="D306" s="26" t="str">
        <x:v>Release readiness</x:v>
      </x:c>
      <x:c r="E306" s="26" t="str">
        <x:v>La clasificación por edades/contenido y cuestionarios se completan con información veraz.</x:v>
      </x:c>
      <x:c r="F306" s="26" t="str">
        <x:v>Revisar, ejecutar y registrar evidencia reproducible.</x:v>
      </x:c>
      <x:c r="G306" s="26" t="str">
        <x:v>Cumplimiento verificable antes del gate indicado.</x:v>
      </x:c>
      <x:c r="H306" s="26" t="str">
        <x:v>Content survey records.</x:v>
      </x:c>
      <x:c r="I306" s="26" t="str">
        <x:v>24_Steam_Publishing_Plan.md; 28_Marketing_and_Communication_Plan.md; 29_Accessibility_and_Inclusive_Design_Plan.md</x:v>
      </x:c>
      <x:c r="J306" s="26" t="str">
        <x:v>Steam/Marketing/Localization plans v0.3–v0.5</x:v>
      </x:c>
      <x:c r="K306" s="26" t="str">
        <x:v>Release</x:v>
      </x:c>
      <x:c r="L306" s="26" t="str">
        <x:v>Yes</x:v>
      </x:c>
      <x:c r="M306" s="26" t="str">
        <x:v>P1</x:v>
      </x:c>
      <x:c r="N306" s="26" t="str">
        <x:v>Marketing/Steam</x:v>
      </x:c>
      <x:c r="O306" s="26" t="str">
        <x:v>Product/Legal/LQA</x:v>
      </x:c>
      <x:c r="P306" s="26" t="str">
        <x:v>NOT RUN</x:v>
      </x:c>
      <x:c r="Q306" s="26"/>
      <x:c r="R306" s="26"/>
      <x:c r="S306" s="26"/>
      <x:c r="T306" s="26"/>
      <x:c r="U306" s="26"/>
      <x:c r="V306" s="26"/>
      <x:c r="W306" s="26" t="n">
        <x:v>1</x:v>
      </x:c>
      <x:c r="X306" s="26" t="n">
        <x:v>0</x:v>
      </x:c>
      <x:c r="Y306" s="26" t="n">
        <x:v>1</x:v>
      </x:c>
      <x:c r="Z306" s="26" t="str">
        <x:v>PENDING</x:v>
      </x:c>
      <x:c r="AA306" s="26" t="str">
        <x:v>CHG-RC1-DOC-31</x:v>
      </x:c>
      <x:c r="AB306" s="26" t="str">
        <x:v>DEFINED / NOT EXECUTED</x:v>
      </x:c>
    </x:row>
    <x:row r="307" ht="30" customHeight="1">
      <x:c r="A307" s="26" t="str">
        <x:v>Release</x:v>
      </x:c>
      <x:c r="B307" s="26" t="str">
        <x:v>REL-STORE-012</x:v>
      </x:c>
      <x:c r="C307" s="26" t="str">
        <x:v>Página de tienda y contenido público</x:v>
      </x:c>
      <x:c r="D307" s="26" t="str">
        <x:v>Release readiness</x:v>
      </x:c>
      <x:c r="E307" s="26" t="str">
        <x:v>Los avisos de terceros, privacidad, soporte y términos están enlazados donde corresponda.</x:v>
      </x:c>
      <x:c r="F307" s="26" t="str">
        <x:v>Revisar, ejecutar y registrar evidencia reproducible.</x:v>
      </x:c>
      <x:c r="G307" s="26" t="str">
        <x:v>Cumplimiento verificable antes del gate indicado.</x:v>
      </x:c>
      <x:c r="H307" s="26" t="str">
        <x:v>Store compliance checklist.</x:v>
      </x:c>
      <x:c r="I307" s="26" t="str">
        <x:v>24_Steam_Publishing_Plan.md; 28_Marketing_and_Communication_Plan.md; 29_Accessibility_and_Inclusive_Design_Plan.md</x:v>
      </x:c>
      <x:c r="J307" s="26" t="str">
        <x:v>Steam/Marketing/Localization plans v0.3–v0.5</x:v>
      </x:c>
      <x:c r="K307" s="26" t="str">
        <x:v>Release</x:v>
      </x:c>
      <x:c r="L307" s="26" t="str">
        <x:v>Yes</x:v>
      </x:c>
      <x:c r="M307" s="26" t="str">
        <x:v>P1</x:v>
      </x:c>
      <x:c r="N307" s="26" t="str">
        <x:v>Marketing/Steam</x:v>
      </x:c>
      <x:c r="O307" s="26" t="str">
        <x:v>Product/Legal/LQA</x:v>
      </x:c>
      <x:c r="P307" s="26" t="str">
        <x:v>NOT RUN</x:v>
      </x:c>
      <x:c r="Q307" s="26"/>
      <x:c r="R307" s="26"/>
      <x:c r="S307" s="26"/>
      <x:c r="T307" s="26"/>
      <x:c r="U307" s="26"/>
      <x:c r="V307" s="26"/>
      <x:c r="W307" s="26" t="n">
        <x:v>1</x:v>
      </x:c>
      <x:c r="X307" s="26" t="n">
        <x:v>0</x:v>
      </x:c>
      <x:c r="Y307" s="26" t="n">
        <x:v>1</x:v>
      </x:c>
      <x:c r="Z307" s="26" t="str">
        <x:v>PENDING</x:v>
      </x:c>
      <x:c r="AA307" s="26" t="str">
        <x:v>CHG-RC1-DOC-31</x:v>
      </x:c>
      <x:c r="AB307" s="26" t="str">
        <x:v>DEFINED / NOT EXECUTED</x:v>
      </x:c>
    </x:row>
    <x:row r="308" ht="30" customHeight="1">
      <x:c r="A308" s="26" t="str">
        <x:v>Release</x:v>
      </x:c>
      <x:c r="B308" s="26" t="str">
        <x:v>REL-STORE-013</x:v>
      </x:c>
      <x:c r="C308" s="26" t="str">
        <x:v>Página de tienda y contenido público</x:v>
      </x:c>
      <x:c r="D308" s="26" t="str">
        <x:v>Release readiness</x:v>
      </x:c>
      <x:c r="E308" s="26" t="str">
        <x:v>La página ha pasado revisión interna de producto, legal, localización, accesibilidad y marketing.</x:v>
      </x:c>
      <x:c r="F308" s="26" t="str">
        <x:v>Revisar, ejecutar y registrar evidencia reproducible.</x:v>
      </x:c>
      <x:c r="G308" s="26" t="str">
        <x:v>Cumplimiento verificable antes del gate indicado.</x:v>
      </x:c>
      <x:c r="H308" s="26" t="str">
        <x:v>Cross-discipline signoff.</x:v>
      </x:c>
      <x:c r="I308" s="26" t="str">
        <x:v>24_Steam_Publishing_Plan.md; 28_Marketing_and_Communication_Plan.md; 29_Accessibility_and_Inclusive_Design_Plan.md</x:v>
      </x:c>
      <x:c r="J308" s="26" t="str">
        <x:v>Steam/Marketing/Localization plans v0.3–v0.5</x:v>
      </x:c>
      <x:c r="K308" s="26" t="str">
        <x:v>Release</x:v>
      </x:c>
      <x:c r="L308" s="26" t="str">
        <x:v>Yes</x:v>
      </x:c>
      <x:c r="M308" s="26" t="str">
        <x:v>P1</x:v>
      </x:c>
      <x:c r="N308" s="26" t="str">
        <x:v>Marketing/Steam</x:v>
      </x:c>
      <x:c r="O308" s="26" t="str">
        <x:v>Product/Legal/LQA</x:v>
      </x:c>
      <x:c r="P308" s="26" t="str">
        <x:v>NOT RUN</x:v>
      </x:c>
      <x:c r="Q308" s="26"/>
      <x:c r="R308" s="26"/>
      <x:c r="S308" s="26"/>
      <x:c r="T308" s="26"/>
      <x:c r="U308" s="26"/>
      <x:c r="V308" s="26"/>
      <x:c r="W308" s="26" t="n">
        <x:v>1</x:v>
      </x:c>
      <x:c r="X308" s="26" t="n">
        <x:v>0</x:v>
      </x:c>
      <x:c r="Y308" s="26" t="n">
        <x:v>1</x:v>
      </x:c>
      <x:c r="Z308" s="26" t="str">
        <x:v>PENDING</x:v>
      </x:c>
      <x:c r="AA308" s="26" t="str">
        <x:v>CHG-RC1-DOC-31</x:v>
      </x:c>
      <x:c r="AB308" s="26" t="str">
        <x:v>DEFINED / NOT EXECUTED</x:v>
      </x:c>
    </x:row>
    <x:row r="309" ht="30" customHeight="1">
      <x:c r="A309" s="26" t="str">
        <x:v>Release</x:v>
      </x:c>
      <x:c r="B309" s="26" t="str">
        <x:v>REL-STORE-014</x:v>
      </x:c>
      <x:c r="C309" s="26" t="str">
        <x:v>Página de tienda y contenido público</x:v>
      </x:c>
      <x:c r="D309" s="26" t="str">
        <x:v>Release readiness</x:v>
      </x:c>
      <x:c r="E309" s="26" t="str">
        <x:v>Los textos ES/EN de Steam han recibido revisión comercial/nativa y LQA.</x:v>
      </x:c>
      <x:c r="F309" s="26" t="str">
        <x:v>Revisar, ejecutar y registrar evidencia reproducible.</x:v>
      </x:c>
      <x:c r="G309" s="26" t="str">
        <x:v>Cumplimiento verificable antes del gate indicado.</x:v>
      </x:c>
      <x:c r="H309" s="26" t="str">
        <x:v>Store localization approval.</x:v>
      </x:c>
      <x:c r="I309" s="26" t="str">
        <x:v>24_Steam_Publishing_Plan.md; 28_Marketing_and_Communication_Plan.md; 29_Accessibility_and_Inclusive_Design_Plan.md</x:v>
      </x:c>
      <x:c r="J309" s="26" t="str">
        <x:v>Steam/Marketing/Localization plans v0.3–v0.5</x:v>
      </x:c>
      <x:c r="K309" s="26" t="str">
        <x:v>Release</x:v>
      </x:c>
      <x:c r="L309" s="26" t="str">
        <x:v>Yes</x:v>
      </x:c>
      <x:c r="M309" s="26" t="str">
        <x:v>P1</x:v>
      </x:c>
      <x:c r="N309" s="26" t="str">
        <x:v>Marketing/Steam</x:v>
      </x:c>
      <x:c r="O309" s="26" t="str">
        <x:v>Product/Legal/LQA</x:v>
      </x:c>
      <x:c r="P309" s="26" t="str">
        <x:v>NOT RUN</x:v>
      </x:c>
      <x:c r="Q309" s="26"/>
      <x:c r="R309" s="26"/>
      <x:c r="S309" s="26"/>
      <x:c r="T309" s="26"/>
      <x:c r="U309" s="26"/>
      <x:c r="V309" s="26"/>
      <x:c r="W309" s="26" t="n">
        <x:v>1</x:v>
      </x:c>
      <x:c r="X309" s="26" t="n">
        <x:v>0</x:v>
      </x:c>
      <x:c r="Y309" s="26" t="n">
        <x:v>1</x:v>
      </x:c>
      <x:c r="Z309" s="26" t="str">
        <x:v>PENDING</x:v>
      </x:c>
      <x:c r="AA309" s="26" t="str">
        <x:v>CHG-RC1-DOC-31</x:v>
      </x:c>
      <x:c r="AB309" s="26" t="str">
        <x:v>DEFINED / NOT EXECUTED</x:v>
      </x:c>
    </x:row>
    <x:row r="310" ht="30" customHeight="1">
      <x:c r="A310" s="26" t="str">
        <x:v>Release</x:v>
      </x:c>
      <x:c r="B310" s="26" t="str">
        <x:v>REL-STORE-015</x:v>
      </x:c>
      <x:c r="C310" s="26" t="str">
        <x:v>Página de tienda y contenido público</x:v>
      </x:c>
      <x:c r="D310" s="26" t="str">
        <x:v>Release readiness</x:v>
      </x:c>
      <x:c r="E310" s="26" t="str">
        <x:v>Las fechas, disponibilidad de demo y calls to action son coherentes en todos los canales.</x:v>
      </x:c>
      <x:c r="F310" s="26" t="str">
        <x:v>Revisar, ejecutar y registrar evidencia reproducible.</x:v>
      </x:c>
      <x:c r="G310" s="26" t="str">
        <x:v>Cumplimiento verificable antes del gate indicado.</x:v>
      </x:c>
      <x:c r="H310" s="26" t="str">
        <x:v>Campaign calendar reconciliation.</x:v>
      </x:c>
      <x:c r="I310" s="26" t="str">
        <x:v>24_Steam_Publishing_Plan.md; 28_Marketing_and_Communication_Plan.md; 29_Accessibility_and_Inclusive_Design_Plan.md</x:v>
      </x:c>
      <x:c r="J310" s="26" t="str">
        <x:v>Steam/Marketing/Localization plans v0.3–v0.5</x:v>
      </x:c>
      <x:c r="K310" s="26" t="str">
        <x:v>Release</x:v>
      </x:c>
      <x:c r="L310" s="26" t="str">
        <x:v>Yes</x:v>
      </x:c>
      <x:c r="M310" s="26" t="str">
        <x:v>P1</x:v>
      </x:c>
      <x:c r="N310" s="26" t="str">
        <x:v>Marketing/Steam</x:v>
      </x:c>
      <x:c r="O310" s="26" t="str">
        <x:v>Product/Legal/LQA</x:v>
      </x:c>
      <x:c r="P310" s="26" t="str">
        <x:v>NOT RUN</x:v>
      </x:c>
      <x:c r="Q310" s="26"/>
      <x:c r="R310" s="26"/>
      <x:c r="S310" s="26"/>
      <x:c r="T310" s="26"/>
      <x:c r="U310" s="26"/>
      <x:c r="V310" s="26"/>
      <x:c r="W310" s="26" t="n">
        <x:v>1</x:v>
      </x:c>
      <x:c r="X310" s="26" t="n">
        <x:v>0</x:v>
      </x:c>
      <x:c r="Y310" s="26" t="n">
        <x:v>1</x:v>
      </x:c>
      <x:c r="Z310" s="26" t="str">
        <x:v>PENDING</x:v>
      </x:c>
      <x:c r="AA310" s="26" t="str">
        <x:v>CHG-RC1-DOC-31</x:v>
      </x:c>
      <x:c r="AB310" s="26" t="str">
        <x:v>DEFINED / NOT EXECUTED</x:v>
      </x:c>
    </x:row>
    <x:row r="311" ht="30" customHeight="1">
      <x:c r="A311" s="26" t="str">
        <x:v>Release</x:v>
      </x:c>
      <x:c r="B311" s="26" t="str">
        <x:v>REL-DEP-001</x:v>
      </x:c>
      <x:c r="C311" s="26" t="str">
        <x:v>Depots, ramas y distribución</x:v>
      </x:c>
      <x:c r="D311" s="26" t="str">
        <x:v>Release readiness</x:v>
      </x:c>
      <x:c r="E311" s="26" t="str">
        <x:v>La estructura de depots incluye únicamente archivos necesarios y rutas correctas.</x:v>
      </x:c>
      <x:c r="F311" s="26" t="str">
        <x:v>Revisar, ejecutar y registrar evidencia reproducible.</x:v>
      </x:c>
      <x:c r="G311" s="26" t="str">
        <x:v>Cumplimiento verificable antes del gate indicado.</x:v>
      </x:c>
      <x:c r="H311" s="26" t="str">
        <x:v>Depot manifest.</x:v>
      </x:c>
      <x:c r="I311" s="26" t="str">
        <x:v>11_Build_y_Versioning_Guide.md; 24_Steam_Publishing_Plan.md; 25_Post_Launch_and_Live_Operations_Plan.md</x:v>
      </x:c>
      <x:c r="J311" s="26" t="str">
        <x:v>Build/Steam historical v0.3–v0.6</x:v>
      </x:c>
      <x:c r="K311" s="26" t="str">
        <x:v>Release</x:v>
      </x:c>
      <x:c r="L311" s="26" t="str">
        <x:v>Yes</x:v>
      </x:c>
      <x:c r="M311" s="26" t="str">
        <x:v>P1</x:v>
      </x:c>
      <x:c r="N311" s="26" t="str">
        <x:v>Build/Steam</x:v>
      </x:c>
      <x:c r="O311" s="26" t="str">
        <x:v>QA/Security</x:v>
      </x:c>
      <x:c r="P311" s="26" t="str">
        <x:v>NOT RUN</x:v>
      </x:c>
      <x:c r="Q311" s="26"/>
      <x:c r="R311" s="26"/>
      <x:c r="S311" s="26"/>
      <x:c r="T311" s="26"/>
      <x:c r="U311" s="26"/>
      <x:c r="V311" s="26"/>
      <x:c r="W311" s="26" t="n">
        <x:v>1</x:v>
      </x:c>
      <x:c r="X311" s="26" t="n">
        <x:v>0</x:v>
      </x:c>
      <x:c r="Y311" s="26" t="n">
        <x:v>1</x:v>
      </x:c>
      <x:c r="Z311" s="26" t="str">
        <x:v>PENDING</x:v>
      </x:c>
      <x:c r="AA311" s="26" t="str">
        <x:v>CHG-RC1-DOC-31</x:v>
      </x:c>
      <x:c r="AB311" s="26" t="str">
        <x:v>DEFINED / NOT EXECUTED</x:v>
      </x:c>
    </x:row>
    <x:row r="312" ht="30" customHeight="1">
      <x:c r="A312" s="26" t="str">
        <x:v>Release</x:v>
      </x:c>
      <x:c r="B312" s="26" t="str">
        <x:v>REL-DEP-002</x:v>
      </x:c>
      <x:c r="C312" s="26" t="str">
        <x:v>Depots, ramas y distribución</x:v>
      </x:c>
      <x:c r="D312" s="26" t="str">
        <x:v>Release readiness</x:v>
      </x:c>
      <x:c r="E312" s="26" t="str">
        <x:v>Las ramas default, internal, QA, beta/demo y rollback tienen propósito y permisos definidos.</x:v>
      </x:c>
      <x:c r="F312" s="26" t="str">
        <x:v>Revisar, ejecutar y registrar evidencia reproducible.</x:v>
      </x:c>
      <x:c r="G312" s="26" t="str">
        <x:v>Cumplimiento verificable antes del gate indicado.</x:v>
      </x:c>
      <x:c r="H312" s="26" t="str">
        <x:v>Branch policy.</x:v>
      </x:c>
      <x:c r="I312" s="26" t="str">
        <x:v>11_Build_y_Versioning_Guide.md; 24_Steam_Publishing_Plan.md; 25_Post_Launch_and_Live_Operations_Plan.md</x:v>
      </x:c>
      <x:c r="J312" s="26" t="str">
        <x:v>Build/Steam historical v0.3–v0.6</x:v>
      </x:c>
      <x:c r="K312" s="26" t="str">
        <x:v>Release</x:v>
      </x:c>
      <x:c r="L312" s="26" t="str">
        <x:v>Yes</x:v>
      </x:c>
      <x:c r="M312" s="26" t="str">
        <x:v>P1</x:v>
      </x:c>
      <x:c r="N312" s="26" t="str">
        <x:v>Build/Steam</x:v>
      </x:c>
      <x:c r="O312" s="26" t="str">
        <x:v>QA/Security</x:v>
      </x:c>
      <x:c r="P312" s="26" t="str">
        <x:v>NOT RUN</x:v>
      </x:c>
      <x:c r="Q312" s="26"/>
      <x:c r="R312" s="26"/>
      <x:c r="S312" s="26"/>
      <x:c r="T312" s="26"/>
      <x:c r="U312" s="26"/>
      <x:c r="V312" s="26"/>
      <x:c r="W312" s="26" t="n">
        <x:v>1</x:v>
      </x:c>
      <x:c r="X312" s="26" t="n">
        <x:v>0</x:v>
      </x:c>
      <x:c r="Y312" s="26" t="n">
        <x:v>1</x:v>
      </x:c>
      <x:c r="Z312" s="26" t="str">
        <x:v>PENDING</x:v>
      </x:c>
      <x:c r="AA312" s="26" t="str">
        <x:v>CHG-RC1-DOC-31</x:v>
      </x:c>
      <x:c r="AB312" s="26" t="str">
        <x:v>DEFINED / NOT EXECUTED</x:v>
      </x:c>
    </x:row>
    <x:row r="313" ht="30" customHeight="1">
      <x:c r="A313" s="26" t="str">
        <x:v>Release</x:v>
      </x:c>
      <x:c r="B313" s="26" t="str">
        <x:v>REL-DEP-003</x:v>
      </x:c>
      <x:c r="C313" s="26" t="str">
        <x:v>Depots, ramas y distribución</x:v>
      </x:c>
      <x:c r="D313" s="26" t="str">
        <x:v>Release readiness</x:v>
      </x:c>
      <x:c r="E313" s="26" t="str">
        <x:v>La build subida a Steam coincide por hash/manifest con la RC aprobada.</x:v>
      </x:c>
      <x:c r="F313" s="26" t="str">
        <x:v>Revisar, ejecutar y registrar evidencia reproducible.</x:v>
      </x:c>
      <x:c r="G313" s="26" t="str">
        <x:v>Cumplimiento verificable antes del gate indicado.</x:v>
      </x:c>
      <x:c r="H313" s="26" t="str">
        <x:v>RC-depot integrity report.</x:v>
      </x:c>
      <x:c r="I313" s="26" t="str">
        <x:v>11_Build_y_Versioning_Guide.md; 24_Steam_Publishing_Plan.md; 25_Post_Launch_and_Live_Operations_Plan.md</x:v>
      </x:c>
      <x:c r="J313" s="26" t="str">
        <x:v>Build/Steam historical v0.3–v0.6</x:v>
      </x:c>
      <x:c r="K313" s="26" t="str">
        <x:v>Release</x:v>
      </x:c>
      <x:c r="L313" s="26" t="str">
        <x:v>Yes</x:v>
      </x:c>
      <x:c r="M313" s="26" t="str">
        <x:v>P0</x:v>
      </x:c>
      <x:c r="N313" s="26" t="str">
        <x:v>Build/Steam</x:v>
      </x:c>
      <x:c r="O313" s="26" t="str">
        <x:v>QA/Security</x:v>
      </x:c>
      <x:c r="P313" s="26" t="str">
        <x:v>NOT RUN</x:v>
      </x:c>
      <x:c r="Q313" s="26"/>
      <x:c r="R313" s="26"/>
      <x:c r="S313" s="26"/>
      <x:c r="T313" s="26"/>
      <x:c r="U313" s="26"/>
      <x:c r="V313" s="26"/>
      <x:c r="W313" s="26" t="n">
        <x:v>1</x:v>
      </x:c>
      <x:c r="X313" s="26" t="n">
        <x:v>0</x:v>
      </x:c>
      <x:c r="Y313" s="26" t="n">
        <x:v>1</x:v>
      </x:c>
      <x:c r="Z313" s="26" t="str">
        <x:v>PENDING</x:v>
      </x:c>
      <x:c r="AA313" s="26" t="str">
        <x:v>CHG-RC1-DOC-31</x:v>
      </x:c>
      <x:c r="AB313" s="26" t="str">
        <x:v>DEFINED / NOT EXECUTED</x:v>
      </x:c>
    </x:row>
    <x:row r="314" ht="30" customHeight="1">
      <x:c r="A314" s="26" t="str">
        <x:v>Release</x:v>
      </x:c>
      <x:c r="B314" s="26" t="str">
        <x:v>REL-DEP-004</x:v>
      </x:c>
      <x:c r="C314" s="26" t="str">
        <x:v>Depots, ramas y distribución</x:v>
      </x:c>
      <x:c r="D314" s="26" t="str">
        <x:v>Release readiness</x:v>
      </x:c>
      <x:c r="E314" s="26" t="str">
        <x:v>Los scripts de upload no contienen credenciales y usan cuentas/entornos controlados.</x:v>
      </x:c>
      <x:c r="F314" s="26" t="str">
        <x:v>Revisar, ejecutar y registrar evidencia reproducible.</x:v>
      </x:c>
      <x:c r="G314" s="26" t="str">
        <x:v>Cumplimiento verificable antes del gate indicado.</x:v>
      </x:c>
      <x:c r="H314" s="26" t="str">
        <x:v>Upload security review.</x:v>
      </x:c>
      <x:c r="I314" s="26" t="str">
        <x:v>11_Build_y_Versioning_Guide.md; 24_Steam_Publishing_Plan.md; 25_Post_Launch_and_Live_Operations_Plan.md</x:v>
      </x:c>
      <x:c r="J314" s="26" t="str">
        <x:v>Build/Steam historical v0.3–v0.6</x:v>
      </x:c>
      <x:c r="K314" s="26" t="str">
        <x:v>Release</x:v>
      </x:c>
      <x:c r="L314" s="26" t="str">
        <x:v>Yes</x:v>
      </x:c>
      <x:c r="M314" s="26" t="str">
        <x:v>P1</x:v>
      </x:c>
      <x:c r="N314" s="26" t="str">
        <x:v>Build/Steam</x:v>
      </x:c>
      <x:c r="O314" s="26" t="str">
        <x:v>QA/Security</x:v>
      </x:c>
      <x:c r="P314" s="26" t="str">
        <x:v>NOT RUN</x:v>
      </x:c>
      <x:c r="Q314" s="26"/>
      <x:c r="R314" s="26"/>
      <x:c r="S314" s="26"/>
      <x:c r="T314" s="26"/>
      <x:c r="U314" s="26"/>
      <x:c r="V314" s="26"/>
      <x:c r="W314" s="26" t="n">
        <x:v>1</x:v>
      </x:c>
      <x:c r="X314" s="26" t="n">
        <x:v>0</x:v>
      </x:c>
      <x:c r="Y314" s="26" t="n">
        <x:v>1</x:v>
      </x:c>
      <x:c r="Z314" s="26" t="str">
        <x:v>PENDING</x:v>
      </x:c>
      <x:c r="AA314" s="26" t="str">
        <x:v>CHG-RC1-DOC-31</x:v>
      </x:c>
      <x:c r="AB314" s="26" t="str">
        <x:v>DEFINED / NOT EXECUTED</x:v>
      </x:c>
    </x:row>
    <x:row r="315" ht="30" customHeight="1">
      <x:c r="A315" s="26" t="str">
        <x:v>Release</x:v>
      </x:c>
      <x:c r="B315" s="26" t="str">
        <x:v>REL-DEP-005</x:v>
      </x:c>
      <x:c r="C315" s="26" t="str">
        <x:v>Depots, ramas y distribución</x:v>
      </x:c>
      <x:c r="D315" s="26" t="str">
        <x:v>Release readiness</x:v>
      </x:c>
      <x:c r="E315" s="26" t="str">
        <x:v>La instalación limpia, actualización incremental y desinstalación funcionan.</x:v>
      </x:c>
      <x:c r="F315" s="26" t="str">
        <x:v>Revisar, ejecutar y registrar evidencia reproducible.</x:v>
      </x:c>
      <x:c r="G315" s="26" t="str">
        <x:v>Cumplimiento verificable antes del gate indicado.</x:v>
      </x:c>
      <x:c r="H315" s="26" t="str">
        <x:v>Install/update/uninstall report.</x:v>
      </x:c>
      <x:c r="I315" s="26" t="str">
        <x:v>11_Build_y_Versioning_Guide.md; 24_Steam_Publishing_Plan.md; 25_Post_Launch_and_Live_Operations_Plan.md</x:v>
      </x:c>
      <x:c r="J315" s="26" t="str">
        <x:v>Build/Steam historical v0.3–v0.6</x:v>
      </x:c>
      <x:c r="K315" s="26" t="str">
        <x:v>Release</x:v>
      </x:c>
      <x:c r="L315" s="26" t="str">
        <x:v>Yes</x:v>
      </x:c>
      <x:c r="M315" s="26" t="str">
        <x:v>P1</x:v>
      </x:c>
      <x:c r="N315" s="26" t="str">
        <x:v>Build/Steam</x:v>
      </x:c>
      <x:c r="O315" s="26" t="str">
        <x:v>QA/Security</x:v>
      </x:c>
      <x:c r="P315" s="26" t="str">
        <x:v>NOT RUN</x:v>
      </x:c>
      <x:c r="Q315" s="26"/>
      <x:c r="R315" s="26"/>
      <x:c r="S315" s="26"/>
      <x:c r="T315" s="26"/>
      <x:c r="U315" s="26"/>
      <x:c r="V315" s="26"/>
      <x:c r="W315" s="26" t="n">
        <x:v>1</x:v>
      </x:c>
      <x:c r="X315" s="26" t="n">
        <x:v>0</x:v>
      </x:c>
      <x:c r="Y315" s="26" t="n">
        <x:v>1</x:v>
      </x:c>
      <x:c r="Z315" s="26" t="str">
        <x:v>PENDING</x:v>
      </x:c>
      <x:c r="AA315" s="26" t="str">
        <x:v>CHG-RC1-DOC-31</x:v>
      </x:c>
      <x:c r="AB315" s="26" t="str">
        <x:v>DEFINED / NOT EXECUTED</x:v>
      </x:c>
    </x:row>
    <x:row r="316" ht="30" customHeight="1">
      <x:c r="A316" s="26" t="str">
        <x:v>Release</x:v>
      </x:c>
      <x:c r="B316" s="26" t="str">
        <x:v>REL-DEP-006</x:v>
      </x:c>
      <x:c r="C316" s="26" t="str">
        <x:v>Depots, ramas y distribución</x:v>
      </x:c>
      <x:c r="D316" s="26" t="str">
        <x:v>Release readiness</x:v>
      </x:c>
      <x:c r="E316" s="26" t="str">
        <x:v>Los saves/configuración permanecen compatibles durante actualización y rollback soportado.</x:v>
      </x:c>
      <x:c r="F316" s="26" t="str">
        <x:v>Revisar, ejecutar y registrar evidencia reproducible.</x:v>
      </x:c>
      <x:c r="G316" s="26" t="str">
        <x:v>Cumplimiento verificable antes del gate indicado.</x:v>
      </x:c>
      <x:c r="H316" s="26" t="str">
        <x:v>Upgrade/rollback save tests.</x:v>
      </x:c>
      <x:c r="I316" s="26" t="str">
        <x:v>11_Build_y_Versioning_Guide.md; 24_Steam_Publishing_Plan.md; 25_Post_Launch_and_Live_Operations_Plan.md</x:v>
      </x:c>
      <x:c r="J316" s="26" t="str">
        <x:v>Build/Steam historical v0.3–v0.6</x:v>
      </x:c>
      <x:c r="K316" s="26" t="str">
        <x:v>Release</x:v>
      </x:c>
      <x:c r="L316" s="26" t="str">
        <x:v>Yes</x:v>
      </x:c>
      <x:c r="M316" s="26" t="str">
        <x:v>P1</x:v>
      </x:c>
      <x:c r="N316" s="26" t="str">
        <x:v>Build/Steam</x:v>
      </x:c>
      <x:c r="O316" s="26" t="str">
        <x:v>QA/Security</x:v>
      </x:c>
      <x:c r="P316" s="26" t="str">
        <x:v>NOT RUN</x:v>
      </x:c>
      <x:c r="Q316" s="26"/>
      <x:c r="R316" s="26"/>
      <x:c r="S316" s="26"/>
      <x:c r="T316" s="26"/>
      <x:c r="U316" s="26"/>
      <x:c r="V316" s="26"/>
      <x:c r="W316" s="26" t="n">
        <x:v>1</x:v>
      </x:c>
      <x:c r="X316" s="26" t="n">
        <x:v>0</x:v>
      </x:c>
      <x:c r="Y316" s="26" t="n">
        <x:v>1</x:v>
      </x:c>
      <x:c r="Z316" s="26" t="str">
        <x:v>PENDING</x:v>
      </x:c>
      <x:c r="AA316" s="26" t="str">
        <x:v>CHG-RC1-DOC-31</x:v>
      </x:c>
      <x:c r="AB316" s="26" t="str">
        <x:v>DEFINED / NOT EXECUTED</x:v>
      </x:c>
    </x:row>
    <x:row r="317" ht="30" customHeight="1">
      <x:c r="A317" s="26" t="str">
        <x:v>Release</x:v>
      </x:c>
      <x:c r="B317" s="26" t="str">
        <x:v>REL-DEP-007</x:v>
      </x:c>
      <x:c r="C317" s="26" t="str">
        <x:v>Depots, ramas y distribución</x:v>
      </x:c>
      <x:c r="D317" s="26" t="str">
        <x:v>Release readiness</x:v>
      </x:c>
      <x:c r="E317" s="26" t="str">
        <x:v>La build no incluye symbols, logs o herramientas internas no autorizadas.</x:v>
      </x:c>
      <x:c r="F317" s="26" t="str">
        <x:v>Revisar, ejecutar y registrar evidencia reproducible.</x:v>
      </x:c>
      <x:c r="G317" s="26" t="str">
        <x:v>Cumplimiento verificable antes del gate indicado.</x:v>
      </x:c>
      <x:c r="H317" s="26" t="str">
        <x:v>Release package audit.</x:v>
      </x:c>
      <x:c r="I317" s="26" t="str">
        <x:v>11_Build_y_Versioning_Guide.md; 24_Steam_Publishing_Plan.md; 25_Post_Launch_and_Live_Operations_Plan.md</x:v>
      </x:c>
      <x:c r="J317" s="26" t="str">
        <x:v>Build/Steam historical v0.3–v0.6</x:v>
      </x:c>
      <x:c r="K317" s="26" t="str">
        <x:v>Release</x:v>
      </x:c>
      <x:c r="L317" s="26" t="str">
        <x:v>Yes</x:v>
      </x:c>
      <x:c r="M317" s="26" t="str">
        <x:v>P1</x:v>
      </x:c>
      <x:c r="N317" s="26" t="str">
        <x:v>Build/Steam</x:v>
      </x:c>
      <x:c r="O317" s="26" t="str">
        <x:v>QA/Security</x:v>
      </x:c>
      <x:c r="P317" s="26" t="str">
        <x:v>NOT RUN</x:v>
      </x:c>
      <x:c r="Q317" s="26"/>
      <x:c r="R317" s="26"/>
      <x:c r="S317" s="26"/>
      <x:c r="T317" s="26"/>
      <x:c r="U317" s="26"/>
      <x:c r="V317" s="26"/>
      <x:c r="W317" s="26" t="n">
        <x:v>1</x:v>
      </x:c>
      <x:c r="X317" s="26" t="n">
        <x:v>0</x:v>
      </x:c>
      <x:c r="Y317" s="26" t="n">
        <x:v>1</x:v>
      </x:c>
      <x:c r="Z317" s="26" t="str">
        <x:v>PENDING</x:v>
      </x:c>
      <x:c r="AA317" s="26" t="str">
        <x:v>CHG-RC1-DOC-31</x:v>
      </x:c>
      <x:c r="AB317" s="26" t="str">
        <x:v>DEFINED / NOT EXECUTED</x:v>
      </x:c>
    </x:row>
    <x:row r="318" ht="30" customHeight="1">
      <x:c r="A318" s="26" t="str">
        <x:v>Release</x:v>
      </x:c>
      <x:c r="B318" s="26" t="str">
        <x:v>REL-DEP-008</x:v>
      </x:c>
      <x:c r="C318" s="26" t="str">
        <x:v>Depots, ramas y distribución</x:v>
      </x:c>
      <x:c r="D318" s="26" t="str">
        <x:v>Release readiness</x:v>
      </x:c>
      <x:c r="E318" s="26" t="str">
        <x:v>La firma/notarización aplicable y reputación del ejecutable se revisan.</x:v>
      </x:c>
      <x:c r="F318" s="26" t="str">
        <x:v>Revisar, ejecutar y registrar evidencia reproducible.</x:v>
      </x:c>
      <x:c r="G318" s="26" t="str">
        <x:v>Cumplimiento verificable antes del gate indicado.</x:v>
      </x:c>
      <x:c r="H318" s="26" t="str">
        <x:v>Binary trust record.</x:v>
      </x:c>
      <x:c r="I318" s="26" t="str">
        <x:v>11_Build_y_Versioning_Guide.md; 24_Steam_Publishing_Plan.md; 25_Post_Launch_and_Live_Operations_Plan.md</x:v>
      </x:c>
      <x:c r="J318" s="26" t="str">
        <x:v>Build/Steam historical v0.3–v0.6</x:v>
      </x:c>
      <x:c r="K318" s="26" t="str">
        <x:v>Release</x:v>
      </x:c>
      <x:c r="L318" s="26" t="str">
        <x:v>Yes</x:v>
      </x:c>
      <x:c r="M318" s="26" t="str">
        <x:v>P1</x:v>
      </x:c>
      <x:c r="N318" s="26" t="str">
        <x:v>Build/Steam</x:v>
      </x:c>
      <x:c r="O318" s="26" t="str">
        <x:v>QA/Security</x:v>
      </x:c>
      <x:c r="P318" s="26" t="str">
        <x:v>NOT RUN</x:v>
      </x:c>
      <x:c r="Q318" s="26"/>
      <x:c r="R318" s="26"/>
      <x:c r="S318" s="26"/>
      <x:c r="T318" s="26"/>
      <x:c r="U318" s="26"/>
      <x:c r="V318" s="26"/>
      <x:c r="W318" s="26" t="n">
        <x:v>1</x:v>
      </x:c>
      <x:c r="X318" s="26" t="n">
        <x:v>0</x:v>
      </x:c>
      <x:c r="Y318" s="26" t="n">
        <x:v>1</x:v>
      </x:c>
      <x:c r="Z318" s="26" t="str">
        <x:v>PENDING</x:v>
      </x:c>
      <x:c r="AA318" s="26" t="str">
        <x:v>CHG-RC1-DOC-31</x:v>
      </x:c>
      <x:c r="AB318" s="26" t="str">
        <x:v>DEFINED / NOT EXECUTED</x:v>
      </x:c>
    </x:row>
    <x:row r="319" ht="30" customHeight="1">
      <x:c r="A319" s="26" t="str">
        <x:v>Release</x:v>
      </x:c>
      <x:c r="B319" s="26" t="str">
        <x:v>REL-DEP-009</x:v>
      </x:c>
      <x:c r="C319" s="26" t="str">
        <x:v>Depots, ramas y distribución</x:v>
      </x:c>
      <x:c r="D319" s="26" t="str">
        <x:v>Release readiness</x:v>
      </x:c>
      <x:c r="E319" s="26" t="str">
        <x:v>Los antivirus/SmartScreen false positives se evalúan y documentan.</x:v>
      </x:c>
      <x:c r="F319" s="26" t="str">
        <x:v>Revisar, ejecutar y registrar evidencia reproducible.</x:v>
      </x:c>
      <x:c r="G319" s="26" t="str">
        <x:v>Cumplimiento verificable antes del gate indicado.</x:v>
      </x:c>
      <x:c r="H319" s="26" t="str">
        <x:v>Security scan results.</x:v>
      </x:c>
      <x:c r="I319" s="26" t="str">
        <x:v>11_Build_y_Versioning_Guide.md; 24_Steam_Publishing_Plan.md; 25_Post_Launch_and_Live_Operations_Plan.md</x:v>
      </x:c>
      <x:c r="J319" s="26" t="str">
        <x:v>Build/Steam historical v0.3–v0.6</x:v>
      </x:c>
      <x:c r="K319" s="26" t="str">
        <x:v>Release</x:v>
      </x:c>
      <x:c r="L319" s="26" t="str">
        <x:v>Yes</x:v>
      </x:c>
      <x:c r="M319" s="26" t="str">
        <x:v>P1</x:v>
      </x:c>
      <x:c r="N319" s="26" t="str">
        <x:v>Build/Steam</x:v>
      </x:c>
      <x:c r="O319" s="26" t="str">
        <x:v>QA/Security</x:v>
      </x:c>
      <x:c r="P319" s="26" t="str">
        <x:v>NOT RUN</x:v>
      </x:c>
      <x:c r="Q319" s="26"/>
      <x:c r="R319" s="26"/>
      <x:c r="S319" s="26"/>
      <x:c r="T319" s="26"/>
      <x:c r="U319" s="26"/>
      <x:c r="V319" s="26"/>
      <x:c r="W319" s="26" t="n">
        <x:v>1</x:v>
      </x:c>
      <x:c r="X319" s="26" t="n">
        <x:v>0</x:v>
      </x:c>
      <x:c r="Y319" s="26" t="n">
        <x:v>1</x:v>
      </x:c>
      <x:c r="Z319" s="26" t="str">
        <x:v>PENDING</x:v>
      </x:c>
      <x:c r="AA319" s="26" t="str">
        <x:v>CHG-RC1-DOC-31</x:v>
      </x:c>
      <x:c r="AB319" s="26" t="str">
        <x:v>DEFINED / NOT EXECUTED</x:v>
      </x:c>
    </x:row>
    <x:row r="320" ht="30" customHeight="1">
      <x:c r="A320" s="26" t="str">
        <x:v>Release</x:v>
      </x:c>
      <x:c r="B320" s="26" t="str">
        <x:v>REL-DEP-010</x:v>
      </x:c>
      <x:c r="C320" s="26" t="str">
        <x:v>Depots, ramas y distribución</x:v>
      </x:c>
      <x:c r="D320" s="26" t="str">
        <x:v>Release readiness</x:v>
      </x:c>
      <x:c r="E320" s="26" t="str">
        <x:v>La build arranca desde rutas con espacios, distintos discos y usuarios sin privilegios.</x:v>
      </x:c>
      <x:c r="F320" s="26" t="str">
        <x:v>Revisar, ejecutar y registrar evidencia reproducible.</x:v>
      </x:c>
      <x:c r="G320" s="26" t="str">
        <x:v>Cumplimiento verificable antes del gate indicado.</x:v>
      </x:c>
      <x:c r="H320" s="26" t="str">
        <x:v>Installation matrix.</x:v>
      </x:c>
      <x:c r="I320" s="26" t="str">
        <x:v>11_Build_y_Versioning_Guide.md; 24_Steam_Publishing_Plan.md; 25_Post_Launch_and_Live_Operations_Plan.md</x:v>
      </x:c>
      <x:c r="J320" s="26" t="str">
        <x:v>Build/Steam historical v0.3–v0.6</x:v>
      </x:c>
      <x:c r="K320" s="26" t="str">
        <x:v>Release</x:v>
      </x:c>
      <x:c r="L320" s="26" t="str">
        <x:v>Yes</x:v>
      </x:c>
      <x:c r="M320" s="26" t="str">
        <x:v>P1</x:v>
      </x:c>
      <x:c r="N320" s="26" t="str">
        <x:v>Build/Steam</x:v>
      </x:c>
      <x:c r="O320" s="26" t="str">
        <x:v>QA/Security</x:v>
      </x:c>
      <x:c r="P320" s="26" t="str">
        <x:v>NOT RUN</x:v>
      </x:c>
      <x:c r="Q320" s="26"/>
      <x:c r="R320" s="26"/>
      <x:c r="S320" s="26"/>
      <x:c r="T320" s="26"/>
      <x:c r="U320" s="26"/>
      <x:c r="V320" s="26"/>
      <x:c r="W320" s="26" t="n">
        <x:v>1</x:v>
      </x:c>
      <x:c r="X320" s="26" t="n">
        <x:v>0</x:v>
      </x:c>
      <x:c r="Y320" s="26" t="n">
        <x:v>1</x:v>
      </x:c>
      <x:c r="Z320" s="26" t="str">
        <x:v>PENDING</x:v>
      </x:c>
      <x:c r="AA320" s="26" t="str">
        <x:v>CHG-RC1-DOC-31</x:v>
      </x:c>
      <x:c r="AB320" s="26" t="str">
        <x:v>DEFINED / NOT EXECUTED</x:v>
      </x:c>
    </x:row>
    <x:row r="321" ht="30" customHeight="1">
      <x:c r="A321" s="26" t="str">
        <x:v>Release</x:v>
      </x:c>
      <x:c r="B321" s="26" t="str">
        <x:v>REL-DEP-011</x:v>
      </x:c>
      <x:c r="C321" s="26" t="str">
        <x:v>Depots, ramas y distribución</x:v>
      </x:c>
      <x:c r="D321" s="26" t="str">
        <x:v>Release readiness</x:v>
      </x:c>
      <x:c r="E321" s="26" t="str">
        <x:v>El contenido de demo, Playtest y full game está correctamente separado.</x:v>
      </x:c>
      <x:c r="F321" s="26" t="str">
        <x:v>Revisar, ejecutar y registrar evidencia reproducible.</x:v>
      </x:c>
      <x:c r="G321" s="26" t="str">
        <x:v>Cumplimiento verificable antes del gate indicado.</x:v>
      </x:c>
      <x:c r="H321" s="26" t="str">
        <x:v>Content/depot separation report.</x:v>
      </x:c>
      <x:c r="I321" s="26" t="str">
        <x:v>11_Build_y_Versioning_Guide.md; 24_Steam_Publishing_Plan.md; 25_Post_Launch_and_Live_Operations_Plan.md</x:v>
      </x:c>
      <x:c r="J321" s="26" t="str">
        <x:v>Build/Steam historical v0.3–v0.6</x:v>
      </x:c>
      <x:c r="K321" s="26" t="str">
        <x:v>Release</x:v>
      </x:c>
      <x:c r="L321" s="26" t="str">
        <x:v>Yes</x:v>
      </x:c>
      <x:c r="M321" s="26" t="str">
        <x:v>P1</x:v>
      </x:c>
      <x:c r="N321" s="26" t="str">
        <x:v>Build/Steam</x:v>
      </x:c>
      <x:c r="O321" s="26" t="str">
        <x:v>QA/Security</x:v>
      </x:c>
      <x:c r="P321" s="26" t="str">
        <x:v>NOT RUN</x:v>
      </x:c>
      <x:c r="Q321" s="26"/>
      <x:c r="R321" s="26"/>
      <x:c r="S321" s="26"/>
      <x:c r="T321" s="26"/>
      <x:c r="U321" s="26"/>
      <x:c r="V321" s="26"/>
      <x:c r="W321" s="26" t="n">
        <x:v>1</x:v>
      </x:c>
      <x:c r="X321" s="26" t="n">
        <x:v>0</x:v>
      </x:c>
      <x:c r="Y321" s="26" t="n">
        <x:v>1</x:v>
      </x:c>
      <x:c r="Z321" s="26" t="str">
        <x:v>PENDING</x:v>
      </x:c>
      <x:c r="AA321" s="26" t="str">
        <x:v>CHG-RC1-DOC-31</x:v>
      </x:c>
      <x:c r="AB321" s="26" t="str">
        <x:v>DEFINED / NOT EXECUTED</x:v>
      </x:c>
    </x:row>
    <x:row r="322" ht="30" customHeight="1">
      <x:c r="A322" s="26" t="str">
        <x:v>Release</x:v>
      </x:c>
      <x:c r="B322" s="26" t="str">
        <x:v>REL-DEP-012</x:v>
      </x:c>
      <x:c r="C322" s="26" t="str">
        <x:v>Depots, ramas y distribución</x:v>
      </x:c>
      <x:c r="D322" s="26" t="str">
        <x:v>Release readiness</x:v>
      </x:c>
      <x:c r="E322" s="26" t="str">
        <x:v>Los paquetes redistributables no duplican ni rompen instalaciones existentes.</x:v>
      </x:c>
      <x:c r="F322" s="26" t="str">
        <x:v>Revisar, ejecutar y registrar evidencia reproducible.</x:v>
      </x:c>
      <x:c r="G322" s="26" t="str">
        <x:v>Cumplimiento verificable antes del gate indicado.</x:v>
      </x:c>
      <x:c r="H322" s="26" t="str">
        <x:v>Runtime installation tests.</x:v>
      </x:c>
      <x:c r="I322" s="26" t="str">
        <x:v>11_Build_y_Versioning_Guide.md; 24_Steam_Publishing_Plan.md; 25_Post_Launch_and_Live_Operations_Plan.md</x:v>
      </x:c>
      <x:c r="J322" s="26" t="str">
        <x:v>Build/Steam historical v0.3–v0.6</x:v>
      </x:c>
      <x:c r="K322" s="26" t="str">
        <x:v>Release</x:v>
      </x:c>
      <x:c r="L322" s="26" t="str">
        <x:v>Yes</x:v>
      </x:c>
      <x:c r="M322" s="26" t="str">
        <x:v>P1</x:v>
      </x:c>
      <x:c r="N322" s="26" t="str">
        <x:v>Build/Steam</x:v>
      </x:c>
      <x:c r="O322" s="26" t="str">
        <x:v>QA/Security</x:v>
      </x:c>
      <x:c r="P322" s="26" t="str">
        <x:v>NOT RUN</x:v>
      </x:c>
      <x:c r="Q322" s="26"/>
      <x:c r="R322" s="26"/>
      <x:c r="S322" s="26"/>
      <x:c r="T322" s="26"/>
      <x:c r="U322" s="26"/>
      <x:c r="V322" s="26"/>
      <x:c r="W322" s="26" t="n">
        <x:v>1</x:v>
      </x:c>
      <x:c r="X322" s="26" t="n">
        <x:v>0</x:v>
      </x:c>
      <x:c r="Y322" s="26" t="n">
        <x:v>1</x:v>
      </x:c>
      <x:c r="Z322" s="26" t="str">
        <x:v>PENDING</x:v>
      </x:c>
      <x:c r="AA322" s="26" t="str">
        <x:v>CHG-RC1-DOC-31</x:v>
      </x:c>
      <x:c r="AB322" s="26" t="str">
        <x:v>DEFINED / NOT EXECUTED</x:v>
      </x:c>
    </x:row>
    <x:row r="323" ht="30" customHeight="1">
      <x:c r="A323" s="26" t="str">
        <x:v>Release</x:v>
      </x:c>
      <x:c r="B323" s="26" t="str">
        <x:v>REL-DEP-013</x:v>
      </x:c>
      <x:c r="C323" s="26" t="str">
        <x:v>Depots, ramas y distribución</x:v>
      </x:c>
      <x:c r="D323" s="26" t="str">
        <x:v>Release readiness</x:v>
      </x:c>
      <x:c r="E323" s="26" t="str">
        <x:v>Existe una RC primaria y una RC de rollback verificadas.</x:v>
      </x:c>
      <x:c r="F323" s="26" t="str">
        <x:v>Revisar, ejecutar y registrar evidencia reproducible.</x:v>
      </x:c>
      <x:c r="G323" s="26" t="str">
        <x:v>Cumplimiento verificable antes del gate indicado.</x:v>
      </x:c>
      <x:c r="H323" s="26" t="str">
        <x:v>RC/rollback build records.</x:v>
      </x:c>
      <x:c r="I323" s="26" t="str">
        <x:v>11_Build_y_Versioning_Guide.md; 24_Steam_Publishing_Plan.md; 25_Post_Launch_and_Live_Operations_Plan.md</x:v>
      </x:c>
      <x:c r="J323" s="26" t="str">
        <x:v>Build/Steam historical v0.3–v0.6</x:v>
      </x:c>
      <x:c r="K323" s="26" t="str">
        <x:v>Release</x:v>
      </x:c>
      <x:c r="L323" s="26" t="str">
        <x:v>Yes</x:v>
      </x:c>
      <x:c r="M323" s="26" t="str">
        <x:v>P1</x:v>
      </x:c>
      <x:c r="N323" s="26" t="str">
        <x:v>Build/Steam</x:v>
      </x:c>
      <x:c r="O323" s="26" t="str">
        <x:v>QA/Security</x:v>
      </x:c>
      <x:c r="P323" s="26" t="str">
        <x:v>NOT RUN</x:v>
      </x:c>
      <x:c r="Q323" s="26"/>
      <x:c r="R323" s="26"/>
      <x:c r="S323" s="26"/>
      <x:c r="T323" s="26"/>
      <x:c r="U323" s="26"/>
      <x:c r="V323" s="26"/>
      <x:c r="W323" s="26" t="n">
        <x:v>1</x:v>
      </x:c>
      <x:c r="X323" s="26" t="n">
        <x:v>0</x:v>
      </x:c>
      <x:c r="Y323" s="26" t="n">
        <x:v>1</x:v>
      </x:c>
      <x:c r="Z323" s="26" t="str">
        <x:v>PENDING</x:v>
      </x:c>
      <x:c r="AA323" s="26" t="str">
        <x:v>CHG-RC1-DOC-31</x:v>
      </x:c>
      <x:c r="AB323" s="26" t="str">
        <x:v>DEFINED / NOT EXECUTED</x:v>
      </x:c>
    </x:row>
    <x:row r="324" ht="30" customHeight="1">
      <x:c r="A324" s="26" t="str">
        <x:v>Release</x:v>
      </x:c>
      <x:c r="B324" s="26" t="str">
        <x:v>REL-DEP-014</x:v>
      </x:c>
      <x:c r="C324" s="26" t="str">
        <x:v>Depots, ramas y distribución</x:v>
      </x:c>
      <x:c r="D324" s="26" t="str">
        <x:v>Release readiness</x:v>
      </x:c>
      <x:c r="E324" s="26" t="str">
        <x:v>Los límites de ancho de banda/tamaño y tiempo de descarga se han estimado con datos reales.</x:v>
      </x:c>
      <x:c r="F324" s="26" t="str">
        <x:v>Revisar, ejecutar y registrar evidencia reproducible.</x:v>
      </x:c>
      <x:c r="G324" s="26" t="str">
        <x:v>Cumplimiento verificable antes del gate indicado.</x:v>
      </x:c>
      <x:c r="H324" s="26" t="str">
        <x:v>Package size report.</x:v>
      </x:c>
      <x:c r="I324" s="26" t="str">
        <x:v>11_Build_y_Versioning_Guide.md; 24_Steam_Publishing_Plan.md; 25_Post_Launch_and_Live_Operations_Plan.md</x:v>
      </x:c>
      <x:c r="J324" s="26" t="str">
        <x:v>Build/Steam historical v0.3–v0.6</x:v>
      </x:c>
      <x:c r="K324" s="26" t="str">
        <x:v>Release</x:v>
      </x:c>
      <x:c r="L324" s="26" t="str">
        <x:v>Yes</x:v>
      </x:c>
      <x:c r="M324" s="26" t="str">
        <x:v>P1</x:v>
      </x:c>
      <x:c r="N324" s="26" t="str">
        <x:v>Build/Steam</x:v>
      </x:c>
      <x:c r="O324" s="26" t="str">
        <x:v>QA/Security</x:v>
      </x:c>
      <x:c r="P324" s="26" t="str">
        <x:v>NOT RUN</x:v>
      </x:c>
      <x:c r="Q324" s="26"/>
      <x:c r="R324" s="26"/>
      <x:c r="S324" s="26"/>
      <x:c r="T324" s="26"/>
      <x:c r="U324" s="26"/>
      <x:c r="V324" s="26"/>
      <x:c r="W324" s="26" t="n">
        <x:v>1</x:v>
      </x:c>
      <x:c r="X324" s="26" t="n">
        <x:v>0</x:v>
      </x:c>
      <x:c r="Y324" s="26" t="n">
        <x:v>1</x:v>
      </x:c>
      <x:c r="Z324" s="26" t="str">
        <x:v>PENDING</x:v>
      </x:c>
      <x:c r="AA324" s="26" t="str">
        <x:v>CHG-RC1-DOC-31</x:v>
      </x:c>
      <x:c r="AB324" s="26" t="str">
        <x:v>DEFINED / NOT EXECUTED</x:v>
      </x:c>
    </x:row>
    <x:row r="325" ht="30" customHeight="1">
      <x:c r="A325" s="26" t="str">
        <x:v>Release</x:v>
      </x:c>
      <x:c r="B325" s="26" t="str">
        <x:v>REL-DEP-015</x:v>
      </x:c>
      <x:c r="C325" s="26" t="str">
        <x:v>Depots, ramas y distribución</x:v>
      </x:c>
      <x:c r="D325" s="26" t="str">
        <x:v>Release readiness</x:v>
      </x:c>
      <x:c r="E325" s="26" t="str">
        <x:v>El procedimiento de publicación y reversión ha sido ensayado en entorno seguro.</x:v>
      </x:c>
      <x:c r="F325" s="26" t="str">
        <x:v>Revisar, ejecutar y registrar evidencia reproducible.</x:v>
      </x:c>
      <x:c r="G325" s="26" t="str">
        <x:v>Cumplimiento verificable antes del gate indicado.</x:v>
      </x:c>
      <x:c r="H325" s="26" t="str">
        <x:v>Release rehearsal record.</x:v>
      </x:c>
      <x:c r="I325" s="26" t="str">
        <x:v>11_Build_y_Versioning_Guide.md; 24_Steam_Publishing_Plan.md; 25_Post_Launch_and_Live_Operations_Plan.md</x:v>
      </x:c>
      <x:c r="J325" s="26" t="str">
        <x:v>Build/Steam historical v0.3–v0.6</x:v>
      </x:c>
      <x:c r="K325" s="26" t="str">
        <x:v>Release</x:v>
      </x:c>
      <x:c r="L325" s="26" t="str">
        <x:v>Yes</x:v>
      </x:c>
      <x:c r="M325" s="26" t="str">
        <x:v>P1</x:v>
      </x:c>
      <x:c r="N325" s="26" t="str">
        <x:v>Build/Steam</x:v>
      </x:c>
      <x:c r="O325" s="26" t="str">
        <x:v>QA/Security</x:v>
      </x:c>
      <x:c r="P325" s="26" t="str">
        <x:v>NOT RUN</x:v>
      </x:c>
      <x:c r="Q325" s="26"/>
      <x:c r="R325" s="26"/>
      <x:c r="S325" s="26"/>
      <x:c r="T325" s="26"/>
      <x:c r="U325" s="26"/>
      <x:c r="V325" s="26"/>
      <x:c r="W325" s="26" t="n">
        <x:v>1</x:v>
      </x:c>
      <x:c r="X325" s="26" t="n">
        <x:v>0</x:v>
      </x:c>
      <x:c r="Y325" s="26" t="n">
        <x:v>1</x:v>
      </x:c>
      <x:c r="Z325" s="26" t="str">
        <x:v>PENDING</x:v>
      </x:c>
      <x:c r="AA325" s="26" t="str">
        <x:v>CHG-RC1-DOC-31</x:v>
      </x:c>
      <x:c r="AB325" s="26" t="str">
        <x:v>DEFINED / NOT EXECUTED</x:v>
      </x:c>
    </x:row>
    <x:row r="326" ht="30" customHeight="1">
      <x:c r="A326" s="26" t="str">
        <x:v>Release</x:v>
      </x:c>
      <x:c r="B326" s="26" t="str">
        <x:v>REL-QA-001</x:v>
      </x:c>
      <x:c r="C326" s="26" t="str">
        <x:v>Release Candidate y QA</x:v>
      </x:c>
      <x:c r="D326" s="26" t="str">
        <x:v>Release readiness</x:v>
      </x:c>
      <x:c r="E326" s="26" t="str">
        <x:v>La RC proviene de un commit/tag congelado y no contiene cambios no validados.</x:v>
      </x:c>
      <x:c r="F326" s="26" t="str">
        <x:v>Revisar, ejecutar y registrar evidencia reproducible.</x:v>
      </x:c>
      <x:c r="G326" s="26" t="str">
        <x:v>Cumplimiento verificable antes del gate indicado.</x:v>
      </x:c>
      <x:c r="H326" s="26" t="str">
        <x:v>RC provenance record.</x:v>
      </x:c>
      <x:c r="I326" s="26" t="str">
        <x:v>07_QA_Testing_Plan.md; 24_Steam_Publishing_Plan.md; 25_Post_Launch_and_Live_Operations_Plan.md</x:v>
      </x:c>
      <x:c r="J326" s="26" t="str">
        <x:v>QA Plans/Matrices and build acceptance records v0.3–v0.6</x:v>
      </x:c>
      <x:c r="K326" s="26" t="str">
        <x:v>Release</x:v>
      </x:c>
      <x:c r="L326" s="26" t="str">
        <x:v>Yes</x:v>
      </x:c>
      <x:c r="M326" s="26" t="str">
        <x:v>P0</x:v>
      </x:c>
      <x:c r="N326" s="26" t="str">
        <x:v>QA</x:v>
      </x:c>
      <x:c r="O326" s="26" t="str">
        <x:v>Production/Engineering</x:v>
      </x:c>
      <x:c r="P326" s="26" t="str">
        <x:v>NOT RUN</x:v>
      </x:c>
      <x:c r="Q326" s="26"/>
      <x:c r="R326" s="26"/>
      <x:c r="S326" s="26"/>
      <x:c r="T326" s="26"/>
      <x:c r="U326" s="26"/>
      <x:c r="V326" s="26"/>
      <x:c r="W326" s="26" t="n">
        <x:v>1</x:v>
      </x:c>
      <x:c r="X326" s="26" t="n">
        <x:v>0</x:v>
      </x:c>
      <x:c r="Y326" s="26" t="n">
        <x:v>1</x:v>
      </x:c>
      <x:c r="Z326" s="26" t="str">
        <x:v>PENDING</x:v>
      </x:c>
      <x:c r="AA326" s="26" t="str">
        <x:v>CHG-RC1-DOC-31</x:v>
      </x:c>
      <x:c r="AB326" s="26" t="str">
        <x:v>DEFINED / NOT EXECUTED</x:v>
      </x:c>
    </x:row>
    <x:row r="327" ht="30" customHeight="1">
      <x:c r="A327" s="26" t="str">
        <x:v>Release</x:v>
      </x:c>
      <x:c r="B327" s="26" t="str">
        <x:v>REL-QA-002</x:v>
      </x:c>
      <x:c r="C327" s="26" t="str">
        <x:v>Release Candidate y QA</x:v>
      </x:c>
      <x:c r="D327" s="26" t="str">
        <x:v>Release readiness</x:v>
      </x:c>
      <x:c r="E327" s="26" t="str">
        <x:v>La regresión completa se ejecuta sobre la misma RC subida a Steam.</x:v>
      </x:c>
      <x:c r="F327" s="26" t="str">
        <x:v>Revisar, ejecutar y registrar evidencia reproducible.</x:v>
      </x:c>
      <x:c r="G327" s="26" t="str">
        <x:v>Cumplimiento verificable antes del gate indicado.</x:v>
      </x:c>
      <x:c r="H327" s="26" t="str">
        <x:v>RC test report.</x:v>
      </x:c>
      <x:c r="I327" s="26" t="str">
        <x:v>07_QA_Testing_Plan.md; 24_Steam_Publishing_Plan.md; 25_Post_Launch_and_Live_Operations_Plan.md</x:v>
      </x:c>
      <x:c r="J327" s="26" t="str">
        <x:v>QA Plans/Matrices and build acceptance records v0.3–v0.6</x:v>
      </x:c>
      <x:c r="K327" s="26" t="str">
        <x:v>Release</x:v>
      </x:c>
      <x:c r="L327" s="26" t="str">
        <x:v>Yes</x:v>
      </x:c>
      <x:c r="M327" s="26" t="str">
        <x:v>P0</x:v>
      </x:c>
      <x:c r="N327" s="26" t="str">
        <x:v>QA</x:v>
      </x:c>
      <x:c r="O327" s="26" t="str">
        <x:v>Production/Engineering</x:v>
      </x:c>
      <x:c r="P327" s="26" t="str">
        <x:v>NOT RUN</x:v>
      </x:c>
      <x:c r="Q327" s="26"/>
      <x:c r="R327" s="26"/>
      <x:c r="S327" s="26"/>
      <x:c r="T327" s="26"/>
      <x:c r="U327" s="26"/>
      <x:c r="V327" s="26"/>
      <x:c r="W327" s="26" t="n">
        <x:v>1</x:v>
      </x:c>
      <x:c r="X327" s="26" t="n">
        <x:v>0</x:v>
      </x:c>
      <x:c r="Y327" s="26" t="n">
        <x:v>1</x:v>
      </x:c>
      <x:c r="Z327" s="26" t="str">
        <x:v>PENDING</x:v>
      </x:c>
      <x:c r="AA327" s="26" t="str">
        <x:v>CHG-RC1-DOC-31</x:v>
      </x:c>
      <x:c r="AB327" s="26" t="str">
        <x:v>DEFINED / NOT EXECUTED</x:v>
      </x:c>
    </x:row>
    <x:row r="328" ht="30" customHeight="1">
      <x:c r="A328" s="26" t="str">
        <x:v>Release</x:v>
      </x:c>
      <x:c r="B328" s="26" t="str">
        <x:v>REL-QA-003</x:v>
      </x:c>
      <x:c r="C328" s="26" t="str">
        <x:v>Release Candidate y QA</x:v>
      </x:c>
      <x:c r="D328" s="26" t="str">
        <x:v>Release readiness</x:v>
      </x:c>
      <x:c r="E328" s="26" t="str">
        <x:v>Cero S0/S1 abiertos y S2 tratados según política de release.</x:v>
      </x:c>
      <x:c r="F328" s="26" t="str">
        <x:v>Revisar, ejecutar y registrar evidencia reproducible.</x:v>
      </x:c>
      <x:c r="G328" s="26" t="str">
        <x:v>Cumplimiento verificable antes del gate indicado.</x:v>
      </x:c>
      <x:c r="H328" s="26" t="str">
        <x:v>Release defect report.</x:v>
      </x:c>
      <x:c r="I328" s="26" t="str">
        <x:v>07_QA_Testing_Plan.md; 24_Steam_Publishing_Plan.md; 25_Post_Launch_and_Live_Operations_Plan.md</x:v>
      </x:c>
      <x:c r="J328" s="26" t="str">
        <x:v>QA Plans/Matrices and build acceptance records v0.3–v0.6</x:v>
      </x:c>
      <x:c r="K328" s="26" t="str">
        <x:v>Release</x:v>
      </x:c>
      <x:c r="L328" s="26" t="str">
        <x:v>Yes</x:v>
      </x:c>
      <x:c r="M328" s="26" t="str">
        <x:v>P0</x:v>
      </x:c>
      <x:c r="N328" s="26" t="str">
        <x:v>QA</x:v>
      </x:c>
      <x:c r="O328" s="26" t="str">
        <x:v>Production/Engineering</x:v>
      </x:c>
      <x:c r="P328" s="26" t="str">
        <x:v>NOT RUN</x:v>
      </x:c>
      <x:c r="Q328" s="26"/>
      <x:c r="R328" s="26"/>
      <x:c r="S328" s="26"/>
      <x:c r="T328" s="26"/>
      <x:c r="U328" s="26"/>
      <x:c r="V328" s="26"/>
      <x:c r="W328" s="26" t="n">
        <x:v>1</x:v>
      </x:c>
      <x:c r="X328" s="26" t="n">
        <x:v>0</x:v>
      </x:c>
      <x:c r="Y328" s="26" t="n">
        <x:v>1</x:v>
      </x:c>
      <x:c r="Z328" s="26" t="str">
        <x:v>PENDING</x:v>
      </x:c>
      <x:c r="AA328" s="26" t="str">
        <x:v>CHG-RC1-DOC-31</x:v>
      </x:c>
      <x:c r="AB328" s="26" t="str">
        <x:v>DEFINED / NOT EXECUTED</x:v>
      </x:c>
    </x:row>
    <x:row r="329" ht="30" customHeight="1">
      <x:c r="A329" s="26" t="str">
        <x:v>Release</x:v>
      </x:c>
      <x:c r="B329" s="26" t="str">
        <x:v>REL-QA-004</x:v>
      </x:c>
      <x:c r="C329" s="26" t="str">
        <x:v>Release Candidate y QA</x:v>
      </x:c>
      <x:c r="D329" s="26" t="str">
        <x:v>Release readiness</x:v>
      </x:c>
      <x:c r="E329" s="26" t="str">
        <x:v>Golden Path, campaña extensa y principales casos negativos pasan en RC.</x:v>
      </x:c>
      <x:c r="F329" s="26" t="str">
        <x:v>Revisar, ejecutar y registrar evidencia reproducible.</x:v>
      </x:c>
      <x:c r="G329" s="26" t="str">
        <x:v>Cumplimiento verificable antes del gate indicado.</x:v>
      </x:c>
      <x:c r="H329" s="26" t="str">
        <x:v>Manual execution records.</x:v>
      </x:c>
      <x:c r="I329" s="26" t="str">
        <x:v>07_QA_Testing_Plan.md; 24_Steam_Publishing_Plan.md; 25_Post_Launch_and_Live_Operations_Plan.md</x:v>
      </x:c>
      <x:c r="J329" s="26" t="str">
        <x:v>QA Plans/Matrices and build acceptance records v0.3–v0.6</x:v>
      </x:c>
      <x:c r="K329" s="26" t="str">
        <x:v>Release</x:v>
      </x:c>
      <x:c r="L329" s="26" t="str">
        <x:v>Yes</x:v>
      </x:c>
      <x:c r="M329" s="26" t="str">
        <x:v>P1</x:v>
      </x:c>
      <x:c r="N329" s="26" t="str">
        <x:v>QA</x:v>
      </x:c>
      <x:c r="O329" s="26" t="str">
        <x:v>Production/Engineering</x:v>
      </x:c>
      <x:c r="P329" s="26" t="str">
        <x:v>NOT RUN</x:v>
      </x:c>
      <x:c r="Q329" s="26"/>
      <x:c r="R329" s="26"/>
      <x:c r="S329" s="26"/>
      <x:c r="T329" s="26"/>
      <x:c r="U329" s="26"/>
      <x:c r="V329" s="26"/>
      <x:c r="W329" s="26" t="n">
        <x:v>1</x:v>
      </x:c>
      <x:c r="X329" s="26" t="n">
        <x:v>0</x:v>
      </x:c>
      <x:c r="Y329" s="26" t="n">
        <x:v>1</x:v>
      </x:c>
      <x:c r="Z329" s="26" t="str">
        <x:v>PENDING</x:v>
      </x:c>
      <x:c r="AA329" s="26" t="str">
        <x:v>CHG-RC1-DOC-31</x:v>
      </x:c>
      <x:c r="AB329" s="26" t="str">
        <x:v>DEFINED / NOT EXECUTED</x:v>
      </x:c>
    </x:row>
    <x:row r="330" ht="30" customHeight="1">
      <x:c r="A330" s="26" t="str">
        <x:v>Release</x:v>
      </x:c>
      <x:c r="B330" s="26" t="str">
        <x:v>REL-QA-005</x:v>
      </x:c>
      <x:c r="C330" s="26" t="str">
        <x:v>Release Candidate y QA</x:v>
      </x:c>
      <x:c r="D330" s="26" t="str">
        <x:v>Release readiness</x:v>
      </x:c>
      <x:c r="E330" s="26" t="str">
        <x:v>Instalación limpia, actualización, rollback y compatibilidad de saves pasan.</x:v>
      </x:c>
      <x:c r="F330" s="26" t="str">
        <x:v>Revisar, ejecutar y registrar evidencia reproducible.</x:v>
      </x:c>
      <x:c r="G330" s="26" t="str">
        <x:v>Cumplimiento verificable antes del gate indicado.</x:v>
      </x:c>
      <x:c r="H330" s="26" t="str">
        <x:v>Lifecycle QA report.</x:v>
      </x:c>
      <x:c r="I330" s="26" t="str">
        <x:v>07_QA_Testing_Plan.md; 24_Steam_Publishing_Plan.md; 25_Post_Launch_and_Live_Operations_Plan.md</x:v>
      </x:c>
      <x:c r="J330" s="26" t="str">
        <x:v>QA Plans/Matrices and build acceptance records v0.3–v0.6</x:v>
      </x:c>
      <x:c r="K330" s="26" t="str">
        <x:v>Release</x:v>
      </x:c>
      <x:c r="L330" s="26" t="str">
        <x:v>Yes</x:v>
      </x:c>
      <x:c r="M330" s="26" t="str">
        <x:v>P1</x:v>
      </x:c>
      <x:c r="N330" s="26" t="str">
        <x:v>QA</x:v>
      </x:c>
      <x:c r="O330" s="26" t="str">
        <x:v>Production/Engineering</x:v>
      </x:c>
      <x:c r="P330" s="26" t="str">
        <x:v>NOT RUN</x:v>
      </x:c>
      <x:c r="Q330" s="26"/>
      <x:c r="R330" s="26"/>
      <x:c r="S330" s="26"/>
      <x:c r="T330" s="26"/>
      <x:c r="U330" s="26"/>
      <x:c r="V330" s="26"/>
      <x:c r="W330" s="26" t="n">
        <x:v>1</x:v>
      </x:c>
      <x:c r="X330" s="26" t="n">
        <x:v>0</x:v>
      </x:c>
      <x:c r="Y330" s="26" t="n">
        <x:v>1</x:v>
      </x:c>
      <x:c r="Z330" s="26" t="str">
        <x:v>PENDING</x:v>
      </x:c>
      <x:c r="AA330" s="26" t="str">
        <x:v>CHG-RC1-DOC-31</x:v>
      </x:c>
      <x:c r="AB330" s="26" t="str">
        <x:v>DEFINED / NOT EXECUTED</x:v>
      </x:c>
    </x:row>
    <x:row r="331" ht="30" customHeight="1">
      <x:c r="A331" s="26" t="str">
        <x:v>Release</x:v>
      </x:c>
      <x:c r="B331" s="26" t="str">
        <x:v>REL-QA-006</x:v>
      </x:c>
      <x:c r="C331" s="26" t="str">
        <x:v>Release Candidate y QA</x:v>
      </x:c>
      <x:c r="D331" s="26" t="str">
        <x:v>Release readiness</x:v>
      </x:c>
      <x:c r="E331" s="26" t="str">
        <x:v>La matriz ES/EN, resoluciones, escalas y dispositivos soportados pasa.</x:v>
      </x:c>
      <x:c r="F331" s="26" t="str">
        <x:v>Revisar, ejecutar y registrar evidencia reproducible.</x:v>
      </x:c>
      <x:c r="G331" s="26" t="str">
        <x:v>Cumplimiento verificable antes del gate indicado.</x:v>
      </x:c>
      <x:c r="H331" s="26" t="str">
        <x:v>Compatibility matrix.</x:v>
      </x:c>
      <x:c r="I331" s="26" t="str">
        <x:v>07_QA_Testing_Plan.md; 24_Steam_Publishing_Plan.md; 25_Post_Launch_and_Live_Operations_Plan.md</x:v>
      </x:c>
      <x:c r="J331" s="26" t="str">
        <x:v>QA Plans/Matrices and build acceptance records v0.3–v0.6</x:v>
      </x:c>
      <x:c r="K331" s="26" t="str">
        <x:v>Release</x:v>
      </x:c>
      <x:c r="L331" s="26" t="str">
        <x:v>Yes</x:v>
      </x:c>
      <x:c r="M331" s="26" t="str">
        <x:v>P1</x:v>
      </x:c>
      <x:c r="N331" s="26" t="str">
        <x:v>QA</x:v>
      </x:c>
      <x:c r="O331" s="26" t="str">
        <x:v>Production/Engineering</x:v>
      </x:c>
      <x:c r="P331" s="26" t="str">
        <x:v>NOT RUN</x:v>
      </x:c>
      <x:c r="Q331" s="26"/>
      <x:c r="R331" s="26"/>
      <x:c r="S331" s="26"/>
      <x:c r="T331" s="26"/>
      <x:c r="U331" s="26"/>
      <x:c r="V331" s="26"/>
      <x:c r="W331" s="26" t="n">
        <x:v>1</x:v>
      </x:c>
      <x:c r="X331" s="26" t="n">
        <x:v>0</x:v>
      </x:c>
      <x:c r="Y331" s="26" t="n">
        <x:v>1</x:v>
      </x:c>
      <x:c r="Z331" s="26" t="str">
        <x:v>PENDING</x:v>
      </x:c>
      <x:c r="AA331" s="26" t="str">
        <x:v>CHG-RC1-DOC-31</x:v>
      </x:c>
      <x:c r="AB331" s="26" t="str">
        <x:v>DEFINED / NOT EXECUTED</x:v>
      </x:c>
    </x:row>
    <x:row r="332" ht="30" customHeight="1">
      <x:c r="A332" s="26" t="str">
        <x:v>Release</x:v>
      </x:c>
      <x:c r="B332" s="26" t="str">
        <x:v>REL-QA-007</x:v>
      </x:c>
      <x:c r="C332" s="26" t="str">
        <x:v>Release Candidate y QA</x:v>
      </x:c>
      <x:c r="D332" s="26" t="str">
        <x:v>Release readiness</x:v>
      </x:c>
      <x:c r="E332" s="26" t="str">
        <x:v>Se prueban hardware mínimo, recomendado y al menos un perfil adicional.</x:v>
      </x:c>
      <x:c r="F332" s="26" t="str">
        <x:v>Revisar, ejecutar y registrar evidencia reproducible.</x:v>
      </x:c>
      <x:c r="G332" s="26" t="str">
        <x:v>Cumplimiento verificable antes del gate indicado.</x:v>
      </x:c>
      <x:c r="H332" s="26" t="str">
        <x:v>Hardware QA report.</x:v>
      </x:c>
      <x:c r="I332" s="26" t="str">
        <x:v>07_QA_Testing_Plan.md; 24_Steam_Publishing_Plan.md; 25_Post_Launch_and_Live_Operations_Plan.md</x:v>
      </x:c>
      <x:c r="J332" s="26" t="str">
        <x:v>QA Plans/Matrices and build acceptance records v0.3–v0.6</x:v>
      </x:c>
      <x:c r="K332" s="26" t="str">
        <x:v>Release</x:v>
      </x:c>
      <x:c r="L332" s="26" t="str">
        <x:v>Yes</x:v>
      </x:c>
      <x:c r="M332" s="26" t="str">
        <x:v>P1</x:v>
      </x:c>
      <x:c r="N332" s="26" t="str">
        <x:v>QA</x:v>
      </x:c>
      <x:c r="O332" s="26" t="str">
        <x:v>Production/Engineering</x:v>
      </x:c>
      <x:c r="P332" s="26" t="str">
        <x:v>NOT RUN</x:v>
      </x:c>
      <x:c r="Q332" s="26"/>
      <x:c r="R332" s="26"/>
      <x:c r="S332" s="26"/>
      <x:c r="T332" s="26"/>
      <x:c r="U332" s="26"/>
      <x:c r="V332" s="26"/>
      <x:c r="W332" s="26" t="n">
        <x:v>1</x:v>
      </x:c>
      <x:c r="X332" s="26" t="n">
        <x:v>0</x:v>
      </x:c>
      <x:c r="Y332" s="26" t="n">
        <x:v>1</x:v>
      </x:c>
      <x:c r="Z332" s="26" t="str">
        <x:v>PENDING</x:v>
      </x:c>
      <x:c r="AA332" s="26" t="str">
        <x:v>CHG-RC1-DOC-31</x:v>
      </x:c>
      <x:c r="AB332" s="26" t="str">
        <x:v>DEFINED / NOT EXECUTED</x:v>
      </x:c>
    </x:row>
    <x:row r="333" ht="30" customHeight="1">
      <x:c r="A333" s="26" t="str">
        <x:v>Release</x:v>
      </x:c>
      <x:c r="B333" s="26" t="str">
        <x:v>REL-QA-008</x:v>
      </x:c>
      <x:c r="C333" s="26" t="str">
        <x:v>Release Candidate y QA</x:v>
      </x:c>
      <x:c r="D333" s="26" t="str">
        <x:v>Release readiness</x:v>
      </x:c>
      <x:c r="E333" s="26" t="str">
        <x:v>Player.log/crash dumps de sesiones largas no muestran errores recurrentes bloqueantes.</x:v>
      </x:c>
      <x:c r="F333" s="26" t="str">
        <x:v>Revisar, ejecutar y registrar evidencia reproducible.</x:v>
      </x:c>
      <x:c r="G333" s="26" t="str">
        <x:v>Cumplimiento verificable antes del gate indicado.</x:v>
      </x:c>
      <x:c r="H333" s="26" t="str">
        <x:v>Runtime log review.</x:v>
      </x:c>
      <x:c r="I333" s="26" t="str">
        <x:v>07_QA_Testing_Plan.md; 24_Steam_Publishing_Plan.md; 25_Post_Launch_and_Live_Operations_Plan.md</x:v>
      </x:c>
      <x:c r="J333" s="26" t="str">
        <x:v>QA Plans/Matrices and build acceptance records v0.3–v0.6</x:v>
      </x:c>
      <x:c r="K333" s="26" t="str">
        <x:v>Release</x:v>
      </x:c>
      <x:c r="L333" s="26" t="str">
        <x:v>Yes</x:v>
      </x:c>
      <x:c r="M333" s="26" t="str">
        <x:v>P1</x:v>
      </x:c>
      <x:c r="N333" s="26" t="str">
        <x:v>QA</x:v>
      </x:c>
      <x:c r="O333" s="26" t="str">
        <x:v>Production/Engineering</x:v>
      </x:c>
      <x:c r="P333" s="26" t="str">
        <x:v>NOT RUN</x:v>
      </x:c>
      <x:c r="Q333" s="26"/>
      <x:c r="R333" s="26"/>
      <x:c r="S333" s="26"/>
      <x:c r="T333" s="26"/>
      <x:c r="U333" s="26"/>
      <x:c r="V333" s="26"/>
      <x:c r="W333" s="26" t="n">
        <x:v>1</x:v>
      </x:c>
      <x:c r="X333" s="26" t="n">
        <x:v>0</x:v>
      </x:c>
      <x:c r="Y333" s="26" t="n">
        <x:v>1</x:v>
      </x:c>
      <x:c r="Z333" s="26" t="str">
        <x:v>PENDING</x:v>
      </x:c>
      <x:c r="AA333" s="26" t="str">
        <x:v>CHG-RC1-DOC-31</x:v>
      </x:c>
      <x:c r="AB333" s="26" t="str">
        <x:v>DEFINED / NOT EXECUTED</x:v>
      </x:c>
    </x:row>
    <x:row r="334" ht="30" customHeight="1">
      <x:c r="A334" s="26" t="str">
        <x:v>Release</x:v>
      </x:c>
      <x:c r="B334" s="26" t="str">
        <x:v>REL-QA-009</x:v>
      </x:c>
      <x:c r="C334" s="26" t="str">
        <x:v>Release Candidate y QA</x:v>
      </x:c>
      <x:c r="D334" s="26" t="str">
        <x:v>Release readiness</x:v>
      </x:c>
      <x:c r="E334" s="26" t="str">
        <x:v>La RC se prueba offline, online y con Steam en modo offline.</x:v>
      </x:c>
      <x:c r="F334" s="26" t="str">
        <x:v>Revisar, ejecutar y registrar evidencia reproducible.</x:v>
      </x:c>
      <x:c r="G334" s="26" t="str">
        <x:v>Cumplimiento verificable antes del gate indicado.</x:v>
      </x:c>
      <x:c r="H334" s="26" t="str">
        <x:v>Connectivity matrix.</x:v>
      </x:c>
      <x:c r="I334" s="26" t="str">
        <x:v>07_QA_Testing_Plan.md; 24_Steam_Publishing_Plan.md; 25_Post_Launch_and_Live_Operations_Plan.md</x:v>
      </x:c>
      <x:c r="J334" s="26" t="str">
        <x:v>QA Plans/Matrices and build acceptance records v0.3–v0.6</x:v>
      </x:c>
      <x:c r="K334" s="26" t="str">
        <x:v>Release</x:v>
      </x:c>
      <x:c r="L334" s="26" t="str">
        <x:v>Yes</x:v>
      </x:c>
      <x:c r="M334" s="26" t="str">
        <x:v>P1</x:v>
      </x:c>
      <x:c r="N334" s="26" t="str">
        <x:v>QA</x:v>
      </x:c>
      <x:c r="O334" s="26" t="str">
        <x:v>Production/Engineering</x:v>
      </x:c>
      <x:c r="P334" s="26" t="str">
        <x:v>NOT RUN</x:v>
      </x:c>
      <x:c r="Q334" s="26"/>
      <x:c r="R334" s="26"/>
      <x:c r="S334" s="26"/>
      <x:c r="T334" s="26"/>
      <x:c r="U334" s="26"/>
      <x:c r="V334" s="26"/>
      <x:c r="W334" s="26" t="n">
        <x:v>1</x:v>
      </x:c>
      <x:c r="X334" s="26" t="n">
        <x:v>0</x:v>
      </x:c>
      <x:c r="Y334" s="26" t="n">
        <x:v>1</x:v>
      </x:c>
      <x:c r="Z334" s="26" t="str">
        <x:v>PENDING</x:v>
      </x:c>
      <x:c r="AA334" s="26" t="str">
        <x:v>CHG-RC1-DOC-31</x:v>
      </x:c>
      <x:c r="AB334" s="26" t="str">
        <x:v>DEFINED / NOT EXECUTED</x:v>
      </x:c>
    </x:row>
    <x:row r="335" ht="30" customHeight="1">
      <x:c r="A335" s="26" t="str">
        <x:v>Release</x:v>
      </x:c>
      <x:c r="B335" s="26" t="str">
        <x:v>REL-QA-010</x:v>
      </x:c>
      <x:c r="C335" s="26" t="str">
        <x:v>Release Candidate y QA</x:v>
      </x:c>
      <x:c r="D335" s="26" t="str">
        <x:v>Release readiness</x:v>
      </x:c>
      <x:c r="E335" s="26" t="str">
        <x:v>Los known issues públicos son veraces, acotados y no ocultan bloqueantes.</x:v>
      </x:c>
      <x:c r="F335" s="26" t="str">
        <x:v>Revisar, ejecutar y registrar evidencia reproducible.</x:v>
      </x:c>
      <x:c r="G335" s="26" t="str">
        <x:v>Cumplimiento verificable antes del gate indicado.</x:v>
      </x:c>
      <x:c r="H335" s="26" t="str">
        <x:v>Known issues approval.</x:v>
      </x:c>
      <x:c r="I335" s="26" t="str">
        <x:v>07_QA_Testing_Plan.md; 24_Steam_Publishing_Plan.md; 25_Post_Launch_and_Live_Operations_Plan.md</x:v>
      </x:c>
      <x:c r="J335" s="26" t="str">
        <x:v>QA Plans/Matrices and build acceptance records v0.3–v0.6</x:v>
      </x:c>
      <x:c r="K335" s="26" t="str">
        <x:v>Release</x:v>
      </x:c>
      <x:c r="L335" s="26" t="str">
        <x:v>Yes</x:v>
      </x:c>
      <x:c r="M335" s="26" t="str">
        <x:v>P1</x:v>
      </x:c>
      <x:c r="N335" s="26" t="str">
        <x:v>QA</x:v>
      </x:c>
      <x:c r="O335" s="26" t="str">
        <x:v>Production/Engineering</x:v>
      </x:c>
      <x:c r="P335" s="26" t="str">
        <x:v>NOT RUN</x:v>
      </x:c>
      <x:c r="Q335" s="26"/>
      <x:c r="R335" s="26"/>
      <x:c r="S335" s="26"/>
      <x:c r="T335" s="26"/>
      <x:c r="U335" s="26"/>
      <x:c r="V335" s="26"/>
      <x:c r="W335" s="26" t="n">
        <x:v>1</x:v>
      </x:c>
      <x:c r="X335" s="26" t="n">
        <x:v>0</x:v>
      </x:c>
      <x:c r="Y335" s="26" t="n">
        <x:v>1</x:v>
      </x:c>
      <x:c r="Z335" s="26" t="str">
        <x:v>PENDING</x:v>
      </x:c>
      <x:c r="AA335" s="26" t="str">
        <x:v>CHG-RC1-DOC-31</x:v>
      </x:c>
      <x:c r="AB335" s="26" t="str">
        <x:v>DEFINED / NOT EXECUTED</x:v>
      </x:c>
    </x:row>
    <x:row r="336" ht="30" customHeight="1">
      <x:c r="A336" s="26" t="str">
        <x:v>Release</x:v>
      </x:c>
      <x:c r="B336" s="26" t="str">
        <x:v>REL-QA-011</x:v>
      </x:c>
      <x:c r="C336" s="26" t="str">
        <x:v>Release Candidate y QA</x:v>
      </x:c>
      <x:c r="D336" s="26" t="str">
        <x:v>Release readiness</x:v>
      </x:c>
      <x:c r="E336" s="26" t="str">
        <x:v>Las excepciones de release tienen owner, mitigación, soporte y trigger.</x:v>
      </x:c>
      <x:c r="F336" s="26" t="str">
        <x:v>Revisar, ejecutar y registrar evidencia reproducible.</x:v>
      </x:c>
      <x:c r="G336" s="26" t="str">
        <x:v>Cumplimiento verificable antes del gate indicado.</x:v>
      </x:c>
      <x:c r="H336" s="26" t="str">
        <x:v>Release exception register.</x:v>
      </x:c>
      <x:c r="I336" s="26" t="str">
        <x:v>07_QA_Testing_Plan.md; 24_Steam_Publishing_Plan.md; 25_Post_Launch_and_Live_Operations_Plan.md</x:v>
      </x:c>
      <x:c r="J336" s="26" t="str">
        <x:v>QA Plans/Matrices and build acceptance records v0.3–v0.6</x:v>
      </x:c>
      <x:c r="K336" s="26" t="str">
        <x:v>Release</x:v>
      </x:c>
      <x:c r="L336" s="26" t="str">
        <x:v>Yes</x:v>
      </x:c>
      <x:c r="M336" s="26" t="str">
        <x:v>P1</x:v>
      </x:c>
      <x:c r="N336" s="26" t="str">
        <x:v>QA</x:v>
      </x:c>
      <x:c r="O336" s="26" t="str">
        <x:v>Production/Engineering</x:v>
      </x:c>
      <x:c r="P336" s="26" t="str">
        <x:v>NOT RUN</x:v>
      </x:c>
      <x:c r="Q336" s="26"/>
      <x:c r="R336" s="26"/>
      <x:c r="S336" s="26"/>
      <x:c r="T336" s="26"/>
      <x:c r="U336" s="26"/>
      <x:c r="V336" s="26"/>
      <x:c r="W336" s="26" t="n">
        <x:v>1</x:v>
      </x:c>
      <x:c r="X336" s="26" t="n">
        <x:v>0</x:v>
      </x:c>
      <x:c r="Y336" s="26" t="n">
        <x:v>1</x:v>
      </x:c>
      <x:c r="Z336" s="26" t="str">
        <x:v>PENDING</x:v>
      </x:c>
      <x:c r="AA336" s="26" t="str">
        <x:v>CHG-RC1-DOC-31</x:v>
      </x:c>
      <x:c r="AB336" s="26" t="str">
        <x:v>DEFINED / NOT EXECUTED</x:v>
      </x:c>
    </x:row>
    <x:row r="337" ht="30" customHeight="1">
      <x:c r="A337" s="26" t="str">
        <x:v>Release</x:v>
      </x:c>
      <x:c r="B337" s="26" t="str">
        <x:v>REL-QA-012</x:v>
      </x:c>
      <x:c r="C337" s="26" t="str">
        <x:v>Release Candidate y QA</x:v>
      </x:c>
      <x:c r="D337" s="26" t="str">
        <x:v>Release readiness</x:v>
      </x:c>
      <x:c r="E337" s="26" t="str">
        <x:v>El smoke test posterior a upload y previo a publicación está definido y ejecutado.</x:v>
      </x:c>
      <x:c r="F337" s="26" t="str">
        <x:v>Revisar, ejecutar y registrar evidencia reproducible.</x:v>
      </x:c>
      <x:c r="G337" s="26" t="str">
        <x:v>Cumplimiento verificable antes del gate indicado.</x:v>
      </x:c>
      <x:c r="H337" s="26" t="str">
        <x:v>Post-upload smoke record.</x:v>
      </x:c>
      <x:c r="I337" s="26" t="str">
        <x:v>07_QA_Testing_Plan.md; 24_Steam_Publishing_Plan.md; 25_Post_Launch_and_Live_Operations_Plan.md</x:v>
      </x:c>
      <x:c r="J337" s="26" t="str">
        <x:v>QA Plans/Matrices and build acceptance records v0.3–v0.6</x:v>
      </x:c>
      <x:c r="K337" s="26" t="str">
        <x:v>Release</x:v>
      </x:c>
      <x:c r="L337" s="26" t="str">
        <x:v>Yes</x:v>
      </x:c>
      <x:c r="M337" s="26" t="str">
        <x:v>P1</x:v>
      </x:c>
      <x:c r="N337" s="26" t="str">
        <x:v>QA</x:v>
      </x:c>
      <x:c r="O337" s="26" t="str">
        <x:v>Production/Engineering</x:v>
      </x:c>
      <x:c r="P337" s="26" t="str">
        <x:v>NOT RUN</x:v>
      </x:c>
      <x:c r="Q337" s="26"/>
      <x:c r="R337" s="26"/>
      <x:c r="S337" s="26"/>
      <x:c r="T337" s="26"/>
      <x:c r="U337" s="26"/>
      <x:c r="V337" s="26"/>
      <x:c r="W337" s="26" t="n">
        <x:v>1</x:v>
      </x:c>
      <x:c r="X337" s="26" t="n">
        <x:v>0</x:v>
      </x:c>
      <x:c r="Y337" s="26" t="n">
        <x:v>1</x:v>
      </x:c>
      <x:c r="Z337" s="26" t="str">
        <x:v>PENDING</x:v>
      </x:c>
      <x:c r="AA337" s="26" t="str">
        <x:v>CHG-RC1-DOC-31</x:v>
      </x:c>
      <x:c r="AB337" s="26" t="str">
        <x:v>DEFINED / NOT EXECUTED</x:v>
      </x:c>
    </x:row>
    <x:row r="338" ht="30" customHeight="1">
      <x:c r="A338" s="26" t="str">
        <x:v>Release</x:v>
      </x:c>
      <x:c r="B338" s="26" t="str">
        <x:v>REL-QA-013</x:v>
      </x:c>
      <x:c r="C338" s="26" t="str">
        <x:v>Release Candidate y QA</x:v>
      </x:c>
      <x:c r="D338" s="26" t="str">
        <x:v>Release readiness</x:v>
      </x:c>
      <x:c r="E338" s="26" t="str">
        <x:v>La prueba de primera ejecución cubre settings por defecto y onboarding.</x:v>
      </x:c>
      <x:c r="F338" s="26" t="str">
        <x:v>Revisar, ejecutar y registrar evidencia reproducible.</x:v>
      </x:c>
      <x:c r="G338" s="26" t="str">
        <x:v>Cumplimiento verificable antes del gate indicado.</x:v>
      </x:c>
      <x:c r="H338" s="26" t="str">
        <x:v>First-run QA record.</x:v>
      </x:c>
      <x:c r="I338" s="26" t="str">
        <x:v>07_QA_Testing_Plan.md; 24_Steam_Publishing_Plan.md; 25_Post_Launch_and_Live_Operations_Plan.md</x:v>
      </x:c>
      <x:c r="J338" s="26" t="str">
        <x:v>QA Plans/Matrices and build acceptance records v0.3–v0.6</x:v>
      </x:c>
      <x:c r="K338" s="26" t="str">
        <x:v>Release</x:v>
      </x:c>
      <x:c r="L338" s="26" t="str">
        <x:v>Yes</x:v>
      </x:c>
      <x:c r="M338" s="26" t="str">
        <x:v>P1</x:v>
      </x:c>
      <x:c r="N338" s="26" t="str">
        <x:v>QA</x:v>
      </x:c>
      <x:c r="O338" s="26" t="str">
        <x:v>Production/Engineering</x:v>
      </x:c>
      <x:c r="P338" s="26" t="str">
        <x:v>NOT RUN</x:v>
      </x:c>
      <x:c r="Q338" s="26"/>
      <x:c r="R338" s="26"/>
      <x:c r="S338" s="26"/>
      <x:c r="T338" s="26"/>
      <x:c r="U338" s="26"/>
      <x:c r="V338" s="26"/>
      <x:c r="W338" s="26" t="n">
        <x:v>1</x:v>
      </x:c>
      <x:c r="X338" s="26" t="n">
        <x:v>0</x:v>
      </x:c>
      <x:c r="Y338" s="26" t="n">
        <x:v>1</x:v>
      </x:c>
      <x:c r="Z338" s="26" t="str">
        <x:v>PENDING</x:v>
      </x:c>
      <x:c r="AA338" s="26" t="str">
        <x:v>CHG-RC1-DOC-31</x:v>
      </x:c>
      <x:c r="AB338" s="26" t="str">
        <x:v>DEFINED / NOT EXECUTED</x:v>
      </x:c>
    </x:row>
    <x:row r="339" ht="30" customHeight="1">
      <x:c r="A339" s="26" t="str">
        <x:v>Release</x:v>
      </x:c>
      <x:c r="B339" s="26" t="str">
        <x:v>REL-QA-014</x:v>
      </x:c>
      <x:c r="C339" s="26" t="str">
        <x:v>Release Candidate y QA</x:v>
      </x:c>
      <x:c r="D339" s="26" t="str">
        <x:v>Release readiness</x:v>
      </x:c>
      <x:c r="E339" s="26" t="str">
        <x:v>La recopilación de evidencia no modifica la RC ni activa cheats.</x:v>
      </x:c>
      <x:c r="F339" s="26" t="str">
        <x:v>Revisar, ejecutar y registrar evidencia reproducible.</x:v>
      </x:c>
      <x:c r="G339" s="26" t="str">
        <x:v>Cumplimiento verificable antes del gate indicado.</x:v>
      </x:c>
      <x:c r="H339" s="26" t="str">
        <x:v>Evidence integrity check.</x:v>
      </x:c>
      <x:c r="I339" s="26" t="str">
        <x:v>07_QA_Testing_Plan.md; 24_Steam_Publishing_Plan.md; 25_Post_Launch_and_Live_Operations_Plan.md</x:v>
      </x:c>
      <x:c r="J339" s="26" t="str">
        <x:v>QA Plans/Matrices and build acceptance records v0.3–v0.6</x:v>
      </x:c>
      <x:c r="K339" s="26" t="str">
        <x:v>Release</x:v>
      </x:c>
      <x:c r="L339" s="26" t="str">
        <x:v>Yes</x:v>
      </x:c>
      <x:c r="M339" s="26" t="str">
        <x:v>P1</x:v>
      </x:c>
      <x:c r="N339" s="26" t="str">
        <x:v>QA</x:v>
      </x:c>
      <x:c r="O339" s="26" t="str">
        <x:v>Production/Engineering</x:v>
      </x:c>
      <x:c r="P339" s="26" t="str">
        <x:v>NOT RUN</x:v>
      </x:c>
      <x:c r="Q339" s="26"/>
      <x:c r="R339" s="26"/>
      <x:c r="S339" s="26"/>
      <x:c r="T339" s="26"/>
      <x:c r="U339" s="26"/>
      <x:c r="V339" s="26"/>
      <x:c r="W339" s="26" t="n">
        <x:v>1</x:v>
      </x:c>
      <x:c r="X339" s="26" t="n">
        <x:v>0</x:v>
      </x:c>
      <x:c r="Y339" s="26" t="n">
        <x:v>1</x:v>
      </x:c>
      <x:c r="Z339" s="26" t="str">
        <x:v>PENDING</x:v>
      </x:c>
      <x:c r="AA339" s="26" t="str">
        <x:v>CHG-RC1-DOC-31</x:v>
      </x:c>
      <x:c r="AB339" s="26" t="str">
        <x:v>DEFINED / NOT EXECUTED</x:v>
      </x:c>
    </x:row>
    <x:row r="340" ht="30" customHeight="1">
      <x:c r="A340" s="26" t="str">
        <x:v>Release</x:v>
      </x:c>
      <x:c r="B340" s="26" t="str">
        <x:v>REL-QA-015</x:v>
      </x:c>
      <x:c r="C340" s="26" t="str">
        <x:v>Release Candidate y QA</x:v>
      </x:c>
      <x:c r="D340" s="26" t="str">
        <x:v>Release readiness</x:v>
      </x:c>
      <x:c r="E340" s="26" t="str">
        <x:v>Existe acta formal de RC PASS/FAIL y no-go authority.</x:v>
      </x:c>
      <x:c r="F340" s="26" t="str">
        <x:v>Revisar, ejecutar y registrar evidencia reproducible.</x:v>
      </x:c>
      <x:c r="G340" s="26" t="str">
        <x:v>Cumplimiento verificable antes del gate indicado.</x:v>
      </x:c>
      <x:c r="H340" s="26" t="str">
        <x:v>RC signoff.</x:v>
      </x:c>
      <x:c r="I340" s="26" t="str">
        <x:v>07_QA_Testing_Plan.md; 24_Steam_Publishing_Plan.md; 25_Post_Launch_and_Live_Operations_Plan.md</x:v>
      </x:c>
      <x:c r="J340" s="26" t="str">
        <x:v>QA Plans/Matrices and build acceptance records v0.3–v0.6</x:v>
      </x:c>
      <x:c r="K340" s="26" t="str">
        <x:v>Release</x:v>
      </x:c>
      <x:c r="L340" s="26" t="str">
        <x:v>Yes</x:v>
      </x:c>
      <x:c r="M340" s="26" t="str">
        <x:v>P1</x:v>
      </x:c>
      <x:c r="N340" s="26" t="str">
        <x:v>QA</x:v>
      </x:c>
      <x:c r="O340" s="26" t="str">
        <x:v>Production/Engineering</x:v>
      </x:c>
      <x:c r="P340" s="26" t="str">
        <x:v>NOT RUN</x:v>
      </x:c>
      <x:c r="Q340" s="26"/>
      <x:c r="R340" s="26"/>
      <x:c r="S340" s="26"/>
      <x:c r="T340" s="26"/>
      <x:c r="U340" s="26"/>
      <x:c r="V340" s="26"/>
      <x:c r="W340" s="26" t="n">
        <x:v>1</x:v>
      </x:c>
      <x:c r="X340" s="26" t="n">
        <x:v>0</x:v>
      </x:c>
      <x:c r="Y340" s="26" t="n">
        <x:v>1</x:v>
      </x:c>
      <x:c r="Z340" s="26" t="str">
        <x:v>PENDING</x:v>
      </x:c>
      <x:c r="AA340" s="26" t="str">
        <x:v>CHG-RC1-DOC-31</x:v>
      </x:c>
      <x:c r="AB340" s="26" t="str">
        <x:v>DEFINED / NOT EXECUTED</x:v>
      </x:c>
    </x:row>
    <x:row r="341" ht="30" customHeight="1">
      <x:c r="A341" s="26" t="str">
        <x:v>Release</x:v>
      </x:c>
      <x:c r="B341" s="26" t="str">
        <x:v>REL-PER-001</x:v>
      </x:c>
      <x:c r="C341" s="26" t="str">
        <x:v>Rendimiento y requisitos del sistema</x:v>
      </x:c>
      <x:c r="D341" s="26" t="str">
        <x:v>Release readiness</x:v>
      </x:c>
      <x:c r="E341" s="26" t="str">
        <x:v>Los requisitos mínimo/recomendado se derivan de benchmarks reproducibles.</x:v>
      </x:c>
      <x:c r="F341" s="26" t="str">
        <x:v>Revisar, ejecutar y registrar evidencia reproducible.</x:v>
      </x:c>
      <x:c r="G341" s="26" t="str">
        <x:v>Cumplimiento verificable antes del gate indicado.</x:v>
      </x:c>
      <x:c r="H341" s="26" t="str">
        <x:v>Hardware benchmark dossier.</x:v>
      </x:c>
      <x:c r="I341" s="26" t="str">
        <x:v>30_Performance_and_Optimization_Plan.md; 24_Steam_Publishing_Plan.md</x:v>
      </x:c>
      <x:c r="J341" s="26" t="str">
        <x:v>Historical performance targets across TDD/VSS/Build/Art v0.3–v0.6</x:v>
      </x:c>
      <x:c r="K341" s="26" t="str">
        <x:v>Release</x:v>
      </x:c>
      <x:c r="L341" s="26" t="str">
        <x:v>Yes</x:v>
      </x:c>
      <x:c r="M341" s="26" t="str">
        <x:v>P0</x:v>
      </x:c>
      <x:c r="N341" s="26" t="str">
        <x:v>Engineering/QA</x:v>
      </x:c>
      <x:c r="O341" s="26" t="str">
        <x:v>Technical Direction/Marketing</x:v>
      </x:c>
      <x:c r="P341" s="26" t="str">
        <x:v>NOT RUN</x:v>
      </x:c>
      <x:c r="Q341" s="26"/>
      <x:c r="R341" s="26"/>
      <x:c r="S341" s="26"/>
      <x:c r="T341" s="26"/>
      <x:c r="U341" s="26"/>
      <x:c r="V341" s="26"/>
      <x:c r="W341" s="26" t="n">
        <x:v>1</x:v>
      </x:c>
      <x:c r="X341" s="26" t="n">
        <x:v>0</x:v>
      </x:c>
      <x:c r="Y341" s="26" t="n">
        <x:v>1</x:v>
      </x:c>
      <x:c r="Z341" s="26" t="str">
        <x:v>PENDING</x:v>
      </x:c>
      <x:c r="AA341" s="26" t="str">
        <x:v>CHG-RC1-DOC-31</x:v>
      </x:c>
      <x:c r="AB341" s="26" t="str">
        <x:v>DEFINED / NOT EXECUTED</x:v>
      </x:c>
    </x:row>
    <x:row r="342" ht="30" customHeight="1">
      <x:c r="A342" s="26" t="str">
        <x:v>Release</x:v>
      </x:c>
      <x:c r="B342" s="26" t="str">
        <x:v>REL-PER-002</x:v>
      </x:c>
      <x:c r="C342" s="26" t="str">
        <x:v>Rendimiento y requisitos del sistema</x:v>
      </x:c>
      <x:c r="D342" s="26" t="str">
        <x:v>Release readiness</x:v>
      </x:c>
      <x:c r="E342" s="26" t="str">
        <x:v>La RC cumple objetivos de frame pacing y estabilidad en hardware mínimo aprobado.</x:v>
      </x:c>
      <x:c r="F342" s="26" t="str">
        <x:v>Revisar, ejecutar y registrar evidencia reproducible.</x:v>
      </x:c>
      <x:c r="G342" s="26" t="str">
        <x:v>Cumplimiento verificable antes del gate indicado.</x:v>
      </x:c>
      <x:c r="H342" s="26" t="str">
        <x:v>Minimum hardware report.</x:v>
      </x:c>
      <x:c r="I342" s="26" t="str">
        <x:v>30_Performance_and_Optimization_Plan.md; 24_Steam_Publishing_Plan.md</x:v>
      </x:c>
      <x:c r="J342" s="26" t="str">
        <x:v>Historical performance targets across TDD/VSS/Build/Art v0.3–v0.6</x:v>
      </x:c>
      <x:c r="K342" s="26" t="str">
        <x:v>Release</x:v>
      </x:c>
      <x:c r="L342" s="26" t="str">
        <x:v>Yes</x:v>
      </x:c>
      <x:c r="M342" s="26" t="str">
        <x:v>P1</x:v>
      </x:c>
      <x:c r="N342" s="26" t="str">
        <x:v>Engineering/QA</x:v>
      </x:c>
      <x:c r="O342" s="26" t="str">
        <x:v>Technical Direction/Marketing</x:v>
      </x:c>
      <x:c r="P342" s="26" t="str">
        <x:v>NOT RUN</x:v>
      </x:c>
      <x:c r="Q342" s="26"/>
      <x:c r="R342" s="26"/>
      <x:c r="S342" s="26"/>
      <x:c r="T342" s="26"/>
      <x:c r="U342" s="26"/>
      <x:c r="V342" s="26"/>
      <x:c r="W342" s="26" t="n">
        <x:v>1</x:v>
      </x:c>
      <x:c r="X342" s="26" t="n">
        <x:v>0</x:v>
      </x:c>
      <x:c r="Y342" s="26" t="n">
        <x:v>1</x:v>
      </x:c>
      <x:c r="Z342" s="26" t="str">
        <x:v>PENDING</x:v>
      </x:c>
      <x:c r="AA342" s="26" t="str">
        <x:v>CHG-RC1-DOC-31</x:v>
      </x:c>
      <x:c r="AB342" s="26" t="str">
        <x:v>DEFINED / NOT EXECUTED</x:v>
      </x:c>
    </x:row>
    <x:row r="343" ht="30" customHeight="1">
      <x:c r="A343" s="26" t="str">
        <x:v>Release</x:v>
      </x:c>
      <x:c r="B343" s="26" t="str">
        <x:v>REL-PER-003</x:v>
      </x:c>
      <x:c r="C343" s="26" t="str">
        <x:v>Rendimiento y requisitos del sistema</x:v>
      </x:c>
      <x:c r="D343" s="26" t="str">
        <x:v>Release readiness</x:v>
      </x:c>
      <x:c r="E343" s="26" t="str">
        <x:v>Las configuraciones gráficas soportadas producen diferencias reales y seguras.</x:v>
      </x:c>
      <x:c r="F343" s="26" t="str">
        <x:v>Revisar, ejecutar y registrar evidencia reproducible.</x:v>
      </x:c>
      <x:c r="G343" s="26" t="str">
        <x:v>Cumplimiento verificable antes del gate indicado.</x:v>
      </x:c>
      <x:c r="H343" s="26" t="str">
        <x:v>Preset validation.</x:v>
      </x:c>
      <x:c r="I343" s="26" t="str">
        <x:v>30_Performance_and_Optimization_Plan.md; 24_Steam_Publishing_Plan.md</x:v>
      </x:c>
      <x:c r="J343" s="26" t="str">
        <x:v>Historical performance targets across TDD/VSS/Build/Art v0.3–v0.6</x:v>
      </x:c>
      <x:c r="K343" s="26" t="str">
        <x:v>Release</x:v>
      </x:c>
      <x:c r="L343" s="26" t="str">
        <x:v>Yes</x:v>
      </x:c>
      <x:c r="M343" s="26" t="str">
        <x:v>P1</x:v>
      </x:c>
      <x:c r="N343" s="26" t="str">
        <x:v>Engineering/QA</x:v>
      </x:c>
      <x:c r="O343" s="26" t="str">
        <x:v>Technical Direction/Marketing</x:v>
      </x:c>
      <x:c r="P343" s="26" t="str">
        <x:v>NOT RUN</x:v>
      </x:c>
      <x:c r="Q343" s="26"/>
      <x:c r="R343" s="26"/>
      <x:c r="S343" s="26"/>
      <x:c r="T343" s="26"/>
      <x:c r="U343" s="26"/>
      <x:c r="V343" s="26"/>
      <x:c r="W343" s="26" t="n">
        <x:v>1</x:v>
      </x:c>
      <x:c r="X343" s="26" t="n">
        <x:v>0</x:v>
      </x:c>
      <x:c r="Y343" s="26" t="n">
        <x:v>1</x:v>
      </x:c>
      <x:c r="Z343" s="26" t="str">
        <x:v>PENDING</x:v>
      </x:c>
      <x:c r="AA343" s="26" t="str">
        <x:v>CHG-RC1-DOC-31</x:v>
      </x:c>
      <x:c r="AB343" s="26" t="str">
        <x:v>DEFINED / NOT EXECUTED</x:v>
      </x:c>
    </x:row>
    <x:row r="344" ht="30" customHeight="1">
      <x:c r="A344" s="26" t="str">
        <x:v>Release</x:v>
      </x:c>
      <x:c r="B344" s="26" t="str">
        <x:v>REL-PER-004</x:v>
      </x:c>
      <x:c r="C344" s="26" t="str">
        <x:v>Rendimiento y requisitos del sistema</x:v>
      </x:c>
      <x:c r="D344" s="26" t="str">
        <x:v>Release readiness</x:v>
      </x:c>
      <x:c r="E344" s="26" t="str">
        <x:v>Carga, guardado, arranque y cierre se miden en instalación Steam.</x:v>
      </x:c>
      <x:c r="F344" s="26" t="str">
        <x:v>Revisar, ejecutar y registrar evidencia reproducible.</x:v>
      </x:c>
      <x:c r="G344" s="26" t="str">
        <x:v>Cumplimiento verificable antes del gate indicado.</x:v>
      </x:c>
      <x:c r="H344" s="26" t="str">
        <x:v>Steam build timing report.</x:v>
      </x:c>
      <x:c r="I344" s="26" t="str">
        <x:v>30_Performance_and_Optimization_Plan.md; 24_Steam_Publishing_Plan.md</x:v>
      </x:c>
      <x:c r="J344" s="26" t="str">
        <x:v>Historical performance targets across TDD/VSS/Build/Art v0.3–v0.6</x:v>
      </x:c>
      <x:c r="K344" s="26" t="str">
        <x:v>Release</x:v>
      </x:c>
      <x:c r="L344" s="26" t="str">
        <x:v>Yes</x:v>
      </x:c>
      <x:c r="M344" s="26" t="str">
        <x:v>P1</x:v>
      </x:c>
      <x:c r="N344" s="26" t="str">
        <x:v>Engineering/QA</x:v>
      </x:c>
      <x:c r="O344" s="26" t="str">
        <x:v>Technical Direction/Marketing</x:v>
      </x:c>
      <x:c r="P344" s="26" t="str">
        <x:v>NOT RUN</x:v>
      </x:c>
      <x:c r="Q344" s="26"/>
      <x:c r="R344" s="26"/>
      <x:c r="S344" s="26"/>
      <x:c r="T344" s="26"/>
      <x:c r="U344" s="26"/>
      <x:c r="V344" s="26"/>
      <x:c r="W344" s="26" t="n">
        <x:v>1</x:v>
      </x:c>
      <x:c r="X344" s="26" t="n">
        <x:v>0</x:v>
      </x:c>
      <x:c r="Y344" s="26" t="n">
        <x:v>1</x:v>
      </x:c>
      <x:c r="Z344" s="26" t="str">
        <x:v>PENDING</x:v>
      </x:c>
      <x:c r="AA344" s="26" t="str">
        <x:v>CHG-RC1-DOC-31</x:v>
      </x:c>
      <x:c r="AB344" s="26" t="str">
        <x:v>DEFINED / NOT EXECUTED</x:v>
      </x:c>
    </x:row>
    <x:row r="345" ht="30" customHeight="1">
      <x:c r="A345" s="26" t="str">
        <x:v>Release</x:v>
      </x:c>
      <x:c r="B345" s="26" t="str">
        <x:v>REL-PER-005</x:v>
      </x:c>
      <x:c r="C345" s="26" t="str">
        <x:v>Rendimiento y requisitos del sistema</x:v>
      </x:c>
      <x:c r="D345" s="26" t="str">
        <x:v>Release readiness</x:v>
      </x:c>
      <x:c r="E345" s="26" t="str">
        <x:v>No existe memory leak o degradación significativa en soak prolongado.</x:v>
      </x:c>
      <x:c r="F345" s="26" t="str">
        <x:v>Revisar, ejecutar y registrar evidencia reproducible.</x:v>
      </x:c>
      <x:c r="G345" s="26" t="str">
        <x:v>Cumplimiento verificable antes del gate indicado.</x:v>
      </x:c>
      <x:c r="H345" s="26" t="str">
        <x:v>Release soak report.</x:v>
      </x:c>
      <x:c r="I345" s="26" t="str">
        <x:v>30_Performance_and_Optimization_Plan.md; 24_Steam_Publishing_Plan.md</x:v>
      </x:c>
      <x:c r="J345" s="26" t="str">
        <x:v>Historical performance targets across TDD/VSS/Build/Art v0.3–v0.6</x:v>
      </x:c>
      <x:c r="K345" s="26" t="str">
        <x:v>Release</x:v>
      </x:c>
      <x:c r="L345" s="26" t="str">
        <x:v>Yes</x:v>
      </x:c>
      <x:c r="M345" s="26" t="str">
        <x:v>P1</x:v>
      </x:c>
      <x:c r="N345" s="26" t="str">
        <x:v>Engineering/QA</x:v>
      </x:c>
      <x:c r="O345" s="26" t="str">
        <x:v>Technical Direction/Marketing</x:v>
      </x:c>
      <x:c r="P345" s="26" t="str">
        <x:v>NOT RUN</x:v>
      </x:c>
      <x:c r="Q345" s="26"/>
      <x:c r="R345" s="26"/>
      <x:c r="S345" s="26"/>
      <x:c r="T345" s="26"/>
      <x:c r="U345" s="26"/>
      <x:c r="V345" s="26"/>
      <x:c r="W345" s="26" t="n">
        <x:v>1</x:v>
      </x:c>
      <x:c r="X345" s="26" t="n">
        <x:v>0</x:v>
      </x:c>
      <x:c r="Y345" s="26" t="n">
        <x:v>1</x:v>
      </x:c>
      <x:c r="Z345" s="26" t="str">
        <x:v>PENDING</x:v>
      </x:c>
      <x:c r="AA345" s="26" t="str">
        <x:v>CHG-RC1-DOC-31</x:v>
      </x:c>
      <x:c r="AB345" s="26" t="str">
        <x:v>DEFINED / NOT EXECUTED</x:v>
      </x:c>
    </x:row>
    <x:row r="346" ht="30" customHeight="1">
      <x:c r="A346" s="26" t="str">
        <x:v>Release</x:v>
      </x:c>
      <x:c r="B346" s="26" t="str">
        <x:v>REL-PER-006</x:v>
      </x:c>
      <x:c r="C346" s="26" t="str">
        <x:v>Rendimiento y requisitos del sistema</x:v>
      </x:c>
      <x:c r="D346" s="26" t="str">
        <x:v>Release readiness</x:v>
      </x:c>
      <x:c r="E346" s="26" t="str">
        <x:v>La resolución, fullscreen/windowed, VSync y frame cap funcionan en monitores comunes.</x:v>
      </x:c>
      <x:c r="F346" s="26" t="str">
        <x:v>Revisar, ejecutar y registrar evidencia reproducible.</x:v>
      </x:c>
      <x:c r="G346" s="26" t="str">
        <x:v>Cumplimiento verificable antes del gate indicado.</x:v>
      </x:c>
      <x:c r="H346" s="26" t="str">
        <x:v>Display matrix.</x:v>
      </x:c>
      <x:c r="I346" s="26" t="str">
        <x:v>30_Performance_and_Optimization_Plan.md; 24_Steam_Publishing_Plan.md</x:v>
      </x:c>
      <x:c r="J346" s="26" t="str">
        <x:v>Historical performance targets across TDD/VSS/Build/Art v0.3–v0.6</x:v>
      </x:c>
      <x:c r="K346" s="26" t="str">
        <x:v>Release</x:v>
      </x:c>
      <x:c r="L346" s="26" t="str">
        <x:v>Yes</x:v>
      </x:c>
      <x:c r="M346" s="26" t="str">
        <x:v>P1</x:v>
      </x:c>
      <x:c r="N346" s="26" t="str">
        <x:v>Engineering/QA</x:v>
      </x:c>
      <x:c r="O346" s="26" t="str">
        <x:v>Technical Direction/Marketing</x:v>
      </x:c>
      <x:c r="P346" s="26" t="str">
        <x:v>NOT RUN</x:v>
      </x:c>
      <x:c r="Q346" s="26"/>
      <x:c r="R346" s="26"/>
      <x:c r="S346" s="26"/>
      <x:c r="T346" s="26"/>
      <x:c r="U346" s="26"/>
      <x:c r="V346" s="26"/>
      <x:c r="W346" s="26" t="n">
        <x:v>1</x:v>
      </x:c>
      <x:c r="X346" s="26" t="n">
        <x:v>0</x:v>
      </x:c>
      <x:c r="Y346" s="26" t="n">
        <x:v>1</x:v>
      </x:c>
      <x:c r="Z346" s="26" t="str">
        <x:v>PENDING</x:v>
      </x:c>
      <x:c r="AA346" s="26" t="str">
        <x:v>CHG-RC1-DOC-31</x:v>
      </x:c>
      <x:c r="AB346" s="26" t="str">
        <x:v>DEFINED / NOT EXECUTED</x:v>
      </x:c>
    </x:row>
    <x:row r="347" ht="30" customHeight="1">
      <x:c r="A347" s="26" t="str">
        <x:v>Release</x:v>
      </x:c>
      <x:c r="B347" s="26" t="str">
        <x:v>REL-PER-007</x:v>
      </x:c>
      <x:c r="C347" s="26" t="str">
        <x:v>Rendimiento y requisitos del sistema</x:v>
      </x:c>
      <x:c r="D347" s="26" t="str">
        <x:v>Release readiness</x:v>
      </x:c>
      <x:c r="E347" s="26" t="str">
        <x:v>Alt-tab, cambio de foco, suspensión y reconexión de pantalla/audio son controlados.</x:v>
      </x:c>
      <x:c r="F347" s="26" t="str">
        <x:v>Revisar, ejecutar y registrar evidencia reproducible.</x:v>
      </x:c>
      <x:c r="G347" s="26" t="str">
        <x:v>Cumplimiento verificable antes del gate indicado.</x:v>
      </x:c>
      <x:c r="H347" s="26" t="str">
        <x:v>Desktop resilience tests.</x:v>
      </x:c>
      <x:c r="I347" s="26" t="str">
        <x:v>30_Performance_and_Optimization_Plan.md; 24_Steam_Publishing_Plan.md</x:v>
      </x:c>
      <x:c r="J347" s="26" t="str">
        <x:v>Historical performance targets across TDD/VSS/Build/Art v0.3–v0.6</x:v>
      </x:c>
      <x:c r="K347" s="26" t="str">
        <x:v>Release</x:v>
      </x:c>
      <x:c r="L347" s="26" t="str">
        <x:v>Yes</x:v>
      </x:c>
      <x:c r="M347" s="26" t="str">
        <x:v>P1</x:v>
      </x:c>
      <x:c r="N347" s="26" t="str">
        <x:v>Engineering/QA</x:v>
      </x:c>
      <x:c r="O347" s="26" t="str">
        <x:v>Technical Direction/Marketing</x:v>
      </x:c>
      <x:c r="P347" s="26" t="str">
        <x:v>NOT RUN</x:v>
      </x:c>
      <x:c r="Q347" s="26"/>
      <x:c r="R347" s="26"/>
      <x:c r="S347" s="26"/>
      <x:c r="T347" s="26"/>
      <x:c r="U347" s="26"/>
      <x:c r="V347" s="26"/>
      <x:c r="W347" s="26" t="n">
        <x:v>1</x:v>
      </x:c>
      <x:c r="X347" s="26" t="n">
        <x:v>0</x:v>
      </x:c>
      <x:c r="Y347" s="26" t="n">
        <x:v>1</x:v>
      </x:c>
      <x:c r="Z347" s="26" t="str">
        <x:v>PENDING</x:v>
      </x:c>
      <x:c r="AA347" s="26" t="str">
        <x:v>CHG-RC1-DOC-31</x:v>
      </x:c>
      <x:c r="AB347" s="26" t="str">
        <x:v>DEFINED / NOT EXECUTED</x:v>
      </x:c>
    </x:row>
    <x:row r="348" ht="30" customHeight="1">
      <x:c r="A348" s="26" t="str">
        <x:v>Release</x:v>
      </x:c>
      <x:c r="B348" s="26" t="str">
        <x:v>REL-PER-008</x:v>
      </x:c>
      <x:c r="C348" s="26" t="str">
        <x:v>Rendimiento y requisitos del sistema</x:v>
      </x:c>
      <x:c r="D348" s="26" t="str">
        <x:v>Release readiness</x:v>
      </x:c>
      <x:c r="E348" s="26" t="str">
        <x:v>La RC no depende de overlays/profilers o Development Build.</x:v>
      </x:c>
      <x:c r="F348" s="26" t="str">
        <x:v>Revisar, ejecutar y registrar evidencia reproducible.</x:v>
      </x:c>
      <x:c r="G348" s="26" t="str">
        <x:v>Cumplimiento verificable antes del gate indicado.</x:v>
      </x:c>
      <x:c r="H348" s="26" t="str">
        <x:v>Release configuration audit.</x:v>
      </x:c>
      <x:c r="I348" s="26" t="str">
        <x:v>30_Performance_and_Optimization_Plan.md; 24_Steam_Publishing_Plan.md</x:v>
      </x:c>
      <x:c r="J348" s="26" t="str">
        <x:v>Historical performance targets across TDD/VSS/Build/Art v0.3–v0.6</x:v>
      </x:c>
      <x:c r="K348" s="26" t="str">
        <x:v>Release</x:v>
      </x:c>
      <x:c r="L348" s="26" t="str">
        <x:v>Yes</x:v>
      </x:c>
      <x:c r="M348" s="26" t="str">
        <x:v>P1</x:v>
      </x:c>
      <x:c r="N348" s="26" t="str">
        <x:v>Engineering/QA</x:v>
      </x:c>
      <x:c r="O348" s="26" t="str">
        <x:v>Technical Direction/Marketing</x:v>
      </x:c>
      <x:c r="P348" s="26" t="str">
        <x:v>NOT RUN</x:v>
      </x:c>
      <x:c r="Q348" s="26"/>
      <x:c r="R348" s="26"/>
      <x:c r="S348" s="26"/>
      <x:c r="T348" s="26"/>
      <x:c r="U348" s="26"/>
      <x:c r="V348" s="26"/>
      <x:c r="W348" s="26" t="n">
        <x:v>1</x:v>
      </x:c>
      <x:c r="X348" s="26" t="n">
        <x:v>0</x:v>
      </x:c>
      <x:c r="Y348" s="26" t="n">
        <x:v>1</x:v>
      </x:c>
      <x:c r="Z348" s="26" t="str">
        <x:v>PENDING</x:v>
      </x:c>
      <x:c r="AA348" s="26" t="str">
        <x:v>CHG-RC1-DOC-31</x:v>
      </x:c>
      <x:c r="AB348" s="26" t="str">
        <x:v>DEFINED / NOT EXECUTED</x:v>
      </x:c>
    </x:row>
    <x:row r="349" ht="30" customHeight="1">
      <x:c r="A349" s="26" t="str">
        <x:v>Release</x:v>
      </x:c>
      <x:c r="B349" s="26" t="str">
        <x:v>REL-PER-009</x:v>
      </x:c>
      <x:c r="C349" s="26" t="str">
        <x:v>Rendimiento y requisitos del sistema</x:v>
      </x:c>
      <x:c r="D349" s="26" t="str">
        <x:v>Release readiness</x:v>
      </x:c>
      <x:c r="E349" s="26" t="str">
        <x:v>El tamaño del paquete y uso en disco están medidos y comunicados.</x:v>
      </x:c>
      <x:c r="F349" s="26" t="str">
        <x:v>Revisar, ejecutar y registrar evidencia reproducible.</x:v>
      </x:c>
      <x:c r="G349" s="26" t="str">
        <x:v>Cumplimiento verificable antes del gate indicado.</x:v>
      </x:c>
      <x:c r="H349" s="26" t="str">
        <x:v>Package size report.</x:v>
      </x:c>
      <x:c r="I349" s="26" t="str">
        <x:v>30_Performance_and_Optimization_Plan.md; 24_Steam_Publishing_Plan.md</x:v>
      </x:c>
      <x:c r="J349" s="26" t="str">
        <x:v>Historical performance targets across TDD/VSS/Build/Art v0.3–v0.6</x:v>
      </x:c>
      <x:c r="K349" s="26" t="str">
        <x:v>Release</x:v>
      </x:c>
      <x:c r="L349" s="26" t="str">
        <x:v>Yes</x:v>
      </x:c>
      <x:c r="M349" s="26" t="str">
        <x:v>P1</x:v>
      </x:c>
      <x:c r="N349" s="26" t="str">
        <x:v>Engineering/QA</x:v>
      </x:c>
      <x:c r="O349" s="26" t="str">
        <x:v>Technical Direction/Marketing</x:v>
      </x:c>
      <x:c r="P349" s="26" t="str">
        <x:v>NOT RUN</x:v>
      </x:c>
      <x:c r="Q349" s="26"/>
      <x:c r="R349" s="26"/>
      <x:c r="S349" s="26"/>
      <x:c r="T349" s="26"/>
      <x:c r="U349" s="26"/>
      <x:c r="V349" s="26"/>
      <x:c r="W349" s="26" t="n">
        <x:v>1</x:v>
      </x:c>
      <x:c r="X349" s="26" t="n">
        <x:v>0</x:v>
      </x:c>
      <x:c r="Y349" s="26" t="n">
        <x:v>1</x:v>
      </x:c>
      <x:c r="Z349" s="26" t="str">
        <x:v>PENDING</x:v>
      </x:c>
      <x:c r="AA349" s="26" t="str">
        <x:v>CHG-RC1-DOC-31</x:v>
      </x:c>
      <x:c r="AB349" s="26" t="str">
        <x:v>DEFINED / NOT EXECUTED</x:v>
      </x:c>
    </x:row>
    <x:row r="350" ht="30" customHeight="1">
      <x:c r="A350" s="26" t="str">
        <x:v>Release</x:v>
      </x:c>
      <x:c r="B350" s="26" t="str">
        <x:v>REL-PER-010</x:v>
      </x:c>
      <x:c r="C350" s="26" t="str">
        <x:v>Rendimiento y requisitos del sistema</x:v>
      </x:c>
      <x:c r="D350" s="26" t="str">
        <x:v>Release readiness</x:v>
      </x:c>
      <x:c r="E350" s="26" t="str">
        <x:v>Los picos de CPU/GPU/memoria de primera carga y shaders están caracterizados.</x:v>
      </x:c>
      <x:c r="F350" s="26" t="str">
        <x:v>Revisar, ejecutar y registrar evidencia reproducible.</x:v>
      </x:c>
      <x:c r="G350" s="26" t="str">
        <x:v>Cumplimiento verificable antes del gate indicado.</x:v>
      </x:c>
      <x:c r="H350" s="26" t="str">
        <x:v>Startup/shader report.</x:v>
      </x:c>
      <x:c r="I350" s="26" t="str">
        <x:v>30_Performance_and_Optimization_Plan.md; 24_Steam_Publishing_Plan.md</x:v>
      </x:c>
      <x:c r="J350" s="26" t="str">
        <x:v>Historical performance targets across TDD/VSS/Build/Art v0.3–v0.6</x:v>
      </x:c>
      <x:c r="K350" s="26" t="str">
        <x:v>Release</x:v>
      </x:c>
      <x:c r="L350" s="26" t="str">
        <x:v>Yes</x:v>
      </x:c>
      <x:c r="M350" s="26" t="str">
        <x:v>P1</x:v>
      </x:c>
      <x:c r="N350" s="26" t="str">
        <x:v>Engineering/QA</x:v>
      </x:c>
      <x:c r="O350" s="26" t="str">
        <x:v>Technical Direction/Marketing</x:v>
      </x:c>
      <x:c r="P350" s="26" t="str">
        <x:v>NOT RUN</x:v>
      </x:c>
      <x:c r="Q350" s="26"/>
      <x:c r="R350" s="26"/>
      <x:c r="S350" s="26"/>
      <x:c r="T350" s="26"/>
      <x:c r="U350" s="26"/>
      <x:c r="V350" s="26"/>
      <x:c r="W350" s="26" t="n">
        <x:v>1</x:v>
      </x:c>
      <x:c r="X350" s="26" t="n">
        <x:v>0</x:v>
      </x:c>
      <x:c r="Y350" s="26" t="n">
        <x:v>1</x:v>
      </x:c>
      <x:c r="Z350" s="26" t="str">
        <x:v>PENDING</x:v>
      </x:c>
      <x:c r="AA350" s="26" t="str">
        <x:v>CHG-RC1-DOC-31</x:v>
      </x:c>
      <x:c r="AB350" s="26" t="str">
        <x:v>DEFINED / NOT EXECUTED</x:v>
      </x:c>
    </x:row>
    <x:row r="351" ht="30" customHeight="1">
      <x:c r="A351" s="26" t="str">
        <x:v>Release</x:v>
      </x:c>
      <x:c r="B351" s="26" t="str">
        <x:v>REL-PER-011</x:v>
      </x:c>
      <x:c r="C351" s="26" t="str">
        <x:v>Rendimiento y requisitos del sistema</x:v>
      </x:c>
      <x:c r="D351" s="26" t="str">
        <x:v>Release readiness</x:v>
      </x:c>
      <x:c r="E351" s="26" t="str">
        <x:v>Los problemas conocidos de drivers/hardware tienen mitigación o documentación.</x:v>
      </x:c>
      <x:c r="F351" s="26" t="str">
        <x:v>Revisar, ejecutar y registrar evidencia reproducible.</x:v>
      </x:c>
      <x:c r="G351" s="26" t="str">
        <x:v>Cumplimiento verificable antes del gate indicado.</x:v>
      </x:c>
      <x:c r="H351" s="26" t="str">
        <x:v>Compatibility known issues.</x:v>
      </x:c>
      <x:c r="I351" s="26" t="str">
        <x:v>30_Performance_and_Optimization_Plan.md; 24_Steam_Publishing_Plan.md</x:v>
      </x:c>
      <x:c r="J351" s="26" t="str">
        <x:v>Historical performance targets across TDD/VSS/Build/Art v0.3–v0.6</x:v>
      </x:c>
      <x:c r="K351" s="26" t="str">
        <x:v>Release</x:v>
      </x:c>
      <x:c r="L351" s="26" t="str">
        <x:v>Yes</x:v>
      </x:c>
      <x:c r="M351" s="26" t="str">
        <x:v>P1</x:v>
      </x:c>
      <x:c r="N351" s="26" t="str">
        <x:v>Engineering/QA</x:v>
      </x:c>
      <x:c r="O351" s="26" t="str">
        <x:v>Technical Direction/Marketing</x:v>
      </x:c>
      <x:c r="P351" s="26" t="str">
        <x:v>NOT RUN</x:v>
      </x:c>
      <x:c r="Q351" s="26"/>
      <x:c r="R351" s="26"/>
      <x:c r="S351" s="26"/>
      <x:c r="T351" s="26"/>
      <x:c r="U351" s="26"/>
      <x:c r="V351" s="26"/>
      <x:c r="W351" s="26" t="n">
        <x:v>1</x:v>
      </x:c>
      <x:c r="X351" s="26" t="n">
        <x:v>0</x:v>
      </x:c>
      <x:c r="Y351" s="26" t="n">
        <x:v>1</x:v>
      </x:c>
      <x:c r="Z351" s="26" t="str">
        <x:v>PENDING</x:v>
      </x:c>
      <x:c r="AA351" s="26" t="str">
        <x:v>CHG-RC1-DOC-31</x:v>
      </x:c>
      <x:c r="AB351" s="26" t="str">
        <x:v>DEFINED / NOT EXECUTED</x:v>
      </x:c>
    </x:row>
    <x:row r="352" ht="30" customHeight="1">
      <x:c r="A352" s="26" t="str">
        <x:v>Release</x:v>
      </x:c>
      <x:c r="B352" s="26" t="str">
        <x:v>REL-PER-012</x:v>
      </x:c>
      <x:c r="C352" s="26" t="str">
        <x:v>Rendimiento y requisitos del sistema</x:v>
      </x:c>
      <x:c r="D352" s="26" t="str">
        <x:v>Release readiness</x:v>
      </x:c>
      <x:c r="E352" s="26" t="str">
        <x:v>Las métricas publicadas o usadas en marketing coinciden con pruebas aprobadas.</x:v>
      </x:c>
      <x:c r="F352" s="26" t="str">
        <x:v>Revisar, ejecutar y registrar evidencia reproducible.</x:v>
      </x:c>
      <x:c r="G352" s="26" t="str">
        <x:v>Cumplimiento verificable antes del gate indicado.</x:v>
      </x:c>
      <x:c r="H352" s="26" t="str">
        <x:v>Performance claims approval.</x:v>
      </x:c>
      <x:c r="I352" s="26" t="str">
        <x:v>30_Performance_and_Optimization_Plan.md; 24_Steam_Publishing_Plan.md</x:v>
      </x:c>
      <x:c r="J352" s="26" t="str">
        <x:v>Historical performance targets across TDD/VSS/Build/Art v0.3–v0.6</x:v>
      </x:c>
      <x:c r="K352" s="26" t="str">
        <x:v>Release</x:v>
      </x:c>
      <x:c r="L352" s="26" t="str">
        <x:v>Yes</x:v>
      </x:c>
      <x:c r="M352" s="26" t="str">
        <x:v>P1</x:v>
      </x:c>
      <x:c r="N352" s="26" t="str">
        <x:v>Engineering/QA</x:v>
      </x:c>
      <x:c r="O352" s="26" t="str">
        <x:v>Technical Direction/Marketing</x:v>
      </x:c>
      <x:c r="P352" s="26" t="str">
        <x:v>NOT RUN</x:v>
      </x:c>
      <x:c r="Q352" s="26"/>
      <x:c r="R352" s="26"/>
      <x:c r="S352" s="26"/>
      <x:c r="T352" s="26"/>
      <x:c r="U352" s="26"/>
      <x:c r="V352" s="26"/>
      <x:c r="W352" s="26" t="n">
        <x:v>1</x:v>
      </x:c>
      <x:c r="X352" s="26" t="n">
        <x:v>0</x:v>
      </x:c>
      <x:c r="Y352" s="26" t="n">
        <x:v>1</x:v>
      </x:c>
      <x:c r="Z352" s="26" t="str">
        <x:v>PENDING</x:v>
      </x:c>
      <x:c r="AA352" s="26" t="str">
        <x:v>CHG-RC1-DOC-31</x:v>
      </x:c>
      <x:c r="AB352" s="26" t="str">
        <x:v>DEFINED / NOT EXECUTED</x:v>
      </x:c>
    </x:row>
    <x:row r="353" ht="30" customHeight="1">
      <x:c r="A353" s="26" t="str">
        <x:v>Release</x:v>
      </x:c>
      <x:c r="B353" s="26" t="str">
        <x:v>REL-ACC-001</x:v>
      </x:c>
      <x:c r="C353" s="26" t="str">
        <x:v>Accesibilidad e inclusión</x:v>
      </x:c>
      <x:c r="D353" s="26" t="str">
        <x:v>Release readiness</x:v>
      </x:c>
      <x:c r="E353" s="26" t="str">
        <x:v>Las opciones de accesibilidad incluidas están funcionales en RC y persisten.</x:v>
      </x:c>
      <x:c r="F353" s="26" t="str">
        <x:v>Revisar, ejecutar y registrar evidencia reproducible.</x:v>
      </x:c>
      <x:c r="G353" s="26" t="str">
        <x:v>Cumplimiento verificable antes del gate indicado.</x:v>
      </x:c>
      <x:c r="H353" s="26" t="str">
        <x:v>Accessibility regression report.</x:v>
      </x:c>
      <x:c r="I353" s="26" t="str">
        <x:v>29_Accessibility_and_Inclusive_Design_Plan.md; 24_Steam_Publishing_Plan.md</x:v>
      </x:c>
      <x:c r="J353" s="26" t="str">
        <x:v>Accessibility requirements historically distributed across UX/UI/QA/Localization v0.3–v0.6</x:v>
      </x:c>
      <x:c r="K353" s="26" t="str">
        <x:v>Release</x:v>
      </x:c>
      <x:c r="L353" s="26" t="str">
        <x:v>Yes</x:v>
      </x:c>
      <x:c r="M353" s="26" t="str">
        <x:v>P1</x:v>
      </x:c>
      <x:c r="N353" s="26" t="str">
        <x:v>Accessibility/UX</x:v>
      </x:c>
      <x:c r="O353" s="26" t="str">
        <x:v>QA/Marketing</x:v>
      </x:c>
      <x:c r="P353" s="26" t="str">
        <x:v>NOT RUN</x:v>
      </x:c>
      <x:c r="Q353" s="26"/>
      <x:c r="R353" s="26"/>
      <x:c r="S353" s="26"/>
      <x:c r="T353" s="26"/>
      <x:c r="U353" s="26"/>
      <x:c r="V353" s="26"/>
      <x:c r="W353" s="26" t="n">
        <x:v>1</x:v>
      </x:c>
      <x:c r="X353" s="26" t="n">
        <x:v>0</x:v>
      </x:c>
      <x:c r="Y353" s="26" t="n">
        <x:v>1</x:v>
      </x:c>
      <x:c r="Z353" s="26" t="str">
        <x:v>PENDING</x:v>
      </x:c>
      <x:c r="AA353" s="26" t="str">
        <x:v>CHG-RC1-DOC-31</x:v>
      </x:c>
      <x:c r="AB353" s="26" t="str">
        <x:v>DEFINED / NOT EXECUTED</x:v>
      </x:c>
    </x:row>
    <x:row r="354" ht="30" customHeight="1">
      <x:c r="A354" s="26" t="str">
        <x:v>Release</x:v>
      </x:c>
      <x:c r="B354" s="26" t="str">
        <x:v>REL-ACC-002</x:v>
      </x:c>
      <x:c r="C354" s="26" t="str">
        <x:v>Accesibilidad e inclusión</x:v>
      </x:c>
      <x:c r="D354" s="26" t="str">
        <x:v>Release readiness</x:v>
      </x:c>
      <x:c r="E354" s="26" t="str">
        <x:v>La navegación por dispositivos declarados cubre menús, gameplay y recuperación de errores.</x:v>
      </x:c>
      <x:c r="F354" s="26" t="str">
        <x:v>Revisar, ejecutar y registrar evidencia reproducible.</x:v>
      </x:c>
      <x:c r="G354" s="26" t="str">
        <x:v>Cumplimiento verificable antes del gate indicado.</x:v>
      </x:c>
      <x:c r="H354" s="26" t="str">
        <x:v>Input accessibility matrix.</x:v>
      </x:c>
      <x:c r="I354" s="26" t="str">
        <x:v>29_Accessibility_and_Inclusive_Design_Plan.md; 24_Steam_Publishing_Plan.md</x:v>
      </x:c>
      <x:c r="J354" s="26" t="str">
        <x:v>Accessibility requirements historically distributed across UX/UI/QA/Localization v0.3–v0.6</x:v>
      </x:c>
      <x:c r="K354" s="26" t="str">
        <x:v>Release</x:v>
      </x:c>
      <x:c r="L354" s="26" t="str">
        <x:v>Yes</x:v>
      </x:c>
      <x:c r="M354" s="26" t="str">
        <x:v>P1</x:v>
      </x:c>
      <x:c r="N354" s="26" t="str">
        <x:v>Accessibility/UX</x:v>
      </x:c>
      <x:c r="O354" s="26" t="str">
        <x:v>QA/Marketing</x:v>
      </x:c>
      <x:c r="P354" s="26" t="str">
        <x:v>NOT RUN</x:v>
      </x:c>
      <x:c r="Q354" s="26"/>
      <x:c r="R354" s="26"/>
      <x:c r="S354" s="26"/>
      <x:c r="T354" s="26"/>
      <x:c r="U354" s="26"/>
      <x:c r="V354" s="26"/>
      <x:c r="W354" s="26" t="n">
        <x:v>1</x:v>
      </x:c>
      <x:c r="X354" s="26" t="n">
        <x:v>0</x:v>
      </x:c>
      <x:c r="Y354" s="26" t="n">
        <x:v>1</x:v>
      </x:c>
      <x:c r="Z354" s="26" t="str">
        <x:v>PENDING</x:v>
      </x:c>
      <x:c r="AA354" s="26" t="str">
        <x:v>CHG-RC1-DOC-31</x:v>
      </x:c>
      <x:c r="AB354" s="26" t="str">
        <x:v>DEFINED / NOT EXECUTED</x:v>
      </x:c>
    </x:row>
    <x:row r="355" ht="30" customHeight="1">
      <x:c r="A355" s="26" t="str">
        <x:v>Release</x:v>
      </x:c>
      <x:c r="B355" s="26" t="str">
        <x:v>REL-ACC-003</x:v>
      </x:c>
      <x:c r="C355" s="26" t="str">
        <x:v>Accesibilidad e inclusión</x:v>
      </x:c>
      <x:c r="D355" s="26" t="str">
        <x:v>Release readiness</x:v>
      </x:c>
      <x:c r="E355" s="26" t="str">
        <x:v>Escala de UI/texto funciona en idiomas y resoluciones soportadas.</x:v>
      </x:c>
      <x:c r="F355" s="26" t="str">
        <x:v>Revisar, ejecutar y registrar evidencia reproducible.</x:v>
      </x:c>
      <x:c r="G355" s="26" t="str">
        <x:v>Cumplimiento verificable antes del gate indicado.</x:v>
      </x:c>
      <x:c r="H355" s="26" t="str">
        <x:v>Scaling matrix.</x:v>
      </x:c>
      <x:c r="I355" s="26" t="str">
        <x:v>29_Accessibility_and_Inclusive_Design_Plan.md; 24_Steam_Publishing_Plan.md</x:v>
      </x:c>
      <x:c r="J355" s="26" t="str">
        <x:v>Accessibility requirements historically distributed across UX/UI/QA/Localization v0.3–v0.6</x:v>
      </x:c>
      <x:c r="K355" s="26" t="str">
        <x:v>Release</x:v>
      </x:c>
      <x:c r="L355" s="26" t="str">
        <x:v>Yes</x:v>
      </x:c>
      <x:c r="M355" s="26" t="str">
        <x:v>P1</x:v>
      </x:c>
      <x:c r="N355" s="26" t="str">
        <x:v>Accessibility/UX</x:v>
      </x:c>
      <x:c r="O355" s="26" t="str">
        <x:v>QA/Marketing</x:v>
      </x:c>
      <x:c r="P355" s="26" t="str">
        <x:v>NOT RUN</x:v>
      </x:c>
      <x:c r="Q355" s="26"/>
      <x:c r="R355" s="26"/>
      <x:c r="S355" s="26"/>
      <x:c r="T355" s="26"/>
      <x:c r="U355" s="26"/>
      <x:c r="V355" s="26"/>
      <x:c r="W355" s="26" t="n">
        <x:v>1</x:v>
      </x:c>
      <x:c r="X355" s="26" t="n">
        <x:v>0</x:v>
      </x:c>
      <x:c r="Y355" s="26" t="n">
        <x:v>1</x:v>
      </x:c>
      <x:c r="Z355" s="26" t="str">
        <x:v>PENDING</x:v>
      </x:c>
      <x:c r="AA355" s="26" t="str">
        <x:v>CHG-RC1-DOC-31</x:v>
      </x:c>
      <x:c r="AB355" s="26" t="str">
        <x:v>DEFINED / NOT EXECUTED</x:v>
      </x:c>
    </x:row>
    <x:row r="356" ht="30" customHeight="1">
      <x:c r="A356" s="26" t="str">
        <x:v>Release</x:v>
      </x:c>
      <x:c r="B356" s="26" t="str">
        <x:v>REL-ACC-004</x:v>
      </x:c>
      <x:c r="C356" s="26" t="str">
        <x:v>Accesibilidad e inclusión</x:v>
      </x:c>
      <x:c r="D356" s="26" t="str">
        <x:v>Release readiness</x:v>
      </x:c>
      <x:c r="E356" s="26" t="str">
        <x:v>Reduce motion se consume en todas las superficies declaradas.</x:v>
      </x:c>
      <x:c r="F356" s="26" t="str">
        <x:v>Revisar, ejecutar y registrar evidencia reproducible.</x:v>
      </x:c>
      <x:c r="G356" s="26" t="str">
        <x:v>Cumplimiento verificable antes del gate indicado.</x:v>
      </x:c>
      <x:c r="H356" s="26" t="str">
        <x:v>Motion audit.</x:v>
      </x:c>
      <x:c r="I356" s="26" t="str">
        <x:v>29_Accessibility_and_Inclusive_Design_Plan.md; 24_Steam_Publishing_Plan.md</x:v>
      </x:c>
      <x:c r="J356" s="26" t="str">
        <x:v>Accessibility requirements historically distributed across UX/UI/QA/Localization v0.3–v0.6</x:v>
      </x:c>
      <x:c r="K356" s="26" t="str">
        <x:v>Release</x:v>
      </x:c>
      <x:c r="L356" s="26" t="str">
        <x:v>Yes</x:v>
      </x:c>
      <x:c r="M356" s="26" t="str">
        <x:v>P1</x:v>
      </x:c>
      <x:c r="N356" s="26" t="str">
        <x:v>Accessibility/UX</x:v>
      </x:c>
      <x:c r="O356" s="26" t="str">
        <x:v>QA/Marketing</x:v>
      </x:c>
      <x:c r="P356" s="26" t="str">
        <x:v>NOT RUN</x:v>
      </x:c>
      <x:c r="Q356" s="26"/>
      <x:c r="R356" s="26"/>
      <x:c r="S356" s="26"/>
      <x:c r="T356" s="26"/>
      <x:c r="U356" s="26"/>
      <x:c r="V356" s="26"/>
      <x:c r="W356" s="26" t="n">
        <x:v>1</x:v>
      </x:c>
      <x:c r="X356" s="26" t="n">
        <x:v>0</x:v>
      </x:c>
      <x:c r="Y356" s="26" t="n">
        <x:v>1</x:v>
      </x:c>
      <x:c r="Z356" s="26" t="str">
        <x:v>PENDING</x:v>
      </x:c>
      <x:c r="AA356" s="26" t="str">
        <x:v>CHG-RC1-DOC-31</x:v>
      </x:c>
      <x:c r="AB356" s="26" t="str">
        <x:v>DEFINED / NOT EXECUTED</x:v>
      </x:c>
    </x:row>
    <x:row r="357" ht="30" customHeight="1">
      <x:c r="A357" s="26" t="str">
        <x:v>Release</x:v>
      </x:c>
      <x:c r="B357" s="26" t="str">
        <x:v>REL-ACC-005</x:v>
      </x:c>
      <x:c r="C357" s="26" t="str">
        <x:v>Accesibilidad e inclusión</x:v>
      </x:c>
      <x:c r="D357" s="26" t="str">
        <x:v>Release readiness</x:v>
      </x:c>
      <x:c r="E357" s="26" t="str">
        <x:v>Color no es el único canal para información o acción crítica.</x:v>
      </x:c>
      <x:c r="F357" s="26" t="str">
        <x:v>Revisar, ejecutar y registrar evidencia reproducible.</x:v>
      </x:c>
      <x:c r="G357" s="26" t="str">
        <x:v>Cumplimiento verificable antes del gate indicado.</x:v>
      </x:c>
      <x:c r="H357" s="26" t="str">
        <x:v>Redundancy audit.</x:v>
      </x:c>
      <x:c r="I357" s="26" t="str">
        <x:v>29_Accessibility_and_Inclusive_Design_Plan.md; 24_Steam_Publishing_Plan.md</x:v>
      </x:c>
      <x:c r="J357" s="26" t="str">
        <x:v>Accessibility requirements historically distributed across UX/UI/QA/Localization v0.3–v0.6</x:v>
      </x:c>
      <x:c r="K357" s="26" t="str">
        <x:v>Release</x:v>
      </x:c>
      <x:c r="L357" s="26" t="str">
        <x:v>Yes</x:v>
      </x:c>
      <x:c r="M357" s="26" t="str">
        <x:v>P1</x:v>
      </x:c>
      <x:c r="N357" s="26" t="str">
        <x:v>Accessibility/UX</x:v>
      </x:c>
      <x:c r="O357" s="26" t="str">
        <x:v>QA/Marketing</x:v>
      </x:c>
      <x:c r="P357" s="26" t="str">
        <x:v>NOT RUN</x:v>
      </x:c>
      <x:c r="Q357" s="26"/>
      <x:c r="R357" s="26"/>
      <x:c r="S357" s="26"/>
      <x:c r="T357" s="26"/>
      <x:c r="U357" s="26"/>
      <x:c r="V357" s="26"/>
      <x:c r="W357" s="26" t="n">
        <x:v>1</x:v>
      </x:c>
      <x:c r="X357" s="26" t="n">
        <x:v>0</x:v>
      </x:c>
      <x:c r="Y357" s="26" t="n">
        <x:v>1</x:v>
      </x:c>
      <x:c r="Z357" s="26" t="str">
        <x:v>PENDING</x:v>
      </x:c>
      <x:c r="AA357" s="26" t="str">
        <x:v>CHG-RC1-DOC-31</x:v>
      </x:c>
      <x:c r="AB357" s="26" t="str">
        <x:v>DEFINED / NOT EXECUTED</x:v>
      </x:c>
    </x:row>
    <x:row r="358" ht="30" customHeight="1">
      <x:c r="A358" s="26" t="str">
        <x:v>Release</x:v>
      </x:c>
      <x:c r="B358" s="26" t="str">
        <x:v>REL-ACC-006</x:v>
      </x:c>
      <x:c r="C358" s="26" t="str">
        <x:v>Accesibilidad e inclusión</x:v>
      </x:c>
      <x:c r="D358" s="26" t="str">
        <x:v>Release readiness</x:v>
      </x:c>
      <x:c r="E358" s="26" t="str">
        <x:v>Los subtítulos/captions, si se declaran, cubren contenido relevante y tienen opciones necesarias.</x:v>
      </x:c>
      <x:c r="F358" s="26" t="str">
        <x:v>Revisar, ejecutar y registrar evidencia reproducible.</x:v>
      </x:c>
      <x:c r="G358" s="26" t="str">
        <x:v>Cumplimiento verificable antes del gate indicado.</x:v>
      </x:c>
      <x:c r="H358" s="26" t="str">
        <x:v>Subtitle/caption QA.</x:v>
      </x:c>
      <x:c r="I358" s="26" t="str">
        <x:v>29_Accessibility_and_Inclusive_Design_Plan.md; 24_Steam_Publishing_Plan.md</x:v>
      </x:c>
      <x:c r="J358" s="26" t="str">
        <x:v>Accessibility requirements historically distributed across UX/UI/QA/Localization v0.3–v0.6</x:v>
      </x:c>
      <x:c r="K358" s="26" t="str">
        <x:v>Release</x:v>
      </x:c>
      <x:c r="L358" s="26" t="str">
        <x:v>Yes</x:v>
      </x:c>
      <x:c r="M358" s="26" t="str">
        <x:v>P1</x:v>
      </x:c>
      <x:c r="N358" s="26" t="str">
        <x:v>Accessibility/UX</x:v>
      </x:c>
      <x:c r="O358" s="26" t="str">
        <x:v>QA/Marketing</x:v>
      </x:c>
      <x:c r="P358" s="26" t="str">
        <x:v>NOT RUN</x:v>
      </x:c>
      <x:c r="Q358" s="26"/>
      <x:c r="R358" s="26"/>
      <x:c r="S358" s="26"/>
      <x:c r="T358" s="26"/>
      <x:c r="U358" s="26"/>
      <x:c r="V358" s="26"/>
      <x:c r="W358" s="26" t="n">
        <x:v>1</x:v>
      </x:c>
      <x:c r="X358" s="26" t="n">
        <x:v>0</x:v>
      </x:c>
      <x:c r="Y358" s="26" t="n">
        <x:v>1</x:v>
      </x:c>
      <x:c r="Z358" s="26" t="str">
        <x:v>PENDING</x:v>
      </x:c>
      <x:c r="AA358" s="26" t="str">
        <x:v>CHG-RC1-DOC-31</x:v>
      </x:c>
      <x:c r="AB358" s="26" t="str">
        <x:v>DEFINED / NOT EXECUTED</x:v>
      </x:c>
    </x:row>
    <x:row r="359" ht="30" customHeight="1">
      <x:c r="A359" s="26" t="str">
        <x:v>Release</x:v>
      </x:c>
      <x:c r="B359" s="26" t="str">
        <x:v>REL-ACC-007</x:v>
      </x:c>
      <x:c r="C359" s="26" t="str">
        <x:v>Accesibilidad e inclusión</x:v>
      </x:c>
      <x:c r="D359" s="26" t="str">
        <x:v>Release readiness</x:v>
      </x:c>
      <x:c r="E359" s="26" t="str">
        <x:v>El remapeo, si se declara, cubre conflictos, defaults, guardado y recuperación.</x:v>
      </x:c>
      <x:c r="F359" s="26" t="str">
        <x:v>Revisar, ejecutar y registrar evidencia reproducible.</x:v>
      </x:c>
      <x:c r="G359" s="26" t="str">
        <x:v>Cumplimiento verificable antes del gate indicado.</x:v>
      </x:c>
      <x:c r="H359" s="26" t="str">
        <x:v>Remapping QA.</x:v>
      </x:c>
      <x:c r="I359" s="26" t="str">
        <x:v>29_Accessibility_and_Inclusive_Design_Plan.md; 24_Steam_Publishing_Plan.md</x:v>
      </x:c>
      <x:c r="J359" s="26" t="str">
        <x:v>Accessibility requirements historically distributed across UX/UI/QA/Localization v0.3–v0.6</x:v>
      </x:c>
      <x:c r="K359" s="26" t="str">
        <x:v>Release</x:v>
      </x:c>
      <x:c r="L359" s="26" t="str">
        <x:v>Yes</x:v>
      </x:c>
      <x:c r="M359" s="26" t="str">
        <x:v>P1</x:v>
      </x:c>
      <x:c r="N359" s="26" t="str">
        <x:v>Accessibility/UX</x:v>
      </x:c>
      <x:c r="O359" s="26" t="str">
        <x:v>QA/Marketing</x:v>
      </x:c>
      <x:c r="P359" s="26" t="str">
        <x:v>NOT RUN</x:v>
      </x:c>
      <x:c r="Q359" s="26"/>
      <x:c r="R359" s="26"/>
      <x:c r="S359" s="26"/>
      <x:c r="T359" s="26"/>
      <x:c r="U359" s="26"/>
      <x:c r="V359" s="26"/>
      <x:c r="W359" s="26" t="n">
        <x:v>1</x:v>
      </x:c>
      <x:c r="X359" s="26" t="n">
        <x:v>0</x:v>
      </x:c>
      <x:c r="Y359" s="26" t="n">
        <x:v>1</x:v>
      </x:c>
      <x:c r="Z359" s="26" t="str">
        <x:v>PENDING</x:v>
      </x:c>
      <x:c r="AA359" s="26" t="str">
        <x:v>CHG-RC1-DOC-31</x:v>
      </x:c>
      <x:c r="AB359" s="26" t="str">
        <x:v>DEFINED / NOT EXECUTED</x:v>
      </x:c>
    </x:row>
    <x:row r="360" ht="30" customHeight="1">
      <x:c r="A360" s="26" t="str">
        <x:v>Release</x:v>
      </x:c>
      <x:c r="B360" s="26" t="str">
        <x:v>REL-ACC-008</x:v>
      </x:c>
      <x:c r="C360" s="26" t="str">
        <x:v>Accesibilidad e inclusión</x:v>
      </x:c>
      <x:c r="D360" s="26" t="str">
        <x:v>Release readiness</x:v>
      </x:c>
      <x:c r="E360" s="26" t="str">
        <x:v>La experiencia completa con mando solo se declara tras pruebas end-to-end.</x:v>
      </x:c>
      <x:c r="F360" s="26" t="str">
        <x:v>Revisar, ejecutar y registrar evidencia reproducible.</x:v>
      </x:c>
      <x:c r="G360" s="26" t="str">
        <x:v>Cumplimiento verificable antes del gate indicado.</x:v>
      </x:c>
      <x:c r="H360" s="26" t="str">
        <x:v>Controller E2E report.</x:v>
      </x:c>
      <x:c r="I360" s="26" t="str">
        <x:v>29_Accessibility_and_Inclusive_Design_Plan.md; 24_Steam_Publishing_Plan.md</x:v>
      </x:c>
      <x:c r="J360" s="26" t="str">
        <x:v>Accessibility requirements historically distributed across UX/UI/QA/Localization v0.3–v0.6</x:v>
      </x:c>
      <x:c r="K360" s="26" t="str">
        <x:v>Release</x:v>
      </x:c>
      <x:c r="L360" s="26" t="str">
        <x:v>Yes</x:v>
      </x:c>
      <x:c r="M360" s="26" t="str">
        <x:v>P1</x:v>
      </x:c>
      <x:c r="N360" s="26" t="str">
        <x:v>Accessibility/UX</x:v>
      </x:c>
      <x:c r="O360" s="26" t="str">
        <x:v>QA/Marketing</x:v>
      </x:c>
      <x:c r="P360" s="26" t="str">
        <x:v>NOT RUN</x:v>
      </x:c>
      <x:c r="Q360" s="26"/>
      <x:c r="R360" s="26"/>
      <x:c r="S360" s="26"/>
      <x:c r="T360" s="26"/>
      <x:c r="U360" s="26"/>
      <x:c r="V360" s="26"/>
      <x:c r="W360" s="26" t="n">
        <x:v>1</x:v>
      </x:c>
      <x:c r="X360" s="26" t="n">
        <x:v>0</x:v>
      </x:c>
      <x:c r="Y360" s="26" t="n">
        <x:v>1</x:v>
      </x:c>
      <x:c r="Z360" s="26" t="str">
        <x:v>PENDING</x:v>
      </x:c>
      <x:c r="AA360" s="26" t="str">
        <x:v>CHG-RC1-DOC-31</x:v>
      </x:c>
      <x:c r="AB360" s="26" t="str">
        <x:v>DEFINED / NOT EXECUTED</x:v>
      </x:c>
    </x:row>
    <x:row r="361" ht="30" customHeight="1">
      <x:c r="A361" s="26" t="str">
        <x:v>Release</x:v>
      </x:c>
      <x:c r="B361" s="26" t="str">
        <x:v>REL-ACC-009</x:v>
      </x:c>
      <x:c r="C361" s="26" t="str">
        <x:v>Accesibilidad e inclusión</x:v>
      </x:c>
      <x:c r="D361" s="26" t="str">
        <x:v>Release readiness</x:v>
      </x:c>
      <x:c r="E361" s="26" t="str">
        <x:v>Las declaraciones de Steam usan la taxonomía correcta y evidencia asociada.</x:v>
      </x:c>
      <x:c r="F361" s="26" t="str">
        <x:v>Revisar, ejecutar y registrar evidencia reproducible.</x:v>
      </x:c>
      <x:c r="G361" s="26" t="str">
        <x:v>Cumplimiento verificable antes del gate indicado.</x:v>
      </x:c>
      <x:c r="H361" s="26" t="str">
        <x:v>Steam accessibility feature matrix.</x:v>
      </x:c>
      <x:c r="I361" s="26" t="str">
        <x:v>29_Accessibility_and_Inclusive_Design_Plan.md; 24_Steam_Publishing_Plan.md</x:v>
      </x:c>
      <x:c r="J361" s="26" t="str">
        <x:v>Accessibility requirements historically distributed across UX/UI/QA/Localization v0.3–v0.6</x:v>
      </x:c>
      <x:c r="K361" s="26" t="str">
        <x:v>Release</x:v>
      </x:c>
      <x:c r="L361" s="26" t="str">
        <x:v>Yes</x:v>
      </x:c>
      <x:c r="M361" s="26" t="str">
        <x:v>P0</x:v>
      </x:c>
      <x:c r="N361" s="26" t="str">
        <x:v>Accessibility/UX</x:v>
      </x:c>
      <x:c r="O361" s="26" t="str">
        <x:v>QA/Marketing</x:v>
      </x:c>
      <x:c r="P361" s="26" t="str">
        <x:v>NOT RUN</x:v>
      </x:c>
      <x:c r="Q361" s="26"/>
      <x:c r="R361" s="26"/>
      <x:c r="S361" s="26"/>
      <x:c r="T361" s="26"/>
      <x:c r="U361" s="26"/>
      <x:c r="V361" s="26"/>
      <x:c r="W361" s="26" t="n">
        <x:v>1</x:v>
      </x:c>
      <x:c r="X361" s="26" t="n">
        <x:v>0</x:v>
      </x:c>
      <x:c r="Y361" s="26" t="n">
        <x:v>1</x:v>
      </x:c>
      <x:c r="Z361" s="26" t="str">
        <x:v>PENDING</x:v>
      </x:c>
      <x:c r="AA361" s="26" t="str">
        <x:v>CHG-RC1-DOC-31</x:v>
      </x:c>
      <x:c r="AB361" s="26" t="str">
        <x:v>DEFINED / NOT EXECUTED</x:v>
      </x:c>
    </x:row>
    <x:row r="362" ht="30" customHeight="1">
      <x:c r="A362" s="26" t="str">
        <x:v>Release</x:v>
      </x:c>
      <x:c r="B362" s="26" t="str">
        <x:v>REL-ACC-010</x:v>
      </x:c>
      <x:c r="C362" s="26" t="str">
        <x:v>Accesibilidad e inclusión</x:v>
      </x:c>
      <x:c r="D362" s="26" t="str">
        <x:v>Release readiness</x:v>
      </x:c>
      <x:c r="E362" s="26" t="str">
        <x:v>Las imágenes públicas relevantes incluyen texto alternativo donde la plataforma lo permita.</x:v>
      </x:c>
      <x:c r="F362" s="26" t="str">
        <x:v>Revisar, ejecutar y registrar evidencia reproducible.</x:v>
      </x:c>
      <x:c r="G362" s="26" t="str">
        <x:v>Cumplimiento verificable antes del gate indicado.</x:v>
      </x:c>
      <x:c r="H362" s="26" t="str">
        <x:v>Alt-text content audit.</x:v>
      </x:c>
      <x:c r="I362" s="26" t="str">
        <x:v>29_Accessibility_and_Inclusive_Design_Plan.md; 24_Steam_Publishing_Plan.md</x:v>
      </x:c>
      <x:c r="J362" s="26" t="str">
        <x:v>Accessibility requirements historically distributed across UX/UI/QA/Localization v0.3–v0.6</x:v>
      </x:c>
      <x:c r="K362" s="26" t="str">
        <x:v>Release</x:v>
      </x:c>
      <x:c r="L362" s="26" t="str">
        <x:v>Yes</x:v>
      </x:c>
      <x:c r="M362" s="26" t="str">
        <x:v>P1</x:v>
      </x:c>
      <x:c r="N362" s="26" t="str">
        <x:v>Accessibility/UX</x:v>
      </x:c>
      <x:c r="O362" s="26" t="str">
        <x:v>QA/Marketing</x:v>
      </x:c>
      <x:c r="P362" s="26" t="str">
        <x:v>NOT RUN</x:v>
      </x:c>
      <x:c r="Q362" s="26"/>
      <x:c r="R362" s="26"/>
      <x:c r="S362" s="26"/>
      <x:c r="T362" s="26"/>
      <x:c r="U362" s="26"/>
      <x:c r="V362" s="26"/>
      <x:c r="W362" s="26" t="n">
        <x:v>1</x:v>
      </x:c>
      <x:c r="X362" s="26" t="n">
        <x:v>0</x:v>
      </x:c>
      <x:c r="Y362" s="26" t="n">
        <x:v>1</x:v>
      </x:c>
      <x:c r="Z362" s="26" t="str">
        <x:v>PENDING</x:v>
      </x:c>
      <x:c r="AA362" s="26" t="str">
        <x:v>CHG-RC1-DOC-31</x:v>
      </x:c>
      <x:c r="AB362" s="26" t="str">
        <x:v>DEFINED / NOT EXECUTED</x:v>
      </x:c>
    </x:row>
    <x:row r="363" ht="30" customHeight="1">
      <x:c r="A363" s="26" t="str">
        <x:v>Release</x:v>
      </x:c>
      <x:c r="B363" s="26" t="str">
        <x:v>REL-ACC-011</x:v>
      </x:c>
      <x:c r="C363" s="26" t="str">
        <x:v>Accesibilidad e inclusión</x:v>
      </x:c>
      <x:c r="D363" s="26" t="str">
        <x:v>Release readiness</x:v>
      </x:c>
      <x:c r="E363" s="26" t="str">
        <x:v>El soporte y FAQ incluyen soluciones para barreras conocidas y recuperación de settings.</x:v>
      </x:c>
      <x:c r="F363" s="26" t="str">
        <x:v>Revisar, ejecutar y registrar evidencia reproducible.</x:v>
      </x:c>
      <x:c r="G363" s="26" t="str">
        <x:v>Cumplimiento verificable antes del gate indicado.</x:v>
      </x:c>
      <x:c r="H363" s="26" t="str">
        <x:v>Accessibility support content.</x:v>
      </x:c>
      <x:c r="I363" s="26" t="str">
        <x:v>29_Accessibility_and_Inclusive_Design_Plan.md; 24_Steam_Publishing_Plan.md</x:v>
      </x:c>
      <x:c r="J363" s="26" t="str">
        <x:v>Accessibility requirements historically distributed across UX/UI/QA/Localization v0.3–v0.6</x:v>
      </x:c>
      <x:c r="K363" s="26" t="str">
        <x:v>Release</x:v>
      </x:c>
      <x:c r="L363" s="26" t="str">
        <x:v>Yes</x:v>
      </x:c>
      <x:c r="M363" s="26" t="str">
        <x:v>P1</x:v>
      </x:c>
      <x:c r="N363" s="26" t="str">
        <x:v>Accessibility/UX</x:v>
      </x:c>
      <x:c r="O363" s="26" t="str">
        <x:v>QA/Marketing</x:v>
      </x:c>
      <x:c r="P363" s="26" t="str">
        <x:v>NOT RUN</x:v>
      </x:c>
      <x:c r="Q363" s="26"/>
      <x:c r="R363" s="26"/>
      <x:c r="S363" s="26"/>
      <x:c r="T363" s="26"/>
      <x:c r="U363" s="26"/>
      <x:c r="V363" s="26"/>
      <x:c r="W363" s="26" t="n">
        <x:v>1</x:v>
      </x:c>
      <x:c r="X363" s="26" t="n">
        <x:v>0</x:v>
      </x:c>
      <x:c r="Y363" s="26" t="n">
        <x:v>1</x:v>
      </x:c>
      <x:c r="Z363" s="26" t="str">
        <x:v>PENDING</x:v>
      </x:c>
      <x:c r="AA363" s="26" t="str">
        <x:v>CHG-RC1-DOC-31</x:v>
      </x:c>
      <x:c r="AB363" s="26" t="str">
        <x:v>DEFINED / NOT EXECUTED</x:v>
      </x:c>
    </x:row>
    <x:row r="364" ht="30" customHeight="1">
      <x:c r="A364" s="26" t="str">
        <x:v>Release</x:v>
      </x:c>
      <x:c r="B364" s="26" t="str">
        <x:v>REL-ACC-012</x:v>
      </x:c>
      <x:c r="C364" s="26" t="str">
        <x:v>Accesibilidad e inclusión</x:v>
      </x:c>
      <x:c r="D364" s="26" t="str">
        <x:v>Release readiness</x:v>
      </x:c>
      <x:c r="E364" s="26" t="str">
        <x:v>Los playtests incluyen participantes o revisión experta para perfiles prioritarios.</x:v>
      </x:c>
      <x:c r="F364" s="26" t="str">
        <x:v>Revisar, ejecutar y registrar evidencia reproducible.</x:v>
      </x:c>
      <x:c r="G364" s="26" t="str">
        <x:v>Cumplimiento verificable antes del gate indicado.</x:v>
      </x:c>
      <x:c r="H364" s="26" t="str">
        <x:v>Inclusive playtest report.</x:v>
      </x:c>
      <x:c r="I364" s="26" t="str">
        <x:v>29_Accessibility_and_Inclusive_Design_Plan.md; 24_Steam_Publishing_Plan.md</x:v>
      </x:c>
      <x:c r="J364" s="26" t="str">
        <x:v>Accessibility requirements historically distributed across UX/UI/QA/Localization v0.3–v0.6</x:v>
      </x:c>
      <x:c r="K364" s="26" t="str">
        <x:v>Release</x:v>
      </x:c>
      <x:c r="L364" s="26" t="str">
        <x:v>Yes</x:v>
      </x:c>
      <x:c r="M364" s="26" t="str">
        <x:v>P1</x:v>
      </x:c>
      <x:c r="N364" s="26" t="str">
        <x:v>Accessibility/UX</x:v>
      </x:c>
      <x:c r="O364" s="26" t="str">
        <x:v>QA/Marketing</x:v>
      </x:c>
      <x:c r="P364" s="26" t="str">
        <x:v>NOT RUN</x:v>
      </x:c>
      <x:c r="Q364" s="26"/>
      <x:c r="R364" s="26"/>
      <x:c r="S364" s="26"/>
      <x:c r="T364" s="26"/>
      <x:c r="U364" s="26"/>
      <x:c r="V364" s="26"/>
      <x:c r="W364" s="26" t="n">
        <x:v>1</x:v>
      </x:c>
      <x:c r="X364" s="26" t="n">
        <x:v>0</x:v>
      </x:c>
      <x:c r="Y364" s="26" t="n">
        <x:v>1</x:v>
      </x:c>
      <x:c r="Z364" s="26" t="str">
        <x:v>PENDING</x:v>
      </x:c>
      <x:c r="AA364" s="26" t="str">
        <x:v>CHG-RC1-DOC-31</x:v>
      </x:c>
      <x:c r="AB364" s="26" t="str">
        <x:v>DEFINED / NOT EXECUTED</x:v>
      </x:c>
    </x:row>
    <x:row r="365" ht="30" customHeight="1">
      <x:c r="A365" s="26" t="str">
        <x:v>Release</x:v>
      </x:c>
      <x:c r="B365" s="26" t="str">
        <x:v>REL-ACC-013</x:v>
      </x:c>
      <x:c r="C365" s="26" t="str">
        <x:v>Accesibilidad e inclusión</x:v>
      </x:c>
      <x:c r="D365" s="26" t="str">
        <x:v>Release readiness</x:v>
      </x:c>
      <x:c r="E365" s="26" t="str">
        <x:v>No se utilizan afirmaciones de conformidad WCAG/XAG sin alcance y evidencia claros.</x:v>
      </x:c>
      <x:c r="F365" s="26" t="str">
        <x:v>Revisar, ejecutar y registrar evidencia reproducible.</x:v>
      </x:c>
      <x:c r="G365" s="26" t="str">
        <x:v>Cumplimiento verificable antes del gate indicado.</x:v>
      </x:c>
      <x:c r="H365" s="26" t="str">
        <x:v>Compliance claims review.</x:v>
      </x:c>
      <x:c r="I365" s="26" t="str">
        <x:v>29_Accessibility_and_Inclusive_Design_Plan.md; 24_Steam_Publishing_Plan.md</x:v>
      </x:c>
      <x:c r="J365" s="26" t="str">
        <x:v>Accessibility requirements historically distributed across UX/UI/QA/Localization v0.3–v0.6</x:v>
      </x:c>
      <x:c r="K365" s="26" t="str">
        <x:v>Release</x:v>
      </x:c>
      <x:c r="L365" s="26" t="str">
        <x:v>Yes</x:v>
      </x:c>
      <x:c r="M365" s="26" t="str">
        <x:v>P1</x:v>
      </x:c>
      <x:c r="N365" s="26" t="str">
        <x:v>Accessibility/UX</x:v>
      </x:c>
      <x:c r="O365" s="26" t="str">
        <x:v>QA/Marketing</x:v>
      </x:c>
      <x:c r="P365" s="26" t="str">
        <x:v>NOT RUN</x:v>
      </x:c>
      <x:c r="Q365" s="26"/>
      <x:c r="R365" s="26"/>
      <x:c r="S365" s="26"/>
      <x:c r="T365" s="26"/>
      <x:c r="U365" s="26"/>
      <x:c r="V365" s="26"/>
      <x:c r="W365" s="26" t="n">
        <x:v>1</x:v>
      </x:c>
      <x:c r="X365" s="26" t="n">
        <x:v>0</x:v>
      </x:c>
      <x:c r="Y365" s="26" t="n">
        <x:v>1</x:v>
      </x:c>
      <x:c r="Z365" s="26" t="str">
        <x:v>PENDING</x:v>
      </x:c>
      <x:c r="AA365" s="26" t="str">
        <x:v>CHG-RC1-DOC-31</x:v>
      </x:c>
      <x:c r="AB365" s="26" t="str">
        <x:v>DEFINED / NOT EXECUTED</x:v>
      </x:c>
    </x:row>
    <x:row r="366" ht="30" customHeight="1">
      <x:c r="A366" s="26" t="str">
        <x:v>Release</x:v>
      </x:c>
      <x:c r="B366" s="26" t="str">
        <x:v>REL-ACC-014</x:v>
      </x:c>
      <x:c r="C366" s="26" t="str">
        <x:v>Accesibilidad e inclusión</x:v>
      </x:c>
      <x:c r="D366" s="26" t="str">
        <x:v>Release readiness</x:v>
      </x:c>
      <x:c r="E366" s="26" t="str">
        <x:v>Las limitaciones conocidas se documentan con lenguaje respetuoso y preciso.</x:v>
      </x:c>
      <x:c r="F366" s="26" t="str">
        <x:v>Revisar, ejecutar y registrar evidencia reproducible.</x:v>
      </x:c>
      <x:c r="G366" s="26" t="str">
        <x:v>Cumplimiento verificable antes del gate indicado.</x:v>
      </x:c>
      <x:c r="H366" s="26" t="str">
        <x:v>Known limitations approval.</x:v>
      </x:c>
      <x:c r="I366" s="26" t="str">
        <x:v>29_Accessibility_and_Inclusive_Design_Plan.md; 24_Steam_Publishing_Plan.md</x:v>
      </x:c>
      <x:c r="J366" s="26" t="str">
        <x:v>Accessibility requirements historically distributed across UX/UI/QA/Localization v0.3–v0.6</x:v>
      </x:c>
      <x:c r="K366" s="26" t="str">
        <x:v>Release</x:v>
      </x:c>
      <x:c r="L366" s="26" t="str">
        <x:v>Yes</x:v>
      </x:c>
      <x:c r="M366" s="26" t="str">
        <x:v>P1</x:v>
      </x:c>
      <x:c r="N366" s="26" t="str">
        <x:v>Accessibility/UX</x:v>
      </x:c>
      <x:c r="O366" s="26" t="str">
        <x:v>QA/Marketing</x:v>
      </x:c>
      <x:c r="P366" s="26" t="str">
        <x:v>NOT RUN</x:v>
      </x:c>
      <x:c r="Q366" s="26"/>
      <x:c r="R366" s="26"/>
      <x:c r="S366" s="26"/>
      <x:c r="T366" s="26"/>
      <x:c r="U366" s="26"/>
      <x:c r="V366" s="26"/>
      <x:c r="W366" s="26" t="n">
        <x:v>1</x:v>
      </x:c>
      <x:c r="X366" s="26" t="n">
        <x:v>0</x:v>
      </x:c>
      <x:c r="Y366" s="26" t="n">
        <x:v>1</x:v>
      </x:c>
      <x:c r="Z366" s="26" t="str">
        <x:v>PENDING</x:v>
      </x:c>
      <x:c r="AA366" s="26" t="str">
        <x:v>CHG-RC1-DOC-31</x:v>
      </x:c>
      <x:c r="AB366" s="26" t="str">
        <x:v>DEFINED / NOT EXECUTED</x:v>
      </x:c>
    </x:row>
    <x:row r="367" ht="30" customHeight="1">
      <x:c r="A367" s="26" t="str">
        <x:v>Release</x:v>
      </x:c>
      <x:c r="B367" s="26" t="str">
        <x:v>REL-LOC-001</x:v>
      </x:c>
      <x:c r="C367" s="26" t="str">
        <x:v>Localización de producto y tienda</x:v>
      </x:c>
      <x:c r="D367" s="26" t="str">
        <x:v>Release readiness</x:v>
      </x:c>
      <x:c r="E367" s="26" t="str">
        <x:v>La build RC contiene traducción completa de todo contenido declarado para ES/EN.</x:v>
      </x:c>
      <x:c r="F367" s="26" t="str">
        <x:v>Revisar, ejecutar y registrar evidencia reproducible.</x:v>
      </x:c>
      <x:c r="G367" s="26" t="str">
        <x:v>Cumplimiento verificable antes del gate indicado.</x:v>
      </x:c>
      <x:c r="H367" s="26" t="str">
        <x:v>Runtime localization coverage.</x:v>
      </x:c>
      <x:c r="I367" s="26" t="str">
        <x:v>22_Localization_Plan.md; 24_Steam_Publishing_Plan.md; 28_Marketing_and_Communication_Plan.md</x:v>
      </x:c>
      <x:c r="J367" s="26" t="str">
        <x:v>Localization/Steam/Marketing historical v0.3–v0.5</x:v>
      </x:c>
      <x:c r="K367" s="26" t="str">
        <x:v>Release</x:v>
      </x:c>
      <x:c r="L367" s="26" t="str">
        <x:v>Yes</x:v>
      </x:c>
      <x:c r="M367" s="26" t="str">
        <x:v>P1</x:v>
      </x:c>
      <x:c r="N367" s="26" t="str">
        <x:v>Localization</x:v>
      </x:c>
      <x:c r="O367" s="26" t="str">
        <x:v>LQA/Legal/Marketing</x:v>
      </x:c>
      <x:c r="P367" s="26" t="str">
        <x:v>NOT RUN</x:v>
      </x:c>
      <x:c r="Q367" s="26"/>
      <x:c r="R367" s="26"/>
      <x:c r="S367" s="26"/>
      <x:c r="T367" s="26"/>
      <x:c r="U367" s="26"/>
      <x:c r="V367" s="26"/>
      <x:c r="W367" s="26" t="n">
        <x:v>1</x:v>
      </x:c>
      <x:c r="X367" s="26" t="n">
        <x:v>0</x:v>
      </x:c>
      <x:c r="Y367" s="26" t="n">
        <x:v>1</x:v>
      </x:c>
      <x:c r="Z367" s="26" t="str">
        <x:v>PENDING</x:v>
      </x:c>
      <x:c r="AA367" s="26" t="str">
        <x:v>CHG-RC1-DOC-31</x:v>
      </x:c>
      <x:c r="AB367" s="26" t="str">
        <x:v>DEFINED / NOT EXECUTED</x:v>
      </x:c>
    </x:row>
    <x:row r="368" ht="30" customHeight="1">
      <x:c r="A368" s="26" t="str">
        <x:v>Release</x:v>
      </x:c>
      <x:c r="B368" s="26" t="str">
        <x:v>REL-LOC-002</x:v>
      </x:c>
      <x:c r="C368" s="26" t="str">
        <x:v>Localización de producto y tienda</x:v>
      </x:c>
      <x:c r="D368" s="26" t="str">
        <x:v>Release readiness</x:v>
      </x:c>
      <x:c r="E368" s="26" t="str">
        <x:v>Los metadatos de Steam, screenshots con texto, trailer y FAQ están localizados donde corresponda.</x:v>
      </x:c>
      <x:c r="F368" s="26" t="str">
        <x:v>Revisar, ejecutar y registrar evidencia reproducible.</x:v>
      </x:c>
      <x:c r="G368" s="26" t="str">
        <x:v>Cumplimiento verificable antes del gate indicado.</x:v>
      </x:c>
      <x:c r="H368" s="26" t="str">
        <x:v>Store localization package.</x:v>
      </x:c>
      <x:c r="I368" s="26" t="str">
        <x:v>22_Localization_Plan.md; 24_Steam_Publishing_Plan.md; 28_Marketing_and_Communication_Plan.md</x:v>
      </x:c>
      <x:c r="J368" s="26" t="str">
        <x:v>Localization/Steam/Marketing historical v0.3–v0.5</x:v>
      </x:c>
      <x:c r="K368" s="26" t="str">
        <x:v>Release</x:v>
      </x:c>
      <x:c r="L368" s="26" t="str">
        <x:v>Yes</x:v>
      </x:c>
      <x:c r="M368" s="26" t="str">
        <x:v>P1</x:v>
      </x:c>
      <x:c r="N368" s="26" t="str">
        <x:v>Localization</x:v>
      </x:c>
      <x:c r="O368" s="26" t="str">
        <x:v>LQA/Legal/Marketing</x:v>
      </x:c>
      <x:c r="P368" s="26" t="str">
        <x:v>NOT RUN</x:v>
      </x:c>
      <x:c r="Q368" s="26"/>
      <x:c r="R368" s="26"/>
      <x:c r="S368" s="26"/>
      <x:c r="T368" s="26"/>
      <x:c r="U368" s="26"/>
      <x:c r="V368" s="26"/>
      <x:c r="W368" s="26" t="n">
        <x:v>1</x:v>
      </x:c>
      <x:c r="X368" s="26" t="n">
        <x:v>0</x:v>
      </x:c>
      <x:c r="Y368" s="26" t="n">
        <x:v>1</x:v>
      </x:c>
      <x:c r="Z368" s="26" t="str">
        <x:v>PENDING</x:v>
      </x:c>
      <x:c r="AA368" s="26" t="str">
        <x:v>CHG-RC1-DOC-31</x:v>
      </x:c>
      <x:c r="AB368" s="26" t="str">
        <x:v>DEFINED / NOT EXECUTED</x:v>
      </x:c>
    </x:row>
    <x:row r="369" ht="30" customHeight="1">
      <x:c r="A369" s="26" t="str">
        <x:v>Release</x:v>
      </x:c>
      <x:c r="B369" s="26" t="str">
        <x:v>REL-LOC-003</x:v>
      </x:c>
      <x:c r="C369" s="26" t="str">
        <x:v>Localización de producto y tienda</x:v>
      </x:c>
      <x:c r="D369" s="26" t="str">
        <x:v>Release readiness</x:v>
      </x:c>
      <x:c r="E369" s="26" t="str">
        <x:v>La LQA se ejecuta sobre RC en ambos idiomas y configuraciones críticas.</x:v>
      </x:c>
      <x:c r="F369" s="26" t="str">
        <x:v>Revisar, ejecutar y registrar evidencia reproducible.</x:v>
      </x:c>
      <x:c r="G369" s="26" t="str">
        <x:v>Cumplimiento verificable antes del gate indicado.</x:v>
      </x:c>
      <x:c r="H369" s="26" t="str">
        <x:v>LQA report.</x:v>
      </x:c>
      <x:c r="I369" s="26" t="str">
        <x:v>22_Localization_Plan.md; 24_Steam_Publishing_Plan.md; 28_Marketing_and_Communication_Plan.md</x:v>
      </x:c>
      <x:c r="J369" s="26" t="str">
        <x:v>Localization/Steam/Marketing historical v0.3–v0.5</x:v>
      </x:c>
      <x:c r="K369" s="26" t="str">
        <x:v>Release</x:v>
      </x:c>
      <x:c r="L369" s="26" t="str">
        <x:v>Yes</x:v>
      </x:c>
      <x:c r="M369" s="26" t="str">
        <x:v>P0</x:v>
      </x:c>
      <x:c r="N369" s="26" t="str">
        <x:v>Localization</x:v>
      </x:c>
      <x:c r="O369" s="26" t="str">
        <x:v>LQA/Legal/Marketing</x:v>
      </x:c>
      <x:c r="P369" s="26" t="str">
        <x:v>NOT RUN</x:v>
      </x:c>
      <x:c r="Q369" s="26"/>
      <x:c r="R369" s="26"/>
      <x:c r="S369" s="26"/>
      <x:c r="T369" s="26"/>
      <x:c r="U369" s="26"/>
      <x:c r="V369" s="26"/>
      <x:c r="W369" s="26" t="n">
        <x:v>1</x:v>
      </x:c>
      <x:c r="X369" s="26" t="n">
        <x:v>0</x:v>
      </x:c>
      <x:c r="Y369" s="26" t="n">
        <x:v>1</x:v>
      </x:c>
      <x:c r="Z369" s="26" t="str">
        <x:v>PENDING</x:v>
      </x:c>
      <x:c r="AA369" s="26" t="str">
        <x:v>CHG-RC1-DOC-31</x:v>
      </x:c>
      <x:c r="AB369" s="26" t="str">
        <x:v>DEFINED / NOT EXECUTED</x:v>
      </x:c>
    </x:row>
    <x:row r="370" ht="30" customHeight="1">
      <x:c r="A370" s="26" t="str">
        <x:v>Release</x:v>
      </x:c>
      <x:c r="B370" s="26" t="str">
        <x:v>REL-LOC-004</x:v>
      </x:c>
      <x:c r="C370" s="26" t="str">
        <x:v>Localización de producto y tienda</x:v>
      </x:c>
      <x:c r="D370" s="26" t="str">
        <x:v>Release readiness</x:v>
      </x:c>
      <x:c r="E370" s="26" t="str">
        <x:v>No existen missing keys, fallbacks visibles o glyphs ausentes en RC.</x:v>
      </x:c>
      <x:c r="F370" s="26" t="str">
        <x:v>Revisar, ejecutar y registrar evidencia reproducible.</x:v>
      </x:c>
      <x:c r="G370" s="26" t="str">
        <x:v>Cumplimiento verificable antes del gate indicado.</x:v>
      </x:c>
      <x:c r="H370" s="26" t="str">
        <x:v>Zero localization errors report.</x:v>
      </x:c>
      <x:c r="I370" s="26" t="str">
        <x:v>22_Localization_Plan.md; 24_Steam_Publishing_Plan.md; 28_Marketing_and_Communication_Plan.md</x:v>
      </x:c>
      <x:c r="J370" s="26" t="str">
        <x:v>Localization/Steam/Marketing historical v0.3–v0.5</x:v>
      </x:c>
      <x:c r="K370" s="26" t="str">
        <x:v>Release</x:v>
      </x:c>
      <x:c r="L370" s="26" t="str">
        <x:v>Yes</x:v>
      </x:c>
      <x:c r="M370" s="26" t="str">
        <x:v>P1</x:v>
      </x:c>
      <x:c r="N370" s="26" t="str">
        <x:v>Localization</x:v>
      </x:c>
      <x:c r="O370" s="26" t="str">
        <x:v>LQA/Legal/Marketing</x:v>
      </x:c>
      <x:c r="P370" s="26" t="str">
        <x:v>NOT RUN</x:v>
      </x:c>
      <x:c r="Q370" s="26"/>
      <x:c r="R370" s="26"/>
      <x:c r="S370" s="26"/>
      <x:c r="T370" s="26"/>
      <x:c r="U370" s="26"/>
      <x:c r="V370" s="26"/>
      <x:c r="W370" s="26" t="n">
        <x:v>1</x:v>
      </x:c>
      <x:c r="X370" s="26" t="n">
        <x:v>0</x:v>
      </x:c>
      <x:c r="Y370" s="26" t="n">
        <x:v>1</x:v>
      </x:c>
      <x:c r="Z370" s="26" t="str">
        <x:v>PENDING</x:v>
      </x:c>
      <x:c r="AA370" s="26" t="str">
        <x:v>CHG-RC1-DOC-31</x:v>
      </x:c>
      <x:c r="AB370" s="26" t="str">
        <x:v>DEFINED / NOT EXECUTED</x:v>
      </x:c>
    </x:row>
    <x:row r="371" ht="30" customHeight="1">
      <x:c r="A371" s="26" t="str">
        <x:v>Release</x:v>
      </x:c>
      <x:c r="B371" s="26" t="str">
        <x:v>REL-LOC-005</x:v>
      </x:c>
      <x:c r="C371" s="26" t="str">
        <x:v>Localización de producto y tienda</x:v>
      </x:c>
      <x:c r="D371" s="26" t="str">
        <x:v>Release readiness</x:v>
      </x:c>
      <x:c r="E371" s="26" t="str">
        <x:v>Números, moneda, fechas, plurales y variables funcionan en todas las superficies.</x:v>
      </x:c>
      <x:c r="F371" s="26" t="str">
        <x:v>Revisar, ejecutar y registrar evidencia reproducible.</x:v>
      </x:c>
      <x:c r="G371" s="26" t="str">
        <x:v>Cumplimiento verificable antes del gate indicado.</x:v>
      </x:c>
      <x:c r="H371" s="26" t="str">
        <x:v>Locale formatting report.</x:v>
      </x:c>
      <x:c r="I371" s="26" t="str">
        <x:v>22_Localization_Plan.md; 24_Steam_Publishing_Plan.md; 28_Marketing_and_Communication_Plan.md</x:v>
      </x:c>
      <x:c r="J371" s="26" t="str">
        <x:v>Localization/Steam/Marketing historical v0.3–v0.5</x:v>
      </x:c>
      <x:c r="K371" s="26" t="str">
        <x:v>Release</x:v>
      </x:c>
      <x:c r="L371" s="26" t="str">
        <x:v>Yes</x:v>
      </x:c>
      <x:c r="M371" s="26" t="str">
        <x:v>P1</x:v>
      </x:c>
      <x:c r="N371" s="26" t="str">
        <x:v>Localization</x:v>
      </x:c>
      <x:c r="O371" s="26" t="str">
        <x:v>LQA/Legal/Marketing</x:v>
      </x:c>
      <x:c r="P371" s="26" t="str">
        <x:v>NOT RUN</x:v>
      </x:c>
      <x:c r="Q371" s="26"/>
      <x:c r="R371" s="26"/>
      <x:c r="S371" s="26"/>
      <x:c r="T371" s="26"/>
      <x:c r="U371" s="26"/>
      <x:c r="V371" s="26"/>
      <x:c r="W371" s="26" t="n">
        <x:v>1</x:v>
      </x:c>
      <x:c r="X371" s="26" t="n">
        <x:v>0</x:v>
      </x:c>
      <x:c r="Y371" s="26" t="n">
        <x:v>1</x:v>
      </x:c>
      <x:c r="Z371" s="26" t="str">
        <x:v>PENDING</x:v>
      </x:c>
      <x:c r="AA371" s="26" t="str">
        <x:v>CHG-RC1-DOC-31</x:v>
      </x:c>
      <x:c r="AB371" s="26" t="str">
        <x:v>DEFINED / NOT EXECUTED</x:v>
      </x:c>
    </x:row>
    <x:row r="372" ht="30" customHeight="1">
      <x:c r="A372" s="26" t="str">
        <x:v>Release</x:v>
      </x:c>
      <x:c r="B372" s="26" t="str">
        <x:v>REL-LOC-006</x:v>
      </x:c>
      <x:c r="C372" s="26" t="str">
        <x:v>Localización de producto y tienda</x:v>
      </x:c>
      <x:c r="D372" s="26" t="str">
        <x:v>Release readiness</x:v>
      </x:c>
      <x:c r="E372" s="26" t="str">
        <x:v>Los textos legales y de privacidad han sido revisados en idiomas publicados.</x:v>
      </x:c>
      <x:c r="F372" s="26" t="str">
        <x:v>Revisar, ejecutar y registrar evidencia reproducible.</x:v>
      </x:c>
      <x:c r="G372" s="26" t="str">
        <x:v>Cumplimiento verificable antes del gate indicado.</x:v>
      </x:c>
      <x:c r="H372" s="26" t="str">
        <x:v>Legal localization signoff.</x:v>
      </x:c>
      <x:c r="I372" s="26" t="str">
        <x:v>22_Localization_Plan.md; 24_Steam_Publishing_Plan.md; 28_Marketing_and_Communication_Plan.md</x:v>
      </x:c>
      <x:c r="J372" s="26" t="str">
        <x:v>Localization/Steam/Marketing historical v0.3–v0.5</x:v>
      </x:c>
      <x:c r="K372" s="26" t="str">
        <x:v>Release</x:v>
      </x:c>
      <x:c r="L372" s="26" t="str">
        <x:v>Yes</x:v>
      </x:c>
      <x:c r="M372" s="26" t="str">
        <x:v>P1</x:v>
      </x:c>
      <x:c r="N372" s="26" t="str">
        <x:v>Localization</x:v>
      </x:c>
      <x:c r="O372" s="26" t="str">
        <x:v>LQA/Legal/Marketing</x:v>
      </x:c>
      <x:c r="P372" s="26" t="str">
        <x:v>NOT RUN</x:v>
      </x:c>
      <x:c r="Q372" s="26"/>
      <x:c r="R372" s="26"/>
      <x:c r="S372" s="26"/>
      <x:c r="T372" s="26"/>
      <x:c r="U372" s="26"/>
      <x:c r="V372" s="26"/>
      <x:c r="W372" s="26" t="n">
        <x:v>1</x:v>
      </x:c>
      <x:c r="X372" s="26" t="n">
        <x:v>0</x:v>
      </x:c>
      <x:c r="Y372" s="26" t="n">
        <x:v>1</x:v>
      </x:c>
      <x:c r="Z372" s="26" t="str">
        <x:v>PENDING</x:v>
      </x:c>
      <x:c r="AA372" s="26" t="str">
        <x:v>CHG-RC1-DOC-31</x:v>
      </x:c>
      <x:c r="AB372" s="26" t="str">
        <x:v>DEFINED / NOT EXECUTED</x:v>
      </x:c>
    </x:row>
    <x:row r="373" ht="30" customHeight="1">
      <x:c r="A373" s="26" t="str">
        <x:v>Release</x:v>
      </x:c>
      <x:c r="B373" s="26" t="str">
        <x:v>REL-LOC-007</x:v>
      </x:c>
      <x:c r="C373" s="26" t="str">
        <x:v>Localización de producto y tienda</x:v>
      </x:c>
      <x:c r="D373" s="26" t="str">
        <x:v>Release readiness</x:v>
      </x:c>
      <x:c r="E373" s="26" t="str">
        <x:v>El glosario y style guide están congelados para RC.</x:v>
      </x:c>
      <x:c r="F373" s="26" t="str">
        <x:v>Revisar, ejecutar y registrar evidencia reproducible.</x:v>
      </x:c>
      <x:c r="G373" s="26" t="str">
        <x:v>Cumplimiento verificable antes del gate indicado.</x:v>
      </x:c>
      <x:c r="H373" s="26" t="str">
        <x:v>Localization freeze record.</x:v>
      </x:c>
      <x:c r="I373" s="26" t="str">
        <x:v>22_Localization_Plan.md; 24_Steam_Publishing_Plan.md; 28_Marketing_and_Communication_Plan.md</x:v>
      </x:c>
      <x:c r="J373" s="26" t="str">
        <x:v>Localization/Steam/Marketing historical v0.3–v0.5</x:v>
      </x:c>
      <x:c r="K373" s="26" t="str">
        <x:v>Release</x:v>
      </x:c>
      <x:c r="L373" s="26" t="str">
        <x:v>Yes</x:v>
      </x:c>
      <x:c r="M373" s="26" t="str">
        <x:v>P1</x:v>
      </x:c>
      <x:c r="N373" s="26" t="str">
        <x:v>Localization</x:v>
      </x:c>
      <x:c r="O373" s="26" t="str">
        <x:v>LQA/Legal/Marketing</x:v>
      </x:c>
      <x:c r="P373" s="26" t="str">
        <x:v>NOT RUN</x:v>
      </x:c>
      <x:c r="Q373" s="26"/>
      <x:c r="R373" s="26"/>
      <x:c r="S373" s="26"/>
      <x:c r="T373" s="26"/>
      <x:c r="U373" s="26"/>
      <x:c r="V373" s="26"/>
      <x:c r="W373" s="26" t="n">
        <x:v>1</x:v>
      </x:c>
      <x:c r="X373" s="26" t="n">
        <x:v>0</x:v>
      </x:c>
      <x:c r="Y373" s="26" t="n">
        <x:v>1</x:v>
      </x:c>
      <x:c r="Z373" s="26" t="str">
        <x:v>PENDING</x:v>
      </x:c>
      <x:c r="AA373" s="26" t="str">
        <x:v>CHG-RC1-DOC-31</x:v>
      </x:c>
      <x:c r="AB373" s="26" t="str">
        <x:v>DEFINED / NOT EXECUTED</x:v>
      </x:c>
    </x:row>
    <x:row r="374" ht="30" customHeight="1">
      <x:c r="A374" s="26" t="str">
        <x:v>Release</x:v>
      </x:c>
      <x:c r="B374" s="26" t="str">
        <x:v>REL-LOC-008</x:v>
      </x:c>
      <x:c r="C374" s="26" t="str">
        <x:v>Localización de producto y tienda</x:v>
      </x:c>
      <x:c r="D374" s="26" t="str">
        <x:v>Release readiness</x:v>
      </x:c>
      <x:c r="E374" s="26" t="str">
        <x:v>Los cambios posteriores al freeze reabren traducción y LQA afectada.</x:v>
      </x:c>
      <x:c r="F374" s="26" t="str">
        <x:v>Revisar, ejecutar y registrar evidencia reproducible.</x:v>
      </x:c>
      <x:c r="G374" s="26" t="str">
        <x:v>Cumplimiento verificable antes del gate indicado.</x:v>
      </x:c>
      <x:c r="H374" s="26" t="str">
        <x:v>Localization change log.</x:v>
      </x:c>
      <x:c r="I374" s="26" t="str">
        <x:v>22_Localization_Plan.md; 24_Steam_Publishing_Plan.md; 28_Marketing_and_Communication_Plan.md</x:v>
      </x:c>
      <x:c r="J374" s="26" t="str">
        <x:v>Localization/Steam/Marketing historical v0.3–v0.5</x:v>
      </x:c>
      <x:c r="K374" s="26" t="str">
        <x:v>Release</x:v>
      </x:c>
      <x:c r="L374" s="26" t="str">
        <x:v>Yes</x:v>
      </x:c>
      <x:c r="M374" s="26" t="str">
        <x:v>P1</x:v>
      </x:c>
      <x:c r="N374" s="26" t="str">
        <x:v>Localization</x:v>
      </x:c>
      <x:c r="O374" s="26" t="str">
        <x:v>LQA/Legal/Marketing</x:v>
      </x:c>
      <x:c r="P374" s="26" t="str">
        <x:v>NOT RUN</x:v>
      </x:c>
      <x:c r="Q374" s="26"/>
      <x:c r="R374" s="26"/>
      <x:c r="S374" s="26"/>
      <x:c r="T374" s="26"/>
      <x:c r="U374" s="26"/>
      <x:c r="V374" s="26"/>
      <x:c r="W374" s="26" t="n">
        <x:v>1</x:v>
      </x:c>
      <x:c r="X374" s="26" t="n">
        <x:v>0</x:v>
      </x:c>
      <x:c r="Y374" s="26" t="n">
        <x:v>1</x:v>
      </x:c>
      <x:c r="Z374" s="26" t="str">
        <x:v>PENDING</x:v>
      </x:c>
      <x:c r="AA374" s="26" t="str">
        <x:v>CHG-RC1-DOC-31</x:v>
      </x:c>
      <x:c r="AB374" s="26" t="str">
        <x:v>DEFINED / NOT EXECUTED</x:v>
      </x:c>
    </x:row>
    <x:row r="375" ht="30" customHeight="1">
      <x:c r="A375" s="26" t="str">
        <x:v>Release</x:v>
      </x:c>
      <x:c r="B375" s="26" t="str">
        <x:v>REL-LOC-009</x:v>
      </x:c>
      <x:c r="C375" s="26" t="str">
        <x:v>Localización de producto y tienda</x:v>
      </x:c>
      <x:c r="D375" s="26" t="str">
        <x:v>Release readiness</x:v>
      </x:c>
      <x:c r="E375" s="26" t="str">
        <x:v>Los nombres de producto/tienda y términos ficticios son consistentes entre juego y marketing.</x:v>
      </x:c>
      <x:c r="F375" s="26" t="str">
        <x:v>Revisar, ejecutar y registrar evidencia reproducible.</x:v>
      </x:c>
      <x:c r="G375" s="26" t="str">
        <x:v>Cumplimiento verificable antes del gate indicado.</x:v>
      </x:c>
      <x:c r="H375" s="26" t="str">
        <x:v>Terminology reconciliation.</x:v>
      </x:c>
      <x:c r="I375" s="26" t="str">
        <x:v>22_Localization_Plan.md; 24_Steam_Publishing_Plan.md; 28_Marketing_and_Communication_Plan.md</x:v>
      </x:c>
      <x:c r="J375" s="26" t="str">
        <x:v>Localization/Steam/Marketing historical v0.3–v0.5</x:v>
      </x:c>
      <x:c r="K375" s="26" t="str">
        <x:v>Release</x:v>
      </x:c>
      <x:c r="L375" s="26" t="str">
        <x:v>Yes</x:v>
      </x:c>
      <x:c r="M375" s="26" t="str">
        <x:v>P1</x:v>
      </x:c>
      <x:c r="N375" s="26" t="str">
        <x:v>Localization</x:v>
      </x:c>
      <x:c r="O375" s="26" t="str">
        <x:v>LQA/Legal/Marketing</x:v>
      </x:c>
      <x:c r="P375" s="26" t="str">
        <x:v>NOT RUN</x:v>
      </x:c>
      <x:c r="Q375" s="26"/>
      <x:c r="R375" s="26"/>
      <x:c r="S375" s="26"/>
      <x:c r="T375" s="26"/>
      <x:c r="U375" s="26"/>
      <x:c r="V375" s="26"/>
      <x:c r="W375" s="26" t="n">
        <x:v>1</x:v>
      </x:c>
      <x:c r="X375" s="26" t="n">
        <x:v>0</x:v>
      </x:c>
      <x:c r="Y375" s="26" t="n">
        <x:v>1</x:v>
      </x:c>
      <x:c r="Z375" s="26" t="str">
        <x:v>PENDING</x:v>
      </x:c>
      <x:c r="AA375" s="26" t="str">
        <x:v>CHG-RC1-DOC-31</x:v>
      </x:c>
      <x:c r="AB375" s="26" t="str">
        <x:v>DEFINED / NOT EXECUTED</x:v>
      </x:c>
    </x:row>
    <x:row r="376" ht="30" customHeight="1">
      <x:c r="A376" s="26" t="str">
        <x:v>Release</x:v>
      </x:c>
      <x:c r="B376" s="26" t="str">
        <x:v>REL-LOC-010</x:v>
      </x:c>
      <x:c r="C376" s="26" t="str">
        <x:v>Localización de producto y tienda</x:v>
      </x:c>
      <x:c r="D376" s="26" t="str">
        <x:v>Release readiness</x:v>
      </x:c>
      <x:c r="E376" s="26" t="str">
        <x:v>Los créditos de traducción y proveedores están completos.</x:v>
      </x:c>
      <x:c r="F376" s="26" t="str">
        <x:v>Revisar, ejecutar y registrar evidencia reproducible.</x:v>
      </x:c>
      <x:c r="G376" s="26" t="str">
        <x:v>Cumplimiento verificable antes del gate indicado.</x:v>
      </x:c>
      <x:c r="H376" s="26" t="str">
        <x:v>Localization credits.</x:v>
      </x:c>
      <x:c r="I376" s="26" t="str">
        <x:v>22_Localization_Plan.md; 24_Steam_Publishing_Plan.md; 28_Marketing_and_Communication_Plan.md</x:v>
      </x:c>
      <x:c r="J376" s="26" t="str">
        <x:v>Localization/Steam/Marketing historical v0.3–v0.5</x:v>
      </x:c>
      <x:c r="K376" s="26" t="str">
        <x:v>Release</x:v>
      </x:c>
      <x:c r="L376" s="26" t="str">
        <x:v>Yes</x:v>
      </x:c>
      <x:c r="M376" s="26" t="str">
        <x:v>P1</x:v>
      </x:c>
      <x:c r="N376" s="26" t="str">
        <x:v>Localization</x:v>
      </x:c>
      <x:c r="O376" s="26" t="str">
        <x:v>LQA/Legal/Marketing</x:v>
      </x:c>
      <x:c r="P376" s="26" t="str">
        <x:v>NOT RUN</x:v>
      </x:c>
      <x:c r="Q376" s="26"/>
      <x:c r="R376" s="26"/>
      <x:c r="S376" s="26"/>
      <x:c r="T376" s="26"/>
      <x:c r="U376" s="26"/>
      <x:c r="V376" s="26"/>
      <x:c r="W376" s="26" t="n">
        <x:v>1</x:v>
      </x:c>
      <x:c r="X376" s="26" t="n">
        <x:v>0</x:v>
      </x:c>
      <x:c r="Y376" s="26" t="n">
        <x:v>1</x:v>
      </x:c>
      <x:c r="Z376" s="26" t="str">
        <x:v>PENDING</x:v>
      </x:c>
      <x:c r="AA376" s="26" t="str">
        <x:v>CHG-RC1-DOC-31</x:v>
      </x:c>
      <x:c r="AB376" s="26" t="str">
        <x:v>DEFINED / NOT EXECUTED</x:v>
      </x:c>
    </x:row>
    <x:row r="377" ht="30" customHeight="1">
      <x:c r="A377" s="26" t="str">
        <x:v>Release</x:v>
      </x:c>
      <x:c r="B377" s="26" t="str">
        <x:v>REL-LOC-011</x:v>
      </x:c>
      <x:c r="C377" s="26" t="str">
        <x:v>Localización de producto y tienda</x:v>
      </x:c>
      <x:c r="D377" s="26" t="str">
        <x:v>Release readiness</x:v>
      </x:c>
      <x:c r="E377" s="26" t="str">
        <x:v>La página de Steam no marca idiomas no soportados o soporte de audio inexistente.</x:v>
      </x:c>
      <x:c r="F377" s="26" t="str">
        <x:v>Revisar, ejecutar y registrar evidencia reproducible.</x:v>
      </x:c>
      <x:c r="G377" s="26" t="str">
        <x:v>Cumplimiento verificable antes del gate indicado.</x:v>
      </x:c>
      <x:c r="H377" s="26" t="str">
        <x:v>Language declaration review.</x:v>
      </x:c>
      <x:c r="I377" s="26" t="str">
        <x:v>22_Localization_Plan.md; 24_Steam_Publishing_Plan.md; 28_Marketing_and_Communication_Plan.md</x:v>
      </x:c>
      <x:c r="J377" s="26" t="str">
        <x:v>Localization/Steam/Marketing historical v0.3–v0.5</x:v>
      </x:c>
      <x:c r="K377" s="26" t="str">
        <x:v>Release</x:v>
      </x:c>
      <x:c r="L377" s="26" t="str">
        <x:v>Yes</x:v>
      </x:c>
      <x:c r="M377" s="26" t="str">
        <x:v>P1</x:v>
      </x:c>
      <x:c r="N377" s="26" t="str">
        <x:v>Localization</x:v>
      </x:c>
      <x:c r="O377" s="26" t="str">
        <x:v>LQA/Legal/Marketing</x:v>
      </x:c>
      <x:c r="P377" s="26" t="str">
        <x:v>NOT RUN</x:v>
      </x:c>
      <x:c r="Q377" s="26"/>
      <x:c r="R377" s="26"/>
      <x:c r="S377" s="26"/>
      <x:c r="T377" s="26"/>
      <x:c r="U377" s="26"/>
      <x:c r="V377" s="26"/>
      <x:c r="W377" s="26" t="n">
        <x:v>1</x:v>
      </x:c>
      <x:c r="X377" s="26" t="n">
        <x:v>0</x:v>
      </x:c>
      <x:c r="Y377" s="26" t="n">
        <x:v>1</x:v>
      </x:c>
      <x:c r="Z377" s="26" t="str">
        <x:v>PENDING</x:v>
      </x:c>
      <x:c r="AA377" s="26" t="str">
        <x:v>CHG-RC1-DOC-31</x:v>
      </x:c>
      <x:c r="AB377" s="26" t="str">
        <x:v>DEFINED / NOT EXECUTED</x:v>
      </x:c>
    </x:row>
    <x:row r="378" ht="30" customHeight="1">
      <x:c r="A378" s="26" t="str">
        <x:v>Release</x:v>
      </x:c>
      <x:c r="B378" s="26" t="str">
        <x:v>REL-LOC-012</x:v>
      </x:c>
      <x:c r="C378" s="26" t="str">
        <x:v>Localización de producto y tienda</x:v>
      </x:c>
      <x:c r="D378" s="26" t="str">
        <x:v>Release readiness</x:v>
      </x:c>
      <x:c r="E378" s="26" t="str">
        <x:v>El pipeline permite parchear texto sin romper IDs o saves.</x:v>
      </x:c>
      <x:c r="F378" s="26" t="str">
        <x:v>Revisar, ejecutar y registrar evidencia reproducible.</x:v>
      </x:c>
      <x:c r="G378" s="26" t="str">
        <x:v>Cumplimiento verificable antes del gate indicado.</x:v>
      </x:c>
      <x:c r="H378" s="26" t="str">
        <x:v>Localization patch test.</x:v>
      </x:c>
      <x:c r="I378" s="26" t="str">
        <x:v>22_Localization_Plan.md; 24_Steam_Publishing_Plan.md; 28_Marketing_and_Communication_Plan.md</x:v>
      </x:c>
      <x:c r="J378" s="26" t="str">
        <x:v>Localization/Steam/Marketing historical v0.3–v0.5</x:v>
      </x:c>
      <x:c r="K378" s="26" t="str">
        <x:v>Release</x:v>
      </x:c>
      <x:c r="L378" s="26" t="str">
        <x:v>Yes</x:v>
      </x:c>
      <x:c r="M378" s="26" t="str">
        <x:v>P1</x:v>
      </x:c>
      <x:c r="N378" s="26" t="str">
        <x:v>Localization</x:v>
      </x:c>
      <x:c r="O378" s="26" t="str">
        <x:v>LQA/Legal/Marketing</x:v>
      </x:c>
      <x:c r="P378" s="26" t="str">
        <x:v>NOT RUN</x:v>
      </x:c>
      <x:c r="Q378" s="26"/>
      <x:c r="R378" s="26"/>
      <x:c r="S378" s="26"/>
      <x:c r="T378" s="26"/>
      <x:c r="U378" s="26"/>
      <x:c r="V378" s="26"/>
      <x:c r="W378" s="26" t="n">
        <x:v>1</x:v>
      </x:c>
      <x:c r="X378" s="26" t="n">
        <x:v>0</x:v>
      </x:c>
      <x:c r="Y378" s="26" t="n">
        <x:v>1</x:v>
      </x:c>
      <x:c r="Z378" s="26" t="str">
        <x:v>PENDING</x:v>
      </x:c>
      <x:c r="AA378" s="26" t="str">
        <x:v>CHG-RC1-DOC-31</x:v>
      </x:c>
      <x:c r="AB378" s="26" t="str">
        <x:v>DEFINED / NOT EXECUTED</x:v>
      </x:c>
    </x:row>
    <x:row r="379" ht="30" customHeight="1">
      <x:c r="A379" s="26" t="str">
        <x:v>Release</x:v>
      </x:c>
      <x:c r="B379" s="26" t="str">
        <x:v>REL-LEG-001</x:v>
      </x:c>
      <x:c r="C379" s="26" t="str">
        <x:v>Legal, privacidad y créditos</x:v>
      </x:c>
      <x:c r="D379" s="26" t="str">
        <x:v>Release readiness</x:v>
      </x:c>
      <x:c r="E379" s="26" t="str">
        <x:v>Naming, marcas y assets públicos tienen clearance comercial suficiente.</x:v>
      </x:c>
      <x:c r="F379" s="26" t="str">
        <x:v>Revisar, ejecutar y registrar evidencia reproducible.</x:v>
      </x:c>
      <x:c r="G379" s="26" t="str">
        <x:v>Cumplimiento verificable antes del gate indicado.</x:v>
      </x:c>
      <x:c r="H379" s="26" t="str">
        <x:v>Release clearance package.</x:v>
      </x:c>
      <x:c r="I379" s="26" t="str">
        <x:v>23_Legal_Credits_and_Licenses_Register.xlsx; 26_Privacy_Data_and_Telemetry_Plan.md; 28_Marketing_and_Communication_Plan.md</x:v>
      </x:c>
      <x:c r="J379" s="26" t="str">
        <x:v>Legal/Localization/Marketing historical v0.3–v0.5</x:v>
      </x:c>
      <x:c r="K379" s="26" t="str">
        <x:v>Release</x:v>
      </x:c>
      <x:c r="L379" s="26" t="str">
        <x:v>Yes</x:v>
      </x:c>
      <x:c r="M379" s="26" t="str">
        <x:v>P0</x:v>
      </x:c>
      <x:c r="N379" s="26" t="str">
        <x:v>Legal/Privacy</x:v>
      </x:c>
      <x:c r="O379" s="26" t="str">
        <x:v>Production/Marketing</x:v>
      </x:c>
      <x:c r="P379" s="26" t="str">
        <x:v>NOT RUN</x:v>
      </x:c>
      <x:c r="Q379" s="26"/>
      <x:c r="R379" s="26"/>
      <x:c r="S379" s="26"/>
      <x:c r="T379" s="26"/>
      <x:c r="U379" s="26"/>
      <x:c r="V379" s="26"/>
      <x:c r="W379" s="26" t="n">
        <x:v>1</x:v>
      </x:c>
      <x:c r="X379" s="26" t="n">
        <x:v>0</x:v>
      </x:c>
      <x:c r="Y379" s="26" t="n">
        <x:v>1</x:v>
      </x:c>
      <x:c r="Z379" s="26" t="str">
        <x:v>PENDING</x:v>
      </x:c>
      <x:c r="AA379" s="26" t="str">
        <x:v>CHG-RC1-DOC-31</x:v>
      </x:c>
      <x:c r="AB379" s="26" t="str">
        <x:v>DEFINED / NOT EXECUTED</x:v>
      </x:c>
    </x:row>
    <x:row r="380" ht="30" customHeight="1">
      <x:c r="A380" s="26" t="str">
        <x:v>Release</x:v>
      </x:c>
      <x:c r="B380" s="26" t="str">
        <x:v>REL-LEG-002</x:v>
      </x:c>
      <x:c r="C380" s="26" t="str">
        <x:v>Legal, privacidad y créditos</x:v>
      </x:c>
      <x:c r="D380" s="26" t="str">
        <x:v>Release readiness</x:v>
      </x:c>
      <x:c r="E380" s="26" t="str">
        <x:v>El registro de licencias cubre cada archivo distribuido de terceros.</x:v>
      </x:c>
      <x:c r="F380" s="26" t="str">
        <x:v>Revisar, ejecutar y registrar evidencia reproducible.</x:v>
      </x:c>
      <x:c r="G380" s="26" t="str">
        <x:v>Cumplimiento verificable antes del gate indicado.</x:v>
      </x:c>
      <x:c r="H380" s="26" t="str">
        <x:v>Release license coverage.</x:v>
      </x:c>
      <x:c r="I380" s="26" t="str">
        <x:v>23_Legal_Credits_and_Licenses_Register.xlsx; 26_Privacy_Data_and_Telemetry_Plan.md; 28_Marketing_and_Communication_Plan.md</x:v>
      </x:c>
      <x:c r="J380" s="26" t="str">
        <x:v>Legal/Localization/Marketing historical v0.3–v0.5</x:v>
      </x:c>
      <x:c r="K380" s="26" t="str">
        <x:v>Release</x:v>
      </x:c>
      <x:c r="L380" s="26" t="str">
        <x:v>Yes</x:v>
      </x:c>
      <x:c r="M380" s="26" t="str">
        <x:v>P0</x:v>
      </x:c>
      <x:c r="N380" s="26" t="str">
        <x:v>Legal/Privacy</x:v>
      </x:c>
      <x:c r="O380" s="26" t="str">
        <x:v>Production/Marketing</x:v>
      </x:c>
      <x:c r="P380" s="26" t="str">
        <x:v>NOT RUN</x:v>
      </x:c>
      <x:c r="Q380" s="26"/>
      <x:c r="R380" s="26"/>
      <x:c r="S380" s="26"/>
      <x:c r="T380" s="26"/>
      <x:c r="U380" s="26"/>
      <x:c r="V380" s="26"/>
      <x:c r="W380" s="26" t="n">
        <x:v>1</x:v>
      </x:c>
      <x:c r="X380" s="26" t="n">
        <x:v>0</x:v>
      </x:c>
      <x:c r="Y380" s="26" t="n">
        <x:v>1</x:v>
      </x:c>
      <x:c r="Z380" s="26" t="str">
        <x:v>PENDING</x:v>
      </x:c>
      <x:c r="AA380" s="26" t="str">
        <x:v>CHG-RC1-DOC-31</x:v>
      </x:c>
      <x:c r="AB380" s="26" t="str">
        <x:v>DEFINED / NOT EXECUTED</x:v>
      </x:c>
    </x:row>
    <x:row r="381" ht="30" customHeight="1">
      <x:c r="A381" s="26" t="str">
        <x:v>Release</x:v>
      </x:c>
      <x:c r="B381" s="26" t="str">
        <x:v>REL-LEG-003</x:v>
      </x:c>
      <x:c r="C381" s="26" t="str">
        <x:v>Legal, privacidad y créditos</x:v>
      </x:c>
      <x:c r="D381" s="26" t="str">
        <x:v>Release readiness</x:v>
      </x:c>
      <x:c r="E381" s="26" t="str">
        <x:v>Notices, atribuciones y créditos obligatorios están incluidos y accesibles.</x:v>
      </x:c>
      <x:c r="F381" s="26" t="str">
        <x:v>Revisar, ejecutar y registrar evidencia reproducible.</x:v>
      </x:c>
      <x:c r="G381" s="26" t="str">
        <x:v>Cumplimiento verificable antes del gate indicado.</x:v>
      </x:c>
      <x:c r="H381" s="26" t="str">
        <x:v>Credits/notices QA.</x:v>
      </x:c>
      <x:c r="I381" s="26" t="str">
        <x:v>23_Legal_Credits_and_Licenses_Register.xlsx; 26_Privacy_Data_and_Telemetry_Plan.md; 28_Marketing_and_Communication_Plan.md</x:v>
      </x:c>
      <x:c r="J381" s="26" t="str">
        <x:v>Legal/Localization/Marketing historical v0.3–v0.5</x:v>
      </x:c>
      <x:c r="K381" s="26" t="str">
        <x:v>Release</x:v>
      </x:c>
      <x:c r="L381" s="26" t="str">
        <x:v>Yes</x:v>
      </x:c>
      <x:c r="M381" s="26" t="str">
        <x:v>P1</x:v>
      </x:c>
      <x:c r="N381" s="26" t="str">
        <x:v>Legal/Privacy</x:v>
      </x:c>
      <x:c r="O381" s="26" t="str">
        <x:v>Production/Marketing</x:v>
      </x:c>
      <x:c r="P381" s="26" t="str">
        <x:v>NOT RUN</x:v>
      </x:c>
      <x:c r="Q381" s="26"/>
      <x:c r="R381" s="26"/>
      <x:c r="S381" s="26"/>
      <x:c r="T381" s="26"/>
      <x:c r="U381" s="26"/>
      <x:c r="V381" s="26"/>
      <x:c r="W381" s="26" t="n">
        <x:v>1</x:v>
      </x:c>
      <x:c r="X381" s="26" t="n">
        <x:v>0</x:v>
      </x:c>
      <x:c r="Y381" s="26" t="n">
        <x:v>1</x:v>
      </x:c>
      <x:c r="Z381" s="26" t="str">
        <x:v>PENDING</x:v>
      </x:c>
      <x:c r="AA381" s="26" t="str">
        <x:v>CHG-RC1-DOC-31</x:v>
      </x:c>
      <x:c r="AB381" s="26" t="str">
        <x:v>DEFINED / NOT EXECUTED</x:v>
      </x:c>
    </x:row>
    <x:row r="382" ht="30" customHeight="1">
      <x:c r="A382" s="26" t="str">
        <x:v>Release</x:v>
      </x:c>
      <x:c r="B382" s="26" t="str">
        <x:v>REL-LEG-004</x:v>
      </x:c>
      <x:c r="C382" s="26" t="str">
        <x:v>Legal, privacidad y créditos</x:v>
      </x:c>
      <x:c r="D382" s="26" t="str">
        <x:v>Release readiness</x:v>
      </x:c>
      <x:c r="E382" s="26" t="str">
        <x:v>La política de privacidad publicada coincide con datos y proveedores reales.</x:v>
      </x:c>
      <x:c r="F382" s="26" t="str">
        <x:v>Revisar, ejecutar y registrar evidencia reproducible.</x:v>
      </x:c>
      <x:c r="G382" s="26" t="str">
        <x:v>Cumplimiento verificable antes del gate indicado.</x:v>
      </x:c>
      <x:c r="H382" s="26" t="str">
        <x:v>Privacy policy signoff.</x:v>
      </x:c>
      <x:c r="I382" s="26" t="str">
        <x:v>23_Legal_Credits_and_Licenses_Register.xlsx; 26_Privacy_Data_and_Telemetry_Plan.md; 28_Marketing_and_Communication_Plan.md</x:v>
      </x:c>
      <x:c r="J382" s="26" t="str">
        <x:v>Legal/Localization/Marketing historical v0.3–v0.5</x:v>
      </x:c>
      <x:c r="K382" s="26" t="str">
        <x:v>Release</x:v>
      </x:c>
      <x:c r="L382" s="26" t="str">
        <x:v>Yes</x:v>
      </x:c>
      <x:c r="M382" s="26" t="str">
        <x:v>P0</x:v>
      </x:c>
      <x:c r="N382" s="26" t="str">
        <x:v>Legal/Privacy</x:v>
      </x:c>
      <x:c r="O382" s="26" t="str">
        <x:v>Production/Marketing</x:v>
      </x:c>
      <x:c r="P382" s="26" t="str">
        <x:v>NOT RUN</x:v>
      </x:c>
      <x:c r="Q382" s="26"/>
      <x:c r="R382" s="26"/>
      <x:c r="S382" s="26"/>
      <x:c r="T382" s="26"/>
      <x:c r="U382" s="26"/>
      <x:c r="V382" s="26"/>
      <x:c r="W382" s="26" t="n">
        <x:v>1</x:v>
      </x:c>
      <x:c r="X382" s="26" t="n">
        <x:v>0</x:v>
      </x:c>
      <x:c r="Y382" s="26" t="n">
        <x:v>1</x:v>
      </x:c>
      <x:c r="Z382" s="26" t="str">
        <x:v>PENDING</x:v>
      </x:c>
      <x:c r="AA382" s="26" t="str">
        <x:v>CHG-RC1-DOC-31</x:v>
      </x:c>
      <x:c r="AB382" s="26" t="str">
        <x:v>DEFINED / NOT EXECUTED</x:v>
      </x:c>
    </x:row>
    <x:row r="383" ht="30" customHeight="1">
      <x:c r="A383" s="26" t="str">
        <x:v>Release</x:v>
      </x:c>
      <x:c r="B383" s="26" t="str">
        <x:v>REL-LEG-005</x:v>
      </x:c>
      <x:c r="C383" s="26" t="str">
        <x:v>Legal, privacidad y créditos</x:v>
      </x:c>
      <x:c r="D383" s="26" t="str">
        <x:v>Release readiness</x:v>
      </x:c>
      <x:c r="E383" s="26" t="str">
        <x:v>Consentimiento y preferencias de telemetría cumplen el plan aprobado.</x:v>
      </x:c>
      <x:c r="F383" s="26" t="str">
        <x:v>Revisar, ejecutar y registrar evidencia reproducible.</x:v>
      </x:c>
      <x:c r="G383" s="26" t="str">
        <x:v>Cumplimiento verificable antes del gate indicado.</x:v>
      </x:c>
      <x:c r="H383" s="26" t="str">
        <x:v>Consent flow QA.</x:v>
      </x:c>
      <x:c r="I383" s="26" t="str">
        <x:v>23_Legal_Credits_and_Licenses_Register.xlsx; 26_Privacy_Data_and_Telemetry_Plan.md; 28_Marketing_and_Communication_Plan.md</x:v>
      </x:c>
      <x:c r="J383" s="26" t="str">
        <x:v>Legal/Localization/Marketing historical v0.3–v0.5</x:v>
      </x:c>
      <x:c r="K383" s="26" t="str">
        <x:v>Release</x:v>
      </x:c>
      <x:c r="L383" s="26" t="str">
        <x:v>Yes</x:v>
      </x:c>
      <x:c r="M383" s="26" t="str">
        <x:v>P1</x:v>
      </x:c>
      <x:c r="N383" s="26" t="str">
        <x:v>Legal/Privacy</x:v>
      </x:c>
      <x:c r="O383" s="26" t="str">
        <x:v>Production/Marketing</x:v>
      </x:c>
      <x:c r="P383" s="26" t="str">
        <x:v>NOT RUN</x:v>
      </x:c>
      <x:c r="Q383" s="26"/>
      <x:c r="R383" s="26"/>
      <x:c r="S383" s="26"/>
      <x:c r="T383" s="26"/>
      <x:c r="U383" s="26"/>
      <x:c r="V383" s="26"/>
      <x:c r="W383" s="26" t="n">
        <x:v>1</x:v>
      </x:c>
      <x:c r="X383" s="26" t="n">
        <x:v>0</x:v>
      </x:c>
      <x:c r="Y383" s="26" t="n">
        <x:v>1</x:v>
      </x:c>
      <x:c r="Z383" s="26" t="str">
        <x:v>PENDING</x:v>
      </x:c>
      <x:c r="AA383" s="26" t="str">
        <x:v>CHG-RC1-DOC-31</x:v>
      </x:c>
      <x:c r="AB383" s="26" t="str">
        <x:v>DEFINED / NOT EXECUTED</x:v>
      </x:c>
    </x:row>
    <x:row r="384" ht="30" customHeight="1">
      <x:c r="A384" s="26" t="str">
        <x:v>Release</x:v>
      </x:c>
      <x:c r="B384" s="26" t="str">
        <x:v>REL-LEG-006</x:v>
      </x:c>
      <x:c r="C384" s="26" t="str">
        <x:v>Legal, privacidad y créditos</x:v>
      </x:c>
      <x:c r="D384" s="26" t="str">
        <x:v>Release readiness</x:v>
      </x:c>
      <x:c r="E384" s="26" t="str">
        <x:v>El EULA u otros términos, si se usan, han sido revisados y localizados.</x:v>
      </x:c>
      <x:c r="F384" s="26" t="str">
        <x:v>Revisar, ejecutar y registrar evidencia reproducible.</x:v>
      </x:c>
      <x:c r="G384" s="26" t="str">
        <x:v>Cumplimiento verificable antes del gate indicado.</x:v>
      </x:c>
      <x:c r="H384" s="26" t="str">
        <x:v>Terms approval.</x:v>
      </x:c>
      <x:c r="I384" s="26" t="str">
        <x:v>23_Legal_Credits_and_Licenses_Register.xlsx; 26_Privacy_Data_and_Telemetry_Plan.md; 28_Marketing_and_Communication_Plan.md</x:v>
      </x:c>
      <x:c r="J384" s="26" t="str">
        <x:v>Legal/Localization/Marketing historical v0.3–v0.5</x:v>
      </x:c>
      <x:c r="K384" s="26" t="str">
        <x:v>Release</x:v>
      </x:c>
      <x:c r="L384" s="26" t="str">
        <x:v>Yes</x:v>
      </x:c>
      <x:c r="M384" s="26" t="str">
        <x:v>P1</x:v>
      </x:c>
      <x:c r="N384" s="26" t="str">
        <x:v>Legal/Privacy</x:v>
      </x:c>
      <x:c r="O384" s="26" t="str">
        <x:v>Production/Marketing</x:v>
      </x:c>
      <x:c r="P384" s="26" t="str">
        <x:v>NOT RUN</x:v>
      </x:c>
      <x:c r="Q384" s="26"/>
      <x:c r="R384" s="26"/>
      <x:c r="S384" s="26"/>
      <x:c r="T384" s="26"/>
      <x:c r="U384" s="26"/>
      <x:c r="V384" s="26"/>
      <x:c r="W384" s="26" t="n">
        <x:v>1</x:v>
      </x:c>
      <x:c r="X384" s="26" t="n">
        <x:v>0</x:v>
      </x:c>
      <x:c r="Y384" s="26" t="n">
        <x:v>1</x:v>
      </x:c>
      <x:c r="Z384" s="26" t="str">
        <x:v>PENDING</x:v>
      </x:c>
      <x:c r="AA384" s="26" t="str">
        <x:v>CHG-RC1-DOC-31</x:v>
      </x:c>
      <x:c r="AB384" s="26" t="str">
        <x:v>DEFINED / NOT EXECUTED</x:v>
      </x:c>
    </x:row>
    <x:row r="385" ht="30" customHeight="1">
      <x:c r="A385" s="26" t="str">
        <x:v>Release</x:v>
      </x:c>
      <x:c r="B385" s="26" t="str">
        <x:v>REL-LEG-007</x:v>
      </x:c>
      <x:c r="C385" s="26" t="str">
        <x:v>Legal, privacidad y créditos</x:v>
      </x:c>
      <x:c r="D385" s="26" t="str">
        <x:v>Release readiness</x:v>
      </x:c>
      <x:c r="E385" s="26" t="str">
        <x:v>Las clasificaciones de edad y disclosures de contenido están completados.</x:v>
      </x:c>
      <x:c r="F385" s="26" t="str">
        <x:v>Revisar, ejecutar y registrar evidencia reproducible.</x:v>
      </x:c>
      <x:c r="G385" s="26" t="str">
        <x:v>Cumplimiento verificable antes del gate indicado.</x:v>
      </x:c>
      <x:c r="H385" s="26" t="str">
        <x:v>Ratings/content records.</x:v>
      </x:c>
      <x:c r="I385" s="26" t="str">
        <x:v>23_Legal_Credits_and_Licenses_Register.xlsx; 26_Privacy_Data_and_Telemetry_Plan.md; 28_Marketing_and_Communication_Plan.md</x:v>
      </x:c>
      <x:c r="J385" s="26" t="str">
        <x:v>Legal/Localization/Marketing historical v0.3–v0.5</x:v>
      </x:c>
      <x:c r="K385" s="26" t="str">
        <x:v>Release</x:v>
      </x:c>
      <x:c r="L385" s="26" t="str">
        <x:v>Yes</x:v>
      </x:c>
      <x:c r="M385" s="26" t="str">
        <x:v>P1</x:v>
      </x:c>
      <x:c r="N385" s="26" t="str">
        <x:v>Legal/Privacy</x:v>
      </x:c>
      <x:c r="O385" s="26" t="str">
        <x:v>Production/Marketing</x:v>
      </x:c>
      <x:c r="P385" s="26" t="str">
        <x:v>NOT RUN</x:v>
      </x:c>
      <x:c r="Q385" s="26"/>
      <x:c r="R385" s="26"/>
      <x:c r="S385" s="26"/>
      <x:c r="T385" s="26"/>
      <x:c r="U385" s="26"/>
      <x:c r="V385" s="26"/>
      <x:c r="W385" s="26" t="n">
        <x:v>1</x:v>
      </x:c>
      <x:c r="X385" s="26" t="n">
        <x:v>0</x:v>
      </x:c>
      <x:c r="Y385" s="26" t="n">
        <x:v>1</x:v>
      </x:c>
      <x:c r="Z385" s="26" t="str">
        <x:v>PENDING</x:v>
      </x:c>
      <x:c r="AA385" s="26" t="str">
        <x:v>CHG-RC1-DOC-31</x:v>
      </x:c>
      <x:c r="AB385" s="26" t="str">
        <x:v>DEFINED / NOT EXECUTED</x:v>
      </x:c>
    </x:row>
    <x:row r="386" ht="30" customHeight="1">
      <x:c r="A386" s="26" t="str">
        <x:v>Release</x:v>
      </x:c>
      <x:c r="B386" s="26" t="str">
        <x:v>REL-LEG-008</x:v>
      </x:c>
      <x:c r="C386" s="26" t="str">
        <x:v>Legal, privacidad y créditos</x:v>
      </x:c>
      <x:c r="D386" s="26" t="str">
        <x:v>Release readiness</x:v>
      </x:c>
      <x:c r="E386" s="26" t="str">
        <x:v>Los derechos de música, audio, fuentes, imágenes y trailer cubren marketing y distribución.</x:v>
      </x:c>
      <x:c r="F386" s="26" t="str">
        <x:v>Revisar, ejecutar y registrar evidencia reproducible.</x:v>
      </x:c>
      <x:c r="G386" s="26" t="str">
        <x:v>Cumplimiento verificable antes del gate indicado.</x:v>
      </x:c>
      <x:c r="H386" s="26" t="str">
        <x:v>Media rights matrix.</x:v>
      </x:c>
      <x:c r="I386" s="26" t="str">
        <x:v>23_Legal_Credits_and_Licenses_Register.xlsx; 26_Privacy_Data_and_Telemetry_Plan.md; 28_Marketing_and_Communication_Plan.md</x:v>
      </x:c>
      <x:c r="J386" s="26" t="str">
        <x:v>Legal/Localization/Marketing historical v0.3–v0.5</x:v>
      </x:c>
      <x:c r="K386" s="26" t="str">
        <x:v>Release</x:v>
      </x:c>
      <x:c r="L386" s="26" t="str">
        <x:v>Yes</x:v>
      </x:c>
      <x:c r="M386" s="26" t="str">
        <x:v>P1</x:v>
      </x:c>
      <x:c r="N386" s="26" t="str">
        <x:v>Legal/Privacy</x:v>
      </x:c>
      <x:c r="O386" s="26" t="str">
        <x:v>Production/Marketing</x:v>
      </x:c>
      <x:c r="P386" s="26" t="str">
        <x:v>NOT RUN</x:v>
      </x:c>
      <x:c r="Q386" s="26"/>
      <x:c r="R386" s="26"/>
      <x:c r="S386" s="26"/>
      <x:c r="T386" s="26"/>
      <x:c r="U386" s="26"/>
      <x:c r="V386" s="26"/>
      <x:c r="W386" s="26" t="n">
        <x:v>1</x:v>
      </x:c>
      <x:c r="X386" s="26" t="n">
        <x:v>0</x:v>
      </x:c>
      <x:c r="Y386" s="26" t="n">
        <x:v>1</x:v>
      </x:c>
      <x:c r="Z386" s="26" t="str">
        <x:v>PENDING</x:v>
      </x:c>
      <x:c r="AA386" s="26" t="str">
        <x:v>CHG-RC1-DOC-31</x:v>
      </x:c>
      <x:c r="AB386" s="26" t="str">
        <x:v>DEFINED / NOT EXECUTED</x:v>
      </x:c>
    </x:row>
    <x:row r="387" ht="30" customHeight="1">
      <x:c r="A387" s="26" t="str">
        <x:v>Release</x:v>
      </x:c>
      <x:c r="B387" s="26" t="str">
        <x:v>REL-LEG-009</x:v>
      </x:c>
      <x:c r="C387" s="26" t="str">
        <x:v>Legal, privacidad y créditos</x:v>
      </x:c>
      <x:c r="D387" s="26" t="str">
        <x:v>Release readiness</x:v>
      </x:c>
      <x:c r="E387" s="26" t="str">
        <x:v>Los nombres/créditos de colaboradores cuentan con autorización y formato acordado.</x:v>
      </x:c>
      <x:c r="F387" s="26" t="str">
        <x:v>Revisar, ejecutar y registrar evidencia reproducible.</x:v>
      </x:c>
      <x:c r="G387" s="26" t="str">
        <x:v>Cumplimiento verificable antes del gate indicado.</x:v>
      </x:c>
      <x:c r="H387" s="26" t="str">
        <x:v>Credit consent register.</x:v>
      </x:c>
      <x:c r="I387" s="26" t="str">
        <x:v>23_Legal_Credits_and_Licenses_Register.xlsx; 26_Privacy_Data_and_Telemetry_Plan.md; 28_Marketing_and_Communication_Plan.md</x:v>
      </x:c>
      <x:c r="J387" s="26" t="str">
        <x:v>Legal/Localization/Marketing historical v0.3–v0.5</x:v>
      </x:c>
      <x:c r="K387" s="26" t="str">
        <x:v>Release</x:v>
      </x:c>
      <x:c r="L387" s="26" t="str">
        <x:v>Yes</x:v>
      </x:c>
      <x:c r="M387" s="26" t="str">
        <x:v>P1</x:v>
      </x:c>
      <x:c r="N387" s="26" t="str">
        <x:v>Legal/Privacy</x:v>
      </x:c>
      <x:c r="O387" s="26" t="str">
        <x:v>Production/Marketing</x:v>
      </x:c>
      <x:c r="P387" s="26" t="str">
        <x:v>NOT RUN</x:v>
      </x:c>
      <x:c r="Q387" s="26"/>
      <x:c r="R387" s="26"/>
      <x:c r="S387" s="26"/>
      <x:c r="T387" s="26"/>
      <x:c r="U387" s="26"/>
      <x:c r="V387" s="26"/>
      <x:c r="W387" s="26" t="n">
        <x:v>1</x:v>
      </x:c>
      <x:c r="X387" s="26" t="n">
        <x:v>0</x:v>
      </x:c>
      <x:c r="Y387" s="26" t="n">
        <x:v>1</x:v>
      </x:c>
      <x:c r="Z387" s="26" t="str">
        <x:v>PENDING</x:v>
      </x:c>
      <x:c r="AA387" s="26" t="str">
        <x:v>CHG-RC1-DOC-31</x:v>
      </x:c>
      <x:c r="AB387" s="26" t="str">
        <x:v>DEFINED / NOT EXECUTED</x:v>
      </x:c>
    </x:row>
    <x:row r="388" ht="30" customHeight="1">
      <x:c r="A388" s="26" t="str">
        <x:v>Release</x:v>
      </x:c>
      <x:c r="B388" s="26" t="str">
        <x:v>REL-LEG-010</x:v>
      </x:c>
      <x:c r="C388" s="26" t="str">
        <x:v>Legal, privacidad y créditos</x:v>
      </x:c>
      <x:c r="D388" s="26" t="str">
        <x:v>Release readiness</x:v>
      </x:c>
      <x:c r="E388" s="26" t="str">
        <x:v>Los proveedores que tratan datos están inventariados y contratados cuando corresponde.</x:v>
      </x:c>
      <x:c r="F388" s="26" t="str">
        <x:v>Revisar, ejecutar y registrar evidencia reproducible.</x:v>
      </x:c>
      <x:c r="G388" s="26" t="str">
        <x:v>Cumplimiento verificable antes del gate indicado.</x:v>
      </x:c>
      <x:c r="H388" s="26" t="str">
        <x:v>Processor register.</x:v>
      </x:c>
      <x:c r="I388" s="26" t="str">
        <x:v>23_Legal_Credits_and_Licenses_Register.xlsx; 26_Privacy_Data_and_Telemetry_Plan.md; 28_Marketing_and_Communication_Plan.md</x:v>
      </x:c>
      <x:c r="J388" s="26" t="str">
        <x:v>Legal/Localization/Marketing historical v0.3–v0.5</x:v>
      </x:c>
      <x:c r="K388" s="26" t="str">
        <x:v>Release</x:v>
      </x:c>
      <x:c r="L388" s="26" t="str">
        <x:v>Yes</x:v>
      </x:c>
      <x:c r="M388" s="26" t="str">
        <x:v>P1</x:v>
      </x:c>
      <x:c r="N388" s="26" t="str">
        <x:v>Legal/Privacy</x:v>
      </x:c>
      <x:c r="O388" s="26" t="str">
        <x:v>Production/Marketing</x:v>
      </x:c>
      <x:c r="P388" s="26" t="str">
        <x:v>NOT RUN</x:v>
      </x:c>
      <x:c r="Q388" s="26"/>
      <x:c r="R388" s="26"/>
      <x:c r="S388" s="26"/>
      <x:c r="T388" s="26"/>
      <x:c r="U388" s="26"/>
      <x:c r="V388" s="26"/>
      <x:c r="W388" s="26" t="n">
        <x:v>1</x:v>
      </x:c>
      <x:c r="X388" s="26" t="n">
        <x:v>0</x:v>
      </x:c>
      <x:c r="Y388" s="26" t="n">
        <x:v>1</x:v>
      </x:c>
      <x:c r="Z388" s="26" t="str">
        <x:v>PENDING</x:v>
      </x:c>
      <x:c r="AA388" s="26" t="str">
        <x:v>CHG-RC1-DOC-31</x:v>
      </x:c>
      <x:c r="AB388" s="26" t="str">
        <x:v>DEFINED / NOT EXECUTED</x:v>
      </x:c>
    </x:row>
    <x:row r="389" ht="30" customHeight="1">
      <x:c r="A389" s="26" t="str">
        <x:v>Release</x:v>
      </x:c>
      <x:c r="B389" s="26" t="str">
        <x:v>REL-LEG-011</x:v>
      </x:c>
      <x:c r="C389" s="26" t="str">
        <x:v>Legal, privacidad y créditos</x:v>
      </x:c>
      <x:c r="D389" s="26" t="str">
        <x:v>Release readiness</x:v>
      </x:c>
      <x:c r="E389" s="26" t="str">
        <x:v>El proceso de solicitudes de privacidad y eliminación está documentado si aplica.</x:v>
      </x:c>
      <x:c r="F389" s="26" t="str">
        <x:v>Revisar, ejecutar y registrar evidencia reproducible.</x:v>
      </x:c>
      <x:c r="G389" s="26" t="str">
        <x:v>Cumplimiento verificable antes del gate indicado.</x:v>
      </x:c>
      <x:c r="H389" s="26" t="str">
        <x:v>Privacy request playbook.</x:v>
      </x:c>
      <x:c r="I389" s="26" t="str">
        <x:v>23_Legal_Credits_and_Licenses_Register.xlsx; 26_Privacy_Data_and_Telemetry_Plan.md; 28_Marketing_and_Communication_Plan.md</x:v>
      </x:c>
      <x:c r="J389" s="26" t="str">
        <x:v>Legal/Localization/Marketing historical v0.3–v0.5</x:v>
      </x:c>
      <x:c r="K389" s="26" t="str">
        <x:v>Release</x:v>
      </x:c>
      <x:c r="L389" s="26" t="str">
        <x:v>Yes</x:v>
      </x:c>
      <x:c r="M389" s="26" t="str">
        <x:v>P1</x:v>
      </x:c>
      <x:c r="N389" s="26" t="str">
        <x:v>Legal/Privacy</x:v>
      </x:c>
      <x:c r="O389" s="26" t="str">
        <x:v>Production/Marketing</x:v>
      </x:c>
      <x:c r="P389" s="26" t="str">
        <x:v>NOT RUN</x:v>
      </x:c>
      <x:c r="Q389" s="26"/>
      <x:c r="R389" s="26"/>
      <x:c r="S389" s="26"/>
      <x:c r="T389" s="26"/>
      <x:c r="U389" s="26"/>
      <x:c r="V389" s="26"/>
      <x:c r="W389" s="26" t="n">
        <x:v>1</x:v>
      </x:c>
      <x:c r="X389" s="26" t="n">
        <x:v>0</x:v>
      </x:c>
      <x:c r="Y389" s="26" t="n">
        <x:v>1</x:v>
      </x:c>
      <x:c r="Z389" s="26" t="str">
        <x:v>PENDING</x:v>
      </x:c>
      <x:c r="AA389" s="26" t="str">
        <x:v>CHG-RC1-DOC-31</x:v>
      </x:c>
      <x:c r="AB389" s="26" t="str">
        <x:v>DEFINED / NOT EXECUTED</x:v>
      </x:c>
    </x:row>
    <x:row r="390" ht="30" customHeight="1">
      <x:c r="A390" s="26" t="str">
        <x:v>Release</x:v>
      </x:c>
      <x:c r="B390" s="26" t="str">
        <x:v>REL-LEG-012</x:v>
      </x:c>
      <x:c r="C390" s="26" t="str">
        <x:v>Legal, privacidad y créditos</x:v>
      </x:c>
      <x:c r="D390" s="26" t="str">
        <x:v>Release readiness</x:v>
      </x:c>
      <x:c r="E390" s="26" t="str">
        <x:v>Los logs, crash reports y soporte no solicitan datos excesivos.</x:v>
      </x:c>
      <x:c r="F390" s="26" t="str">
        <x:v>Revisar, ejecutar y registrar evidencia reproducible.</x:v>
      </x:c>
      <x:c r="G390" s="26" t="str">
        <x:v>Cumplimiento verificable antes del gate indicado.</x:v>
      </x:c>
      <x:c r="H390" s="26" t="str">
        <x:v>Data minimization review.</x:v>
      </x:c>
      <x:c r="I390" s="26" t="str">
        <x:v>23_Legal_Credits_and_Licenses_Register.xlsx; 26_Privacy_Data_and_Telemetry_Plan.md; 28_Marketing_and_Communication_Plan.md</x:v>
      </x:c>
      <x:c r="J390" s="26" t="str">
        <x:v>Legal/Localization/Marketing historical v0.3–v0.5</x:v>
      </x:c>
      <x:c r="K390" s="26" t="str">
        <x:v>Release</x:v>
      </x:c>
      <x:c r="L390" s="26" t="str">
        <x:v>Yes</x:v>
      </x:c>
      <x:c r="M390" s="26" t="str">
        <x:v>P1</x:v>
      </x:c>
      <x:c r="N390" s="26" t="str">
        <x:v>Legal/Privacy</x:v>
      </x:c>
      <x:c r="O390" s="26" t="str">
        <x:v>Production/Marketing</x:v>
      </x:c>
      <x:c r="P390" s="26" t="str">
        <x:v>NOT RUN</x:v>
      </x:c>
      <x:c r="Q390" s="26"/>
      <x:c r="R390" s="26"/>
      <x:c r="S390" s="26"/>
      <x:c r="T390" s="26"/>
      <x:c r="U390" s="26"/>
      <x:c r="V390" s="26"/>
      <x:c r="W390" s="26" t="n">
        <x:v>1</x:v>
      </x:c>
      <x:c r="X390" s="26" t="n">
        <x:v>0</x:v>
      </x:c>
      <x:c r="Y390" s="26" t="n">
        <x:v>1</x:v>
      </x:c>
      <x:c r="Z390" s="26" t="str">
        <x:v>PENDING</x:v>
      </x:c>
      <x:c r="AA390" s="26" t="str">
        <x:v>CHG-RC1-DOC-31</x:v>
      </x:c>
      <x:c r="AB390" s="26" t="str">
        <x:v>DEFINED / NOT EXECUTED</x:v>
      </x:c>
    </x:row>
    <x:row r="391" ht="30" customHeight="1">
      <x:c r="A391" s="26" t="str">
        <x:v>Release</x:v>
      </x:c>
      <x:c r="B391" s="26" t="str">
        <x:v>REL-LEG-013</x:v>
      </x:c>
      <x:c r="C391" s="26" t="str">
        <x:v>Legal, privacidad y créditos</x:v>
      </x:c>
      <x:c r="D391" s="26" t="str">
        <x:v>Release readiness</x:v>
      </x:c>
      <x:c r="E391" s="26" t="str">
        <x:v>La retención de datos y evidencias tiene plazos y responsables.</x:v>
      </x:c>
      <x:c r="F391" s="26" t="str">
        <x:v>Revisar, ejecutar y registrar evidencia reproducible.</x:v>
      </x:c>
      <x:c r="G391" s="26" t="str">
        <x:v>Cumplimiento verificable antes del gate indicado.</x:v>
      </x:c>
      <x:c r="H391" s="26" t="str">
        <x:v>Retention schedule.</x:v>
      </x:c>
      <x:c r="I391" s="26" t="str">
        <x:v>23_Legal_Credits_and_Licenses_Register.xlsx; 26_Privacy_Data_and_Telemetry_Plan.md; 28_Marketing_and_Communication_Plan.md</x:v>
      </x:c>
      <x:c r="J391" s="26" t="str">
        <x:v>Legal/Localization/Marketing historical v0.3–v0.5</x:v>
      </x:c>
      <x:c r="K391" s="26" t="str">
        <x:v>Release</x:v>
      </x:c>
      <x:c r="L391" s="26" t="str">
        <x:v>Yes</x:v>
      </x:c>
      <x:c r="M391" s="26" t="str">
        <x:v>P1</x:v>
      </x:c>
      <x:c r="N391" s="26" t="str">
        <x:v>Legal/Privacy</x:v>
      </x:c>
      <x:c r="O391" s="26" t="str">
        <x:v>Production/Marketing</x:v>
      </x:c>
      <x:c r="P391" s="26" t="str">
        <x:v>NOT RUN</x:v>
      </x:c>
      <x:c r="Q391" s="26"/>
      <x:c r="R391" s="26"/>
      <x:c r="S391" s="26"/>
      <x:c r="T391" s="26"/>
      <x:c r="U391" s="26"/>
      <x:c r="V391" s="26"/>
      <x:c r="W391" s="26" t="n">
        <x:v>1</x:v>
      </x:c>
      <x:c r="X391" s="26" t="n">
        <x:v>0</x:v>
      </x:c>
      <x:c r="Y391" s="26" t="n">
        <x:v>1</x:v>
      </x:c>
      <x:c r="Z391" s="26" t="str">
        <x:v>PENDING</x:v>
      </x:c>
      <x:c r="AA391" s="26" t="str">
        <x:v>CHG-RC1-DOC-31</x:v>
      </x:c>
      <x:c r="AB391" s="26" t="str">
        <x:v>DEFINED / NOT EXECUTED</x:v>
      </x:c>
    </x:row>
    <x:row r="392" ht="30" customHeight="1">
      <x:c r="A392" s="26" t="str">
        <x:v>Release</x:v>
      </x:c>
      <x:c r="B392" s="26" t="str">
        <x:v>REL-LEG-014</x:v>
      </x:c>
      <x:c r="C392" s="26" t="str">
        <x:v>Legal, privacidad y créditos</x:v>
      </x:c>
      <x:c r="D392" s="26" t="str">
        <x:v>Release readiness</x:v>
      </x:c>
      <x:c r="E392" s="26" t="str">
        <x:v>No existe contenido generado/obtenido sin procedencia verificable.</x:v>
      </x:c>
      <x:c r="F392" s="26" t="str">
        <x:v>Revisar, ejecutar y registrar evidencia reproducible.</x:v>
      </x:c>
      <x:c r="G392" s="26" t="str">
        <x:v>Cumplimiento verificable antes del gate indicado.</x:v>
      </x:c>
      <x:c r="H392" s="26" t="str">
        <x:v>Provenance audit.</x:v>
      </x:c>
      <x:c r="I392" s="26" t="str">
        <x:v>23_Legal_Credits_and_Licenses_Register.xlsx; 26_Privacy_Data_and_Telemetry_Plan.md; 28_Marketing_and_Communication_Plan.md</x:v>
      </x:c>
      <x:c r="J392" s="26" t="str">
        <x:v>Legal/Localization/Marketing historical v0.3–v0.5</x:v>
      </x:c>
      <x:c r="K392" s="26" t="str">
        <x:v>Release</x:v>
      </x:c>
      <x:c r="L392" s="26" t="str">
        <x:v>Yes</x:v>
      </x:c>
      <x:c r="M392" s="26" t="str">
        <x:v>P1</x:v>
      </x:c>
      <x:c r="N392" s="26" t="str">
        <x:v>Legal/Privacy</x:v>
      </x:c>
      <x:c r="O392" s="26" t="str">
        <x:v>Production/Marketing</x:v>
      </x:c>
      <x:c r="P392" s="26" t="str">
        <x:v>NOT RUN</x:v>
      </x:c>
      <x:c r="Q392" s="26"/>
      <x:c r="R392" s="26"/>
      <x:c r="S392" s="26"/>
      <x:c r="T392" s="26"/>
      <x:c r="U392" s="26"/>
      <x:c r="V392" s="26"/>
      <x:c r="W392" s="26" t="n">
        <x:v>1</x:v>
      </x:c>
      <x:c r="X392" s="26" t="n">
        <x:v>0</x:v>
      </x:c>
      <x:c r="Y392" s="26" t="n">
        <x:v>1</x:v>
      </x:c>
      <x:c r="Z392" s="26" t="str">
        <x:v>PENDING</x:v>
      </x:c>
      <x:c r="AA392" s="26" t="str">
        <x:v>CHG-RC1-DOC-31</x:v>
      </x:c>
      <x:c r="AB392" s="26" t="str">
        <x:v>DEFINED / NOT EXECUTED</x:v>
      </x:c>
    </x:row>
    <x:row r="393" ht="30" customHeight="1">
      <x:c r="A393" s="26" t="str">
        <x:v>Release</x:v>
      </x:c>
      <x:c r="B393" s="26" t="str">
        <x:v>REL-LEG-015</x:v>
      </x:c>
      <x:c r="C393" s="26" t="str">
        <x:v>Legal, privacidad y créditos</x:v>
      </x:c>
      <x:c r="D393" s="26" t="str">
        <x:v>Release readiness</x:v>
      </x:c>
      <x:c r="E393" s="26" t="str">
        <x:v>La documentación pública no ofrece garantías o funcionalidades no respaldadas.</x:v>
      </x:c>
      <x:c r="F393" s="26" t="str">
        <x:v>Revisar, ejecutar y registrar evidencia reproducible.</x:v>
      </x:c>
      <x:c r="G393" s="26" t="str">
        <x:v>Cumplimiento verificable antes del gate indicado.</x:v>
      </x:c>
      <x:c r="H393" s="26" t="str">
        <x:v>Legal claims review.</x:v>
      </x:c>
      <x:c r="I393" s="26" t="str">
        <x:v>23_Legal_Credits_and_Licenses_Register.xlsx; 26_Privacy_Data_and_Telemetry_Plan.md; 28_Marketing_and_Communication_Plan.md</x:v>
      </x:c>
      <x:c r="J393" s="26" t="str">
        <x:v>Legal/Localization/Marketing historical v0.3–v0.5</x:v>
      </x:c>
      <x:c r="K393" s="26" t="str">
        <x:v>Release</x:v>
      </x:c>
      <x:c r="L393" s="26" t="str">
        <x:v>Yes</x:v>
      </x:c>
      <x:c r="M393" s="26" t="str">
        <x:v>P1</x:v>
      </x:c>
      <x:c r="N393" s="26" t="str">
        <x:v>Legal/Privacy</x:v>
      </x:c>
      <x:c r="O393" s="26" t="str">
        <x:v>Production/Marketing</x:v>
      </x:c>
      <x:c r="P393" s="26" t="str">
        <x:v>NOT RUN</x:v>
      </x:c>
      <x:c r="Q393" s="26"/>
      <x:c r="R393" s="26"/>
      <x:c r="S393" s="26"/>
      <x:c r="T393" s="26"/>
      <x:c r="U393" s="26"/>
      <x:c r="V393" s="26"/>
      <x:c r="W393" s="26" t="n">
        <x:v>1</x:v>
      </x:c>
      <x:c r="X393" s="26" t="n">
        <x:v>0</x:v>
      </x:c>
      <x:c r="Y393" s="26" t="n">
        <x:v>1</x:v>
      </x:c>
      <x:c r="Z393" s="26" t="str">
        <x:v>PENDING</x:v>
      </x:c>
      <x:c r="AA393" s="26" t="str">
        <x:v>CHG-RC1-DOC-31</x:v>
      </x:c>
      <x:c r="AB393" s="26" t="str">
        <x:v>DEFINED / NOT EXECUTED</x:v>
      </x:c>
    </x:row>
    <x:row r="394" ht="30" customHeight="1">
      <x:c r="A394" s="26" t="str">
        <x:v>Release</x:v>
      </x:c>
      <x:c r="B394" s="26" t="str">
        <x:v>REL-SEC-001</x:v>
      </x:c>
      <x:c r="C394" s="26" t="str">
        <x:v>Seguridad y respuesta a incidentes</x:v>
      </x:c>
      <x:c r="D394" s="26" t="str">
        <x:v>Release readiness</x:v>
      </x:c>
      <x:c r="E394" s="26" t="str">
        <x:v>Secrets scan, dependency scan y package audit de la RC están completos.</x:v>
      </x:c>
      <x:c r="F394" s="26" t="str">
        <x:v>Revisar, ejecutar y registrar evidencia reproducible.</x:v>
      </x:c>
      <x:c r="G394" s="26" t="str">
        <x:v>Cumplimiento verificable antes del gate indicado.</x:v>
      </x:c>
      <x:c r="H394" s="26" t="str">
        <x:v>Release security report.</x:v>
      </x:c>
      <x:c r="I394" s="26" t="str">
        <x:v>27_Security_and_Incident_Response_Plan.md; 33_Project_Risk_Register_and_Business_Continuity_Plan.xlsx (futuro)</x:v>
      </x:c>
      <x:c r="J394" s="26" t="str">
        <x:v>Historical governance/build policies; document 27 consolidates previously distributed controls</x:v>
      </x:c>
      <x:c r="K394" s="26" t="str">
        <x:v>Release</x:v>
      </x:c>
      <x:c r="L394" s="26" t="str">
        <x:v>Yes</x:v>
      </x:c>
      <x:c r="M394" s="26" t="str">
        <x:v>P0</x:v>
      </x:c>
      <x:c r="N394" s="26" t="str">
        <x:v>Security</x:v>
      </x:c>
      <x:c r="O394" s="26" t="str">
        <x:v>Production/Legal</x:v>
      </x:c>
      <x:c r="P394" s="26" t="str">
        <x:v>NOT RUN</x:v>
      </x:c>
      <x:c r="Q394" s="26"/>
      <x:c r="R394" s="26"/>
      <x:c r="S394" s="26"/>
      <x:c r="T394" s="26"/>
      <x:c r="U394" s="26"/>
      <x:c r="V394" s="26"/>
      <x:c r="W394" s="26" t="n">
        <x:v>1</x:v>
      </x:c>
      <x:c r="X394" s="26" t="n">
        <x:v>0</x:v>
      </x:c>
      <x:c r="Y394" s="26" t="n">
        <x:v>1</x:v>
      </x:c>
      <x:c r="Z394" s="26" t="str">
        <x:v>PENDING</x:v>
      </x:c>
      <x:c r="AA394" s="26" t="str">
        <x:v>CHG-RC1-DOC-31</x:v>
      </x:c>
      <x:c r="AB394" s="26" t="str">
        <x:v>DEFINED / NOT EXECUTED</x:v>
      </x:c>
    </x:row>
    <x:row r="395" ht="30" customHeight="1">
      <x:c r="A395" s="26" t="str">
        <x:v>Release</x:v>
      </x:c>
      <x:c r="B395" s="26" t="str">
        <x:v>REL-SEC-002</x:v>
      </x:c>
      <x:c r="C395" s="26" t="str">
        <x:v>Seguridad y respuesta a incidentes</x:v>
      </x:c>
      <x:c r="D395" s="26" t="str">
        <x:v>Release readiness</x:v>
      </x:c>
      <x:c r="E395" s="26" t="str">
        <x:v>Las cuentas críticas tienen MFA/recuperación y propietarios vigentes.</x:v>
      </x:c>
      <x:c r="F395" s="26" t="str">
        <x:v>Revisar, ejecutar y registrar evidencia reproducible.</x:v>
      </x:c>
      <x:c r="G395" s="26" t="str">
        <x:v>Cumplimiento verificable antes del gate indicado.</x:v>
      </x:c>
      <x:c r="H395" s="26" t="str">
        <x:v>Account security review.</x:v>
      </x:c>
      <x:c r="I395" s="26" t="str">
        <x:v>27_Security_and_Incident_Response_Plan.md; 33_Project_Risk_Register_and_Business_Continuity_Plan.xlsx (futuro)</x:v>
      </x:c>
      <x:c r="J395" s="26" t="str">
        <x:v>Historical governance/build policies; document 27 consolidates previously distributed controls</x:v>
      </x:c>
      <x:c r="K395" s="26" t="str">
        <x:v>Release</x:v>
      </x:c>
      <x:c r="L395" s="26" t="str">
        <x:v>Yes</x:v>
      </x:c>
      <x:c r="M395" s="26" t="str">
        <x:v>P1</x:v>
      </x:c>
      <x:c r="N395" s="26" t="str">
        <x:v>Security</x:v>
      </x:c>
      <x:c r="O395" s="26" t="str">
        <x:v>Production/Legal</x:v>
      </x:c>
      <x:c r="P395" s="26" t="str">
        <x:v>NOT RUN</x:v>
      </x:c>
      <x:c r="Q395" s="26"/>
      <x:c r="R395" s="26"/>
      <x:c r="S395" s="26"/>
      <x:c r="T395" s="26"/>
      <x:c r="U395" s="26"/>
      <x:c r="V395" s="26"/>
      <x:c r="W395" s="26" t="n">
        <x:v>1</x:v>
      </x:c>
      <x:c r="X395" s="26" t="n">
        <x:v>0</x:v>
      </x:c>
      <x:c r="Y395" s="26" t="n">
        <x:v>1</x:v>
      </x:c>
      <x:c r="Z395" s="26" t="str">
        <x:v>PENDING</x:v>
      </x:c>
      <x:c r="AA395" s="26" t="str">
        <x:v>CHG-RC1-DOC-31</x:v>
      </x:c>
      <x:c r="AB395" s="26" t="str">
        <x:v>DEFINED / NOT EXECUTED</x:v>
      </x:c>
    </x:row>
    <x:row r="396" ht="30" customHeight="1">
      <x:c r="A396" s="26" t="str">
        <x:v>Release</x:v>
      </x:c>
      <x:c r="B396" s="26" t="str">
        <x:v>REL-SEC-003</x:v>
      </x:c>
      <x:c r="C396" s="26" t="str">
        <x:v>Seguridad y respuesta a incidentes</x:v>
      </x:c>
      <x:c r="D396" s="26" t="str">
        <x:v>Release readiness</x:v>
      </x:c>
      <x:c r="E396" s="26" t="str">
        <x:v>La CI/upload no imprime secretos ni permite publicar desde ramas no autorizadas.</x:v>
      </x:c>
      <x:c r="F396" s="26" t="str">
        <x:v>Revisar, ejecutar y registrar evidencia reproducible.</x:v>
      </x:c>
      <x:c r="G396" s="26" t="str">
        <x:v>Cumplimiento verificable antes del gate indicado.</x:v>
      </x:c>
      <x:c r="H396" s="26" t="str">
        <x:v>Pipeline security tests.</x:v>
      </x:c>
      <x:c r="I396" s="26" t="str">
        <x:v>27_Security_and_Incident_Response_Plan.md; 33_Project_Risk_Register_and_Business_Continuity_Plan.xlsx (futuro)</x:v>
      </x:c>
      <x:c r="J396" s="26" t="str">
        <x:v>Historical governance/build policies; document 27 consolidates previously distributed controls</x:v>
      </x:c>
      <x:c r="K396" s="26" t="str">
        <x:v>Release</x:v>
      </x:c>
      <x:c r="L396" s="26" t="str">
        <x:v>Yes</x:v>
      </x:c>
      <x:c r="M396" s="26" t="str">
        <x:v>P1</x:v>
      </x:c>
      <x:c r="N396" s="26" t="str">
        <x:v>Security</x:v>
      </x:c>
      <x:c r="O396" s="26" t="str">
        <x:v>Production/Legal</x:v>
      </x:c>
      <x:c r="P396" s="26" t="str">
        <x:v>NOT RUN</x:v>
      </x:c>
      <x:c r="Q396" s="26"/>
      <x:c r="R396" s="26"/>
      <x:c r="S396" s="26"/>
      <x:c r="T396" s="26"/>
      <x:c r="U396" s="26"/>
      <x:c r="V396" s="26"/>
      <x:c r="W396" s="26" t="n">
        <x:v>1</x:v>
      </x:c>
      <x:c r="X396" s="26" t="n">
        <x:v>0</x:v>
      </x:c>
      <x:c r="Y396" s="26" t="n">
        <x:v>1</x:v>
      </x:c>
      <x:c r="Z396" s="26" t="str">
        <x:v>PENDING</x:v>
      </x:c>
      <x:c r="AA396" s="26" t="str">
        <x:v>CHG-RC1-DOC-31</x:v>
      </x:c>
      <x:c r="AB396" s="26" t="str">
        <x:v>DEFINED / NOT EXECUTED</x:v>
      </x:c>
    </x:row>
    <x:row r="397" ht="30" customHeight="1">
      <x:c r="A397" s="26" t="str">
        <x:v>Release</x:v>
      </x:c>
      <x:c r="B397" s="26" t="str">
        <x:v>REL-SEC-004</x:v>
      </x:c>
      <x:c r="C397" s="26" t="str">
        <x:v>Seguridad y respuesta a incidentes</x:v>
      </x:c>
      <x:c r="D397" s="26" t="str">
        <x:v>Release readiness</x:v>
      </x:c>
      <x:c r="E397" s="26" t="str">
        <x:v>El binario y archivos distribuidos no incluyen información interna sensible.</x:v>
      </x:c>
      <x:c r="F397" s="26" t="str">
        <x:v>Revisar, ejecutar y registrar evidencia reproducible.</x:v>
      </x:c>
      <x:c r="G397" s="26" t="str">
        <x:v>Cumplimiento verificable antes del gate indicado.</x:v>
      </x:c>
      <x:c r="H397" s="26" t="str">
        <x:v>Binary/package inspection.</x:v>
      </x:c>
      <x:c r="I397" s="26" t="str">
        <x:v>27_Security_and_Incident_Response_Plan.md; 33_Project_Risk_Register_and_Business_Continuity_Plan.xlsx (futuro)</x:v>
      </x:c>
      <x:c r="J397" s="26" t="str">
        <x:v>Historical governance/build policies; document 27 consolidates previously distributed controls</x:v>
      </x:c>
      <x:c r="K397" s="26" t="str">
        <x:v>Release</x:v>
      </x:c>
      <x:c r="L397" s="26" t="str">
        <x:v>Yes</x:v>
      </x:c>
      <x:c r="M397" s="26" t="str">
        <x:v>P1</x:v>
      </x:c>
      <x:c r="N397" s="26" t="str">
        <x:v>Security</x:v>
      </x:c>
      <x:c r="O397" s="26" t="str">
        <x:v>Production/Legal</x:v>
      </x:c>
      <x:c r="P397" s="26" t="str">
        <x:v>NOT RUN</x:v>
      </x:c>
      <x:c r="Q397" s="26"/>
      <x:c r="R397" s="26"/>
      <x:c r="S397" s="26"/>
      <x:c r="T397" s="26"/>
      <x:c r="U397" s="26"/>
      <x:c r="V397" s="26"/>
      <x:c r="W397" s="26" t="n">
        <x:v>1</x:v>
      </x:c>
      <x:c r="X397" s="26" t="n">
        <x:v>0</x:v>
      </x:c>
      <x:c r="Y397" s="26" t="n">
        <x:v>1</x:v>
      </x:c>
      <x:c r="Z397" s="26" t="str">
        <x:v>PENDING</x:v>
      </x:c>
      <x:c r="AA397" s="26" t="str">
        <x:v>CHG-RC1-DOC-31</x:v>
      </x:c>
      <x:c r="AB397" s="26" t="str">
        <x:v>DEFINED / NOT EXECUTED</x:v>
      </x:c>
    </x:row>
    <x:row r="398" ht="30" customHeight="1">
      <x:c r="A398" s="26" t="str">
        <x:v>Release</x:v>
      </x:c>
      <x:c r="B398" s="26" t="str">
        <x:v>REL-SEC-005</x:v>
      </x:c>
      <x:c r="C398" s="26" t="str">
        <x:v>Seguridad y respuesta a incidentes</x:v>
      </x:c>
      <x:c r="D398" s="26" t="str">
        <x:v>Release readiness</x:v>
      </x:c>
      <x:c r="E398" s="26" t="str">
        <x:v>Existe playbook para vulnerabilidad, cuenta comprometida, build maliciosa o fuga de datos.</x:v>
      </x:c>
      <x:c r="F398" s="26" t="str">
        <x:v>Revisar, ejecutar y registrar evidencia reproducible.</x:v>
      </x:c>
      <x:c r="G398" s="26" t="str">
        <x:v>Cumplimiento verificable antes del gate indicado.</x:v>
      </x:c>
      <x:c r="H398" s="26" t="str">
        <x:v>Incident playbooks.</x:v>
      </x:c>
      <x:c r="I398" s="26" t="str">
        <x:v>27_Security_and_Incident_Response_Plan.md; 33_Project_Risk_Register_and_Business_Continuity_Plan.xlsx (futuro)</x:v>
      </x:c>
      <x:c r="J398" s="26" t="str">
        <x:v>Historical governance/build policies; document 27 consolidates previously distributed controls</x:v>
      </x:c>
      <x:c r="K398" s="26" t="str">
        <x:v>Release</x:v>
      </x:c>
      <x:c r="L398" s="26" t="str">
        <x:v>Yes</x:v>
      </x:c>
      <x:c r="M398" s="26" t="str">
        <x:v>P1</x:v>
      </x:c>
      <x:c r="N398" s="26" t="str">
        <x:v>Security</x:v>
      </x:c>
      <x:c r="O398" s="26" t="str">
        <x:v>Production/Legal</x:v>
      </x:c>
      <x:c r="P398" s="26" t="str">
        <x:v>NOT RUN</x:v>
      </x:c>
      <x:c r="Q398" s="26"/>
      <x:c r="R398" s="26"/>
      <x:c r="S398" s="26"/>
      <x:c r="T398" s="26"/>
      <x:c r="U398" s="26"/>
      <x:c r="V398" s="26"/>
      <x:c r="W398" s="26" t="n">
        <x:v>1</x:v>
      </x:c>
      <x:c r="X398" s="26" t="n">
        <x:v>0</x:v>
      </x:c>
      <x:c r="Y398" s="26" t="n">
        <x:v>1</x:v>
      </x:c>
      <x:c r="Z398" s="26" t="str">
        <x:v>PENDING</x:v>
      </x:c>
      <x:c r="AA398" s="26" t="str">
        <x:v>CHG-RC1-DOC-31</x:v>
      </x:c>
      <x:c r="AB398" s="26" t="str">
        <x:v>DEFINED / NOT EXECUTED</x:v>
      </x:c>
    </x:row>
    <x:row r="399" ht="30" customHeight="1">
      <x:c r="A399" s="26" t="str">
        <x:v>Release</x:v>
      </x:c>
      <x:c r="B399" s="26" t="str">
        <x:v>REL-SEC-006</x:v>
      </x:c>
      <x:c r="C399" s="26" t="str">
        <x:v>Seguridad y respuesta a incidentes</x:v>
      </x:c>
      <x:c r="D399" s="26" t="str">
        <x:v>Release readiness</x:v>
      </x:c>
      <x:c r="E399" s="26" t="str">
        <x:v>Los contactos y autoridad para retirar/revertir una build están disponibles durante launch.</x:v>
      </x:c>
      <x:c r="F399" s="26" t="str">
        <x:v>Revisar, ejecutar y registrar evidencia reproducible.</x:v>
      </x:c>
      <x:c r="G399" s="26" t="str">
        <x:v>Cumplimiento verificable antes del gate indicado.</x:v>
      </x:c>
      <x:c r="H399" s="26" t="str">
        <x:v>Launch incident rota.</x:v>
      </x:c>
      <x:c r="I399" s="26" t="str">
        <x:v>27_Security_and_Incident_Response_Plan.md; 33_Project_Risk_Register_and_Business_Continuity_Plan.xlsx (futuro)</x:v>
      </x:c>
      <x:c r="J399" s="26" t="str">
        <x:v>Historical governance/build policies; document 27 consolidates previously distributed controls</x:v>
      </x:c>
      <x:c r="K399" s="26" t="str">
        <x:v>Release</x:v>
      </x:c>
      <x:c r="L399" s="26" t="str">
        <x:v>Yes</x:v>
      </x:c>
      <x:c r="M399" s="26" t="str">
        <x:v>P1</x:v>
      </x:c>
      <x:c r="N399" s="26" t="str">
        <x:v>Security</x:v>
      </x:c>
      <x:c r="O399" s="26" t="str">
        <x:v>Production/Legal</x:v>
      </x:c>
      <x:c r="P399" s="26" t="str">
        <x:v>NOT RUN</x:v>
      </x:c>
      <x:c r="Q399" s="26"/>
      <x:c r="R399" s="26"/>
      <x:c r="S399" s="26"/>
      <x:c r="T399" s="26"/>
      <x:c r="U399" s="26"/>
      <x:c r="V399" s="26"/>
      <x:c r="W399" s="26" t="n">
        <x:v>1</x:v>
      </x:c>
      <x:c r="X399" s="26" t="n">
        <x:v>0</x:v>
      </x:c>
      <x:c r="Y399" s="26" t="n">
        <x:v>1</x:v>
      </x:c>
      <x:c r="Z399" s="26" t="str">
        <x:v>PENDING</x:v>
      </x:c>
      <x:c r="AA399" s="26" t="str">
        <x:v>CHG-RC1-DOC-31</x:v>
      </x:c>
      <x:c r="AB399" s="26" t="str">
        <x:v>DEFINED / NOT EXECUTED</x:v>
      </x:c>
    </x:row>
    <x:row r="400" ht="30" customHeight="1">
      <x:c r="A400" s="26" t="str">
        <x:v>Release</x:v>
      </x:c>
      <x:c r="B400" s="26" t="str">
        <x:v>REL-SEC-007</x:v>
      </x:c>
      <x:c r="C400" s="26" t="str">
        <x:v>Seguridad y respuesta a incidentes</x:v>
      </x:c>
      <x:c r="D400" s="26" t="str">
        <x:v>Release readiness</x:v>
      </x:c>
      <x:c r="E400" s="26" t="str">
        <x:v>Backups de repositorio, Steam config, documentación y builds han sido verificados.</x:v>
      </x:c>
      <x:c r="F400" s="26" t="str">
        <x:v>Revisar, ejecutar y registrar evidencia reproducible.</x:v>
      </x:c>
      <x:c r="G400" s="26" t="str">
        <x:v>Cumplimiento verificable antes del gate indicado.</x:v>
      </x:c>
      <x:c r="H400" s="26" t="str">
        <x:v>Backup restore report.</x:v>
      </x:c>
      <x:c r="I400" s="26" t="str">
        <x:v>27_Security_and_Incident_Response_Plan.md; 33_Project_Risk_Register_and_Business_Continuity_Plan.xlsx (futuro)</x:v>
      </x:c>
      <x:c r="J400" s="26" t="str">
        <x:v>Historical governance/build policies; document 27 consolidates previously distributed controls</x:v>
      </x:c>
      <x:c r="K400" s="26" t="str">
        <x:v>Release</x:v>
      </x:c>
      <x:c r="L400" s="26" t="str">
        <x:v>Yes</x:v>
      </x:c>
      <x:c r="M400" s="26" t="str">
        <x:v>P1</x:v>
      </x:c>
      <x:c r="N400" s="26" t="str">
        <x:v>Security</x:v>
      </x:c>
      <x:c r="O400" s="26" t="str">
        <x:v>Production/Legal</x:v>
      </x:c>
      <x:c r="P400" s="26" t="str">
        <x:v>NOT RUN</x:v>
      </x:c>
      <x:c r="Q400" s="26"/>
      <x:c r="R400" s="26"/>
      <x:c r="S400" s="26"/>
      <x:c r="T400" s="26"/>
      <x:c r="U400" s="26"/>
      <x:c r="V400" s="26"/>
      <x:c r="W400" s="26" t="n">
        <x:v>1</x:v>
      </x:c>
      <x:c r="X400" s="26" t="n">
        <x:v>0</x:v>
      </x:c>
      <x:c r="Y400" s="26" t="n">
        <x:v>1</x:v>
      </x:c>
      <x:c r="Z400" s="26" t="str">
        <x:v>PENDING</x:v>
      </x:c>
      <x:c r="AA400" s="26" t="str">
        <x:v>CHG-RC1-DOC-31</x:v>
      </x:c>
      <x:c r="AB400" s="26" t="str">
        <x:v>DEFINED / NOT EXECUTED</x:v>
      </x:c>
    </x:row>
    <x:row r="401" ht="30" customHeight="1">
      <x:c r="A401" s="26" t="str">
        <x:v>Release</x:v>
      </x:c>
      <x:c r="B401" s="26" t="str">
        <x:v>REL-SEC-008</x:v>
      </x:c>
      <x:c r="C401" s="26" t="str">
        <x:v>Seguridad y respuesta a incidentes</x:v>
      </x:c>
      <x:c r="D401" s="26" t="str">
        <x:v>Release readiness</x:v>
      </x:c>
      <x:c r="E401" s="26" t="str">
        <x:v>Las evidencias y builds se almacenan con integridad y acceso restringido.</x:v>
      </x:c>
      <x:c r="F401" s="26" t="str">
        <x:v>Revisar, ejecutar y registrar evidencia reproducible.</x:v>
      </x:c>
      <x:c r="G401" s="26" t="str">
        <x:v>Cumplimiento verificable antes del gate indicado.</x:v>
      </x:c>
      <x:c r="H401" s="26" t="str">
        <x:v>Artifact storage review.</x:v>
      </x:c>
      <x:c r="I401" s="26" t="str">
        <x:v>27_Security_and_Incident_Response_Plan.md; 33_Project_Risk_Register_and_Business_Continuity_Plan.xlsx (futuro)</x:v>
      </x:c>
      <x:c r="J401" s="26" t="str">
        <x:v>Historical governance/build policies; document 27 consolidates previously distributed controls</x:v>
      </x:c>
      <x:c r="K401" s="26" t="str">
        <x:v>Release</x:v>
      </x:c>
      <x:c r="L401" s="26" t="str">
        <x:v>Yes</x:v>
      </x:c>
      <x:c r="M401" s="26" t="str">
        <x:v>P1</x:v>
      </x:c>
      <x:c r="N401" s="26" t="str">
        <x:v>Security</x:v>
      </x:c>
      <x:c r="O401" s="26" t="str">
        <x:v>Production/Legal</x:v>
      </x:c>
      <x:c r="P401" s="26" t="str">
        <x:v>NOT RUN</x:v>
      </x:c>
      <x:c r="Q401" s="26"/>
      <x:c r="R401" s="26"/>
      <x:c r="S401" s="26"/>
      <x:c r="T401" s="26"/>
      <x:c r="U401" s="26"/>
      <x:c r="V401" s="26"/>
      <x:c r="W401" s="26" t="n">
        <x:v>1</x:v>
      </x:c>
      <x:c r="X401" s="26" t="n">
        <x:v>0</x:v>
      </x:c>
      <x:c r="Y401" s="26" t="n">
        <x:v>1</x:v>
      </x:c>
      <x:c r="Z401" s="26" t="str">
        <x:v>PENDING</x:v>
      </x:c>
      <x:c r="AA401" s="26" t="str">
        <x:v>CHG-RC1-DOC-31</x:v>
      </x:c>
      <x:c r="AB401" s="26" t="str">
        <x:v>DEFINED / NOT EXECUTED</x:v>
      </x:c>
    </x:row>
    <x:row r="402" ht="30" customHeight="1">
      <x:c r="A402" s="26" t="str">
        <x:v>Release</x:v>
      </x:c>
      <x:c r="B402" s="26" t="str">
        <x:v>REL-SEC-009</x:v>
      </x:c>
      <x:c r="C402" s="26" t="str">
        <x:v>Seguridad y respuesta a incidentes</x:v>
      </x:c>
      <x:c r="D402" s="26" t="str">
        <x:v>Release readiness</x:v>
      </x:c>
      <x:c r="E402" s="26" t="str">
        <x:v>La recopilación de crash/telemetría usa transporte y almacenamiento apropiados si se activa.</x:v>
      </x:c>
      <x:c r="F402" s="26" t="str">
        <x:v>Revisar, ejecutar y registrar evidencia reproducible.</x:v>
      </x:c>
      <x:c r="G402" s="26" t="str">
        <x:v>Cumplimiento verificable antes del gate indicado.</x:v>
      </x:c>
      <x:c r="H402" s="26" t="str">
        <x:v>Data security review.</x:v>
      </x:c>
      <x:c r="I402" s="26" t="str">
        <x:v>27_Security_and_Incident_Response_Plan.md; 33_Project_Risk_Register_and_Business_Continuity_Plan.xlsx (futuro)</x:v>
      </x:c>
      <x:c r="J402" s="26" t="str">
        <x:v>Historical governance/build policies; document 27 consolidates previously distributed controls</x:v>
      </x:c>
      <x:c r="K402" s="26" t="str">
        <x:v>Release</x:v>
      </x:c>
      <x:c r="L402" s="26" t="str">
        <x:v>Yes</x:v>
      </x:c>
      <x:c r="M402" s="26" t="str">
        <x:v>P1</x:v>
      </x:c>
      <x:c r="N402" s="26" t="str">
        <x:v>Security</x:v>
      </x:c>
      <x:c r="O402" s="26" t="str">
        <x:v>Production/Legal</x:v>
      </x:c>
      <x:c r="P402" s="26" t="str">
        <x:v>NOT RUN</x:v>
      </x:c>
      <x:c r="Q402" s="26"/>
      <x:c r="R402" s="26"/>
      <x:c r="S402" s="26"/>
      <x:c r="T402" s="26"/>
      <x:c r="U402" s="26"/>
      <x:c r="V402" s="26"/>
      <x:c r="W402" s="26" t="n">
        <x:v>1</x:v>
      </x:c>
      <x:c r="X402" s="26" t="n">
        <x:v>0</x:v>
      </x:c>
      <x:c r="Y402" s="26" t="n">
        <x:v>1</x:v>
      </x:c>
      <x:c r="Z402" s="26" t="str">
        <x:v>PENDING</x:v>
      </x:c>
      <x:c r="AA402" s="26" t="str">
        <x:v>CHG-RC1-DOC-31</x:v>
      </x:c>
      <x:c r="AB402" s="26" t="str">
        <x:v>DEFINED / NOT EXECUTED</x:v>
      </x:c>
    </x:row>
    <x:row r="403" ht="30" customHeight="1">
      <x:c r="A403" s="26" t="str">
        <x:v>Release</x:v>
      </x:c>
      <x:c r="B403" s="26" t="str">
        <x:v>REL-SEC-010</x:v>
      </x:c>
      <x:c r="C403" s="26" t="str">
        <x:v>Seguridad y respuesta a incidentes</x:v>
      </x:c>
      <x:c r="D403" s="26" t="str">
        <x:v>Release readiness</x:v>
      </x:c>
      <x:c r="E403" s="26" t="str">
        <x:v>Las vulnerabilidades conocidas tienen severidad, mitigación y decisión de release.</x:v>
      </x:c>
      <x:c r="F403" s="26" t="str">
        <x:v>Revisar, ejecutar y registrar evidencia reproducible.</x:v>
      </x:c>
      <x:c r="G403" s="26" t="str">
        <x:v>Cumplimiento verificable antes del gate indicado.</x:v>
      </x:c>
      <x:c r="H403" s="26" t="str">
        <x:v>Vulnerability register.</x:v>
      </x:c>
      <x:c r="I403" s="26" t="str">
        <x:v>27_Security_and_Incident_Response_Plan.md; 33_Project_Risk_Register_and_Business_Continuity_Plan.xlsx (futuro)</x:v>
      </x:c>
      <x:c r="J403" s="26" t="str">
        <x:v>Historical governance/build policies; document 27 consolidates previously distributed controls</x:v>
      </x:c>
      <x:c r="K403" s="26" t="str">
        <x:v>Release</x:v>
      </x:c>
      <x:c r="L403" s="26" t="str">
        <x:v>Yes</x:v>
      </x:c>
      <x:c r="M403" s="26" t="str">
        <x:v>P1</x:v>
      </x:c>
      <x:c r="N403" s="26" t="str">
        <x:v>Security</x:v>
      </x:c>
      <x:c r="O403" s="26" t="str">
        <x:v>Production/Legal</x:v>
      </x:c>
      <x:c r="P403" s="26" t="str">
        <x:v>NOT RUN</x:v>
      </x:c>
      <x:c r="Q403" s="26"/>
      <x:c r="R403" s="26"/>
      <x:c r="S403" s="26"/>
      <x:c r="T403" s="26"/>
      <x:c r="U403" s="26"/>
      <x:c r="V403" s="26"/>
      <x:c r="W403" s="26" t="n">
        <x:v>1</x:v>
      </x:c>
      <x:c r="X403" s="26" t="n">
        <x:v>0</x:v>
      </x:c>
      <x:c r="Y403" s="26" t="n">
        <x:v>1</x:v>
      </x:c>
      <x:c r="Z403" s="26" t="str">
        <x:v>PENDING</x:v>
      </x:c>
      <x:c r="AA403" s="26" t="str">
        <x:v>CHG-RC1-DOC-31</x:v>
      </x:c>
      <x:c r="AB403" s="26" t="str">
        <x:v>DEFINED / NOT EXECUTED</x:v>
      </x:c>
    </x:row>
    <x:row r="404" ht="30" customHeight="1">
      <x:c r="A404" s="26" t="str">
        <x:v>Release</x:v>
      </x:c>
      <x:c r="B404" s="26" t="str">
        <x:v>REL-SEC-011</x:v>
      </x:c>
      <x:c r="C404" s="26" t="str">
        <x:v>Seguridad y respuesta a incidentes</x:v>
      </x:c>
      <x:c r="D404" s="26" t="str">
        <x:v>Release readiness</x:v>
      </x:c>
      <x:c r="E404" s="26" t="str">
        <x:v>Se ensaya un tabletop de incidente de lanzamiento.</x:v>
      </x:c>
      <x:c r="F404" s="26" t="str">
        <x:v>Revisar, ejecutar y registrar evidencia reproducible.</x:v>
      </x:c>
      <x:c r="G404" s="26" t="str">
        <x:v>Cumplimiento verificable antes del gate indicado.</x:v>
      </x:c>
      <x:c r="H404" s="26" t="str">
        <x:v>Tabletop report.</x:v>
      </x:c>
      <x:c r="I404" s="26" t="str">
        <x:v>27_Security_and_Incident_Response_Plan.md; 33_Project_Risk_Register_and_Business_Continuity_Plan.xlsx (futuro)</x:v>
      </x:c>
      <x:c r="J404" s="26" t="str">
        <x:v>Historical governance/build policies; document 27 consolidates previously distributed controls</x:v>
      </x:c>
      <x:c r="K404" s="26" t="str">
        <x:v>Release</x:v>
      </x:c>
      <x:c r="L404" s="26" t="str">
        <x:v>Yes</x:v>
      </x:c>
      <x:c r="M404" s="26" t="str">
        <x:v>P1</x:v>
      </x:c>
      <x:c r="N404" s="26" t="str">
        <x:v>Security</x:v>
      </x:c>
      <x:c r="O404" s="26" t="str">
        <x:v>Production/Legal</x:v>
      </x:c>
      <x:c r="P404" s="26" t="str">
        <x:v>NOT RUN</x:v>
      </x:c>
      <x:c r="Q404" s="26"/>
      <x:c r="R404" s="26"/>
      <x:c r="S404" s="26"/>
      <x:c r="T404" s="26"/>
      <x:c r="U404" s="26"/>
      <x:c r="V404" s="26"/>
      <x:c r="W404" s="26" t="n">
        <x:v>1</x:v>
      </x:c>
      <x:c r="X404" s="26" t="n">
        <x:v>0</x:v>
      </x:c>
      <x:c r="Y404" s="26" t="n">
        <x:v>1</x:v>
      </x:c>
      <x:c r="Z404" s="26" t="str">
        <x:v>PENDING</x:v>
      </x:c>
      <x:c r="AA404" s="26" t="str">
        <x:v>CHG-RC1-DOC-31</x:v>
      </x:c>
      <x:c r="AB404" s="26" t="str">
        <x:v>DEFINED / NOT EXECUTED</x:v>
      </x:c>
    </x:row>
    <x:row r="405" ht="30" customHeight="1">
      <x:c r="A405" s="26" t="str">
        <x:v>Release</x:v>
      </x:c>
      <x:c r="B405" s="26" t="str">
        <x:v>REL-SEC-012</x:v>
      </x:c>
      <x:c r="C405" s="26" t="str">
        <x:v>Seguridad y respuesta a incidentes</x:v>
      </x:c>
      <x:c r="D405" s="26" t="str">
        <x:v>Release readiness</x:v>
      </x:c>
      <x:c r="E405" s="26" t="str">
        <x:v>El canal de reporte de seguridad/soporte está preparado y no promete SLA inexistentes.</x:v>
      </x:c>
      <x:c r="F405" s="26" t="str">
        <x:v>Revisar, ejecutar y registrar evidencia reproducible.</x:v>
      </x:c>
      <x:c r="G405" s="26" t="str">
        <x:v>Cumplimiento verificable antes del gate indicado.</x:v>
      </x:c>
      <x:c r="H405" s="26" t="str">
        <x:v>Security contact content.</x:v>
      </x:c>
      <x:c r="I405" s="26" t="str">
        <x:v>27_Security_and_Incident_Response_Plan.md; 33_Project_Risk_Register_and_Business_Continuity_Plan.xlsx (futuro)</x:v>
      </x:c>
      <x:c r="J405" s="26" t="str">
        <x:v>Historical governance/build policies; document 27 consolidates previously distributed controls</x:v>
      </x:c>
      <x:c r="K405" s="26" t="str">
        <x:v>Release</x:v>
      </x:c>
      <x:c r="L405" s="26" t="str">
        <x:v>Yes</x:v>
      </x:c>
      <x:c r="M405" s="26" t="str">
        <x:v>P1</x:v>
      </x:c>
      <x:c r="N405" s="26" t="str">
        <x:v>Security</x:v>
      </x:c>
      <x:c r="O405" s="26" t="str">
        <x:v>Production/Legal</x:v>
      </x:c>
      <x:c r="P405" s="26" t="str">
        <x:v>NOT RUN</x:v>
      </x:c>
      <x:c r="Q405" s="26"/>
      <x:c r="R405" s="26"/>
      <x:c r="S405" s="26"/>
      <x:c r="T405" s="26"/>
      <x:c r="U405" s="26"/>
      <x:c r="V405" s="26"/>
      <x:c r="W405" s="26" t="n">
        <x:v>1</x:v>
      </x:c>
      <x:c r="X405" s="26" t="n">
        <x:v>0</x:v>
      </x:c>
      <x:c r="Y405" s="26" t="n">
        <x:v>1</x:v>
      </x:c>
      <x:c r="Z405" s="26" t="str">
        <x:v>PENDING</x:v>
      </x:c>
      <x:c r="AA405" s="26" t="str">
        <x:v>CHG-RC1-DOC-31</x:v>
      </x:c>
      <x:c r="AB405" s="26" t="str">
        <x:v>DEFINED / NOT EXECUTED</x:v>
      </x:c>
    </x:row>
    <x:row r="406" ht="30" customHeight="1">
      <x:c r="A406" s="26" t="str">
        <x:v>Release</x:v>
      </x:c>
      <x:c r="B406" s="26" t="str">
        <x:v>REL-MKT-001</x:v>
      </x:c>
      <x:c r="C406" s="26" t="str">
        <x:v>Marketing y comunicación</x:v>
      </x:c>
      <x:c r="D406" s="26" t="str">
        <x:v>Release readiness</x:v>
      </x:c>
      <x:c r="E406" s="26" t="str">
        <x:v>La campaña pública solo se abre tras gates de naming, producto, build, legal y capacidad.</x:v>
      </x:c>
      <x:c r="F406" s="26" t="str">
        <x:v>Revisar, ejecutar y registrar evidencia reproducible.</x:v>
      </x:c>
      <x:c r="G406" s="26" t="str">
        <x:v>Cumplimiento verificable antes del gate indicado.</x:v>
      </x:c>
      <x:c r="H406" s="26" t="str">
        <x:v>Campaign opening signoff.</x:v>
      </x:c>
      <x:c r="I406" s="26" t="str">
        <x:v>28_Marketing_and_Communication_Plan.md; 24_Steam_Publishing_Plan.md</x:v>
      </x:c>
      <x:c r="J406" s="26" t="str">
        <x:v>Marketing Plan v0.3, v0.4, v0.5 plus historical Steam plans</x:v>
      </x:c>
      <x:c r="K406" s="26" t="str">
        <x:v>Release</x:v>
      </x:c>
      <x:c r="L406" s="26" t="str">
        <x:v>Yes</x:v>
      </x:c>
      <x:c r="M406" s="26" t="str">
        <x:v>P0</x:v>
      </x:c>
      <x:c r="N406" s="26" t="str">
        <x:v>Marketing/Community</x:v>
      </x:c>
      <x:c r="O406" s="26" t="str">
        <x:v>Product/Legal/Production</x:v>
      </x:c>
      <x:c r="P406" s="26" t="str">
        <x:v>NOT RUN</x:v>
      </x:c>
      <x:c r="Q406" s="26"/>
      <x:c r="R406" s="26"/>
      <x:c r="S406" s="26"/>
      <x:c r="T406" s="26"/>
      <x:c r="U406" s="26"/>
      <x:c r="V406" s="26"/>
      <x:c r="W406" s="26" t="n">
        <x:v>1</x:v>
      </x:c>
      <x:c r="X406" s="26" t="n">
        <x:v>0</x:v>
      </x:c>
      <x:c r="Y406" s="26" t="n">
        <x:v>1</x:v>
      </x:c>
      <x:c r="Z406" s="26" t="str">
        <x:v>PENDING</x:v>
      </x:c>
      <x:c r="AA406" s="26" t="str">
        <x:v>CHG-RC1-DOC-31</x:v>
      </x:c>
      <x:c r="AB406" s="26" t="str">
        <x:v>DEFINED / NOT EXECUTED</x:v>
      </x:c>
    </x:row>
    <x:row r="407" ht="30" customHeight="1">
      <x:c r="A407" s="26" t="str">
        <x:v>Release</x:v>
      </x:c>
      <x:c r="B407" s="26" t="str">
        <x:v>REL-MKT-002</x:v>
      </x:c>
      <x:c r="C407" s="26" t="str">
        <x:v>Marketing y comunicación</x:v>
      </x:c>
      <x:c r="D407" s="26" t="str">
        <x:v>Release readiness</x:v>
      </x:c>
      <x:c r="E407" s="26" t="str">
        <x:v>La casa de mensajes y claims se vincula a evidencia del producto.</x:v>
      </x:c>
      <x:c r="F407" s="26" t="str">
        <x:v>Revisar, ejecutar y registrar evidencia reproducible.</x:v>
      </x:c>
      <x:c r="G407" s="26" t="str">
        <x:v>Cumplimiento verificable antes del gate indicado.</x:v>
      </x:c>
      <x:c r="H407" s="26" t="str">
        <x:v>Claims/evidence matrix.</x:v>
      </x:c>
      <x:c r="I407" s="26" t="str">
        <x:v>28_Marketing_and_Communication_Plan.md; 24_Steam_Publishing_Plan.md</x:v>
      </x:c>
      <x:c r="J407" s="26" t="str">
        <x:v>Marketing Plan v0.3, v0.4, v0.5 plus historical Steam plans</x:v>
      </x:c>
      <x:c r="K407" s="26" t="str">
        <x:v>Release</x:v>
      </x:c>
      <x:c r="L407" s="26" t="str">
        <x:v>Yes</x:v>
      </x:c>
      <x:c r="M407" s="26" t="str">
        <x:v>P1</x:v>
      </x:c>
      <x:c r="N407" s="26" t="str">
        <x:v>Marketing/Community</x:v>
      </x:c>
      <x:c r="O407" s="26" t="str">
        <x:v>Product/Legal/Production</x:v>
      </x:c>
      <x:c r="P407" s="26" t="str">
        <x:v>NOT RUN</x:v>
      </x:c>
      <x:c r="Q407" s="26"/>
      <x:c r="R407" s="26"/>
      <x:c r="S407" s="26"/>
      <x:c r="T407" s="26"/>
      <x:c r="U407" s="26"/>
      <x:c r="V407" s="26"/>
      <x:c r="W407" s="26" t="n">
        <x:v>1</x:v>
      </x:c>
      <x:c r="X407" s="26" t="n">
        <x:v>0</x:v>
      </x:c>
      <x:c r="Y407" s="26" t="n">
        <x:v>1</x:v>
      </x:c>
      <x:c r="Z407" s="26" t="str">
        <x:v>PENDING</x:v>
      </x:c>
      <x:c r="AA407" s="26" t="str">
        <x:v>CHG-RC1-DOC-31</x:v>
      </x:c>
      <x:c r="AB407" s="26" t="str">
        <x:v>DEFINED / NOT EXECUTED</x:v>
      </x:c>
    </x:row>
    <x:row r="408" ht="30" customHeight="1">
      <x:c r="A408" s="26" t="str">
        <x:v>Release</x:v>
      </x:c>
      <x:c r="B408" s="26" t="str">
        <x:v>REL-MKT-003</x:v>
      </x:c>
      <x:c r="C408" s="26" t="str">
        <x:v>Marketing y comunicación</x:v>
      </x:c>
      <x:c r="D408" s="26" t="str">
        <x:v>Release readiness</x:v>
      </x:c>
      <x:c r="E408" s="26" t="str">
        <x:v>Key art, cápsulas, screenshots, GIFs y trailer usan assets aprobados y coherentes.</x:v>
      </x:c>
      <x:c r="F408" s="26" t="str">
        <x:v>Revisar, ejecutar y registrar evidencia reproducible.</x:v>
      </x:c>
      <x:c r="G408" s="26" t="str">
        <x:v>Cumplimiento verificable antes del gate indicado.</x:v>
      </x:c>
      <x:c r="H408" s="26" t="str">
        <x:v>Marketing asset manifest.</x:v>
      </x:c>
      <x:c r="I408" s="26" t="str">
        <x:v>28_Marketing_and_Communication_Plan.md; 24_Steam_Publishing_Plan.md</x:v>
      </x:c>
      <x:c r="J408" s="26" t="str">
        <x:v>Marketing Plan v0.3, v0.4, v0.5 plus historical Steam plans</x:v>
      </x:c>
      <x:c r="K408" s="26" t="str">
        <x:v>Release</x:v>
      </x:c>
      <x:c r="L408" s="26" t="str">
        <x:v>Yes</x:v>
      </x:c>
      <x:c r="M408" s="26" t="str">
        <x:v>P1</x:v>
      </x:c>
      <x:c r="N408" s="26" t="str">
        <x:v>Marketing/Community</x:v>
      </x:c>
      <x:c r="O408" s="26" t="str">
        <x:v>Product/Legal/Production</x:v>
      </x:c>
      <x:c r="P408" s="26" t="str">
        <x:v>NOT RUN</x:v>
      </x:c>
      <x:c r="Q408" s="26"/>
      <x:c r="R408" s="26"/>
      <x:c r="S408" s="26"/>
      <x:c r="T408" s="26"/>
      <x:c r="U408" s="26"/>
      <x:c r="V408" s="26"/>
      <x:c r="W408" s="26" t="n">
        <x:v>1</x:v>
      </x:c>
      <x:c r="X408" s="26" t="n">
        <x:v>0</x:v>
      </x:c>
      <x:c r="Y408" s="26" t="n">
        <x:v>1</x:v>
      </x:c>
      <x:c r="Z408" s="26" t="str">
        <x:v>PENDING</x:v>
      </x:c>
      <x:c r="AA408" s="26" t="str">
        <x:v>CHG-RC1-DOC-31</x:v>
      </x:c>
      <x:c r="AB408" s="26" t="str">
        <x:v>DEFINED / NOT EXECUTED</x:v>
      </x:c>
    </x:row>
    <x:row r="409" ht="30" customHeight="1">
      <x:c r="A409" s="26" t="str">
        <x:v>Release</x:v>
      </x:c>
      <x:c r="B409" s="26" t="str">
        <x:v>REL-MKT-004</x:v>
      </x:c>
      <x:c r="C409" s="26" t="str">
        <x:v>Marketing y comunicación</x:v>
      </x:c>
      <x:c r="D409" s="26" t="str">
        <x:v>Release readiness</x:v>
      </x:c>
      <x:c r="E409" s="26" t="str">
        <x:v>El calendario editorial no compromete tareas críticas de QA/release.</x:v>
      </x:c>
      <x:c r="F409" s="26" t="str">
        <x:v>Revisar, ejecutar y registrar evidencia reproducible.</x:v>
      </x:c>
      <x:c r="G409" s="26" t="str">
        <x:v>Cumplimiento verificable antes del gate indicado.</x:v>
      </x:c>
      <x:c r="H409" s="26" t="str">
        <x:v>Capacity review.</x:v>
      </x:c>
      <x:c r="I409" s="26" t="str">
        <x:v>28_Marketing_and_Communication_Plan.md; 24_Steam_Publishing_Plan.md</x:v>
      </x:c>
      <x:c r="J409" s="26" t="str">
        <x:v>Marketing Plan v0.3, v0.4, v0.5 plus historical Steam plans</x:v>
      </x:c>
      <x:c r="K409" s="26" t="str">
        <x:v>Release</x:v>
      </x:c>
      <x:c r="L409" s="26" t="str">
        <x:v>Yes</x:v>
      </x:c>
      <x:c r="M409" s="26" t="str">
        <x:v>P1</x:v>
      </x:c>
      <x:c r="N409" s="26" t="str">
        <x:v>Marketing/Community</x:v>
      </x:c>
      <x:c r="O409" s="26" t="str">
        <x:v>Product/Legal/Production</x:v>
      </x:c>
      <x:c r="P409" s="26" t="str">
        <x:v>NOT RUN</x:v>
      </x:c>
      <x:c r="Q409" s="26"/>
      <x:c r="R409" s="26"/>
      <x:c r="S409" s="26"/>
      <x:c r="T409" s="26"/>
      <x:c r="U409" s="26"/>
      <x:c r="V409" s="26"/>
      <x:c r="W409" s="26" t="n">
        <x:v>1</x:v>
      </x:c>
      <x:c r="X409" s="26" t="n">
        <x:v>0</x:v>
      </x:c>
      <x:c r="Y409" s="26" t="n">
        <x:v>1</x:v>
      </x:c>
      <x:c r="Z409" s="26" t="str">
        <x:v>PENDING</x:v>
      </x:c>
      <x:c r="AA409" s="26" t="str">
        <x:v>CHG-RC1-DOC-31</x:v>
      </x:c>
      <x:c r="AB409" s="26" t="str">
        <x:v>DEFINED / NOT EXECUTED</x:v>
      </x:c>
    </x:row>
    <x:row r="410" ht="30" customHeight="1">
      <x:c r="A410" s="26" t="str">
        <x:v>Release</x:v>
      </x:c>
      <x:c r="B410" s="26" t="str">
        <x:v>REL-MKT-005</x:v>
      </x:c>
      <x:c r="C410" s="26" t="str">
        <x:v>Marketing y comunicación</x:v>
      </x:c>
      <x:c r="D410" s="26" t="str">
        <x:v>Release readiness</x:v>
      </x:c>
      <x:c r="E410" s="26" t="str">
        <x:v>Los canales oficiales, bios y enlaces presentan información consistente.</x:v>
      </x:c>
      <x:c r="F410" s="26" t="str">
        <x:v>Revisar, ejecutar y registrar evidencia reproducible.</x:v>
      </x:c>
      <x:c r="G410" s="26" t="str">
        <x:v>Cumplimiento verificable antes del gate indicado.</x:v>
      </x:c>
      <x:c r="H410" s="26" t="str">
        <x:v>Channel audit.</x:v>
      </x:c>
      <x:c r="I410" s="26" t="str">
        <x:v>28_Marketing_and_Communication_Plan.md; 24_Steam_Publishing_Plan.md</x:v>
      </x:c>
      <x:c r="J410" s="26" t="str">
        <x:v>Marketing Plan v0.3, v0.4, v0.5 plus historical Steam plans</x:v>
      </x:c>
      <x:c r="K410" s="26" t="str">
        <x:v>Release</x:v>
      </x:c>
      <x:c r="L410" s="26" t="str">
        <x:v>Yes</x:v>
      </x:c>
      <x:c r="M410" s="26" t="str">
        <x:v>P1</x:v>
      </x:c>
      <x:c r="N410" s="26" t="str">
        <x:v>Marketing/Community</x:v>
      </x:c>
      <x:c r="O410" s="26" t="str">
        <x:v>Product/Legal/Production</x:v>
      </x:c>
      <x:c r="P410" s="26" t="str">
        <x:v>NOT RUN</x:v>
      </x:c>
      <x:c r="Q410" s="26"/>
      <x:c r="R410" s="26"/>
      <x:c r="S410" s="26"/>
      <x:c r="T410" s="26"/>
      <x:c r="U410" s="26"/>
      <x:c r="V410" s="26"/>
      <x:c r="W410" s="26" t="n">
        <x:v>1</x:v>
      </x:c>
      <x:c r="X410" s="26" t="n">
        <x:v>0</x:v>
      </x:c>
      <x:c r="Y410" s="26" t="n">
        <x:v>1</x:v>
      </x:c>
      <x:c r="Z410" s="26" t="str">
        <x:v>PENDING</x:v>
      </x:c>
      <x:c r="AA410" s="26" t="str">
        <x:v>CHG-RC1-DOC-31</x:v>
      </x:c>
      <x:c r="AB410" s="26" t="str">
        <x:v>DEFINED / NOT EXECUTED</x:v>
      </x:c>
    </x:row>
    <x:row r="411" ht="30" customHeight="1">
      <x:c r="A411" s="26" t="str">
        <x:v>Release</x:v>
      </x:c>
      <x:c r="B411" s="26" t="str">
        <x:v>REL-MKT-006</x:v>
      </x:c>
      <x:c r="C411" s="26" t="str">
        <x:v>Marketing y comunicación</x:v>
      </x:c>
      <x:c r="D411" s="26" t="str">
        <x:v>Release readiness</x:v>
      </x:c>
      <x:c r="E411" s="26" t="str">
        <x:v>La press kit contiene logo, descripción, factsheet, media y contacto vigentes.</x:v>
      </x:c>
      <x:c r="F411" s="26" t="str">
        <x:v>Revisar, ejecutar y registrar evidencia reproducible.</x:v>
      </x:c>
      <x:c r="G411" s="26" t="str">
        <x:v>Cumplimiento verificable antes del gate indicado.</x:v>
      </x:c>
      <x:c r="H411" s="26" t="str">
        <x:v>Press kit validation.</x:v>
      </x:c>
      <x:c r="I411" s="26" t="str">
        <x:v>28_Marketing_and_Communication_Plan.md; 24_Steam_Publishing_Plan.md</x:v>
      </x:c>
      <x:c r="J411" s="26" t="str">
        <x:v>Marketing Plan v0.3, v0.4, v0.5 plus historical Steam plans</x:v>
      </x:c>
      <x:c r="K411" s="26" t="str">
        <x:v>Release</x:v>
      </x:c>
      <x:c r="L411" s="26" t="str">
        <x:v>Yes</x:v>
      </x:c>
      <x:c r="M411" s="26" t="str">
        <x:v>P1</x:v>
      </x:c>
      <x:c r="N411" s="26" t="str">
        <x:v>Marketing/Community</x:v>
      </x:c>
      <x:c r="O411" s="26" t="str">
        <x:v>Product/Legal/Production</x:v>
      </x:c>
      <x:c r="P411" s="26" t="str">
        <x:v>NOT RUN</x:v>
      </x:c>
      <x:c r="Q411" s="26"/>
      <x:c r="R411" s="26"/>
      <x:c r="S411" s="26"/>
      <x:c r="T411" s="26"/>
      <x:c r="U411" s="26"/>
      <x:c r="V411" s="26"/>
      <x:c r="W411" s="26" t="n">
        <x:v>1</x:v>
      </x:c>
      <x:c r="X411" s="26" t="n">
        <x:v>0</x:v>
      </x:c>
      <x:c r="Y411" s="26" t="n">
        <x:v>1</x:v>
      </x:c>
      <x:c r="Z411" s="26" t="str">
        <x:v>PENDING</x:v>
      </x:c>
      <x:c r="AA411" s="26" t="str">
        <x:v>CHG-RC1-DOC-31</x:v>
      </x:c>
      <x:c r="AB411" s="26" t="str">
        <x:v>DEFINED / NOT EXECUTED</x:v>
      </x:c>
    </x:row>
    <x:row r="412" ht="30" customHeight="1">
      <x:c r="A412" s="26" t="str">
        <x:v>Release</x:v>
      </x:c>
      <x:c r="B412" s="26" t="str">
        <x:v>REL-MKT-007</x:v>
      </x:c>
      <x:c r="C412" s="26" t="str">
        <x:v>Marketing y comunicación</x:v>
      </x:c>
      <x:c r="D412" s="26" t="str">
        <x:v>Release readiness</x:v>
      </x:c>
      <x:c r="E412" s="26" t="str">
        <x:v>Las listas de prensa/creadores respetan privacidad y preferencias de contacto.</x:v>
      </x:c>
      <x:c r="F412" s="26" t="str">
        <x:v>Revisar, ejecutar y registrar evidencia reproducible.</x:v>
      </x:c>
      <x:c r="G412" s="26" t="str">
        <x:v>Cumplimiento verificable antes del gate indicado.</x:v>
      </x:c>
      <x:c r="H412" s="26" t="str">
        <x:v>Outreach data review.</x:v>
      </x:c>
      <x:c r="I412" s="26" t="str">
        <x:v>28_Marketing_and_Communication_Plan.md; 24_Steam_Publishing_Plan.md</x:v>
      </x:c>
      <x:c r="J412" s="26" t="str">
        <x:v>Marketing Plan v0.3, v0.4, v0.5 plus historical Steam plans</x:v>
      </x:c>
      <x:c r="K412" s="26" t="str">
        <x:v>Release</x:v>
      </x:c>
      <x:c r="L412" s="26" t="str">
        <x:v>Yes</x:v>
      </x:c>
      <x:c r="M412" s="26" t="str">
        <x:v>P1</x:v>
      </x:c>
      <x:c r="N412" s="26" t="str">
        <x:v>Marketing/Community</x:v>
      </x:c>
      <x:c r="O412" s="26" t="str">
        <x:v>Product/Legal/Production</x:v>
      </x:c>
      <x:c r="P412" s="26" t="str">
        <x:v>NOT RUN</x:v>
      </x:c>
      <x:c r="Q412" s="26"/>
      <x:c r="R412" s="26"/>
      <x:c r="S412" s="26"/>
      <x:c r="T412" s="26"/>
      <x:c r="U412" s="26"/>
      <x:c r="V412" s="26"/>
      <x:c r="W412" s="26" t="n">
        <x:v>1</x:v>
      </x:c>
      <x:c r="X412" s="26" t="n">
        <x:v>0</x:v>
      </x:c>
      <x:c r="Y412" s="26" t="n">
        <x:v>1</x:v>
      </x:c>
      <x:c r="Z412" s="26" t="str">
        <x:v>PENDING</x:v>
      </x:c>
      <x:c r="AA412" s="26" t="str">
        <x:v>CHG-RC1-DOC-31</x:v>
      </x:c>
      <x:c r="AB412" s="26" t="str">
        <x:v>DEFINED / NOT EXECUTED</x:v>
      </x:c>
    </x:row>
    <x:row r="413" ht="30" customHeight="1">
      <x:c r="A413" s="26" t="str">
        <x:v>Release</x:v>
      </x:c>
      <x:c r="B413" s="26" t="str">
        <x:v>REL-MKT-008</x:v>
      </x:c>
      <x:c r="C413" s="26" t="str">
        <x:v>Marketing y comunicación</x:v>
      </x:c>
      <x:c r="D413" s="26" t="str">
        <x:v>Release readiness</x:v>
      </x:c>
      <x:c r="E413" s="26" t="str">
        <x:v>Los embargos, claves y builds de review tienen control de acceso y tracking.</x:v>
      </x:c>
      <x:c r="F413" s="26" t="str">
        <x:v>Revisar, ejecutar y registrar evidencia reproducible.</x:v>
      </x:c>
      <x:c r="G413" s="26" t="str">
        <x:v>Cumplimiento verificable antes del gate indicado.</x:v>
      </x:c>
      <x:c r="H413" s="26" t="str">
        <x:v>Review key/build register.</x:v>
      </x:c>
      <x:c r="I413" s="26" t="str">
        <x:v>28_Marketing_and_Communication_Plan.md; 24_Steam_Publishing_Plan.md</x:v>
      </x:c>
      <x:c r="J413" s="26" t="str">
        <x:v>Marketing Plan v0.3, v0.4, v0.5 plus historical Steam plans</x:v>
      </x:c>
      <x:c r="K413" s="26" t="str">
        <x:v>Release</x:v>
      </x:c>
      <x:c r="L413" s="26" t="str">
        <x:v>Yes</x:v>
      </x:c>
      <x:c r="M413" s="26" t="str">
        <x:v>P1</x:v>
      </x:c>
      <x:c r="N413" s="26" t="str">
        <x:v>Marketing/Community</x:v>
      </x:c>
      <x:c r="O413" s="26" t="str">
        <x:v>Product/Legal/Production</x:v>
      </x:c>
      <x:c r="P413" s="26" t="str">
        <x:v>NOT RUN</x:v>
      </x:c>
      <x:c r="Q413" s="26"/>
      <x:c r="R413" s="26"/>
      <x:c r="S413" s="26"/>
      <x:c r="T413" s="26"/>
      <x:c r="U413" s="26"/>
      <x:c r="V413" s="26"/>
      <x:c r="W413" s="26" t="n">
        <x:v>1</x:v>
      </x:c>
      <x:c r="X413" s="26" t="n">
        <x:v>0</x:v>
      </x:c>
      <x:c r="Y413" s="26" t="n">
        <x:v>1</x:v>
      </x:c>
      <x:c r="Z413" s="26" t="str">
        <x:v>PENDING</x:v>
      </x:c>
      <x:c r="AA413" s="26" t="str">
        <x:v>CHG-RC1-DOC-31</x:v>
      </x:c>
      <x:c r="AB413" s="26" t="str">
        <x:v>DEFINED / NOT EXECUTED</x:v>
      </x:c>
    </x:row>
    <x:row r="414" ht="30" customHeight="1">
      <x:c r="A414" s="26" t="str">
        <x:v>Release</x:v>
      </x:c>
      <x:c r="B414" s="26" t="str">
        <x:v>REL-MKT-009</x:v>
      </x:c>
      <x:c r="C414" s="26" t="str">
        <x:v>Marketing y comunicación</x:v>
      </x:c>
      <x:c r="D414" s="26" t="str">
        <x:v>Release readiness</x:v>
      </x:c>
      <x:c r="E414" s="26" t="str">
        <x:v>Los creadores reciben instrucciones y disclaimers coherentes con el estado del juego.</x:v>
      </x:c>
      <x:c r="F414" s="26" t="str">
        <x:v>Revisar, ejecutar y registrar evidencia reproducible.</x:v>
      </x:c>
      <x:c r="G414" s="26" t="str">
        <x:v>Cumplimiento verificable antes del gate indicado.</x:v>
      </x:c>
      <x:c r="H414" s="26" t="str">
        <x:v>Creator brief.</x:v>
      </x:c>
      <x:c r="I414" s="26" t="str">
        <x:v>28_Marketing_and_Communication_Plan.md; 24_Steam_Publishing_Plan.md</x:v>
      </x:c>
      <x:c r="J414" s="26" t="str">
        <x:v>Marketing Plan v0.3, v0.4, v0.5 plus historical Steam plans</x:v>
      </x:c>
      <x:c r="K414" s="26" t="str">
        <x:v>Release</x:v>
      </x:c>
      <x:c r="L414" s="26" t="str">
        <x:v>Yes</x:v>
      </x:c>
      <x:c r="M414" s="26" t="str">
        <x:v>P1</x:v>
      </x:c>
      <x:c r="N414" s="26" t="str">
        <x:v>Marketing/Community</x:v>
      </x:c>
      <x:c r="O414" s="26" t="str">
        <x:v>Product/Legal/Production</x:v>
      </x:c>
      <x:c r="P414" s="26" t="str">
        <x:v>NOT RUN</x:v>
      </x:c>
      <x:c r="Q414" s="26"/>
      <x:c r="R414" s="26"/>
      <x:c r="S414" s="26"/>
      <x:c r="T414" s="26"/>
      <x:c r="U414" s="26"/>
      <x:c r="V414" s="26"/>
      <x:c r="W414" s="26" t="n">
        <x:v>1</x:v>
      </x:c>
      <x:c r="X414" s="26" t="n">
        <x:v>0</x:v>
      </x:c>
      <x:c r="Y414" s="26" t="n">
        <x:v>1</x:v>
      </x:c>
      <x:c r="Z414" s="26" t="str">
        <x:v>PENDING</x:v>
      </x:c>
      <x:c r="AA414" s="26" t="str">
        <x:v>CHG-RC1-DOC-31</x:v>
      </x:c>
      <x:c r="AB414" s="26" t="str">
        <x:v>DEFINED / NOT EXECUTED</x:v>
      </x:c>
    </x:row>
    <x:row r="415" ht="30" customHeight="1">
      <x:c r="A415" s="26" t="str">
        <x:v>Release</x:v>
      </x:c>
      <x:c r="B415" s="26" t="str">
        <x:v>REL-MKT-010</x:v>
      </x:c>
      <x:c r="C415" s="26" t="str">
        <x:v>Marketing y comunicación</x:v>
      </x:c>
      <x:c r="D415" s="26" t="str">
        <x:v>Release readiness</x:v>
      </x:c>
      <x:c r="E415" s="26" t="str">
        <x:v>Las métricas de campaña tienen definiciones, fuentes y no incentivan spam.</x:v>
      </x:c>
      <x:c r="F415" s="26" t="str">
        <x:v>Revisar, ejecutar y registrar evidencia reproducible.</x:v>
      </x:c>
      <x:c r="G415" s="26" t="str">
        <x:v>Cumplimiento verificable antes del gate indicado.</x:v>
      </x:c>
      <x:c r="H415" s="26" t="str">
        <x:v>Marketing measurement plan.</x:v>
      </x:c>
      <x:c r="I415" s="26" t="str">
        <x:v>28_Marketing_and_Communication_Plan.md; 24_Steam_Publishing_Plan.md</x:v>
      </x:c>
      <x:c r="J415" s="26" t="str">
        <x:v>Marketing Plan v0.3, v0.4, v0.5 plus historical Steam plans</x:v>
      </x:c>
      <x:c r="K415" s="26" t="str">
        <x:v>Release</x:v>
      </x:c>
      <x:c r="L415" s="26" t="str">
        <x:v>Yes</x:v>
      </x:c>
      <x:c r="M415" s="26" t="str">
        <x:v>P1</x:v>
      </x:c>
      <x:c r="N415" s="26" t="str">
        <x:v>Marketing/Community</x:v>
      </x:c>
      <x:c r="O415" s="26" t="str">
        <x:v>Product/Legal/Production</x:v>
      </x:c>
      <x:c r="P415" s="26" t="str">
        <x:v>NOT RUN</x:v>
      </x:c>
      <x:c r="Q415" s="26"/>
      <x:c r="R415" s="26"/>
      <x:c r="S415" s="26"/>
      <x:c r="T415" s="26"/>
      <x:c r="U415" s="26"/>
      <x:c r="V415" s="26"/>
      <x:c r="W415" s="26" t="n">
        <x:v>1</x:v>
      </x:c>
      <x:c r="X415" s="26" t="n">
        <x:v>0</x:v>
      </x:c>
      <x:c r="Y415" s="26" t="n">
        <x:v>1</x:v>
      </x:c>
      <x:c r="Z415" s="26" t="str">
        <x:v>PENDING</x:v>
      </x:c>
      <x:c r="AA415" s="26" t="str">
        <x:v>CHG-RC1-DOC-31</x:v>
      </x:c>
      <x:c r="AB415" s="26" t="str">
        <x:v>DEFINED / NOT EXECUTED</x:v>
      </x:c>
    </x:row>
    <x:row r="416" ht="30" customHeight="1">
      <x:c r="A416" s="26" t="str">
        <x:v>Release</x:v>
      </x:c>
      <x:c r="B416" s="26" t="str">
        <x:v>REL-MKT-011</x:v>
      </x:c>
      <x:c r="C416" s="26" t="str">
        <x:v>Marketing y comunicación</x:v>
      </x:c>
      <x:c r="D416" s="26" t="str">
        <x:v>Release readiness</x:v>
      </x:c>
      <x:c r="E416" s="26" t="str">
        <x:v>La comunicación de retrasos, bugs o incidentes tiene plantillas y aprobación.</x:v>
      </x:c>
      <x:c r="F416" s="26" t="str">
        <x:v>Revisar, ejecutar y registrar evidencia reproducible.</x:v>
      </x:c>
      <x:c r="G416" s="26" t="str">
        <x:v>Cumplimiento verificable antes del gate indicado.</x:v>
      </x:c>
      <x:c r="H416" s="26" t="str">
        <x:v>Crisis communication playbook.</x:v>
      </x:c>
      <x:c r="I416" s="26" t="str">
        <x:v>28_Marketing_and_Communication_Plan.md; 24_Steam_Publishing_Plan.md</x:v>
      </x:c>
      <x:c r="J416" s="26" t="str">
        <x:v>Marketing Plan v0.3, v0.4, v0.5 plus historical Steam plans</x:v>
      </x:c>
      <x:c r="K416" s="26" t="str">
        <x:v>Release</x:v>
      </x:c>
      <x:c r="L416" s="26" t="str">
        <x:v>Yes</x:v>
      </x:c>
      <x:c r="M416" s="26" t="str">
        <x:v>P1</x:v>
      </x:c>
      <x:c r="N416" s="26" t="str">
        <x:v>Marketing/Community</x:v>
      </x:c>
      <x:c r="O416" s="26" t="str">
        <x:v>Product/Legal/Production</x:v>
      </x:c>
      <x:c r="P416" s="26" t="str">
        <x:v>NOT RUN</x:v>
      </x:c>
      <x:c r="Q416" s="26"/>
      <x:c r="R416" s="26"/>
      <x:c r="S416" s="26"/>
      <x:c r="T416" s="26"/>
      <x:c r="U416" s="26"/>
      <x:c r="V416" s="26"/>
      <x:c r="W416" s="26" t="n">
        <x:v>1</x:v>
      </x:c>
      <x:c r="X416" s="26" t="n">
        <x:v>0</x:v>
      </x:c>
      <x:c r="Y416" s="26" t="n">
        <x:v>1</x:v>
      </x:c>
      <x:c r="Z416" s="26" t="str">
        <x:v>PENDING</x:v>
      </x:c>
      <x:c r="AA416" s="26" t="str">
        <x:v>CHG-RC1-DOC-31</x:v>
      </x:c>
      <x:c r="AB416" s="26" t="str">
        <x:v>DEFINED / NOT EXECUTED</x:v>
      </x:c>
    </x:row>
    <x:row r="417" ht="30" customHeight="1">
      <x:c r="A417" s="26" t="str">
        <x:v>Release</x:v>
      </x:c>
      <x:c r="B417" s="26" t="str">
        <x:v>REL-MKT-012</x:v>
      </x:c>
      <x:c r="C417" s="26" t="str">
        <x:v>Marketing y comunicación</x:v>
      </x:c>
      <x:c r="D417" s="26" t="str">
        <x:v>Release readiness</x:v>
      </x:c>
      <x:c r="E417" s="26" t="str">
        <x:v>La comunidad no recibe fechas o features especulativas como compromisos.</x:v>
      </x:c>
      <x:c r="F417" s="26" t="str">
        <x:v>Revisar, ejecutar y registrar evidencia reproducible.</x:v>
      </x:c>
      <x:c r="G417" s="26" t="str">
        <x:v>Cumplimiento verificable antes del gate indicado.</x:v>
      </x:c>
      <x:c r="H417" s="26" t="str">
        <x:v>Community messaging audit.</x:v>
      </x:c>
      <x:c r="I417" s="26" t="str">
        <x:v>28_Marketing_and_Communication_Plan.md; 24_Steam_Publishing_Plan.md</x:v>
      </x:c>
      <x:c r="J417" s="26" t="str">
        <x:v>Marketing Plan v0.3, v0.4, v0.5 plus historical Steam plans</x:v>
      </x:c>
      <x:c r="K417" s="26" t="str">
        <x:v>Release</x:v>
      </x:c>
      <x:c r="L417" s="26" t="str">
        <x:v>Yes</x:v>
      </x:c>
      <x:c r="M417" s="26" t="str">
        <x:v>P1</x:v>
      </x:c>
      <x:c r="N417" s="26" t="str">
        <x:v>Marketing/Community</x:v>
      </x:c>
      <x:c r="O417" s="26" t="str">
        <x:v>Product/Legal/Production</x:v>
      </x:c>
      <x:c r="P417" s="26" t="str">
        <x:v>NOT RUN</x:v>
      </x:c>
      <x:c r="Q417" s="26"/>
      <x:c r="R417" s="26"/>
      <x:c r="S417" s="26"/>
      <x:c r="T417" s="26"/>
      <x:c r="U417" s="26"/>
      <x:c r="V417" s="26"/>
      <x:c r="W417" s="26" t="n">
        <x:v>1</x:v>
      </x:c>
      <x:c r="X417" s="26" t="n">
        <x:v>0</x:v>
      </x:c>
      <x:c r="Y417" s="26" t="n">
        <x:v>1</x:v>
      </x:c>
      <x:c r="Z417" s="26" t="str">
        <x:v>PENDING</x:v>
      </x:c>
      <x:c r="AA417" s="26" t="str">
        <x:v>CHG-RC1-DOC-31</x:v>
      </x:c>
      <x:c r="AB417" s="26" t="str">
        <x:v>DEFINED / NOT EXECUTED</x:v>
      </x:c>
    </x:row>
    <x:row r="418" ht="30" customHeight="1">
      <x:c r="A418" s="26" t="str">
        <x:v>Release</x:v>
      </x:c>
      <x:c r="B418" s="26" t="str">
        <x:v>REL-MKT-013</x:v>
      </x:c>
      <x:c r="C418" s="26" t="str">
        <x:v>Marketing y comunicación</x:v>
      </x:c>
      <x:c r="D418" s="26" t="str">
        <x:v>Release readiness</x:v>
      </x:c>
      <x:c r="E418" s="26" t="str">
        <x:v>Las capturas y vídeos conservan Build ID/procedencia para poder retirar material obsoleto.</x:v>
      </x:c>
      <x:c r="F418" s="26" t="str">
        <x:v>Revisar, ejecutar y registrar evidencia reproducible.</x:v>
      </x:c>
      <x:c r="G418" s="26" t="str">
        <x:v>Cumplimiento verificable antes del gate indicado.</x:v>
      </x:c>
      <x:c r="H418" s="26" t="str">
        <x:v>Media provenance register.</x:v>
      </x:c>
      <x:c r="I418" s="26" t="str">
        <x:v>28_Marketing_and_Communication_Plan.md; 24_Steam_Publishing_Plan.md</x:v>
      </x:c>
      <x:c r="J418" s="26" t="str">
        <x:v>Marketing Plan v0.3, v0.4, v0.5 plus historical Steam plans</x:v>
      </x:c>
      <x:c r="K418" s="26" t="str">
        <x:v>Release</x:v>
      </x:c>
      <x:c r="L418" s="26" t="str">
        <x:v>Yes</x:v>
      </x:c>
      <x:c r="M418" s="26" t="str">
        <x:v>P1</x:v>
      </x:c>
      <x:c r="N418" s="26" t="str">
        <x:v>Marketing/Community</x:v>
      </x:c>
      <x:c r="O418" s="26" t="str">
        <x:v>Product/Legal/Production</x:v>
      </x:c>
      <x:c r="P418" s="26" t="str">
        <x:v>NOT RUN</x:v>
      </x:c>
      <x:c r="Q418" s="26"/>
      <x:c r="R418" s="26"/>
      <x:c r="S418" s="26"/>
      <x:c r="T418" s="26"/>
      <x:c r="U418" s="26"/>
      <x:c r="V418" s="26"/>
      <x:c r="W418" s="26" t="n">
        <x:v>1</x:v>
      </x:c>
      <x:c r="X418" s="26" t="n">
        <x:v>0</x:v>
      </x:c>
      <x:c r="Y418" s="26" t="n">
        <x:v>1</x:v>
      </x:c>
      <x:c r="Z418" s="26" t="str">
        <x:v>PENDING</x:v>
      </x:c>
      <x:c r="AA418" s="26" t="str">
        <x:v>CHG-RC1-DOC-31</x:v>
      </x:c>
      <x:c r="AB418" s="26" t="str">
        <x:v>DEFINED / NOT EXECUTED</x:v>
      </x:c>
    </x:row>
    <x:row r="419" ht="30" customHeight="1">
      <x:c r="A419" s="26" t="str">
        <x:v>Release</x:v>
      </x:c>
      <x:c r="B419" s="26" t="str">
        <x:v>REL-MKT-014</x:v>
      </x:c>
      <x:c r="C419" s="26" t="str">
        <x:v>Marketing y comunicación</x:v>
      </x:c>
      <x:c r="D419" s="26" t="str">
        <x:v>Release readiness</x:v>
      </x:c>
      <x:c r="E419" s="26" t="str">
        <x:v>Los anuncios de accesibilidad, idiomas y rendimiento pasan revisión especializada.</x:v>
      </x:c>
      <x:c r="F419" s="26" t="str">
        <x:v>Revisar, ejecutar y registrar evidencia reproducible.</x:v>
      </x:c>
      <x:c r="G419" s="26" t="str">
        <x:v>Cumplimiento verificable antes del gate indicado.</x:v>
      </x:c>
      <x:c r="H419" s="26" t="str">
        <x:v>Cross-discipline claims signoff.</x:v>
      </x:c>
      <x:c r="I419" s="26" t="str">
        <x:v>28_Marketing_and_Communication_Plan.md; 24_Steam_Publishing_Plan.md</x:v>
      </x:c>
      <x:c r="J419" s="26" t="str">
        <x:v>Marketing Plan v0.3, v0.4, v0.5 plus historical Steam plans</x:v>
      </x:c>
      <x:c r="K419" s="26" t="str">
        <x:v>Release</x:v>
      </x:c>
      <x:c r="L419" s="26" t="str">
        <x:v>Yes</x:v>
      </x:c>
      <x:c r="M419" s="26" t="str">
        <x:v>P1</x:v>
      </x:c>
      <x:c r="N419" s="26" t="str">
        <x:v>Marketing/Community</x:v>
      </x:c>
      <x:c r="O419" s="26" t="str">
        <x:v>Product/Legal/Production</x:v>
      </x:c>
      <x:c r="P419" s="26" t="str">
        <x:v>NOT RUN</x:v>
      </x:c>
      <x:c r="Q419" s="26"/>
      <x:c r="R419" s="26"/>
      <x:c r="S419" s="26"/>
      <x:c r="T419" s="26"/>
      <x:c r="U419" s="26"/>
      <x:c r="V419" s="26"/>
      <x:c r="W419" s="26" t="n">
        <x:v>1</x:v>
      </x:c>
      <x:c r="X419" s="26" t="n">
        <x:v>0</x:v>
      </x:c>
      <x:c r="Y419" s="26" t="n">
        <x:v>1</x:v>
      </x:c>
      <x:c r="Z419" s="26" t="str">
        <x:v>PENDING</x:v>
      </x:c>
      <x:c r="AA419" s="26" t="str">
        <x:v>CHG-RC1-DOC-31</x:v>
      </x:c>
      <x:c r="AB419" s="26" t="str">
        <x:v>DEFINED / NOT EXECUTED</x:v>
      </x:c>
    </x:row>
    <x:row r="420" ht="30" customHeight="1">
      <x:c r="A420" s="26" t="str">
        <x:v>Release</x:v>
      </x:c>
      <x:c r="B420" s="26" t="str">
        <x:v>REL-MKT-015</x:v>
      </x:c>
      <x:c r="C420" s="26" t="str">
        <x:v>Marketing y comunicación</x:v>
      </x:c>
      <x:c r="D420" s="26" t="str">
        <x:v>Release readiness</x:v>
      </x:c>
      <x:c r="E420" s="26" t="str">
        <x:v>La página Coming Soon tiene plan de wishlists, actualización y contenido sostenible.</x:v>
      </x:c>
      <x:c r="F420" s="26" t="str">
        <x:v>Revisar, ejecutar y registrar evidencia reproducible.</x:v>
      </x:c>
      <x:c r="G420" s="26" t="str">
        <x:v>Cumplimiento verificable antes del gate indicado.</x:v>
      </x:c>
      <x:c r="H420" s="26" t="str">
        <x:v>Coming Soon operating plan.</x:v>
      </x:c>
      <x:c r="I420" s="26" t="str">
        <x:v>28_Marketing_and_Communication_Plan.md; 24_Steam_Publishing_Plan.md</x:v>
      </x:c>
      <x:c r="J420" s="26" t="str">
        <x:v>Marketing Plan v0.3, v0.4, v0.5 plus historical Steam plans</x:v>
      </x:c>
      <x:c r="K420" s="26" t="str">
        <x:v>Release</x:v>
      </x:c>
      <x:c r="L420" s="26" t="str">
        <x:v>Yes</x:v>
      </x:c>
      <x:c r="M420" s="26" t="str">
        <x:v>P1</x:v>
      </x:c>
      <x:c r="N420" s="26" t="str">
        <x:v>Marketing/Community</x:v>
      </x:c>
      <x:c r="O420" s="26" t="str">
        <x:v>Product/Legal/Production</x:v>
      </x:c>
      <x:c r="P420" s="26" t="str">
        <x:v>NOT RUN</x:v>
      </x:c>
      <x:c r="Q420" s="26"/>
      <x:c r="R420" s="26"/>
      <x:c r="S420" s="26"/>
      <x:c r="T420" s="26"/>
      <x:c r="U420" s="26"/>
      <x:c r="V420" s="26"/>
      <x:c r="W420" s="26" t="n">
        <x:v>1</x:v>
      </x:c>
      <x:c r="X420" s="26" t="n">
        <x:v>0</x:v>
      </x:c>
      <x:c r="Y420" s="26" t="n">
        <x:v>1</x:v>
      </x:c>
      <x:c r="Z420" s="26" t="str">
        <x:v>PENDING</x:v>
      </x:c>
      <x:c r="AA420" s="26" t="str">
        <x:v>CHG-RC1-DOC-31</x:v>
      </x:c>
      <x:c r="AB420" s="26" t="str">
        <x:v>DEFINED / NOT EXECUTED</x:v>
      </x:c>
    </x:row>
    <x:row r="421" ht="30" customHeight="1">
      <x:c r="A421" s="26" t="str">
        <x:v>Release</x:v>
      </x:c>
      <x:c r="B421" s="26" t="str">
        <x:v>REL-MKT-016</x:v>
      </x:c>
      <x:c r="C421" s="26" t="str">
        <x:v>Marketing y comunicación</x:v>
      </x:c>
      <x:c r="D421" s="26" t="str">
        <x:v>Release readiness</x:v>
      </x:c>
      <x:c r="E421" s="26" t="str">
        <x:v>La demo/Playtest, si se publica, tiene objetivo, audiencia, feedback y cierre definidos.</x:v>
      </x:c>
      <x:c r="F421" s="26" t="str">
        <x:v>Revisar, ejecutar y registrar evidencia reproducible.</x:v>
      </x:c>
      <x:c r="G421" s="26" t="str">
        <x:v>Cumplimiento verificable antes del gate indicado.</x:v>
      </x:c>
      <x:c r="H421" s="26" t="str">
        <x:v>Demo/Playtest campaign plan.</x:v>
      </x:c>
      <x:c r="I421" s="26" t="str">
        <x:v>28_Marketing_and_Communication_Plan.md; 24_Steam_Publishing_Plan.md</x:v>
      </x:c>
      <x:c r="J421" s="26" t="str">
        <x:v>Marketing Plan v0.3, v0.4, v0.5 plus historical Steam plans</x:v>
      </x:c>
      <x:c r="K421" s="26" t="str">
        <x:v>Release</x:v>
      </x:c>
      <x:c r="L421" s="26" t="str">
        <x:v>Yes</x:v>
      </x:c>
      <x:c r="M421" s="26" t="str">
        <x:v>P1</x:v>
      </x:c>
      <x:c r="N421" s="26" t="str">
        <x:v>Marketing/Community</x:v>
      </x:c>
      <x:c r="O421" s="26" t="str">
        <x:v>Product/Legal/Production</x:v>
      </x:c>
      <x:c r="P421" s="26" t="str">
        <x:v>NOT RUN</x:v>
      </x:c>
      <x:c r="Q421" s="26"/>
      <x:c r="R421" s="26"/>
      <x:c r="S421" s="26"/>
      <x:c r="T421" s="26"/>
      <x:c r="U421" s="26"/>
      <x:c r="V421" s="26"/>
      <x:c r="W421" s="26" t="n">
        <x:v>1</x:v>
      </x:c>
      <x:c r="X421" s="26" t="n">
        <x:v>0</x:v>
      </x:c>
      <x:c r="Y421" s="26" t="n">
        <x:v>1</x:v>
      </x:c>
      <x:c r="Z421" s="26" t="str">
        <x:v>PENDING</x:v>
      </x:c>
      <x:c r="AA421" s="26" t="str">
        <x:v>CHG-RC1-DOC-31</x:v>
      </x:c>
      <x:c r="AB421" s="26" t="str">
        <x:v>DEFINED / NOT EXECUTED</x:v>
      </x:c>
    </x:row>
    <x:row r="422" ht="30" customHeight="1">
      <x:c r="A422" s="26" t="str">
        <x:v>Release</x:v>
      </x:c>
      <x:c r="B422" s="26" t="str">
        <x:v>REL-MKT-017</x:v>
      </x:c>
      <x:c r="C422" s="26" t="str">
        <x:v>Marketing y comunicación</x:v>
      </x:c>
      <x:c r="D422" s="26" t="str">
        <x:v>Release readiness</x:v>
      </x:c>
      <x:c r="E422" s="26" t="str">
        <x:v>Las comunicaciones cumplen políticas de Steam y derechos de terceros.</x:v>
      </x:c>
      <x:c r="F422" s="26" t="str">
        <x:v>Revisar, ejecutar y registrar evidencia reproducible.</x:v>
      </x:c>
      <x:c r="G422" s="26" t="str">
        <x:v>Cumplimiento verificable antes del gate indicado.</x:v>
      </x:c>
      <x:c r="H422" s="26" t="str">
        <x:v>Platform/legal review.</x:v>
      </x:c>
      <x:c r="I422" s="26" t="str">
        <x:v>28_Marketing_and_Communication_Plan.md; 24_Steam_Publishing_Plan.md</x:v>
      </x:c>
      <x:c r="J422" s="26" t="str">
        <x:v>Marketing Plan v0.3, v0.4, v0.5 plus historical Steam plans</x:v>
      </x:c>
      <x:c r="K422" s="26" t="str">
        <x:v>Release</x:v>
      </x:c>
      <x:c r="L422" s="26" t="str">
        <x:v>Yes</x:v>
      </x:c>
      <x:c r="M422" s="26" t="str">
        <x:v>P1</x:v>
      </x:c>
      <x:c r="N422" s="26" t="str">
        <x:v>Marketing/Community</x:v>
      </x:c>
      <x:c r="O422" s="26" t="str">
        <x:v>Product/Legal/Production</x:v>
      </x:c>
      <x:c r="P422" s="26" t="str">
        <x:v>NOT RUN</x:v>
      </x:c>
      <x:c r="Q422" s="26"/>
      <x:c r="R422" s="26"/>
      <x:c r="S422" s="26"/>
      <x:c r="T422" s="26"/>
      <x:c r="U422" s="26"/>
      <x:c r="V422" s="26"/>
      <x:c r="W422" s="26" t="n">
        <x:v>1</x:v>
      </x:c>
      <x:c r="X422" s="26" t="n">
        <x:v>0</x:v>
      </x:c>
      <x:c r="Y422" s="26" t="n">
        <x:v>1</x:v>
      </x:c>
      <x:c r="Z422" s="26" t="str">
        <x:v>PENDING</x:v>
      </x:c>
      <x:c r="AA422" s="26" t="str">
        <x:v>CHG-RC1-DOC-31</x:v>
      </x:c>
      <x:c r="AB422" s="26" t="str">
        <x:v>DEFINED / NOT EXECUTED</x:v>
      </x:c>
    </x:row>
    <x:row r="423" ht="30" customHeight="1">
      <x:c r="A423" s="26" t="str">
        <x:v>Release</x:v>
      </x:c>
      <x:c r="B423" s="26" t="str">
        <x:v>REL-MKT-018</x:v>
      </x:c>
      <x:c r="C423" s="26" t="str">
        <x:v>Marketing y comunicación</x:v>
      </x:c>
      <x:c r="D423" s="26" t="str">
        <x:v>Release readiness</x:v>
      </x:c>
      <x:c r="E423" s="26" t="str">
        <x:v>Existe criterio para detener promoción si la RC o launch readiness retrocede.</x:v>
      </x:c>
      <x:c r="F423" s="26" t="str">
        <x:v>Revisar, ejecutar y registrar evidencia reproducible.</x:v>
      </x:c>
      <x:c r="G423" s="26" t="str">
        <x:v>Cumplimiento verificable antes del gate indicado.</x:v>
      </x:c>
      <x:c r="H423" s="26" t="str">
        <x:v>Marketing no-go trigger.</x:v>
      </x:c>
      <x:c r="I423" s="26" t="str">
        <x:v>28_Marketing_and_Communication_Plan.md; 24_Steam_Publishing_Plan.md</x:v>
      </x:c>
      <x:c r="J423" s="26" t="str">
        <x:v>Marketing Plan v0.3, v0.4, v0.5 plus historical Steam plans</x:v>
      </x:c>
      <x:c r="K423" s="26" t="str">
        <x:v>Release</x:v>
      </x:c>
      <x:c r="L423" s="26" t="str">
        <x:v>Yes</x:v>
      </x:c>
      <x:c r="M423" s="26" t="str">
        <x:v>P1</x:v>
      </x:c>
      <x:c r="N423" s="26" t="str">
        <x:v>Marketing/Community</x:v>
      </x:c>
      <x:c r="O423" s="26" t="str">
        <x:v>Product/Legal/Production</x:v>
      </x:c>
      <x:c r="P423" s="26" t="str">
        <x:v>NOT RUN</x:v>
      </x:c>
      <x:c r="Q423" s="26"/>
      <x:c r="R423" s="26"/>
      <x:c r="S423" s="26"/>
      <x:c r="T423" s="26"/>
      <x:c r="U423" s="26"/>
      <x:c r="V423" s="26"/>
      <x:c r="W423" s="26" t="n">
        <x:v>1</x:v>
      </x:c>
      <x:c r="X423" s="26" t="n">
        <x:v>0</x:v>
      </x:c>
      <x:c r="Y423" s="26" t="n">
        <x:v>1</x:v>
      </x:c>
      <x:c r="Z423" s="26" t="str">
        <x:v>PENDING</x:v>
      </x:c>
      <x:c r="AA423" s="26" t="str">
        <x:v>CHG-RC1-DOC-31</x:v>
      </x:c>
      <x:c r="AB423" s="26" t="str">
        <x:v>DEFINED / NOT EXECUTED</x:v>
      </x:c>
    </x:row>
    <x:row r="424" ht="30" customHeight="1">
      <x:c r="A424" s="26" t="str">
        <x:v>Release</x:v>
      </x:c>
      <x:c r="B424" s="26" t="str">
        <x:v>REL-SUP-001</x:v>
      </x:c>
      <x:c r="C424" s="26" t="str">
        <x:v>Comunidad, soporte y operaciones</x:v>
      </x:c>
      <x:c r="D424" s="26" t="str">
        <x:v>Release readiness</x:v>
      </x:c>
      <x:c r="E424" s="26" t="str">
        <x:v>Los canales de soporte y comunidad tienen propietarios, horarios y expectativas realistas.</x:v>
      </x:c>
      <x:c r="F424" s="26" t="str">
        <x:v>Revisar, ejecutar y registrar evidencia reproducible.</x:v>
      </x:c>
      <x:c r="G424" s="26" t="str">
        <x:v>Cumplimiento verificable antes del gate indicado.</x:v>
      </x:c>
      <x:c r="H424" s="26" t="str">
        <x:v>Support operations plan.</x:v>
      </x:c>
      <x:c r="I424" s="26" t="str">
        <x:v>25_Post_Launch_and_Live_Operations_Plan.md; 26_Privacy_Data_and_Telemetry_Plan.md; 28_Marketing_and_Communication_Plan.md</x:v>
      </x:c>
      <x:c r="J424" s="26" t="str">
        <x:v>Historical Steam/Marketing/QA plans and handoff records</x:v>
      </x:c>
      <x:c r="K424" s="26" t="str">
        <x:v>Release</x:v>
      </x:c>
      <x:c r="L424" s="26" t="str">
        <x:v>Yes</x:v>
      </x:c>
      <x:c r="M424" s="26" t="str">
        <x:v>P1</x:v>
      </x:c>
      <x:c r="N424" s="26" t="str">
        <x:v>Support/Community</x:v>
      </x:c>
      <x:c r="O424" s="26" t="str">
        <x:v>Production/Privacy</x:v>
      </x:c>
      <x:c r="P424" s="26" t="str">
        <x:v>NOT RUN</x:v>
      </x:c>
      <x:c r="Q424" s="26"/>
      <x:c r="R424" s="26"/>
      <x:c r="S424" s="26"/>
      <x:c r="T424" s="26"/>
      <x:c r="U424" s="26"/>
      <x:c r="V424" s="26"/>
      <x:c r="W424" s="26" t="n">
        <x:v>1</x:v>
      </x:c>
      <x:c r="X424" s="26" t="n">
        <x:v>0</x:v>
      </x:c>
      <x:c r="Y424" s="26" t="n">
        <x:v>1</x:v>
      </x:c>
      <x:c r="Z424" s="26" t="str">
        <x:v>PENDING</x:v>
      </x:c>
      <x:c r="AA424" s="26" t="str">
        <x:v>CHG-RC1-DOC-31</x:v>
      </x:c>
      <x:c r="AB424" s="26" t="str">
        <x:v>DEFINED / NOT EXECUTED</x:v>
      </x:c>
    </x:row>
    <x:row r="425" ht="30" customHeight="1">
      <x:c r="A425" s="26" t="str">
        <x:v>Release</x:v>
      </x:c>
      <x:c r="B425" s="26" t="str">
        <x:v>REL-SUP-002</x:v>
      </x:c>
      <x:c r="C425" s="26" t="str">
        <x:v>Comunidad, soporte y operaciones</x:v>
      </x:c>
      <x:c r="D425" s="26" t="str">
        <x:v>Release readiness</x:v>
      </x:c>
      <x:c r="E425" s="26" t="str">
        <x:v>FAQ y troubleshooting cubren instalación, saves, settings, idioma y problemas conocidos.</x:v>
      </x:c>
      <x:c r="F425" s="26" t="str">
        <x:v>Revisar, ejecutar y registrar evidencia reproducible.</x:v>
      </x:c>
      <x:c r="G425" s="26" t="str">
        <x:v>Cumplimiento verificable antes del gate indicado.</x:v>
      </x:c>
      <x:c r="H425" s="26" t="str">
        <x:v>Support content review.</x:v>
      </x:c>
      <x:c r="I425" s="26" t="str">
        <x:v>25_Post_Launch_and_Live_Operations_Plan.md; 26_Privacy_Data_and_Telemetry_Plan.md; 28_Marketing_and_Communication_Plan.md</x:v>
      </x:c>
      <x:c r="J425" s="26" t="str">
        <x:v>Historical Steam/Marketing/QA plans and handoff records</x:v>
      </x:c>
      <x:c r="K425" s="26" t="str">
        <x:v>Release</x:v>
      </x:c>
      <x:c r="L425" s="26" t="str">
        <x:v>Yes</x:v>
      </x:c>
      <x:c r="M425" s="26" t="str">
        <x:v>P1</x:v>
      </x:c>
      <x:c r="N425" s="26" t="str">
        <x:v>Support/Community</x:v>
      </x:c>
      <x:c r="O425" s="26" t="str">
        <x:v>Production/Privacy</x:v>
      </x:c>
      <x:c r="P425" s="26" t="str">
        <x:v>NOT RUN</x:v>
      </x:c>
      <x:c r="Q425" s="26"/>
      <x:c r="R425" s="26"/>
      <x:c r="S425" s="26"/>
      <x:c r="T425" s="26"/>
      <x:c r="U425" s="26"/>
      <x:c r="V425" s="26"/>
      <x:c r="W425" s="26" t="n">
        <x:v>1</x:v>
      </x:c>
      <x:c r="X425" s="26" t="n">
        <x:v>0</x:v>
      </x:c>
      <x:c r="Y425" s="26" t="n">
        <x:v>1</x:v>
      </x:c>
      <x:c r="Z425" s="26" t="str">
        <x:v>PENDING</x:v>
      </x:c>
      <x:c r="AA425" s="26" t="str">
        <x:v>CHG-RC1-DOC-31</x:v>
      </x:c>
      <x:c r="AB425" s="26" t="str">
        <x:v>DEFINED / NOT EXECUTED</x:v>
      </x:c>
    </x:row>
    <x:row r="426" ht="30" customHeight="1">
      <x:c r="A426" s="26" t="str">
        <x:v>Release</x:v>
      </x:c>
      <x:c r="B426" s="26" t="str">
        <x:v>REL-SUP-003</x:v>
      </x:c>
      <x:c r="C426" s="26" t="str">
        <x:v>Comunidad, soporte y operaciones</x:v>
      </x:c>
      <x:c r="D426" s="26" t="str">
        <x:v>Release readiness</x:v>
      </x:c>
      <x:c r="E426" s="26" t="str">
        <x:v>Existe taxonomía para tickets, bugs, crashes, privacidad y seguridad.</x:v>
      </x:c>
      <x:c r="F426" s="26" t="str">
        <x:v>Revisar, ejecutar y registrar evidencia reproducible.</x:v>
      </x:c>
      <x:c r="G426" s="26" t="str">
        <x:v>Cumplimiento verificable antes del gate indicado.</x:v>
      </x:c>
      <x:c r="H426" s="26" t="str">
        <x:v>Support taxonomy.</x:v>
      </x:c>
      <x:c r="I426" s="26" t="str">
        <x:v>25_Post_Launch_and_Live_Operations_Plan.md; 26_Privacy_Data_and_Telemetry_Plan.md; 28_Marketing_and_Communication_Plan.md</x:v>
      </x:c>
      <x:c r="J426" s="26" t="str">
        <x:v>Historical Steam/Marketing/QA plans and handoff records</x:v>
      </x:c>
      <x:c r="K426" s="26" t="str">
        <x:v>Release</x:v>
      </x:c>
      <x:c r="L426" s="26" t="str">
        <x:v>Yes</x:v>
      </x:c>
      <x:c r="M426" s="26" t="str">
        <x:v>P1</x:v>
      </x:c>
      <x:c r="N426" s="26" t="str">
        <x:v>Support/Community</x:v>
      </x:c>
      <x:c r="O426" s="26" t="str">
        <x:v>Production/Privacy</x:v>
      </x:c>
      <x:c r="P426" s="26" t="str">
        <x:v>NOT RUN</x:v>
      </x:c>
      <x:c r="Q426" s="26"/>
      <x:c r="R426" s="26"/>
      <x:c r="S426" s="26"/>
      <x:c r="T426" s="26"/>
      <x:c r="U426" s="26"/>
      <x:c r="V426" s="26"/>
      <x:c r="W426" s="26" t="n">
        <x:v>1</x:v>
      </x:c>
      <x:c r="X426" s="26" t="n">
        <x:v>0</x:v>
      </x:c>
      <x:c r="Y426" s="26" t="n">
        <x:v>1</x:v>
      </x:c>
      <x:c r="Z426" s="26" t="str">
        <x:v>PENDING</x:v>
      </x:c>
      <x:c r="AA426" s="26" t="str">
        <x:v>CHG-RC1-DOC-31</x:v>
      </x:c>
      <x:c r="AB426" s="26" t="str">
        <x:v>DEFINED / NOT EXECUTED</x:v>
      </x:c>
    </x:row>
    <x:row r="427" ht="30" customHeight="1">
      <x:c r="A427" s="26" t="str">
        <x:v>Release</x:v>
      </x:c>
      <x:c r="B427" s="26" t="str">
        <x:v>REL-SUP-004</x:v>
      </x:c>
      <x:c r="C427" s="26" t="str">
        <x:v>Comunidad, soporte y operaciones</x:v>
      </x:c>
      <x:c r="D427" s="26" t="str">
        <x:v>Release readiness</x:v>
      </x:c>
      <x:c r="E427" s="26" t="str">
        <x:v>Los datos solicitados a usuarios están minimizados y se explican.</x:v>
      </x:c>
      <x:c r="F427" s="26" t="str">
        <x:v>Revisar, ejecutar y registrar evidencia reproducible.</x:v>
      </x:c>
      <x:c r="G427" s="26" t="str">
        <x:v>Cumplimiento verificable antes del gate indicado.</x:v>
      </x:c>
      <x:c r="H427" s="26" t="str">
        <x:v>Support privacy script.</x:v>
      </x:c>
      <x:c r="I427" s="26" t="str">
        <x:v>25_Post_Launch_and_Live_Operations_Plan.md; 26_Privacy_Data_and_Telemetry_Plan.md; 28_Marketing_and_Communication_Plan.md</x:v>
      </x:c>
      <x:c r="J427" s="26" t="str">
        <x:v>Historical Steam/Marketing/QA plans and handoff records</x:v>
      </x:c>
      <x:c r="K427" s="26" t="str">
        <x:v>Release</x:v>
      </x:c>
      <x:c r="L427" s="26" t="str">
        <x:v>Yes</x:v>
      </x:c>
      <x:c r="M427" s="26" t="str">
        <x:v>P1</x:v>
      </x:c>
      <x:c r="N427" s="26" t="str">
        <x:v>Support/Community</x:v>
      </x:c>
      <x:c r="O427" s="26" t="str">
        <x:v>Production/Privacy</x:v>
      </x:c>
      <x:c r="P427" s="26" t="str">
        <x:v>NOT RUN</x:v>
      </x:c>
      <x:c r="Q427" s="26"/>
      <x:c r="R427" s="26"/>
      <x:c r="S427" s="26"/>
      <x:c r="T427" s="26"/>
      <x:c r="U427" s="26"/>
      <x:c r="V427" s="26"/>
      <x:c r="W427" s="26" t="n">
        <x:v>1</x:v>
      </x:c>
      <x:c r="X427" s="26" t="n">
        <x:v>0</x:v>
      </x:c>
      <x:c r="Y427" s="26" t="n">
        <x:v>1</x:v>
      </x:c>
      <x:c r="Z427" s="26" t="str">
        <x:v>PENDING</x:v>
      </x:c>
      <x:c r="AA427" s="26" t="str">
        <x:v>CHG-RC1-DOC-31</x:v>
      </x:c>
      <x:c r="AB427" s="26" t="str">
        <x:v>DEFINED / NOT EXECUTED</x:v>
      </x:c>
    </x:row>
    <x:row r="428" ht="30" customHeight="1">
      <x:c r="A428" s="26" t="str">
        <x:v>Release</x:v>
      </x:c>
      <x:c r="B428" s="26" t="str">
        <x:v>REL-SUP-005</x:v>
      </x:c>
      <x:c r="C428" s="26" t="str">
        <x:v>Comunidad, soporte y operaciones</x:v>
      </x:c>
      <x:c r="D428" s="26" t="str">
        <x:v>Release readiness</x:v>
      </x:c>
      <x:c r="E428" s="26" t="str">
        <x:v>La moderación tiene reglas, escalado y tratamiento de abuso.</x:v>
      </x:c>
      <x:c r="F428" s="26" t="str">
        <x:v>Revisar, ejecutar y registrar evidencia reproducible.</x:v>
      </x:c>
      <x:c r="G428" s="26" t="str">
        <x:v>Cumplimiento verificable antes del gate indicado.</x:v>
      </x:c>
      <x:c r="H428" s="26" t="str">
        <x:v>Community moderation policy.</x:v>
      </x:c>
      <x:c r="I428" s="26" t="str">
        <x:v>25_Post_Launch_and_Live_Operations_Plan.md; 26_Privacy_Data_and_Telemetry_Plan.md; 28_Marketing_and_Communication_Plan.md</x:v>
      </x:c>
      <x:c r="J428" s="26" t="str">
        <x:v>Historical Steam/Marketing/QA plans and handoff records</x:v>
      </x:c>
      <x:c r="K428" s="26" t="str">
        <x:v>Release</x:v>
      </x:c>
      <x:c r="L428" s="26" t="str">
        <x:v>Yes</x:v>
      </x:c>
      <x:c r="M428" s="26" t="str">
        <x:v>P1</x:v>
      </x:c>
      <x:c r="N428" s="26" t="str">
        <x:v>Support/Community</x:v>
      </x:c>
      <x:c r="O428" s="26" t="str">
        <x:v>Production/Privacy</x:v>
      </x:c>
      <x:c r="P428" s="26" t="str">
        <x:v>NOT RUN</x:v>
      </x:c>
      <x:c r="Q428" s="26"/>
      <x:c r="R428" s="26"/>
      <x:c r="S428" s="26"/>
      <x:c r="T428" s="26"/>
      <x:c r="U428" s="26"/>
      <x:c r="V428" s="26"/>
      <x:c r="W428" s="26" t="n">
        <x:v>1</x:v>
      </x:c>
      <x:c r="X428" s="26" t="n">
        <x:v>0</x:v>
      </x:c>
      <x:c r="Y428" s="26" t="n">
        <x:v>1</x:v>
      </x:c>
      <x:c r="Z428" s="26" t="str">
        <x:v>PENDING</x:v>
      </x:c>
      <x:c r="AA428" s="26" t="str">
        <x:v>CHG-RC1-DOC-31</x:v>
      </x:c>
      <x:c r="AB428" s="26" t="str">
        <x:v>DEFINED / NOT EXECUTED</x:v>
      </x:c>
    </x:row>
    <x:row r="429" ht="30" customHeight="1">
      <x:c r="A429" s="26" t="str">
        <x:v>Release</x:v>
      </x:c>
      <x:c r="B429" s="26" t="str">
        <x:v>REL-SUP-006</x:v>
      </x:c>
      <x:c r="C429" s="26" t="str">
        <x:v>Comunidad, soporte y operaciones</x:v>
      </x:c>
      <x:c r="D429" s="26" t="str">
        <x:v>Release readiness</x:v>
      </x:c>
      <x:c r="E429" s="26" t="str">
        <x:v>Los reportes de bugs se convierten en incidencias reproducibles sin exponer datos personales.</x:v>
      </x:c>
      <x:c r="F429" s="26" t="str">
        <x:v>Revisar, ejecutar y registrar evidencia reproducible.</x:v>
      </x:c>
      <x:c r="G429" s="26" t="str">
        <x:v>Cumplimiento verificable antes del gate indicado.</x:v>
      </x:c>
      <x:c r="H429" s="26" t="str">
        <x:v>Bug intake workflow.</x:v>
      </x:c>
      <x:c r="I429" s="26" t="str">
        <x:v>25_Post_Launch_and_Live_Operations_Plan.md; 26_Privacy_Data_and_Telemetry_Plan.md; 28_Marketing_and_Communication_Plan.md</x:v>
      </x:c>
      <x:c r="J429" s="26" t="str">
        <x:v>Historical Steam/Marketing/QA plans and handoff records</x:v>
      </x:c>
      <x:c r="K429" s="26" t="str">
        <x:v>Release</x:v>
      </x:c>
      <x:c r="L429" s="26" t="str">
        <x:v>Yes</x:v>
      </x:c>
      <x:c r="M429" s="26" t="str">
        <x:v>P1</x:v>
      </x:c>
      <x:c r="N429" s="26" t="str">
        <x:v>Support/Community</x:v>
      </x:c>
      <x:c r="O429" s="26" t="str">
        <x:v>Production/Privacy</x:v>
      </x:c>
      <x:c r="P429" s="26" t="str">
        <x:v>NOT RUN</x:v>
      </x:c>
      <x:c r="Q429" s="26"/>
      <x:c r="R429" s="26"/>
      <x:c r="S429" s="26"/>
      <x:c r="T429" s="26"/>
      <x:c r="U429" s="26"/>
      <x:c r="V429" s="26"/>
      <x:c r="W429" s="26" t="n">
        <x:v>1</x:v>
      </x:c>
      <x:c r="X429" s="26" t="n">
        <x:v>0</x:v>
      </x:c>
      <x:c r="Y429" s="26" t="n">
        <x:v>1</x:v>
      </x:c>
      <x:c r="Z429" s="26" t="str">
        <x:v>PENDING</x:v>
      </x:c>
      <x:c r="AA429" s="26" t="str">
        <x:v>CHG-RC1-DOC-31</x:v>
      </x:c>
      <x:c r="AB429" s="26" t="str">
        <x:v>DEFINED / NOT EXECUTED</x:v>
      </x:c>
    </x:row>
    <x:row r="430" ht="30" customHeight="1">
      <x:c r="A430" s="26" t="str">
        <x:v>Release</x:v>
      </x:c>
      <x:c r="B430" s="26" t="str">
        <x:v>REL-SUP-007</x:v>
      </x:c>
      <x:c r="C430" s="26" t="str">
        <x:v>Comunidad, soporte y operaciones</x:v>
      </x:c>
      <x:c r="D430" s="26" t="str">
        <x:v>Release readiness</x:v>
      </x:c>
      <x:c r="E430" s="26" t="str">
        <x:v>El equipo puede comunicar known issues y estado de servicios rápidamente.</x:v>
      </x:c>
      <x:c r="F430" s="26" t="str">
        <x:v>Revisar, ejecutar y registrar evidencia reproducible.</x:v>
      </x:c>
      <x:c r="G430" s="26" t="str">
        <x:v>Cumplimiento verificable antes del gate indicado.</x:v>
      </x:c>
      <x:c r="H430" s="26" t="str">
        <x:v>Status communication playbook.</x:v>
      </x:c>
      <x:c r="I430" s="26" t="str">
        <x:v>25_Post_Launch_and_Live_Operations_Plan.md; 26_Privacy_Data_and_Telemetry_Plan.md; 28_Marketing_and_Communication_Plan.md</x:v>
      </x:c>
      <x:c r="J430" s="26" t="str">
        <x:v>Historical Steam/Marketing/QA plans and handoff records</x:v>
      </x:c>
      <x:c r="K430" s="26" t="str">
        <x:v>Release</x:v>
      </x:c>
      <x:c r="L430" s="26" t="str">
        <x:v>Yes</x:v>
      </x:c>
      <x:c r="M430" s="26" t="str">
        <x:v>P1</x:v>
      </x:c>
      <x:c r="N430" s="26" t="str">
        <x:v>Support/Community</x:v>
      </x:c>
      <x:c r="O430" s="26" t="str">
        <x:v>Production/Privacy</x:v>
      </x:c>
      <x:c r="P430" s="26" t="str">
        <x:v>NOT RUN</x:v>
      </x:c>
      <x:c r="Q430" s="26"/>
      <x:c r="R430" s="26"/>
      <x:c r="S430" s="26"/>
      <x:c r="T430" s="26"/>
      <x:c r="U430" s="26"/>
      <x:c r="V430" s="26"/>
      <x:c r="W430" s="26" t="n">
        <x:v>1</x:v>
      </x:c>
      <x:c r="X430" s="26" t="n">
        <x:v>0</x:v>
      </x:c>
      <x:c r="Y430" s="26" t="n">
        <x:v>1</x:v>
      </x:c>
      <x:c r="Z430" s="26" t="str">
        <x:v>PENDING</x:v>
      </x:c>
      <x:c r="AA430" s="26" t="str">
        <x:v>CHG-RC1-DOC-31</x:v>
      </x:c>
      <x:c r="AB430" s="26" t="str">
        <x:v>DEFINED / NOT EXECUTED</x:v>
      </x:c>
    </x:row>
    <x:row r="431" ht="30" customHeight="1">
      <x:c r="A431" s="26" t="str">
        <x:v>Release</x:v>
      </x:c>
      <x:c r="B431" s="26" t="str">
        <x:v>REL-SUP-008</x:v>
      </x:c>
      <x:c r="C431" s="26" t="str">
        <x:v>Comunidad, soporte y operaciones</x:v>
      </x:c>
      <x:c r="D431" s="26" t="str">
        <x:v>Release readiness</x:v>
      </x:c>
      <x:c r="E431" s="26" t="str">
        <x:v>Las claves de review/Playtest se controlan y revocan cuando corresponde.</x:v>
      </x:c>
      <x:c r="F431" s="26" t="str">
        <x:v>Revisar, ejecutar y registrar evidencia reproducible.</x:v>
      </x:c>
      <x:c r="G431" s="26" t="str">
        <x:v>Cumplimiento verificable antes del gate indicado.</x:v>
      </x:c>
      <x:c r="H431" s="26" t="str">
        <x:v>Key management log.</x:v>
      </x:c>
      <x:c r="I431" s="26" t="str">
        <x:v>25_Post_Launch_and_Live_Operations_Plan.md; 26_Privacy_Data_and_Telemetry_Plan.md; 28_Marketing_and_Communication_Plan.md</x:v>
      </x:c>
      <x:c r="J431" s="26" t="str">
        <x:v>Historical Steam/Marketing/QA plans and handoff records</x:v>
      </x:c>
      <x:c r="K431" s="26" t="str">
        <x:v>Release</x:v>
      </x:c>
      <x:c r="L431" s="26" t="str">
        <x:v>Yes</x:v>
      </x:c>
      <x:c r="M431" s="26" t="str">
        <x:v>P1</x:v>
      </x:c>
      <x:c r="N431" s="26" t="str">
        <x:v>Support/Community</x:v>
      </x:c>
      <x:c r="O431" s="26" t="str">
        <x:v>Production/Privacy</x:v>
      </x:c>
      <x:c r="P431" s="26" t="str">
        <x:v>NOT RUN</x:v>
      </x:c>
      <x:c r="Q431" s="26"/>
      <x:c r="R431" s="26"/>
      <x:c r="S431" s="26"/>
      <x:c r="T431" s="26"/>
      <x:c r="U431" s="26"/>
      <x:c r="V431" s="26"/>
      <x:c r="W431" s="26" t="n">
        <x:v>1</x:v>
      </x:c>
      <x:c r="X431" s="26" t="n">
        <x:v>0</x:v>
      </x:c>
      <x:c r="Y431" s="26" t="n">
        <x:v>1</x:v>
      </x:c>
      <x:c r="Z431" s="26" t="str">
        <x:v>PENDING</x:v>
      </x:c>
      <x:c r="AA431" s="26" t="str">
        <x:v>CHG-RC1-DOC-31</x:v>
      </x:c>
      <x:c r="AB431" s="26" t="str">
        <x:v>DEFINED / NOT EXECUTED</x:v>
      </x:c>
    </x:row>
    <x:row r="432" ht="30" customHeight="1">
      <x:c r="A432" s="26" t="str">
        <x:v>Release</x:v>
      </x:c>
      <x:c r="B432" s="26" t="str">
        <x:v>REL-SUP-009</x:v>
      </x:c>
      <x:c r="C432" s="26" t="str">
        <x:v>Comunidad, soporte y operaciones</x:v>
      </x:c>
      <x:c r="D432" s="26" t="str">
        <x:v>Release readiness</x:v>
      </x:c>
      <x:c r="E432" s="26" t="str">
        <x:v>Existe plan para reseñas negativas, review bombing y crisis sin manipulación.</x:v>
      </x:c>
      <x:c r="F432" s="26" t="str">
        <x:v>Revisar, ejecutar y registrar evidencia reproducible.</x:v>
      </x:c>
      <x:c r="G432" s="26" t="str">
        <x:v>Cumplimiento verificable antes del gate indicado.</x:v>
      </x:c>
      <x:c r="H432" s="26" t="str">
        <x:v>Reputation response guide.</x:v>
      </x:c>
      <x:c r="I432" s="26" t="str">
        <x:v>25_Post_Launch_and_Live_Operations_Plan.md; 26_Privacy_Data_and_Telemetry_Plan.md; 28_Marketing_and_Communication_Plan.md</x:v>
      </x:c>
      <x:c r="J432" s="26" t="str">
        <x:v>Historical Steam/Marketing/QA plans and handoff records</x:v>
      </x:c>
      <x:c r="K432" s="26" t="str">
        <x:v>Release</x:v>
      </x:c>
      <x:c r="L432" s="26" t="str">
        <x:v>Yes</x:v>
      </x:c>
      <x:c r="M432" s="26" t="str">
        <x:v>P1</x:v>
      </x:c>
      <x:c r="N432" s="26" t="str">
        <x:v>Support/Community</x:v>
      </x:c>
      <x:c r="O432" s="26" t="str">
        <x:v>Production/Privacy</x:v>
      </x:c>
      <x:c r="P432" s="26" t="str">
        <x:v>NOT RUN</x:v>
      </x:c>
      <x:c r="Q432" s="26"/>
      <x:c r="R432" s="26"/>
      <x:c r="S432" s="26"/>
      <x:c r="T432" s="26"/>
      <x:c r="U432" s="26"/>
      <x:c r="V432" s="26"/>
      <x:c r="W432" s="26" t="n">
        <x:v>1</x:v>
      </x:c>
      <x:c r="X432" s="26" t="n">
        <x:v>0</x:v>
      </x:c>
      <x:c r="Y432" s="26" t="n">
        <x:v>1</x:v>
      </x:c>
      <x:c r="Z432" s="26" t="str">
        <x:v>PENDING</x:v>
      </x:c>
      <x:c r="AA432" s="26" t="str">
        <x:v>CHG-RC1-DOC-31</x:v>
      </x:c>
      <x:c r="AB432" s="26" t="str">
        <x:v>DEFINED / NOT EXECUTED</x:v>
      </x:c>
    </x:row>
    <x:row r="433" ht="30" customHeight="1">
      <x:c r="A433" s="26" t="str">
        <x:v>Release</x:v>
      </x:c>
      <x:c r="B433" s="26" t="str">
        <x:v>REL-SUP-010</x:v>
      </x:c>
      <x:c r="C433" s="26" t="str">
        <x:v>Comunidad, soporte y operaciones</x:v>
      </x:c>
      <x:c r="D433" s="26" t="str">
        <x:v>Release readiness</x:v>
      </x:c>
      <x:c r="E433" s="26" t="str">
        <x:v>Las solicitudes de accesibilidad/localización se etiquetan y revisan por especialistas.</x:v>
      </x:c>
      <x:c r="F433" s="26" t="str">
        <x:v>Revisar, ejecutar y registrar evidencia reproducible.</x:v>
      </x:c>
      <x:c r="G433" s="26" t="str">
        <x:v>Cumplimiento verificable antes del gate indicado.</x:v>
      </x:c>
      <x:c r="H433" s="26" t="str">
        <x:v>Escalation routing.</x:v>
      </x:c>
      <x:c r="I433" s="26" t="str">
        <x:v>25_Post_Launch_and_Live_Operations_Plan.md; 26_Privacy_Data_and_Telemetry_Plan.md; 28_Marketing_and_Communication_Plan.md</x:v>
      </x:c>
      <x:c r="J433" s="26" t="str">
        <x:v>Historical Steam/Marketing/QA plans and handoff records</x:v>
      </x:c>
      <x:c r="K433" s="26" t="str">
        <x:v>Release</x:v>
      </x:c>
      <x:c r="L433" s="26" t="str">
        <x:v>Yes</x:v>
      </x:c>
      <x:c r="M433" s="26" t="str">
        <x:v>P1</x:v>
      </x:c>
      <x:c r="N433" s="26" t="str">
        <x:v>Support/Community</x:v>
      </x:c>
      <x:c r="O433" s="26" t="str">
        <x:v>Production/Privacy</x:v>
      </x:c>
      <x:c r="P433" s="26" t="str">
        <x:v>NOT RUN</x:v>
      </x:c>
      <x:c r="Q433" s="26"/>
      <x:c r="R433" s="26"/>
      <x:c r="S433" s="26"/>
      <x:c r="T433" s="26"/>
      <x:c r="U433" s="26"/>
      <x:c r="V433" s="26"/>
      <x:c r="W433" s="26" t="n">
        <x:v>1</x:v>
      </x:c>
      <x:c r="X433" s="26" t="n">
        <x:v>0</x:v>
      </x:c>
      <x:c r="Y433" s="26" t="n">
        <x:v>1</x:v>
      </x:c>
      <x:c r="Z433" s="26" t="str">
        <x:v>PENDING</x:v>
      </x:c>
      <x:c r="AA433" s="26" t="str">
        <x:v>CHG-RC1-DOC-31</x:v>
      </x:c>
      <x:c r="AB433" s="26" t="str">
        <x:v>DEFINED / NOT EXECUTED</x:v>
      </x:c>
    </x:row>
    <x:row r="434" ht="30" customHeight="1">
      <x:c r="A434" s="26" t="str">
        <x:v>Release</x:v>
      </x:c>
      <x:c r="B434" s="26" t="str">
        <x:v>REL-SUP-011</x:v>
      </x:c>
      <x:c r="C434" s="26" t="str">
        <x:v>Comunidad, soporte y operaciones</x:v>
      </x:c>
      <x:c r="D434" s="26" t="str">
        <x:v>Release readiness</x:v>
      </x:c>
      <x:c r="E434" s="26" t="str">
        <x:v>El soporte puede identificar versión/build sin pedir información compleja al usuario.</x:v>
      </x:c>
      <x:c r="F434" s="26" t="str">
        <x:v>Revisar, ejecutar y registrar evidencia reproducible.</x:v>
      </x:c>
      <x:c r="G434" s="26" t="str">
        <x:v>Cumplimiento verificable antes del gate indicado.</x:v>
      </x:c>
      <x:c r="H434" s="26" t="str">
        <x:v>Build identification UX.</x:v>
      </x:c>
      <x:c r="I434" s="26" t="str">
        <x:v>25_Post_Launch_and_Live_Operations_Plan.md; 26_Privacy_Data_and_Telemetry_Plan.md; 28_Marketing_and_Communication_Plan.md</x:v>
      </x:c>
      <x:c r="J434" s="26" t="str">
        <x:v>Historical Steam/Marketing/QA plans and handoff records</x:v>
      </x:c>
      <x:c r="K434" s="26" t="str">
        <x:v>Release</x:v>
      </x:c>
      <x:c r="L434" s="26" t="str">
        <x:v>Yes</x:v>
      </x:c>
      <x:c r="M434" s="26" t="str">
        <x:v>P1</x:v>
      </x:c>
      <x:c r="N434" s="26" t="str">
        <x:v>Support/Community</x:v>
      </x:c>
      <x:c r="O434" s="26" t="str">
        <x:v>Production/Privacy</x:v>
      </x:c>
      <x:c r="P434" s="26" t="str">
        <x:v>NOT RUN</x:v>
      </x:c>
      <x:c r="Q434" s="26"/>
      <x:c r="R434" s="26"/>
      <x:c r="S434" s="26"/>
      <x:c r="T434" s="26"/>
      <x:c r="U434" s="26"/>
      <x:c r="V434" s="26"/>
      <x:c r="W434" s="26" t="n">
        <x:v>1</x:v>
      </x:c>
      <x:c r="X434" s="26" t="n">
        <x:v>0</x:v>
      </x:c>
      <x:c r="Y434" s="26" t="n">
        <x:v>1</x:v>
      </x:c>
      <x:c r="Z434" s="26" t="str">
        <x:v>PENDING</x:v>
      </x:c>
      <x:c r="AA434" s="26" t="str">
        <x:v>CHG-RC1-DOC-31</x:v>
      </x:c>
      <x:c r="AB434" s="26" t="str">
        <x:v>DEFINED / NOT EXECUTED</x:v>
      </x:c>
    </x:row>
    <x:row r="435" ht="30" customHeight="1">
      <x:c r="A435" s="26" t="str">
        <x:v>Release</x:v>
      </x:c>
      <x:c r="B435" s="26" t="str">
        <x:v>REL-SUP-012</x:v>
      </x:c>
      <x:c r="C435" s="26" t="str">
        <x:v>Comunidad, soporte y operaciones</x:v>
      </x:c>
      <x:c r="D435" s="26" t="str">
        <x:v>Release readiness</x:v>
      </x:c>
      <x:c r="E435" s="26" t="str">
        <x:v>El handoff a post-launch incluye responsables, dashboards y backlog inicial.</x:v>
      </x:c>
      <x:c r="F435" s="26" t="str">
        <x:v>Revisar, ejecutar y registrar evidencia reproducible.</x:v>
      </x:c>
      <x:c r="G435" s="26" t="str">
        <x:v>Cumplimiento verificable antes del gate indicado.</x:v>
      </x:c>
      <x:c r="H435" s="26" t="str">
        <x:v>Live operations handoff.</x:v>
      </x:c>
      <x:c r="I435" s="26" t="str">
        <x:v>25_Post_Launch_and_Live_Operations_Plan.md; 26_Privacy_Data_and_Telemetry_Plan.md; 28_Marketing_and_Communication_Plan.md</x:v>
      </x:c>
      <x:c r="J435" s="26" t="str">
        <x:v>Historical Steam/Marketing/QA plans and handoff records</x:v>
      </x:c>
      <x:c r="K435" s="26" t="str">
        <x:v>Release</x:v>
      </x:c>
      <x:c r="L435" s="26" t="str">
        <x:v>Yes</x:v>
      </x:c>
      <x:c r="M435" s="26" t="str">
        <x:v>P1</x:v>
      </x:c>
      <x:c r="N435" s="26" t="str">
        <x:v>Support/Community</x:v>
      </x:c>
      <x:c r="O435" s="26" t="str">
        <x:v>Production/Privacy</x:v>
      </x:c>
      <x:c r="P435" s="26" t="str">
        <x:v>NOT RUN</x:v>
      </x:c>
      <x:c r="Q435" s="26"/>
      <x:c r="R435" s="26"/>
      <x:c r="S435" s="26"/>
      <x:c r="T435" s="26"/>
      <x:c r="U435" s="26"/>
      <x:c r="V435" s="26"/>
      <x:c r="W435" s="26" t="n">
        <x:v>1</x:v>
      </x:c>
      <x:c r="X435" s="26" t="n">
        <x:v>0</x:v>
      </x:c>
      <x:c r="Y435" s="26" t="n">
        <x:v>1</x:v>
      </x:c>
      <x:c r="Z435" s="26" t="str">
        <x:v>PENDING</x:v>
      </x:c>
      <x:c r="AA435" s="26" t="str">
        <x:v>CHG-RC1-DOC-31</x:v>
      </x:c>
      <x:c r="AB435" s="26" t="str">
        <x:v>DEFINED / NOT EXECUTED</x:v>
      </x:c>
    </x:row>
    <x:row r="436" ht="30" customHeight="1">
      <x:c r="A436" s="26" t="str">
        <x:v>Release</x:v>
      </x:c>
      <x:c r="B436" s="26" t="str">
        <x:v>REL-TEL-001</x:v>
      </x:c>
      <x:c r="C436" s="26" t="str">
        <x:v>Telemetría, crashes y datos</x:v>
      </x:c>
      <x:c r="D436" s="26" t="str">
        <x:v>Release readiness</x:v>
      </x:c>
      <x:c r="E436" s="26" t="str">
        <x:v>La telemetría es opcional por diseño de release salvo decisión y base documentadas.</x:v>
      </x:c>
      <x:c r="F436" s="26" t="str">
        <x:v>Revisar, ejecutar y registrar evidencia reproducible.</x:v>
      </x:c>
      <x:c r="G436" s="26" t="str">
        <x:v>Cumplimiento verificable antes del gate indicado.</x:v>
      </x:c>
      <x:c r="H436" s="26" t="str">
        <x:v>Telemetry go/no-go decision.</x:v>
      </x:c>
      <x:c r="I436" s="26" t="str">
        <x:v>26_Privacy_Data_and_Telemetry_Plan.md; 25_Post_Launch_and_Live_Operations_Plan.md</x:v>
      </x:c>
      <x:c r="J436" s="26" t="str">
        <x:v>Historically no dedicated telemetry plan; requirements distributed in QA/Steam/Legal</x:v>
      </x:c>
      <x:c r="K436" s="26" t="str">
        <x:v>Release</x:v>
      </x:c>
      <x:c r="L436" s="26" t="str">
        <x:v>Yes</x:v>
      </x:c>
      <x:c r="M436" s="26" t="str">
        <x:v>P1</x:v>
      </x:c>
      <x:c r="N436" s="26" t="str">
        <x:v>Data/Privacy</x:v>
      </x:c>
      <x:c r="O436" s="26" t="str">
        <x:v>Engineering/Legal</x:v>
      </x:c>
      <x:c r="P436" s="26" t="str">
        <x:v>NOT RUN</x:v>
      </x:c>
      <x:c r="Q436" s="26"/>
      <x:c r="R436" s="26"/>
      <x:c r="S436" s="26"/>
      <x:c r="T436" s="26"/>
      <x:c r="U436" s="26"/>
      <x:c r="V436" s="26"/>
      <x:c r="W436" s="26" t="n">
        <x:v>1</x:v>
      </x:c>
      <x:c r="X436" s="26" t="n">
        <x:v>0</x:v>
      </x:c>
      <x:c r="Y436" s="26" t="n">
        <x:v>1</x:v>
      </x:c>
      <x:c r="Z436" s="26" t="str">
        <x:v>PENDING</x:v>
      </x:c>
      <x:c r="AA436" s="26" t="str">
        <x:v>CHG-RC1-DOC-31</x:v>
      </x:c>
      <x:c r="AB436" s="26" t="str">
        <x:v>DEFINED / NOT EXECUTED</x:v>
      </x:c>
    </x:row>
    <x:row r="437" ht="30" customHeight="1">
      <x:c r="A437" s="26" t="str">
        <x:v>Release</x:v>
      </x:c>
      <x:c r="B437" s="26" t="str">
        <x:v>REL-TEL-002</x:v>
      </x:c>
      <x:c r="C437" s="26" t="str">
        <x:v>Telemetría, crashes y datos</x:v>
      </x:c>
      <x:c r="D437" s="26" t="str">
        <x:v>Release readiness</x:v>
      </x:c>
      <x:c r="E437" s="26" t="str">
        <x:v>Cada evento tiene propósito, campos, retención y owner definidos.</x:v>
      </x:c>
      <x:c r="F437" s="26" t="str">
        <x:v>Revisar, ejecutar y registrar evidencia reproducible.</x:v>
      </x:c>
      <x:c r="G437" s="26" t="str">
        <x:v>Cumplimiento verificable antes del gate indicado.</x:v>
      </x:c>
      <x:c r="H437" s="26" t="str">
        <x:v>Event schema register.</x:v>
      </x:c>
      <x:c r="I437" s="26" t="str">
        <x:v>26_Privacy_Data_and_Telemetry_Plan.md; 25_Post_Launch_and_Live_Operations_Plan.md</x:v>
      </x:c>
      <x:c r="J437" s="26" t="str">
        <x:v>Historically no dedicated telemetry plan; requirements distributed in QA/Steam/Legal</x:v>
      </x:c>
      <x:c r="K437" s="26" t="str">
        <x:v>Release</x:v>
      </x:c>
      <x:c r="L437" s="26" t="str">
        <x:v>Yes</x:v>
      </x:c>
      <x:c r="M437" s="26" t="str">
        <x:v>P1</x:v>
      </x:c>
      <x:c r="N437" s="26" t="str">
        <x:v>Data/Privacy</x:v>
      </x:c>
      <x:c r="O437" s="26" t="str">
        <x:v>Engineering/Legal</x:v>
      </x:c>
      <x:c r="P437" s="26" t="str">
        <x:v>NOT RUN</x:v>
      </x:c>
      <x:c r="Q437" s="26"/>
      <x:c r="R437" s="26"/>
      <x:c r="S437" s="26"/>
      <x:c r="T437" s="26"/>
      <x:c r="U437" s="26"/>
      <x:c r="V437" s="26"/>
      <x:c r="W437" s="26" t="n">
        <x:v>1</x:v>
      </x:c>
      <x:c r="X437" s="26" t="n">
        <x:v>0</x:v>
      </x:c>
      <x:c r="Y437" s="26" t="n">
        <x:v>1</x:v>
      </x:c>
      <x:c r="Z437" s="26" t="str">
        <x:v>PENDING</x:v>
      </x:c>
      <x:c r="AA437" s="26" t="str">
        <x:v>CHG-RC1-DOC-31</x:v>
      </x:c>
      <x:c r="AB437" s="26" t="str">
        <x:v>DEFINED / NOT EXECUTED</x:v>
      </x:c>
    </x:row>
    <x:row r="438" ht="30" customHeight="1">
      <x:c r="A438" s="26" t="str">
        <x:v>Release</x:v>
      </x:c>
      <x:c r="B438" s="26" t="str">
        <x:v>REL-TEL-003</x:v>
      </x:c>
      <x:c r="C438" s="26" t="str">
        <x:v>Telemetría, crashes y datos</x:v>
      </x:c>
      <x:c r="D438" s="26" t="str">
        <x:v>Release readiness</x:v>
      </x:c>
      <x:c r="E438" s="26" t="str">
        <x:v>No se recopila texto libre, contenido de save o identificadores innecesarios.</x:v>
      </x:c>
      <x:c r="F438" s="26" t="str">
        <x:v>Revisar, ejecutar y registrar evidencia reproducible.</x:v>
      </x:c>
      <x:c r="G438" s="26" t="str">
        <x:v>Cumplimiento verificable antes del gate indicado.</x:v>
      </x:c>
      <x:c r="H438" s="26" t="str">
        <x:v>Data minimization audit.</x:v>
      </x:c>
      <x:c r="I438" s="26" t="str">
        <x:v>26_Privacy_Data_and_Telemetry_Plan.md; 25_Post_Launch_and_Live_Operations_Plan.md</x:v>
      </x:c>
      <x:c r="J438" s="26" t="str">
        <x:v>Historically no dedicated telemetry plan; requirements distributed in QA/Steam/Legal</x:v>
      </x:c>
      <x:c r="K438" s="26" t="str">
        <x:v>Release</x:v>
      </x:c>
      <x:c r="L438" s="26" t="str">
        <x:v>Yes</x:v>
      </x:c>
      <x:c r="M438" s="26" t="str">
        <x:v>P1</x:v>
      </x:c>
      <x:c r="N438" s="26" t="str">
        <x:v>Data/Privacy</x:v>
      </x:c>
      <x:c r="O438" s="26" t="str">
        <x:v>Engineering/Legal</x:v>
      </x:c>
      <x:c r="P438" s="26" t="str">
        <x:v>NOT RUN</x:v>
      </x:c>
      <x:c r="Q438" s="26"/>
      <x:c r="R438" s="26"/>
      <x:c r="S438" s="26"/>
      <x:c r="T438" s="26"/>
      <x:c r="U438" s="26"/>
      <x:c r="V438" s="26"/>
      <x:c r="W438" s="26" t="n">
        <x:v>1</x:v>
      </x:c>
      <x:c r="X438" s="26" t="n">
        <x:v>0</x:v>
      </x:c>
      <x:c r="Y438" s="26" t="n">
        <x:v>1</x:v>
      </x:c>
      <x:c r="Z438" s="26" t="str">
        <x:v>PENDING</x:v>
      </x:c>
      <x:c r="AA438" s="26" t="str">
        <x:v>CHG-RC1-DOC-31</x:v>
      </x:c>
      <x:c r="AB438" s="26" t="str">
        <x:v>DEFINED / NOT EXECUTED</x:v>
      </x:c>
    </x:row>
    <x:row r="439" ht="30" customHeight="1">
      <x:c r="A439" s="26" t="str">
        <x:v>Release</x:v>
      </x:c>
      <x:c r="B439" s="26" t="str">
        <x:v>REL-TEL-004</x:v>
      </x:c>
      <x:c r="C439" s="26" t="str">
        <x:v>Telemetría, crashes y datos</x:v>
      </x:c>
      <x:c r="D439" s="26" t="str">
        <x:v>Release readiness</x:v>
      </x:c>
      <x:c r="E439" s="26" t="str">
        <x:v>Consentimiento, opt-out y estado offline funcionan cuando son necesarios.</x:v>
      </x:c>
      <x:c r="F439" s="26" t="str">
        <x:v>Revisar, ejecutar y registrar evidencia reproducible.</x:v>
      </x:c>
      <x:c r="G439" s="26" t="str">
        <x:v>Cumplimiento verificable antes del gate indicado.</x:v>
      </x:c>
      <x:c r="H439" s="26" t="str">
        <x:v>Consent/opt-out QA.</x:v>
      </x:c>
      <x:c r="I439" s="26" t="str">
        <x:v>26_Privacy_Data_and_Telemetry_Plan.md; 25_Post_Launch_and_Live_Operations_Plan.md</x:v>
      </x:c>
      <x:c r="J439" s="26" t="str">
        <x:v>Historically no dedicated telemetry plan; requirements distributed in QA/Steam/Legal</x:v>
      </x:c>
      <x:c r="K439" s="26" t="str">
        <x:v>Release</x:v>
      </x:c>
      <x:c r="L439" s="26" t="str">
        <x:v>Yes</x:v>
      </x:c>
      <x:c r="M439" s="26" t="str">
        <x:v>P1</x:v>
      </x:c>
      <x:c r="N439" s="26" t="str">
        <x:v>Data/Privacy</x:v>
      </x:c>
      <x:c r="O439" s="26" t="str">
        <x:v>Engineering/Legal</x:v>
      </x:c>
      <x:c r="P439" s="26" t="str">
        <x:v>NOT RUN</x:v>
      </x:c>
      <x:c r="Q439" s="26"/>
      <x:c r="R439" s="26"/>
      <x:c r="S439" s="26"/>
      <x:c r="T439" s="26"/>
      <x:c r="U439" s="26"/>
      <x:c r="V439" s="26"/>
      <x:c r="W439" s="26" t="n">
        <x:v>1</x:v>
      </x:c>
      <x:c r="X439" s="26" t="n">
        <x:v>0</x:v>
      </x:c>
      <x:c r="Y439" s="26" t="n">
        <x:v>1</x:v>
      </x:c>
      <x:c r="Z439" s="26" t="str">
        <x:v>PENDING</x:v>
      </x:c>
      <x:c r="AA439" s="26" t="str">
        <x:v>CHG-RC1-DOC-31</x:v>
      </x:c>
      <x:c r="AB439" s="26" t="str">
        <x:v>DEFINED / NOT EXECUTED</x:v>
      </x:c>
    </x:row>
    <x:row r="440" ht="30" customHeight="1">
      <x:c r="A440" s="26" t="str">
        <x:v>Release</x:v>
      </x:c>
      <x:c r="B440" s="26" t="str">
        <x:v>REL-TEL-005</x:v>
      </x:c>
      <x:c r="C440" s="26" t="str">
        <x:v>Telemetría, crashes y datos</x:v>
      </x:c>
      <x:c r="D440" s="26" t="str">
        <x:v>Release readiness</x:v>
      </x:c>
      <x:c r="E440" s="26" t="str">
        <x:v>Los crash reports se prueban sin enviar datos sensibles.</x:v>
      </x:c>
      <x:c r="F440" s="26" t="str">
        <x:v>Revisar, ejecutar y registrar evidencia reproducible.</x:v>
      </x:c>
      <x:c r="G440" s="26" t="str">
        <x:v>Cumplimiento verificable antes del gate indicado.</x:v>
      </x:c>
      <x:c r="H440" s="26" t="str">
        <x:v>Crash pipeline test.</x:v>
      </x:c>
      <x:c r="I440" s="26" t="str">
        <x:v>26_Privacy_Data_and_Telemetry_Plan.md; 25_Post_Launch_and_Live_Operations_Plan.md</x:v>
      </x:c>
      <x:c r="J440" s="26" t="str">
        <x:v>Historically no dedicated telemetry plan; requirements distributed in QA/Steam/Legal</x:v>
      </x:c>
      <x:c r="K440" s="26" t="str">
        <x:v>Release</x:v>
      </x:c>
      <x:c r="L440" s="26" t="str">
        <x:v>Yes</x:v>
      </x:c>
      <x:c r="M440" s="26" t="str">
        <x:v>P1</x:v>
      </x:c>
      <x:c r="N440" s="26" t="str">
        <x:v>Data/Privacy</x:v>
      </x:c>
      <x:c r="O440" s="26" t="str">
        <x:v>Engineering/Legal</x:v>
      </x:c>
      <x:c r="P440" s="26" t="str">
        <x:v>NOT RUN</x:v>
      </x:c>
      <x:c r="Q440" s="26"/>
      <x:c r="R440" s="26"/>
      <x:c r="S440" s="26"/>
      <x:c r="T440" s="26"/>
      <x:c r="U440" s="26"/>
      <x:c r="V440" s="26"/>
      <x:c r="W440" s="26" t="n">
        <x:v>1</x:v>
      </x:c>
      <x:c r="X440" s="26" t="n">
        <x:v>0</x:v>
      </x:c>
      <x:c r="Y440" s="26" t="n">
        <x:v>1</x:v>
      </x:c>
      <x:c r="Z440" s="26" t="str">
        <x:v>PENDING</x:v>
      </x:c>
      <x:c r="AA440" s="26" t="str">
        <x:v>CHG-RC1-DOC-31</x:v>
      </x:c>
      <x:c r="AB440" s="26" t="str">
        <x:v>DEFINED / NOT EXECUTED</x:v>
      </x:c>
    </x:row>
    <x:row r="441" ht="30" customHeight="1">
      <x:c r="A441" s="26" t="str">
        <x:v>Release</x:v>
      </x:c>
      <x:c r="B441" s="26" t="str">
        <x:v>REL-TEL-006</x:v>
      </x:c>
      <x:c r="C441" s="26" t="str">
        <x:v>Telemetría, crashes y datos</x:v>
      </x:c>
      <x:c r="D441" s="26" t="str">
        <x:v>Release readiness</x:v>
      </x:c>
      <x:c r="E441" s="26" t="str">
        <x:v>Los dashboards distinguen métricas de producto, calidad y marketing.</x:v>
      </x:c>
      <x:c r="F441" s="26" t="str">
        <x:v>Revisar, ejecutar y registrar evidencia reproducible.</x:v>
      </x:c>
      <x:c r="G441" s="26" t="str">
        <x:v>Cumplimiento verificable antes del gate indicado.</x:v>
      </x:c>
      <x:c r="H441" s="26" t="str">
        <x:v>Metrics governance review.</x:v>
      </x:c>
      <x:c r="I441" s="26" t="str">
        <x:v>26_Privacy_Data_and_Telemetry_Plan.md; 25_Post_Launch_and_Live_Operations_Plan.md</x:v>
      </x:c>
      <x:c r="J441" s="26" t="str">
        <x:v>Historically no dedicated telemetry plan; requirements distributed in QA/Steam/Legal</x:v>
      </x:c>
      <x:c r="K441" s="26" t="str">
        <x:v>Release</x:v>
      </x:c>
      <x:c r="L441" s="26" t="str">
        <x:v>Yes</x:v>
      </x:c>
      <x:c r="M441" s="26" t="str">
        <x:v>P1</x:v>
      </x:c>
      <x:c r="N441" s="26" t="str">
        <x:v>Data/Privacy</x:v>
      </x:c>
      <x:c r="O441" s="26" t="str">
        <x:v>Engineering/Legal</x:v>
      </x:c>
      <x:c r="P441" s="26" t="str">
        <x:v>NOT RUN</x:v>
      </x:c>
      <x:c r="Q441" s="26"/>
      <x:c r="R441" s="26"/>
      <x:c r="S441" s="26"/>
      <x:c r="T441" s="26"/>
      <x:c r="U441" s="26"/>
      <x:c r="V441" s="26"/>
      <x:c r="W441" s="26" t="n">
        <x:v>1</x:v>
      </x:c>
      <x:c r="X441" s="26" t="n">
        <x:v>0</x:v>
      </x:c>
      <x:c r="Y441" s="26" t="n">
        <x:v>1</x:v>
      </x:c>
      <x:c r="Z441" s="26" t="str">
        <x:v>PENDING</x:v>
      </x:c>
      <x:c r="AA441" s="26" t="str">
        <x:v>CHG-RC1-DOC-31</x:v>
      </x:c>
      <x:c r="AB441" s="26" t="str">
        <x:v>DEFINED / NOT EXECUTED</x:v>
      </x:c>
    </x:row>
    <x:row r="442" ht="30" customHeight="1">
      <x:c r="A442" s="26" t="str">
        <x:v>Release</x:v>
      </x:c>
      <x:c r="B442" s="26" t="str">
        <x:v>REL-TEL-007</x:v>
      </x:c>
      <x:c r="C442" s="26" t="str">
        <x:v>Telemetría, crashes y datos</x:v>
      </x:c>
      <x:c r="D442" s="26" t="str">
        <x:v>Release readiness</x:v>
      </x:c>
      <x:c r="E442" s="26" t="str">
        <x:v>Las métricas tienen plan de respuesta; no se recopilan datos sin uso operativo.</x:v>
      </x:c>
      <x:c r="F442" s="26" t="str">
        <x:v>Revisar, ejecutar y registrar evidencia reproducible.</x:v>
      </x:c>
      <x:c r="G442" s="26" t="str">
        <x:v>Cumplimiento verificable antes del gate indicado.</x:v>
      </x:c>
      <x:c r="H442" s="26" t="str">
        <x:v>Metric action mapping.</x:v>
      </x:c>
      <x:c r="I442" s="26" t="str">
        <x:v>26_Privacy_Data_and_Telemetry_Plan.md; 25_Post_Launch_and_Live_Operations_Plan.md</x:v>
      </x:c>
      <x:c r="J442" s="26" t="str">
        <x:v>Historically no dedicated telemetry plan; requirements distributed in QA/Steam/Legal</x:v>
      </x:c>
      <x:c r="K442" s="26" t="str">
        <x:v>Release</x:v>
      </x:c>
      <x:c r="L442" s="26" t="str">
        <x:v>Yes</x:v>
      </x:c>
      <x:c r="M442" s="26" t="str">
        <x:v>P1</x:v>
      </x:c>
      <x:c r="N442" s="26" t="str">
        <x:v>Data/Privacy</x:v>
      </x:c>
      <x:c r="O442" s="26" t="str">
        <x:v>Engineering/Legal</x:v>
      </x:c>
      <x:c r="P442" s="26" t="str">
        <x:v>NOT RUN</x:v>
      </x:c>
      <x:c r="Q442" s="26"/>
      <x:c r="R442" s="26"/>
      <x:c r="S442" s="26"/>
      <x:c r="T442" s="26"/>
      <x:c r="U442" s="26"/>
      <x:c r="V442" s="26"/>
      <x:c r="W442" s="26" t="n">
        <x:v>1</x:v>
      </x:c>
      <x:c r="X442" s="26" t="n">
        <x:v>0</x:v>
      </x:c>
      <x:c r="Y442" s="26" t="n">
        <x:v>1</x:v>
      </x:c>
      <x:c r="Z442" s="26" t="str">
        <x:v>PENDING</x:v>
      </x:c>
      <x:c r="AA442" s="26" t="str">
        <x:v>CHG-RC1-DOC-31</x:v>
      </x:c>
      <x:c r="AB442" s="26" t="str">
        <x:v>DEFINED / NOT EXECUTED</x:v>
      </x:c>
    </x:row>
    <x:row r="443" ht="30" customHeight="1">
      <x:c r="A443" s="26" t="str">
        <x:v>Release</x:v>
      </x:c>
      <x:c r="B443" s="26" t="str">
        <x:v>REL-TEL-008</x:v>
      </x:c>
      <x:c r="C443" s="26" t="str">
        <x:v>Telemetría, crashes y datos</x:v>
      </x:c>
      <x:c r="D443" s="26" t="str">
        <x:v>Release readiness</x:v>
      </x:c>
      <x:c r="E443" s="26" t="str">
        <x:v>Los proveedores y regiones de almacenamiento están registrados.</x:v>
      </x:c>
      <x:c r="F443" s="26" t="str">
        <x:v>Revisar, ejecutar y registrar evidencia reproducible.</x:v>
      </x:c>
      <x:c r="G443" s="26" t="str">
        <x:v>Cumplimiento verificable antes del gate indicado.</x:v>
      </x:c>
      <x:c r="H443" s="26" t="str">
        <x:v>Processor/data location register.</x:v>
      </x:c>
      <x:c r="I443" s="26" t="str">
        <x:v>26_Privacy_Data_and_Telemetry_Plan.md; 25_Post_Launch_and_Live_Operations_Plan.md</x:v>
      </x:c>
      <x:c r="J443" s="26" t="str">
        <x:v>Historically no dedicated telemetry plan; requirements distributed in QA/Steam/Legal</x:v>
      </x:c>
      <x:c r="K443" s="26" t="str">
        <x:v>Release</x:v>
      </x:c>
      <x:c r="L443" s="26" t="str">
        <x:v>Yes</x:v>
      </x:c>
      <x:c r="M443" s="26" t="str">
        <x:v>P1</x:v>
      </x:c>
      <x:c r="N443" s="26" t="str">
        <x:v>Data/Privacy</x:v>
      </x:c>
      <x:c r="O443" s="26" t="str">
        <x:v>Engineering/Legal</x:v>
      </x:c>
      <x:c r="P443" s="26" t="str">
        <x:v>NOT RUN</x:v>
      </x:c>
      <x:c r="Q443" s="26"/>
      <x:c r="R443" s="26"/>
      <x:c r="S443" s="26"/>
      <x:c r="T443" s="26"/>
      <x:c r="U443" s="26"/>
      <x:c r="V443" s="26"/>
      <x:c r="W443" s="26" t="n">
        <x:v>1</x:v>
      </x:c>
      <x:c r="X443" s="26" t="n">
        <x:v>0</x:v>
      </x:c>
      <x:c r="Y443" s="26" t="n">
        <x:v>1</x:v>
      </x:c>
      <x:c r="Z443" s="26" t="str">
        <x:v>PENDING</x:v>
      </x:c>
      <x:c r="AA443" s="26" t="str">
        <x:v>CHG-RC1-DOC-31</x:v>
      </x:c>
      <x:c r="AB443" s="26" t="str">
        <x:v>DEFINED / NOT EXECUTED</x:v>
      </x:c>
    </x:row>
    <x:row r="444" ht="30" customHeight="1">
      <x:c r="A444" s="26" t="str">
        <x:v>Release</x:v>
      </x:c>
      <x:c r="B444" s="26" t="str">
        <x:v>REL-TEL-009</x:v>
      </x:c>
      <x:c r="C444" s="26" t="str">
        <x:v>Telemetría, crashes y datos</x:v>
      </x:c>
      <x:c r="D444" s="26" t="str">
        <x:v>Release readiness</x:v>
      </x:c>
      <x:c r="E444" s="26" t="str">
        <x:v>La ausencia de red no bloquea el juego ni produce pérdida de datos.</x:v>
      </x:c>
      <x:c r="F444" s="26" t="str">
        <x:v>Revisar, ejecutar y registrar evidencia reproducible.</x:v>
      </x:c>
      <x:c r="G444" s="26" t="str">
        <x:v>Cumplimiento verificable antes del gate indicado.</x:v>
      </x:c>
      <x:c r="H444" s="26" t="str">
        <x:v>Offline telemetry test.</x:v>
      </x:c>
      <x:c r="I444" s="26" t="str">
        <x:v>26_Privacy_Data_and_Telemetry_Plan.md; 25_Post_Launch_and_Live_Operations_Plan.md</x:v>
      </x:c>
      <x:c r="J444" s="26" t="str">
        <x:v>Historically no dedicated telemetry plan; requirements distributed in QA/Steam/Legal</x:v>
      </x:c>
      <x:c r="K444" s="26" t="str">
        <x:v>Release</x:v>
      </x:c>
      <x:c r="L444" s="26" t="str">
        <x:v>Yes</x:v>
      </x:c>
      <x:c r="M444" s="26" t="str">
        <x:v>P1</x:v>
      </x:c>
      <x:c r="N444" s="26" t="str">
        <x:v>Data/Privacy</x:v>
      </x:c>
      <x:c r="O444" s="26" t="str">
        <x:v>Engineering/Legal</x:v>
      </x:c>
      <x:c r="P444" s="26" t="str">
        <x:v>NOT RUN</x:v>
      </x:c>
      <x:c r="Q444" s="26"/>
      <x:c r="R444" s="26"/>
      <x:c r="S444" s="26"/>
      <x:c r="T444" s="26"/>
      <x:c r="U444" s="26"/>
      <x:c r="V444" s="26"/>
      <x:c r="W444" s="26" t="n">
        <x:v>1</x:v>
      </x:c>
      <x:c r="X444" s="26" t="n">
        <x:v>0</x:v>
      </x:c>
      <x:c r="Y444" s="26" t="n">
        <x:v>1</x:v>
      </x:c>
      <x:c r="Z444" s="26" t="str">
        <x:v>PENDING</x:v>
      </x:c>
      <x:c r="AA444" s="26" t="str">
        <x:v>CHG-RC1-DOC-31</x:v>
      </x:c>
      <x:c r="AB444" s="26" t="str">
        <x:v>DEFINED / NOT EXECUTED</x:v>
      </x:c>
    </x:row>
    <x:row r="445" ht="30" customHeight="1">
      <x:c r="A445" s="26" t="str">
        <x:v>Release</x:v>
      </x:c>
      <x:c r="B445" s="26" t="str">
        <x:v>REL-TEL-010</x:v>
      </x:c>
      <x:c r="C445" s="26" t="str">
        <x:v>Telemetría, crashes y datos</x:v>
      </x:c>
      <x:c r="D445" s="26" t="str">
        <x:v>Release readiness</x:v>
      </x:c>
      <x:c r="E445" s="26" t="str">
        <x:v>El apagado o cambio de proveedor tiene procedimiento de exportación/borrado.</x:v>
      </x:c>
      <x:c r="F445" s="26" t="str">
        <x:v>Revisar, ejecutar y registrar evidencia reproducible.</x:v>
      </x:c>
      <x:c r="G445" s="26" t="str">
        <x:v>Cumplimiento verificable antes del gate indicado.</x:v>
      </x:c>
      <x:c r="H445" s="26" t="str">
        <x:v>Telemetry exit plan.</x:v>
      </x:c>
      <x:c r="I445" s="26" t="str">
        <x:v>26_Privacy_Data_and_Telemetry_Plan.md; 25_Post_Launch_and_Live_Operations_Plan.md</x:v>
      </x:c>
      <x:c r="J445" s="26" t="str">
        <x:v>Historically no dedicated telemetry plan; requirements distributed in QA/Steam/Legal</x:v>
      </x:c>
      <x:c r="K445" s="26" t="str">
        <x:v>Release</x:v>
      </x:c>
      <x:c r="L445" s="26" t="str">
        <x:v>Yes</x:v>
      </x:c>
      <x:c r="M445" s="26" t="str">
        <x:v>P1</x:v>
      </x:c>
      <x:c r="N445" s="26" t="str">
        <x:v>Data/Privacy</x:v>
      </x:c>
      <x:c r="O445" s="26" t="str">
        <x:v>Engineering/Legal</x:v>
      </x:c>
      <x:c r="P445" s="26" t="str">
        <x:v>NOT RUN</x:v>
      </x:c>
      <x:c r="Q445" s="26"/>
      <x:c r="R445" s="26"/>
      <x:c r="S445" s="26"/>
      <x:c r="T445" s="26"/>
      <x:c r="U445" s="26"/>
      <x:c r="V445" s="26"/>
      <x:c r="W445" s="26" t="n">
        <x:v>1</x:v>
      </x:c>
      <x:c r="X445" s="26" t="n">
        <x:v>0</x:v>
      </x:c>
      <x:c r="Y445" s="26" t="n">
        <x:v>1</x:v>
      </x:c>
      <x:c r="Z445" s="26" t="str">
        <x:v>PENDING</x:v>
      </x:c>
      <x:c r="AA445" s="26" t="str">
        <x:v>CHG-RC1-DOC-31</x:v>
      </x:c>
      <x:c r="AB445" s="26" t="str">
        <x:v>DEFINED / NOT EXECUTED</x:v>
      </x:c>
    </x:row>
    <x:row r="446" ht="30" customHeight="1">
      <x:c r="A446" s="26" t="str">
        <x:v>Release</x:v>
      </x:c>
      <x:c r="B446" s="26" t="str">
        <x:v>REL-COM-001</x:v>
      </x:c>
      <x:c r="C446" s="26" t="str">
        <x:v>Precio y preparación comercial</x:v>
      </x:c>
      <x:c r="D446" s="26" t="str">
        <x:v>Release readiness</x:v>
      </x:c>
      <x:c r="E446" s="26" t="str">
        <x:v>El precio y moneda base se deciden con posicionamiento, alcance y mercado revisados.</x:v>
      </x:c>
      <x:c r="F446" s="26" t="str">
        <x:v>Revisar, ejecutar y registrar evidencia reproducible.</x:v>
      </x:c>
      <x:c r="G446" s="26" t="str">
        <x:v>Cumplimiento verificable antes del gate indicado.</x:v>
      </x:c>
      <x:c r="H446" s="26" t="str">
        <x:v>Pricing decision record.</x:v>
      </x:c>
      <x:c r="I446" s="26" t="str">
        <x:v>24_Steam_Publishing_Plan.md; 28_Marketing_and_Communication_Plan.md</x:v>
      </x:c>
      <x:c r="J446" s="26" t="str">
        <x:v>Historical Marketing and Steam plans v0.3–v0.5</x:v>
      </x:c>
      <x:c r="K446" s="26" t="str">
        <x:v>Release</x:v>
      </x:c>
      <x:c r="L446" s="26" t="str">
        <x:v>Yes</x:v>
      </x:c>
      <x:c r="M446" s="26" t="str">
        <x:v>P1</x:v>
      </x:c>
      <x:c r="N446" s="26" t="str">
        <x:v>Business/Production</x:v>
      </x:c>
      <x:c r="O446" s="26" t="str">
        <x:v>Marketing/Legal</x:v>
      </x:c>
      <x:c r="P446" s="26" t="str">
        <x:v>NOT RUN</x:v>
      </x:c>
      <x:c r="Q446" s="26"/>
      <x:c r="R446" s="26"/>
      <x:c r="S446" s="26"/>
      <x:c r="T446" s="26"/>
      <x:c r="U446" s="26"/>
      <x:c r="V446" s="26"/>
      <x:c r="W446" s="26" t="n">
        <x:v>1</x:v>
      </x:c>
      <x:c r="X446" s="26" t="n">
        <x:v>0</x:v>
      </x:c>
      <x:c r="Y446" s="26" t="n">
        <x:v>1</x:v>
      </x:c>
      <x:c r="Z446" s="26" t="str">
        <x:v>PENDING</x:v>
      </x:c>
      <x:c r="AA446" s="26" t="str">
        <x:v>CHG-RC1-DOC-31</x:v>
      </x:c>
      <x:c r="AB446" s="26" t="str">
        <x:v>DEFINED / NOT EXECUTED</x:v>
      </x:c>
    </x:row>
    <x:row r="447" ht="30" customHeight="1">
      <x:c r="A447" s="26" t="str">
        <x:v>Release</x:v>
      </x:c>
      <x:c r="B447" s="26" t="str">
        <x:v>REL-COM-002</x:v>
      </x:c>
      <x:c r="C447" s="26" t="str">
        <x:v>Precio y preparación comercial</x:v>
      </x:c>
      <x:c r="D447" s="26" t="str">
        <x:v>Release readiness</x:v>
      </x:c>
      <x:c r="E447" s="26" t="str">
        <x:v>Descuentos de lanzamiento y calendario respetan políticas de Steam y márgenes.</x:v>
      </x:c>
      <x:c r="F447" s="26" t="str">
        <x:v>Revisar, ejecutar y registrar evidencia reproducible.</x:v>
      </x:c>
      <x:c r="G447" s="26" t="str">
        <x:v>Cumplimiento verificable antes del gate indicado.</x:v>
      </x:c>
      <x:c r="H447" s="26" t="str">
        <x:v>Discount plan.</x:v>
      </x:c>
      <x:c r="I447" s="26" t="str">
        <x:v>24_Steam_Publishing_Plan.md; 28_Marketing_and_Communication_Plan.md</x:v>
      </x:c>
      <x:c r="J447" s="26" t="str">
        <x:v>Historical Marketing and Steam plans v0.3–v0.5</x:v>
      </x:c>
      <x:c r="K447" s="26" t="str">
        <x:v>Release</x:v>
      </x:c>
      <x:c r="L447" s="26" t="str">
        <x:v>Yes</x:v>
      </x:c>
      <x:c r="M447" s="26" t="str">
        <x:v>P1</x:v>
      </x:c>
      <x:c r="N447" s="26" t="str">
        <x:v>Business/Production</x:v>
      </x:c>
      <x:c r="O447" s="26" t="str">
        <x:v>Marketing/Legal</x:v>
      </x:c>
      <x:c r="P447" s="26" t="str">
        <x:v>NOT RUN</x:v>
      </x:c>
      <x:c r="Q447" s="26"/>
      <x:c r="R447" s="26"/>
      <x:c r="S447" s="26"/>
      <x:c r="T447" s="26"/>
      <x:c r="U447" s="26"/>
      <x:c r="V447" s="26"/>
      <x:c r="W447" s="26" t="n">
        <x:v>1</x:v>
      </x:c>
      <x:c r="X447" s="26" t="n">
        <x:v>0</x:v>
      </x:c>
      <x:c r="Y447" s="26" t="n">
        <x:v>1</x:v>
      </x:c>
      <x:c r="Z447" s="26" t="str">
        <x:v>PENDING</x:v>
      </x:c>
      <x:c r="AA447" s="26" t="str">
        <x:v>CHG-RC1-DOC-31</x:v>
      </x:c>
      <x:c r="AB447" s="26" t="str">
        <x:v>DEFINED / NOT EXECUTED</x:v>
      </x:c>
    </x:row>
    <x:row r="448" ht="30" customHeight="1">
      <x:c r="A448" s="26" t="str">
        <x:v>Release</x:v>
      </x:c>
      <x:c r="B448" s="26" t="str">
        <x:v>REL-COM-003</x:v>
      </x:c>
      <x:c r="C448" s="26" t="str">
        <x:v>Precio y preparación comercial</x:v>
      </x:c>
      <x:c r="D448" s="26" t="str">
        <x:v>Release readiness</x:v>
      </x:c>
      <x:c r="E448" s="26" t="str">
        <x:v>Impuestos, datos fiscales y pagos de Steamworks están configurados.</x:v>
      </x:c>
      <x:c r="F448" s="26" t="str">
        <x:v>Revisar, ejecutar y registrar evidencia reproducible.</x:v>
      </x:c>
      <x:c r="G448" s="26" t="str">
        <x:v>Cumplimiento verificable antes del gate indicado.</x:v>
      </x:c>
      <x:c r="H448" s="26" t="str">
        <x:v>Commercial onboarding signoff.</x:v>
      </x:c>
      <x:c r="I448" s="26" t="str">
        <x:v>24_Steam_Publishing_Plan.md; 28_Marketing_and_Communication_Plan.md</x:v>
      </x:c>
      <x:c r="J448" s="26" t="str">
        <x:v>Historical Marketing and Steam plans v0.3–v0.5</x:v>
      </x:c>
      <x:c r="K448" s="26" t="str">
        <x:v>Release</x:v>
      </x:c>
      <x:c r="L448" s="26" t="str">
        <x:v>Yes</x:v>
      </x:c>
      <x:c r="M448" s="26" t="str">
        <x:v>P1</x:v>
      </x:c>
      <x:c r="N448" s="26" t="str">
        <x:v>Business/Production</x:v>
      </x:c>
      <x:c r="O448" s="26" t="str">
        <x:v>Marketing/Legal</x:v>
      </x:c>
      <x:c r="P448" s="26" t="str">
        <x:v>NOT RUN</x:v>
      </x:c>
      <x:c r="Q448" s="26"/>
      <x:c r="R448" s="26"/>
      <x:c r="S448" s="26"/>
      <x:c r="T448" s="26"/>
      <x:c r="U448" s="26"/>
      <x:c r="V448" s="26"/>
      <x:c r="W448" s="26" t="n">
        <x:v>1</x:v>
      </x:c>
      <x:c r="X448" s="26" t="n">
        <x:v>0</x:v>
      </x:c>
      <x:c r="Y448" s="26" t="n">
        <x:v>1</x:v>
      </x:c>
      <x:c r="Z448" s="26" t="str">
        <x:v>PENDING</x:v>
      </x:c>
      <x:c r="AA448" s="26" t="str">
        <x:v>CHG-RC1-DOC-31</x:v>
      </x:c>
      <x:c r="AB448" s="26" t="str">
        <x:v>DEFINED / NOT EXECUTED</x:v>
      </x:c>
    </x:row>
    <x:row r="449" ht="30" customHeight="1">
      <x:c r="A449" s="26" t="str">
        <x:v>Release</x:v>
      </x:c>
      <x:c r="B449" s="26" t="str">
        <x:v>REL-COM-004</x:v>
      </x:c>
      <x:c r="C449" s="26" t="str">
        <x:v>Precio y preparación comercial</x:v>
      </x:c>
      <x:c r="D449" s="26" t="str">
        <x:v>Release readiness</x:v>
      </x:c>
      <x:c r="E449" s="26" t="str">
        <x:v>La edición, contenido y derechos vendidos coinciden con la build.</x:v>
      </x:c>
      <x:c r="F449" s="26" t="str">
        <x:v>Revisar, ejecutar y registrar evidencia reproducible.</x:v>
      </x:c>
      <x:c r="G449" s="26" t="str">
        <x:v>Cumplimiento verificable antes del gate indicado.</x:v>
      </x:c>
      <x:c r="H449" s="26" t="str">
        <x:v>SKU/content matrix.</x:v>
      </x:c>
      <x:c r="I449" s="26" t="str">
        <x:v>24_Steam_Publishing_Plan.md; 28_Marketing_and_Communication_Plan.md</x:v>
      </x:c>
      <x:c r="J449" s="26" t="str">
        <x:v>Historical Marketing and Steam plans v0.3–v0.5</x:v>
      </x:c>
      <x:c r="K449" s="26" t="str">
        <x:v>Release</x:v>
      </x:c>
      <x:c r="L449" s="26" t="str">
        <x:v>Yes</x:v>
      </x:c>
      <x:c r="M449" s="26" t="str">
        <x:v>P1</x:v>
      </x:c>
      <x:c r="N449" s="26" t="str">
        <x:v>Business/Production</x:v>
      </x:c>
      <x:c r="O449" s="26" t="str">
        <x:v>Marketing/Legal</x:v>
      </x:c>
      <x:c r="P449" s="26" t="str">
        <x:v>NOT RUN</x:v>
      </x:c>
      <x:c r="Q449" s="26"/>
      <x:c r="R449" s="26"/>
      <x:c r="S449" s="26"/>
      <x:c r="T449" s="26"/>
      <x:c r="U449" s="26"/>
      <x:c r="V449" s="26"/>
      <x:c r="W449" s="26" t="n">
        <x:v>1</x:v>
      </x:c>
      <x:c r="X449" s="26" t="n">
        <x:v>0</x:v>
      </x:c>
      <x:c r="Y449" s="26" t="n">
        <x:v>1</x:v>
      </x:c>
      <x:c r="Z449" s="26" t="str">
        <x:v>PENDING</x:v>
      </x:c>
      <x:c r="AA449" s="26" t="str">
        <x:v>CHG-RC1-DOC-31</x:v>
      </x:c>
      <x:c r="AB449" s="26" t="str">
        <x:v>DEFINED / NOT EXECUTED</x:v>
      </x:c>
    </x:row>
    <x:row r="450" ht="30" customHeight="1">
      <x:c r="A450" s="26" t="str">
        <x:v>Release</x:v>
      </x:c>
      <x:c r="B450" s="26" t="str">
        <x:v>REL-COM-005</x:v>
      </x:c>
      <x:c r="C450" s="26" t="str">
        <x:v>Precio y preparación comercial</x:v>
      </x:c>
      <x:c r="D450" s="26" t="str">
        <x:v>Release readiness</x:v>
      </x:c>
      <x:c r="E450" s="26" t="str">
        <x:v>La política de claves promocionales tiene límites, tracking y prevención de abuso.</x:v>
      </x:c>
      <x:c r="F450" s="26" t="str">
        <x:v>Revisar, ejecutar y registrar evidencia reproducible.</x:v>
      </x:c>
      <x:c r="G450" s="26" t="str">
        <x:v>Cumplimiento verificable antes del gate indicado.</x:v>
      </x:c>
      <x:c r="H450" s="26" t="str">
        <x:v>Key distribution policy.</x:v>
      </x:c>
      <x:c r="I450" s="26" t="str">
        <x:v>24_Steam_Publishing_Plan.md; 28_Marketing_and_Communication_Plan.md</x:v>
      </x:c>
      <x:c r="J450" s="26" t="str">
        <x:v>Historical Marketing and Steam plans v0.3–v0.5</x:v>
      </x:c>
      <x:c r="K450" s="26" t="str">
        <x:v>Release</x:v>
      </x:c>
      <x:c r="L450" s="26" t="str">
        <x:v>Yes</x:v>
      </x:c>
      <x:c r="M450" s="26" t="str">
        <x:v>P1</x:v>
      </x:c>
      <x:c r="N450" s="26" t="str">
        <x:v>Business/Production</x:v>
      </x:c>
      <x:c r="O450" s="26" t="str">
        <x:v>Marketing/Legal</x:v>
      </x:c>
      <x:c r="P450" s="26" t="str">
        <x:v>NOT RUN</x:v>
      </x:c>
      <x:c r="Q450" s="26"/>
      <x:c r="R450" s="26"/>
      <x:c r="S450" s="26"/>
      <x:c r="T450" s="26"/>
      <x:c r="U450" s="26"/>
      <x:c r="V450" s="26"/>
      <x:c r="W450" s="26" t="n">
        <x:v>1</x:v>
      </x:c>
      <x:c r="X450" s="26" t="n">
        <x:v>0</x:v>
      </x:c>
      <x:c r="Y450" s="26" t="n">
        <x:v>1</x:v>
      </x:c>
      <x:c r="Z450" s="26" t="str">
        <x:v>PENDING</x:v>
      </x:c>
      <x:c r="AA450" s="26" t="str">
        <x:v>CHG-RC1-DOC-31</x:v>
      </x:c>
      <x:c r="AB450" s="26" t="str">
        <x:v>DEFINED / NOT EXECUTED</x:v>
      </x:c>
    </x:row>
    <x:row r="451" ht="30" customHeight="1">
      <x:c r="A451" s="26" t="str">
        <x:v>Release</x:v>
      </x:c>
      <x:c r="B451" s="26" t="str">
        <x:v>REL-COM-006</x:v>
      </x:c>
      <x:c r="C451" s="26" t="str">
        <x:v>Precio y preparación comercial</x:v>
      </x:c>
      <x:c r="D451" s="26" t="str">
        <x:v>Release readiness</x:v>
      </x:c>
      <x:c r="E451" s="26" t="str">
        <x:v>Las expectativas de duración, contenido y estado del producto son honestas.</x:v>
      </x:c>
      <x:c r="F451" s="26" t="str">
        <x:v>Revisar, ejecutar y registrar evidencia reproducible.</x:v>
      </x:c>
      <x:c r="G451" s="26" t="str">
        <x:v>Cumplimiento verificable antes del gate indicado.</x:v>
      </x:c>
      <x:c r="H451" s="26" t="str">
        <x:v>Value proposition review.</x:v>
      </x:c>
      <x:c r="I451" s="26" t="str">
        <x:v>24_Steam_Publishing_Plan.md; 28_Marketing_and_Communication_Plan.md</x:v>
      </x:c>
      <x:c r="J451" s="26" t="str">
        <x:v>Historical Marketing and Steam plans v0.3–v0.5</x:v>
      </x:c>
      <x:c r="K451" s="26" t="str">
        <x:v>Release</x:v>
      </x:c>
      <x:c r="L451" s="26" t="str">
        <x:v>Yes</x:v>
      </x:c>
      <x:c r="M451" s="26" t="str">
        <x:v>P1</x:v>
      </x:c>
      <x:c r="N451" s="26" t="str">
        <x:v>Business/Production</x:v>
      </x:c>
      <x:c r="O451" s="26" t="str">
        <x:v>Marketing/Legal</x:v>
      </x:c>
      <x:c r="P451" s="26" t="str">
        <x:v>NOT RUN</x:v>
      </x:c>
      <x:c r="Q451" s="26"/>
      <x:c r="R451" s="26"/>
      <x:c r="S451" s="26"/>
      <x:c r="T451" s="26"/>
      <x:c r="U451" s="26"/>
      <x:c r="V451" s="26"/>
      <x:c r="W451" s="26" t="n">
        <x:v>1</x:v>
      </x:c>
      <x:c r="X451" s="26" t="n">
        <x:v>0</x:v>
      </x:c>
      <x:c r="Y451" s="26" t="n">
        <x:v>1</x:v>
      </x:c>
      <x:c r="Z451" s="26" t="str">
        <x:v>PENDING</x:v>
      </x:c>
      <x:c r="AA451" s="26" t="str">
        <x:v>CHG-RC1-DOC-31</x:v>
      </x:c>
      <x:c r="AB451" s="26" t="str">
        <x:v>DEFINED / NOT EXECUTED</x:v>
      </x:c>
    </x:row>
    <x:row r="452" ht="30" customHeight="1">
      <x:c r="A452" s="26" t="str">
        <x:v>Release</x:v>
      </x:c>
      <x:c r="B452" s="26" t="str">
        <x:v>REL-COM-007</x:v>
      </x:c>
      <x:c r="C452" s="26" t="str">
        <x:v>Precio y preparación comercial</x:v>
      </x:c>
      <x:c r="D452" s="26" t="str">
        <x:v>Release readiness</x:v>
      </x:c>
      <x:c r="E452" s="26" t="str">
        <x:v>Las campañas o bundles no prometen integraciones no cerradas.</x:v>
      </x:c>
      <x:c r="F452" s="26" t="str">
        <x:v>Revisar, ejecutar y registrar evidencia reproducible.</x:v>
      </x:c>
      <x:c r="G452" s="26" t="str">
        <x:v>Cumplimiento verificable antes del gate indicado.</x:v>
      </x:c>
      <x:c r="H452" s="26" t="str">
        <x:v>Promotion claims review.</x:v>
      </x:c>
      <x:c r="I452" s="26" t="str">
        <x:v>24_Steam_Publishing_Plan.md; 28_Marketing_and_Communication_Plan.md</x:v>
      </x:c>
      <x:c r="J452" s="26" t="str">
        <x:v>Historical Marketing and Steam plans v0.3–v0.5</x:v>
      </x:c>
      <x:c r="K452" s="26" t="str">
        <x:v>Release</x:v>
      </x:c>
      <x:c r="L452" s="26" t="str">
        <x:v>Yes</x:v>
      </x:c>
      <x:c r="M452" s="26" t="str">
        <x:v>P1</x:v>
      </x:c>
      <x:c r="N452" s="26" t="str">
        <x:v>Business/Production</x:v>
      </x:c>
      <x:c r="O452" s="26" t="str">
        <x:v>Marketing/Legal</x:v>
      </x:c>
      <x:c r="P452" s="26" t="str">
        <x:v>NOT RUN</x:v>
      </x:c>
      <x:c r="Q452" s="26"/>
      <x:c r="R452" s="26"/>
      <x:c r="S452" s="26"/>
      <x:c r="T452" s="26"/>
      <x:c r="U452" s="26"/>
      <x:c r="V452" s="26"/>
      <x:c r="W452" s="26" t="n">
        <x:v>1</x:v>
      </x:c>
      <x:c r="X452" s="26" t="n">
        <x:v>0</x:v>
      </x:c>
      <x:c r="Y452" s="26" t="n">
        <x:v>1</x:v>
      </x:c>
      <x:c r="Z452" s="26" t="str">
        <x:v>PENDING</x:v>
      </x:c>
      <x:c r="AA452" s="26" t="str">
        <x:v>CHG-RC1-DOC-31</x:v>
      </x:c>
      <x:c r="AB452" s="26" t="str">
        <x:v>DEFINED / NOT EXECUTED</x:v>
      </x:c>
    </x:row>
    <x:row r="453" ht="30" customHeight="1">
      <x:c r="A453" s="26" t="str">
        <x:v>Release</x:v>
      </x:c>
      <x:c r="B453" s="26" t="str">
        <x:v>REL-COM-008</x:v>
      </x:c>
      <x:c r="C453" s="26" t="str">
        <x:v>Precio y preparación comercial</x:v>
      </x:c>
      <x:c r="D453" s="26" t="str">
        <x:v>Release readiness</x:v>
      </x:c>
      <x:c r="E453" s="26" t="str">
        <x:v>Existe presupuesto para soporte, localización, arte de tienda y contingencias de launch.</x:v>
      </x:c>
      <x:c r="F453" s="26" t="str">
        <x:v>Revisar, ejecutar y registrar evidencia reproducible.</x:v>
      </x:c>
      <x:c r="G453" s="26" t="str">
        <x:v>Cumplimiento verificable antes del gate indicado.</x:v>
      </x:c>
      <x:c r="H453" s="26" t="str">
        <x:v>Release budget.</x:v>
      </x:c>
      <x:c r="I453" s="26" t="str">
        <x:v>24_Steam_Publishing_Plan.md; 28_Marketing_and_Communication_Plan.md</x:v>
      </x:c>
      <x:c r="J453" s="26" t="str">
        <x:v>Historical Marketing and Steam plans v0.3–v0.5</x:v>
      </x:c>
      <x:c r="K453" s="26" t="str">
        <x:v>Release</x:v>
      </x:c>
      <x:c r="L453" s="26" t="str">
        <x:v>Yes</x:v>
      </x:c>
      <x:c r="M453" s="26" t="str">
        <x:v>P1</x:v>
      </x:c>
      <x:c r="N453" s="26" t="str">
        <x:v>Business/Production</x:v>
      </x:c>
      <x:c r="O453" s="26" t="str">
        <x:v>Marketing/Legal</x:v>
      </x:c>
      <x:c r="P453" s="26" t="str">
        <x:v>NOT RUN</x:v>
      </x:c>
      <x:c r="Q453" s="26"/>
      <x:c r="R453" s="26"/>
      <x:c r="S453" s="26"/>
      <x:c r="T453" s="26"/>
      <x:c r="U453" s="26"/>
      <x:c r="V453" s="26"/>
      <x:c r="W453" s="26" t="n">
        <x:v>1</x:v>
      </x:c>
      <x:c r="X453" s="26" t="n">
        <x:v>0</x:v>
      </x:c>
      <x:c r="Y453" s="26" t="n">
        <x:v>1</x:v>
      </x:c>
      <x:c r="Z453" s="26" t="str">
        <x:v>PENDING</x:v>
      </x:c>
      <x:c r="AA453" s="26" t="str">
        <x:v>CHG-RC1-DOC-31</x:v>
      </x:c>
      <x:c r="AB453" s="26" t="str">
        <x:v>DEFINED / NOT EXECUTED</x:v>
      </x:c>
    </x:row>
    <x:row r="454" ht="30" customHeight="1">
      <x:c r="A454" s="26" t="str">
        <x:v>Release</x:v>
      </x:c>
      <x:c r="B454" s="26" t="str">
        <x:v>REL-COM-009</x:v>
      </x:c>
      <x:c r="C454" s="26" t="str">
        <x:v>Precio y preparación comercial</x:v>
      </x:c>
      <x:c r="D454" s="26" t="str">
        <x:v>Release readiness</x:v>
      </x:c>
      <x:c r="E454" s="26" t="str">
        <x:v>Los escenarios de ventas bajos/altos tienen respuesta operativa.</x:v>
      </x:c>
      <x:c r="F454" s="26" t="str">
        <x:v>Revisar, ejecutar y registrar evidencia reproducible.</x:v>
      </x:c>
      <x:c r="G454" s="26" t="str">
        <x:v>Cumplimiento verificable antes del gate indicado.</x:v>
      </x:c>
      <x:c r="H454" s="26" t="str">
        <x:v>Commercial contingency plan.</x:v>
      </x:c>
      <x:c r="I454" s="26" t="str">
        <x:v>24_Steam_Publishing_Plan.md; 28_Marketing_and_Communication_Plan.md</x:v>
      </x:c>
      <x:c r="J454" s="26" t="str">
        <x:v>Historical Marketing and Steam plans v0.3–v0.5</x:v>
      </x:c>
      <x:c r="K454" s="26" t="str">
        <x:v>Release</x:v>
      </x:c>
      <x:c r="L454" s="26" t="str">
        <x:v>Yes</x:v>
      </x:c>
      <x:c r="M454" s="26" t="str">
        <x:v>P1</x:v>
      </x:c>
      <x:c r="N454" s="26" t="str">
        <x:v>Business/Production</x:v>
      </x:c>
      <x:c r="O454" s="26" t="str">
        <x:v>Marketing/Legal</x:v>
      </x:c>
      <x:c r="P454" s="26" t="str">
        <x:v>NOT RUN</x:v>
      </x:c>
      <x:c r="Q454" s="26"/>
      <x:c r="R454" s="26"/>
      <x:c r="S454" s="26"/>
      <x:c r="T454" s="26"/>
      <x:c r="U454" s="26"/>
      <x:c r="V454" s="26"/>
      <x:c r="W454" s="26" t="n">
        <x:v>1</x:v>
      </x:c>
      <x:c r="X454" s="26" t="n">
        <x:v>0</x:v>
      </x:c>
      <x:c r="Y454" s="26" t="n">
        <x:v>1</x:v>
      </x:c>
      <x:c r="Z454" s="26" t="str">
        <x:v>PENDING</x:v>
      </x:c>
      <x:c r="AA454" s="26" t="str">
        <x:v>CHG-RC1-DOC-31</x:v>
      </x:c>
      <x:c r="AB454" s="26" t="str">
        <x:v>DEFINED / NOT EXECUTED</x:v>
      </x:c>
    </x:row>
    <x:row r="455" ht="30" customHeight="1">
      <x:c r="A455" s="26" t="str">
        <x:v>Release</x:v>
      </x:c>
      <x:c r="B455" s="26" t="str">
        <x:v>REL-COM-010</x:v>
      </x:c>
      <x:c r="C455" s="26" t="str">
        <x:v>Precio y preparación comercial</x:v>
      </x:c>
      <x:c r="D455" s="26" t="str">
        <x:v>Release readiness</x:v>
      </x:c>
      <x:c r="E455" s="26" t="str">
        <x:v>La decisión de Early Access, demo o full launch está explícita y justificada.</x:v>
      </x:c>
      <x:c r="F455" s="26" t="str">
        <x:v>Revisar, ejecutar y registrar evidencia reproducible.</x:v>
      </x:c>
      <x:c r="G455" s="26" t="str">
        <x:v>Cumplimiento verificable antes del gate indicado.</x:v>
      </x:c>
      <x:c r="H455" s="26" t="str">
        <x:v>Release model decision.</x:v>
      </x:c>
      <x:c r="I455" s="26" t="str">
        <x:v>24_Steam_Publishing_Plan.md; 28_Marketing_and_Communication_Plan.md</x:v>
      </x:c>
      <x:c r="J455" s="26" t="str">
        <x:v>Historical Marketing and Steam plans v0.3–v0.5</x:v>
      </x:c>
      <x:c r="K455" s="26" t="str">
        <x:v>Release</x:v>
      </x:c>
      <x:c r="L455" s="26" t="str">
        <x:v>Yes</x:v>
      </x:c>
      <x:c r="M455" s="26" t="str">
        <x:v>P1</x:v>
      </x:c>
      <x:c r="N455" s="26" t="str">
        <x:v>Business/Production</x:v>
      </x:c>
      <x:c r="O455" s="26" t="str">
        <x:v>Marketing/Legal</x:v>
      </x:c>
      <x:c r="P455" s="26" t="str">
        <x:v>NOT RUN</x:v>
      </x:c>
      <x:c r="Q455" s="26"/>
      <x:c r="R455" s="26"/>
      <x:c r="S455" s="26"/>
      <x:c r="T455" s="26"/>
      <x:c r="U455" s="26"/>
      <x:c r="V455" s="26"/>
      <x:c r="W455" s="26" t="n">
        <x:v>1</x:v>
      </x:c>
      <x:c r="X455" s="26" t="n">
        <x:v>0</x:v>
      </x:c>
      <x:c r="Y455" s="26" t="n">
        <x:v>1</x:v>
      </x:c>
      <x:c r="Z455" s="26" t="str">
        <x:v>PENDING</x:v>
      </x:c>
      <x:c r="AA455" s="26" t="str">
        <x:v>CHG-RC1-DOC-31</x:v>
      </x:c>
      <x:c r="AB455" s="26" t="str">
        <x:v>DEFINED / NOT EXECUTED</x:v>
      </x:c>
    </x:row>
    <x:row r="456" ht="30" customHeight="1">
      <x:c r="A456" s="26" t="str">
        <x:v>Release</x:v>
      </x:c>
      <x:c r="B456" s="26" t="str">
        <x:v>REL-LIVE-001</x:v>
      </x:c>
      <x:c r="C456" s="26" t="str">
        <x:v>Post-lanzamiento, rollback y continuidad</x:v>
      </x:c>
      <x:c r="D456" s="26" t="str">
        <x:v>Release readiness</x:v>
      </x:c>
      <x:c r="E456" s="26" t="str">
        <x:v>Existe plan de monitorización y triage para las primeras horas/días.</x:v>
      </x:c>
      <x:c r="F456" s="26" t="str">
        <x:v>Revisar, ejecutar y registrar evidencia reproducible.</x:v>
      </x:c>
      <x:c r="G456" s="26" t="str">
        <x:v>Cumplimiento verificable antes del gate indicado.</x:v>
      </x:c>
      <x:c r="H456" s="26" t="str">
        <x:v>Launch monitoring plan.</x:v>
      </x:c>
      <x:c r="I456" s="26" t="str">
        <x:v>25_Post_Launch_and_Live_Operations_Plan.md; 27_Security_and_Incident_Response_Plan.md; 33_Project_Risk_Register_and_Business_Continuity_Plan.xlsx (futuro)</x:v>
      </x:c>
      <x:c r="J456" s="26" t="str">
        <x:v>Historical build/Steam/handoff records v0.3–v0.6</x:v>
      </x:c>
      <x:c r="K456" s="26" t="str">
        <x:v>Release</x:v>
      </x:c>
      <x:c r="L456" s="26" t="str">
        <x:v>Yes</x:v>
      </x:c>
      <x:c r="M456" s="26" t="str">
        <x:v>P0</x:v>
      </x:c>
      <x:c r="N456" s="26" t="str">
        <x:v>Live Operations/Production</x:v>
      </x:c>
      <x:c r="O456" s="26" t="str">
        <x:v>Engineering/QA/Support</x:v>
      </x:c>
      <x:c r="P456" s="26" t="str">
        <x:v>NOT RUN</x:v>
      </x:c>
      <x:c r="Q456" s="26"/>
      <x:c r="R456" s="26"/>
      <x:c r="S456" s="26"/>
      <x:c r="T456" s="26"/>
      <x:c r="U456" s="26"/>
      <x:c r="V456" s="26"/>
      <x:c r="W456" s="26" t="n">
        <x:v>1</x:v>
      </x:c>
      <x:c r="X456" s="26" t="n">
        <x:v>0</x:v>
      </x:c>
      <x:c r="Y456" s="26" t="n">
        <x:v>1</x:v>
      </x:c>
      <x:c r="Z456" s="26" t="str">
        <x:v>PENDING</x:v>
      </x:c>
      <x:c r="AA456" s="26" t="str">
        <x:v>CHG-RC1-DOC-31</x:v>
      </x:c>
      <x:c r="AB456" s="26" t="str">
        <x:v>DEFINED / NOT EXECUTED</x:v>
      </x:c>
    </x:row>
    <x:row r="457" ht="30" customHeight="1">
      <x:c r="A457" s="26" t="str">
        <x:v>Release</x:v>
      </x:c>
      <x:c r="B457" s="26" t="str">
        <x:v>REL-LIVE-002</x:v>
      </x:c>
      <x:c r="C457" s="26" t="str">
        <x:v>Post-lanzamiento, rollback y continuidad</x:v>
      </x:c>
      <x:c r="D457" s="26" t="str">
        <x:v>Release readiness</x:v>
      </x:c>
      <x:c r="E457" s="26" t="str">
        <x:v>La RC de rollback y procedimiento de reversión están probados.</x:v>
      </x:c>
      <x:c r="F457" s="26" t="str">
        <x:v>Revisar, ejecutar y registrar evidencia reproducible.</x:v>
      </x:c>
      <x:c r="G457" s="26" t="str">
        <x:v>Cumplimiento verificable antes del gate indicado.</x:v>
      </x:c>
      <x:c r="H457" s="26" t="str">
        <x:v>Rollback rehearsal.</x:v>
      </x:c>
      <x:c r="I457" s="26" t="str">
        <x:v>25_Post_Launch_and_Live_Operations_Plan.md; 27_Security_and_Incident_Response_Plan.md; 33_Project_Risk_Register_and_Business_Continuity_Plan.xlsx (futuro)</x:v>
      </x:c>
      <x:c r="J457" s="26" t="str">
        <x:v>Historical build/Steam/handoff records v0.3–v0.6</x:v>
      </x:c>
      <x:c r="K457" s="26" t="str">
        <x:v>Release</x:v>
      </x:c>
      <x:c r="L457" s="26" t="str">
        <x:v>Yes</x:v>
      </x:c>
      <x:c r="M457" s="26" t="str">
        <x:v>P0</x:v>
      </x:c>
      <x:c r="N457" s="26" t="str">
        <x:v>Live Operations/Production</x:v>
      </x:c>
      <x:c r="O457" s="26" t="str">
        <x:v>Engineering/QA/Support</x:v>
      </x:c>
      <x:c r="P457" s="26" t="str">
        <x:v>NOT RUN</x:v>
      </x:c>
      <x:c r="Q457" s="26"/>
      <x:c r="R457" s="26"/>
      <x:c r="S457" s="26"/>
      <x:c r="T457" s="26"/>
      <x:c r="U457" s="26"/>
      <x:c r="V457" s="26"/>
      <x:c r="W457" s="26" t="n">
        <x:v>1</x:v>
      </x:c>
      <x:c r="X457" s="26" t="n">
        <x:v>0</x:v>
      </x:c>
      <x:c r="Y457" s="26" t="n">
        <x:v>1</x:v>
      </x:c>
      <x:c r="Z457" s="26" t="str">
        <x:v>PENDING</x:v>
      </x:c>
      <x:c r="AA457" s="26" t="str">
        <x:v>CHG-RC1-DOC-31</x:v>
      </x:c>
      <x:c r="AB457" s="26" t="str">
        <x:v>DEFINED / NOT EXECUTED</x:v>
      </x:c>
    </x:row>
    <x:row r="458" ht="30" customHeight="1">
      <x:c r="A458" s="26" t="str">
        <x:v>Release</x:v>
      </x:c>
      <x:c r="B458" s="26" t="str">
        <x:v>REL-LIVE-003</x:v>
      </x:c>
      <x:c r="C458" s="26" t="str">
        <x:v>Post-lanzamiento, rollback y continuidad</x:v>
      </x:c>
      <x:c r="D458" s="26" t="str">
        <x:v>Release readiness</x:v>
      </x:c>
      <x:c r="E458" s="26" t="str">
        <x:v>Los criterios para hotfix, patch, rollback y comunicación están definidos.</x:v>
      </x:c>
      <x:c r="F458" s="26" t="str">
        <x:v>Revisar, ejecutar y registrar evidencia reproducible.</x:v>
      </x:c>
      <x:c r="G458" s="26" t="str">
        <x:v>Cumplimiento verificable antes del gate indicado.</x:v>
      </x:c>
      <x:c r="H458" s="26" t="str">
        <x:v>Patch decision matrix.</x:v>
      </x:c>
      <x:c r="I458" s="26" t="str">
        <x:v>25_Post_Launch_and_Live_Operations_Plan.md; 27_Security_and_Incident_Response_Plan.md; 33_Project_Risk_Register_and_Business_Continuity_Plan.xlsx (futuro)</x:v>
      </x:c>
      <x:c r="J458" s="26" t="str">
        <x:v>Historical build/Steam/handoff records v0.3–v0.6</x:v>
      </x:c>
      <x:c r="K458" s="26" t="str">
        <x:v>Release</x:v>
      </x:c>
      <x:c r="L458" s="26" t="str">
        <x:v>Yes</x:v>
      </x:c>
      <x:c r="M458" s="26" t="str">
        <x:v>P1</x:v>
      </x:c>
      <x:c r="N458" s="26" t="str">
        <x:v>Live Operations/Production</x:v>
      </x:c>
      <x:c r="O458" s="26" t="str">
        <x:v>Engineering/QA/Support</x:v>
      </x:c>
      <x:c r="P458" s="26" t="str">
        <x:v>NOT RUN</x:v>
      </x:c>
      <x:c r="Q458" s="26"/>
      <x:c r="R458" s="26"/>
      <x:c r="S458" s="26"/>
      <x:c r="T458" s="26"/>
      <x:c r="U458" s="26"/>
      <x:c r="V458" s="26"/>
      <x:c r="W458" s="26" t="n">
        <x:v>1</x:v>
      </x:c>
      <x:c r="X458" s="26" t="n">
        <x:v>0</x:v>
      </x:c>
      <x:c r="Y458" s="26" t="n">
        <x:v>1</x:v>
      </x:c>
      <x:c r="Z458" s="26" t="str">
        <x:v>PENDING</x:v>
      </x:c>
      <x:c r="AA458" s="26" t="str">
        <x:v>CHG-RC1-DOC-31</x:v>
      </x:c>
      <x:c r="AB458" s="26" t="str">
        <x:v>DEFINED / NOT EXECUTED</x:v>
      </x:c>
    </x:row>
    <x:row r="459" ht="30" customHeight="1">
      <x:c r="A459" s="26" t="str">
        <x:v>Release</x:v>
      </x:c>
      <x:c r="B459" s="26" t="str">
        <x:v>REL-LIVE-004</x:v>
      </x:c>
      <x:c r="C459" s="26" t="str">
        <x:v>Post-lanzamiento, rollback y continuidad</x:v>
      </x:c>
      <x:c r="D459" s="26" t="str">
        <x:v>Release readiness</x:v>
      </x:c>
      <x:c r="E459" s="26" t="str">
        <x:v>El pipeline puede producir un hotfix reproducible sin cambios colaterales.</x:v>
      </x:c>
      <x:c r="F459" s="26" t="str">
        <x:v>Revisar, ejecutar y registrar evidencia reproducible.</x:v>
      </x:c>
      <x:c r="G459" s="26" t="str">
        <x:v>Cumplimiento verificable antes del gate indicado.</x:v>
      </x:c>
      <x:c r="H459" s="26" t="str">
        <x:v>Hotfix drill.</x:v>
      </x:c>
      <x:c r="I459" s="26" t="str">
        <x:v>25_Post_Launch_and_Live_Operations_Plan.md; 27_Security_and_Incident_Response_Plan.md; 33_Project_Risk_Register_and_Business_Continuity_Plan.xlsx (futuro)</x:v>
      </x:c>
      <x:c r="J459" s="26" t="str">
        <x:v>Historical build/Steam/handoff records v0.3–v0.6</x:v>
      </x:c>
      <x:c r="K459" s="26" t="str">
        <x:v>Release</x:v>
      </x:c>
      <x:c r="L459" s="26" t="str">
        <x:v>Yes</x:v>
      </x:c>
      <x:c r="M459" s="26" t="str">
        <x:v>P1</x:v>
      </x:c>
      <x:c r="N459" s="26" t="str">
        <x:v>Live Operations/Production</x:v>
      </x:c>
      <x:c r="O459" s="26" t="str">
        <x:v>Engineering/QA/Support</x:v>
      </x:c>
      <x:c r="P459" s="26" t="str">
        <x:v>NOT RUN</x:v>
      </x:c>
      <x:c r="Q459" s="26"/>
      <x:c r="R459" s="26"/>
      <x:c r="S459" s="26"/>
      <x:c r="T459" s="26"/>
      <x:c r="U459" s="26"/>
      <x:c r="V459" s="26"/>
      <x:c r="W459" s="26" t="n">
        <x:v>1</x:v>
      </x:c>
      <x:c r="X459" s="26" t="n">
        <x:v>0</x:v>
      </x:c>
      <x:c r="Y459" s="26" t="n">
        <x:v>1</x:v>
      </x:c>
      <x:c r="Z459" s="26" t="str">
        <x:v>PENDING</x:v>
      </x:c>
      <x:c r="AA459" s="26" t="str">
        <x:v>CHG-RC1-DOC-31</x:v>
      </x:c>
      <x:c r="AB459" s="26" t="str">
        <x:v>DEFINED / NOT EXECUTED</x:v>
      </x:c>
    </x:row>
    <x:row r="460" ht="30" customHeight="1">
      <x:c r="A460" s="26" t="str">
        <x:v>Release</x:v>
      </x:c>
      <x:c r="B460" s="26" t="str">
        <x:v>REL-LIVE-005</x:v>
      </x:c>
      <x:c r="C460" s="26" t="str">
        <x:v>Post-lanzamiento, rollback y continuidad</x:v>
      </x:c>
      <x:c r="D460" s="26" t="str">
        <x:v>Release readiness</x:v>
      </x:c>
      <x:c r="E460" s="26" t="str">
        <x:v>Los saves se respaldan y migran de forma segura entre parches.</x:v>
      </x:c>
      <x:c r="F460" s="26" t="str">
        <x:v>Revisar, ejecutar y registrar evidencia reproducible.</x:v>
      </x:c>
      <x:c r="G460" s="26" t="str">
        <x:v>Cumplimiento verificable antes del gate indicado.</x:v>
      </x:c>
      <x:c r="H460" s="26" t="str">
        <x:v>Patch save compatibility report.</x:v>
      </x:c>
      <x:c r="I460" s="26" t="str">
        <x:v>25_Post_Launch_and_Live_Operations_Plan.md; 27_Security_and_Incident_Response_Plan.md; 33_Project_Risk_Register_and_Business_Continuity_Plan.xlsx (futuro)</x:v>
      </x:c>
      <x:c r="J460" s="26" t="str">
        <x:v>Historical build/Steam/handoff records v0.3–v0.6</x:v>
      </x:c>
      <x:c r="K460" s="26" t="str">
        <x:v>Release</x:v>
      </x:c>
      <x:c r="L460" s="26" t="str">
        <x:v>Yes</x:v>
      </x:c>
      <x:c r="M460" s="26" t="str">
        <x:v>P1</x:v>
      </x:c>
      <x:c r="N460" s="26" t="str">
        <x:v>Live Operations/Production</x:v>
      </x:c>
      <x:c r="O460" s="26" t="str">
        <x:v>Engineering/QA/Support</x:v>
      </x:c>
      <x:c r="P460" s="26" t="str">
        <x:v>NOT RUN</x:v>
      </x:c>
      <x:c r="Q460" s="26"/>
      <x:c r="R460" s="26"/>
      <x:c r="S460" s="26"/>
      <x:c r="T460" s="26"/>
      <x:c r="U460" s="26"/>
      <x:c r="V460" s="26"/>
      <x:c r="W460" s="26" t="n">
        <x:v>1</x:v>
      </x:c>
      <x:c r="X460" s="26" t="n">
        <x:v>0</x:v>
      </x:c>
      <x:c r="Y460" s="26" t="n">
        <x:v>1</x:v>
      </x:c>
      <x:c r="Z460" s="26" t="str">
        <x:v>PENDING</x:v>
      </x:c>
      <x:c r="AA460" s="26" t="str">
        <x:v>CHG-RC1-DOC-31</x:v>
      </x:c>
      <x:c r="AB460" s="26" t="str">
        <x:v>DEFINED / NOT EXECUTED</x:v>
      </x:c>
    </x:row>
    <x:row r="461" ht="30" customHeight="1">
      <x:c r="A461" s="26" t="str">
        <x:v>Release</x:v>
      </x:c>
      <x:c r="B461" s="26" t="str">
        <x:v>REL-LIVE-006</x:v>
      </x:c>
      <x:c r="C461" s="26" t="str">
        <x:v>Post-lanzamiento, rollback y continuidad</x:v>
      </x:c>
      <x:c r="D461" s="26" t="str">
        <x:v>Release readiness</x:v>
      </x:c>
      <x:c r="E461" s="26" t="str">
        <x:v>Los known issues y workaround pueden publicarse rápidamente.</x:v>
      </x:c>
      <x:c r="F461" s="26" t="str">
        <x:v>Revisar, ejecutar y registrar evidencia reproducible.</x:v>
      </x:c>
      <x:c r="G461" s="26" t="str">
        <x:v>Cumplimiento verificable antes del gate indicado.</x:v>
      </x:c>
      <x:c r="H461" s="26" t="str">
        <x:v>Known issues workflow.</x:v>
      </x:c>
      <x:c r="I461" s="26" t="str">
        <x:v>25_Post_Launch_and_Live_Operations_Plan.md; 27_Security_and_Incident_Response_Plan.md; 33_Project_Risk_Register_and_Business_Continuity_Plan.xlsx (futuro)</x:v>
      </x:c>
      <x:c r="J461" s="26" t="str">
        <x:v>Historical build/Steam/handoff records v0.3–v0.6</x:v>
      </x:c>
      <x:c r="K461" s="26" t="str">
        <x:v>Release</x:v>
      </x:c>
      <x:c r="L461" s="26" t="str">
        <x:v>Yes</x:v>
      </x:c>
      <x:c r="M461" s="26" t="str">
        <x:v>P1</x:v>
      </x:c>
      <x:c r="N461" s="26" t="str">
        <x:v>Live Operations/Production</x:v>
      </x:c>
      <x:c r="O461" s="26" t="str">
        <x:v>Engineering/QA/Support</x:v>
      </x:c>
      <x:c r="P461" s="26" t="str">
        <x:v>NOT RUN</x:v>
      </x:c>
      <x:c r="Q461" s="26"/>
      <x:c r="R461" s="26"/>
      <x:c r="S461" s="26"/>
      <x:c r="T461" s="26"/>
      <x:c r="U461" s="26"/>
      <x:c r="V461" s="26"/>
      <x:c r="W461" s="26" t="n">
        <x:v>1</x:v>
      </x:c>
      <x:c r="X461" s="26" t="n">
        <x:v>0</x:v>
      </x:c>
      <x:c r="Y461" s="26" t="n">
        <x:v>1</x:v>
      </x:c>
      <x:c r="Z461" s="26" t="str">
        <x:v>PENDING</x:v>
      </x:c>
      <x:c r="AA461" s="26" t="str">
        <x:v>CHG-RC1-DOC-31</x:v>
      </x:c>
      <x:c r="AB461" s="26" t="str">
        <x:v>DEFINED / NOT EXECUTED</x:v>
      </x:c>
    </x:row>
    <x:row r="462" ht="30" customHeight="1">
      <x:c r="A462" s="26" t="str">
        <x:v>Release</x:v>
      </x:c>
      <x:c r="B462" s="26" t="str">
        <x:v>REL-LIVE-007</x:v>
      </x:c>
      <x:c r="C462" s="26" t="str">
        <x:v>Post-lanzamiento, rollback y continuidad</x:v>
      </x:c>
      <x:c r="D462" s="26" t="str">
        <x:v>Release readiness</x:v>
      </x:c>
      <x:c r="E462" s="26" t="str">
        <x:v>Existe rotación/propietario para incidentes de build, pagos, Steam o comunidad.</x:v>
      </x:c>
      <x:c r="F462" s="26" t="str">
        <x:v>Revisar, ejecutar y registrar evidencia reproducible.</x:v>
      </x:c>
      <x:c r="G462" s="26" t="str">
        <x:v>Cumplimiento verificable antes del gate indicado.</x:v>
      </x:c>
      <x:c r="H462" s="26" t="str">
        <x:v>Launch rota.</x:v>
      </x:c>
      <x:c r="I462" s="26" t="str">
        <x:v>25_Post_Launch_and_Live_Operations_Plan.md; 27_Security_and_Incident_Response_Plan.md; 33_Project_Risk_Register_and_Business_Continuity_Plan.xlsx (futuro)</x:v>
      </x:c>
      <x:c r="J462" s="26" t="str">
        <x:v>Historical build/Steam/handoff records v0.3–v0.6</x:v>
      </x:c>
      <x:c r="K462" s="26" t="str">
        <x:v>Release</x:v>
      </x:c>
      <x:c r="L462" s="26" t="str">
        <x:v>Yes</x:v>
      </x:c>
      <x:c r="M462" s="26" t="str">
        <x:v>P1</x:v>
      </x:c>
      <x:c r="N462" s="26" t="str">
        <x:v>Live Operations/Production</x:v>
      </x:c>
      <x:c r="O462" s="26" t="str">
        <x:v>Engineering/QA/Support</x:v>
      </x:c>
      <x:c r="P462" s="26" t="str">
        <x:v>NOT RUN</x:v>
      </x:c>
      <x:c r="Q462" s="26"/>
      <x:c r="R462" s="26"/>
      <x:c r="S462" s="26"/>
      <x:c r="T462" s="26"/>
      <x:c r="U462" s="26"/>
      <x:c r="V462" s="26"/>
      <x:c r="W462" s="26" t="n">
        <x:v>1</x:v>
      </x:c>
      <x:c r="X462" s="26" t="n">
        <x:v>0</x:v>
      </x:c>
      <x:c r="Y462" s="26" t="n">
        <x:v>1</x:v>
      </x:c>
      <x:c r="Z462" s="26" t="str">
        <x:v>PENDING</x:v>
      </x:c>
      <x:c r="AA462" s="26" t="str">
        <x:v>CHG-RC1-DOC-31</x:v>
      </x:c>
      <x:c r="AB462" s="26" t="str">
        <x:v>DEFINED / NOT EXECUTED</x:v>
      </x:c>
    </x:row>
    <x:row r="463" ht="30" customHeight="1">
      <x:c r="A463" s="26" t="str">
        <x:v>Release</x:v>
      </x:c>
      <x:c r="B463" s="26" t="str">
        <x:v>REL-LIVE-008</x:v>
      </x:c>
      <x:c r="C463" s="26" t="str">
        <x:v>Post-lanzamiento, rollback y continuidad</x:v>
      </x:c>
      <x:c r="D463" s="26" t="str">
        <x:v>Release readiness</x:v>
      </x:c>
      <x:c r="E463" s="26" t="str">
        <x:v>Backups y accesos críticos permiten continuar si una herramienta o cuenta falla.</x:v>
      </x:c>
      <x:c r="F463" s="26" t="str">
        <x:v>Revisar, ejecutar y registrar evidencia reproducible.</x:v>
      </x:c>
      <x:c r="G463" s="26" t="str">
        <x:v>Cumplimiento verificable antes del gate indicado.</x:v>
      </x:c>
      <x:c r="H463" s="26" t="str">
        <x:v>Continuity drill.</x:v>
      </x:c>
      <x:c r="I463" s="26" t="str">
        <x:v>25_Post_Launch_and_Live_Operations_Plan.md; 27_Security_and_Incident_Response_Plan.md; 33_Project_Risk_Register_and_Business_Continuity_Plan.xlsx (futuro)</x:v>
      </x:c>
      <x:c r="J463" s="26" t="str">
        <x:v>Historical build/Steam/handoff records v0.3–v0.6</x:v>
      </x:c>
      <x:c r="K463" s="26" t="str">
        <x:v>Release</x:v>
      </x:c>
      <x:c r="L463" s="26" t="str">
        <x:v>Yes</x:v>
      </x:c>
      <x:c r="M463" s="26" t="str">
        <x:v>P1</x:v>
      </x:c>
      <x:c r="N463" s="26" t="str">
        <x:v>Live Operations/Production</x:v>
      </x:c>
      <x:c r="O463" s="26" t="str">
        <x:v>Engineering/QA/Support</x:v>
      </x:c>
      <x:c r="P463" s="26" t="str">
        <x:v>NOT RUN</x:v>
      </x:c>
      <x:c r="Q463" s="26"/>
      <x:c r="R463" s="26"/>
      <x:c r="S463" s="26"/>
      <x:c r="T463" s="26"/>
      <x:c r="U463" s="26"/>
      <x:c r="V463" s="26"/>
      <x:c r="W463" s="26" t="n">
        <x:v>1</x:v>
      </x:c>
      <x:c r="X463" s="26" t="n">
        <x:v>0</x:v>
      </x:c>
      <x:c r="Y463" s="26" t="n">
        <x:v>1</x:v>
      </x:c>
      <x:c r="Z463" s="26" t="str">
        <x:v>PENDING</x:v>
      </x:c>
      <x:c r="AA463" s="26" t="str">
        <x:v>CHG-RC1-DOC-31</x:v>
      </x:c>
      <x:c r="AB463" s="26" t="str">
        <x:v>DEFINED / NOT EXECUTED</x:v>
      </x:c>
    </x:row>
    <x:row r="464" ht="30" customHeight="1">
      <x:c r="A464" s="26" t="str">
        <x:v>Release</x:v>
      </x:c>
      <x:c r="B464" s="26" t="str">
        <x:v>REL-LIVE-009</x:v>
      </x:c>
      <x:c r="C464" s="26" t="str">
        <x:v>Post-lanzamiento, rollback y continuidad</x:v>
      </x:c>
      <x:c r="D464" s="26" t="str">
        <x:v>Release readiness</x:v>
      </x:c>
      <x:c r="E464" s="26" t="str">
        <x:v>El backlog post-launch separa defectos, feedback, accesibilidad y features.</x:v>
      </x:c>
      <x:c r="F464" s="26" t="str">
        <x:v>Revisar, ejecutar y registrar evidencia reproducible.</x:v>
      </x:c>
      <x:c r="G464" s="26" t="str">
        <x:v>Cumplimiento verificable antes del gate indicado.</x:v>
      </x:c>
      <x:c r="H464" s="26" t="str">
        <x:v>Post-launch backlog taxonomy.</x:v>
      </x:c>
      <x:c r="I464" s="26" t="str">
        <x:v>25_Post_Launch_and_Live_Operations_Plan.md; 27_Security_and_Incident_Response_Plan.md; 33_Project_Risk_Register_and_Business_Continuity_Plan.xlsx (futuro)</x:v>
      </x:c>
      <x:c r="J464" s="26" t="str">
        <x:v>Historical build/Steam/handoff records v0.3–v0.6</x:v>
      </x:c>
      <x:c r="K464" s="26" t="str">
        <x:v>Release</x:v>
      </x:c>
      <x:c r="L464" s="26" t="str">
        <x:v>Yes</x:v>
      </x:c>
      <x:c r="M464" s="26" t="str">
        <x:v>P1</x:v>
      </x:c>
      <x:c r="N464" s="26" t="str">
        <x:v>Live Operations/Production</x:v>
      </x:c>
      <x:c r="O464" s="26" t="str">
        <x:v>Engineering/QA/Support</x:v>
      </x:c>
      <x:c r="P464" s="26" t="str">
        <x:v>NOT RUN</x:v>
      </x:c>
      <x:c r="Q464" s="26"/>
      <x:c r="R464" s="26"/>
      <x:c r="S464" s="26"/>
      <x:c r="T464" s="26"/>
      <x:c r="U464" s="26"/>
      <x:c r="V464" s="26"/>
      <x:c r="W464" s="26" t="n">
        <x:v>1</x:v>
      </x:c>
      <x:c r="X464" s="26" t="n">
        <x:v>0</x:v>
      </x:c>
      <x:c r="Y464" s="26" t="n">
        <x:v>1</x:v>
      </x:c>
      <x:c r="Z464" s="26" t="str">
        <x:v>PENDING</x:v>
      </x:c>
      <x:c r="AA464" s="26" t="str">
        <x:v>CHG-RC1-DOC-31</x:v>
      </x:c>
      <x:c r="AB464" s="26" t="str">
        <x:v>DEFINED / NOT EXECUTED</x:v>
      </x:c>
    </x:row>
    <x:row r="465" ht="30" customHeight="1">
      <x:c r="A465" s="26" t="str">
        <x:v>Release</x:v>
      </x:c>
      <x:c r="B465" s="26" t="str">
        <x:v>REL-LIVE-010</x:v>
      </x:c>
      <x:c r="C465" s="26" t="str">
        <x:v>Post-lanzamiento, rollback y continuidad</x:v>
      </x:c>
      <x:c r="D465" s="26" t="str">
        <x:v>Release readiness</x:v>
      </x:c>
      <x:c r="E465" s="26" t="str">
        <x:v>Las métricas y tickets tienen umbrales de escalado.</x:v>
      </x:c>
      <x:c r="F465" s="26" t="str">
        <x:v>Revisar, ejecutar y registrar evidencia reproducible.</x:v>
      </x:c>
      <x:c r="G465" s="26" t="str">
        <x:v>Cumplimiento verificable antes del gate indicado.</x:v>
      </x:c>
      <x:c r="H465" s="26" t="str">
        <x:v>Operational thresholds.</x:v>
      </x:c>
      <x:c r="I465" s="26" t="str">
        <x:v>25_Post_Launch_and_Live_Operations_Plan.md; 27_Security_and_Incident_Response_Plan.md; 33_Project_Risk_Register_and_Business_Continuity_Plan.xlsx (futuro)</x:v>
      </x:c>
      <x:c r="J465" s="26" t="str">
        <x:v>Historical build/Steam/handoff records v0.3–v0.6</x:v>
      </x:c>
      <x:c r="K465" s="26" t="str">
        <x:v>Release</x:v>
      </x:c>
      <x:c r="L465" s="26" t="str">
        <x:v>Yes</x:v>
      </x:c>
      <x:c r="M465" s="26" t="str">
        <x:v>P1</x:v>
      </x:c>
      <x:c r="N465" s="26" t="str">
        <x:v>Live Operations/Production</x:v>
      </x:c>
      <x:c r="O465" s="26" t="str">
        <x:v>Engineering/QA/Support</x:v>
      </x:c>
      <x:c r="P465" s="26" t="str">
        <x:v>NOT RUN</x:v>
      </x:c>
      <x:c r="Q465" s="26"/>
      <x:c r="R465" s="26"/>
      <x:c r="S465" s="26"/>
      <x:c r="T465" s="26"/>
      <x:c r="U465" s="26"/>
      <x:c r="V465" s="26"/>
      <x:c r="W465" s="26" t="n">
        <x:v>1</x:v>
      </x:c>
      <x:c r="X465" s="26" t="n">
        <x:v>0</x:v>
      </x:c>
      <x:c r="Y465" s="26" t="n">
        <x:v>1</x:v>
      </x:c>
      <x:c r="Z465" s="26" t="str">
        <x:v>PENDING</x:v>
      </x:c>
      <x:c r="AA465" s="26" t="str">
        <x:v>CHG-RC1-DOC-31</x:v>
      </x:c>
      <x:c r="AB465" s="26" t="str">
        <x:v>DEFINED / NOT EXECUTED</x:v>
      </x:c>
    </x:row>
    <x:row r="466" ht="30" customHeight="1">
      <x:c r="A466" s="26" t="str">
        <x:v>Release</x:v>
      </x:c>
      <x:c r="B466" s="26" t="str">
        <x:v>REL-LIVE-011</x:v>
      </x:c>
      <x:c r="C466" s="26" t="str">
        <x:v>Post-lanzamiento, rollback y continuidad</x:v>
      </x:c>
      <x:c r="D466" s="26" t="str">
        <x:v>Release readiness</x:v>
      </x:c>
      <x:c r="E466" s="26" t="str">
        <x:v>La comunicación de parche incluye cambios, riesgos y known issues.</x:v>
      </x:c>
      <x:c r="F466" s="26" t="str">
        <x:v>Revisar, ejecutar y registrar evidencia reproducible.</x:v>
      </x:c>
      <x:c r="G466" s="26" t="str">
        <x:v>Cumplimiento verificable antes del gate indicado.</x:v>
      </x:c>
      <x:c r="H466" s="26" t="str">
        <x:v>Patch notes template.</x:v>
      </x:c>
      <x:c r="I466" s="26" t="str">
        <x:v>25_Post_Launch_and_Live_Operations_Plan.md; 27_Security_and_Incident_Response_Plan.md; 33_Project_Risk_Register_and_Business_Continuity_Plan.xlsx (futuro)</x:v>
      </x:c>
      <x:c r="J466" s="26" t="str">
        <x:v>Historical build/Steam/handoff records v0.3–v0.6</x:v>
      </x:c>
      <x:c r="K466" s="26" t="str">
        <x:v>Release</x:v>
      </x:c>
      <x:c r="L466" s="26" t="str">
        <x:v>Yes</x:v>
      </x:c>
      <x:c r="M466" s="26" t="str">
        <x:v>P1</x:v>
      </x:c>
      <x:c r="N466" s="26" t="str">
        <x:v>Live Operations/Production</x:v>
      </x:c>
      <x:c r="O466" s="26" t="str">
        <x:v>Engineering/QA/Support</x:v>
      </x:c>
      <x:c r="P466" s="26" t="str">
        <x:v>NOT RUN</x:v>
      </x:c>
      <x:c r="Q466" s="26"/>
      <x:c r="R466" s="26"/>
      <x:c r="S466" s="26"/>
      <x:c r="T466" s="26"/>
      <x:c r="U466" s="26"/>
      <x:c r="V466" s="26"/>
      <x:c r="W466" s="26" t="n">
        <x:v>1</x:v>
      </x:c>
      <x:c r="X466" s="26" t="n">
        <x:v>0</x:v>
      </x:c>
      <x:c r="Y466" s="26" t="n">
        <x:v>1</x:v>
      </x:c>
      <x:c r="Z466" s="26" t="str">
        <x:v>PENDING</x:v>
      </x:c>
      <x:c r="AA466" s="26" t="str">
        <x:v>CHG-RC1-DOC-31</x:v>
      </x:c>
      <x:c r="AB466" s="26" t="str">
        <x:v>DEFINED / NOT EXECUTED</x:v>
      </x:c>
    </x:row>
    <x:row r="467" ht="30" customHeight="1">
      <x:c r="A467" s="26" t="str">
        <x:v>Release</x:v>
      </x:c>
      <x:c r="B467" s="26" t="str">
        <x:v>REL-LIVE-012</x:v>
      </x:c>
      <x:c r="C467" s="26" t="str">
        <x:v>Post-lanzamiento, rollback y continuidad</x:v>
      </x:c>
      <x:c r="D467" s="26" t="str">
        <x:v>Release readiness</x:v>
      </x:c>
      <x:c r="E467" s="26" t="str">
        <x:v>El cierre del periodo de lanzamiento produce retrospectiva y baseline actualizada.</x:v>
      </x:c>
      <x:c r="F467" s="26" t="str">
        <x:v>Revisar, ejecutar y registrar evidencia reproducible.</x:v>
      </x:c>
      <x:c r="G467" s="26" t="str">
        <x:v>Cumplimiento verificable antes del gate indicado.</x:v>
      </x:c>
      <x:c r="H467" s="26" t="str">
        <x:v>Launch retrospective plan.</x:v>
      </x:c>
      <x:c r="I467" s="26" t="str">
        <x:v>25_Post_Launch_and_Live_Operations_Plan.md; 27_Security_and_Incident_Response_Plan.md; 33_Project_Risk_Register_and_Business_Continuity_Plan.xlsx (futuro)</x:v>
      </x:c>
      <x:c r="J467" s="26" t="str">
        <x:v>Historical build/Steam/handoff records v0.3–v0.6</x:v>
      </x:c>
      <x:c r="K467" s="26" t="str">
        <x:v>Release</x:v>
      </x:c>
      <x:c r="L467" s="26" t="str">
        <x:v>Yes</x:v>
      </x:c>
      <x:c r="M467" s="26" t="str">
        <x:v>P1</x:v>
      </x:c>
      <x:c r="N467" s="26" t="str">
        <x:v>Live Operations/Production</x:v>
      </x:c>
      <x:c r="O467" s="26" t="str">
        <x:v>Engineering/QA/Support</x:v>
      </x:c>
      <x:c r="P467" s="26" t="str">
        <x:v>NOT RUN</x:v>
      </x:c>
      <x:c r="Q467" s="26"/>
      <x:c r="R467" s="26"/>
      <x:c r="S467" s="26"/>
      <x:c r="T467" s="26"/>
      <x:c r="U467" s="26"/>
      <x:c r="V467" s="26"/>
      <x:c r="W467" s="26" t="n">
        <x:v>1</x:v>
      </x:c>
      <x:c r="X467" s="26" t="n">
        <x:v>0</x:v>
      </x:c>
      <x:c r="Y467" s="26" t="n">
        <x:v>1</x:v>
      </x:c>
      <x:c r="Z467" s="26" t="str">
        <x:v>PENDING</x:v>
      </x:c>
      <x:c r="AA467" s="26" t="str">
        <x:v>CHG-RC1-DOC-31</x:v>
      </x:c>
      <x:c r="AB467" s="26" t="str">
        <x:v>DEFINED / NOT EXECUTED</x:v>
      </x:c>
    </x:row>
    <x:row r="468" ht="30" customHeight="1">
      <x:c r="A468" s="26" t="str">
        <x:v>Release</x:v>
      </x:c>
      <x:c r="B468" s="26" t="str">
        <x:v>REL-DOC-001</x:v>
      </x:c>
      <x:c r="C468" s="26" t="str">
        <x:v>Documentación, baseline y handoff</x:v>
      </x:c>
      <x:c r="D468" s="26" t="str">
        <x:v>Release readiness</x:v>
      </x:c>
      <x:c r="E468" s="26" t="str">
        <x:v>Los documentos 00–34 están completos o su ausencia está formalmente resuelta antes de baseline final.</x:v>
      </x:c>
      <x:c r="F468" s="26" t="str">
        <x:v>Revisar, ejecutar y registrar evidencia reproducible.</x:v>
      </x:c>
      <x:c r="G468" s="26" t="str">
        <x:v>Cumplimiento verificable antes del gate indicado.</x:v>
      </x:c>
      <x:c r="H468" s="26" t="str">
        <x:v>Final document inventory.</x:v>
      </x:c>
      <x:c r="I468" s="26" t="str">
        <x:v>14_Project_Binder_Indice_Maestro.md; 15_Guia_Maestra.md; 16_Auditoria_Global_de_Coherencia.md; future 32–34</x:v>
      </x:c>
      <x:c r="J468" s="26" t="str">
        <x:v>Historical binders, guides, manifests, validation reports and handoffs v0.3–v0.6</x:v>
      </x:c>
      <x:c r="K468" s="26" t="str">
        <x:v>Release</x:v>
      </x:c>
      <x:c r="L468" s="26" t="str">
        <x:v>Yes</x:v>
      </x:c>
      <x:c r="M468" s="26" t="str">
        <x:v>P1</x:v>
      </x:c>
      <x:c r="N468" s="26" t="str">
        <x:v>Documentation/Production</x:v>
      </x:c>
      <x:c r="O468" s="26" t="str">
        <x:v>All Discipline Leads</x:v>
      </x:c>
      <x:c r="P468" s="26" t="str">
        <x:v>NOT RUN</x:v>
      </x:c>
      <x:c r="Q468" s="26"/>
      <x:c r="R468" s="26"/>
      <x:c r="S468" s="26"/>
      <x:c r="T468" s="26"/>
      <x:c r="U468" s="26"/>
      <x:c r="V468" s="26"/>
      <x:c r="W468" s="26" t="n">
        <x:v>1</x:v>
      </x:c>
      <x:c r="X468" s="26" t="n">
        <x:v>0</x:v>
      </x:c>
      <x:c r="Y468" s="26" t="n">
        <x:v>1</x:v>
      </x:c>
      <x:c r="Z468" s="26" t="str">
        <x:v>PENDING</x:v>
      </x:c>
      <x:c r="AA468" s="26" t="str">
        <x:v>CHG-RC1-DOC-31</x:v>
      </x:c>
      <x:c r="AB468" s="26" t="str">
        <x:v>DEFINED / NOT EXECUTED</x:v>
      </x:c>
    </x:row>
    <x:row r="469" ht="30" customHeight="1">
      <x:c r="A469" s="26" t="str">
        <x:v>Release</x:v>
      </x:c>
      <x:c r="B469" s="26" t="str">
        <x:v>REL-DOC-002</x:v>
      </x:c>
      <x:c r="C469" s="26" t="str">
        <x:v>Documentación, baseline y handoff</x:v>
      </x:c>
      <x:c r="D469" s="26" t="str">
        <x:v>Release readiness</x:v>
      </x:c>
      <x:c r="E469" s="26" t="str">
        <x:v>12, 13, 14, 15 y 16 están regenerados con el conjunto completo.</x:v>
      </x:c>
      <x:c r="F469" s="26" t="str">
        <x:v>Revisar, ejecutar y registrar evidencia reproducible.</x:v>
      </x:c>
      <x:c r="G469" s="26" t="str">
        <x:v>Cumplimiento verificable antes del gate indicado.</x:v>
      </x:c>
      <x:c r="H469" s="26" t="str">
        <x:v>Governance update signoff.</x:v>
      </x:c>
      <x:c r="I469" s="26" t="str">
        <x:v>14_Project_Binder_Indice_Maestro.md; 15_Guia_Maestra.md; 16_Auditoria_Global_de_Coherencia.md; future 32–34</x:v>
      </x:c>
      <x:c r="J469" s="26" t="str">
        <x:v>Historical binders, guides, manifests, validation reports and handoffs v0.3–v0.6</x:v>
      </x:c>
      <x:c r="K469" s="26" t="str">
        <x:v>Release</x:v>
      </x:c>
      <x:c r="L469" s="26" t="str">
        <x:v>Yes</x:v>
      </x:c>
      <x:c r="M469" s="26" t="str">
        <x:v>P1</x:v>
      </x:c>
      <x:c r="N469" s="26" t="str">
        <x:v>Documentation/Production</x:v>
      </x:c>
      <x:c r="O469" s="26" t="str">
        <x:v>All Discipline Leads</x:v>
      </x:c>
      <x:c r="P469" s="26" t="str">
        <x:v>NOT RUN</x:v>
      </x:c>
      <x:c r="Q469" s="26"/>
      <x:c r="R469" s="26"/>
      <x:c r="S469" s="26"/>
      <x:c r="T469" s="26"/>
      <x:c r="U469" s="26"/>
      <x:c r="V469" s="26"/>
      <x:c r="W469" s="26" t="n">
        <x:v>1</x:v>
      </x:c>
      <x:c r="X469" s="26" t="n">
        <x:v>0</x:v>
      </x:c>
      <x:c r="Y469" s="26" t="n">
        <x:v>1</x:v>
      </x:c>
      <x:c r="Z469" s="26" t="str">
        <x:v>PENDING</x:v>
      </x:c>
      <x:c r="AA469" s="26" t="str">
        <x:v>CHG-RC1-DOC-31</x:v>
      </x:c>
      <x:c r="AB469" s="26" t="str">
        <x:v>DEFINED / NOT EXECUTED</x:v>
      </x:c>
    </x:row>
    <x:row r="470" ht="30" customHeight="1">
      <x:c r="A470" s="26" t="str">
        <x:v>Release</x:v>
      </x:c>
      <x:c r="B470" s="26" t="str">
        <x:v>REL-DOC-003</x:v>
      </x:c>
      <x:c r="C470" s="26" t="str">
        <x:v>Documentación, baseline y handoff</x:v>
      </x:c>
      <x:c r="D470" s="26" t="str">
        <x:v>Release readiness</x:v>
      </x:c>
      <x:c r="E470" s="26" t="str">
        <x:v>31, 32 y registros de builds contienen hashes y referencias cruzadas correctas.</x:v>
      </x:c>
      <x:c r="F470" s="26" t="str">
        <x:v>Revisar, ejecutar y registrar evidencia reproducible.</x:v>
      </x:c>
      <x:c r="G470" s="26" t="str">
        <x:v>Cumplimiento verificable antes del gate indicado.</x:v>
      </x:c>
      <x:c r="H470" s="26" t="str">
        <x:v>Cross-reference audit.</x:v>
      </x:c>
      <x:c r="I470" s="26" t="str">
        <x:v>14_Project_Binder_Indice_Maestro.md; 15_Guia_Maestra.md; 16_Auditoria_Global_de_Coherencia.md; future 32–34</x:v>
      </x:c>
      <x:c r="J470" s="26" t="str">
        <x:v>Historical binders, guides, manifests, validation reports and handoffs v0.3–v0.6</x:v>
      </x:c>
      <x:c r="K470" s="26" t="str">
        <x:v>Release</x:v>
      </x:c>
      <x:c r="L470" s="26" t="str">
        <x:v>Yes</x:v>
      </x:c>
      <x:c r="M470" s="26" t="str">
        <x:v>P1</x:v>
      </x:c>
      <x:c r="N470" s="26" t="str">
        <x:v>Documentation/Production</x:v>
      </x:c>
      <x:c r="O470" s="26" t="str">
        <x:v>All Discipline Leads</x:v>
      </x:c>
      <x:c r="P470" s="26" t="str">
        <x:v>NOT RUN</x:v>
      </x:c>
      <x:c r="Q470" s="26"/>
      <x:c r="R470" s="26"/>
      <x:c r="S470" s="26"/>
      <x:c r="T470" s="26"/>
      <x:c r="U470" s="26"/>
      <x:c r="V470" s="26"/>
      <x:c r="W470" s="26" t="n">
        <x:v>1</x:v>
      </x:c>
      <x:c r="X470" s="26" t="n">
        <x:v>0</x:v>
      </x:c>
      <x:c r="Y470" s="26" t="n">
        <x:v>1</x:v>
      </x:c>
      <x:c r="Z470" s="26" t="str">
        <x:v>PENDING</x:v>
      </x:c>
      <x:c r="AA470" s="26" t="str">
        <x:v>CHG-RC1-DOC-31</x:v>
      </x:c>
      <x:c r="AB470" s="26" t="str">
        <x:v>DEFINED / NOT EXECUTED</x:v>
      </x:c>
    </x:row>
    <x:row r="471" ht="30" customHeight="1">
      <x:c r="A471" s="26" t="str">
        <x:v>Release</x:v>
      </x:c>
      <x:c r="B471" s="26" t="str">
        <x:v>REL-DOC-004</x:v>
      </x:c>
      <x:c r="C471" s="26" t="str">
        <x:v>Documentación, baseline y handoff</x:v>
      </x:c>
      <x:c r="D471" s="26" t="str">
        <x:v>Release readiness</x:v>
      </x:c>
      <x:c r="E471" s="26" t="str">
        <x:v>El manifest final incluye nombre, versión, tamaño, hash, autoridad, estado y sustituciones.</x:v>
      </x:c>
      <x:c r="F471" s="26" t="str">
        <x:v>Revisar, ejecutar y registrar evidencia reproducible.</x:v>
      </x:c>
      <x:c r="G471" s="26" t="str">
        <x:v>Cumplimiento verificable antes del gate indicado.</x:v>
      </x:c>
      <x:c r="H471" s="26" t="str">
        <x:v>32_Documentation_Baseline_Manifest.xlsx.</x:v>
      </x:c>
      <x:c r="I471" s="26" t="str">
        <x:v>14_Project_Binder_Indice_Maestro.md; 15_Guia_Maestra.md; 16_Auditoria_Global_de_Coherencia.md; future 32–34</x:v>
      </x:c>
      <x:c r="J471" s="26" t="str">
        <x:v>Historical binders, guides, manifests, validation reports and handoffs v0.3–v0.6</x:v>
      </x:c>
      <x:c r="K471" s="26" t="str">
        <x:v>Release</x:v>
      </x:c>
      <x:c r="L471" s="26" t="str">
        <x:v>Yes</x:v>
      </x:c>
      <x:c r="M471" s="26" t="str">
        <x:v>P1</x:v>
      </x:c>
      <x:c r="N471" s="26" t="str">
        <x:v>Documentation/Production</x:v>
      </x:c>
      <x:c r="O471" s="26" t="str">
        <x:v>All Discipline Leads</x:v>
      </x:c>
      <x:c r="P471" s="26" t="str">
        <x:v>NOT RUN</x:v>
      </x:c>
      <x:c r="Q471" s="26"/>
      <x:c r="R471" s="26"/>
      <x:c r="S471" s="26"/>
      <x:c r="T471" s="26"/>
      <x:c r="U471" s="26"/>
      <x:c r="V471" s="26"/>
      <x:c r="W471" s="26" t="n">
        <x:v>1</x:v>
      </x:c>
      <x:c r="X471" s="26" t="n">
        <x:v>0</x:v>
      </x:c>
      <x:c r="Y471" s="26" t="n">
        <x:v>1</x:v>
      </x:c>
      <x:c r="Z471" s="26" t="str">
        <x:v>PENDING</x:v>
      </x:c>
      <x:c r="AA471" s="26" t="str">
        <x:v>CHG-RC1-DOC-31</x:v>
      </x:c>
      <x:c r="AB471" s="26" t="str">
        <x:v>DEFINED / NOT EXECUTED</x:v>
      </x:c>
    </x:row>
    <x:row r="472" ht="30" customHeight="1">
      <x:c r="A472" s="26" t="str">
        <x:v>Release</x:v>
      </x:c>
      <x:c r="B472" s="26" t="str">
        <x:v>REL-DOC-005</x:v>
      </x:c>
      <x:c r="C472" s="26" t="str">
        <x:v>Documentación, baseline y handoff</x:v>
      </x:c>
      <x:c r="D472" s="26" t="str">
        <x:v>Release readiness</x:v>
      </x:c>
      <x:c r="E472" s="26" t="str">
        <x:v>El paquete documental y build release tienen checksums verificados.</x:v>
      </x:c>
      <x:c r="F472" s="26" t="str">
        <x:v>Revisar, ejecutar y registrar evidencia reproducible.</x:v>
      </x:c>
      <x:c r="G472" s="26" t="str">
        <x:v>Cumplimiento verificable antes del gate indicado.</x:v>
      </x:c>
      <x:c r="H472" s="26" t="str">
        <x:v>CHECKSUMS_SHA256.txt y validation report.</x:v>
      </x:c>
      <x:c r="I472" s="26" t="str">
        <x:v>14_Project_Binder_Indice_Maestro.md; 15_Guia_Maestra.md; 16_Auditoria_Global_de_Coherencia.md; future 32–34</x:v>
      </x:c>
      <x:c r="J472" s="26" t="str">
        <x:v>Historical binders, guides, manifests, validation reports and handoffs v0.3–v0.6</x:v>
      </x:c>
      <x:c r="K472" s="26" t="str">
        <x:v>Release</x:v>
      </x:c>
      <x:c r="L472" s="26" t="str">
        <x:v>Yes</x:v>
      </x:c>
      <x:c r="M472" s="26" t="str">
        <x:v>P1</x:v>
      </x:c>
      <x:c r="N472" s="26" t="str">
        <x:v>Documentation/Production</x:v>
      </x:c>
      <x:c r="O472" s="26" t="str">
        <x:v>All Discipline Leads</x:v>
      </x:c>
      <x:c r="P472" s="26" t="str">
        <x:v>NOT RUN</x:v>
      </x:c>
      <x:c r="Q472" s="26"/>
      <x:c r="R472" s="26"/>
      <x:c r="S472" s="26"/>
      <x:c r="T472" s="26"/>
      <x:c r="U472" s="26"/>
      <x:c r="V472" s="26"/>
      <x:c r="W472" s="26" t="n">
        <x:v>1</x:v>
      </x:c>
      <x:c r="X472" s="26" t="n">
        <x:v>0</x:v>
      </x:c>
      <x:c r="Y472" s="26" t="n">
        <x:v>1</x:v>
      </x:c>
      <x:c r="Z472" s="26" t="str">
        <x:v>PENDING</x:v>
      </x:c>
      <x:c r="AA472" s="26" t="str">
        <x:v>CHG-RC1-DOC-31</x:v>
      </x:c>
      <x:c r="AB472" s="26" t="str">
        <x:v>DEFINED / NOT EXECUTED</x:v>
      </x:c>
    </x:row>
    <x:row r="473" ht="30" customHeight="1">
      <x:c r="A473" s="26" t="str">
        <x:v>Release</x:v>
      </x:c>
      <x:c r="B473" s="26" t="str">
        <x:v>REL-DOC-006</x:v>
      </x:c>
      <x:c r="C473" s="26" t="str">
        <x:v>Documentación, baseline y handoff</x:v>
      </x:c>
      <x:c r="D473" s="26" t="str">
        <x:v>Release readiness</x:v>
      </x:c>
      <x:c r="E473" s="26" t="str">
        <x:v>No entran drafts, previews, archivos temporales ni datos personales no autorizados.</x:v>
      </x:c>
      <x:c r="F473" s="26" t="str">
        <x:v>Revisar, ejecutar y registrar evidencia reproducible.</x:v>
      </x:c>
      <x:c r="G473" s="26" t="str">
        <x:v>Cumplimiento verificable antes del gate indicado.</x:v>
      </x:c>
      <x:c r="H473" s="26" t="str">
        <x:v>Final packaging audit.</x:v>
      </x:c>
      <x:c r="I473" s="26" t="str">
        <x:v>14_Project_Binder_Indice_Maestro.md; 15_Guia_Maestra.md; 16_Auditoria_Global_de_Coherencia.md; future 32–34</x:v>
      </x:c>
      <x:c r="J473" s="26" t="str">
        <x:v>Historical binders, guides, manifests, validation reports and handoffs v0.3–v0.6</x:v>
      </x:c>
      <x:c r="K473" s="26" t="str">
        <x:v>Release</x:v>
      </x:c>
      <x:c r="L473" s="26" t="str">
        <x:v>Yes</x:v>
      </x:c>
      <x:c r="M473" s="26" t="str">
        <x:v>P1</x:v>
      </x:c>
      <x:c r="N473" s="26" t="str">
        <x:v>Documentation/Production</x:v>
      </x:c>
      <x:c r="O473" s="26" t="str">
        <x:v>All Discipline Leads</x:v>
      </x:c>
      <x:c r="P473" s="26" t="str">
        <x:v>NOT RUN</x:v>
      </x:c>
      <x:c r="Q473" s="26"/>
      <x:c r="R473" s="26"/>
      <x:c r="S473" s="26"/>
      <x:c r="T473" s="26"/>
      <x:c r="U473" s="26"/>
      <x:c r="V473" s="26"/>
      <x:c r="W473" s="26" t="n">
        <x:v>1</x:v>
      </x:c>
      <x:c r="X473" s="26" t="n">
        <x:v>0</x:v>
      </x:c>
      <x:c r="Y473" s="26" t="n">
        <x:v>1</x:v>
      </x:c>
      <x:c r="Z473" s="26" t="str">
        <x:v>PENDING</x:v>
      </x:c>
      <x:c r="AA473" s="26" t="str">
        <x:v>CHG-RC1-DOC-31</x:v>
      </x:c>
      <x:c r="AB473" s="26" t="str">
        <x:v>DEFINED / NOT EXECUTED</x:v>
      </x:c>
    </x:row>
    <x:row r="474" ht="30" customHeight="1">
      <x:c r="A474" s="26" t="str">
        <x:v>Release</x:v>
      </x:c>
      <x:c r="B474" s="26" t="str">
        <x:v>REL-DOC-007</x:v>
      </x:c>
      <x:c r="C474" s="26" t="str">
        <x:v>Documentación, baseline y handoff</x:v>
      </x:c>
      <x:c r="D474" s="26" t="str">
        <x:v>Release readiness</x:v>
      </x:c>
      <x:c r="E474" s="26" t="str">
        <x:v>El handoff explica cómo clonar, abrir, construir, probar, publicar, parchear y recuperar.</x:v>
      </x:c>
      <x:c r="F474" s="26" t="str">
        <x:v>Revisar, ejecutar y registrar evidencia reproducible.</x:v>
      </x:c>
      <x:c r="G474" s="26" t="str">
        <x:v>Cumplimiento verificable antes del gate indicado.</x:v>
      </x:c>
      <x:c r="H474" s="26" t="str">
        <x:v>34_Final_Handoff_and_Project_Operations_Manual.md.</x:v>
      </x:c>
      <x:c r="I474" s="26" t="str">
        <x:v>14_Project_Binder_Indice_Maestro.md; 15_Guia_Maestra.md; 16_Auditoria_Global_de_Coherencia.md; future 32–34</x:v>
      </x:c>
      <x:c r="J474" s="26" t="str">
        <x:v>Historical binders, guides, manifests, validation reports and handoffs v0.3–v0.6</x:v>
      </x:c>
      <x:c r="K474" s="26" t="str">
        <x:v>Release</x:v>
      </x:c>
      <x:c r="L474" s="26" t="str">
        <x:v>Yes</x:v>
      </x:c>
      <x:c r="M474" s="26" t="str">
        <x:v>P1</x:v>
      </x:c>
      <x:c r="N474" s="26" t="str">
        <x:v>Documentation/Production</x:v>
      </x:c>
      <x:c r="O474" s="26" t="str">
        <x:v>All Discipline Leads</x:v>
      </x:c>
      <x:c r="P474" s="26" t="str">
        <x:v>NOT RUN</x:v>
      </x:c>
      <x:c r="Q474" s="26"/>
      <x:c r="R474" s="26"/>
      <x:c r="S474" s="26"/>
      <x:c r="T474" s="26"/>
      <x:c r="U474" s="26"/>
      <x:c r="V474" s="26"/>
      <x:c r="W474" s="26" t="n">
        <x:v>1</x:v>
      </x:c>
      <x:c r="X474" s="26" t="n">
        <x:v>0</x:v>
      </x:c>
      <x:c r="Y474" s="26" t="n">
        <x:v>1</x:v>
      </x:c>
      <x:c r="Z474" s="26" t="str">
        <x:v>PENDING</x:v>
      </x:c>
      <x:c r="AA474" s="26" t="str">
        <x:v>CHG-RC1-DOC-31</x:v>
      </x:c>
      <x:c r="AB474" s="26" t="str">
        <x:v>DEFINED / NOT EXECUTED</x:v>
      </x:c>
    </x:row>
    <x:row r="475" ht="30" customHeight="1">
      <x:c r="A475" s="26" t="str">
        <x:v>Release</x:v>
      </x:c>
      <x:c r="B475" s="26" t="str">
        <x:v>REL-DOC-008</x:v>
      </x:c>
      <x:c r="C475" s="26" t="str">
        <x:v>Documentación, baseline y handoff</x:v>
      </x:c>
      <x:c r="D475" s="26" t="str">
        <x:v>Release readiness</x:v>
      </x:c>
      <x:c r="E475" s="26" t="str">
        <x:v>Las dependencias de herramientas/cuentas y recuperación están documentadas.</x:v>
      </x:c>
      <x:c r="F475" s="26" t="str">
        <x:v>Revisar, ejecutar y registrar evidencia reproducible.</x:v>
      </x:c>
      <x:c r="G475" s="26" t="str">
        <x:v>Cumplimiento verificable antes del gate indicado.</x:v>
      </x:c>
      <x:c r="H475" s="26" t="str">
        <x:v>Operations dependency map.</x:v>
      </x:c>
      <x:c r="I475" s="26" t="str">
        <x:v>14_Project_Binder_Indice_Maestro.md; 15_Guia_Maestra.md; 16_Auditoria_Global_de_Coherencia.md; future 32–34</x:v>
      </x:c>
      <x:c r="J475" s="26" t="str">
        <x:v>Historical binders, guides, manifests, validation reports and handoffs v0.3–v0.6</x:v>
      </x:c>
      <x:c r="K475" s="26" t="str">
        <x:v>Release</x:v>
      </x:c>
      <x:c r="L475" s="26" t="str">
        <x:v>Yes</x:v>
      </x:c>
      <x:c r="M475" s="26" t="str">
        <x:v>P1</x:v>
      </x:c>
      <x:c r="N475" s="26" t="str">
        <x:v>Documentation/Production</x:v>
      </x:c>
      <x:c r="O475" s="26" t="str">
        <x:v>All Discipline Leads</x:v>
      </x:c>
      <x:c r="P475" s="26" t="str">
        <x:v>NOT RUN</x:v>
      </x:c>
      <x:c r="Q475" s="26"/>
      <x:c r="R475" s="26"/>
      <x:c r="S475" s="26"/>
      <x:c r="T475" s="26"/>
      <x:c r="U475" s="26"/>
      <x:c r="V475" s="26"/>
      <x:c r="W475" s="26" t="n">
        <x:v>1</x:v>
      </x:c>
      <x:c r="X475" s="26" t="n">
        <x:v>0</x:v>
      </x:c>
      <x:c r="Y475" s="26" t="n">
        <x:v>1</x:v>
      </x:c>
      <x:c r="Z475" s="26" t="str">
        <x:v>PENDING</x:v>
      </x:c>
      <x:c r="AA475" s="26" t="str">
        <x:v>CHG-RC1-DOC-31</x:v>
      </x:c>
      <x:c r="AB475" s="26" t="str">
        <x:v>DEFINED / NOT EXECUTED</x:v>
      </x:c>
    </x:row>
    <x:row r="476" ht="30" customHeight="1">
      <x:c r="A476" s="26" t="str">
        <x:v>Release</x:v>
      </x:c>
      <x:c r="B476" s="26" t="str">
        <x:v>REL-DOC-009</x:v>
      </x:c>
      <x:c r="C476" s="26" t="str">
        <x:v>Documentación, baseline y handoff</x:v>
      </x:c>
      <x:c r="D476" s="26" t="str">
        <x:v>Release readiness</x:v>
      </x:c>
      <x:c r="E476" s="26" t="str">
        <x:v>El registro de riesgos global y continuidad está aprobado.</x:v>
      </x:c>
      <x:c r="F476" s="26" t="str">
        <x:v>Revisar, ejecutar y registrar evidencia reproducible.</x:v>
      </x:c>
      <x:c r="G476" s="26" t="str">
        <x:v>Cumplimiento verificable antes del gate indicado.</x:v>
      </x:c>
      <x:c r="H476" s="26" t="str">
        <x:v>33_Project_Risk_Register_and_Business_Continuity_Plan.xlsx.</x:v>
      </x:c>
      <x:c r="I476" s="26" t="str">
        <x:v>14_Project_Binder_Indice_Maestro.md; 15_Guia_Maestra.md; 16_Auditoria_Global_de_Coherencia.md; future 32–34</x:v>
      </x:c>
      <x:c r="J476" s="26" t="str">
        <x:v>Historical binders, guides, manifests, validation reports and handoffs v0.3–v0.6</x:v>
      </x:c>
      <x:c r="K476" s="26" t="str">
        <x:v>Release</x:v>
      </x:c>
      <x:c r="L476" s="26" t="str">
        <x:v>Yes</x:v>
      </x:c>
      <x:c r="M476" s="26" t="str">
        <x:v>P1</x:v>
      </x:c>
      <x:c r="N476" s="26" t="str">
        <x:v>Documentation/Production</x:v>
      </x:c>
      <x:c r="O476" s="26" t="str">
        <x:v>All Discipline Leads</x:v>
      </x:c>
      <x:c r="P476" s="26" t="str">
        <x:v>NOT RUN</x:v>
      </x:c>
      <x:c r="Q476" s="26"/>
      <x:c r="R476" s="26"/>
      <x:c r="S476" s="26"/>
      <x:c r="T476" s="26"/>
      <x:c r="U476" s="26"/>
      <x:c r="V476" s="26"/>
      <x:c r="W476" s="26" t="n">
        <x:v>1</x:v>
      </x:c>
      <x:c r="X476" s="26" t="n">
        <x:v>0</x:v>
      </x:c>
      <x:c r="Y476" s="26" t="n">
        <x:v>1</x:v>
      </x:c>
      <x:c r="Z476" s="26" t="str">
        <x:v>PENDING</x:v>
      </x:c>
      <x:c r="AA476" s="26" t="str">
        <x:v>CHG-RC1-DOC-31</x:v>
      </x:c>
      <x:c r="AB476" s="26" t="str">
        <x:v>DEFINED / NOT EXECUTED</x:v>
      </x:c>
    </x:row>
    <x:row r="477" ht="30" customHeight="1">
      <x:c r="A477" s="26" t="str">
        <x:v>Release</x:v>
      </x:c>
      <x:c r="B477" s="26" t="str">
        <x:v>REL-DOC-010</x:v>
      </x:c>
      <x:c r="C477" s="26" t="str">
        <x:v>Documentación, baseline y handoff</x:v>
      </x:c>
      <x:c r="D477" s="26" t="str">
        <x:v>Release readiness</x:v>
      </x:c>
      <x:c r="E477" s="26" t="str">
        <x:v>La baseline final es inmutable, versionada y vinculada a commit/tag.</x:v>
      </x:c>
      <x:c r="F477" s="26" t="str">
        <x:v>Revisar, ejecutar y registrar evidencia reproducible.</x:v>
      </x:c>
      <x:c r="G477" s="26" t="str">
        <x:v>Cumplimiento verificable antes del gate indicado.</x:v>
      </x:c>
      <x:c r="H477" s="26" t="str">
        <x:v>Baseline freeze record.</x:v>
      </x:c>
      <x:c r="I477" s="26" t="str">
        <x:v>14_Project_Binder_Indice_Maestro.md; 15_Guia_Maestra.md; 16_Auditoria_Global_de_Coherencia.md; future 32–34</x:v>
      </x:c>
      <x:c r="J477" s="26" t="str">
        <x:v>Historical binders, guides, manifests, validation reports and handoffs v0.3–v0.6</x:v>
      </x:c>
      <x:c r="K477" s="26" t="str">
        <x:v>Release</x:v>
      </x:c>
      <x:c r="L477" s="26" t="str">
        <x:v>Yes</x:v>
      </x:c>
      <x:c r="M477" s="26" t="str">
        <x:v>P1</x:v>
      </x:c>
      <x:c r="N477" s="26" t="str">
        <x:v>Documentation/Production</x:v>
      </x:c>
      <x:c r="O477" s="26" t="str">
        <x:v>All Discipline Leads</x:v>
      </x:c>
      <x:c r="P477" s="26" t="str">
        <x:v>NOT RUN</x:v>
      </x:c>
      <x:c r="Q477" s="26"/>
      <x:c r="R477" s="26"/>
      <x:c r="S477" s="26"/>
      <x:c r="T477" s="26"/>
      <x:c r="U477" s="26"/>
      <x:c r="V477" s="26"/>
      <x:c r="W477" s="26" t="n">
        <x:v>1</x:v>
      </x:c>
      <x:c r="X477" s="26" t="n">
        <x:v>0</x:v>
      </x:c>
      <x:c r="Y477" s="26" t="n">
        <x:v>1</x:v>
      </x:c>
      <x:c r="Z477" s="26" t="str">
        <x:v>PENDING</x:v>
      </x:c>
      <x:c r="AA477" s="26" t="str">
        <x:v>CHG-RC1-DOC-31</x:v>
      </x:c>
      <x:c r="AB477" s="26" t="str">
        <x:v>DEFINED / NOT EXECUTED</x:v>
      </x:c>
    </x:row>
    <x:row r="478" ht="30" customHeight="1">
      <x:c r="A478" s="26" t="str">
        <x:v>Release</x:v>
      </x:c>
      <x:c r="B478" s="26" t="str">
        <x:v>REL-DOC-011</x:v>
      </x:c>
      <x:c r="C478" s="26" t="str">
        <x:v>Documentación, baseline y handoff</x:v>
      </x:c>
      <x:c r="D478" s="26" t="str">
        <x:v>Release readiness</x:v>
      </x:c>
      <x:c r="E478" s="26" t="str">
        <x:v>Existe informe de validación documental y auditoría global sin A1 abiertos.</x:v>
      </x:c>
      <x:c r="F478" s="26" t="str">
        <x:v>Revisar, ejecutar y registrar evidencia reproducible.</x:v>
      </x:c>
      <x:c r="G478" s="26" t="str">
        <x:v>Cumplimiento verificable antes del gate indicado.</x:v>
      </x:c>
      <x:c r="H478" s="26" t="str">
        <x:v>Final audit/validation report.</x:v>
      </x:c>
      <x:c r="I478" s="26" t="str">
        <x:v>14_Project_Binder_Indice_Maestro.md; 15_Guia_Maestra.md; 16_Auditoria_Global_de_Coherencia.md; future 32–34</x:v>
      </x:c>
      <x:c r="J478" s="26" t="str">
        <x:v>Historical binders, guides, manifests, validation reports and handoffs v0.3–v0.6</x:v>
      </x:c>
      <x:c r="K478" s="26" t="str">
        <x:v>Release</x:v>
      </x:c>
      <x:c r="L478" s="26" t="str">
        <x:v>Yes</x:v>
      </x:c>
      <x:c r="M478" s="26" t="str">
        <x:v>P0</x:v>
      </x:c>
      <x:c r="N478" s="26" t="str">
        <x:v>Documentation/Production</x:v>
      </x:c>
      <x:c r="O478" s="26" t="str">
        <x:v>All Discipline Leads</x:v>
      </x:c>
      <x:c r="P478" s="26" t="str">
        <x:v>NOT RUN</x:v>
      </x:c>
      <x:c r="Q478" s="26"/>
      <x:c r="R478" s="26"/>
      <x:c r="S478" s="26"/>
      <x:c r="T478" s="26"/>
      <x:c r="U478" s="26"/>
      <x:c r="V478" s="26"/>
      <x:c r="W478" s="26" t="n">
        <x:v>1</x:v>
      </x:c>
      <x:c r="X478" s="26" t="n">
        <x:v>0</x:v>
      </x:c>
      <x:c r="Y478" s="26" t="n">
        <x:v>1</x:v>
      </x:c>
      <x:c r="Z478" s="26" t="str">
        <x:v>PENDING</x:v>
      </x:c>
      <x:c r="AA478" s="26" t="str">
        <x:v>CHG-RC1-DOC-31</x:v>
      </x:c>
      <x:c r="AB478" s="26" t="str">
        <x:v>DEFINED / NOT EXECUTED</x:v>
      </x:c>
    </x:row>
    <x:row r="479" ht="30" customHeight="1">
      <x:c r="A479" s="26" t="str">
        <x:v>Release</x:v>
      </x:c>
      <x:c r="B479" s="26" t="str">
        <x:v>REL-DOC-012</x:v>
      </x:c>
      <x:c r="C479" s="26" t="str">
        <x:v>Documentación, baseline y handoff</x:v>
      </x:c>
      <x:c r="D479" s="26" t="str">
        <x:v>Release readiness</x:v>
      </x:c>
      <x:c r="E479" s="26" t="str">
        <x:v>El proyecto puede ser retomado por un colaborador sin contexto de chat.</x:v>
      </x:c>
      <x:c r="F479" s="26" t="str">
        <x:v>Revisar, ejecutar y registrar evidencia reproducible.</x:v>
      </x:c>
      <x:c r="G479" s="26" t="str">
        <x:v>Cumplimiento verificable antes del gate indicado.</x:v>
      </x:c>
      <x:c r="H479" s="26" t="str">
        <x:v>Independent handoff test.</x:v>
      </x:c>
      <x:c r="I479" s="26" t="str">
        <x:v>14_Project_Binder_Indice_Maestro.md; 15_Guia_Maestra.md; 16_Auditoria_Global_de_Coherencia.md; future 32–34</x:v>
      </x:c>
      <x:c r="J479" s="26" t="str">
        <x:v>Historical binders, guides, manifests, validation reports and handoffs v0.3–v0.6</x:v>
      </x:c>
      <x:c r="K479" s="26" t="str">
        <x:v>Release</x:v>
      </x:c>
      <x:c r="L479" s="26" t="str">
        <x:v>Yes</x:v>
      </x:c>
      <x:c r="M479" s="26" t="str">
        <x:v>P1</x:v>
      </x:c>
      <x:c r="N479" s="26" t="str">
        <x:v>Documentation/Production</x:v>
      </x:c>
      <x:c r="O479" s="26" t="str">
        <x:v>All Discipline Leads</x:v>
      </x:c>
      <x:c r="P479" s="26" t="str">
        <x:v>NOT RUN</x:v>
      </x:c>
      <x:c r="Q479" s="26"/>
      <x:c r="R479" s="26"/>
      <x:c r="S479" s="26"/>
      <x:c r="T479" s="26"/>
      <x:c r="U479" s="26"/>
      <x:c r="V479" s="26"/>
      <x:c r="W479" s="26" t="n">
        <x:v>1</x:v>
      </x:c>
      <x:c r="X479" s="26" t="n">
        <x:v>0</x:v>
      </x:c>
      <x:c r="Y479" s="26" t="n">
        <x:v>1</x:v>
      </x:c>
      <x:c r="Z479" s="26" t="str">
        <x:v>PENDING</x:v>
      </x:c>
      <x:c r="AA479" s="26" t="str">
        <x:v>CHG-RC1-DOC-31</x:v>
      </x:c>
      <x:c r="AB479" s="26" t="str">
        <x:v>DEFINED / NOT EXECUTED</x:v>
      </x:c>
    </x:row>
  </x:sheetData>
  <x:mergeCells>
    <x:mergeCell ref="A1:AB1"/>
    <x:mergeCell ref="A2:AB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6" hidden="0" customWidth="1"/>
    <x:col min="15" max="15" width="46" hidden="0" customWidth="1"/>
    <x:col min="16" max="16" width="18" hidden="0" customWidth="1"/>
    <x:col min="17" max="17" width="18" hidden="0" customWidth="1"/>
    <x:col min="18" max="18" width="18" hidden="0" customWidth="1"/>
    <x:col min="19" max="19" width="46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8" customHeight="1">
      <x:c r="A1" s="47" t="str">
        <x:v>Riesgos vinculados a cambio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</x:row>
    <x:row r="2" ht="32" customHeight="1">
      <x:c r="A2" s="51" t="str">
        <x:v>180 riesgos con exposición, tolerancia, respuesta, continuidad, acciones y fuentes.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</x:row>
    <x:row r="4" ht="30" customHeight="1">
      <x:c r="A4" s="56" t="str">
        <x:v>Risk ID</x:v>
      </x:c>
      <x:c r="B4" s="56" t="str">
        <x:v>Category</x:v>
      </x:c>
      <x:c r="C4" s="56" t="str">
        <x:v>Subcategory</x:v>
      </x:c>
      <x:c r="D4" s="56" t="str">
        <x:v>Risk Statement</x:v>
      </x:c>
      <x:c r="E4" s="56" t="str">
        <x:v>Lifecycle Phase</x:v>
      </x:c>
      <x:c r="F4" s="56" t="str">
        <x:v>Inherent Score</x:v>
      </x:c>
      <x:c r="G4" s="56" t="str">
        <x:v>Inherent Rating</x:v>
      </x:c>
      <x:c r="H4" s="56" t="str">
        <x:v>Residual Score</x:v>
      </x:c>
      <x:c r="I4" s="56" t="str">
        <x:v>Residual Rating</x:v>
      </x:c>
      <x:c r="J4" s="56" t="str">
        <x:v>Tolerance State</x:v>
      </x:c>
      <x:c r="K4" s="56" t="str">
        <x:v>Risk Owner</x:v>
      </x:c>
      <x:c r="L4" s="56" t="str">
        <x:v>Alternate / Escalation</x:v>
      </x:c>
      <x:c r="M4" s="56" t="str">
        <x:v>Trigger / KRI</x:v>
      </x:c>
      <x:c r="N4" s="56" t="str">
        <x:v>Immediate Response</x:v>
      </x:c>
      <x:c r="O4" s="56" t="str">
        <x:v>Recovery / Contingency</x:v>
      </x:c>
      <x:c r="P4" s="56" t="str">
        <x:v>BIA ID</x:v>
      </x:c>
      <x:c r="Q4" s="56" t="str">
        <x:v>Playbook ID</x:v>
      </x:c>
      <x:c r="R4" s="56" t="str">
        <x:v>Treatment Action IDs</x:v>
      </x:c>
      <x:c r="S4" s="56" t="str">
        <x:v>Current Sources</x:v>
      </x:c>
      <x:c r="T4" s="56" t="str">
        <x:v>Historical Basis</x:v>
      </x:c>
      <x:c r="U4" s="56" t="str">
        <x:v>Status</x:v>
      </x:c>
      <x:c r="V4" s="56" t="str">
        <x:v>Evidence State</x:v>
      </x:c>
      <x:c r="W4" s="56" t="str">
        <x:v>Open Blocker</x:v>
      </x:c>
      <x:c r="X4" s="56" t="str">
        <x:v>Linked Change</x:v>
      </x:c>
    </x:row>
    <x:row r="5" ht="30" customHeight="1">
      <x:c r="A5" s="26" t="str">
        <x:v>R-GOV-001</x:v>
      </x:c>
      <x:c r="B5" s="26" t="str">
        <x:v>Governance &amp; Scope</x:v>
      </x:c>
      <x:c r="C5" s="26" t="str">
        <x:v>Scope control</x:v>
      </x:c>
      <x:c r="D5" s="26" t="str">
        <x:v>Existe el riesgo de que ocurra lo siguiente: Se incorpora funcionalidad no contractual antes de H6.</x:v>
      </x:c>
      <x:c r="E5" s="26" t="str">
        <x:v>Development</x:v>
      </x:c>
      <x:c r="F5" s="26" t="n">
        <x:v>16</x:v>
      </x:c>
      <x:c r="G5" s="26" t="str">
        <x:v>HIGH</x:v>
      </x:c>
      <x:c r="H5" s="26" t="n">
        <x:v>16</x:v>
      </x:c>
      <x:c r="I5" s="26" t="str">
        <x:v>HIGH</x:v>
      </x:c>
      <x:c r="J5" s="26" t="str">
        <x:v>OUTSIDE TOLERANCE</x:v>
      </x:c>
      <x:c r="K5" s="26" t="str">
        <x:v>Project Owner / Production</x:v>
      </x:c>
      <x:c r="L5" s="26" t="str">
        <x:v>Game Design</x:v>
      </x:c>
      <x:c r="M5" s="26" t="str">
        <x:v>Backlog H6 crece sin cambio aprobado</x:v>
      </x:c>
      <x:c r="N5" s="26" t="str">
        <x:v>Congelar cambio, identificar autoridad y convocar decisión del owner.</x:v>
      </x:c>
      <x:c r="O5" s="26" t="str">
        <x:v>Restaurar baseline aprobada y replanificar solo mediante ADR/cambio registrado.</x:v>
      </x:c>
      <x:c r="P5" s="26" t="str">
        <x:v>BIA-01</x:v>
      </x:c>
      <x:c r="Q5" s="26" t="str">
        <x:v>PB-01</x:v>
      </x:c>
      <x:c r="R5" s="26" t="str">
        <x:v>TA-GOV-001</x:v>
      </x:c>
      <x:c r="S5" s="26" t="str">
        <x:v>00, 01, 02, 06, 12, 13, 14, 15, 16, 31, 32</x:v>
      </x:c>
      <x:c r="T5" s="26" t="str">
        <x:v>Enfoque, GDD, Roadmap, Binder, Guía y auditorías v0.3–v0.6</x:v>
      </x:c>
      <x:c r="U5" s="26" t="str">
        <x:v>OPEN</x:v>
      </x:c>
      <x:c r="V5" s="26" t="str">
        <x:v>UNVERIFIED</x:v>
      </x:c>
      <x:c r="W5" s="26" t="n">
        <x:v>1</x:v>
      </x:c>
      <x:c r="X5" s="26" t="str">
        <x:v>CHG-RISK-R-GOV-001</x:v>
      </x:c>
    </x:row>
    <x:row r="6" ht="30" customHeight="1">
      <x:c r="A6" s="26" t="str">
        <x:v>R-GOV-002</x:v>
      </x:c>
      <x:c r="B6" s="26" t="str">
        <x:v>Governance &amp; Scope</x:v>
      </x:c>
      <x:c r="C6" s="26" t="str">
        <x:v>Authority</x:v>
      </x:c>
      <x:c r="D6" s="26" t="str">
        <x:v>Existe el riesgo de que ocurra lo siguiente: Dos documentos vigentes prescriben decisiones incompatibles.</x:v>
      </x:c>
      <x:c r="E6" s="26" t="str">
        <x:v>All</x:v>
      </x:c>
      <x:c r="F6" s="26" t="n">
        <x:v>15</x:v>
      </x:c>
      <x:c r="G6" s="26" t="str">
        <x:v>HIGH</x:v>
      </x:c>
      <x:c r="H6" s="26" t="n">
        <x:v>15</x:v>
      </x:c>
      <x:c r="I6" s="26" t="str">
        <x:v>HIGH</x:v>
      </x:c>
      <x:c r="J6" s="26" t="str">
        <x:v>OUTSIDE TOLERANCE</x:v>
      </x:c>
      <x:c r="K6" s="26" t="str">
        <x:v>Project Owner / Production</x:v>
      </x:c>
      <x:c r="L6" s="26" t="str">
        <x:v>Game Design</x:v>
      </x:c>
      <x:c r="M6" s="26" t="str">
        <x:v>Contradicción sin owner ni decisión</x:v>
      </x:c>
      <x:c r="N6" s="26" t="str">
        <x:v>Congelar cambio, identificar autoridad y convocar decisión del owner.</x:v>
      </x:c>
      <x:c r="O6" s="26" t="str">
        <x:v>Restaurar baseline aprobada y replanificar solo mediante ADR/cambio registrado.</x:v>
      </x:c>
      <x:c r="P6" s="26" t="str">
        <x:v>BIA-01</x:v>
      </x:c>
      <x:c r="Q6" s="26" t="str">
        <x:v>PB-01</x:v>
      </x:c>
      <x:c r="R6" s="26" t="str">
        <x:v>TA-GOV-002</x:v>
      </x:c>
      <x:c r="S6" s="26" t="str">
        <x:v>00, 01, 02, 06, 12, 13, 14, 15, 16, 31, 32</x:v>
      </x:c>
      <x:c r="T6" s="26" t="str">
        <x:v>Enfoque, GDD, Roadmap, Binder, Guía y auditorías v0.3–v0.6</x:v>
      </x:c>
      <x:c r="U6" s="26" t="str">
        <x:v>OPEN</x:v>
      </x:c>
      <x:c r="V6" s="26" t="str">
        <x:v>UNVERIFIED</x:v>
      </x:c>
      <x:c r="W6" s="26" t="n">
        <x:v>1</x:v>
      </x:c>
      <x:c r="X6" s="26" t="str">
        <x:v>CHG-RISK-R-GOV-002</x:v>
      </x:c>
    </x:row>
    <x:row r="7" ht="30" customHeight="1">
      <x:c r="A7" s="26" t="str">
        <x:v>R-GOV-003</x:v>
      </x:c>
      <x:c r="B7" s="26" t="str">
        <x:v>Governance &amp; Scope</x:v>
      </x:c>
      <x:c r="C7" s="26" t="str">
        <x:v>Product vision</x:v>
      </x:c>
      <x:c r="D7" s="26" t="str">
        <x:v>Existe el riesgo de que ocurra lo siguiente: La experiencia implementada se desvía de los pilares aprobados.</x:v>
      </x:c>
      <x:c r="E7" s="26" t="str">
        <x:v>Development</x:v>
      </x:c>
      <x:c r="F7" s="26" t="n">
        <x:v>10</x:v>
      </x:c>
      <x:c r="G7" s="26" t="str">
        <x:v>MEDIUM</x:v>
      </x:c>
      <x:c r="H7" s="26" t="n">
        <x:v>10</x:v>
      </x:c>
      <x:c r="I7" s="26" t="str">
        <x:v>MEDIUM</x:v>
      </x:c>
      <x:c r="J7" s="26" t="str">
        <x:v>OUTSIDE TOLERANCE</x:v>
      </x:c>
      <x:c r="K7" s="26" t="str">
        <x:v>Project Owner / Production</x:v>
      </x:c>
      <x:c r="L7" s="26" t="str">
        <x:v>Game Design</x:v>
      </x:c>
      <x:c r="M7" s="26" t="str">
        <x:v>Aceptación visual o UX no refleja Enfoque/GDD</x:v>
      </x:c>
      <x:c r="N7" s="26" t="str">
        <x:v>Congelar cambio, identificar autoridad y convocar decisión del owner.</x:v>
      </x:c>
      <x:c r="O7" s="26" t="str">
        <x:v>Restaurar baseline aprobada y replanificar solo mediante ADR/cambio registrado.</x:v>
      </x:c>
      <x:c r="P7" s="26" t="str">
        <x:v>BIA-01</x:v>
      </x:c>
      <x:c r="Q7" s="26" t="str">
        <x:v>PB-01</x:v>
      </x:c>
      <x:c r="R7" s="26" t="str">
        <x:v>TA-GOV-003</x:v>
      </x:c>
      <x:c r="S7" s="26" t="str">
        <x:v>00, 01, 02, 06, 12, 13, 14, 15, 16, 31, 32</x:v>
      </x:c>
      <x:c r="T7" s="26" t="str">
        <x:v>Enfoque, GDD, Roadmap, Binder, Guía y auditorías v0.3–v0.6</x:v>
      </x:c>
      <x:c r="U7" s="26" t="str">
        <x:v>OPEN</x:v>
      </x:c>
      <x:c r="V7" s="26" t="str">
        <x:v>UNVERIFIED</x:v>
      </x:c>
      <x:c r="W7" s="26" t="n">
        <x:v>1</x:v>
      </x:c>
      <x:c r="X7" s="26" t="str">
        <x:v>CHG-RISK-R-GOV-003</x:v>
      </x:c>
    </x:row>
    <x:row r="8" ht="30" customHeight="1">
      <x:c r="A8" s="26" t="str">
        <x:v>R-GOV-004</x:v>
      </x:c>
      <x:c r="B8" s="26" t="str">
        <x:v>Governance &amp; Scope</x:v>
      </x:c>
      <x:c r="C8" s="26" t="str">
        <x:v>Gate governance</x:v>
      </x:c>
      <x:c r="D8" s="26" t="str">
        <x:v>Existe el riesgo de que ocurra lo siguiente: H6 se declara cerrado sin todas las evidencias contractuales.</x:v>
      </x:c>
      <x:c r="E8" s="26" t="str">
        <x:v>H6</x:v>
      </x:c>
      <x:c r="F8" s="26" t="n">
        <x:v>15</x:v>
      </x:c>
      <x:c r="G8" s="26" t="str">
        <x:v>HIGH</x:v>
      </x:c>
      <x:c r="H8" s="26" t="n">
        <x:v>15</x:v>
      </x:c>
      <x:c r="I8" s="26" t="str">
        <x:v>HIGH</x:v>
      </x:c>
      <x:c r="J8" s="26" t="str">
        <x:v>OUTSIDE TOLERANCE</x:v>
      </x:c>
      <x:c r="K8" s="26" t="str">
        <x:v>Project Owner / Production</x:v>
      </x:c>
      <x:c r="L8" s="26" t="str">
        <x:v>Game Design</x:v>
      </x:c>
      <x:c r="M8" s="26" t="str">
        <x:v>Signoff formal antes de cerrar controles</x:v>
      </x:c>
      <x:c r="N8" s="26" t="str">
        <x:v>Congelar cambio, identificar autoridad y convocar decisión del owner.</x:v>
      </x:c>
      <x:c r="O8" s="26" t="str">
        <x:v>Restaurar baseline aprobada y replanificar solo mediante ADR/cambio registrado.</x:v>
      </x:c>
      <x:c r="P8" s="26" t="str">
        <x:v>BIA-01</x:v>
      </x:c>
      <x:c r="Q8" s="26" t="str">
        <x:v>PB-01</x:v>
      </x:c>
      <x:c r="R8" s="26" t="str">
        <x:v>TA-GOV-004</x:v>
      </x:c>
      <x:c r="S8" s="26" t="str">
        <x:v>00, 01, 02, 06, 12, 13, 14, 15, 16, 31, 32</x:v>
      </x:c>
      <x:c r="T8" s="26" t="str">
        <x:v>Enfoque, GDD, Roadmap, Binder, Guía y auditorías v0.3–v0.6</x:v>
      </x:c>
      <x:c r="U8" s="26" t="str">
        <x:v>OPEN</x:v>
      </x:c>
      <x:c r="V8" s="26" t="str">
        <x:v>UNVERIFIED</x:v>
      </x:c>
      <x:c r="W8" s="26" t="n">
        <x:v>1</x:v>
      </x:c>
      <x:c r="X8" s="26" t="str">
        <x:v>CHG-RISK-R-GOV-004</x:v>
      </x:c>
    </x:row>
    <x:row r="9" ht="30" customHeight="1">
      <x:c r="A9" s="26" t="str">
        <x:v>R-GOV-005</x:v>
      </x:c>
      <x:c r="B9" s="26" t="str">
        <x:v>Governance &amp; Scope</x:v>
      </x:c>
      <x:c r="C9" s="26" t="str">
        <x:v>Change control</x:v>
      </x:c>
      <x:c r="D9" s="26" t="str">
        <x:v>Existe el riesgo de que ocurra lo siguiente: Un cambio transversal no propaga a documentos y pruebas dependientes.</x:v>
      </x:c>
      <x:c r="E9" s="26" t="str">
        <x:v>All</x:v>
      </x:c>
      <x:c r="F9" s="26" t="n">
        <x:v>16</x:v>
      </x:c>
      <x:c r="G9" s="26" t="str">
        <x:v>HIGH</x:v>
      </x:c>
      <x:c r="H9" s="26" t="n">
        <x:v>16</x:v>
      </x:c>
      <x:c r="I9" s="26" t="str">
        <x:v>HIGH</x:v>
      </x:c>
      <x:c r="J9" s="26" t="str">
        <x:v>OUTSIDE TOLERANCE</x:v>
      </x:c>
      <x:c r="K9" s="26" t="str">
        <x:v>Project Owner / Production</x:v>
      </x:c>
      <x:c r="L9" s="26" t="str">
        <x:v>Game Design</x:v>
      </x:c>
      <x:c r="M9" s="26" t="str">
        <x:v>Cambio sin entrada en documento 13</x:v>
      </x:c>
      <x:c r="N9" s="26" t="str">
        <x:v>Congelar cambio, identificar autoridad y convocar decisión del owner.</x:v>
      </x:c>
      <x:c r="O9" s="26" t="str">
        <x:v>Restaurar baseline aprobada y replanificar solo mediante ADR/cambio registrado.</x:v>
      </x:c>
      <x:c r="P9" s="26" t="str">
        <x:v>BIA-01</x:v>
      </x:c>
      <x:c r="Q9" s="26" t="str">
        <x:v>PB-01</x:v>
      </x:c>
      <x:c r="R9" s="26" t="str">
        <x:v>TA-GOV-005</x:v>
      </x:c>
      <x:c r="S9" s="26" t="str">
        <x:v>00, 01, 02, 06, 12, 13, 14, 15, 16, 31, 32</x:v>
      </x:c>
      <x:c r="T9" s="26" t="str">
        <x:v>Enfoque, GDD, Roadmap, Binder, Guía y auditorías v0.3–v0.6</x:v>
      </x:c>
      <x:c r="U9" s="26" t="str">
        <x:v>OPEN</x:v>
      </x:c>
      <x:c r="V9" s="26" t="str">
        <x:v>UNVERIFIED</x:v>
      </x:c>
      <x:c r="W9" s="26" t="n">
        <x:v>1</x:v>
      </x:c>
      <x:c r="X9" s="26" t="str">
        <x:v>CHG-RISK-R-GOV-005</x:v>
      </x:c>
    </x:row>
    <x:row r="10" ht="30" customHeight="1">
      <x:c r="A10" s="26" t="str">
        <x:v>R-GOV-006</x:v>
      </x:c>
      <x:c r="B10" s="26" t="str">
        <x:v>Governance &amp; Scope</x:v>
      </x:c>
      <x:c r="C10" s="26" t="str">
        <x:v>Prioritization</x:v>
      </x:c>
      <x:c r="D10" s="26" t="str">
        <x:v>Existe el riesgo de que ocurra lo siguiente: Trabajo atractivo desplaza dependencias de la ruta crítica.</x:v>
      </x:c>
      <x:c r="E10" s="26" t="str">
        <x:v>Development</x:v>
      </x:c>
      <x:c r="F10" s="26" t="n">
        <x:v>16</x:v>
      </x:c>
      <x:c r="G10" s="26" t="str">
        <x:v>HIGH</x:v>
      </x:c>
      <x:c r="H10" s="26" t="n">
        <x:v>16</x:v>
      </x:c>
      <x:c r="I10" s="26" t="str">
        <x:v>HIGH</x:v>
      </x:c>
      <x:c r="J10" s="26" t="str">
        <x:v>OUTSIDE TOLERANCE</x:v>
      </x:c>
      <x:c r="K10" s="26" t="str">
        <x:v>Project Owner / Production</x:v>
      </x:c>
      <x:c r="L10" s="26" t="str">
        <x:v>Game Design</x:v>
      </x:c>
      <x:c r="M10" s="26" t="str">
        <x:v>WIP no ligado a gate</x:v>
      </x:c>
      <x:c r="N10" s="26" t="str">
        <x:v>Congelar cambio, identificar autoridad y convocar decisión del owner.</x:v>
      </x:c>
      <x:c r="O10" s="26" t="str">
        <x:v>Restaurar baseline aprobada y replanificar solo mediante ADR/cambio registrado.</x:v>
      </x:c>
      <x:c r="P10" s="26" t="str">
        <x:v>BIA-01</x:v>
      </x:c>
      <x:c r="Q10" s="26" t="str">
        <x:v>PB-01</x:v>
      </x:c>
      <x:c r="R10" s="26" t="str">
        <x:v>TA-GOV-006</x:v>
      </x:c>
      <x:c r="S10" s="26" t="str">
        <x:v>00, 01, 02, 06, 12, 13, 14, 15, 16, 31, 32</x:v>
      </x:c>
      <x:c r="T10" s="26" t="str">
        <x:v>Enfoque, GDD, Roadmap, Binder, Guía y auditorías v0.3–v0.6</x:v>
      </x:c>
      <x:c r="U10" s="26" t="str">
        <x:v>OPEN</x:v>
      </x:c>
      <x:c r="V10" s="26" t="str">
        <x:v>UNVERIFIED</x:v>
      </x:c>
      <x:c r="W10" s="26" t="n">
        <x:v>1</x:v>
      </x:c>
      <x:c r="X10" s="26" t="str">
        <x:v>CHG-RISK-R-GOV-006</x:v>
      </x:c>
    </x:row>
    <x:row r="11" ht="30" customHeight="1">
      <x:c r="A11" s="26" t="str">
        <x:v>R-GOV-007</x:v>
      </x:c>
      <x:c r="B11" s="26" t="str">
        <x:v>Governance &amp; Scope</x:v>
      </x:c>
      <x:c r="C11" s="26" t="str">
        <x:v>Decision latency</x:v>
      </x:c>
      <x:c r="D11" s="26" t="str">
        <x:v>Existe el riesgo de que ocurra lo siguiente: Una decisión clave permanece ambigua y bloquea varias disciplinas.</x:v>
      </x:c>
      <x:c r="E11" s="26" t="str">
        <x:v>All</x:v>
      </x:c>
      <x:c r="F11" s="26" t="n">
        <x:v>12</x:v>
      </x:c>
      <x:c r="G11" s="26" t="str">
        <x:v>HIGH</x:v>
      </x:c>
      <x:c r="H11" s="26" t="n">
        <x:v>12</x:v>
      </x:c>
      <x:c r="I11" s="26" t="str">
        <x:v>HIGH</x:v>
      </x:c>
      <x:c r="J11" s="26" t="str">
        <x:v>OUTSIDE TOLERANCE</x:v>
      </x:c>
      <x:c r="K11" s="26" t="str">
        <x:v>Project Owner / Production</x:v>
      </x:c>
      <x:c r="L11" s="26" t="str">
        <x:v>Game Design</x:v>
      </x:c>
      <x:c r="M11" s="26" t="str">
        <x:v>Dependencias BLOCKED &gt; 7 días</x:v>
      </x:c>
      <x:c r="N11" s="26" t="str">
        <x:v>Congelar cambio, identificar autoridad y convocar decisión del owner.</x:v>
      </x:c>
      <x:c r="O11" s="26" t="str">
        <x:v>Restaurar baseline aprobada y replanificar solo mediante ADR/cambio registrado.</x:v>
      </x:c>
      <x:c r="P11" s="26" t="str">
        <x:v>BIA-01</x:v>
      </x:c>
      <x:c r="Q11" s="26" t="str">
        <x:v>PB-01</x:v>
      </x:c>
      <x:c r="R11" s="26" t="str">
        <x:v>TA-GOV-007</x:v>
      </x:c>
      <x:c r="S11" s="26" t="str">
        <x:v>00, 01, 02, 06, 12, 13, 14, 15, 16, 31, 32</x:v>
      </x:c>
      <x:c r="T11" s="26" t="str">
        <x:v>Enfoque, GDD, Roadmap, Binder, Guía y auditorías v0.3–v0.6</x:v>
      </x:c>
      <x:c r="U11" s="26" t="str">
        <x:v>OPEN</x:v>
      </x:c>
      <x:c r="V11" s="26" t="str">
        <x:v>UNVERIFIED</x:v>
      </x:c>
      <x:c r="W11" s="26" t="n">
        <x:v>1</x:v>
      </x:c>
      <x:c r="X11" s="26" t="str">
        <x:v>CHG-RISK-R-GOV-007</x:v>
      </x:c>
    </x:row>
    <x:row r="12" ht="30" customHeight="1">
      <x:c r="A12" s="26" t="str">
        <x:v>R-GOV-008</x:v>
      </x:c>
      <x:c r="B12" s="26" t="str">
        <x:v>Governance &amp; Scope</x:v>
      </x:c>
      <x:c r="C12" s="26" t="str">
        <x:v>Acceptance</x:v>
      </x:c>
      <x:c r="D12" s="26" t="str">
        <x:v>Existe el riesgo de que ocurra lo siguiente: Se confunde implementación técnica con aceptación de producto.</x:v>
      </x:c>
      <x:c r="E12" s="26" t="str">
        <x:v>Development</x:v>
      </x:c>
      <x:c r="F12" s="26" t="n">
        <x:v>16</x:v>
      </x:c>
      <x:c r="G12" s="26" t="str">
        <x:v>HIGH</x:v>
      </x:c>
      <x:c r="H12" s="26" t="n">
        <x:v>16</x:v>
      </x:c>
      <x:c r="I12" s="26" t="str">
        <x:v>HIGH</x:v>
      </x:c>
      <x:c r="J12" s="26" t="str">
        <x:v>OUTSIDE TOLERANCE</x:v>
      </x:c>
      <x:c r="K12" s="26" t="str">
        <x:v>Project Owner / Production</x:v>
      </x:c>
      <x:c r="L12" s="26" t="str">
        <x:v>Game Design</x:v>
      </x:c>
      <x:c r="M12" s="26" t="str">
        <x:v>PASS técnico sin revisión visual/manual</x:v>
      </x:c>
      <x:c r="N12" s="26" t="str">
        <x:v>Congelar cambio, identificar autoridad y convocar decisión del owner.</x:v>
      </x:c>
      <x:c r="O12" s="26" t="str">
        <x:v>Restaurar baseline aprobada y replanificar solo mediante ADR/cambio registrado.</x:v>
      </x:c>
      <x:c r="P12" s="26" t="str">
        <x:v>BIA-01</x:v>
      </x:c>
      <x:c r="Q12" s="26" t="str">
        <x:v>PB-01</x:v>
      </x:c>
      <x:c r="R12" s="26" t="str">
        <x:v>TA-GOV-008</x:v>
      </x:c>
      <x:c r="S12" s="26" t="str">
        <x:v>00, 01, 02, 06, 12, 13, 14, 15, 16, 31, 32</x:v>
      </x:c>
      <x:c r="T12" s="26" t="str">
        <x:v>Enfoque, GDD, Roadmap, Binder, Guía y auditorías v0.3–v0.6</x:v>
      </x:c>
      <x:c r="U12" s="26" t="str">
        <x:v>OPEN</x:v>
      </x:c>
      <x:c r="V12" s="26" t="str">
        <x:v>UNVERIFIED</x:v>
      </x:c>
      <x:c r="W12" s="26" t="n">
        <x:v>1</x:v>
      </x:c>
      <x:c r="X12" s="26" t="str">
        <x:v>CHG-RISK-R-GOV-008</x:v>
      </x:c>
    </x:row>
    <x:row r="13" ht="30" customHeight="1">
      <x:c r="A13" s="26" t="str">
        <x:v>R-GOV-009</x:v>
      </x:c>
      <x:c r="B13" s="26" t="str">
        <x:v>Governance &amp; Scope</x:v>
      </x:c>
      <x:c r="C13" s="26" t="str">
        <x:v>Naming &amp; identity</x:v>
      </x:c>
      <x:c r="D13" s="26" t="str">
        <x:v>Existe el riesgo de que ocurra lo siguiente: Título o nombre de estudio se trata como definitivo sin clearance.</x:v>
      </x:c>
      <x:c r="E13" s="26" t="str">
        <x:v>Publishing</x:v>
      </x:c>
      <x:c r="F13" s="26" t="n">
        <x:v>15</x:v>
      </x:c>
      <x:c r="G13" s="26" t="str">
        <x:v>HIGH</x:v>
      </x:c>
      <x:c r="H13" s="26" t="n">
        <x:v>15</x:v>
      </x:c>
      <x:c r="I13" s="26" t="str">
        <x:v>HIGH</x:v>
      </x:c>
      <x:c r="J13" s="26" t="str">
        <x:v>OUTSIDE TOLERANCE</x:v>
      </x:c>
      <x:c r="K13" s="26" t="str">
        <x:v>Project Owner / Production</x:v>
      </x:c>
      <x:c r="L13" s="26" t="str">
        <x:v>Game Design</x:v>
      </x:c>
      <x:c r="M13" s="26" t="str">
        <x:v>Asset público usa marca provisional</x:v>
      </x:c>
      <x:c r="N13" s="26" t="str">
        <x:v>Congelar cambio, identificar autoridad y convocar decisión del owner.</x:v>
      </x:c>
      <x:c r="O13" s="26" t="str">
        <x:v>Restaurar baseline aprobada y replanificar solo mediante ADR/cambio registrado.</x:v>
      </x:c>
      <x:c r="P13" s="26" t="str">
        <x:v>BIA-01</x:v>
      </x:c>
      <x:c r="Q13" s="26" t="str">
        <x:v>PB-01</x:v>
      </x:c>
      <x:c r="R13" s="26" t="str">
        <x:v>TA-GOV-009</x:v>
      </x:c>
      <x:c r="S13" s="26" t="str">
        <x:v>00, 01, 02, 06, 12, 13, 14, 15, 16, 31, 32</x:v>
      </x:c>
      <x:c r="T13" s="26" t="str">
        <x:v>Enfoque, GDD, Roadmap, Binder, Guía y auditorías v0.3–v0.6</x:v>
      </x:c>
      <x:c r="U13" s="26" t="str">
        <x:v>OPEN</x:v>
      </x:c>
      <x:c r="V13" s="26" t="str">
        <x:v>UNVERIFIED</x:v>
      </x:c>
      <x:c r="W13" s="26" t="n">
        <x:v>1</x:v>
      </x:c>
      <x:c r="X13" s="26" t="str">
        <x:v>CHG-RISK-R-GOV-009</x:v>
      </x:c>
    </x:row>
    <x:row r="14" ht="30" customHeight="1">
      <x:c r="A14" s="26" t="str">
        <x:v>R-GOV-010</x:v>
      </x:c>
      <x:c r="B14" s="26" t="str">
        <x:v>Governance &amp; Scope</x:v>
      </x:c>
      <x:c r="C14" s="26" t="str">
        <x:v>Post-H6 scope</x:v>
      </x:c>
      <x:c r="D14" s="26" t="str">
        <x:v>Existe el riesgo de que ocurra lo siguiente: Se promete contenido futuro como parte del vertical slice actual.</x:v>
      </x:c>
      <x:c r="E14" s="26" t="str">
        <x:v>Marketing</x:v>
      </x:c>
      <x:c r="F14" s="26" t="n">
        <x:v>12</x:v>
      </x:c>
      <x:c r="G14" s="26" t="str">
        <x:v>HIGH</x:v>
      </x:c>
      <x:c r="H14" s="26" t="n">
        <x:v>12</x:v>
      </x:c>
      <x:c r="I14" s="26" t="str">
        <x:v>HIGH</x:v>
      </x:c>
      <x:c r="J14" s="26" t="str">
        <x:v>OUTSIDE TOLERANCE</x:v>
      </x:c>
      <x:c r="K14" s="26" t="str">
        <x:v>Project Owner / Production</x:v>
      </x:c>
      <x:c r="L14" s="26" t="str">
        <x:v>Game Design</x:v>
      </x:c>
      <x:c r="M14" s="26" t="str">
        <x:v>Copy excede build demostrable</x:v>
      </x:c>
      <x:c r="N14" s="26" t="str">
        <x:v>Congelar cambio, identificar autoridad y convocar decisión del owner.</x:v>
      </x:c>
      <x:c r="O14" s="26" t="str">
        <x:v>Restaurar baseline aprobada y replanificar solo mediante ADR/cambio registrado.</x:v>
      </x:c>
      <x:c r="P14" s="26" t="str">
        <x:v>BIA-01</x:v>
      </x:c>
      <x:c r="Q14" s="26" t="str">
        <x:v>PB-01</x:v>
      </x:c>
      <x:c r="R14" s="26" t="str">
        <x:v>TA-GOV-010</x:v>
      </x:c>
      <x:c r="S14" s="26" t="str">
        <x:v>00, 01, 02, 06, 12, 13, 14, 15, 16, 31, 32</x:v>
      </x:c>
      <x:c r="T14" s="26" t="str">
        <x:v>Enfoque, GDD, Roadmap, Binder, Guía y auditorías v0.3–v0.6</x:v>
      </x:c>
      <x:c r="U14" s="26" t="str">
        <x:v>OPEN</x:v>
      </x:c>
      <x:c r="V14" s="26" t="str">
        <x:v>UNVERIFIED</x:v>
      </x:c>
      <x:c r="W14" s="26" t="n">
        <x:v>1</x:v>
      </x:c>
      <x:c r="X14" s="26" t="str">
        <x:v>CHG-RISK-R-GOV-010</x:v>
      </x:c>
    </x:row>
    <x:row r="15" ht="30" customHeight="1">
      <x:c r="A15" s="26" t="str">
        <x:v>R-PEO-001</x:v>
      </x:c>
      <x:c r="B15" s="26" t="str">
        <x:v>People &amp; Capacity</x:v>
      </x:c>
      <x:c r="C15" s="26" t="str">
        <x:v>Single owner</x:v>
      </x:c>
      <x:c r="D15" s="26" t="str">
        <x:v>Existe el riesgo de que ocurra lo siguiente: La indisponibilidad del owner detiene producción y decisiones.</x:v>
      </x:c>
      <x:c r="E15" s="26" t="str">
        <x:v>All</x:v>
      </x:c>
      <x:c r="F15" s="26" t="n">
        <x:v>20</x:v>
      </x:c>
      <x:c r="G15" s="26" t="str">
        <x:v>CRITICAL</x:v>
      </x:c>
      <x:c r="H15" s="26" t="n">
        <x:v>20</x:v>
      </x:c>
      <x:c r="I15" s="26" t="str">
        <x:v>CRITICAL</x:v>
      </x:c>
      <x:c r="J15" s="26" t="str">
        <x:v>OUTSIDE TOLERANCE</x:v>
      </x:c>
      <x:c r="K15" s="26" t="str">
        <x:v>Project Owner / Production</x:v>
      </x:c>
      <x:c r="L15" s="26" t="str">
        <x:v>External collaborator / designated alternate</x:v>
      </x:c>
      <x:c r="M15" s="26" t="str">
        <x:v>Owner inaccesible &gt; 24 h</x:v>
      </x:c>
      <x:c r="N15" s="26" t="str">
        <x:v>Detener trabajo no esencial y activar handoff mínimo.</x:v>
      </x:c>
      <x:c r="O15" s="26" t="str">
        <x:v>Retomar desde manual, repositorio, baseline y último build verificable.</x:v>
      </x:c>
      <x:c r="P15" s="26" t="str">
        <x:v>BIA-02</x:v>
      </x:c>
      <x:c r="Q15" s="26" t="str">
        <x:v>PB-02</x:v>
      </x:c>
      <x:c r="R15" s="26" t="str">
        <x:v>TA-PEO-001</x:v>
      </x:c>
      <x:c r="S15" s="26" t="str">
        <x:v>06, 09, 13, 15, 25, 27, 31, 34</x:v>
      </x:c>
      <x:c r="T15" s="26" t="str">
        <x:v>Roadmaps, sprint closures, handoffs y estados actuales</x:v>
      </x:c>
      <x:c r="U15" s="26" t="str">
        <x:v>OPEN</x:v>
      </x:c>
      <x:c r="V15" s="26" t="str">
        <x:v>UNVERIFIED</x:v>
      </x:c>
      <x:c r="W15" s="26" t="n">
        <x:v>1</x:v>
      </x:c>
      <x:c r="X15" s="26" t="str">
        <x:v>CHG-RISK-R-PEO-001</x:v>
      </x:c>
    </x:row>
    <x:row r="16" ht="30" customHeight="1">
      <x:c r="A16" s="26" t="str">
        <x:v>R-PEO-002</x:v>
      </x:c>
      <x:c r="B16" s="26" t="str">
        <x:v>People &amp; Capacity</x:v>
      </x:c>
      <x:c r="C16" s="26" t="str">
        <x:v>Knowledge concentration</x:v>
      </x:c>
      <x:c r="D16" s="26" t="str">
        <x:v>Existe el riesgo de que ocurra lo siguiente: Conocimiento crítico solo existe en memoria o chat.</x:v>
      </x:c>
      <x:c r="E16" s="26" t="str">
        <x:v>All</x:v>
      </x:c>
      <x:c r="F16" s="26" t="n">
        <x:v>20</x:v>
      </x:c>
      <x:c r="G16" s="26" t="str">
        <x:v>CRITICAL</x:v>
      </x:c>
      <x:c r="H16" s="26" t="n">
        <x:v>20</x:v>
      </x:c>
      <x:c r="I16" s="26" t="str">
        <x:v>CRITICAL</x:v>
      </x:c>
      <x:c r="J16" s="26" t="str">
        <x:v>OUTSIDE TOLERANCE</x:v>
      </x:c>
      <x:c r="K16" s="26" t="str">
        <x:v>Project Owner / Production</x:v>
      </x:c>
      <x:c r="L16" s="26" t="str">
        <x:v>External collaborator / designated alternate</x:v>
      </x:c>
      <x:c r="M16" s="26" t="str">
        <x:v>Proceso sin runbook/handoff</x:v>
      </x:c>
      <x:c r="N16" s="26" t="str">
        <x:v>Detener trabajo no esencial y activar handoff mínimo.</x:v>
      </x:c>
      <x:c r="O16" s="26" t="str">
        <x:v>Retomar desde manual, repositorio, baseline y último build verificable.</x:v>
      </x:c>
      <x:c r="P16" s="26" t="str">
        <x:v>BIA-02</x:v>
      </x:c>
      <x:c r="Q16" s="26" t="str">
        <x:v>PB-02</x:v>
      </x:c>
      <x:c r="R16" s="26" t="str">
        <x:v>TA-PEO-002</x:v>
      </x:c>
      <x:c r="S16" s="26" t="str">
        <x:v>06, 09, 13, 15, 25, 27, 31, 34</x:v>
      </x:c>
      <x:c r="T16" s="26" t="str">
        <x:v>Roadmaps, sprint closures, handoffs y estados actuales</x:v>
      </x:c>
      <x:c r="U16" s="26" t="str">
        <x:v>OPEN</x:v>
      </x:c>
      <x:c r="V16" s="26" t="str">
        <x:v>UNVERIFIED</x:v>
      </x:c>
      <x:c r="W16" s="26" t="n">
        <x:v>1</x:v>
      </x:c>
      <x:c r="X16" s="26" t="str">
        <x:v>CHG-RISK-R-PEO-002</x:v>
      </x:c>
    </x:row>
    <x:row r="17" ht="30" customHeight="1">
      <x:c r="A17" s="26" t="str">
        <x:v>R-PEO-003</x:v>
      </x:c>
      <x:c r="B17" s="26" t="str">
        <x:v>People &amp; Capacity</x:v>
      </x:c>
      <x:c r="C17" s="26" t="str">
        <x:v>Overload</x:v>
      </x:c>
      <x:c r="D17" s="26" t="str">
        <x:v>Existe el riesgo de que ocurra lo siguiente: Sobrecarga reduce calidad y aumenta errores.</x:v>
      </x:c>
      <x:c r="E17" s="26" t="str">
        <x:v>Development</x:v>
      </x:c>
      <x:c r="F17" s="26" t="n">
        <x:v>16</x:v>
      </x:c>
      <x:c r="G17" s="26" t="str">
        <x:v>HIGH</x:v>
      </x:c>
      <x:c r="H17" s="26" t="n">
        <x:v>16</x:v>
      </x:c>
      <x:c r="I17" s="26" t="str">
        <x:v>HIGH</x:v>
      </x:c>
      <x:c r="J17" s="26" t="str">
        <x:v>OUTSIDE TOLERANCE</x:v>
      </x:c>
      <x:c r="K17" s="26" t="str">
        <x:v>Project Owner / Production</x:v>
      </x:c>
      <x:c r="L17" s="26" t="str">
        <x:v>External collaborator / designated alternate</x:v>
      </x:c>
      <x:c r="M17" s="26" t="str">
        <x:v>WIP/horas/retrabajo crecen dos ciclos</x:v>
      </x:c>
      <x:c r="N17" s="26" t="str">
        <x:v>Detener trabajo no esencial y activar handoff mínimo.</x:v>
      </x:c>
      <x:c r="O17" s="26" t="str">
        <x:v>Retomar desde manual, repositorio, baseline y último build verificable.</x:v>
      </x:c>
      <x:c r="P17" s="26" t="str">
        <x:v>BIA-02</x:v>
      </x:c>
      <x:c r="Q17" s="26" t="str">
        <x:v>PB-02</x:v>
      </x:c>
      <x:c r="R17" s="26" t="str">
        <x:v>TA-PEO-003</x:v>
      </x:c>
      <x:c r="S17" s="26" t="str">
        <x:v>06, 09, 13, 15, 25, 27, 31, 34</x:v>
      </x:c>
      <x:c r="T17" s="26" t="str">
        <x:v>Roadmaps, sprint closures, handoffs y estados actuales</x:v>
      </x:c>
      <x:c r="U17" s="26" t="str">
        <x:v>OPEN</x:v>
      </x:c>
      <x:c r="V17" s="26" t="str">
        <x:v>UNVERIFIED</x:v>
      </x:c>
      <x:c r="W17" s="26" t="n">
        <x:v>1</x:v>
      </x:c>
      <x:c r="X17" s="26" t="str">
        <x:v>CHG-RISK-R-PEO-003</x:v>
      </x:c>
    </x:row>
    <x:row r="18" ht="30" customHeight="1">
      <x:c r="A18" s="26" t="str">
        <x:v>R-PEO-004</x:v>
      </x:c>
      <x:c r="B18" s="26" t="str">
        <x:v>People &amp; Capacity</x:v>
      </x:c>
      <x:c r="C18" s="26" t="str">
        <x:v>Burnout</x:v>
      </x:c>
      <x:c r="D18" s="26" t="str">
        <x:v>Existe el riesgo de que ocurra lo siguiente: Fatiga sostenida provoca interrupción prolongada.</x:v>
      </x:c>
      <x:c r="E18" s="26" t="str">
        <x:v>All</x:v>
      </x:c>
      <x:c r="F18" s="26" t="n">
        <x:v>15</x:v>
      </x:c>
      <x:c r="G18" s="26" t="str">
        <x:v>HIGH</x:v>
      </x:c>
      <x:c r="H18" s="26" t="n">
        <x:v>15</x:v>
      </x:c>
      <x:c r="I18" s="26" t="str">
        <x:v>HIGH</x:v>
      </x:c>
      <x:c r="J18" s="26" t="str">
        <x:v>OUTSIDE TOLERANCE</x:v>
      </x:c>
      <x:c r="K18" s="26" t="str">
        <x:v>Project Owner / Production</x:v>
      </x:c>
      <x:c r="L18" s="26" t="str">
        <x:v>External collaborator / designated alternate</x:v>
      </x:c>
      <x:c r="M18" s="26" t="str">
        <x:v>Capacidad real cae &gt; 30%</x:v>
      </x:c>
      <x:c r="N18" s="26" t="str">
        <x:v>Detener trabajo no esencial y activar handoff mínimo.</x:v>
      </x:c>
      <x:c r="O18" s="26" t="str">
        <x:v>Retomar desde manual, repositorio, baseline y último build verificable.</x:v>
      </x:c>
      <x:c r="P18" s="26" t="str">
        <x:v>BIA-02</x:v>
      </x:c>
      <x:c r="Q18" s="26" t="str">
        <x:v>PB-02</x:v>
      </x:c>
      <x:c r="R18" s="26" t="str">
        <x:v>TA-PEO-004</x:v>
      </x:c>
      <x:c r="S18" s="26" t="str">
        <x:v>06, 09, 13, 15, 25, 27, 31, 34</x:v>
      </x:c>
      <x:c r="T18" s="26" t="str">
        <x:v>Roadmaps, sprint closures, handoffs y estados actuales</x:v>
      </x:c>
      <x:c r="U18" s="26" t="str">
        <x:v>OPEN</x:v>
      </x:c>
      <x:c r="V18" s="26" t="str">
        <x:v>UNVERIFIED</x:v>
      </x:c>
      <x:c r="W18" s="26" t="n">
        <x:v>1</x:v>
      </x:c>
      <x:c r="X18" s="26" t="str">
        <x:v>CHG-RISK-R-PEO-004</x:v>
      </x:c>
    </x:row>
    <x:row r="19" ht="30" customHeight="1">
      <x:c r="A19" s="26" t="str">
        <x:v>R-PEO-005</x:v>
      </x:c>
      <x:c r="B19" s="26" t="str">
        <x:v>People &amp; Capacity</x:v>
      </x:c>
      <x:c r="C19" s="26" t="str">
        <x:v>Context switching</x:v>
      </x:c>
      <x:c r="D19" s="26" t="str">
        <x:v>Existe el riesgo de que ocurra lo siguiente: Demasiados frentes abiertos degradan foco.</x:v>
      </x:c>
      <x:c r="E19" s="26" t="str">
        <x:v>Development</x:v>
      </x:c>
      <x:c r="F19" s="26" t="n">
        <x:v>12</x:v>
      </x:c>
      <x:c r="G19" s="26" t="str">
        <x:v>HIGH</x:v>
      </x:c>
      <x:c r="H19" s="26" t="n">
        <x:v>12</x:v>
      </x:c>
      <x:c r="I19" s="26" t="str">
        <x:v>HIGH</x:v>
      </x:c>
      <x:c r="J19" s="26" t="str">
        <x:v>OUTSIDE TOLERANCE</x:v>
      </x:c>
      <x:c r="K19" s="26" t="str">
        <x:v>Project Owner / Production</x:v>
      </x:c>
      <x:c r="L19" s="26" t="str">
        <x:v>External collaborator / designated alternate</x:v>
      </x:c>
      <x:c r="M19" s="26" t="str">
        <x:v>Más de 3 workstreams activos</x:v>
      </x:c>
      <x:c r="N19" s="26" t="str">
        <x:v>Detener trabajo no esencial y activar handoff mínimo.</x:v>
      </x:c>
      <x:c r="O19" s="26" t="str">
        <x:v>Retomar desde manual, repositorio, baseline y último build verificable.</x:v>
      </x:c>
      <x:c r="P19" s="26" t="str">
        <x:v>BIA-02</x:v>
      </x:c>
      <x:c r="Q19" s="26" t="str">
        <x:v>PB-02</x:v>
      </x:c>
      <x:c r="R19" s="26" t="str">
        <x:v>TA-PEO-005</x:v>
      </x:c>
      <x:c r="S19" s="26" t="str">
        <x:v>06, 09, 13, 15, 25, 27, 31, 34</x:v>
      </x:c>
      <x:c r="T19" s="26" t="str">
        <x:v>Roadmaps, sprint closures, handoffs y estados actuales</x:v>
      </x:c>
      <x:c r="U19" s="26" t="str">
        <x:v>OPEN</x:v>
      </x:c>
      <x:c r="V19" s="26" t="str">
        <x:v>UNVERIFIED</x:v>
      </x:c>
      <x:c r="W19" s="26" t="n">
        <x:v>1</x:v>
      </x:c>
      <x:c r="X19" s="26" t="str">
        <x:v>CHG-RISK-R-PEO-005</x:v>
      </x:c>
    </x:row>
    <x:row r="20" ht="30" customHeight="1">
      <x:c r="A20" s="26" t="str">
        <x:v>R-PEO-006</x:v>
      </x:c>
      <x:c r="B20" s="26" t="str">
        <x:v>People &amp; Capacity</x:v>
      </x:c>
      <x:c r="C20" s="26" t="str">
        <x:v>External collaborator</x:v>
      </x:c>
      <x:c r="D20" s="26" t="str">
        <x:v>Existe el riesgo de que ocurra lo siguiente: Colaborador accede sin onboarding, límites o offboarding.</x:v>
      </x:c>
      <x:c r="E20" s="26" t="str">
        <x:v>All</x:v>
      </x:c>
      <x:c r="F20" s="26" t="n">
        <x:v>8</x:v>
      </x:c>
      <x:c r="G20" s="26" t="str">
        <x:v>MEDIUM</x:v>
      </x:c>
      <x:c r="H20" s="26" t="n">
        <x:v>8</x:v>
      </x:c>
      <x:c r="I20" s="26" t="str">
        <x:v>MEDIUM</x:v>
      </x:c>
      <x:c r="J20" s="26" t="str">
        <x:v>OUTSIDE TOLERANCE</x:v>
      </x:c>
      <x:c r="K20" s="26" t="str">
        <x:v>Project Owner / Production</x:v>
      </x:c>
      <x:c r="L20" s="26" t="str">
        <x:v>External collaborator / designated alternate</x:v>
      </x:c>
      <x:c r="M20" s="26" t="str">
        <x:v>Acceso antes de checklist</x:v>
      </x:c>
      <x:c r="N20" s="26" t="str">
        <x:v>Detener trabajo no esencial y activar handoff mínimo.</x:v>
      </x:c>
      <x:c r="O20" s="26" t="str">
        <x:v>Retomar desde manual, repositorio, baseline y último build verificable.</x:v>
      </x:c>
      <x:c r="P20" s="26" t="str">
        <x:v>BIA-02</x:v>
      </x:c>
      <x:c r="Q20" s="26" t="str">
        <x:v>PB-02</x:v>
      </x:c>
      <x:c r="R20" s="26" t="str">
        <x:v>TA-PEO-006</x:v>
      </x:c>
      <x:c r="S20" s="26" t="str">
        <x:v>06, 09, 13, 15, 25, 27, 31, 34</x:v>
      </x:c>
      <x:c r="T20" s="26" t="str">
        <x:v>Roadmaps, sprint closures, handoffs y estados actuales</x:v>
      </x:c>
      <x:c r="U20" s="26" t="str">
        <x:v>OPEN</x:v>
      </x:c>
      <x:c r="V20" s="26" t="str">
        <x:v>UNVERIFIED</x:v>
      </x:c>
      <x:c r="W20" s="26" t="n">
        <x:v>1</x:v>
      </x:c>
      <x:c r="X20" s="26" t="str">
        <x:v>CHG-RISK-R-PEO-006</x:v>
      </x:c>
    </x:row>
    <x:row r="21" ht="30" customHeight="1">
      <x:c r="A21" s="26" t="str">
        <x:v>R-PEO-007</x:v>
      </x:c>
      <x:c r="B21" s="26" t="str">
        <x:v>People &amp; Capacity</x:v>
      </x:c>
      <x:c r="C21" s="26" t="str">
        <x:v>Skill gap</x:v>
      </x:c>
      <x:c r="D21" s="26" t="str">
        <x:v>Existe el riesgo de que ocurra lo siguiente: Falta experiencia especializada en Steam, legal o accesibilidad.</x:v>
      </x:c>
      <x:c r="E21" s="26" t="str">
        <x:v>Publishing</x:v>
      </x:c>
      <x:c r="F21" s="26" t="n">
        <x:v>12</x:v>
      </x:c>
      <x:c r="G21" s="26" t="str">
        <x:v>HIGH</x:v>
      </x:c>
      <x:c r="H21" s="26" t="n">
        <x:v>12</x:v>
      </x:c>
      <x:c r="I21" s="26" t="str">
        <x:v>HIGH</x:v>
      </x:c>
      <x:c r="J21" s="26" t="str">
        <x:v>OUTSIDE TOLERANCE</x:v>
      </x:c>
      <x:c r="K21" s="26" t="str">
        <x:v>Project Owner / Production</x:v>
      </x:c>
      <x:c r="L21" s="26" t="str">
        <x:v>External collaborator / designated alternate</x:v>
      </x:c>
      <x:c r="M21" s="26" t="str">
        <x:v>Gate bloqueado por conocimiento</x:v>
      </x:c>
      <x:c r="N21" s="26" t="str">
        <x:v>Detener trabajo no esencial y activar handoff mínimo.</x:v>
      </x:c>
      <x:c r="O21" s="26" t="str">
        <x:v>Retomar desde manual, repositorio, baseline y último build verificable.</x:v>
      </x:c>
      <x:c r="P21" s="26" t="str">
        <x:v>BIA-02</x:v>
      </x:c>
      <x:c r="Q21" s="26" t="str">
        <x:v>PB-02</x:v>
      </x:c>
      <x:c r="R21" s="26" t="str">
        <x:v>TA-PEO-007</x:v>
      </x:c>
      <x:c r="S21" s="26" t="str">
        <x:v>06, 09, 13, 15, 25, 27, 31, 34</x:v>
      </x:c>
      <x:c r="T21" s="26" t="str">
        <x:v>Roadmaps, sprint closures, handoffs y estados actuales</x:v>
      </x:c>
      <x:c r="U21" s="26" t="str">
        <x:v>OPEN</x:v>
      </x:c>
      <x:c r="V21" s="26" t="str">
        <x:v>UNVERIFIED</x:v>
      </x:c>
      <x:c r="W21" s="26" t="n">
        <x:v>1</x:v>
      </x:c>
      <x:c r="X21" s="26" t="str">
        <x:v>CHG-RISK-R-PEO-007</x:v>
      </x:c>
    </x:row>
    <x:row r="22" ht="30" customHeight="1">
      <x:c r="A22" s="26" t="str">
        <x:v>R-PEO-008</x:v>
      </x:c>
      <x:c r="B22" s="26" t="str">
        <x:v>People &amp; Capacity</x:v>
      </x:c>
      <x:c r="C22" s="26" t="str">
        <x:v>Succession</x:v>
      </x:c>
      <x:c r="D22" s="26" t="str">
        <x:v>Existe el riesgo de que ocurra lo siguiente: No existe sustituto capaz de ejecutar build/recovery.</x:v>
      </x:c>
      <x:c r="E22" s="26" t="str">
        <x:v>All</x:v>
      </x:c>
      <x:c r="F22" s="26" t="n">
        <x:v>20</x:v>
      </x:c>
      <x:c r="G22" s="26" t="str">
        <x:v>CRITICAL</x:v>
      </x:c>
      <x:c r="H22" s="26" t="n">
        <x:v>20</x:v>
      </x:c>
      <x:c r="I22" s="26" t="str">
        <x:v>CRITICAL</x:v>
      </x:c>
      <x:c r="J22" s="26" t="str">
        <x:v>OUTSIDE TOLERANCE</x:v>
      </x:c>
      <x:c r="K22" s="26" t="str">
        <x:v>Project Owner / Production</x:v>
      </x:c>
      <x:c r="L22" s="26" t="str">
        <x:v>External collaborator / designated alternate</x:v>
      </x:c>
      <x:c r="M22" s="26" t="str">
        <x:v>Solo una persona puede publicar/restaurar</x:v>
      </x:c>
      <x:c r="N22" s="26" t="str">
        <x:v>Detener trabajo no esencial y activar handoff mínimo.</x:v>
      </x:c>
      <x:c r="O22" s="26" t="str">
        <x:v>Retomar desde manual, repositorio, baseline y último build verificable.</x:v>
      </x:c>
      <x:c r="P22" s="26" t="str">
        <x:v>BIA-02</x:v>
      </x:c>
      <x:c r="Q22" s="26" t="str">
        <x:v>PB-02</x:v>
      </x:c>
      <x:c r="R22" s="26" t="str">
        <x:v>TA-PEO-008</x:v>
      </x:c>
      <x:c r="S22" s="26" t="str">
        <x:v>06, 09, 13, 15, 25, 27, 31, 34</x:v>
      </x:c>
      <x:c r="T22" s="26" t="str">
        <x:v>Roadmaps, sprint closures, handoffs y estados actuales</x:v>
      </x:c>
      <x:c r="U22" s="26" t="str">
        <x:v>OPEN</x:v>
      </x:c>
      <x:c r="V22" s="26" t="str">
        <x:v>UNVERIFIED</x:v>
      </x:c>
      <x:c r="W22" s="26" t="n">
        <x:v>1</x:v>
      </x:c>
      <x:c r="X22" s="26" t="str">
        <x:v>CHG-RISK-R-PEO-008</x:v>
      </x:c>
    </x:row>
    <x:row r="23" ht="30" customHeight="1">
      <x:c r="A23" s="26" t="str">
        <x:v>R-PEO-009</x:v>
      </x:c>
      <x:c r="B23" s="26" t="str">
        <x:v>People &amp; Capacity</x:v>
      </x:c>
      <x:c r="C23" s="26" t="str">
        <x:v>Communication loss</x:v>
      </x:c>
      <x:c r="D23" s="26" t="str">
        <x:v>Existe el riesgo de que ocurra lo siguiente: Decisiones se toman en canales no preservados.</x:v>
      </x:c>
      <x:c r="E23" s="26" t="str">
        <x:v>All</x:v>
      </x:c>
      <x:c r="F23" s="26" t="n">
        <x:v>12</x:v>
      </x:c>
      <x:c r="G23" s="26" t="str">
        <x:v>HIGH</x:v>
      </x:c>
      <x:c r="H23" s="26" t="n">
        <x:v>12</x:v>
      </x:c>
      <x:c r="I23" s="26" t="str">
        <x:v>HIGH</x:v>
      </x:c>
      <x:c r="J23" s="26" t="str">
        <x:v>OUTSIDE TOLERANCE</x:v>
      </x:c>
      <x:c r="K23" s="26" t="str">
        <x:v>Project Owner / Production</x:v>
      </x:c>
      <x:c r="L23" s="26" t="str">
        <x:v>External collaborator / designated alternate</x:v>
      </x:c>
      <x:c r="M23" s="26" t="str">
        <x:v>Decisión sin registro en baseline</x:v>
      </x:c>
      <x:c r="N23" s="26" t="str">
        <x:v>Detener trabajo no esencial y activar handoff mínimo.</x:v>
      </x:c>
      <x:c r="O23" s="26" t="str">
        <x:v>Retomar desde manual, repositorio, baseline y último build verificable.</x:v>
      </x:c>
      <x:c r="P23" s="26" t="str">
        <x:v>BIA-02</x:v>
      </x:c>
      <x:c r="Q23" s="26" t="str">
        <x:v>PB-02</x:v>
      </x:c>
      <x:c r="R23" s="26" t="str">
        <x:v>TA-PEO-009</x:v>
      </x:c>
      <x:c r="S23" s="26" t="str">
        <x:v>06, 09, 13, 15, 25, 27, 31, 34</x:v>
      </x:c>
      <x:c r="T23" s="26" t="str">
        <x:v>Roadmaps, sprint closures, handoffs y estados actuales</x:v>
      </x:c>
      <x:c r="U23" s="26" t="str">
        <x:v>OPEN</x:v>
      </x:c>
      <x:c r="V23" s="26" t="str">
        <x:v>UNVERIFIED</x:v>
      </x:c>
      <x:c r="W23" s="26" t="n">
        <x:v>1</x:v>
      </x:c>
      <x:c r="X23" s="26" t="str">
        <x:v>CHG-RISK-R-PEO-009</x:v>
      </x:c>
    </x:row>
    <x:row r="24" ht="30" customHeight="1">
      <x:c r="A24" s="26" t="str">
        <x:v>R-PEO-010</x:v>
      </x:c>
      <x:c r="B24" s="26" t="str">
        <x:v>People &amp; Capacity</x:v>
      </x:c>
      <x:c r="C24" s="26" t="str">
        <x:v>Key-person error</x:v>
      </x:c>
      <x:c r="D24" s="26" t="str">
        <x:v>Existe el riesgo de que ocurra lo siguiente: Una acción irreversible del owner no tiene revisión.</x:v>
      </x:c>
      <x:c r="E24" s="26" t="str">
        <x:v>All</x:v>
      </x:c>
      <x:c r="F24" s="26" t="n">
        <x:v>15</x:v>
      </x:c>
      <x:c r="G24" s="26" t="str">
        <x:v>HIGH</x:v>
      </x:c>
      <x:c r="H24" s="26" t="n">
        <x:v>15</x:v>
      </x:c>
      <x:c r="I24" s="26" t="str">
        <x:v>HIGH</x:v>
      </x:c>
      <x:c r="J24" s="26" t="str">
        <x:v>OUTSIDE TOLERANCE</x:v>
      </x:c>
      <x:c r="K24" s="26" t="str">
        <x:v>Project Owner / Production</x:v>
      </x:c>
      <x:c r="L24" s="26" t="str">
        <x:v>External collaborator / designated alternate</x:v>
      </x:c>
      <x:c r="M24" s="26" t="str">
        <x:v>Operación destructiva sin four-eyes</x:v>
      </x:c>
      <x:c r="N24" s="26" t="str">
        <x:v>Detener trabajo no esencial y activar handoff mínimo.</x:v>
      </x:c>
      <x:c r="O24" s="26" t="str">
        <x:v>Retomar desde manual, repositorio, baseline y último build verificable.</x:v>
      </x:c>
      <x:c r="P24" s="26" t="str">
        <x:v>BIA-02</x:v>
      </x:c>
      <x:c r="Q24" s="26" t="str">
        <x:v>PB-02</x:v>
      </x:c>
      <x:c r="R24" s="26" t="str">
        <x:v>TA-PEO-010</x:v>
      </x:c>
      <x:c r="S24" s="26" t="str">
        <x:v>06, 09, 13, 15, 25, 27, 31, 34</x:v>
      </x:c>
      <x:c r="T24" s="26" t="str">
        <x:v>Roadmaps, sprint closures, handoffs y estados actuales</x:v>
      </x:c>
      <x:c r="U24" s="26" t="str">
        <x:v>OPEN</x:v>
      </x:c>
      <x:c r="V24" s="26" t="str">
        <x:v>UNVERIFIED</x:v>
      </x:c>
      <x:c r="W24" s="26" t="n">
        <x:v>1</x:v>
      </x:c>
      <x:c r="X24" s="26" t="str">
        <x:v>CHG-RISK-R-PEO-010</x:v>
      </x:c>
    </x:row>
    <x:row r="25" ht="30" customHeight="1">
      <x:c r="A25" s="26" t="str">
        <x:v>R-PRD-001</x:v>
      </x:c>
      <x:c r="B25" s="26" t="str">
        <x:v>Production &amp; Schedule</x:v>
      </x:c>
      <x:c r="C25" s="26" t="str">
        <x:v>Dependency sequencing</x:v>
      </x:c>
      <x:c r="D25" s="26" t="str">
        <x:v>Existe el riesgo de que ocurra lo siguiente: Sprint inicia con dependencias no listas.</x:v>
      </x:c>
      <x:c r="E25" s="26" t="str">
        <x:v>Development</x:v>
      </x:c>
      <x:c r="F25" s="26" t="n">
        <x:v>16</x:v>
      </x:c>
      <x:c r="G25" s="26" t="str">
        <x:v>HIGH</x:v>
      </x:c>
      <x:c r="H25" s="26" t="n">
        <x:v>16</x:v>
      </x:c>
      <x:c r="I25" s="26" t="str">
        <x:v>HIGH</x:v>
      </x:c>
      <x:c r="J25" s="26" t="str">
        <x:v>OUTSIDE TOLERANCE</x:v>
      </x:c>
      <x:c r="K25" s="26" t="str">
        <x:v>Production</x:v>
      </x:c>
      <x:c r="L25" s="26" t="str">
        <x:v>Project Owner</x:v>
      </x:c>
      <x:c r="M25" s="26" t="str">
        <x:v>&gt;20% controles BLOCKED</x:v>
      </x:c>
      <x:c r="N25" s="26" t="str">
        <x:v>Triage de ruta crítica y actualización de gate.</x:v>
      </x:c>
      <x:c r="O25" s="26" t="str">
        <x:v>Crear plan de recuperación de sprint con objetivos verificables y buffer.</x:v>
      </x:c>
      <x:c r="P25" s="26" t="str">
        <x:v>BIA-03</x:v>
      </x:c>
      <x:c r="Q25" s="26" t="str">
        <x:v>PB-03</x:v>
      </x:c>
      <x:c r="R25" s="26" t="str">
        <x:v>TA-PRD-001</x:v>
      </x:c>
      <x:c r="S25" s="26" t="str">
        <x:v>02, 06, 07, 08, 12, 13, 16, 31</x:v>
      </x:c>
      <x:c r="T25" s="26" t="str">
        <x:v>Roadmap/Sprint Plan, tracking y acceptance matrices v0.3–v0.6</x:v>
      </x:c>
      <x:c r="U25" s="26" t="str">
        <x:v>OPEN</x:v>
      </x:c>
      <x:c r="V25" s="26" t="str">
        <x:v>UNVERIFIED</x:v>
      </x:c>
      <x:c r="W25" s="26" t="n">
        <x:v>1</x:v>
      </x:c>
      <x:c r="X25" s="26" t="str">
        <x:v>CHG-RISK-R-PRD-001</x:v>
      </x:c>
    </x:row>
    <x:row r="26" ht="30" customHeight="1">
      <x:c r="A26" s="26" t="str">
        <x:v>R-PRD-002</x:v>
      </x:c>
      <x:c r="B26" s="26" t="str">
        <x:v>Production &amp; Schedule</x:v>
      </x:c>
      <x:c r="C26" s="26" t="str">
        <x:v>Estimate uncertainty</x:v>
      </x:c>
      <x:c r="D26" s="26" t="str">
        <x:v>Existe el riesgo de que ocurra lo siguiente: Estimaciones sin medición producen compromiso irreal.</x:v>
      </x:c>
      <x:c r="E26" s="26" t="str">
        <x:v>Planning</x:v>
      </x:c>
      <x:c r="F26" s="26" t="n">
        <x:v>12</x:v>
      </x:c>
      <x:c r="G26" s="26" t="str">
        <x:v>HIGH</x:v>
      </x:c>
      <x:c r="H26" s="26" t="n">
        <x:v>12</x:v>
      </x:c>
      <x:c r="I26" s="26" t="str">
        <x:v>HIGH</x:v>
      </x:c>
      <x:c r="J26" s="26" t="str">
        <x:v>OUTSIDE TOLERANCE</x:v>
      </x:c>
      <x:c r="K26" s="26" t="str">
        <x:v>Production</x:v>
      </x:c>
      <x:c r="L26" s="26" t="str">
        <x:v>Project Owner</x:v>
      </x:c>
      <x:c r="M26" s="26" t="str">
        <x:v>Desviación &gt; 30% repetida</x:v>
      </x:c>
      <x:c r="N26" s="26" t="str">
        <x:v>Triage de ruta crítica y actualización de gate.</x:v>
      </x:c>
      <x:c r="O26" s="26" t="str">
        <x:v>Crear plan de recuperación de sprint con objetivos verificables y buffer.</x:v>
      </x:c>
      <x:c r="P26" s="26" t="str">
        <x:v>BIA-03</x:v>
      </x:c>
      <x:c r="Q26" s="26" t="str">
        <x:v>PB-03</x:v>
      </x:c>
      <x:c r="R26" s="26" t="str">
        <x:v>TA-PRD-002</x:v>
      </x:c>
      <x:c r="S26" s="26" t="str">
        <x:v>02, 06, 07, 08, 12, 13, 16, 31</x:v>
      </x:c>
      <x:c r="T26" s="26" t="str">
        <x:v>Roadmap/Sprint Plan, tracking y acceptance matrices v0.3–v0.6</x:v>
      </x:c>
      <x:c r="U26" s="26" t="str">
        <x:v>OPEN</x:v>
      </x:c>
      <x:c r="V26" s="26" t="str">
        <x:v>UNVERIFIED</x:v>
      </x:c>
      <x:c r="W26" s="26" t="n">
        <x:v>1</x:v>
      </x:c>
      <x:c r="X26" s="26" t="str">
        <x:v>CHG-RISK-R-PRD-002</x:v>
      </x:c>
    </x:row>
    <x:row r="27" ht="30" customHeight="1">
      <x:c r="A27" s="26" t="str">
        <x:v>R-PRD-003</x:v>
      </x:c>
      <x:c r="B27" s="26" t="str">
        <x:v>Production &amp; Schedule</x:v>
      </x:c>
      <x:c r="C27" s="26" t="str">
        <x:v>Rework</x:v>
      </x:c>
      <x:c r="D27" s="26" t="str">
        <x:v>Existe el riesgo de que ocurra lo siguiente: Integración tardía de arte/UI/audio genera retrabajo.</x:v>
      </x:c>
      <x:c r="E27" s="26" t="str">
        <x:v>Development</x:v>
      </x:c>
      <x:c r="F27" s="26" t="n">
        <x:v>16</x:v>
      </x:c>
      <x:c r="G27" s="26" t="str">
        <x:v>HIGH</x:v>
      </x:c>
      <x:c r="H27" s="26" t="n">
        <x:v>16</x:v>
      </x:c>
      <x:c r="I27" s="26" t="str">
        <x:v>HIGH</x:v>
      </x:c>
      <x:c r="J27" s="26" t="str">
        <x:v>OUTSIDE TOLERANCE</x:v>
      </x:c>
      <x:c r="K27" s="26" t="str">
        <x:v>Production</x:v>
      </x:c>
      <x:c r="L27" s="26" t="str">
        <x:v>Project Owner</x:v>
      </x:c>
      <x:c r="M27" s="26" t="str">
        <x:v>Cambios de escena rompen sistemas cerrados</x:v>
      </x:c>
      <x:c r="N27" s="26" t="str">
        <x:v>Triage de ruta crítica y actualización de gate.</x:v>
      </x:c>
      <x:c r="O27" s="26" t="str">
        <x:v>Crear plan de recuperación de sprint con objetivos verificables y buffer.</x:v>
      </x:c>
      <x:c r="P27" s="26" t="str">
        <x:v>BIA-03</x:v>
      </x:c>
      <x:c r="Q27" s="26" t="str">
        <x:v>PB-03</x:v>
      </x:c>
      <x:c r="R27" s="26" t="str">
        <x:v>TA-PRD-003</x:v>
      </x:c>
      <x:c r="S27" s="26" t="str">
        <x:v>02, 06, 07, 08, 12, 13, 16, 31</x:v>
      </x:c>
      <x:c r="T27" s="26" t="str">
        <x:v>Roadmap/Sprint Plan, tracking y acceptance matrices v0.3–v0.6</x:v>
      </x:c>
      <x:c r="U27" s="26" t="str">
        <x:v>OPEN</x:v>
      </x:c>
      <x:c r="V27" s="26" t="str">
        <x:v>UNVERIFIED</x:v>
      </x:c>
      <x:c r="W27" s="26" t="n">
        <x:v>1</x:v>
      </x:c>
      <x:c r="X27" s="26" t="str">
        <x:v>CHG-RISK-R-PRD-003</x:v>
      </x:c>
    </x:row>
    <x:row r="28" ht="30" customHeight="1">
      <x:c r="A28" s="26" t="str">
        <x:v>R-PRD-004</x:v>
      </x:c>
      <x:c r="B28" s="26" t="str">
        <x:v>Production &amp; Schedule</x:v>
      </x:c>
      <x:c r="C28" s="26" t="str">
        <x:v>Critical path</x:v>
      </x:c>
      <x:c r="D28" s="26" t="str">
        <x:v>Existe el riesgo de que ocurra lo siguiente: StoreInitial, Golden Path o build quedan fuera de ruta prioritaria.</x:v>
      </x:c>
      <x:c r="E28" s="26" t="str">
        <x:v>Development</x:v>
      </x:c>
      <x:c r="F28" s="26" t="n">
        <x:v>15</x:v>
      </x:c>
      <x:c r="G28" s="26" t="str">
        <x:v>HIGH</x:v>
      </x:c>
      <x:c r="H28" s="26" t="n">
        <x:v>15</x:v>
      </x:c>
      <x:c r="I28" s="26" t="str">
        <x:v>HIGH</x:v>
      </x:c>
      <x:c r="J28" s="26" t="str">
        <x:v>OUTSIDE TOLERANCE</x:v>
      </x:c>
      <x:c r="K28" s="26" t="str">
        <x:v>Production</x:v>
      </x:c>
      <x:c r="L28" s="26" t="str">
        <x:v>Project Owner</x:v>
      </x:c>
      <x:c r="M28" s="26" t="str">
        <x:v>Dependencia crítica sin fecha/owner</x:v>
      </x:c>
      <x:c r="N28" s="26" t="str">
        <x:v>Triage de ruta crítica y actualización de gate.</x:v>
      </x:c>
      <x:c r="O28" s="26" t="str">
        <x:v>Crear plan de recuperación de sprint con objetivos verificables y buffer.</x:v>
      </x:c>
      <x:c r="P28" s="26" t="str">
        <x:v>BIA-03</x:v>
      </x:c>
      <x:c r="Q28" s="26" t="str">
        <x:v>PB-03</x:v>
      </x:c>
      <x:c r="R28" s="26" t="str">
        <x:v>TA-PRD-004</x:v>
      </x:c>
      <x:c r="S28" s="26" t="str">
        <x:v>02, 06, 07, 08, 12, 13, 16, 31</x:v>
      </x:c>
      <x:c r="T28" s="26" t="str">
        <x:v>Roadmap/Sprint Plan, tracking y acceptance matrices v0.3–v0.6</x:v>
      </x:c>
      <x:c r="U28" s="26" t="str">
        <x:v>OPEN</x:v>
      </x:c>
      <x:c r="V28" s="26" t="str">
        <x:v>UNVERIFIED</x:v>
      </x:c>
      <x:c r="W28" s="26" t="n">
        <x:v>1</x:v>
      </x:c>
      <x:c r="X28" s="26" t="str">
        <x:v>CHG-RISK-R-PRD-004</x:v>
      </x:c>
    </x:row>
    <x:row r="29" ht="30" customHeight="1">
      <x:c r="A29" s="26" t="str">
        <x:v>R-PRD-005</x:v>
      </x:c>
      <x:c r="B29" s="26" t="str">
        <x:v>Production &amp; Schedule</x:v>
      </x:c>
      <x:c r="C29" s="26" t="str">
        <x:v>Gate compression</x:v>
      </x:c>
      <x:c r="D29" s="26" t="str">
        <x:v>Existe el riesgo de que ocurra lo siguiente: QA y correcciones se comprimen al final.</x:v>
      </x:c>
      <x:c r="E29" s="26" t="str">
        <x:v>H6/Release</x:v>
      </x:c>
      <x:c r="F29" s="26" t="n">
        <x:v>20</x:v>
      </x:c>
      <x:c r="G29" s="26" t="str">
        <x:v>CRITICAL</x:v>
      </x:c>
      <x:c r="H29" s="26" t="n">
        <x:v>20</x:v>
      </x:c>
      <x:c r="I29" s="26" t="str">
        <x:v>CRITICAL</x:v>
      </x:c>
      <x:c r="J29" s="26" t="str">
        <x:v>OUTSIDE TOLERANCE</x:v>
      </x:c>
      <x:c r="K29" s="26" t="str">
        <x:v>Production</x:v>
      </x:c>
      <x:c r="L29" s="26" t="str">
        <x:v>Project Owner</x:v>
      </x:c>
      <x:c r="M29" s="26" t="str">
        <x:v>Tiempo restante &lt; cobertura mínima</x:v>
      </x:c>
      <x:c r="N29" s="26" t="str">
        <x:v>Triage de ruta crítica y actualización de gate.</x:v>
      </x:c>
      <x:c r="O29" s="26" t="str">
        <x:v>Crear plan de recuperación de sprint con objetivos verificables y buffer.</x:v>
      </x:c>
      <x:c r="P29" s="26" t="str">
        <x:v>BIA-03</x:v>
      </x:c>
      <x:c r="Q29" s="26" t="str">
        <x:v>PB-03</x:v>
      </x:c>
      <x:c r="R29" s="26" t="str">
        <x:v>TA-PRD-005</x:v>
      </x:c>
      <x:c r="S29" s="26" t="str">
        <x:v>02, 06, 07, 08, 12, 13, 16, 31</x:v>
      </x:c>
      <x:c r="T29" s="26" t="str">
        <x:v>Roadmap/Sprint Plan, tracking y acceptance matrices v0.3–v0.6</x:v>
      </x:c>
      <x:c r="U29" s="26" t="str">
        <x:v>OPEN</x:v>
      </x:c>
      <x:c r="V29" s="26" t="str">
        <x:v>UNVERIFIED</x:v>
      </x:c>
      <x:c r="W29" s="26" t="n">
        <x:v>1</x:v>
      </x:c>
      <x:c r="X29" s="26" t="str">
        <x:v>CHG-RISK-R-PRD-005</x:v>
      </x:c>
    </x:row>
    <x:row r="30" ht="30" customHeight="1">
      <x:c r="A30" s="26" t="str">
        <x:v>R-PRD-006</x:v>
      </x:c>
      <x:c r="B30" s="26" t="str">
        <x:v>Production &amp; Schedule</x:v>
      </x:c>
      <x:c r="C30" s="26" t="str">
        <x:v>Unplanned defects</x:v>
      </x:c>
      <x:c r="D30" s="26" t="str">
        <x:v>Existe el riesgo de que ocurra lo siguiente: Regresiones reabren capacidades cerradas.</x:v>
      </x:c>
      <x:c r="E30" s="26" t="str">
        <x:v>Development</x:v>
      </x:c>
      <x:c r="F30" s="26" t="n">
        <x:v>16</x:v>
      </x:c>
      <x:c r="G30" s="26" t="str">
        <x:v>HIGH</x:v>
      </x:c>
      <x:c r="H30" s="26" t="n">
        <x:v>16</x:v>
      </x:c>
      <x:c r="I30" s="26" t="str">
        <x:v>HIGH</x:v>
      </x:c>
      <x:c r="J30" s="26" t="str">
        <x:v>OUTSIDE TOLERANCE</x:v>
      </x:c>
      <x:c r="K30" s="26" t="str">
        <x:v>Production</x:v>
      </x:c>
      <x:c r="L30" s="26" t="str">
        <x:v>Project Owner</x:v>
      </x:c>
      <x:c r="M30" s="26" t="str">
        <x:v>S1/S2 aparece en sistema CLOSED</x:v>
      </x:c>
      <x:c r="N30" s="26" t="str">
        <x:v>Triage de ruta crítica y actualización de gate.</x:v>
      </x:c>
      <x:c r="O30" s="26" t="str">
        <x:v>Crear plan de recuperación de sprint con objetivos verificables y buffer.</x:v>
      </x:c>
      <x:c r="P30" s="26" t="str">
        <x:v>BIA-03</x:v>
      </x:c>
      <x:c r="Q30" s="26" t="str">
        <x:v>PB-03</x:v>
      </x:c>
      <x:c r="R30" s="26" t="str">
        <x:v>TA-PRD-006</x:v>
      </x:c>
      <x:c r="S30" s="26" t="str">
        <x:v>02, 06, 07, 08, 12, 13, 16, 31</x:v>
      </x:c>
      <x:c r="T30" s="26" t="str">
        <x:v>Roadmap/Sprint Plan, tracking y acceptance matrices v0.3–v0.6</x:v>
      </x:c>
      <x:c r="U30" s="26" t="str">
        <x:v>OPEN</x:v>
      </x:c>
      <x:c r="V30" s="26" t="str">
        <x:v>UNVERIFIED</x:v>
      </x:c>
      <x:c r="W30" s="26" t="n">
        <x:v>1</x:v>
      </x:c>
      <x:c r="X30" s="26" t="str">
        <x:v>CHG-RISK-R-PRD-006</x:v>
      </x:c>
    </x:row>
    <x:row r="31" ht="30" customHeight="1">
      <x:c r="A31" s="26" t="str">
        <x:v>R-PRD-007</x:v>
      </x:c>
      <x:c r="B31" s="26" t="str">
        <x:v>Production &amp; Schedule</x:v>
      </x:c>
      <x:c r="C31" s="26" t="str">
        <x:v>Evidence debt</x:v>
      </x:c>
      <x:c r="D31" s="26" t="str">
        <x:v>Existe el riesgo de que ocurra lo siguiente: Trabajo completado carece de logs, capturas o resultados.</x:v>
      </x:c>
      <x:c r="E31" s="26" t="str">
        <x:v>All</x:v>
      </x:c>
      <x:c r="F31" s="26" t="n">
        <x:v>12</x:v>
      </x:c>
      <x:c r="G31" s="26" t="str">
        <x:v>HIGH</x:v>
      </x:c>
      <x:c r="H31" s="26" t="n">
        <x:v>12</x:v>
      </x:c>
      <x:c r="I31" s="26" t="str">
        <x:v>HIGH</x:v>
      </x:c>
      <x:c r="J31" s="26" t="str">
        <x:v>OUTSIDE TOLERANCE</x:v>
      </x:c>
      <x:c r="K31" s="26" t="str">
        <x:v>Production</x:v>
      </x:c>
      <x:c r="L31" s="26" t="str">
        <x:v>Project Owner</x:v>
      </x:c>
      <x:c r="M31" s="26" t="str">
        <x:v>Control marcado PASS sin evidencia</x:v>
      </x:c>
      <x:c r="N31" s="26" t="str">
        <x:v>Triage de ruta crítica y actualización de gate.</x:v>
      </x:c>
      <x:c r="O31" s="26" t="str">
        <x:v>Crear plan de recuperación de sprint con objetivos verificables y buffer.</x:v>
      </x:c>
      <x:c r="P31" s="26" t="str">
        <x:v>BIA-03</x:v>
      </x:c>
      <x:c r="Q31" s="26" t="str">
        <x:v>PB-03</x:v>
      </x:c>
      <x:c r="R31" s="26" t="str">
        <x:v>TA-PRD-007</x:v>
      </x:c>
      <x:c r="S31" s="26" t="str">
        <x:v>02, 06, 07, 08, 12, 13, 16, 31</x:v>
      </x:c>
      <x:c r="T31" s="26" t="str">
        <x:v>Roadmap/Sprint Plan, tracking y acceptance matrices v0.3–v0.6</x:v>
      </x:c>
      <x:c r="U31" s="26" t="str">
        <x:v>OPEN</x:v>
      </x:c>
      <x:c r="V31" s="26" t="str">
        <x:v>UNVERIFIED</x:v>
      </x:c>
      <x:c r="W31" s="26" t="n">
        <x:v>1</x:v>
      </x:c>
      <x:c r="X31" s="26" t="str">
        <x:v>CHG-RISK-R-PRD-007</x:v>
      </x:c>
    </x:row>
    <x:row r="32" ht="30" customHeight="1">
      <x:c r="A32" s="26" t="str">
        <x:v>R-PRD-008</x:v>
      </x:c>
      <x:c r="B32" s="26" t="str">
        <x:v>Production &amp; Schedule</x:v>
      </x:c>
      <x:c r="C32" s="26" t="str">
        <x:v>Schedule drift</x:v>
      </x:c>
      <x:c r="D32" s="26" t="str">
        <x:v>Existe el riesgo de que ocurra lo siguiente: H6 se desplaza sin decisión explícita de alcance.</x:v>
      </x:c>
      <x:c r="E32" s="26" t="str">
        <x:v>Development</x:v>
      </x:c>
      <x:c r="F32" s="26" t="n">
        <x:v>12</x:v>
      </x:c>
      <x:c r="G32" s="26" t="str">
        <x:v>HIGH</x:v>
      </x:c>
      <x:c r="H32" s="26" t="n">
        <x:v>12</x:v>
      </x:c>
      <x:c r="I32" s="26" t="str">
        <x:v>HIGH</x:v>
      </x:c>
      <x:c r="J32" s="26" t="str">
        <x:v>OUTSIDE TOLERANCE</x:v>
      </x:c>
      <x:c r="K32" s="26" t="str">
        <x:v>Production</x:v>
      </x:c>
      <x:c r="L32" s="26" t="str">
        <x:v>Project Owner</x:v>
      </x:c>
      <x:c r="M32" s="26" t="str">
        <x:v>Gate no progresa durante 2 revisiones</x:v>
      </x:c>
      <x:c r="N32" s="26" t="str">
        <x:v>Triage de ruta crítica y actualización de gate.</x:v>
      </x:c>
      <x:c r="O32" s="26" t="str">
        <x:v>Crear plan de recuperación de sprint con objetivos verificables y buffer.</x:v>
      </x:c>
      <x:c r="P32" s="26" t="str">
        <x:v>BIA-03</x:v>
      </x:c>
      <x:c r="Q32" s="26" t="str">
        <x:v>PB-03</x:v>
      </x:c>
      <x:c r="R32" s="26" t="str">
        <x:v>TA-PRD-008</x:v>
      </x:c>
      <x:c r="S32" s="26" t="str">
        <x:v>02, 06, 07, 08, 12, 13, 16, 31</x:v>
      </x:c>
      <x:c r="T32" s="26" t="str">
        <x:v>Roadmap/Sprint Plan, tracking y acceptance matrices v0.3–v0.6</x:v>
      </x:c>
      <x:c r="U32" s="26" t="str">
        <x:v>OPEN</x:v>
      </x:c>
      <x:c r="V32" s="26" t="str">
        <x:v>UNVERIFIED</x:v>
      </x:c>
      <x:c r="W32" s="26" t="n">
        <x:v>1</x:v>
      </x:c>
      <x:c r="X32" s="26" t="str">
        <x:v>CHG-RISK-R-PRD-008</x:v>
      </x:c>
    </x:row>
    <x:row r="33" ht="30" customHeight="1">
      <x:c r="A33" s="26" t="str">
        <x:v>R-PRD-009</x:v>
      </x:c>
      <x:c r="B33" s="26" t="str">
        <x:v>Production &amp; Schedule</x:v>
      </x:c>
      <x:c r="C33" s="26" t="str">
        <x:v>Release calendar</x:v>
      </x:c>
      <x:c r="D33" s="26" t="str">
        <x:v>Existe el riesgo de que ocurra lo siguiente: Se fija fecha externa antes de validar build y Store.</x:v>
      </x:c>
      <x:c r="E33" s="26" t="str">
        <x:v>Publishing</x:v>
      </x:c>
      <x:c r="F33" s="26" t="n">
        <x:v>10</x:v>
      </x:c>
      <x:c r="G33" s="26" t="str">
        <x:v>MEDIUM</x:v>
      </x:c>
      <x:c r="H33" s="26" t="n">
        <x:v>10</x:v>
      </x:c>
      <x:c r="I33" s="26" t="str">
        <x:v>MEDIUM</x:v>
      </x:c>
      <x:c r="J33" s="26" t="str">
        <x:v>OUTSIDE TOLERANCE</x:v>
      </x:c>
      <x:c r="K33" s="26" t="str">
        <x:v>Production</x:v>
      </x:c>
      <x:c r="L33" s="26" t="str">
        <x:v>Project Owner</x:v>
      </x:c>
      <x:c r="M33" s="26" t="str">
        <x:v>Anuncio de fecha sin RC</x:v>
      </x:c>
      <x:c r="N33" s="26" t="str">
        <x:v>Triage de ruta crítica y actualización de gate.</x:v>
      </x:c>
      <x:c r="O33" s="26" t="str">
        <x:v>Crear plan de recuperación de sprint con objetivos verificables y buffer.</x:v>
      </x:c>
      <x:c r="P33" s="26" t="str">
        <x:v>BIA-03</x:v>
      </x:c>
      <x:c r="Q33" s="26" t="str">
        <x:v>PB-03</x:v>
      </x:c>
      <x:c r="R33" s="26" t="str">
        <x:v>TA-PRD-009</x:v>
      </x:c>
      <x:c r="S33" s="26" t="str">
        <x:v>02, 06, 07, 08, 12, 13, 16, 31</x:v>
      </x:c>
      <x:c r="T33" s="26" t="str">
        <x:v>Roadmap/Sprint Plan, tracking y acceptance matrices v0.3–v0.6</x:v>
      </x:c>
      <x:c r="U33" s="26" t="str">
        <x:v>OPEN</x:v>
      </x:c>
      <x:c r="V33" s="26" t="str">
        <x:v>UNVERIFIED</x:v>
      </x:c>
      <x:c r="W33" s="26" t="n">
        <x:v>1</x:v>
      </x:c>
      <x:c r="X33" s="26" t="str">
        <x:v>CHG-RISK-R-PRD-009</x:v>
      </x:c>
    </x:row>
    <x:row r="34" ht="30" customHeight="1">
      <x:c r="A34" s="26" t="str">
        <x:v>R-PRD-010</x:v>
      </x:c>
      <x:c r="B34" s="26" t="str">
        <x:v>Production &amp; Schedule</x:v>
      </x:c>
      <x:c r="C34" s="26" t="str">
        <x:v>Closure debt</x:v>
      </x:c>
      <x:c r="D34" s="26" t="str">
        <x:v>Existe el riesgo de que ocurra lo siguiente: Sprints/documentos quedan abiertos indefinidamente.</x:v>
      </x:c>
      <x:c r="E34" s="26" t="str">
        <x:v>All</x:v>
      </x:c>
      <x:c r="F34" s="26" t="n">
        <x:v>9</x:v>
      </x:c>
      <x:c r="G34" s="26" t="str">
        <x:v>MEDIUM</x:v>
      </x:c>
      <x:c r="H34" s="26" t="n">
        <x:v>9</x:v>
      </x:c>
      <x:c r="I34" s="26" t="str">
        <x:v>MEDIUM</x:v>
      </x:c>
      <x:c r="J34" s="26" t="str">
        <x:v>WITHIN TOLERANCE</x:v>
      </x:c>
      <x:c r="K34" s="26" t="str">
        <x:v>Production</x:v>
      </x:c>
      <x:c r="L34" s="26" t="str">
        <x:v>Project Owner</x:v>
      </x:c>
      <x:c r="M34" s="26" t="str">
        <x:v>Cierre pendiente &gt; 1 ciclo</x:v>
      </x:c>
      <x:c r="N34" s="26" t="str">
        <x:v>Triage de ruta crítica y actualización de gate.</x:v>
      </x:c>
      <x:c r="O34" s="26" t="str">
        <x:v>Crear plan de recuperación de sprint con objetivos verificables y buffer.</x:v>
      </x:c>
      <x:c r="P34" s="26" t="str">
        <x:v>BIA-03</x:v>
      </x:c>
      <x:c r="Q34" s="26" t="str">
        <x:v>PB-03</x:v>
      </x:c>
      <x:c r="R34" s="26" t="str">
        <x:v>TA-PRD-010</x:v>
      </x:c>
      <x:c r="S34" s="26" t="str">
        <x:v>02, 06, 07, 08, 12, 13, 16, 31</x:v>
      </x:c>
      <x:c r="T34" s="26" t="str">
        <x:v>Roadmap/Sprint Plan, tracking y acceptance matrices v0.3–v0.6</x:v>
      </x:c>
      <x:c r="U34" s="26" t="str">
        <x:v>OPEN</x:v>
      </x:c>
      <x:c r="V34" s="26" t="str">
        <x:v>UNVERIFIED</x:v>
      </x:c>
      <x:c r="W34" s="26" t="n">
        <x:v>0</x:v>
      </x:c>
      <x:c r="X34" s="26" t="str">
        <x:v>CHG-RISK-R-PRD-010</x:v>
      </x:c>
    </x:row>
    <x:row r="35" ht="30" customHeight="1">
      <x:c r="A35" s="26" t="str">
        <x:v>R-TEC-001</x:v>
      </x:c>
      <x:c r="B35" s="26" t="str">
        <x:v>Architecture &amp; Toolchain</x:v>
      </x:c>
      <x:c r="C35" s="26" t="str">
        <x:v>Unity version</x:v>
      </x:c>
      <x:c r="D35" s="26" t="str">
        <x:v>Existe el riesgo de que ocurra lo siguiente: Upgrade de Unity cambia comportamiento o rompe build.</x:v>
      </x:c>
      <x:c r="E35" s="26" t="str">
        <x:v>Development</x:v>
      </x:c>
      <x:c r="F35" s="26" t="n">
        <x:v>15</x:v>
      </x:c>
      <x:c r="G35" s="26" t="str">
        <x:v>HIGH</x:v>
      </x:c>
      <x:c r="H35" s="26" t="n">
        <x:v>15</x:v>
      </x:c>
      <x:c r="I35" s="26" t="str">
        <x:v>HIGH</x:v>
      </x:c>
      <x:c r="J35" s="26" t="str">
        <x:v>OUTSIDE TOLERANCE</x:v>
      </x:c>
      <x:c r="K35" s="26" t="str">
        <x:v>Engineering</x:v>
      </x:c>
      <x:c r="L35" s="26" t="str">
        <x:v>Build / Project Owner</x:v>
      </x:c>
      <x:c r="M35" s="26" t="str">
        <x:v>Versión distinta a 6000.3.18f1</x:v>
      </x:c>
      <x:c r="N35" s="26" t="str">
        <x:v>Congelar upgrades y reproducir con manifest/lock conocidos.</x:v>
      </x:c>
      <x:c r="O35" s="26" t="str">
        <x:v>Restaurar versión Unity/paquetes y commit conocido; reconstruir desde cero.</x:v>
      </x:c>
      <x:c r="P35" s="26" t="str">
        <x:v>BIA-04</x:v>
      </x:c>
      <x:c r="Q35" s="26" t="str">
        <x:v>PB-04</x:v>
      </x:c>
      <x:c r="R35" s="26" t="str">
        <x:v>TA-TEC-001</x:v>
      </x:c>
      <x:c r="S35" s="26" t="str">
        <x:v>03, 09, 10, 11, 13, 27, 30, 31</x:v>
      </x:c>
      <x:c r="T35" s="26" t="str">
        <x:v>TDD, setup, coding/build guides, ADR y build records</x:v>
      </x:c>
      <x:c r="U35" s="26" t="str">
        <x:v>OPEN</x:v>
      </x:c>
      <x:c r="V35" s="26" t="str">
        <x:v>UNVERIFIED</x:v>
      </x:c>
      <x:c r="W35" s="26" t="n">
        <x:v>1</x:v>
      </x:c>
      <x:c r="X35" s="26" t="str">
        <x:v>CHG-RISK-R-TEC-001</x:v>
      </x:c>
    </x:row>
    <x:row r="36" ht="30" customHeight="1">
      <x:c r="A36" s="26" t="str">
        <x:v>R-TEC-002</x:v>
      </x:c>
      <x:c r="B36" s="26" t="str">
        <x:v>Architecture &amp; Toolchain</x:v>
      </x:c>
      <x:c r="C36" s="26" t="str">
        <x:v>Package drift</x:v>
      </x:c>
      <x:c r="D36" s="26" t="str">
        <x:v>Existe el riesgo de que ocurra lo siguiente: manifest/lock divergen entre entornos.</x:v>
      </x:c>
      <x:c r="E36" s="26" t="str">
        <x:v>Development</x:v>
      </x:c>
      <x:c r="F36" s="26" t="n">
        <x:v>15</x:v>
      </x:c>
      <x:c r="G36" s="26" t="str">
        <x:v>HIGH</x:v>
      </x:c>
      <x:c r="H36" s="26" t="n">
        <x:v>15</x:v>
      </x:c>
      <x:c r="I36" s="26" t="str">
        <x:v>HIGH</x:v>
      </x:c>
      <x:c r="J36" s="26" t="str">
        <x:v>OUTSIDE TOLERANCE</x:v>
      </x:c>
      <x:c r="K36" s="26" t="str">
        <x:v>Engineering</x:v>
      </x:c>
      <x:c r="L36" s="26" t="str">
        <x:v>Build / Project Owner</x:v>
      </x:c>
      <x:c r="M36" s="26" t="str">
        <x:v>Paquete cambia sin ADR/build limpio</x:v>
      </x:c>
      <x:c r="N36" s="26" t="str">
        <x:v>Congelar upgrades y reproducir con manifest/lock conocidos.</x:v>
      </x:c>
      <x:c r="O36" s="26" t="str">
        <x:v>Restaurar versión Unity/paquetes y commit conocido; reconstruir desde cero.</x:v>
      </x:c>
      <x:c r="P36" s="26" t="str">
        <x:v>BIA-04</x:v>
      </x:c>
      <x:c r="Q36" s="26" t="str">
        <x:v>PB-04</x:v>
      </x:c>
      <x:c r="R36" s="26" t="str">
        <x:v>TA-TEC-002</x:v>
      </x:c>
      <x:c r="S36" s="26" t="str">
        <x:v>03, 09, 10, 11, 13, 27, 30, 31</x:v>
      </x:c>
      <x:c r="T36" s="26" t="str">
        <x:v>TDD, setup, coding/build guides, ADR y build records</x:v>
      </x:c>
      <x:c r="U36" s="26" t="str">
        <x:v>OPEN</x:v>
      </x:c>
      <x:c r="V36" s="26" t="str">
        <x:v>UNVERIFIED</x:v>
      </x:c>
      <x:c r="W36" s="26" t="n">
        <x:v>1</x:v>
      </x:c>
      <x:c r="X36" s="26" t="str">
        <x:v>CHG-RISK-R-TEC-002</x:v>
      </x:c>
    </x:row>
    <x:row r="37" ht="30" customHeight="1">
      <x:c r="A37" s="26" t="str">
        <x:v>R-TEC-003</x:v>
      </x:c>
      <x:c r="B37" s="26" t="str">
        <x:v>Architecture &amp; Toolchain</x:v>
      </x:c>
      <x:c r="C37" s="26" t="str">
        <x:v>Repository integrity</x:v>
      </x:c>
      <x:c r="D37" s="26" t="str">
        <x:v>Existe el riesgo de que ocurra lo siguiente: Rama principal contiene estado no compilable.</x:v>
      </x:c>
      <x:c r="E37" s="26" t="str">
        <x:v>Development</x:v>
      </x:c>
      <x:c r="F37" s="26" t="n">
        <x:v>15</x:v>
      </x:c>
      <x:c r="G37" s="26" t="str">
        <x:v>HIGH</x:v>
      </x:c>
      <x:c r="H37" s="26" t="n">
        <x:v>15</x:v>
      </x:c>
      <x:c r="I37" s="26" t="str">
        <x:v>HIGH</x:v>
      </x:c>
      <x:c r="J37" s="26" t="str">
        <x:v>OUTSIDE TOLERANCE</x:v>
      </x:c>
      <x:c r="K37" s="26" t="str">
        <x:v>Engineering</x:v>
      </x:c>
      <x:c r="L37" s="26" t="str">
        <x:v>Build / Project Owner</x:v>
      </x:c>
      <x:c r="M37" s="26" t="str">
        <x:v>CI/build smoke falla</x:v>
      </x:c>
      <x:c r="N37" s="26" t="str">
        <x:v>Congelar upgrades y reproducir con manifest/lock conocidos.</x:v>
      </x:c>
      <x:c r="O37" s="26" t="str">
        <x:v>Restaurar versión Unity/paquetes y commit conocido; reconstruir desde cero.</x:v>
      </x:c>
      <x:c r="P37" s="26" t="str">
        <x:v>BIA-04</x:v>
      </x:c>
      <x:c r="Q37" s="26" t="str">
        <x:v>PB-04</x:v>
      </x:c>
      <x:c r="R37" s="26" t="str">
        <x:v>TA-TEC-003</x:v>
      </x:c>
      <x:c r="S37" s="26" t="str">
        <x:v>03, 09, 10, 11, 13, 27, 30, 31</x:v>
      </x:c>
      <x:c r="T37" s="26" t="str">
        <x:v>TDD, setup, coding/build guides, ADR y build records</x:v>
      </x:c>
      <x:c r="U37" s="26" t="str">
        <x:v>OPEN</x:v>
      </x:c>
      <x:c r="V37" s="26" t="str">
        <x:v>UNVERIFIED</x:v>
      </x:c>
      <x:c r="W37" s="26" t="n">
        <x:v>1</x:v>
      </x:c>
      <x:c r="X37" s="26" t="str">
        <x:v>CHG-RISK-R-TEC-003</x:v>
      </x:c>
    </x:row>
    <x:row r="38" ht="30" customHeight="1">
      <x:c r="A38" s="26" t="str">
        <x:v>R-TEC-004</x:v>
      </x:c>
      <x:c r="B38" s="26" t="str">
        <x:v>Architecture &amp; Toolchain</x:v>
      </x:c>
      <x:c r="C38" s="26" t="str">
        <x:v>Scene coupling</x:v>
      </x:c>
      <x:c r="D38" s="26" t="str">
        <x:v>Existe el riesgo de que ocurra lo siguiente: Servicios dependen de nombres/referencias frágiles.</x:v>
      </x:c>
      <x:c r="E38" s="26" t="str">
        <x:v>Development</x:v>
      </x:c>
      <x:c r="F38" s="26" t="n">
        <x:v>16</x:v>
      </x:c>
      <x:c r="G38" s="26" t="str">
        <x:v>HIGH</x:v>
      </x:c>
      <x:c r="H38" s="26" t="n">
        <x:v>16</x:v>
      </x:c>
      <x:c r="I38" s="26" t="str">
        <x:v>HIGH</x:v>
      </x:c>
      <x:c r="J38" s="26" t="str">
        <x:v>OUTSIDE TOLERANCE</x:v>
      </x:c>
      <x:c r="K38" s="26" t="str">
        <x:v>Engineering</x:v>
      </x:c>
      <x:c r="L38" s="26" t="str">
        <x:v>Build / Project Owner</x:v>
      </x:c>
      <x:c r="M38" s="26" t="str">
        <x:v>NullReference tras escena/prefab change</x:v>
      </x:c>
      <x:c r="N38" s="26" t="str">
        <x:v>Congelar upgrades y reproducir con manifest/lock conocidos.</x:v>
      </x:c>
      <x:c r="O38" s="26" t="str">
        <x:v>Restaurar versión Unity/paquetes y commit conocido; reconstruir desde cero.</x:v>
      </x:c>
      <x:c r="P38" s="26" t="str">
        <x:v>BIA-04</x:v>
      </x:c>
      <x:c r="Q38" s="26" t="str">
        <x:v>PB-04</x:v>
      </x:c>
      <x:c r="R38" s="26" t="str">
        <x:v>TA-TEC-004</x:v>
      </x:c>
      <x:c r="S38" s="26" t="str">
        <x:v>03, 09, 10, 11, 13, 27, 30, 31</x:v>
      </x:c>
      <x:c r="T38" s="26" t="str">
        <x:v>TDD, setup, coding/build guides, ADR y build records</x:v>
      </x:c>
      <x:c r="U38" s="26" t="str">
        <x:v>OPEN</x:v>
      </x:c>
      <x:c r="V38" s="26" t="str">
        <x:v>UNVERIFIED</x:v>
      </x:c>
      <x:c r="W38" s="26" t="n">
        <x:v>1</x:v>
      </x:c>
      <x:c r="X38" s="26" t="str">
        <x:v>CHG-RISK-R-TEC-004</x:v>
      </x:c>
    </x:row>
    <x:row r="39" ht="30" customHeight="1">
      <x:c r="A39" s="26" t="str">
        <x:v>R-TEC-005</x:v>
      </x:c>
      <x:c r="B39" s="26" t="str">
        <x:v>Architecture &amp; Toolchain</x:v>
      </x:c>
      <x:c r="C39" s="26" t="str">
        <x:v>Editor-only assumption</x:v>
      </x:c>
      <x:c r="D39" s="26" t="str">
        <x:v>Existe el riesgo de que ocurra lo siguiente: Función pasa en Editor y falla en Player.</x:v>
      </x:c>
      <x:c r="E39" s="26" t="str">
        <x:v>H6/Release</x:v>
      </x:c>
      <x:c r="F39" s="26" t="n">
        <x:v>20</x:v>
      </x:c>
      <x:c r="G39" s="26" t="str">
        <x:v>CRITICAL</x:v>
      </x:c>
      <x:c r="H39" s="26" t="n">
        <x:v>20</x:v>
      </x:c>
      <x:c r="I39" s="26" t="str">
        <x:v>CRITICAL</x:v>
      </x:c>
      <x:c r="J39" s="26" t="str">
        <x:v>OUTSIDE TOLERANCE</x:v>
      </x:c>
      <x:c r="K39" s="26" t="str">
        <x:v>Engineering</x:v>
      </x:c>
      <x:c r="L39" s="26" t="str">
        <x:v>Build / Project Owner</x:v>
      </x:c>
      <x:c r="M39" s="26" t="str">
        <x:v>Diferencia Editor/Player</x:v>
      </x:c>
      <x:c r="N39" s="26" t="str">
        <x:v>Congelar upgrades y reproducir con manifest/lock conocidos.</x:v>
      </x:c>
      <x:c r="O39" s="26" t="str">
        <x:v>Restaurar versión Unity/paquetes y commit conocido; reconstruir desde cero.</x:v>
      </x:c>
      <x:c r="P39" s="26" t="str">
        <x:v>BIA-04</x:v>
      </x:c>
      <x:c r="Q39" s="26" t="str">
        <x:v>PB-04</x:v>
      </x:c>
      <x:c r="R39" s="26" t="str">
        <x:v>TA-TEC-005</x:v>
      </x:c>
      <x:c r="S39" s="26" t="str">
        <x:v>03, 09, 10, 11, 13, 27, 30, 31</x:v>
      </x:c>
      <x:c r="T39" s="26" t="str">
        <x:v>TDD, setup, coding/build guides, ADR y build records</x:v>
      </x:c>
      <x:c r="U39" s="26" t="str">
        <x:v>OPEN</x:v>
      </x:c>
      <x:c r="V39" s="26" t="str">
        <x:v>UNVERIFIED</x:v>
      </x:c>
      <x:c r="W39" s="26" t="n">
        <x:v>1</x:v>
      </x:c>
      <x:c r="X39" s="26" t="str">
        <x:v>CHG-RISK-R-TEC-005</x:v>
      </x:c>
    </x:row>
    <x:row r="40" ht="30" customHeight="1">
      <x:c r="A40" s="26" t="str">
        <x:v>R-TEC-006</x:v>
      </x:c>
      <x:c r="B40" s="26" t="str">
        <x:v>Architecture &amp; Toolchain</x:v>
      </x:c>
      <x:c r="C40" s="26" t="str">
        <x:v>Build profile</x:v>
      </x:c>
      <x:c r="D40" s="26" t="str">
        <x:v>Existe el riesgo de que ocurra lo siguiente: StoreInitial o escenas requeridas quedan fuera del build.</x:v>
      </x:c>
      <x:c r="E40" s="26" t="str">
        <x:v>H6</x:v>
      </x:c>
      <x:c r="F40" s="26" t="n">
        <x:v>20</x:v>
      </x:c>
      <x:c r="G40" s="26" t="str">
        <x:v>CRITICAL</x:v>
      </x:c>
      <x:c r="H40" s="26" t="n">
        <x:v>20</x:v>
      </x:c>
      <x:c r="I40" s="26" t="str">
        <x:v>CRITICAL</x:v>
      </x:c>
      <x:c r="J40" s="26" t="str">
        <x:v>OUTSIDE TOLERANCE</x:v>
      </x:c>
      <x:c r="K40" s="26" t="str">
        <x:v>Engineering</x:v>
      </x:c>
      <x:c r="L40" s="26" t="str">
        <x:v>Build / Project Owner</x:v>
      </x:c>
      <x:c r="M40" s="26" t="str">
        <x:v>Profile no incluye escena objetivo</x:v>
      </x:c>
      <x:c r="N40" s="26" t="str">
        <x:v>Congelar upgrades y reproducir con manifest/lock conocidos.</x:v>
      </x:c>
      <x:c r="O40" s="26" t="str">
        <x:v>Restaurar versión Unity/paquetes y commit conocido; reconstruir desde cero.</x:v>
      </x:c>
      <x:c r="P40" s="26" t="str">
        <x:v>BIA-04</x:v>
      </x:c>
      <x:c r="Q40" s="26" t="str">
        <x:v>PB-04</x:v>
      </x:c>
      <x:c r="R40" s="26" t="str">
        <x:v>TA-TEC-006</x:v>
      </x:c>
      <x:c r="S40" s="26" t="str">
        <x:v>03, 09, 10, 11, 13, 27, 30, 31</x:v>
      </x:c>
      <x:c r="T40" s="26" t="str">
        <x:v>TDD, setup, coding/build guides, ADR y build records</x:v>
      </x:c>
      <x:c r="U40" s="26" t="str">
        <x:v>OPEN</x:v>
      </x:c>
      <x:c r="V40" s="26" t="str">
        <x:v>UNVERIFIED</x:v>
      </x:c>
      <x:c r="W40" s="26" t="n">
        <x:v>1</x:v>
      </x:c>
      <x:c r="X40" s="26" t="str">
        <x:v>CHG-RISK-R-TEC-006</x:v>
      </x:c>
    </x:row>
    <x:row r="41" ht="30" customHeight="1">
      <x:c r="A41" s="26" t="str">
        <x:v>R-TEC-007</x:v>
      </x:c>
      <x:c r="B41" s="26" t="str">
        <x:v>Architecture &amp; Toolchain</x:v>
      </x:c>
      <x:c r="C41" s="26" t="str">
        <x:v>Configuration drift</x:v>
      </x:c>
      <x:c r="D41" s="26" t="str">
        <x:v>Existe el riesgo de que ocurra lo siguiente: ProjectSettings difieren de la guía o baseline.</x:v>
      </x:c>
      <x:c r="E41" s="26" t="str">
        <x:v>All</x:v>
      </x:c>
      <x:c r="F41" s="26" t="n">
        <x:v>12</x:v>
      </x:c>
      <x:c r="G41" s="26" t="str">
        <x:v>HIGH</x:v>
      </x:c>
      <x:c r="H41" s="26" t="n">
        <x:v>12</x:v>
      </x:c>
      <x:c r="I41" s="26" t="str">
        <x:v>HIGH</x:v>
      </x:c>
      <x:c r="J41" s="26" t="str">
        <x:v>OUTSIDE TOLERANCE</x:v>
      </x:c>
      <x:c r="K41" s="26" t="str">
        <x:v>Engineering</x:v>
      </x:c>
      <x:c r="L41" s="26" t="str">
        <x:v>Build / Project Owner</x:v>
      </x:c>
      <x:c r="M41" s="26" t="str">
        <x:v>Diff no registrado en configuración</x:v>
      </x:c>
      <x:c r="N41" s="26" t="str">
        <x:v>Congelar upgrades y reproducir con manifest/lock conocidos.</x:v>
      </x:c>
      <x:c r="O41" s="26" t="str">
        <x:v>Restaurar versión Unity/paquetes y commit conocido; reconstruir desde cero.</x:v>
      </x:c>
      <x:c r="P41" s="26" t="str">
        <x:v>BIA-04</x:v>
      </x:c>
      <x:c r="Q41" s="26" t="str">
        <x:v>PB-04</x:v>
      </x:c>
      <x:c r="R41" s="26" t="str">
        <x:v>TA-TEC-007</x:v>
      </x:c>
      <x:c r="S41" s="26" t="str">
        <x:v>03, 09, 10, 11, 13, 27, 30, 31</x:v>
      </x:c>
      <x:c r="T41" s="26" t="str">
        <x:v>TDD, setup, coding/build guides, ADR y build records</x:v>
      </x:c>
      <x:c r="U41" s="26" t="str">
        <x:v>OPEN</x:v>
      </x:c>
      <x:c r="V41" s="26" t="str">
        <x:v>UNVERIFIED</x:v>
      </x:c>
      <x:c r="W41" s="26" t="n">
        <x:v>1</x:v>
      </x:c>
      <x:c r="X41" s="26" t="str">
        <x:v>CHG-RISK-R-TEC-007</x:v>
      </x:c>
    </x:row>
    <x:row r="42" ht="30" customHeight="1">
      <x:c r="A42" s="26" t="str">
        <x:v>R-TEC-008</x:v>
      </x:c>
      <x:c r="B42" s="26" t="str">
        <x:v>Architecture &amp; Toolchain</x:v>
      </x:c>
      <x:c r="C42" s="26" t="str">
        <x:v>Third-party code</x:v>
      </x:c>
      <x:c r="D42" s="26" t="str">
        <x:v>Existe el riesgo de que ocurra lo siguiente: Plugin introduce vulnerabilidad, incompatibilidad o licencia.</x:v>
      </x:c>
      <x:c r="E42" s="26" t="str">
        <x:v>All</x:v>
      </x:c>
      <x:c r="F42" s="26" t="n">
        <x:v>10</x:v>
      </x:c>
      <x:c r="G42" s="26" t="str">
        <x:v>MEDIUM</x:v>
      </x:c>
      <x:c r="H42" s="26" t="n">
        <x:v>10</x:v>
      </x:c>
      <x:c r="I42" s="26" t="str">
        <x:v>MEDIUM</x:v>
      </x:c>
      <x:c r="J42" s="26" t="str">
        <x:v>OUTSIDE TOLERANCE</x:v>
      </x:c>
      <x:c r="K42" s="26" t="str">
        <x:v>Engineering</x:v>
      </x:c>
      <x:c r="L42" s="26" t="str">
        <x:v>Build / Project Owner</x:v>
      </x:c>
      <x:c r="M42" s="26" t="str">
        <x:v>Nueva dependencia sin review</x:v>
      </x:c>
      <x:c r="N42" s="26" t="str">
        <x:v>Congelar upgrades y reproducir con manifest/lock conocidos.</x:v>
      </x:c>
      <x:c r="O42" s="26" t="str">
        <x:v>Restaurar versión Unity/paquetes y commit conocido; reconstruir desde cero.</x:v>
      </x:c>
      <x:c r="P42" s="26" t="str">
        <x:v>BIA-04</x:v>
      </x:c>
      <x:c r="Q42" s="26" t="str">
        <x:v>PB-04</x:v>
      </x:c>
      <x:c r="R42" s="26" t="str">
        <x:v>TA-TEC-008</x:v>
      </x:c>
      <x:c r="S42" s="26" t="str">
        <x:v>03, 09, 10, 11, 13, 27, 30, 31</x:v>
      </x:c>
      <x:c r="T42" s="26" t="str">
        <x:v>TDD, setup, coding/build guides, ADR y build records</x:v>
      </x:c>
      <x:c r="U42" s="26" t="str">
        <x:v>OPEN</x:v>
      </x:c>
      <x:c r="V42" s="26" t="str">
        <x:v>UNVERIFIED</x:v>
      </x:c>
      <x:c r="W42" s="26" t="n">
        <x:v>1</x:v>
      </x:c>
      <x:c r="X42" s="26" t="str">
        <x:v>CHG-RISK-R-TEC-008</x:v>
      </x:c>
    </x:row>
    <x:row r="43" ht="30" customHeight="1">
      <x:c r="A43" s="26" t="str">
        <x:v>R-TEC-009</x:v>
      </x:c>
      <x:c r="B43" s="26" t="str">
        <x:v>Architecture &amp; Toolchain</x:v>
      </x:c>
      <x:c r="C43" s="26" t="str">
        <x:v>Technical debt</x:v>
      </x:c>
      <x:c r="D43" s="26" t="str">
        <x:v>Existe el riesgo de que ocurra lo siguiente: Solución temporal se convierte en dependencia estructural.</x:v>
      </x:c>
      <x:c r="E43" s="26" t="str">
        <x:v>Development</x:v>
      </x:c>
      <x:c r="F43" s="26" t="n">
        <x:v>12</x:v>
      </x:c>
      <x:c r="G43" s="26" t="str">
        <x:v>HIGH</x:v>
      </x:c>
      <x:c r="H43" s="26" t="n">
        <x:v>12</x:v>
      </x:c>
      <x:c r="I43" s="26" t="str">
        <x:v>HIGH</x:v>
      </x:c>
      <x:c r="J43" s="26" t="str">
        <x:v>OUTSIDE TOLERANCE</x:v>
      </x:c>
      <x:c r="K43" s="26" t="str">
        <x:v>Engineering</x:v>
      </x:c>
      <x:c r="L43" s="26" t="str">
        <x:v>Build / Project Owner</x:v>
      </x:c>
      <x:c r="M43" s="26" t="str">
        <x:v>TODO/workaround persiste tras gate</x:v>
      </x:c>
      <x:c r="N43" s="26" t="str">
        <x:v>Congelar upgrades y reproducir con manifest/lock conocidos.</x:v>
      </x:c>
      <x:c r="O43" s="26" t="str">
        <x:v>Restaurar versión Unity/paquetes y commit conocido; reconstruir desde cero.</x:v>
      </x:c>
      <x:c r="P43" s="26" t="str">
        <x:v>BIA-04</x:v>
      </x:c>
      <x:c r="Q43" s="26" t="str">
        <x:v>PB-04</x:v>
      </x:c>
      <x:c r="R43" s="26" t="str">
        <x:v>TA-TEC-009</x:v>
      </x:c>
      <x:c r="S43" s="26" t="str">
        <x:v>03, 09, 10, 11, 13, 27, 30, 31</x:v>
      </x:c>
      <x:c r="T43" s="26" t="str">
        <x:v>TDD, setup, coding/build guides, ADR y build records</x:v>
      </x:c>
      <x:c r="U43" s="26" t="str">
        <x:v>OPEN</x:v>
      </x:c>
      <x:c r="V43" s="26" t="str">
        <x:v>UNVERIFIED</x:v>
      </x:c>
      <x:c r="W43" s="26" t="n">
        <x:v>1</x:v>
      </x:c>
      <x:c r="X43" s="26" t="str">
        <x:v>CHG-RISK-R-TEC-009</x:v>
      </x:c>
    </x:row>
    <x:row r="44" ht="30" customHeight="1">
      <x:c r="A44" s="26" t="str">
        <x:v>R-TEC-010</x:v>
      </x:c>
      <x:c r="B44" s="26" t="str">
        <x:v>Architecture &amp; Toolchain</x:v>
      </x:c>
      <x:c r="C44" s="26" t="str">
        <x:v>CI absence</x:v>
      </x:c>
      <x:c r="D44" s="26" t="str">
        <x:v>Existe el riesgo de que ocurra lo siguiente: Build depende solo de estación local.</x:v>
      </x:c>
      <x:c r="E44" s="26" t="str">
        <x:v>All</x:v>
      </x:c>
      <x:c r="F44" s="26" t="n">
        <x:v>16</x:v>
      </x:c>
      <x:c r="G44" s="26" t="str">
        <x:v>HIGH</x:v>
      </x:c>
      <x:c r="H44" s="26" t="n">
        <x:v>16</x:v>
      </x:c>
      <x:c r="I44" s="26" t="str">
        <x:v>HIGH</x:v>
      </x:c>
      <x:c r="J44" s="26" t="str">
        <x:v>OUTSIDE TOLERANCE</x:v>
      </x:c>
      <x:c r="K44" s="26" t="str">
        <x:v>Engineering</x:v>
      </x:c>
      <x:c r="L44" s="26" t="str">
        <x:v>Build / Project Owner</x:v>
      </x:c>
      <x:c r="M44" s="26" t="str">
        <x:v>No hay build reproducible alternativo</x:v>
      </x:c>
      <x:c r="N44" s="26" t="str">
        <x:v>Congelar upgrades y reproducir con manifest/lock conocidos.</x:v>
      </x:c>
      <x:c r="O44" s="26" t="str">
        <x:v>Restaurar versión Unity/paquetes y commit conocido; reconstruir desde cero.</x:v>
      </x:c>
      <x:c r="P44" s="26" t="str">
        <x:v>BIA-04</x:v>
      </x:c>
      <x:c r="Q44" s="26" t="str">
        <x:v>PB-04</x:v>
      </x:c>
      <x:c r="R44" s="26" t="str">
        <x:v>TA-TEC-010</x:v>
      </x:c>
      <x:c r="S44" s="26" t="str">
        <x:v>03, 09, 10, 11, 13, 27, 30, 31</x:v>
      </x:c>
      <x:c r="T44" s="26" t="str">
        <x:v>TDD, setup, coding/build guides, ADR y build records</x:v>
      </x:c>
      <x:c r="U44" s="26" t="str">
        <x:v>OPEN</x:v>
      </x:c>
      <x:c r="V44" s="26" t="str">
        <x:v>UNVERIFIED</x:v>
      </x:c>
      <x:c r="W44" s="26" t="n">
        <x:v>1</x:v>
      </x:c>
      <x:c r="X44" s="26" t="str">
        <x:v>CHG-RISK-R-TEC-010</x:v>
      </x:c>
    </x:row>
    <x:row r="45" ht="30" customHeight="1">
      <x:c r="A45" s="26" t="str">
        <x:v>R-TEC-011</x:v>
      </x:c>
      <x:c r="B45" s="26" t="str">
        <x:v>Architecture &amp; Toolchain</x:v>
      </x:c>
      <x:c r="C45" s="26" t="str">
        <x:v>Asset import</x:v>
      </x:c>
      <x:c r="D45" s="26" t="str">
        <x:v>Existe el riesgo de que ocurra lo siguiente: Reimport masivo cambia resultados o GUID.</x:v>
      </x:c>
      <x:c r="E45" s="26" t="str">
        <x:v>Development</x:v>
      </x:c>
      <x:c r="F45" s="26" t="n">
        <x:v>15</x:v>
      </x:c>
      <x:c r="G45" s="26" t="str">
        <x:v>HIGH</x:v>
      </x:c>
      <x:c r="H45" s="26" t="n">
        <x:v>15</x:v>
      </x:c>
      <x:c r="I45" s="26" t="str">
        <x:v>HIGH</x:v>
      </x:c>
      <x:c r="J45" s="26" t="str">
        <x:v>OUTSIDE TOLERANCE</x:v>
      </x:c>
      <x:c r="K45" s="26" t="str">
        <x:v>Engineering</x:v>
      </x:c>
      <x:c r="L45" s="26" t="str">
        <x:v>Build / Project Owner</x:v>
      </x:c>
      <x:c r="M45" s="26" t="str">
        <x:v>Meta/GUID cambia inesperadamente</x:v>
      </x:c>
      <x:c r="N45" s="26" t="str">
        <x:v>Congelar upgrades y reproducir con manifest/lock conocidos.</x:v>
      </x:c>
      <x:c r="O45" s="26" t="str">
        <x:v>Restaurar versión Unity/paquetes y commit conocido; reconstruir desde cero.</x:v>
      </x:c>
      <x:c r="P45" s="26" t="str">
        <x:v>BIA-04</x:v>
      </x:c>
      <x:c r="Q45" s="26" t="str">
        <x:v>PB-04</x:v>
      </x:c>
      <x:c r="R45" s="26" t="str">
        <x:v>TA-TEC-011</x:v>
      </x:c>
      <x:c r="S45" s="26" t="str">
        <x:v>03, 09, 10, 11, 13, 27, 30, 31</x:v>
      </x:c>
      <x:c r="T45" s="26" t="str">
        <x:v>TDD, setup, coding/build guides, ADR y build records</x:v>
      </x:c>
      <x:c r="U45" s="26" t="str">
        <x:v>OPEN</x:v>
      </x:c>
      <x:c r="V45" s="26" t="str">
        <x:v>UNVERIFIED</x:v>
      </x:c>
      <x:c r="W45" s="26" t="n">
        <x:v>1</x:v>
      </x:c>
      <x:c r="X45" s="26" t="str">
        <x:v>CHG-RISK-R-TEC-011</x:v>
      </x:c>
    </x:row>
    <x:row r="46" ht="30" customHeight="1">
      <x:c r="A46" s="26" t="str">
        <x:v>R-TEC-012</x:v>
      </x:c>
      <x:c r="B46" s="26" t="str">
        <x:v>Architecture &amp; Toolchain</x:v>
      </x:c>
      <x:c r="C46" s="26" t="str">
        <x:v>Branch divergence</x:v>
      </x:c>
      <x:c r="D46" s="26" t="str">
        <x:v>Existe el riesgo de que ocurra lo siguiente: Trabajo largo diverge y provoca integración destructiva.</x:v>
      </x:c>
      <x:c r="E46" s="26" t="str">
        <x:v>Development</x:v>
      </x:c>
      <x:c r="F46" s="26" t="n">
        <x:v>12</x:v>
      </x:c>
      <x:c r="G46" s="26" t="str">
        <x:v>HIGH</x:v>
      </x:c>
      <x:c r="H46" s="26" t="n">
        <x:v>12</x:v>
      </x:c>
      <x:c r="I46" s="26" t="str">
        <x:v>HIGH</x:v>
      </x:c>
      <x:c r="J46" s="26" t="str">
        <x:v>OUTSIDE TOLERANCE</x:v>
      </x:c>
      <x:c r="K46" s="26" t="str">
        <x:v>Engineering</x:v>
      </x:c>
      <x:c r="L46" s="26" t="str">
        <x:v>Build / Project Owner</x:v>
      </x:c>
      <x:c r="M46" s="26" t="str">
        <x:v>Branch &gt; 1 sprint sin merge</x:v>
      </x:c>
      <x:c r="N46" s="26" t="str">
        <x:v>Congelar upgrades y reproducir con manifest/lock conocidos.</x:v>
      </x:c>
      <x:c r="O46" s="26" t="str">
        <x:v>Restaurar versión Unity/paquetes y commit conocido; reconstruir desde cero.</x:v>
      </x:c>
      <x:c r="P46" s="26" t="str">
        <x:v>BIA-04</x:v>
      </x:c>
      <x:c r="Q46" s="26" t="str">
        <x:v>PB-04</x:v>
      </x:c>
      <x:c r="R46" s="26" t="str">
        <x:v>TA-TEC-012</x:v>
      </x:c>
      <x:c r="S46" s="26" t="str">
        <x:v>03, 09, 10, 11, 13, 27, 30, 31</x:v>
      </x:c>
      <x:c r="T46" s="26" t="str">
        <x:v>TDD, setup, coding/build guides, ADR y build records</x:v>
      </x:c>
      <x:c r="U46" s="26" t="str">
        <x:v>OPEN</x:v>
      </x:c>
      <x:c r="V46" s="26" t="str">
        <x:v>UNVERIFIED</x:v>
      </x:c>
      <x:c r="W46" s="26" t="n">
        <x:v>1</x:v>
      </x:c>
      <x:c r="X46" s="26" t="str">
        <x:v>CHG-RISK-R-TEC-012</x:v>
      </x:c>
    </x:row>
    <x:row r="47" ht="30" customHeight="1">
      <x:c r="A47" s="26" t="str">
        <x:v>R-DAT-001</x:v>
      </x:c>
      <x:c r="B47" s="26" t="str">
        <x:v>Data, Save &amp; Integrity</x:v>
      </x:c>
      <x:c r="C47" s="26" t="str">
        <x:v>Corruption</x:v>
      </x:c>
      <x:c r="D47" s="26" t="str">
        <x:v>Existe el riesgo de que ocurra lo siguiente: Guardado primario y backup quedan inutilizables.</x:v>
      </x:c>
      <x:c r="E47" s="26" t="str">
        <x:v>All</x:v>
      </x:c>
      <x:c r="F47" s="26" t="n">
        <x:v>10</x:v>
      </x:c>
      <x:c r="G47" s="26" t="str">
        <x:v>MEDIUM</x:v>
      </x:c>
      <x:c r="H47" s="26" t="n">
        <x:v>10</x:v>
      </x:c>
      <x:c r="I47" s="26" t="str">
        <x:v>MEDIUM</x:v>
      </x:c>
      <x:c r="J47" s="26" t="str">
        <x:v>OUTSIDE TOLERANCE</x:v>
      </x:c>
      <x:c r="K47" s="26" t="str">
        <x:v>Engineering / Data</x:v>
      </x:c>
      <x:c r="L47" s="26" t="str">
        <x:v>QA</x:v>
      </x:c>
      <x:c r="M47" s="26" t="str">
        <x:v>Checksum/migración falla en ambos</x:v>
      </x:c>
      <x:c r="N47" s="26" t="str">
        <x:v>Bloquear escritura, preservar archivos y activar recuperación.</x:v>
      </x:c>
      <x:c r="O47" s="26" t="str">
        <x:v>Restaurar backup válido, verificar checksum y documentar posible pérdida.</x:v>
      </x:c>
      <x:c r="P47" s="26" t="str">
        <x:v>BIA-05</x:v>
      </x:c>
      <x:c r="Q47" s="26" t="str">
        <x:v>PB-05</x:v>
      </x:c>
      <x:c r="R47" s="26" t="str">
        <x:v>TA-DAT-001</x:v>
      </x:c>
      <x:c r="S47" s="26" t="str">
        <x:v>03, 04, 07, 08, 11, 25, 27, 31</x:v>
      </x:c>
      <x:c r="T47" s="26" t="str">
        <x:v>Modelo de Datos, TDD, QA y Sprint 14 save/recovery</x:v>
      </x:c>
      <x:c r="U47" s="26" t="str">
        <x:v>OPEN</x:v>
      </x:c>
      <x:c r="V47" s="26" t="str">
        <x:v>UNVERIFIED</x:v>
      </x:c>
      <x:c r="W47" s="26" t="n">
        <x:v>1</x:v>
      </x:c>
      <x:c r="X47" s="26" t="str">
        <x:v>CHG-RISK-R-DAT-001</x:v>
      </x:c>
    </x:row>
    <x:row r="48" ht="30" customHeight="1">
      <x:c r="A48" s="26" t="str">
        <x:v>R-DAT-002</x:v>
      </x:c>
      <x:c r="B48" s="26" t="str">
        <x:v>Data, Save &amp; Integrity</x:v>
      </x:c>
      <x:c r="C48" s="26" t="str">
        <x:v>Atomicity</x:v>
      </x:c>
      <x:c r="D48" s="26" t="str">
        <x:v>Existe el riesgo de que ocurra lo siguiente: Corte durante escritura deja archivo parcial.</x:v>
      </x:c>
      <x:c r="E48" s="26" t="str">
        <x:v>All</x:v>
      </x:c>
      <x:c r="F48" s="26" t="n">
        <x:v>15</x:v>
      </x:c>
      <x:c r="G48" s="26" t="str">
        <x:v>HIGH</x:v>
      </x:c>
      <x:c r="H48" s="26" t="n">
        <x:v>15</x:v>
      </x:c>
      <x:c r="I48" s="26" t="str">
        <x:v>HIGH</x:v>
      </x:c>
      <x:c r="J48" s="26" t="str">
        <x:v>OUTSIDE TOLERANCE</x:v>
      </x:c>
      <x:c r="K48" s="26" t="str">
        <x:v>Engineering / Data</x:v>
      </x:c>
      <x:c r="L48" s="26" t="str">
        <x:v>QA</x:v>
      </x:c>
      <x:c r="M48" s="26" t="str">
        <x:v>Temporal/promoción no completados</x:v>
      </x:c>
      <x:c r="N48" s="26" t="str">
        <x:v>Bloquear escritura, preservar archivos y activar recuperación.</x:v>
      </x:c>
      <x:c r="O48" s="26" t="str">
        <x:v>Restaurar backup válido, verificar checksum y documentar posible pérdida.</x:v>
      </x:c>
      <x:c r="P48" s="26" t="str">
        <x:v>BIA-05</x:v>
      </x:c>
      <x:c r="Q48" s="26" t="str">
        <x:v>PB-05</x:v>
      </x:c>
      <x:c r="R48" s="26" t="str">
        <x:v>TA-DAT-002</x:v>
      </x:c>
      <x:c r="S48" s="26" t="str">
        <x:v>03, 04, 07, 08, 11, 25, 27, 31</x:v>
      </x:c>
      <x:c r="T48" s="26" t="str">
        <x:v>Modelo de Datos, TDD, QA y Sprint 14 save/recovery</x:v>
      </x:c>
      <x:c r="U48" s="26" t="str">
        <x:v>OPEN</x:v>
      </x:c>
      <x:c r="V48" s="26" t="str">
        <x:v>UNVERIFIED</x:v>
      </x:c>
      <x:c r="W48" s="26" t="n">
        <x:v>1</x:v>
      </x:c>
      <x:c r="X48" s="26" t="str">
        <x:v>CHG-RISK-R-DAT-002</x:v>
      </x:c>
    </x:row>
    <x:row r="49" ht="30" customHeight="1">
      <x:c r="A49" s="26" t="str">
        <x:v>R-DAT-003</x:v>
      </x:c>
      <x:c r="B49" s="26" t="str">
        <x:v>Data, Save &amp; Integrity</x:v>
      </x:c>
      <x:c r="C49" s="26" t="str">
        <x:v>Backup overwrite</x:v>
      </x:c>
      <x:c r="D49" s="26" t="str">
        <x:v>Existe el riesgo de que ocurra lo siguiente: Backup válido se reemplaza por estado corrupto.</x:v>
      </x:c>
      <x:c r="E49" s="26" t="str">
        <x:v>All</x:v>
      </x:c>
      <x:c r="F49" s="26" t="n">
        <x:v>15</x:v>
      </x:c>
      <x:c r="G49" s="26" t="str">
        <x:v>HIGH</x:v>
      </x:c>
      <x:c r="H49" s="26" t="n">
        <x:v>15</x:v>
      </x:c>
      <x:c r="I49" s="26" t="str">
        <x:v>HIGH</x:v>
      </x:c>
      <x:c r="J49" s="26" t="str">
        <x:v>OUTSIDE TOLERANCE</x:v>
      </x:c>
      <x:c r="K49" s="26" t="str">
        <x:v>Engineering / Data</x:v>
      </x:c>
      <x:c r="L49" s="26" t="str">
        <x:v>QA</x:v>
      </x:c>
      <x:c r="M49" s="26" t="str">
        <x:v>Rotación ocurre antes de validar</x:v>
      </x:c>
      <x:c r="N49" s="26" t="str">
        <x:v>Bloquear escritura, preservar archivos y activar recuperación.</x:v>
      </x:c>
      <x:c r="O49" s="26" t="str">
        <x:v>Restaurar backup válido, verificar checksum y documentar posible pérdida.</x:v>
      </x:c>
      <x:c r="P49" s="26" t="str">
        <x:v>BIA-05</x:v>
      </x:c>
      <x:c r="Q49" s="26" t="str">
        <x:v>PB-05</x:v>
      </x:c>
      <x:c r="R49" s="26" t="str">
        <x:v>TA-DAT-003</x:v>
      </x:c>
      <x:c r="S49" s="26" t="str">
        <x:v>03, 04, 07, 08, 11, 25, 27, 31</x:v>
      </x:c>
      <x:c r="T49" s="26" t="str">
        <x:v>Modelo de Datos, TDD, QA y Sprint 14 save/recovery</x:v>
      </x:c>
      <x:c r="U49" s="26" t="str">
        <x:v>OPEN</x:v>
      </x:c>
      <x:c r="V49" s="26" t="str">
        <x:v>UNVERIFIED</x:v>
      </x:c>
      <x:c r="W49" s="26" t="n">
        <x:v>1</x:v>
      </x:c>
      <x:c r="X49" s="26" t="str">
        <x:v>CHG-RISK-R-DAT-003</x:v>
      </x:c>
    </x:row>
    <x:row r="50" ht="30" customHeight="1">
      <x:c r="A50" s="26" t="str">
        <x:v>R-DAT-004</x:v>
      </x:c>
      <x:c r="B50" s="26" t="str">
        <x:v>Data, Save &amp; Integrity</x:v>
      </x:c>
      <x:c r="C50" s="26" t="str">
        <x:v>Schema migration</x:v>
      </x:c>
      <x:c r="D50" s="26" t="str">
        <x:v>Existe el riesgo de que ocurra lo siguiente: Nueva versión no migra saves anteriores.</x:v>
      </x:c>
      <x:c r="E50" s="26" t="str">
        <x:v>Release/Post-launch</x:v>
      </x:c>
      <x:c r="F50" s="26" t="n">
        <x:v>15</x:v>
      </x:c>
      <x:c r="G50" s="26" t="str">
        <x:v>HIGH</x:v>
      </x:c>
      <x:c r="H50" s="26" t="n">
        <x:v>15</x:v>
      </x:c>
      <x:c r="I50" s="26" t="str">
        <x:v>HIGH</x:v>
      </x:c>
      <x:c r="J50" s="26" t="str">
        <x:v>OUTSIDE TOLERANCE</x:v>
      </x:c>
      <x:c r="K50" s="26" t="str">
        <x:v>Engineering / Data</x:v>
      </x:c>
      <x:c r="L50" s="26" t="str">
        <x:v>QA</x:v>
      </x:c>
      <x:c r="M50" s="26" t="str">
        <x:v>SchemaVersion desconocida</x:v>
      </x:c>
      <x:c r="N50" s="26" t="str">
        <x:v>Bloquear escritura, preservar archivos y activar recuperación.</x:v>
      </x:c>
      <x:c r="O50" s="26" t="str">
        <x:v>Restaurar backup válido, verificar checksum y documentar posible pérdida.</x:v>
      </x:c>
      <x:c r="P50" s="26" t="str">
        <x:v>BIA-05</x:v>
      </x:c>
      <x:c r="Q50" s="26" t="str">
        <x:v>PB-05</x:v>
      </x:c>
      <x:c r="R50" s="26" t="str">
        <x:v>TA-DAT-004</x:v>
      </x:c>
      <x:c r="S50" s="26" t="str">
        <x:v>03, 04, 07, 08, 11, 25, 27, 31</x:v>
      </x:c>
      <x:c r="T50" s="26" t="str">
        <x:v>Modelo de Datos, TDD, QA y Sprint 14 save/recovery</x:v>
      </x:c>
      <x:c r="U50" s="26" t="str">
        <x:v>OPEN</x:v>
      </x:c>
      <x:c r="V50" s="26" t="str">
        <x:v>UNVERIFIED</x:v>
      </x:c>
      <x:c r="W50" s="26" t="n">
        <x:v>1</x:v>
      </x:c>
      <x:c r="X50" s="26" t="str">
        <x:v>CHG-RISK-R-DAT-004</x:v>
      </x:c>
    </x:row>
    <x:row r="51" ht="30" customHeight="1">
      <x:c r="A51" s="26" t="str">
        <x:v>R-DAT-005</x:v>
      </x:c>
      <x:c r="B51" s="26" t="str">
        <x:v>Data, Save &amp; Integrity</x:v>
      </x:c>
      <x:c r="C51" s="26" t="str">
        <x:v>Downgrade</x:v>
      </x:c>
      <x:c r="D51" s="26" t="str">
        <x:v>Existe el riesgo de que ocurra lo siguiente: Abrir save nuevo en build antigua destruye datos.</x:v>
      </x:c>
      <x:c r="E51" s="26" t="str">
        <x:v>QA/Support</x:v>
      </x:c>
      <x:c r="F51" s="26" t="n">
        <x:v>8</x:v>
      </x:c>
      <x:c r="G51" s="26" t="str">
        <x:v>MEDIUM</x:v>
      </x:c>
      <x:c r="H51" s="26" t="n">
        <x:v>8</x:v>
      </x:c>
      <x:c r="I51" s="26" t="str">
        <x:v>MEDIUM</x:v>
      </x:c>
      <x:c r="J51" s="26" t="str">
        <x:v>OUTSIDE TOLERANCE</x:v>
      </x:c>
      <x:c r="K51" s="26" t="str">
        <x:v>Engineering / Data</x:v>
      </x:c>
      <x:c r="L51" s="26" t="str">
        <x:v>QA</x:v>
      </x:c>
      <x:c r="M51" s="26" t="str">
        <x:v>Downgrade no bloqueado</x:v>
      </x:c>
      <x:c r="N51" s="26" t="str">
        <x:v>Bloquear escritura, preservar archivos y activar recuperación.</x:v>
      </x:c>
      <x:c r="O51" s="26" t="str">
        <x:v>Restaurar backup válido, verificar checksum y documentar posible pérdida.</x:v>
      </x:c>
      <x:c r="P51" s="26" t="str">
        <x:v>BIA-05</x:v>
      </x:c>
      <x:c r="Q51" s="26" t="str">
        <x:v>PB-05</x:v>
      </x:c>
      <x:c r="R51" s="26" t="str">
        <x:v>TA-DAT-005</x:v>
      </x:c>
      <x:c r="S51" s="26" t="str">
        <x:v>03, 04, 07, 08, 11, 25, 27, 31</x:v>
      </x:c>
      <x:c r="T51" s="26" t="str">
        <x:v>Modelo de Datos, TDD, QA y Sprint 14 save/recovery</x:v>
      </x:c>
      <x:c r="U51" s="26" t="str">
        <x:v>OPEN</x:v>
      </x:c>
      <x:c r="V51" s="26" t="str">
        <x:v>UNVERIFIED</x:v>
      </x:c>
      <x:c r="W51" s="26" t="n">
        <x:v>1</x:v>
      </x:c>
      <x:c r="X51" s="26" t="str">
        <x:v>CHG-RISK-R-DAT-005</x:v>
      </x:c>
    </x:row>
    <x:row r="52" ht="30" customHeight="1">
      <x:c r="A52" s="26" t="str">
        <x:v>R-DAT-006</x:v>
      </x:c>
      <x:c r="B52" s="26" t="str">
        <x:v>Data, Save &amp; Integrity</x:v>
      </x:c>
      <x:c r="C52" s="26" t="str">
        <x:v>Slot isolation</x:v>
      </x:c>
      <x:c r="D52" s="26" t="str">
        <x:v>Existe el riesgo de que ocurra lo siguiente: Una operación afecta al slot equivocado.</x:v>
      </x:c>
      <x:c r="E52" s="26" t="str">
        <x:v>Development</x:v>
      </x:c>
      <x:c r="F52" s="26" t="n">
        <x:v>10</x:v>
      </x:c>
      <x:c r="G52" s="26" t="str">
        <x:v>MEDIUM</x:v>
      </x:c>
      <x:c r="H52" s="26" t="n">
        <x:v>10</x:v>
      </x:c>
      <x:c r="I52" s="26" t="str">
        <x:v>MEDIUM</x:v>
      </x:c>
      <x:c r="J52" s="26" t="str">
        <x:v>OUTSIDE TOLERANCE</x:v>
      </x:c>
      <x:c r="K52" s="26" t="str">
        <x:v>Engineering / Data</x:v>
      </x:c>
      <x:c r="L52" s="26" t="str">
        <x:v>QA</x:v>
      </x:c>
      <x:c r="M52" s="26" t="str">
        <x:v>IDs/path de slot se cruzan</x:v>
      </x:c>
      <x:c r="N52" s="26" t="str">
        <x:v>Bloquear escritura, preservar archivos y activar recuperación.</x:v>
      </x:c>
      <x:c r="O52" s="26" t="str">
        <x:v>Restaurar backup válido, verificar checksum y documentar posible pérdida.</x:v>
      </x:c>
      <x:c r="P52" s="26" t="str">
        <x:v>BIA-05</x:v>
      </x:c>
      <x:c r="Q52" s="26" t="str">
        <x:v>PB-05</x:v>
      </x:c>
      <x:c r="R52" s="26" t="str">
        <x:v>TA-DAT-006</x:v>
      </x:c>
      <x:c r="S52" s="26" t="str">
        <x:v>03, 04, 07, 08, 11, 25, 27, 31</x:v>
      </x:c>
      <x:c r="T52" s="26" t="str">
        <x:v>Modelo de Datos, TDD, QA y Sprint 14 save/recovery</x:v>
      </x:c>
      <x:c r="U52" s="26" t="str">
        <x:v>OPEN</x:v>
      </x:c>
      <x:c r="V52" s="26" t="str">
        <x:v>UNVERIFIED</x:v>
      </x:c>
      <x:c r="W52" s="26" t="n">
        <x:v>1</x:v>
      </x:c>
      <x:c r="X52" s="26" t="str">
        <x:v>CHG-RISK-R-DAT-006</x:v>
      </x:c>
    </x:row>
    <x:row r="53" ht="30" customHeight="1">
      <x:c r="A53" s="26" t="str">
        <x:v>R-DAT-007</x:v>
      </x:c>
      <x:c r="B53" s="26" t="str">
        <x:v>Data, Save &amp; Integrity</x:v>
      </x:c>
      <x:c r="C53" s="26" t="str">
        <x:v>Settings separation</x:v>
      </x:c>
      <x:c r="D53" s="26" t="str">
        <x:v>Existe el riesgo de que ocurra lo siguiente: Preferencias globales se pierden o contaminan save.</x:v>
      </x:c>
      <x:c r="E53" s="26" t="str">
        <x:v>All</x:v>
      </x:c>
      <x:c r="F53" s="26" t="n">
        <x:v>9</x:v>
      </x:c>
      <x:c r="G53" s="26" t="str">
        <x:v>MEDIUM</x:v>
      </x:c>
      <x:c r="H53" s="26" t="n">
        <x:v>9</x:v>
      </x:c>
      <x:c r="I53" s="26" t="str">
        <x:v>MEDIUM</x:v>
      </x:c>
      <x:c r="J53" s="26" t="str">
        <x:v>OUTSIDE TOLERANCE</x:v>
      </x:c>
      <x:c r="K53" s="26" t="str">
        <x:v>Engineering / Data</x:v>
      </x:c>
      <x:c r="L53" s="26" t="str">
        <x:v>QA</x:v>
      </x:c>
      <x:c r="M53" s="26" t="str">
        <x:v>Configuración ligada a slot</x:v>
      </x:c>
      <x:c r="N53" s="26" t="str">
        <x:v>Bloquear escritura, preservar archivos y activar recuperación.</x:v>
      </x:c>
      <x:c r="O53" s="26" t="str">
        <x:v>Restaurar backup válido, verificar checksum y documentar posible pérdida.</x:v>
      </x:c>
      <x:c r="P53" s="26" t="str">
        <x:v>BIA-05</x:v>
      </x:c>
      <x:c r="Q53" s="26" t="str">
        <x:v>PB-05</x:v>
      </x:c>
      <x:c r="R53" s="26" t="str">
        <x:v>TA-DAT-007</x:v>
      </x:c>
      <x:c r="S53" s="26" t="str">
        <x:v>03, 04, 07, 08, 11, 25, 27, 31</x:v>
      </x:c>
      <x:c r="T53" s="26" t="str">
        <x:v>Modelo de Datos, TDD, QA y Sprint 14 save/recovery</x:v>
      </x:c>
      <x:c r="U53" s="26" t="str">
        <x:v>OPEN</x:v>
      </x:c>
      <x:c r="V53" s="26" t="str">
        <x:v>UNVERIFIED</x:v>
      </x:c>
      <x:c r="W53" s="26" t="n">
        <x:v>1</x:v>
      </x:c>
      <x:c r="X53" s="26" t="str">
        <x:v>CHG-RISK-R-DAT-007</x:v>
      </x:c>
    </x:row>
    <x:row r="54" ht="30" customHeight="1">
      <x:c r="A54" s="26" t="str">
        <x:v>R-DAT-008</x:v>
      </x:c>
      <x:c r="B54" s="26" t="str">
        <x:v>Data, Save &amp; Integrity</x:v>
      </x:c>
      <x:c r="C54" s="26" t="str">
        <x:v>Catalog identity</x:v>
      </x:c>
      <x:c r="D54" s="26" t="str">
        <x:v>Existe el riesgo de que ocurra lo siguiente: IDs de contenido cambian sin migración.</x:v>
      </x:c>
      <x:c r="E54" s="26" t="str">
        <x:v>Development</x:v>
      </x:c>
      <x:c r="F54" s="26" t="n">
        <x:v>15</x:v>
      </x:c>
      <x:c r="G54" s="26" t="str">
        <x:v>HIGH</x:v>
      </x:c>
      <x:c r="H54" s="26" t="n">
        <x:v>15</x:v>
      </x:c>
      <x:c r="I54" s="26" t="str">
        <x:v>HIGH</x:v>
      </x:c>
      <x:c r="J54" s="26" t="str">
        <x:v>OUTSIDE TOLERANCE</x:v>
      </x:c>
      <x:c r="K54" s="26" t="str">
        <x:v>Engineering / Data</x:v>
      </x:c>
      <x:c r="L54" s="26" t="str">
        <x:v>QA</x:v>
      </x:c>
      <x:c r="M54" s="26" t="str">
        <x:v>Catálogo renombra IDs persistidos</x:v>
      </x:c>
      <x:c r="N54" s="26" t="str">
        <x:v>Bloquear escritura, preservar archivos y activar recuperación.</x:v>
      </x:c>
      <x:c r="O54" s="26" t="str">
        <x:v>Restaurar backup válido, verificar checksum y documentar posible pérdida.</x:v>
      </x:c>
      <x:c r="P54" s="26" t="str">
        <x:v>BIA-05</x:v>
      </x:c>
      <x:c r="Q54" s="26" t="str">
        <x:v>PB-05</x:v>
      </x:c>
      <x:c r="R54" s="26" t="str">
        <x:v>TA-DAT-008</x:v>
      </x:c>
      <x:c r="S54" s="26" t="str">
        <x:v>03, 04, 07, 08, 11, 25, 27, 31</x:v>
      </x:c>
      <x:c r="T54" s="26" t="str">
        <x:v>Modelo de Datos, TDD, QA y Sprint 14 save/recovery</x:v>
      </x:c>
      <x:c r="U54" s="26" t="str">
        <x:v>OPEN</x:v>
      </x:c>
      <x:c r="V54" s="26" t="str">
        <x:v>UNVERIFIED</x:v>
      </x:c>
      <x:c r="W54" s="26" t="n">
        <x:v>1</x:v>
      </x:c>
      <x:c r="X54" s="26" t="str">
        <x:v>CHG-RISK-R-DAT-008</x:v>
      </x:c>
    </x:row>
    <x:row r="55" ht="30" customHeight="1">
      <x:c r="A55" s="26" t="str">
        <x:v>R-DAT-009</x:v>
      </x:c>
      <x:c r="B55" s="26" t="str">
        <x:v>Data, Save &amp; Integrity</x:v>
      </x:c>
      <x:c r="C55" s="26" t="str">
        <x:v>Recovery messaging</x:v>
      </x:c>
      <x:c r="D55" s="26" t="str">
        <x:v>Existe el riesgo de que ocurra lo siguiente: Recovery ocurre sin informar pérdida potencial.</x:v>
      </x:c>
      <x:c r="E55" s="26" t="str">
        <x:v>All</x:v>
      </x:c>
      <x:c r="F55" s="26" t="n">
        <x:v>12</x:v>
      </x:c>
      <x:c r="G55" s="26" t="str">
        <x:v>HIGH</x:v>
      </x:c>
      <x:c r="H55" s="26" t="n">
        <x:v>12</x:v>
      </x:c>
      <x:c r="I55" s="26" t="str">
        <x:v>HIGH</x:v>
      </x:c>
      <x:c r="J55" s="26" t="str">
        <x:v>OUTSIDE TOLERANCE</x:v>
      </x:c>
      <x:c r="K55" s="26" t="str">
        <x:v>Engineering / Data</x:v>
      </x:c>
      <x:c r="L55" s="26" t="str">
        <x:v>QA</x:v>
      </x:c>
      <x:c r="M55" s="26" t="str">
        <x:v>Fallback silencioso</x:v>
      </x:c>
      <x:c r="N55" s="26" t="str">
        <x:v>Bloquear escritura, preservar archivos y activar recuperación.</x:v>
      </x:c>
      <x:c r="O55" s="26" t="str">
        <x:v>Restaurar backup válido, verificar checksum y documentar posible pérdida.</x:v>
      </x:c>
      <x:c r="P55" s="26" t="str">
        <x:v>BIA-05</x:v>
      </x:c>
      <x:c r="Q55" s="26" t="str">
        <x:v>PB-05</x:v>
      </x:c>
      <x:c r="R55" s="26" t="str">
        <x:v>TA-DAT-009</x:v>
      </x:c>
      <x:c r="S55" s="26" t="str">
        <x:v>03, 04, 07, 08, 11, 25, 27, 31</x:v>
      </x:c>
      <x:c r="T55" s="26" t="str">
        <x:v>Modelo de Datos, TDD, QA y Sprint 14 save/recovery</x:v>
      </x:c>
      <x:c r="U55" s="26" t="str">
        <x:v>OPEN</x:v>
      </x:c>
      <x:c r="V55" s="26" t="str">
        <x:v>UNVERIFIED</x:v>
      </x:c>
      <x:c r="W55" s="26" t="n">
        <x:v>1</x:v>
      </x:c>
      <x:c r="X55" s="26" t="str">
        <x:v>CHG-RISK-R-DAT-009</x:v>
      </x:c>
    </x:row>
    <x:row r="56" ht="30" customHeight="1">
      <x:c r="A56" s="26" t="str">
        <x:v>R-DAT-010</x:v>
      </x:c>
      <x:c r="B56" s="26" t="str">
        <x:v>Data, Save &amp; Integrity</x:v>
      </x:c>
      <x:c r="C56" s="26" t="str">
        <x:v>Restore testing</x:v>
      </x:c>
      <x:c r="D56" s="26" t="str">
        <x:v>Existe el riesgo de que ocurra lo siguiente: Backups existen pero nunca se restauran.</x:v>
      </x:c>
      <x:c r="E56" s="26" t="str">
        <x:v>All</x:v>
      </x:c>
      <x:c r="F56" s="26" t="n">
        <x:v>20</x:v>
      </x:c>
      <x:c r="G56" s="26" t="str">
        <x:v>CRITICAL</x:v>
      </x:c>
      <x:c r="H56" s="26" t="n">
        <x:v>20</x:v>
      </x:c>
      <x:c r="I56" s="26" t="str">
        <x:v>CRITICAL</x:v>
      </x:c>
      <x:c r="J56" s="26" t="str">
        <x:v>OUTSIDE TOLERANCE</x:v>
      </x:c>
      <x:c r="K56" s="26" t="str">
        <x:v>Engineering / Data</x:v>
      </x:c>
      <x:c r="L56" s="26" t="str">
        <x:v>QA</x:v>
      </x:c>
      <x:c r="M56" s="26" t="str">
        <x:v>Último restore test &gt; 90 días</x:v>
      </x:c>
      <x:c r="N56" s="26" t="str">
        <x:v>Bloquear escritura, preservar archivos y activar recuperación.</x:v>
      </x:c>
      <x:c r="O56" s="26" t="str">
        <x:v>Restaurar backup válido, verificar checksum y documentar posible pérdida.</x:v>
      </x:c>
      <x:c r="P56" s="26" t="str">
        <x:v>BIA-05</x:v>
      </x:c>
      <x:c r="Q56" s="26" t="str">
        <x:v>PB-05</x:v>
      </x:c>
      <x:c r="R56" s="26" t="str">
        <x:v>TA-DAT-010</x:v>
      </x:c>
      <x:c r="S56" s="26" t="str">
        <x:v>03, 04, 07, 08, 11, 25, 27, 31</x:v>
      </x:c>
      <x:c r="T56" s="26" t="str">
        <x:v>Modelo de Datos, TDD, QA y Sprint 14 save/recovery</x:v>
      </x:c>
      <x:c r="U56" s="26" t="str">
        <x:v>OPEN</x:v>
      </x:c>
      <x:c r="V56" s="26" t="str">
        <x:v>UNVERIFIED</x:v>
      </x:c>
      <x:c r="W56" s="26" t="n">
        <x:v>1</x:v>
      </x:c>
      <x:c r="X56" s="26" t="str">
        <x:v>CHG-RISK-R-DAT-010</x:v>
      </x:c>
    </x:row>
    <x:row r="57" ht="30" customHeight="1">
      <x:c r="A57" s="26" t="str">
        <x:v>R-QUA-001</x:v>
      </x:c>
      <x:c r="B57" s="26" t="str">
        <x:v>Quality &amp; Acceptance</x:v>
      </x:c>
      <x:c r="C57" s="26" t="str">
        <x:v>S0/S1 escape</x:v>
      </x:c>
      <x:c r="D57" s="26" t="str">
        <x:v>Existe el riesgo de que ocurra lo siguiente: Defecto bloqueante llega a candidato.</x:v>
      </x:c>
      <x:c r="E57" s="26" t="str">
        <x:v>H6/Release</x:v>
      </x:c>
      <x:c r="F57" s="26" t="n">
        <x:v>15</x:v>
      </x:c>
      <x:c r="G57" s="26" t="str">
        <x:v>HIGH</x:v>
      </x:c>
      <x:c r="H57" s="26" t="n">
        <x:v>15</x:v>
      </x:c>
      <x:c r="I57" s="26" t="str">
        <x:v>HIGH</x:v>
      </x:c>
      <x:c r="J57" s="26" t="str">
        <x:v>OUTSIDE TOLERANCE</x:v>
      </x:c>
      <x:c r="K57" s="26" t="str">
        <x:v>QA</x:v>
      </x:c>
      <x:c r="L57" s="26" t="str">
        <x:v>Production</x:v>
      </x:c>
      <x:c r="M57" s="26" t="str">
        <x:v>S0/S1 abierto o no detectado</x:v>
      </x:c>
      <x:c r="N57" s="26" t="str">
        <x:v>Triage, cuarentena del build y apertura de defecto.</x:v>
      </x:c>
      <x:c r="O57" s="26" t="str">
        <x:v>Corregir, ejecutar regresión proporcional y reemitir evidencia.</x:v>
      </x:c>
      <x:c r="P57" s="26" t="str">
        <x:v>BIA-06</x:v>
      </x:c>
      <x:c r="Q57" s="26" t="str">
        <x:v>PB-06</x:v>
      </x:c>
      <x:c r="R57" s="26" t="str">
        <x:v>TA-QUA-001</x:v>
      </x:c>
      <x:c r="S57" s="26" t="str">
        <x:v>02, 07, 08, 11, 16, 29, 30, 31</x:v>
      </x:c>
      <x:c r="T57" s="26" t="str">
        <x:v>QA Plan/Matrix, validation checklists y execution records v0.3–v0.6</x:v>
      </x:c>
      <x:c r="U57" s="26" t="str">
        <x:v>OPEN</x:v>
      </x:c>
      <x:c r="V57" s="26" t="str">
        <x:v>UNVERIFIED</x:v>
      </x:c>
      <x:c r="W57" s="26" t="n">
        <x:v>1</x:v>
      </x:c>
      <x:c r="X57" s="26" t="str">
        <x:v>CHG-RISK-R-QUA-001</x:v>
      </x:c>
    </x:row>
    <x:row r="58" ht="30" customHeight="1">
      <x:c r="A58" s="26" t="str">
        <x:v>R-QUA-002</x:v>
      </x:c>
      <x:c r="B58" s="26" t="str">
        <x:v>Quality &amp; Acceptance</x:v>
      </x:c>
      <x:c r="C58" s="26" t="str">
        <x:v>Golden Path gap</x:v>
      </x:c>
      <x:c r="D58" s="26" t="str">
        <x:v>Existe el riesgo de que ocurra lo siguiente: Golden Path no se ejecuta de extremo a extremo.</x:v>
      </x:c>
      <x:c r="E58" s="26" t="str">
        <x:v>H6</x:v>
      </x:c>
      <x:c r="F58" s="26" t="n">
        <x:v>20</x:v>
      </x:c>
      <x:c r="G58" s="26" t="str">
        <x:v>CRITICAL</x:v>
      </x:c>
      <x:c r="H58" s="26" t="n">
        <x:v>20</x:v>
      </x:c>
      <x:c r="I58" s="26" t="str">
        <x:v>CRITICAL</x:v>
      </x:c>
      <x:c r="J58" s="26" t="str">
        <x:v>OUTSIDE TOLERANCE</x:v>
      </x:c>
      <x:c r="K58" s="26" t="str">
        <x:v>QA</x:v>
      </x:c>
      <x:c r="L58" s="26" t="str">
        <x:v>Production</x:v>
      </x:c>
      <x:c r="M58" s="26" t="str">
        <x:v>Escenarios contractuales NOT RUN</x:v>
      </x:c>
      <x:c r="N58" s="26" t="str">
        <x:v>Triage, cuarentena del build y apertura de defecto.</x:v>
      </x:c>
      <x:c r="O58" s="26" t="str">
        <x:v>Corregir, ejecutar regresión proporcional y reemitir evidencia.</x:v>
      </x:c>
      <x:c r="P58" s="26" t="str">
        <x:v>BIA-06</x:v>
      </x:c>
      <x:c r="Q58" s="26" t="str">
        <x:v>PB-06</x:v>
      </x:c>
      <x:c r="R58" s="26" t="str">
        <x:v>TA-QUA-002</x:v>
      </x:c>
      <x:c r="S58" s="26" t="str">
        <x:v>02, 07, 08, 11, 16, 29, 30, 31</x:v>
      </x:c>
      <x:c r="T58" s="26" t="str">
        <x:v>QA Plan/Matrix, validation checklists y execution records v0.3–v0.6</x:v>
      </x:c>
      <x:c r="U58" s="26" t="str">
        <x:v>OPEN</x:v>
      </x:c>
      <x:c r="V58" s="26" t="str">
        <x:v>UNVERIFIED</x:v>
      </x:c>
      <x:c r="W58" s="26" t="n">
        <x:v>1</x:v>
      </x:c>
      <x:c r="X58" s="26" t="str">
        <x:v>CHG-RISK-R-QUA-002</x:v>
      </x:c>
    </x:row>
    <x:row r="59" ht="30" customHeight="1">
      <x:c r="A59" s="26" t="str">
        <x:v>R-QUA-003</x:v>
      </x:c>
      <x:c r="B59" s="26" t="str">
        <x:v>Quality &amp; Acceptance</x:v>
      </x:c>
      <x:c r="C59" s="26" t="str">
        <x:v>Regression gap</x:v>
      </x:c>
      <x:c r="D59" s="26" t="str">
        <x:v>Existe el riesgo de que ocurra lo siguiente: Capacidad cerrada no entra en regresión.</x:v>
      </x:c>
      <x:c r="E59" s="26" t="str">
        <x:v>Development</x:v>
      </x:c>
      <x:c r="F59" s="26" t="n">
        <x:v>16</x:v>
      </x:c>
      <x:c r="G59" s="26" t="str">
        <x:v>HIGH</x:v>
      </x:c>
      <x:c r="H59" s="26" t="n">
        <x:v>16</x:v>
      </x:c>
      <x:c r="I59" s="26" t="str">
        <x:v>HIGH</x:v>
      </x:c>
      <x:c r="J59" s="26" t="str">
        <x:v>OUTSIDE TOLERANCE</x:v>
      </x:c>
      <x:c r="K59" s="26" t="str">
        <x:v>QA</x:v>
      </x:c>
      <x:c r="L59" s="26" t="str">
        <x:v>Production</x:v>
      </x:c>
      <x:c r="M59" s="26" t="str">
        <x:v>Cambio toca sistema sin tests asociados</x:v>
      </x:c>
      <x:c r="N59" s="26" t="str">
        <x:v>Triage, cuarentena del build y apertura de defecto.</x:v>
      </x:c>
      <x:c r="O59" s="26" t="str">
        <x:v>Corregir, ejecutar regresión proporcional y reemitir evidencia.</x:v>
      </x:c>
      <x:c r="P59" s="26" t="str">
        <x:v>BIA-06</x:v>
      </x:c>
      <x:c r="Q59" s="26" t="str">
        <x:v>PB-06</x:v>
      </x:c>
      <x:c r="R59" s="26" t="str">
        <x:v>TA-QUA-003</x:v>
      </x:c>
      <x:c r="S59" s="26" t="str">
        <x:v>02, 07, 08, 11, 16, 29, 30, 31</x:v>
      </x:c>
      <x:c r="T59" s="26" t="str">
        <x:v>QA Plan/Matrix, validation checklists y execution records v0.3–v0.6</x:v>
      </x:c>
      <x:c r="U59" s="26" t="str">
        <x:v>OPEN</x:v>
      </x:c>
      <x:c r="V59" s="26" t="str">
        <x:v>UNVERIFIED</x:v>
      </x:c>
      <x:c r="W59" s="26" t="n">
        <x:v>1</x:v>
      </x:c>
      <x:c r="X59" s="26" t="str">
        <x:v>CHG-RISK-R-QUA-003</x:v>
      </x:c>
    </x:row>
    <x:row r="60" ht="30" customHeight="1">
      <x:c r="A60" s="26" t="str">
        <x:v>R-QUA-004</x:v>
      </x:c>
      <x:c r="B60" s="26" t="str">
        <x:v>Quality &amp; Acceptance</x:v>
      </x:c>
      <x:c r="C60" s="26" t="str">
        <x:v>False PASS</x:v>
      </x:c>
      <x:c r="D60" s="26" t="str">
        <x:v>Existe el riesgo de que ocurra lo siguiente: Control se marca PASS sin evidencia verificable.</x:v>
      </x:c>
      <x:c r="E60" s="26" t="str">
        <x:v>All</x:v>
      </x:c>
      <x:c r="F60" s="26" t="n">
        <x:v>15</x:v>
      </x:c>
      <x:c r="G60" s="26" t="str">
        <x:v>HIGH</x:v>
      </x:c>
      <x:c r="H60" s="26" t="n">
        <x:v>15</x:v>
      </x:c>
      <x:c r="I60" s="26" t="str">
        <x:v>HIGH</x:v>
      </x:c>
      <x:c r="J60" s="26" t="str">
        <x:v>OUTSIDE TOLERANCE</x:v>
      </x:c>
      <x:c r="K60" s="26" t="str">
        <x:v>QA</x:v>
      </x:c>
      <x:c r="L60" s="26" t="str">
        <x:v>Production</x:v>
      </x:c>
      <x:c r="M60" s="26" t="str">
        <x:v>Evidence ID vacío</x:v>
      </x:c>
      <x:c r="N60" s="26" t="str">
        <x:v>Triage, cuarentena del build y apertura de defecto.</x:v>
      </x:c>
      <x:c r="O60" s="26" t="str">
        <x:v>Corregir, ejecutar regresión proporcional y reemitir evidencia.</x:v>
      </x:c>
      <x:c r="P60" s="26" t="str">
        <x:v>BIA-06</x:v>
      </x:c>
      <x:c r="Q60" s="26" t="str">
        <x:v>PB-06</x:v>
      </x:c>
      <x:c r="R60" s="26" t="str">
        <x:v>TA-QUA-004</x:v>
      </x:c>
      <x:c r="S60" s="26" t="str">
        <x:v>02, 07, 08, 11, 16, 29, 30, 31</x:v>
      </x:c>
      <x:c r="T60" s="26" t="str">
        <x:v>QA Plan/Matrix, validation checklists y execution records v0.3–v0.6</x:v>
      </x:c>
      <x:c r="U60" s="26" t="str">
        <x:v>OPEN</x:v>
      </x:c>
      <x:c r="V60" s="26" t="str">
        <x:v>UNVERIFIED</x:v>
      </x:c>
      <x:c r="W60" s="26" t="n">
        <x:v>1</x:v>
      </x:c>
      <x:c r="X60" s="26" t="str">
        <x:v>CHG-RISK-R-QUA-004</x:v>
      </x:c>
    </x:row>
    <x:row r="61" ht="30" customHeight="1">
      <x:c r="A61" s="26" t="str">
        <x:v>R-QUA-005</x:v>
      </x:c>
      <x:c r="B61" s="26" t="str">
        <x:v>Quality &amp; Acceptance</x:v>
      </x:c>
      <x:c r="C61" s="26" t="str">
        <x:v>Environment mismatch</x:v>
      </x:c>
      <x:c r="D61" s="26" t="str">
        <x:v>Existe el riesgo de que ocurra lo siguiente: QA usa entorno distinto al candidato.</x:v>
      </x:c>
      <x:c r="E61" s="26" t="str">
        <x:v>H6/Release</x:v>
      </x:c>
      <x:c r="F61" s="26" t="n">
        <x:v>12</x:v>
      </x:c>
      <x:c r="G61" s="26" t="str">
        <x:v>HIGH</x:v>
      </x:c>
      <x:c r="H61" s="26" t="n">
        <x:v>12</x:v>
      </x:c>
      <x:c r="I61" s="26" t="str">
        <x:v>HIGH</x:v>
      </x:c>
      <x:c r="J61" s="26" t="str">
        <x:v>OUTSIDE TOLERANCE</x:v>
      </x:c>
      <x:c r="K61" s="26" t="str">
        <x:v>QA</x:v>
      </x:c>
      <x:c r="L61" s="26" t="str">
        <x:v>Production</x:v>
      </x:c>
      <x:c r="M61" s="26" t="str">
        <x:v>Build/hash no coincide</x:v>
      </x:c>
      <x:c r="N61" s="26" t="str">
        <x:v>Triage, cuarentena del build y apertura de defecto.</x:v>
      </x:c>
      <x:c r="O61" s="26" t="str">
        <x:v>Corregir, ejecutar regresión proporcional y reemitir evidencia.</x:v>
      </x:c>
      <x:c r="P61" s="26" t="str">
        <x:v>BIA-06</x:v>
      </x:c>
      <x:c r="Q61" s="26" t="str">
        <x:v>PB-06</x:v>
      </x:c>
      <x:c r="R61" s="26" t="str">
        <x:v>TA-QUA-005</x:v>
      </x:c>
      <x:c r="S61" s="26" t="str">
        <x:v>02, 07, 08, 11, 16, 29, 30, 31</x:v>
      </x:c>
      <x:c r="T61" s="26" t="str">
        <x:v>QA Plan/Matrix, validation checklists y execution records v0.3–v0.6</x:v>
      </x:c>
      <x:c r="U61" s="26" t="str">
        <x:v>OPEN</x:v>
      </x:c>
      <x:c r="V61" s="26" t="str">
        <x:v>UNVERIFIED</x:v>
      </x:c>
      <x:c r="W61" s="26" t="n">
        <x:v>1</x:v>
      </x:c>
      <x:c r="X61" s="26" t="str">
        <x:v>CHG-RISK-R-QUA-005</x:v>
      </x:c>
    </x:row>
    <x:row r="62" ht="30" customHeight="1">
      <x:c r="A62" s="26" t="str">
        <x:v>R-QUA-006</x:v>
      </x:c>
      <x:c r="B62" s="26" t="str">
        <x:v>Quality &amp; Acceptance</x:v>
      </x:c>
      <x:c r="C62" s="26" t="str">
        <x:v>Exploratory deficit</x:v>
      </x:c>
      <x:c r="D62" s="26" t="str">
        <x:v>Existe el riesgo de que ocurra lo siguiente: Solo tests previstos y no exploratorios.</x:v>
      </x:c>
      <x:c r="E62" s="26" t="str">
        <x:v>Development</x:v>
      </x:c>
      <x:c r="F62" s="26" t="n">
        <x:v>9</x:v>
      </x:c>
      <x:c r="G62" s="26" t="str">
        <x:v>MEDIUM</x:v>
      </x:c>
      <x:c r="H62" s="26" t="n">
        <x:v>9</x:v>
      </x:c>
      <x:c r="I62" s="26" t="str">
        <x:v>MEDIUM</x:v>
      </x:c>
      <x:c r="J62" s="26" t="str">
        <x:v>OUTSIDE TOLERANCE</x:v>
      </x:c>
      <x:c r="K62" s="26" t="str">
        <x:v>QA</x:v>
      </x:c>
      <x:c r="L62" s="26" t="str">
        <x:v>Production</x:v>
      </x:c>
      <x:c r="M62" s="26" t="str">
        <x:v>Cero sesiones exploratorias</x:v>
      </x:c>
      <x:c r="N62" s="26" t="str">
        <x:v>Triage, cuarentena del build y apertura de defecto.</x:v>
      </x:c>
      <x:c r="O62" s="26" t="str">
        <x:v>Corregir, ejecutar regresión proporcional y reemitir evidencia.</x:v>
      </x:c>
      <x:c r="P62" s="26" t="str">
        <x:v>BIA-06</x:v>
      </x:c>
      <x:c r="Q62" s="26" t="str">
        <x:v>PB-06</x:v>
      </x:c>
      <x:c r="R62" s="26" t="str">
        <x:v>TA-QUA-006</x:v>
      </x:c>
      <x:c r="S62" s="26" t="str">
        <x:v>02, 07, 08, 11, 16, 29, 30, 31</x:v>
      </x:c>
      <x:c r="T62" s="26" t="str">
        <x:v>QA Plan/Matrix, validation checklists y execution records v0.3–v0.6</x:v>
      </x:c>
      <x:c r="U62" s="26" t="str">
        <x:v>OPEN</x:v>
      </x:c>
      <x:c r="V62" s="26" t="str">
        <x:v>UNVERIFIED</x:v>
      </x:c>
      <x:c r="W62" s="26" t="n">
        <x:v>1</x:v>
      </x:c>
      <x:c r="X62" s="26" t="str">
        <x:v>CHG-RISK-R-QUA-006</x:v>
      </x:c>
    </x:row>
    <x:row r="63" ht="30" customHeight="1">
      <x:c r="A63" s="26" t="str">
        <x:v>R-QUA-007</x:v>
      </x:c>
      <x:c r="B63" s="26" t="str">
        <x:v>Quality &amp; Acceptance</x:v>
      </x:c>
      <x:c r="C63" s="26" t="str">
        <x:v>Intermittent defect</x:v>
      </x:c>
      <x:c r="D63" s="26" t="str">
        <x:v>Existe el riesgo de que ocurra lo siguiente: Fallo no reproducible se cierra prematuramente.</x:v>
      </x:c>
      <x:c r="E63" s="26" t="str">
        <x:v>All</x:v>
      </x:c>
      <x:c r="F63" s="26" t="n">
        <x:v>12</x:v>
      </x:c>
      <x:c r="G63" s="26" t="str">
        <x:v>HIGH</x:v>
      </x:c>
      <x:c r="H63" s="26" t="n">
        <x:v>12</x:v>
      </x:c>
      <x:c r="I63" s="26" t="str">
        <x:v>HIGH</x:v>
      </x:c>
      <x:c r="J63" s="26" t="str">
        <x:v>OUTSIDE TOLERANCE</x:v>
      </x:c>
      <x:c r="K63" s="26" t="str">
        <x:v>QA</x:v>
      </x:c>
      <x:c r="L63" s="26" t="str">
        <x:v>Production</x:v>
      </x:c>
      <x:c r="M63" s="26" t="str">
        <x:v>No repetición/telemetría diagnóstica</x:v>
      </x:c>
      <x:c r="N63" s="26" t="str">
        <x:v>Triage, cuarentena del build y apertura de defecto.</x:v>
      </x:c>
      <x:c r="O63" s="26" t="str">
        <x:v>Corregir, ejecutar regresión proporcional y reemitir evidencia.</x:v>
      </x:c>
      <x:c r="P63" s="26" t="str">
        <x:v>BIA-06</x:v>
      </x:c>
      <x:c r="Q63" s="26" t="str">
        <x:v>PB-06</x:v>
      </x:c>
      <x:c r="R63" s="26" t="str">
        <x:v>TA-QUA-007</x:v>
      </x:c>
      <x:c r="S63" s="26" t="str">
        <x:v>02, 07, 08, 11, 16, 29, 30, 31</x:v>
      </x:c>
      <x:c r="T63" s="26" t="str">
        <x:v>QA Plan/Matrix, validation checklists y execution records v0.3–v0.6</x:v>
      </x:c>
      <x:c r="U63" s="26" t="str">
        <x:v>OPEN</x:v>
      </x:c>
      <x:c r="V63" s="26" t="str">
        <x:v>UNVERIFIED</x:v>
      </x:c>
      <x:c r="W63" s="26" t="n">
        <x:v>1</x:v>
      </x:c>
      <x:c r="X63" s="26" t="str">
        <x:v>CHG-RISK-R-QUA-007</x:v>
      </x:c>
    </x:row>
    <x:row r="64" ht="30" customHeight="1">
      <x:c r="A64" s="26" t="str">
        <x:v>R-QUA-008</x:v>
      </x:c>
      <x:c r="B64" s="26" t="str">
        <x:v>Quality &amp; Acceptance</x:v>
      </x:c>
      <x:c r="C64" s="26" t="str">
        <x:v>Visual acceptance</x:v>
      </x:c>
      <x:c r="D64" s="26" t="str">
        <x:v>Existe el riesgo de que ocurra lo siguiente: Arte representativo no recibe aceptación formal.</x:v>
      </x:c>
      <x:c r="E64" s="26" t="str">
        <x:v>H6</x:v>
      </x:c>
      <x:c r="F64" s="26" t="n">
        <x:v>16</x:v>
      </x:c>
      <x:c r="G64" s="26" t="str">
        <x:v>HIGH</x:v>
      </x:c>
      <x:c r="H64" s="26" t="n">
        <x:v>16</x:v>
      </x:c>
      <x:c r="I64" s="26" t="str">
        <x:v>HIGH</x:v>
      </x:c>
      <x:c r="J64" s="26" t="str">
        <x:v>OUTSIDE TOLERANCE</x:v>
      </x:c>
      <x:c r="K64" s="26" t="str">
        <x:v>QA</x:v>
      </x:c>
      <x:c r="L64" s="26" t="str">
        <x:v>Production</x:v>
      </x:c>
      <x:c r="M64" s="26" t="str">
        <x:v>Aprobación visual pendiente</x:v>
      </x:c>
      <x:c r="N64" s="26" t="str">
        <x:v>Triage, cuarentena del build y apertura de defecto.</x:v>
      </x:c>
      <x:c r="O64" s="26" t="str">
        <x:v>Corregir, ejecutar regresión proporcional y reemitir evidencia.</x:v>
      </x:c>
      <x:c r="P64" s="26" t="str">
        <x:v>BIA-06</x:v>
      </x:c>
      <x:c r="Q64" s="26" t="str">
        <x:v>PB-06</x:v>
      </x:c>
      <x:c r="R64" s="26" t="str">
        <x:v>TA-QUA-008</x:v>
      </x:c>
      <x:c r="S64" s="26" t="str">
        <x:v>02, 07, 08, 11, 16, 29, 30, 31</x:v>
      </x:c>
      <x:c r="T64" s="26" t="str">
        <x:v>QA Plan/Matrix, validation checklists y execution records v0.3–v0.6</x:v>
      </x:c>
      <x:c r="U64" s="26" t="str">
        <x:v>OPEN</x:v>
      </x:c>
      <x:c r="V64" s="26" t="str">
        <x:v>UNVERIFIED</x:v>
      </x:c>
      <x:c r="W64" s="26" t="n">
        <x:v>1</x:v>
      </x:c>
      <x:c r="X64" s="26" t="str">
        <x:v>CHG-RISK-R-QUA-008</x:v>
      </x:c>
    </x:row>
    <x:row r="65" ht="30" customHeight="1">
      <x:c r="A65" s="26" t="str">
        <x:v>R-QUA-009</x:v>
      </x:c>
      <x:c r="B65" s="26" t="str">
        <x:v>Quality &amp; Acceptance</x:v>
      </x:c>
      <x:c r="C65" s="26" t="str">
        <x:v>Hardware coverage</x:v>
      </x:c>
      <x:c r="D65" s="26" t="str">
        <x:v>Existe el riesgo de que ocurra lo siguiente: No se prueba hardware objetivo.</x:v>
      </x:c>
      <x:c r="E65" s="26" t="str">
        <x:v>H6/Release</x:v>
      </x:c>
      <x:c r="F65" s="26" t="n">
        <x:v>16</x:v>
      </x:c>
      <x:c r="G65" s="26" t="str">
        <x:v>HIGH</x:v>
      </x:c>
      <x:c r="H65" s="26" t="n">
        <x:v>16</x:v>
      </x:c>
      <x:c r="I65" s="26" t="str">
        <x:v>HIGH</x:v>
      </x:c>
      <x:c r="J65" s="26" t="str">
        <x:v>OUTSIDE TOLERANCE</x:v>
      </x:c>
      <x:c r="K65" s="26" t="str">
        <x:v>QA</x:v>
      </x:c>
      <x:c r="L65" s="26" t="str">
        <x:v>Production</x:v>
      </x:c>
      <x:c r="M65" s="26" t="str">
        <x:v>Solo estación de desarrollo</x:v>
      </x:c>
      <x:c r="N65" s="26" t="str">
        <x:v>Triage, cuarentena del build y apertura de defecto.</x:v>
      </x:c>
      <x:c r="O65" s="26" t="str">
        <x:v>Corregir, ejecutar regresión proporcional y reemitir evidencia.</x:v>
      </x:c>
      <x:c r="P65" s="26" t="str">
        <x:v>BIA-06</x:v>
      </x:c>
      <x:c r="Q65" s="26" t="str">
        <x:v>PB-06</x:v>
      </x:c>
      <x:c r="R65" s="26" t="str">
        <x:v>TA-QUA-009</x:v>
      </x:c>
      <x:c r="S65" s="26" t="str">
        <x:v>02, 07, 08, 11, 16, 29, 30, 31</x:v>
      </x:c>
      <x:c r="T65" s="26" t="str">
        <x:v>QA Plan/Matrix, validation checklists y execution records v0.3–v0.6</x:v>
      </x:c>
      <x:c r="U65" s="26" t="str">
        <x:v>OPEN</x:v>
      </x:c>
      <x:c r="V65" s="26" t="str">
        <x:v>UNVERIFIED</x:v>
      </x:c>
      <x:c r="W65" s="26" t="n">
        <x:v>1</x:v>
      </x:c>
      <x:c r="X65" s="26" t="str">
        <x:v>CHG-RISK-R-QUA-009</x:v>
      </x:c>
    </x:row>
    <x:row r="66" ht="30" customHeight="1">
      <x:c r="A66" s="26" t="str">
        <x:v>R-QUA-010</x:v>
      </x:c>
      <x:c r="B66" s="26" t="str">
        <x:v>Quality &amp; Acceptance</x:v>
      </x:c>
      <x:c r="C66" s="26" t="str">
        <x:v>Exception abuse</x:v>
      </x:c>
      <x:c r="D66" s="26" t="str">
        <x:v>Existe el riesgo de que ocurra lo siguiente: Excepciones sustituyen correcciones sin límite.</x:v>
      </x:c>
      <x:c r="E66" s="26" t="str">
        <x:v>All</x:v>
      </x:c>
      <x:c r="F66" s="26" t="n">
        <x:v>12</x:v>
      </x:c>
      <x:c r="G66" s="26" t="str">
        <x:v>HIGH</x:v>
      </x:c>
      <x:c r="H66" s="26" t="n">
        <x:v>12</x:v>
      </x:c>
      <x:c r="I66" s="26" t="str">
        <x:v>HIGH</x:v>
      </x:c>
      <x:c r="J66" s="26" t="str">
        <x:v>OUTSIDE TOLERANCE</x:v>
      </x:c>
      <x:c r="K66" s="26" t="str">
        <x:v>QA</x:v>
      </x:c>
      <x:c r="L66" s="26" t="str">
        <x:v>Production</x:v>
      </x:c>
      <x:c r="M66" s="26" t="str">
        <x:v>Excepciones abiertas sin expiry</x:v>
      </x:c>
      <x:c r="N66" s="26" t="str">
        <x:v>Triage, cuarentena del build y apertura de defecto.</x:v>
      </x:c>
      <x:c r="O66" s="26" t="str">
        <x:v>Corregir, ejecutar regresión proporcional y reemitir evidencia.</x:v>
      </x:c>
      <x:c r="P66" s="26" t="str">
        <x:v>BIA-06</x:v>
      </x:c>
      <x:c r="Q66" s="26" t="str">
        <x:v>PB-06</x:v>
      </x:c>
      <x:c r="R66" s="26" t="str">
        <x:v>TA-QUA-010</x:v>
      </x:c>
      <x:c r="S66" s="26" t="str">
        <x:v>02, 07, 08, 11, 16, 29, 30, 31</x:v>
      </x:c>
      <x:c r="T66" s="26" t="str">
        <x:v>QA Plan/Matrix, validation checklists y execution records v0.3–v0.6</x:v>
      </x:c>
      <x:c r="U66" s="26" t="str">
        <x:v>OPEN</x:v>
      </x:c>
      <x:c r="V66" s="26" t="str">
        <x:v>UNVERIFIED</x:v>
      </x:c>
      <x:c r="W66" s="26" t="n">
        <x:v>1</x:v>
      </x:c>
      <x:c r="X66" s="26" t="str">
        <x:v>CHG-RISK-R-QUA-010</x:v>
      </x:c>
    </x:row>
    <x:row r="67" ht="30" customHeight="1">
      <x:c r="A67" s="26" t="str">
        <x:v>R-PER-001</x:v>
      </x:c>
      <x:c r="B67" s="26" t="str">
        <x:v>Performance &amp; Stability</x:v>
      </x:c>
      <x:c r="C67" s="26" t="str">
        <x:v>Frame rate</x:v>
      </x:c>
      <x:c r="D67" s="26" t="str">
        <x:v>Existe el riesgo de que ocurra lo siguiente: No se alcanzan 60 FPS a 1080p en hardware objetivo.</x:v>
      </x:c>
      <x:c r="E67" s="26" t="str">
        <x:v>H6/Release</x:v>
      </x:c>
      <x:c r="F67" s="26" t="n">
        <x:v>16</x:v>
      </x:c>
      <x:c r="G67" s="26" t="str">
        <x:v>HIGH</x:v>
      </x:c>
      <x:c r="H67" s="26" t="n">
        <x:v>16</x:v>
      </x:c>
      <x:c r="I67" s="26" t="str">
        <x:v>HIGH</x:v>
      </x:c>
      <x:c r="J67" s="26" t="str">
        <x:v>OUTSIDE TOLERANCE</x:v>
      </x:c>
      <x:c r="K67" s="26" t="str">
        <x:v>Engineering / QA</x:v>
      </x:c>
      <x:c r="L67" s="26" t="str">
        <x:v>Technical Lead</x:v>
      </x:c>
      <x:c r="M67" s="26" t="str">
        <x:v>Percentiles exceden budget</x:v>
      </x:c>
      <x:c r="N67" s="26" t="str">
        <x:v>Capturar profiler/log y reducir carga no esencial.</x:v>
      </x:c>
      <x:c r="O67" s="26" t="str">
        <x:v>Revertir regresión o aplicar preset seguro; volver a benchmark base.</x:v>
      </x:c>
      <x:c r="P67" s="26" t="str">
        <x:v>BIA-07</x:v>
      </x:c>
      <x:c r="Q67" s="26" t="str">
        <x:v>PB-07</x:v>
      </x:c>
      <x:c r="R67" s="26" t="str">
        <x:v>TA-PER-001</x:v>
      </x:c>
      <x:c r="S67" s="26" t="str">
        <x:v>02, 03, 07, 10, 11, 17, 18, 19, 20, 30, 31</x:v>
      </x:c>
      <x:c r="T67" s="26" t="str">
        <x:v>Targets históricos de VSS/TDD y pruebas de build v0.3–v0.6</x:v>
      </x:c>
      <x:c r="U67" s="26" t="str">
        <x:v>OPEN</x:v>
      </x:c>
      <x:c r="V67" s="26" t="str">
        <x:v>UNVERIFIED</x:v>
      </x:c>
      <x:c r="W67" s="26" t="n">
        <x:v>1</x:v>
      </x:c>
      <x:c r="X67" s="26" t="str">
        <x:v>CHG-RISK-R-PER-001</x:v>
      </x:c>
    </x:row>
    <x:row r="68" ht="30" customHeight="1">
      <x:c r="A68" s="26" t="str">
        <x:v>R-PER-002</x:v>
      </x:c>
      <x:c r="B68" s="26" t="str">
        <x:v>Performance &amp; Stability</x:v>
      </x:c>
      <x:c r="C68" s="26" t="str">
        <x:v>Frame pacing</x:v>
      </x:c>
      <x:c r="D68" s="26" t="str">
        <x:v>Existe el riesgo de que ocurra lo siguiente: Stutter perceptible pese a promedio aceptable.</x:v>
      </x:c>
      <x:c r="E68" s="26" t="str">
        <x:v>H6/Release</x:v>
      </x:c>
      <x:c r="F68" s="26" t="n">
        <x:v>16</x:v>
      </x:c>
      <x:c r="G68" s="26" t="str">
        <x:v>HIGH</x:v>
      </x:c>
      <x:c r="H68" s="26" t="n">
        <x:v>16</x:v>
      </x:c>
      <x:c r="I68" s="26" t="str">
        <x:v>HIGH</x:v>
      </x:c>
      <x:c r="J68" s="26" t="str">
        <x:v>OUTSIDE TOLERANCE</x:v>
      </x:c>
      <x:c r="K68" s="26" t="str">
        <x:v>Engineering / QA</x:v>
      </x:c>
      <x:c r="L68" s="26" t="str">
        <x:v>Technical Lead</x:v>
      </x:c>
      <x:c r="M68" s="26" t="str">
        <x:v>1% low/frame spikes</x:v>
      </x:c>
      <x:c r="N68" s="26" t="str">
        <x:v>Capturar profiler/log y reducir carga no esencial.</x:v>
      </x:c>
      <x:c r="O68" s="26" t="str">
        <x:v>Revertir regresión o aplicar preset seguro; volver a benchmark base.</x:v>
      </x:c>
      <x:c r="P68" s="26" t="str">
        <x:v>BIA-07</x:v>
      </x:c>
      <x:c r="Q68" s="26" t="str">
        <x:v>PB-07</x:v>
      </x:c>
      <x:c r="R68" s="26" t="str">
        <x:v>TA-PER-002</x:v>
      </x:c>
      <x:c r="S68" s="26" t="str">
        <x:v>02, 03, 07, 10, 11, 17, 18, 19, 20, 30, 31</x:v>
      </x:c>
      <x:c r="T68" s="26" t="str">
        <x:v>Targets históricos de VSS/TDD y pruebas de build v0.3–v0.6</x:v>
      </x:c>
      <x:c r="U68" s="26" t="str">
        <x:v>OPEN</x:v>
      </x:c>
      <x:c r="V68" s="26" t="str">
        <x:v>UNVERIFIED</x:v>
      </x:c>
      <x:c r="W68" s="26" t="n">
        <x:v>1</x:v>
      </x:c>
      <x:c r="X68" s="26" t="str">
        <x:v>CHG-RISK-R-PER-002</x:v>
      </x:c>
    </x:row>
    <x:row r="69" ht="30" customHeight="1">
      <x:c r="A69" s="26" t="str">
        <x:v>R-PER-003</x:v>
      </x:c>
      <x:c r="B69" s="26" t="str">
        <x:v>Performance &amp; Stability</x:v>
      </x:c>
      <x:c r="C69" s="26" t="str">
        <x:v>Memory growth</x:v>
      </x:c>
      <x:c r="D69" s="26" t="str">
        <x:v>Existe el riesgo de que ocurra lo siguiente: Memoria aumenta durante sesión prolongada.</x:v>
      </x:c>
      <x:c r="E69" s="26" t="str">
        <x:v>Release</x:v>
      </x:c>
      <x:c r="F69" s="26" t="n">
        <x:v>15</x:v>
      </x:c>
      <x:c r="G69" s="26" t="str">
        <x:v>HIGH</x:v>
      </x:c>
      <x:c r="H69" s="26" t="n">
        <x:v>15</x:v>
      </x:c>
      <x:c r="I69" s="26" t="str">
        <x:v>HIGH</x:v>
      </x:c>
      <x:c r="J69" s="26" t="str">
        <x:v>OUTSIDE TOLERANCE</x:v>
      </x:c>
      <x:c r="K69" s="26" t="str">
        <x:v>Engineering / QA</x:v>
      </x:c>
      <x:c r="L69" s="26" t="str">
        <x:v>Technical Lead</x:v>
      </x:c>
      <x:c r="M69" s="26" t="str">
        <x:v>Pendiente ascendente &gt; presupuesto</x:v>
      </x:c>
      <x:c r="N69" s="26" t="str">
        <x:v>Capturar profiler/log y reducir carga no esencial.</x:v>
      </x:c>
      <x:c r="O69" s="26" t="str">
        <x:v>Revertir regresión o aplicar preset seguro; volver a benchmark base.</x:v>
      </x:c>
      <x:c r="P69" s="26" t="str">
        <x:v>BIA-07</x:v>
      </x:c>
      <x:c r="Q69" s="26" t="str">
        <x:v>PB-07</x:v>
      </x:c>
      <x:c r="R69" s="26" t="str">
        <x:v>TA-PER-003</x:v>
      </x:c>
      <x:c r="S69" s="26" t="str">
        <x:v>02, 03, 07, 10, 11, 17, 18, 19, 20, 30, 31</x:v>
      </x:c>
      <x:c r="T69" s="26" t="str">
        <x:v>Targets históricos de VSS/TDD y pruebas de build v0.3–v0.6</x:v>
      </x:c>
      <x:c r="U69" s="26" t="str">
        <x:v>OPEN</x:v>
      </x:c>
      <x:c r="V69" s="26" t="str">
        <x:v>UNVERIFIED</x:v>
      </x:c>
      <x:c r="W69" s="26" t="n">
        <x:v>1</x:v>
      </x:c>
      <x:c r="X69" s="26" t="str">
        <x:v>CHG-RISK-R-PER-003</x:v>
      </x:c>
    </x:row>
    <x:row r="70" ht="30" customHeight="1">
      <x:c r="A70" s="26" t="str">
        <x:v>R-PER-004</x:v>
      </x:c>
      <x:c r="B70" s="26" t="str">
        <x:v>Performance &amp; Stability</x:v>
      </x:c>
      <x:c r="C70" s="26" t="str">
        <x:v>GC allocations</x:v>
      </x:c>
      <x:c r="D70" s="26" t="str">
        <x:v>Existe el riesgo de que ocurra lo siguiente: Allocations frecuentes causan picos.</x:v>
      </x:c>
      <x:c r="E70" s="26" t="str">
        <x:v>Development</x:v>
      </x:c>
      <x:c r="F70" s="26" t="n">
        <x:v>16</x:v>
      </x:c>
      <x:c r="G70" s="26" t="str">
        <x:v>HIGH</x:v>
      </x:c>
      <x:c r="H70" s="26" t="n">
        <x:v>16</x:v>
      </x:c>
      <x:c r="I70" s="26" t="str">
        <x:v>HIGH</x:v>
      </x:c>
      <x:c r="J70" s="26" t="str">
        <x:v>OUTSIDE TOLERANCE</x:v>
      </x:c>
      <x:c r="K70" s="26" t="str">
        <x:v>Engineering / QA</x:v>
      </x:c>
      <x:c r="L70" s="26" t="str">
        <x:v>Technical Lead</x:v>
      </x:c>
      <x:c r="M70" s="26" t="str">
        <x:v>GC.Alloc en estado estable</x:v>
      </x:c>
      <x:c r="N70" s="26" t="str">
        <x:v>Capturar profiler/log y reducir carga no esencial.</x:v>
      </x:c>
      <x:c r="O70" s="26" t="str">
        <x:v>Revertir regresión o aplicar preset seguro; volver a benchmark base.</x:v>
      </x:c>
      <x:c r="P70" s="26" t="str">
        <x:v>BIA-07</x:v>
      </x:c>
      <x:c r="Q70" s="26" t="str">
        <x:v>PB-07</x:v>
      </x:c>
      <x:c r="R70" s="26" t="str">
        <x:v>TA-PER-004</x:v>
      </x:c>
      <x:c r="S70" s="26" t="str">
        <x:v>02, 03, 07, 10, 11, 17, 18, 19, 20, 30, 31</x:v>
      </x:c>
      <x:c r="T70" s="26" t="str">
        <x:v>Targets históricos de VSS/TDD y pruebas de build v0.3–v0.6</x:v>
      </x:c>
      <x:c r="U70" s="26" t="str">
        <x:v>OPEN</x:v>
      </x:c>
      <x:c r="V70" s="26" t="str">
        <x:v>UNVERIFIED</x:v>
      </x:c>
      <x:c r="W70" s="26" t="n">
        <x:v>1</x:v>
      </x:c>
      <x:c r="X70" s="26" t="str">
        <x:v>CHG-RISK-R-PER-004</x:v>
      </x:c>
    </x:row>
    <x:row r="71" ht="30" customHeight="1">
      <x:c r="A71" s="26" t="str">
        <x:v>R-PER-005</x:v>
      </x:c>
      <x:c r="B71" s="26" t="str">
        <x:v>Performance &amp; Stability</x:v>
      </x:c>
      <x:c r="C71" s="26" t="str">
        <x:v>Load time</x:v>
      </x:c>
      <x:c r="D71" s="26" t="str">
        <x:v>Existe el riesgo de que ocurra lo siguiente: Carga del slice supera 5 segundos.</x:v>
      </x:c>
      <x:c r="E71" s="26" t="str">
        <x:v>H6</x:v>
      </x:c>
      <x:c r="F71" s="26" t="n">
        <x:v>12</x:v>
      </x:c>
      <x:c r="G71" s="26" t="str">
        <x:v>HIGH</x:v>
      </x:c>
      <x:c r="H71" s="26" t="n">
        <x:v>12</x:v>
      </x:c>
      <x:c r="I71" s="26" t="str">
        <x:v>HIGH</x:v>
      </x:c>
      <x:c r="J71" s="26" t="str">
        <x:v>OUTSIDE TOLERANCE</x:v>
      </x:c>
      <x:c r="K71" s="26" t="str">
        <x:v>Engineering / QA</x:v>
      </x:c>
      <x:c r="L71" s="26" t="str">
        <x:v>Technical Lead</x:v>
      </x:c>
      <x:c r="M71" s="26" t="str">
        <x:v>Mediana/rango exceden target</x:v>
      </x:c>
      <x:c r="N71" s="26" t="str">
        <x:v>Capturar profiler/log y reducir carga no esencial.</x:v>
      </x:c>
      <x:c r="O71" s="26" t="str">
        <x:v>Revertir regresión o aplicar preset seguro; volver a benchmark base.</x:v>
      </x:c>
      <x:c r="P71" s="26" t="str">
        <x:v>BIA-07</x:v>
      </x:c>
      <x:c r="Q71" s="26" t="str">
        <x:v>PB-07</x:v>
      </x:c>
      <x:c r="R71" s="26" t="str">
        <x:v>TA-PER-005</x:v>
      </x:c>
      <x:c r="S71" s="26" t="str">
        <x:v>02, 03, 07, 10, 11, 17, 18, 19, 20, 30, 31</x:v>
      </x:c>
      <x:c r="T71" s="26" t="str">
        <x:v>Targets históricos de VSS/TDD y pruebas de build v0.3–v0.6</x:v>
      </x:c>
      <x:c r="U71" s="26" t="str">
        <x:v>OPEN</x:v>
      </x:c>
      <x:c r="V71" s="26" t="str">
        <x:v>UNVERIFIED</x:v>
      </x:c>
      <x:c r="W71" s="26" t="n">
        <x:v>1</x:v>
      </x:c>
      <x:c r="X71" s="26" t="str">
        <x:v>CHG-RISK-R-PER-005</x:v>
      </x:c>
    </x:row>
    <x:row r="72" ht="30" customHeight="1">
      <x:c r="A72" s="26" t="str">
        <x:v>R-PER-006</x:v>
      </x:c>
      <x:c r="B72" s="26" t="str">
        <x:v>Performance &amp; Stability</x:v>
      </x:c>
      <x:c r="C72" s="26" t="str">
        <x:v>Save latency</x:v>
      </x:c>
      <x:c r="D72" s="26" t="str">
        <x:v>Existe el riesgo de que ocurra lo siguiente: Guardado/cierre supera 2 segundos.</x:v>
      </x:c>
      <x:c r="E72" s="26" t="str">
        <x:v>H6</x:v>
      </x:c>
      <x:c r="F72" s="26" t="n">
        <x:v>12</x:v>
      </x:c>
      <x:c r="G72" s="26" t="str">
        <x:v>HIGH</x:v>
      </x:c>
      <x:c r="H72" s="26" t="n">
        <x:v>12</x:v>
      </x:c>
      <x:c r="I72" s="26" t="str">
        <x:v>HIGH</x:v>
      </x:c>
      <x:c r="J72" s="26" t="str">
        <x:v>OUTSIDE TOLERANCE</x:v>
      </x:c>
      <x:c r="K72" s="26" t="str">
        <x:v>Engineering / QA</x:v>
      </x:c>
      <x:c r="L72" s="26" t="str">
        <x:v>Technical Lead</x:v>
      </x:c>
      <x:c r="M72" s="26" t="str">
        <x:v>Benchmark excede target</x:v>
      </x:c>
      <x:c r="N72" s="26" t="str">
        <x:v>Capturar profiler/log y reducir carga no esencial.</x:v>
      </x:c>
      <x:c r="O72" s="26" t="str">
        <x:v>Revertir regresión o aplicar preset seguro; volver a benchmark base.</x:v>
      </x:c>
      <x:c r="P72" s="26" t="str">
        <x:v>BIA-07</x:v>
      </x:c>
      <x:c r="Q72" s="26" t="str">
        <x:v>PB-07</x:v>
      </x:c>
      <x:c r="R72" s="26" t="str">
        <x:v>TA-PER-006</x:v>
      </x:c>
      <x:c r="S72" s="26" t="str">
        <x:v>02, 03, 07, 10, 11, 17, 18, 19, 20, 30, 31</x:v>
      </x:c>
      <x:c r="T72" s="26" t="str">
        <x:v>Targets históricos de VSS/TDD y pruebas de build v0.3–v0.6</x:v>
      </x:c>
      <x:c r="U72" s="26" t="str">
        <x:v>OPEN</x:v>
      </x:c>
      <x:c r="V72" s="26" t="str">
        <x:v>UNVERIFIED</x:v>
      </x:c>
      <x:c r="W72" s="26" t="n">
        <x:v>1</x:v>
      </x:c>
      <x:c r="X72" s="26" t="str">
        <x:v>CHG-RISK-R-PER-006</x:v>
      </x:c>
    </x:row>
    <x:row r="73" ht="30" customHeight="1">
      <x:c r="A73" s="26" t="str">
        <x:v>R-PER-007</x:v>
      </x:c>
      <x:c r="B73" s="26" t="str">
        <x:v>Performance &amp; Stability</x:v>
      </x:c>
      <x:c r="C73" s="26" t="str">
        <x:v>GPU cost</x:v>
      </x:c>
      <x:c r="D73" s="26" t="str">
        <x:v>Existe el riesgo de que ocurra lo siguiente: Sombras/SSAO/overdraw exceden budget.</x:v>
      </x:c>
      <x:c r="E73" s="26" t="str">
        <x:v>H6/Release</x:v>
      </x:c>
      <x:c r="F73" s="26" t="n">
        <x:v>12</x:v>
      </x:c>
      <x:c r="G73" s="26" t="str">
        <x:v>HIGH</x:v>
      </x:c>
      <x:c r="H73" s="26" t="n">
        <x:v>12</x:v>
      </x:c>
      <x:c r="I73" s="26" t="str">
        <x:v>HIGH</x:v>
      </x:c>
      <x:c r="J73" s="26" t="str">
        <x:v>OUTSIDE TOLERANCE</x:v>
      </x:c>
      <x:c r="K73" s="26" t="str">
        <x:v>Engineering / QA</x:v>
      </x:c>
      <x:c r="L73" s="26" t="str">
        <x:v>Technical Lead</x:v>
      </x:c>
      <x:c r="M73" s="26" t="str">
        <x:v>GPU-bound en escena representativa</x:v>
      </x:c>
      <x:c r="N73" s="26" t="str">
        <x:v>Capturar profiler/log y reducir carga no esencial.</x:v>
      </x:c>
      <x:c r="O73" s="26" t="str">
        <x:v>Revertir regresión o aplicar preset seguro; volver a benchmark base.</x:v>
      </x:c>
      <x:c r="P73" s="26" t="str">
        <x:v>BIA-07</x:v>
      </x:c>
      <x:c r="Q73" s="26" t="str">
        <x:v>PB-07</x:v>
      </x:c>
      <x:c r="R73" s="26" t="str">
        <x:v>TA-PER-007</x:v>
      </x:c>
      <x:c r="S73" s="26" t="str">
        <x:v>02, 03, 07, 10, 11, 17, 18, 19, 20, 30, 31</x:v>
      </x:c>
      <x:c r="T73" s="26" t="str">
        <x:v>Targets históricos de VSS/TDD y pruebas de build v0.3–v0.6</x:v>
      </x:c>
      <x:c r="U73" s="26" t="str">
        <x:v>OPEN</x:v>
      </x:c>
      <x:c r="V73" s="26" t="str">
        <x:v>UNVERIFIED</x:v>
      </x:c>
      <x:c r="W73" s="26" t="n">
        <x:v>1</x:v>
      </x:c>
      <x:c r="X73" s="26" t="str">
        <x:v>CHG-RISK-R-PER-007</x:v>
      </x:c>
    </x:row>
    <x:row r="74" ht="30" customHeight="1">
      <x:c r="A74" s="26" t="str">
        <x:v>R-PER-008</x:v>
      </x:c>
      <x:c r="B74" s="26" t="str">
        <x:v>Performance &amp; Stability</x:v>
      </x:c>
      <x:c r="C74" s="26" t="str">
        <x:v>Client simulation</x:v>
      </x:c>
      <x:c r="D74" s="26" t="str">
        <x:v>Existe el riesgo de que ocurra lo siguiente: Ocho clientes degradan CPU/NavMesh.</x:v>
      </x:c>
      <x:c r="E74" s="26" t="str">
        <x:v>H6</x:v>
      </x:c>
      <x:c r="F74" s="26" t="n">
        <x:v>12</x:v>
      </x:c>
      <x:c r="G74" s="26" t="str">
        <x:v>HIGH</x:v>
      </x:c>
      <x:c r="H74" s="26" t="n">
        <x:v>12</x:v>
      </x:c>
      <x:c r="I74" s="26" t="str">
        <x:v>HIGH</x:v>
      </x:c>
      <x:c r="J74" s="26" t="str">
        <x:v>OUTSIDE TOLERANCE</x:v>
      </x:c>
      <x:c r="K74" s="26" t="str">
        <x:v>Engineering / QA</x:v>
      </x:c>
      <x:c r="L74" s="26" t="str">
        <x:v>Technical Lead</x:v>
      </x:c>
      <x:c r="M74" s="26" t="str">
        <x:v>Frame time escala no lineal</x:v>
      </x:c>
      <x:c r="N74" s="26" t="str">
        <x:v>Capturar profiler/log y reducir carga no esencial.</x:v>
      </x:c>
      <x:c r="O74" s="26" t="str">
        <x:v>Revertir regresión o aplicar preset seguro; volver a benchmark base.</x:v>
      </x:c>
      <x:c r="P74" s="26" t="str">
        <x:v>BIA-07</x:v>
      </x:c>
      <x:c r="Q74" s="26" t="str">
        <x:v>PB-07</x:v>
      </x:c>
      <x:c r="R74" s="26" t="str">
        <x:v>TA-PER-008</x:v>
      </x:c>
      <x:c r="S74" s="26" t="str">
        <x:v>02, 03, 07, 10, 11, 17, 18, 19, 20, 30, 31</x:v>
      </x:c>
      <x:c r="T74" s="26" t="str">
        <x:v>Targets históricos de VSS/TDD y pruebas de build v0.3–v0.6</x:v>
      </x:c>
      <x:c r="U74" s="26" t="str">
        <x:v>OPEN</x:v>
      </x:c>
      <x:c r="V74" s="26" t="str">
        <x:v>UNVERIFIED</x:v>
      </x:c>
      <x:c r="W74" s="26" t="n">
        <x:v>1</x:v>
      </x:c>
      <x:c r="X74" s="26" t="str">
        <x:v>CHG-RISK-R-PER-008</x:v>
      </x:c>
    </x:row>
    <x:row r="75" ht="30" customHeight="1">
      <x:c r="A75" s="26" t="str">
        <x:v>R-SEC-001</x:v>
      </x:c>
      <x:c r="B75" s="26" t="str">
        <x:v>Security &amp; Secrets</x:v>
      </x:c>
      <x:c r="C75" s="26" t="str">
        <x:v>Credential leak</x:v>
      </x:c>
      <x:c r="D75" s="26" t="str">
        <x:v>Existe el riesgo de que ocurra lo siguiente: Token, contraseña o key aparece en repo/build/log.</x:v>
      </x:c>
      <x:c r="E75" s="26" t="str">
        <x:v>All</x:v>
      </x:c>
      <x:c r="F75" s="26" t="n">
        <x:v>15</x:v>
      </x:c>
      <x:c r="G75" s="26" t="str">
        <x:v>HIGH</x:v>
      </x:c>
      <x:c r="H75" s="26" t="n">
        <x:v>15</x:v>
      </x:c>
      <x:c r="I75" s="26" t="str">
        <x:v>HIGH</x:v>
      </x:c>
      <x:c r="J75" s="26" t="str">
        <x:v>OUTSIDE TOLERANCE</x:v>
      </x:c>
      <x:c r="K75" s="26" t="str">
        <x:v>Security / Engineering</x:v>
      </x:c>
      <x:c r="L75" s="26" t="str">
        <x:v>Project Owner</x:v>
      </x:c>
      <x:c r="M75" s="26" t="str">
        <x:v>Secret scan o reporte positivo</x:v>
      </x:c>
      <x:c r="N75" s="26" t="str">
        <x:v>Revocar/rotar, aislar dispositivo o repositorio y abrir incidente.</x:v>
      </x:c>
      <x:c r="O75" s="26" t="str">
        <x:v>Restaurar acceso con credenciales nuevas y verificar integridad completa.</x:v>
      </x:c>
      <x:c r="P75" s="26" t="str">
        <x:v>BIA-08</x:v>
      </x:c>
      <x:c r="Q75" s="26" t="str">
        <x:v>PB-08</x:v>
      </x:c>
      <x:c r="R75" s="26" t="str">
        <x:v>TA-SEC-001</x:v>
      </x:c>
      <x:c r="S75" s="26" t="str">
        <x:v>11, 23, 24, 25, 26, 27, 31, 32</x:v>
      </x:c>
      <x:c r="T75" s="26" t="str">
        <x:v>Build records, legal registers, package manifests y registros técnicos</x:v>
      </x:c>
      <x:c r="U75" s="26" t="str">
        <x:v>OPEN</x:v>
      </x:c>
      <x:c r="V75" s="26" t="str">
        <x:v>UNVERIFIED</x:v>
      </x:c>
      <x:c r="W75" s="26" t="n">
        <x:v>1</x:v>
      </x:c>
      <x:c r="X75" s="26" t="str">
        <x:v>CHG-RISK-R-SEC-001</x:v>
      </x:c>
    </x:row>
    <x:row r="76" ht="30" customHeight="1">
      <x:c r="A76" s="26" t="str">
        <x:v>R-SEC-002</x:v>
      </x:c>
      <x:c r="B76" s="26" t="str">
        <x:v>Security &amp; Secrets</x:v>
      </x:c>
      <x:c r="C76" s="26" t="str">
        <x:v>Account takeover</x:v>
      </x:c>
      <x:c r="D76" s="26" t="str">
        <x:v>Existe el riesgo de que ocurra lo siguiente: Cuenta Steam/GitHub/email comprometida.</x:v>
      </x:c>
      <x:c r="E76" s="26" t="str">
        <x:v>All</x:v>
      </x:c>
      <x:c r="F76" s="26" t="n">
        <x:v>10</x:v>
      </x:c>
      <x:c r="G76" s="26" t="str">
        <x:v>MEDIUM</x:v>
      </x:c>
      <x:c r="H76" s="26" t="n">
        <x:v>10</x:v>
      </x:c>
      <x:c r="I76" s="26" t="str">
        <x:v>MEDIUM</x:v>
      </x:c>
      <x:c r="J76" s="26" t="str">
        <x:v>OUTSIDE TOLERANCE</x:v>
      </x:c>
      <x:c r="K76" s="26" t="str">
        <x:v>Security / Engineering</x:v>
      </x:c>
      <x:c r="L76" s="26" t="str">
        <x:v>Project Owner</x:v>
      </x:c>
      <x:c r="M76" s="26" t="str">
        <x:v>Login/MFA sospechoso</x:v>
      </x:c>
      <x:c r="N76" s="26" t="str">
        <x:v>Revocar/rotar, aislar dispositivo o repositorio y abrir incidente.</x:v>
      </x:c>
      <x:c r="O76" s="26" t="str">
        <x:v>Restaurar acceso con credenciales nuevas y verificar integridad completa.</x:v>
      </x:c>
      <x:c r="P76" s="26" t="str">
        <x:v>BIA-08</x:v>
      </x:c>
      <x:c r="Q76" s="26" t="str">
        <x:v>PB-08</x:v>
      </x:c>
      <x:c r="R76" s="26" t="str">
        <x:v>TA-SEC-002</x:v>
      </x:c>
      <x:c r="S76" s="26" t="str">
        <x:v>11, 23, 24, 25, 26, 27, 31, 32</x:v>
      </x:c>
      <x:c r="T76" s="26" t="str">
        <x:v>Build records, legal registers, package manifests y registros técnicos</x:v>
      </x:c>
      <x:c r="U76" s="26" t="str">
        <x:v>OPEN</x:v>
      </x:c>
      <x:c r="V76" s="26" t="str">
        <x:v>UNVERIFIED</x:v>
      </x:c>
      <x:c r="W76" s="26" t="n">
        <x:v>1</x:v>
      </x:c>
      <x:c r="X76" s="26" t="str">
        <x:v>CHG-RISK-R-SEC-002</x:v>
      </x:c>
    </x:row>
    <x:row r="77" ht="30" customHeight="1">
      <x:c r="A77" s="26" t="str">
        <x:v>R-SEC-003</x:v>
      </x:c>
      <x:c r="B77" s="26" t="str">
        <x:v>Security &amp; Secrets</x:v>
      </x:c>
      <x:c r="C77" s="26" t="str">
        <x:v>MFA recovery</x:v>
      </x:c>
      <x:c r="D77" s="26" t="str">
        <x:v>Existe el riesgo de que ocurra lo siguiente: Pérdida de segundo factor bloquea cuentas críticas.</x:v>
      </x:c>
      <x:c r="E77" s="26" t="str">
        <x:v>All</x:v>
      </x:c>
      <x:c r="F77" s="26" t="n">
        <x:v>15</x:v>
      </x:c>
      <x:c r="G77" s="26" t="str">
        <x:v>HIGH</x:v>
      </x:c>
      <x:c r="H77" s="26" t="n">
        <x:v>15</x:v>
      </x:c>
      <x:c r="I77" s="26" t="str">
        <x:v>HIGH</x:v>
      </x:c>
      <x:c r="J77" s="26" t="str">
        <x:v>OUTSIDE TOLERANCE</x:v>
      </x:c>
      <x:c r="K77" s="26" t="str">
        <x:v>Security / Engineering</x:v>
      </x:c>
      <x:c r="L77" s="26" t="str">
        <x:v>Project Owner</x:v>
      </x:c>
      <x:c r="M77" s="26" t="str">
        <x:v>Dispositivo MFA perdido</x:v>
      </x:c>
      <x:c r="N77" s="26" t="str">
        <x:v>Revocar/rotar, aislar dispositivo o repositorio y abrir incidente.</x:v>
      </x:c>
      <x:c r="O77" s="26" t="str">
        <x:v>Restaurar acceso con credenciales nuevas y verificar integridad completa.</x:v>
      </x:c>
      <x:c r="P77" s="26" t="str">
        <x:v>BIA-08</x:v>
      </x:c>
      <x:c r="Q77" s="26" t="str">
        <x:v>PB-08</x:v>
      </x:c>
      <x:c r="R77" s="26" t="str">
        <x:v>TA-SEC-003</x:v>
      </x:c>
      <x:c r="S77" s="26" t="str">
        <x:v>11, 23, 24, 25, 26, 27, 31, 32</x:v>
      </x:c>
      <x:c r="T77" s="26" t="str">
        <x:v>Build records, legal registers, package manifests y registros técnicos</x:v>
      </x:c>
      <x:c r="U77" s="26" t="str">
        <x:v>OPEN</x:v>
      </x:c>
      <x:c r="V77" s="26" t="str">
        <x:v>UNVERIFIED</x:v>
      </x:c>
      <x:c r="W77" s="26" t="n">
        <x:v>1</x:v>
      </x:c>
      <x:c r="X77" s="26" t="str">
        <x:v>CHG-RISK-R-SEC-003</x:v>
      </x:c>
    </x:row>
    <x:row r="78" ht="30" customHeight="1">
      <x:c r="A78" s="26" t="str">
        <x:v>R-SEC-004</x:v>
      </x:c>
      <x:c r="B78" s="26" t="str">
        <x:v>Security &amp; Secrets</x:v>
      </x:c>
      <x:c r="C78" s="26" t="str">
        <x:v>Malware</x:v>
      </x:c>
      <x:c r="D78" s="26" t="str">
        <x:v>Existe el riesgo de que ocurra lo siguiente: Estación de desarrollo comprometida.</x:v>
      </x:c>
      <x:c r="E78" s="26" t="str">
        <x:v>All</x:v>
      </x:c>
      <x:c r="F78" s="26" t="n">
        <x:v>10</x:v>
      </x:c>
      <x:c r="G78" s="26" t="str">
        <x:v>MEDIUM</x:v>
      </x:c>
      <x:c r="H78" s="26" t="n">
        <x:v>10</x:v>
      </x:c>
      <x:c r="I78" s="26" t="str">
        <x:v>MEDIUM</x:v>
      </x:c>
      <x:c r="J78" s="26" t="str">
        <x:v>OUTSIDE TOLERANCE</x:v>
      </x:c>
      <x:c r="K78" s="26" t="str">
        <x:v>Security / Engineering</x:v>
      </x:c>
      <x:c r="L78" s="26" t="str">
        <x:v>Project Owner</x:v>
      </x:c>
      <x:c r="M78" s="26" t="str">
        <x:v>EDR/antivirus o comportamiento anómalo</x:v>
      </x:c>
      <x:c r="N78" s="26" t="str">
        <x:v>Revocar/rotar, aislar dispositivo o repositorio y abrir incidente.</x:v>
      </x:c>
      <x:c r="O78" s="26" t="str">
        <x:v>Restaurar acceso con credenciales nuevas y verificar integridad completa.</x:v>
      </x:c>
      <x:c r="P78" s="26" t="str">
        <x:v>BIA-08</x:v>
      </x:c>
      <x:c r="Q78" s="26" t="str">
        <x:v>PB-08</x:v>
      </x:c>
      <x:c r="R78" s="26" t="str">
        <x:v>TA-SEC-004</x:v>
      </x:c>
      <x:c r="S78" s="26" t="str">
        <x:v>11, 23, 24, 25, 26, 27, 31, 32</x:v>
      </x:c>
      <x:c r="T78" s="26" t="str">
        <x:v>Build records, legal registers, package manifests y registros técnicos</x:v>
      </x:c>
      <x:c r="U78" s="26" t="str">
        <x:v>OPEN</x:v>
      </x:c>
      <x:c r="V78" s="26" t="str">
        <x:v>UNVERIFIED</x:v>
      </x:c>
      <x:c r="W78" s="26" t="n">
        <x:v>1</x:v>
      </x:c>
      <x:c r="X78" s="26" t="str">
        <x:v>CHG-RISK-R-SEC-004</x:v>
      </x:c>
    </x:row>
    <x:row r="79" ht="30" customHeight="1">
      <x:c r="A79" s="26" t="str">
        <x:v>R-SEC-005</x:v>
      </x:c>
      <x:c r="B79" s="26" t="str">
        <x:v>Security &amp; Secrets</x:v>
      </x:c>
      <x:c r="C79" s="26" t="str">
        <x:v>Dependency vulnerability</x:v>
      </x:c>
      <x:c r="D79" s="26" t="str">
        <x:v>Existe el riesgo de que ocurra lo siguiente: Paquete contiene vulnerabilidad explotable.</x:v>
      </x:c>
      <x:c r="E79" s="26" t="str">
        <x:v>All</x:v>
      </x:c>
      <x:c r="F79" s="26" t="n">
        <x:v>12</x:v>
      </x:c>
      <x:c r="G79" s="26" t="str">
        <x:v>HIGH</x:v>
      </x:c>
      <x:c r="H79" s="26" t="n">
        <x:v>12</x:v>
      </x:c>
      <x:c r="I79" s="26" t="str">
        <x:v>HIGH</x:v>
      </x:c>
      <x:c r="J79" s="26" t="str">
        <x:v>OUTSIDE TOLERANCE</x:v>
      </x:c>
      <x:c r="K79" s="26" t="str">
        <x:v>Security / Engineering</x:v>
      </x:c>
      <x:c r="L79" s="26" t="str">
        <x:v>Project Owner</x:v>
      </x:c>
      <x:c r="M79" s="26" t="str">
        <x:v>Advisory aplicable</x:v>
      </x:c>
      <x:c r="N79" s="26" t="str">
        <x:v>Revocar/rotar, aislar dispositivo o repositorio y abrir incidente.</x:v>
      </x:c>
      <x:c r="O79" s="26" t="str">
        <x:v>Restaurar acceso con credenciales nuevas y verificar integridad completa.</x:v>
      </x:c>
      <x:c r="P79" s="26" t="str">
        <x:v>BIA-08</x:v>
      </x:c>
      <x:c r="Q79" s="26" t="str">
        <x:v>PB-08</x:v>
      </x:c>
      <x:c r="R79" s="26" t="str">
        <x:v>TA-SEC-005</x:v>
      </x:c>
      <x:c r="S79" s="26" t="str">
        <x:v>11, 23, 24, 25, 26, 27, 31, 32</x:v>
      </x:c>
      <x:c r="T79" s="26" t="str">
        <x:v>Build records, legal registers, package manifests y registros técnicos</x:v>
      </x:c>
      <x:c r="U79" s="26" t="str">
        <x:v>OPEN</x:v>
      </x:c>
      <x:c r="V79" s="26" t="str">
        <x:v>UNVERIFIED</x:v>
      </x:c>
      <x:c r="W79" s="26" t="n">
        <x:v>1</x:v>
      </x:c>
      <x:c r="X79" s="26" t="str">
        <x:v>CHG-RISK-R-SEC-005</x:v>
      </x:c>
    </x:row>
    <x:row r="80" ht="30" customHeight="1">
      <x:c r="A80" s="26" t="str">
        <x:v>R-SEC-006</x:v>
      </x:c>
      <x:c r="B80" s="26" t="str">
        <x:v>Security &amp; Secrets</x:v>
      </x:c>
      <x:c r="C80" s="26" t="str">
        <x:v>Supply chain</x:v>
      </x:c>
      <x:c r="D80" s="26" t="str">
        <x:v>Existe el riesgo de que ocurra lo siguiente: Build o artefacto es modificado fuera del proceso.</x:v>
      </x:c>
      <x:c r="E80" s="26" t="str">
        <x:v>Release</x:v>
      </x:c>
      <x:c r="F80" s="26" t="n">
        <x:v>10</x:v>
      </x:c>
      <x:c r="G80" s="26" t="str">
        <x:v>MEDIUM</x:v>
      </x:c>
      <x:c r="H80" s="26" t="n">
        <x:v>10</x:v>
      </x:c>
      <x:c r="I80" s="26" t="str">
        <x:v>MEDIUM</x:v>
      </x:c>
      <x:c r="J80" s="26" t="str">
        <x:v>OUTSIDE TOLERANCE</x:v>
      </x:c>
      <x:c r="K80" s="26" t="str">
        <x:v>Security / Engineering</x:v>
      </x:c>
      <x:c r="L80" s="26" t="str">
        <x:v>Project Owner</x:v>
      </x:c>
      <x:c r="M80" s="26" t="str">
        <x:v>Hash/firma no coincide</x:v>
      </x:c>
      <x:c r="N80" s="26" t="str">
        <x:v>Revocar/rotar, aislar dispositivo o repositorio y abrir incidente.</x:v>
      </x:c>
      <x:c r="O80" s="26" t="str">
        <x:v>Restaurar acceso con credenciales nuevas y verificar integridad completa.</x:v>
      </x:c>
      <x:c r="P80" s="26" t="str">
        <x:v>BIA-08</x:v>
      </x:c>
      <x:c r="Q80" s="26" t="str">
        <x:v>PB-08</x:v>
      </x:c>
      <x:c r="R80" s="26" t="str">
        <x:v>TA-SEC-006</x:v>
      </x:c>
      <x:c r="S80" s="26" t="str">
        <x:v>11, 23, 24, 25, 26, 27, 31, 32</x:v>
      </x:c>
      <x:c r="T80" s="26" t="str">
        <x:v>Build records, legal registers, package manifests y registros técnicos</x:v>
      </x:c>
      <x:c r="U80" s="26" t="str">
        <x:v>OPEN</x:v>
      </x:c>
      <x:c r="V80" s="26" t="str">
        <x:v>UNVERIFIED</x:v>
      </x:c>
      <x:c r="W80" s="26" t="n">
        <x:v>1</x:v>
      </x:c>
      <x:c r="X80" s="26" t="str">
        <x:v>CHG-RISK-R-SEC-006</x:v>
      </x:c>
    </x:row>
    <x:row r="81" ht="30" customHeight="1">
      <x:c r="A81" s="26" t="str">
        <x:v>R-SEC-007</x:v>
      </x:c>
      <x:c r="B81" s="26" t="str">
        <x:v>Security &amp; Secrets</x:v>
      </x:c>
      <x:c r="C81" s="26" t="str">
        <x:v>Unauthorized access</x:v>
      </x:c>
      <x:c r="D81" s="26" t="str">
        <x:v>Existe el riesgo de que ocurra lo siguiente: Colaborador conserva acceso tras finalizar.</x:v>
      </x:c>
      <x:c r="E81" s="26" t="str">
        <x:v>All</x:v>
      </x:c>
      <x:c r="F81" s="26" t="n">
        <x:v>8</x:v>
      </x:c>
      <x:c r="G81" s="26" t="str">
        <x:v>MEDIUM</x:v>
      </x:c>
      <x:c r="H81" s="26" t="n">
        <x:v>8</x:v>
      </x:c>
      <x:c r="I81" s="26" t="str">
        <x:v>MEDIUM</x:v>
      </x:c>
      <x:c r="J81" s="26" t="str">
        <x:v>OUTSIDE TOLERANCE</x:v>
      </x:c>
      <x:c r="K81" s="26" t="str">
        <x:v>Security / Engineering</x:v>
      </x:c>
      <x:c r="L81" s="26" t="str">
        <x:v>Project Owner</x:v>
      </x:c>
      <x:c r="M81" s="26" t="str">
        <x:v>Offboarding incompleto</x:v>
      </x:c>
      <x:c r="N81" s="26" t="str">
        <x:v>Revocar/rotar, aislar dispositivo o repositorio y abrir incidente.</x:v>
      </x:c>
      <x:c r="O81" s="26" t="str">
        <x:v>Restaurar acceso con credenciales nuevas y verificar integridad completa.</x:v>
      </x:c>
      <x:c r="P81" s="26" t="str">
        <x:v>BIA-08</x:v>
      </x:c>
      <x:c r="Q81" s="26" t="str">
        <x:v>PB-08</x:v>
      </x:c>
      <x:c r="R81" s="26" t="str">
        <x:v>TA-SEC-007</x:v>
      </x:c>
      <x:c r="S81" s="26" t="str">
        <x:v>11, 23, 24, 25, 26, 27, 31, 32</x:v>
      </x:c>
      <x:c r="T81" s="26" t="str">
        <x:v>Build records, legal registers, package manifests y registros técnicos</x:v>
      </x:c>
      <x:c r="U81" s="26" t="str">
        <x:v>OPEN</x:v>
      </x:c>
      <x:c r="V81" s="26" t="str">
        <x:v>UNVERIFIED</x:v>
      </x:c>
      <x:c r="W81" s="26" t="n">
        <x:v>1</x:v>
      </x:c>
      <x:c r="X81" s="26" t="str">
        <x:v>CHG-RISK-R-SEC-007</x:v>
      </x:c>
    </x:row>
    <x:row r="82" ht="30" customHeight="1">
      <x:c r="A82" s="26" t="str">
        <x:v>R-SEC-008</x:v>
      </x:c>
      <x:c r="B82" s="26" t="str">
        <x:v>Security &amp; Secrets</x:v>
      </x:c>
      <x:c r="C82" s="26" t="str">
        <x:v>SteamPipe exposure</x:v>
      </x:c>
      <x:c r="D82" s="26" t="str">
        <x:v>Existe el riesgo de que ocurra lo siguiente: VDF/scripts incluyen credenciales o rutas sensibles.</x:v>
      </x:c>
      <x:c r="E82" s="26" t="str">
        <x:v>Release</x:v>
      </x:c>
      <x:c r="F82" s="26" t="n">
        <x:v>10</x:v>
      </x:c>
      <x:c r="G82" s="26" t="str">
        <x:v>MEDIUM</x:v>
      </x:c>
      <x:c r="H82" s="26" t="n">
        <x:v>10</x:v>
      </x:c>
      <x:c r="I82" s="26" t="str">
        <x:v>MEDIUM</x:v>
      </x:c>
      <x:c r="J82" s="26" t="str">
        <x:v>OUTSIDE TOLERANCE</x:v>
      </x:c>
      <x:c r="K82" s="26" t="str">
        <x:v>Security / Engineering</x:v>
      </x:c>
      <x:c r="L82" s="26" t="str">
        <x:v>Project Owner</x:v>
      </x:c>
      <x:c r="M82" s="26" t="str">
        <x:v>Archivo sensible en paquete/log</x:v>
      </x:c>
      <x:c r="N82" s="26" t="str">
        <x:v>Revocar/rotar, aislar dispositivo o repositorio y abrir incidente.</x:v>
      </x:c>
      <x:c r="O82" s="26" t="str">
        <x:v>Restaurar acceso con credenciales nuevas y verificar integridad completa.</x:v>
      </x:c>
      <x:c r="P82" s="26" t="str">
        <x:v>BIA-08</x:v>
      </x:c>
      <x:c r="Q82" s="26" t="str">
        <x:v>PB-08</x:v>
      </x:c>
      <x:c r="R82" s="26" t="str">
        <x:v>TA-SEC-008</x:v>
      </x:c>
      <x:c r="S82" s="26" t="str">
        <x:v>11, 23, 24, 25, 26, 27, 31, 32</x:v>
      </x:c>
      <x:c r="T82" s="26" t="str">
        <x:v>Build records, legal registers, package manifests y registros técnicos</x:v>
      </x:c>
      <x:c r="U82" s="26" t="str">
        <x:v>OPEN</x:v>
      </x:c>
      <x:c r="V82" s="26" t="str">
        <x:v>UNVERIFIED</x:v>
      </x:c>
      <x:c r="W82" s="26" t="n">
        <x:v>1</x:v>
      </x:c>
      <x:c r="X82" s="26" t="str">
        <x:v>CHG-RISK-R-SEC-008</x:v>
      </x:c>
    </x:row>
    <x:row r="83" ht="30" customHeight="1">
      <x:c r="A83" s="26" t="str">
        <x:v>R-SEC-009</x:v>
      </x:c>
      <x:c r="B83" s="26" t="str">
        <x:v>Security &amp; Secrets</x:v>
      </x:c>
      <x:c r="C83" s="26" t="str">
        <x:v>Public repository</x:v>
      </x:c>
      <x:c r="D83" s="26" t="str">
        <x:v>Existe el riesgo de que ocurra lo siguiente: Repo privado se publica o fork expone assets.</x:v>
      </x:c>
      <x:c r="E83" s="26" t="str">
        <x:v>All</x:v>
      </x:c>
      <x:c r="F83" s="26" t="n">
        <x:v>10</x:v>
      </x:c>
      <x:c r="G83" s="26" t="str">
        <x:v>MEDIUM</x:v>
      </x:c>
      <x:c r="H83" s="26" t="n">
        <x:v>10</x:v>
      </x:c>
      <x:c r="I83" s="26" t="str">
        <x:v>MEDIUM</x:v>
      </x:c>
      <x:c r="J83" s="26" t="str">
        <x:v>OUTSIDE TOLERANCE</x:v>
      </x:c>
      <x:c r="K83" s="26" t="str">
        <x:v>Security / Engineering</x:v>
      </x:c>
      <x:c r="L83" s="26" t="str">
        <x:v>Project Owner</x:v>
      </x:c>
      <x:c r="M83" s="26" t="str">
        <x:v>Visibility cambia</x:v>
      </x:c>
      <x:c r="N83" s="26" t="str">
        <x:v>Revocar/rotar, aislar dispositivo o repositorio y abrir incidente.</x:v>
      </x:c>
      <x:c r="O83" s="26" t="str">
        <x:v>Restaurar acceso con credenciales nuevas y verificar integridad completa.</x:v>
      </x:c>
      <x:c r="P83" s="26" t="str">
        <x:v>BIA-08</x:v>
      </x:c>
      <x:c r="Q83" s="26" t="str">
        <x:v>PB-08</x:v>
      </x:c>
      <x:c r="R83" s="26" t="str">
        <x:v>TA-SEC-009</x:v>
      </x:c>
      <x:c r="S83" s="26" t="str">
        <x:v>11, 23, 24, 25, 26, 27, 31, 32</x:v>
      </x:c>
      <x:c r="T83" s="26" t="str">
        <x:v>Build records, legal registers, package manifests y registros técnicos</x:v>
      </x:c>
      <x:c r="U83" s="26" t="str">
        <x:v>OPEN</x:v>
      </x:c>
      <x:c r="V83" s="26" t="str">
        <x:v>UNVERIFIED</x:v>
      </x:c>
      <x:c r="W83" s="26" t="n">
        <x:v>1</x:v>
      </x:c>
      <x:c r="X83" s="26" t="str">
        <x:v>CHG-RISK-R-SEC-009</x:v>
      </x:c>
    </x:row>
    <x:row r="84" ht="30" customHeight="1">
      <x:c r="A84" s="26" t="str">
        <x:v>R-SEC-010</x:v>
      </x:c>
      <x:c r="B84" s="26" t="str">
        <x:v>Security &amp; Secrets</x:v>
      </x:c>
      <x:c r="C84" s="26" t="str">
        <x:v>Log leakage</x:v>
      </x:c>
      <x:c r="D84" s="26" t="str">
        <x:v>Existe el riesgo de que ocurra lo siguiente: Logs contienen datos, rutas o secretos.</x:v>
      </x:c>
      <x:c r="E84" s="26" t="str">
        <x:v>All</x:v>
      </x:c>
      <x:c r="F84" s="26" t="n">
        <x:v>12</x:v>
      </x:c>
      <x:c r="G84" s="26" t="str">
        <x:v>HIGH</x:v>
      </x:c>
      <x:c r="H84" s="26" t="n">
        <x:v>12</x:v>
      </x:c>
      <x:c r="I84" s="26" t="str">
        <x:v>HIGH</x:v>
      </x:c>
      <x:c r="J84" s="26" t="str">
        <x:v>OUTSIDE TOLERANCE</x:v>
      </x:c>
      <x:c r="K84" s="26" t="str">
        <x:v>Security / Engineering</x:v>
      </x:c>
      <x:c r="L84" s="26" t="str">
        <x:v>Project Owner</x:v>
      </x:c>
      <x:c r="M84" s="26" t="str">
        <x:v>Review detecta contenido sensible</x:v>
      </x:c>
      <x:c r="N84" s="26" t="str">
        <x:v>Revocar/rotar, aislar dispositivo o repositorio y abrir incidente.</x:v>
      </x:c>
      <x:c r="O84" s="26" t="str">
        <x:v>Restaurar acceso con credenciales nuevas y verificar integridad completa.</x:v>
      </x:c>
      <x:c r="P84" s="26" t="str">
        <x:v>BIA-08</x:v>
      </x:c>
      <x:c r="Q84" s="26" t="str">
        <x:v>PB-08</x:v>
      </x:c>
      <x:c r="R84" s="26" t="str">
        <x:v>TA-SEC-010</x:v>
      </x:c>
      <x:c r="S84" s="26" t="str">
        <x:v>11, 23, 24, 25, 26, 27, 31, 32</x:v>
      </x:c>
      <x:c r="T84" s="26" t="str">
        <x:v>Build records, legal registers, package manifests y registros técnicos</x:v>
      </x:c>
      <x:c r="U84" s="26" t="str">
        <x:v>OPEN</x:v>
      </x:c>
      <x:c r="V84" s="26" t="str">
        <x:v>UNVERIFIED</x:v>
      </x:c>
      <x:c r="W84" s="26" t="n">
        <x:v>1</x:v>
      </x:c>
      <x:c r="X84" s="26" t="str">
        <x:v>CHG-RISK-R-SEC-010</x:v>
      </x:c>
    </x:row>
    <x:row r="85" ht="30" customHeight="1">
      <x:c r="A85" s="26" t="str">
        <x:v>R-SEC-011</x:v>
      </x:c>
      <x:c r="B85" s="26" t="str">
        <x:v>Security &amp; Secrets</x:v>
      </x:c>
      <x:c r="C85" s="26" t="str">
        <x:v>No incident evidence</x:v>
      </x:c>
      <x:c r="D85" s="26" t="str">
        <x:v>Existe el riesgo de que ocurra lo siguiente: Se limpia sistema antes de preservar evidencia.</x:v>
      </x:c>
      <x:c r="E85" s="26" t="str">
        <x:v>All</x:v>
      </x:c>
      <x:c r="F85" s="26" t="n">
        <x:v>12</x:v>
      </x:c>
      <x:c r="G85" s="26" t="str">
        <x:v>HIGH</x:v>
      </x:c>
      <x:c r="H85" s="26" t="n">
        <x:v>12</x:v>
      </x:c>
      <x:c r="I85" s="26" t="str">
        <x:v>HIGH</x:v>
      </x:c>
      <x:c r="J85" s="26" t="str">
        <x:v>OUTSIDE TOLERANCE</x:v>
      </x:c>
      <x:c r="K85" s="26" t="str">
        <x:v>Security / Engineering</x:v>
      </x:c>
      <x:c r="L85" s="26" t="str">
        <x:v>Project Owner</x:v>
      </x:c>
      <x:c r="M85" s="26" t="str">
        <x:v>Acción destructiva post-incidente</x:v>
      </x:c>
      <x:c r="N85" s="26" t="str">
        <x:v>Revocar/rotar, aislar dispositivo o repositorio y abrir incidente.</x:v>
      </x:c>
      <x:c r="O85" s="26" t="str">
        <x:v>Restaurar acceso con credenciales nuevas y verificar integridad completa.</x:v>
      </x:c>
      <x:c r="P85" s="26" t="str">
        <x:v>BIA-08</x:v>
      </x:c>
      <x:c r="Q85" s="26" t="str">
        <x:v>PB-08</x:v>
      </x:c>
      <x:c r="R85" s="26" t="str">
        <x:v>TA-SEC-011</x:v>
      </x:c>
      <x:c r="S85" s="26" t="str">
        <x:v>11, 23, 24, 25, 26, 27, 31, 32</x:v>
      </x:c>
      <x:c r="T85" s="26" t="str">
        <x:v>Build records, legal registers, package manifests y registros técnicos</x:v>
      </x:c>
      <x:c r="U85" s="26" t="str">
        <x:v>OPEN</x:v>
      </x:c>
      <x:c r="V85" s="26" t="str">
        <x:v>UNVERIFIED</x:v>
      </x:c>
      <x:c r="W85" s="26" t="n">
        <x:v>1</x:v>
      </x:c>
      <x:c r="X85" s="26" t="str">
        <x:v>CHG-RISK-R-SEC-011</x:v>
      </x:c>
    </x:row>
    <x:row r="86" ht="30" customHeight="1">
      <x:c r="A86" s="26" t="str">
        <x:v>R-SEC-012</x:v>
      </x:c>
      <x:c r="B86" s="26" t="str">
        <x:v>Security &amp; Secrets</x:v>
      </x:c>
      <x:c r="C86" s="26" t="str">
        <x:v>Patch delay</x:v>
      </x:c>
      <x:c r="D86" s="26" t="str">
        <x:v>Existe el riesgo de que ocurra lo siguiente: Vulnerabilidad crítica no se corrige a tiempo.</x:v>
      </x:c>
      <x:c r="E86" s="26" t="str">
        <x:v>Post-launch</x:v>
      </x:c>
      <x:c r="F86" s="26" t="n">
        <x:v>10</x:v>
      </x:c>
      <x:c r="G86" s="26" t="str">
        <x:v>MEDIUM</x:v>
      </x:c>
      <x:c r="H86" s="26" t="n">
        <x:v>10</x:v>
      </x:c>
      <x:c r="I86" s="26" t="str">
        <x:v>MEDIUM</x:v>
      </x:c>
      <x:c r="J86" s="26" t="str">
        <x:v>OUTSIDE TOLERANCE</x:v>
      </x:c>
      <x:c r="K86" s="26" t="str">
        <x:v>Security / Engineering</x:v>
      </x:c>
      <x:c r="L86" s="26" t="str">
        <x:v>Project Owner</x:v>
      </x:c>
      <x:c r="M86" s="26" t="str">
        <x:v>SLA de parche excedido</x:v>
      </x:c>
      <x:c r="N86" s="26" t="str">
        <x:v>Revocar/rotar, aislar dispositivo o repositorio y abrir incidente.</x:v>
      </x:c>
      <x:c r="O86" s="26" t="str">
        <x:v>Restaurar acceso con credenciales nuevas y verificar integridad completa.</x:v>
      </x:c>
      <x:c r="P86" s="26" t="str">
        <x:v>BIA-08</x:v>
      </x:c>
      <x:c r="Q86" s="26" t="str">
        <x:v>PB-08</x:v>
      </x:c>
      <x:c r="R86" s="26" t="str">
        <x:v>TA-SEC-012</x:v>
      </x:c>
      <x:c r="S86" s="26" t="str">
        <x:v>11, 23, 24, 25, 26, 27, 31, 32</x:v>
      </x:c>
      <x:c r="T86" s="26" t="str">
        <x:v>Build records, legal registers, package manifests y registros técnicos</x:v>
      </x:c>
      <x:c r="U86" s="26" t="str">
        <x:v>OPEN</x:v>
      </x:c>
      <x:c r="V86" s="26" t="str">
        <x:v>UNVERIFIED</x:v>
      </x:c>
      <x:c r="W86" s="26" t="n">
        <x:v>1</x:v>
      </x:c>
      <x:c r="X86" s="26" t="str">
        <x:v>CHG-RISK-R-SEC-012</x:v>
      </x:c>
    </x:row>
    <x:row r="87" ht="30" customHeight="1">
      <x:c r="A87" s="26" t="str">
        <x:v>R-PRI-001</x:v>
      </x:c>
      <x:c r="B87" s="26" t="str">
        <x:v>Privacy &amp; Telemetry</x:v>
      </x:c>
      <x:c r="C87" s="26" t="str">
        <x:v>Unjustified collection</x:v>
      </x:c>
      <x:c r="D87" s="26" t="str">
        <x:v>Existe el riesgo de que ocurra lo siguiente: Se recopila dato sin propósito o consentimiento.</x:v>
      </x:c>
      <x:c r="E87" s="26" t="str">
        <x:v>Release/Post-launch</x:v>
      </x:c>
      <x:c r="F87" s="26" t="n">
        <x:v>10</x:v>
      </x:c>
      <x:c r="G87" s="26" t="str">
        <x:v>MEDIUM</x:v>
      </x:c>
      <x:c r="H87" s="26" t="n">
        <x:v>10</x:v>
      </x:c>
      <x:c r="I87" s="26" t="str">
        <x:v>MEDIUM</x:v>
      </x:c>
      <x:c r="J87" s="26" t="str">
        <x:v>OUTSIDE TOLERANCE</x:v>
      </x:c>
      <x:c r="K87" s="26" t="str">
        <x:v>Privacy / Engineering</x:v>
      </x:c>
      <x:c r="L87" s="26" t="str">
        <x:v>Legal / Production</x:v>
      </x:c>
      <x:c r="M87" s="26" t="str">
        <x:v>Campo nuevo no documentado</x:v>
      </x:c>
      <x:c r="N87" s="26" t="str">
        <x:v>Suspender colección y preservar logs mínimos de investigación.</x:v>
      </x:c>
      <x:c r="O87" s="26" t="str">
        <x:v>Eliminar o corregir datos, actualizar avisos y validar configuración.</x:v>
      </x:c>
      <x:c r="P87" s="26" t="str">
        <x:v>BIA-09</x:v>
      </x:c>
      <x:c r="Q87" s="26" t="str">
        <x:v>PB-09</x:v>
      </x:c>
      <x:c r="R87" s="26" t="str">
        <x:v>TA-PRI-001</x:v>
      </x:c>
      <x:c r="S87" s="26" t="str">
        <x:v>23, 24, 25, 26, 27, 28, 31</x:v>
      </x:c>
      <x:c r="T87" s="26" t="str">
        <x:v>Requisitos distribuidos en TDD, Steam, legal, QA y marketing</x:v>
      </x:c>
      <x:c r="U87" s="26" t="str">
        <x:v>OPEN</x:v>
      </x:c>
      <x:c r="V87" s="26" t="str">
        <x:v>UNVERIFIED</x:v>
      </x:c>
      <x:c r="W87" s="26" t="n">
        <x:v>1</x:v>
      </x:c>
      <x:c r="X87" s="26" t="str">
        <x:v>CHG-RISK-R-PRI-001</x:v>
      </x:c>
    </x:row>
    <x:row r="88" ht="30" customHeight="1">
      <x:c r="A88" s="26" t="str">
        <x:v>R-PRI-002</x:v>
      </x:c>
      <x:c r="B88" s="26" t="str">
        <x:v>Privacy &amp; Telemetry</x:v>
      </x:c>
      <x:c r="C88" s="26" t="str">
        <x:v>Third-party analytics</x:v>
      </x:c>
      <x:c r="D88" s="26" t="str">
        <x:v>Existe el riesgo de que ocurra lo siguiente: SDK envía datos no inventariados.</x:v>
      </x:c>
      <x:c r="E88" s="26" t="str">
        <x:v>Release</x:v>
      </x:c>
      <x:c r="F88" s="26" t="n">
        <x:v>10</x:v>
      </x:c>
      <x:c r="G88" s="26" t="str">
        <x:v>MEDIUM</x:v>
      </x:c>
      <x:c r="H88" s="26" t="n">
        <x:v>10</x:v>
      </x:c>
      <x:c r="I88" s="26" t="str">
        <x:v>MEDIUM</x:v>
      </x:c>
      <x:c r="J88" s="26" t="str">
        <x:v>OUTSIDE TOLERANCE</x:v>
      </x:c>
      <x:c r="K88" s="26" t="str">
        <x:v>Privacy / Engineering</x:v>
      </x:c>
      <x:c r="L88" s="26" t="str">
        <x:v>Legal / Production</x:v>
      </x:c>
      <x:c r="M88" s="26" t="str">
        <x:v>Tráfico no previsto</x:v>
      </x:c>
      <x:c r="N88" s="26" t="str">
        <x:v>Suspender colección y preservar logs mínimos de investigación.</x:v>
      </x:c>
      <x:c r="O88" s="26" t="str">
        <x:v>Eliminar o corregir datos, actualizar avisos y validar configuración.</x:v>
      </x:c>
      <x:c r="P88" s="26" t="str">
        <x:v>BIA-09</x:v>
      </x:c>
      <x:c r="Q88" s="26" t="str">
        <x:v>PB-09</x:v>
      </x:c>
      <x:c r="R88" s="26" t="str">
        <x:v>TA-PRI-002</x:v>
      </x:c>
      <x:c r="S88" s="26" t="str">
        <x:v>23, 24, 25, 26, 27, 28, 31</x:v>
      </x:c>
      <x:c r="T88" s="26" t="str">
        <x:v>Requisitos distribuidos en TDD, Steam, legal, QA y marketing</x:v>
      </x:c>
      <x:c r="U88" s="26" t="str">
        <x:v>OPEN</x:v>
      </x:c>
      <x:c r="V88" s="26" t="str">
        <x:v>UNVERIFIED</x:v>
      </x:c>
      <x:c r="W88" s="26" t="n">
        <x:v>1</x:v>
      </x:c>
      <x:c r="X88" s="26" t="str">
        <x:v>CHG-RISK-R-PRI-002</x:v>
      </x:c>
    </x:row>
    <x:row r="89" ht="30" customHeight="1">
      <x:c r="A89" s="26" t="str">
        <x:v>R-PRI-003</x:v>
      </x:c>
      <x:c r="B89" s="26" t="str">
        <x:v>Privacy &amp; Telemetry</x:v>
      </x:c>
      <x:c r="C89" s="26" t="str">
        <x:v>Retention</x:v>
      </x:c>
      <x:c r="D89" s="26" t="str">
        <x:v>Existe el riesgo de que ocurra lo siguiente: Datos se conservan más de lo aprobado.</x:v>
      </x:c>
      <x:c r="E89" s="26" t="str">
        <x:v>Post-launch</x:v>
      </x:c>
      <x:c r="F89" s="26" t="n">
        <x:v>8</x:v>
      </x:c>
      <x:c r="G89" s="26" t="str">
        <x:v>MEDIUM</x:v>
      </x:c>
      <x:c r="H89" s="26" t="n">
        <x:v>8</x:v>
      </x:c>
      <x:c r="I89" s="26" t="str">
        <x:v>MEDIUM</x:v>
      </x:c>
      <x:c r="J89" s="26" t="str">
        <x:v>OUTSIDE TOLERANCE</x:v>
      </x:c>
      <x:c r="K89" s="26" t="str">
        <x:v>Privacy / Engineering</x:v>
      </x:c>
      <x:c r="L89" s="26" t="str">
        <x:v>Legal / Production</x:v>
      </x:c>
      <x:c r="M89" s="26" t="str">
        <x:v>No existe borrado/expiry</x:v>
      </x:c>
      <x:c r="N89" s="26" t="str">
        <x:v>Suspender colección y preservar logs mínimos de investigación.</x:v>
      </x:c>
      <x:c r="O89" s="26" t="str">
        <x:v>Eliminar o corregir datos, actualizar avisos y validar configuración.</x:v>
      </x:c>
      <x:c r="P89" s="26" t="str">
        <x:v>BIA-09</x:v>
      </x:c>
      <x:c r="Q89" s="26" t="str">
        <x:v>PB-09</x:v>
      </x:c>
      <x:c r="R89" s="26" t="str">
        <x:v>TA-PRI-003</x:v>
      </x:c>
      <x:c r="S89" s="26" t="str">
        <x:v>23, 24, 25, 26, 27, 28, 31</x:v>
      </x:c>
      <x:c r="T89" s="26" t="str">
        <x:v>Requisitos distribuidos en TDD, Steam, legal, QA y marketing</x:v>
      </x:c>
      <x:c r="U89" s="26" t="str">
        <x:v>OPEN</x:v>
      </x:c>
      <x:c r="V89" s="26" t="str">
        <x:v>UNVERIFIED</x:v>
      </x:c>
      <x:c r="W89" s="26" t="n">
        <x:v>1</x:v>
      </x:c>
      <x:c r="X89" s="26" t="str">
        <x:v>CHG-RISK-R-PRI-003</x:v>
      </x:c>
    </x:row>
    <x:row r="90" ht="30" customHeight="1">
      <x:c r="A90" s="26" t="str">
        <x:v>R-PRI-004</x:v>
      </x:c>
      <x:c r="B90" s="26" t="str">
        <x:v>Privacy &amp; Telemetry</x:v>
      </x:c>
      <x:c r="C90" s="26" t="str">
        <x:v>Data subject request</x:v>
      </x:c>
      <x:c r="D90" s="26" t="str">
        <x:v>Existe el riesgo de que ocurra lo siguiente: No se puede localizar/borrar/exportar dato.</x:v>
      </x:c>
      <x:c r="E90" s="26" t="str">
        <x:v>Post-launch</x:v>
      </x:c>
      <x:c r="F90" s="26" t="n">
        <x:v>8</x:v>
      </x:c>
      <x:c r="G90" s="26" t="str">
        <x:v>MEDIUM</x:v>
      </x:c>
      <x:c r="H90" s="26" t="n">
        <x:v>8</x:v>
      </x:c>
      <x:c r="I90" s="26" t="str">
        <x:v>MEDIUM</x:v>
      </x:c>
      <x:c r="J90" s="26" t="str">
        <x:v>OUTSIDE TOLERANCE</x:v>
      </x:c>
      <x:c r="K90" s="26" t="str">
        <x:v>Privacy / Engineering</x:v>
      </x:c>
      <x:c r="L90" s="26" t="str">
        <x:v>Legal / Production</x:v>
      </x:c>
      <x:c r="M90" s="26" t="str">
        <x:v>Solicitud sin procedimiento</x:v>
      </x:c>
      <x:c r="N90" s="26" t="str">
        <x:v>Suspender colección y preservar logs mínimos de investigación.</x:v>
      </x:c>
      <x:c r="O90" s="26" t="str">
        <x:v>Eliminar o corregir datos, actualizar avisos y validar configuración.</x:v>
      </x:c>
      <x:c r="P90" s="26" t="str">
        <x:v>BIA-09</x:v>
      </x:c>
      <x:c r="Q90" s="26" t="str">
        <x:v>PB-09</x:v>
      </x:c>
      <x:c r="R90" s="26" t="str">
        <x:v>TA-PRI-004</x:v>
      </x:c>
      <x:c r="S90" s="26" t="str">
        <x:v>23, 24, 25, 26, 27, 28, 31</x:v>
      </x:c>
      <x:c r="T90" s="26" t="str">
        <x:v>Requisitos distribuidos en TDD, Steam, legal, QA y marketing</x:v>
      </x:c>
      <x:c r="U90" s="26" t="str">
        <x:v>OPEN</x:v>
      </x:c>
      <x:c r="V90" s="26" t="str">
        <x:v>UNVERIFIED</x:v>
      </x:c>
      <x:c r="W90" s="26" t="n">
        <x:v>1</x:v>
      </x:c>
      <x:c r="X90" s="26" t="str">
        <x:v>CHG-RISK-R-PRI-004</x:v>
      </x:c>
    </x:row>
    <x:row r="91" ht="30" customHeight="1">
      <x:c r="A91" s="26" t="str">
        <x:v>R-PRI-005</x:v>
      </x:c>
      <x:c r="B91" s="26" t="str">
        <x:v>Privacy &amp; Telemetry</x:v>
      </x:c>
      <x:c r="C91" s="26" t="str">
        <x:v>Crash logs</x:v>
      </x:c>
      <x:c r="D91" s="26" t="str">
        <x:v>Existe el riesgo de que ocurra lo siguiente: Crash report contiene información sensible.</x:v>
      </x:c>
      <x:c r="E91" s="26" t="str">
        <x:v>Release/Post-launch</x:v>
      </x:c>
      <x:c r="F91" s="26" t="n">
        <x:v>12</x:v>
      </x:c>
      <x:c r="G91" s="26" t="str">
        <x:v>HIGH</x:v>
      </x:c>
      <x:c r="H91" s="26" t="n">
        <x:v>12</x:v>
      </x:c>
      <x:c r="I91" s="26" t="str">
        <x:v>HIGH</x:v>
      </x:c>
      <x:c r="J91" s="26" t="str">
        <x:v>OUTSIDE TOLERANCE</x:v>
      </x:c>
      <x:c r="K91" s="26" t="str">
        <x:v>Privacy / Engineering</x:v>
      </x:c>
      <x:c r="L91" s="26" t="str">
        <x:v>Legal / Production</x:v>
      </x:c>
      <x:c r="M91" s="26" t="str">
        <x:v>Log review positivo</x:v>
      </x:c>
      <x:c r="N91" s="26" t="str">
        <x:v>Suspender colección y preservar logs mínimos de investigación.</x:v>
      </x:c>
      <x:c r="O91" s="26" t="str">
        <x:v>Eliminar o corregir datos, actualizar avisos y validar configuración.</x:v>
      </x:c>
      <x:c r="P91" s="26" t="str">
        <x:v>BIA-09</x:v>
      </x:c>
      <x:c r="Q91" s="26" t="str">
        <x:v>PB-09</x:v>
      </x:c>
      <x:c r="R91" s="26" t="str">
        <x:v>TA-PRI-005</x:v>
      </x:c>
      <x:c r="S91" s="26" t="str">
        <x:v>23, 24, 25, 26, 27, 28, 31</x:v>
      </x:c>
      <x:c r="T91" s="26" t="str">
        <x:v>Requisitos distribuidos en TDD, Steam, legal, QA y marketing</x:v>
      </x:c>
      <x:c r="U91" s="26" t="str">
        <x:v>OPEN</x:v>
      </x:c>
      <x:c r="V91" s="26" t="str">
        <x:v>UNVERIFIED</x:v>
      </x:c>
      <x:c r="W91" s="26" t="n">
        <x:v>1</x:v>
      </x:c>
      <x:c r="X91" s="26" t="str">
        <x:v>CHG-RISK-R-PRI-005</x:v>
      </x:c>
    </x:row>
    <x:row r="92" ht="30" customHeight="1">
      <x:c r="A92" s="26" t="str">
        <x:v>R-PRI-006</x:v>
      </x:c>
      <x:c r="B92" s="26" t="str">
        <x:v>Privacy &amp; Telemetry</x:v>
      </x:c>
      <x:c r="C92" s="26" t="str">
        <x:v>Newsletter/community</x:v>
      </x:c>
      <x:c r="D92" s="26" t="str">
        <x:v>Existe el riesgo de que ocurra lo siguiente: Datos de comunidad se gestionan sin aviso/opt-out.</x:v>
      </x:c>
      <x:c r="E92" s="26" t="str">
        <x:v>Marketing</x:v>
      </x:c>
      <x:c r="F92" s="26" t="n">
        <x:v>8</x:v>
      </x:c>
      <x:c r="G92" s="26" t="str">
        <x:v>MEDIUM</x:v>
      </x:c>
      <x:c r="H92" s="26" t="n">
        <x:v>8</x:v>
      </x:c>
      <x:c r="I92" s="26" t="str">
        <x:v>MEDIUM</x:v>
      </x:c>
      <x:c r="J92" s="26" t="str">
        <x:v>OUTSIDE TOLERANCE</x:v>
      </x:c>
      <x:c r="K92" s="26" t="str">
        <x:v>Privacy / Engineering</x:v>
      </x:c>
      <x:c r="L92" s="26" t="str">
        <x:v>Legal / Production</x:v>
      </x:c>
      <x:c r="M92" s="26" t="str">
        <x:v>Canal se abre antes de política</x:v>
      </x:c>
      <x:c r="N92" s="26" t="str">
        <x:v>Suspender colección y preservar logs mínimos de investigación.</x:v>
      </x:c>
      <x:c r="O92" s="26" t="str">
        <x:v>Eliminar o corregir datos, actualizar avisos y validar configuración.</x:v>
      </x:c>
      <x:c r="P92" s="26" t="str">
        <x:v>BIA-09</x:v>
      </x:c>
      <x:c r="Q92" s="26" t="str">
        <x:v>PB-09</x:v>
      </x:c>
      <x:c r="R92" s="26" t="str">
        <x:v>TA-PRI-006</x:v>
      </x:c>
      <x:c r="S92" s="26" t="str">
        <x:v>23, 24, 25, 26, 27, 28, 31</x:v>
      </x:c>
      <x:c r="T92" s="26" t="str">
        <x:v>Requisitos distribuidos en TDD, Steam, legal, QA y marketing</x:v>
      </x:c>
      <x:c r="U92" s="26" t="str">
        <x:v>OPEN</x:v>
      </x:c>
      <x:c r="V92" s="26" t="str">
        <x:v>UNVERIFIED</x:v>
      </x:c>
      <x:c r="W92" s="26" t="n">
        <x:v>1</x:v>
      </x:c>
      <x:c r="X92" s="26" t="str">
        <x:v>CHG-RISK-R-PRI-006</x:v>
      </x:c>
    </x:row>
    <x:row r="93" ht="30" customHeight="1">
      <x:c r="A93" s="26" t="str">
        <x:v>R-LEG-001</x:v>
      </x:c>
      <x:c r="B93" s="26" t="str">
        <x:v>Legal, IP &amp; Compliance</x:v>
      </x:c>
      <x:c r="C93" s="26" t="str">
        <x:v>Trademark clearance</x:v>
      </x:c>
      <x:c r="D93" s="26" t="str">
        <x:v>Existe el riesgo de que ocurra lo siguiente: Título o VRM Games entra en conflicto con tercero.</x:v>
      </x:c>
      <x:c r="E93" s="26" t="str">
        <x:v>Marketing/Release</x:v>
      </x:c>
      <x:c r="F93" s="26" t="n">
        <x:v>15</x:v>
      </x:c>
      <x:c r="G93" s="26" t="str">
        <x:v>HIGH</x:v>
      </x:c>
      <x:c r="H93" s="26" t="n">
        <x:v>15</x:v>
      </x:c>
      <x:c r="I93" s="26" t="str">
        <x:v>HIGH</x:v>
      </x:c>
      <x:c r="J93" s="26" t="str">
        <x:v>OUTSIDE TOLERANCE</x:v>
      </x:c>
      <x:c r="K93" s="26" t="str">
        <x:v>Legal / Project Owner</x:v>
      </x:c>
      <x:c r="L93" s="26" t="str">
        <x:v>Production</x:v>
      </x:c>
      <x:c r="M93" s="26" t="str">
        <x:v>Búsqueda o reclamación negativa</x:v>
      </x:c>
      <x:c r="N93" s="26" t="str">
        <x:v>Detener publicación o uso del elemento afectado.</x:v>
      </x:c>
      <x:c r="O93" s="26" t="str">
        <x:v>Sustituir, actualizar credits/notices y reconstruir paquete.</x:v>
      </x:c>
      <x:c r="P93" s="26" t="str">
        <x:v>BIA-10</x:v>
      </x:c>
      <x:c r="Q93" s="26" t="str">
        <x:v>PB-10</x:v>
      </x:c>
      <x:c r="R93" s="26" t="str">
        <x:v>TA-LEG-001</x:v>
      </x:c>
      <x:c r="S93" s="26" t="str">
        <x:v>17, 18, 19, 21, 22, 23, 24, 26, 28, 29, 31</x:v>
      </x:c>
      <x:c r="T93" s="26" t="str">
        <x:v>Legal/Credits/Licenses v0.3–v0.6 y provenance de assets</x:v>
      </x:c>
      <x:c r="U93" s="26" t="str">
        <x:v>OPEN</x:v>
      </x:c>
      <x:c r="V93" s="26" t="str">
        <x:v>UNVERIFIED</x:v>
      </x:c>
      <x:c r="W93" s="26" t="n">
        <x:v>1</x:v>
      </x:c>
      <x:c r="X93" s="26" t="str">
        <x:v>CHG-RISK-R-LEG-001</x:v>
      </x:c>
    </x:row>
    <x:row r="94" ht="30" customHeight="1">
      <x:c r="A94" s="26" t="str">
        <x:v>R-LEG-002</x:v>
      </x:c>
      <x:c r="B94" s="26" t="str">
        <x:v>Legal, IP &amp; Compliance</x:v>
      </x:c>
      <x:c r="C94" s="26" t="str">
        <x:v>Asset license</x:v>
      </x:c>
      <x:c r="D94" s="26" t="str">
        <x:v>Existe el riesgo de que ocurra lo siguiente: Asset carece de licencia/provenance suficiente.</x:v>
      </x:c>
      <x:c r="E94" s="26" t="str">
        <x:v>All</x:v>
      </x:c>
      <x:c r="F94" s="26" t="n">
        <x:v>15</x:v>
      </x:c>
      <x:c r="G94" s="26" t="str">
        <x:v>HIGH</x:v>
      </x:c>
      <x:c r="H94" s="26" t="n">
        <x:v>15</x:v>
      </x:c>
      <x:c r="I94" s="26" t="str">
        <x:v>HIGH</x:v>
      </x:c>
      <x:c r="J94" s="26" t="str">
        <x:v>OUTSIDE TOLERANCE</x:v>
      </x:c>
      <x:c r="K94" s="26" t="str">
        <x:v>Legal / Project Owner</x:v>
      </x:c>
      <x:c r="L94" s="26" t="str">
        <x:v>Production</x:v>
      </x:c>
      <x:c r="M94" s="26" t="str">
        <x:v>Registro 23 incompleto</x:v>
      </x:c>
      <x:c r="N94" s="26" t="str">
        <x:v>Detener publicación o uso del elemento afectado.</x:v>
      </x:c>
      <x:c r="O94" s="26" t="str">
        <x:v>Sustituir, actualizar credits/notices y reconstruir paquete.</x:v>
      </x:c>
      <x:c r="P94" s="26" t="str">
        <x:v>BIA-10</x:v>
      </x:c>
      <x:c r="Q94" s="26" t="str">
        <x:v>PB-10</x:v>
      </x:c>
      <x:c r="R94" s="26" t="str">
        <x:v>TA-LEG-002</x:v>
      </x:c>
      <x:c r="S94" s="26" t="str">
        <x:v>17, 18, 19, 21, 22, 23, 24, 26, 28, 29, 31</x:v>
      </x:c>
      <x:c r="T94" s="26" t="str">
        <x:v>Legal/Credits/Licenses v0.3–v0.6 y provenance de assets</x:v>
      </x:c>
      <x:c r="U94" s="26" t="str">
        <x:v>OPEN</x:v>
      </x:c>
      <x:c r="V94" s="26" t="str">
        <x:v>UNVERIFIED</x:v>
      </x:c>
      <x:c r="W94" s="26" t="n">
        <x:v>1</x:v>
      </x:c>
      <x:c r="X94" s="26" t="str">
        <x:v>CHG-RISK-R-LEG-002</x:v>
      </x:c>
    </x:row>
    <x:row r="95" ht="30" customHeight="1">
      <x:c r="A95" s="26" t="str">
        <x:v>R-LEG-003</x:v>
      </x:c>
      <x:c r="B95" s="26" t="str">
        <x:v>Legal, IP &amp; Compliance</x:v>
      </x:c>
      <x:c r="C95" s="26" t="str">
        <x:v>Music/SFX rights</x:v>
      </x:c>
      <x:c r="D95" s="26" t="str">
        <x:v>Existe el riesgo de que ocurra lo siguiente: Audio final no permite distribución comercial.</x:v>
      </x:c>
      <x:c r="E95" s="26" t="str">
        <x:v>Release</x:v>
      </x:c>
      <x:c r="F95" s="26" t="n">
        <x:v>15</x:v>
      </x:c>
      <x:c r="G95" s="26" t="str">
        <x:v>HIGH</x:v>
      </x:c>
      <x:c r="H95" s="26" t="n">
        <x:v>15</x:v>
      </x:c>
      <x:c r="I95" s="26" t="str">
        <x:v>HIGH</x:v>
      </x:c>
      <x:c r="J95" s="26" t="str">
        <x:v>OUTSIDE TOLERANCE</x:v>
      </x:c>
      <x:c r="K95" s="26" t="str">
        <x:v>Legal / Project Owner</x:v>
      </x:c>
      <x:c r="L95" s="26" t="str">
        <x:v>Production</x:v>
      </x:c>
      <x:c r="M95" s="26" t="str">
        <x:v>Licencia incompatible/ausente</x:v>
      </x:c>
      <x:c r="N95" s="26" t="str">
        <x:v>Detener publicación o uso del elemento afectado.</x:v>
      </x:c>
      <x:c r="O95" s="26" t="str">
        <x:v>Sustituir, actualizar credits/notices y reconstruir paquete.</x:v>
      </x:c>
      <x:c r="P95" s="26" t="str">
        <x:v>BIA-10</x:v>
      </x:c>
      <x:c r="Q95" s="26" t="str">
        <x:v>PB-10</x:v>
      </x:c>
      <x:c r="R95" s="26" t="str">
        <x:v>TA-LEG-003</x:v>
      </x:c>
      <x:c r="S95" s="26" t="str">
        <x:v>17, 18, 19, 21, 22, 23, 24, 26, 28, 29, 31</x:v>
      </x:c>
      <x:c r="T95" s="26" t="str">
        <x:v>Legal/Credits/Licenses v0.3–v0.6 y provenance de assets</x:v>
      </x:c>
      <x:c r="U95" s="26" t="str">
        <x:v>OPEN</x:v>
      </x:c>
      <x:c r="V95" s="26" t="str">
        <x:v>UNVERIFIED</x:v>
      </x:c>
      <x:c r="W95" s="26" t="n">
        <x:v>1</x:v>
      </x:c>
      <x:c r="X95" s="26" t="str">
        <x:v>CHG-RISK-R-LEG-003</x:v>
      </x:c>
    </x:row>
    <x:row r="96" ht="30" customHeight="1">
      <x:c r="A96" s="26" t="str">
        <x:v>R-LEG-004</x:v>
      </x:c>
      <x:c r="B96" s="26" t="str">
        <x:v>Legal, IP &amp; Compliance</x:v>
      </x:c>
      <x:c r="C96" s="26" t="str">
        <x:v>Font license</x:v>
      </x:c>
      <x:c r="D96" s="26" t="str">
        <x:v>Existe el riesgo de que ocurra lo siguiente: Fuente UI no autoriza uso/redistribución.</x:v>
      </x:c>
      <x:c r="E96" s="26" t="str">
        <x:v>Release</x:v>
      </x:c>
      <x:c r="F96" s="26" t="n">
        <x:v>12</x:v>
      </x:c>
      <x:c r="G96" s="26" t="str">
        <x:v>HIGH</x:v>
      </x:c>
      <x:c r="H96" s="26" t="n">
        <x:v>12</x:v>
      </x:c>
      <x:c r="I96" s="26" t="str">
        <x:v>HIGH</x:v>
      </x:c>
      <x:c r="J96" s="26" t="str">
        <x:v>OUTSIDE TOLERANCE</x:v>
      </x:c>
      <x:c r="K96" s="26" t="str">
        <x:v>Legal / Project Owner</x:v>
      </x:c>
      <x:c r="L96" s="26" t="str">
        <x:v>Production</x:v>
      </x:c>
      <x:c r="M96" s="26" t="str">
        <x:v>Fuente final sin notice</x:v>
      </x:c>
      <x:c r="N96" s="26" t="str">
        <x:v>Detener publicación o uso del elemento afectado.</x:v>
      </x:c>
      <x:c r="O96" s="26" t="str">
        <x:v>Sustituir, actualizar credits/notices y reconstruir paquete.</x:v>
      </x:c>
      <x:c r="P96" s="26" t="str">
        <x:v>BIA-10</x:v>
      </x:c>
      <x:c r="Q96" s="26" t="str">
        <x:v>PB-10</x:v>
      </x:c>
      <x:c r="R96" s="26" t="str">
        <x:v>TA-LEG-004</x:v>
      </x:c>
      <x:c r="S96" s="26" t="str">
        <x:v>17, 18, 19, 21, 22, 23, 24, 26, 28, 29, 31</x:v>
      </x:c>
      <x:c r="T96" s="26" t="str">
        <x:v>Legal/Credits/Licenses v0.3–v0.6 y provenance de assets</x:v>
      </x:c>
      <x:c r="U96" s="26" t="str">
        <x:v>OPEN</x:v>
      </x:c>
      <x:c r="V96" s="26" t="str">
        <x:v>UNVERIFIED</x:v>
      </x:c>
      <x:c r="W96" s="26" t="n">
        <x:v>1</x:v>
      </x:c>
      <x:c r="X96" s="26" t="str">
        <x:v>CHG-RISK-R-LEG-004</x:v>
      </x:c>
    </x:row>
    <x:row r="97" ht="30" customHeight="1">
      <x:c r="A97" s="26" t="str">
        <x:v>R-LEG-005</x:v>
      </x:c>
      <x:c r="B97" s="26" t="str">
        <x:v>Legal, IP &amp; Compliance</x:v>
      </x:c>
      <x:c r="C97" s="26" t="str">
        <x:v>Third-party notices</x:v>
      </x:c>
      <x:c r="D97" s="26" t="str">
        <x:v>Existe el riesgo de que ocurra lo siguiente: Notices o credits están incompletos.</x:v>
      </x:c>
      <x:c r="E97" s="26" t="str">
        <x:v>Release</x:v>
      </x:c>
      <x:c r="F97" s="26" t="n">
        <x:v>12</x:v>
      </x:c>
      <x:c r="G97" s="26" t="str">
        <x:v>HIGH</x:v>
      </x:c>
      <x:c r="H97" s="26" t="n">
        <x:v>12</x:v>
      </x:c>
      <x:c r="I97" s="26" t="str">
        <x:v>HIGH</x:v>
      </x:c>
      <x:c r="J97" s="26" t="str">
        <x:v>OUTSIDE TOLERANCE</x:v>
      </x:c>
      <x:c r="K97" s="26" t="str">
        <x:v>Legal / Project Owner</x:v>
      </x:c>
      <x:c r="L97" s="26" t="str">
        <x:v>Production</x:v>
      </x:c>
      <x:c r="M97" s="26" t="str">
        <x:v>SBOM/licencias no reconciliados</x:v>
      </x:c>
      <x:c r="N97" s="26" t="str">
        <x:v>Detener publicación o uso del elemento afectado.</x:v>
      </x:c>
      <x:c r="O97" s="26" t="str">
        <x:v>Sustituir, actualizar credits/notices y reconstruir paquete.</x:v>
      </x:c>
      <x:c r="P97" s="26" t="str">
        <x:v>BIA-10</x:v>
      </x:c>
      <x:c r="Q97" s="26" t="str">
        <x:v>PB-10</x:v>
      </x:c>
      <x:c r="R97" s="26" t="str">
        <x:v>TA-LEG-005</x:v>
      </x:c>
      <x:c r="S97" s="26" t="str">
        <x:v>17, 18, 19, 21, 22, 23, 24, 26, 28, 29, 31</x:v>
      </x:c>
      <x:c r="T97" s="26" t="str">
        <x:v>Legal/Credits/Licenses v0.3–v0.6 y provenance de assets</x:v>
      </x:c>
      <x:c r="U97" s="26" t="str">
        <x:v>OPEN</x:v>
      </x:c>
      <x:c r="V97" s="26" t="str">
        <x:v>UNVERIFIED</x:v>
      </x:c>
      <x:c r="W97" s="26" t="n">
        <x:v>1</x:v>
      </x:c>
      <x:c r="X97" s="26" t="str">
        <x:v>CHG-RISK-R-LEG-005</x:v>
      </x:c>
    </x:row>
    <x:row r="98" ht="30" customHeight="1">
      <x:c r="A98" s="26" t="str">
        <x:v>R-LEG-006</x:v>
      </x:c>
      <x:c r="B98" s="26" t="str">
        <x:v>Legal, IP &amp; Compliance</x:v>
      </x:c>
      <x:c r="C98" s="26" t="str">
        <x:v>Store claims</x:v>
      </x:c>
      <x:c r="D98" s="26" t="str">
        <x:v>Existe el riesgo de que ocurra lo siguiente: Store page realiza claim no demostrable.</x:v>
      </x:c>
      <x:c r="E98" s="26" t="str">
        <x:v>Publishing</x:v>
      </x:c>
      <x:c r="F98" s="26" t="n">
        <x:v>15</x:v>
      </x:c>
      <x:c r="G98" s="26" t="str">
        <x:v>HIGH</x:v>
      </x:c>
      <x:c r="H98" s="26" t="n">
        <x:v>15</x:v>
      </x:c>
      <x:c r="I98" s="26" t="str">
        <x:v>HIGH</x:v>
      </x:c>
      <x:c r="J98" s="26" t="str">
        <x:v>OUTSIDE TOLERANCE</x:v>
      </x:c>
      <x:c r="K98" s="26" t="str">
        <x:v>Legal / Project Owner</x:v>
      </x:c>
      <x:c r="L98" s="26" t="str">
        <x:v>Production</x:v>
      </x:c>
      <x:c r="M98" s="26" t="str">
        <x:v>Claim sin evidence ID</x:v>
      </x:c>
      <x:c r="N98" s="26" t="str">
        <x:v>Detener publicación o uso del elemento afectado.</x:v>
      </x:c>
      <x:c r="O98" s="26" t="str">
        <x:v>Sustituir, actualizar credits/notices y reconstruir paquete.</x:v>
      </x:c>
      <x:c r="P98" s="26" t="str">
        <x:v>BIA-10</x:v>
      </x:c>
      <x:c r="Q98" s="26" t="str">
        <x:v>PB-10</x:v>
      </x:c>
      <x:c r="R98" s="26" t="str">
        <x:v>TA-LEG-006</x:v>
      </x:c>
      <x:c r="S98" s="26" t="str">
        <x:v>17, 18, 19, 21, 22, 23, 24, 26, 28, 29, 31</x:v>
      </x:c>
      <x:c r="T98" s="26" t="str">
        <x:v>Legal/Credits/Licenses v0.3–v0.6 y provenance de assets</x:v>
      </x:c>
      <x:c r="U98" s="26" t="str">
        <x:v>OPEN</x:v>
      </x:c>
      <x:c r="V98" s="26" t="str">
        <x:v>UNVERIFIED</x:v>
      </x:c>
      <x:c r="W98" s="26" t="n">
        <x:v>1</x:v>
      </x:c>
      <x:c r="X98" s="26" t="str">
        <x:v>CHG-RISK-R-LEG-006</x:v>
      </x:c>
    </x:row>
    <x:row r="99" ht="30" customHeight="1">
      <x:c r="A99" s="26" t="str">
        <x:v>R-LEG-007</x:v>
      </x:c>
      <x:c r="B99" s="26" t="str">
        <x:v>Legal, IP &amp; Compliance</x:v>
      </x:c>
      <x:c r="C99" s="26" t="str">
        <x:v>Privacy notice</x:v>
      </x:c>
      <x:c r="D99" s="26" t="str">
        <x:v>Existe el riesgo de que ocurra lo siguiente: Política no refleja prácticas reales.</x:v>
      </x:c>
      <x:c r="E99" s="26" t="str">
        <x:v>Release/Post-launch</x:v>
      </x:c>
      <x:c r="F99" s="26" t="n">
        <x:v>10</x:v>
      </x:c>
      <x:c r="G99" s="26" t="str">
        <x:v>MEDIUM</x:v>
      </x:c>
      <x:c r="H99" s="26" t="n">
        <x:v>10</x:v>
      </x:c>
      <x:c r="I99" s="26" t="str">
        <x:v>MEDIUM</x:v>
      </x:c>
      <x:c r="J99" s="26" t="str">
        <x:v>OUTSIDE TOLERANCE</x:v>
      </x:c>
      <x:c r="K99" s="26" t="str">
        <x:v>Legal / Project Owner</x:v>
      </x:c>
      <x:c r="L99" s="26" t="str">
        <x:v>Production</x:v>
      </x:c>
      <x:c r="M99" s="26" t="str">
        <x:v>Cambio de datos sin update</x:v>
      </x:c>
      <x:c r="N99" s="26" t="str">
        <x:v>Detener publicación o uso del elemento afectado.</x:v>
      </x:c>
      <x:c r="O99" s="26" t="str">
        <x:v>Sustituir, actualizar credits/notices y reconstruir paquete.</x:v>
      </x:c>
      <x:c r="P99" s="26" t="str">
        <x:v>BIA-10</x:v>
      </x:c>
      <x:c r="Q99" s="26" t="str">
        <x:v>PB-10</x:v>
      </x:c>
      <x:c r="R99" s="26" t="str">
        <x:v>TA-LEG-007</x:v>
      </x:c>
      <x:c r="S99" s="26" t="str">
        <x:v>17, 18, 19, 21, 22, 23, 24, 26, 28, 29, 31</x:v>
      </x:c>
      <x:c r="T99" s="26" t="str">
        <x:v>Legal/Credits/Licenses v0.3–v0.6 y provenance de assets</x:v>
      </x:c>
      <x:c r="U99" s="26" t="str">
        <x:v>OPEN</x:v>
      </x:c>
      <x:c r="V99" s="26" t="str">
        <x:v>UNVERIFIED</x:v>
      </x:c>
      <x:c r="W99" s="26" t="n">
        <x:v>1</x:v>
      </x:c>
      <x:c r="X99" s="26" t="str">
        <x:v>CHG-RISK-R-LEG-007</x:v>
      </x:c>
    </x:row>
    <x:row r="100" ht="30" customHeight="1">
      <x:c r="A100" s="26" t="str">
        <x:v>R-LEG-008</x:v>
      </x:c>
      <x:c r="B100" s="26" t="str">
        <x:v>Legal, IP &amp; Compliance</x:v>
      </x:c>
      <x:c r="C100" s="26" t="str">
        <x:v>Regional requirement</x:v>
      </x:c>
      <x:c r="D100" s="26" t="str">
        <x:v>Existe el riesgo de que ocurra lo siguiente: Distribución entra en territorio/requisito no cubierto.</x:v>
      </x:c>
      <x:c r="E100" s="26" t="str">
        <x:v>Release</x:v>
      </x:c>
      <x:c r="F100" s="26" t="n">
        <x:v>8</x:v>
      </x:c>
      <x:c r="G100" s="26" t="str">
        <x:v>MEDIUM</x:v>
      </x:c>
      <x:c r="H100" s="26" t="n">
        <x:v>8</x:v>
      </x:c>
      <x:c r="I100" s="26" t="str">
        <x:v>MEDIUM</x:v>
      </x:c>
      <x:c r="J100" s="26" t="str">
        <x:v>OUTSIDE TOLERANCE</x:v>
      </x:c>
      <x:c r="K100" s="26" t="str">
        <x:v>Legal / Project Owner</x:v>
      </x:c>
      <x:c r="L100" s="26" t="str">
        <x:v>Production</x:v>
      </x:c>
      <x:c r="M100" s="26" t="str">
        <x:v>Expansión regional no revisada</x:v>
      </x:c>
      <x:c r="N100" s="26" t="str">
        <x:v>Detener publicación o uso del elemento afectado.</x:v>
      </x:c>
      <x:c r="O100" s="26" t="str">
        <x:v>Sustituir, actualizar credits/notices y reconstruir paquete.</x:v>
      </x:c>
      <x:c r="P100" s="26" t="str">
        <x:v>BIA-10</x:v>
      </x:c>
      <x:c r="Q100" s="26" t="str">
        <x:v>PB-10</x:v>
      </x:c>
      <x:c r="R100" s="26" t="str">
        <x:v>TA-LEG-008</x:v>
      </x:c>
      <x:c r="S100" s="26" t="str">
        <x:v>17, 18, 19, 21, 22, 23, 24, 26, 28, 29, 31</x:v>
      </x:c>
      <x:c r="T100" s="26" t="str">
        <x:v>Legal/Credits/Licenses v0.3–v0.6 y provenance de assets</x:v>
      </x:c>
      <x:c r="U100" s="26" t="str">
        <x:v>OPEN</x:v>
      </x:c>
      <x:c r="V100" s="26" t="str">
        <x:v>UNVERIFIED</x:v>
      </x:c>
      <x:c r="W100" s="26" t="n">
        <x:v>1</x:v>
      </x:c>
      <x:c r="X100" s="26" t="str">
        <x:v>CHG-RISK-R-LEG-008</x:v>
      </x:c>
    </x:row>
    <x:row r="101" ht="30" customHeight="1">
      <x:c r="A101" s="26" t="str">
        <x:v>R-PUB-001</x:v>
      </x:c>
      <x:c r="B101" s="26" t="str">
        <x:v>Publishing, Marketing &amp; Reputation</x:v>
      </x:c>
      <x:c r="C101" s="26" t="str">
        <x:v>Premature store</x:v>
      </x:c>
      <x:c r="D101" s="26" t="str">
        <x:v>Existe el riesgo de que ocurra lo siguiente: Steam Coming Soon se publica antes de gates.</x:v>
      </x:c>
      <x:c r="E101" s="26" t="str">
        <x:v>Publishing</x:v>
      </x:c>
      <x:c r="F101" s="26" t="n">
        <x:v>15</x:v>
      </x:c>
      <x:c r="G101" s="26" t="str">
        <x:v>HIGH</x:v>
      </x:c>
      <x:c r="H101" s="26" t="n">
        <x:v>15</x:v>
      </x:c>
      <x:c r="I101" s="26" t="str">
        <x:v>HIGH</x:v>
      </x:c>
      <x:c r="J101" s="26" t="str">
        <x:v>OUTSIDE TOLERANCE</x:v>
      </x:c>
      <x:c r="K101" s="26" t="str">
        <x:v>Publishing / Marketing</x:v>
      </x:c>
      <x:c r="L101" s="26" t="str">
        <x:v>Project Owner</x:v>
      </x:c>
      <x:c r="M101" s="26" t="str">
        <x:v>Checklist store incompleto</x:v>
      </x:c>
      <x:c r="N101" s="26" t="str">
        <x:v>Pausar campaña/publicación y centralizar comunicación.</x:v>
      </x:c>
      <x:c r="O101" s="26" t="str">
        <x:v>Publicar corrección transparente, actualizar store/assets y monitorizar impacto.</x:v>
      </x:c>
      <x:c r="P101" s="26" t="str">
        <x:v>BIA-11</x:v>
      </x:c>
      <x:c r="Q101" s="26" t="str">
        <x:v>PB-11</x:v>
      </x:c>
      <x:c r="R101" s="26" t="str">
        <x:v>TA-PUB-001</x:v>
      </x:c>
      <x:c r="S101" s="26" t="str">
        <x:v>23, 24, 25, 27, 28, 29, 30, 31</x:v>
      </x:c>
      <x:c r="T101" s="26" t="str">
        <x:v>Steam/Marketing Plans v0.3–v0.6 y requisitos de publicación</x:v>
      </x:c>
      <x:c r="U101" s="26" t="str">
        <x:v>OPEN</x:v>
      </x:c>
      <x:c r="V101" s="26" t="str">
        <x:v>UNVERIFIED</x:v>
      </x:c>
      <x:c r="W101" s="26" t="n">
        <x:v>1</x:v>
      </x:c>
      <x:c r="X101" s="26" t="str">
        <x:v>CHG-RISK-R-PUB-001</x:v>
      </x:c>
    </x:row>
    <x:row r="102" ht="30" customHeight="1">
      <x:c r="A102" s="26" t="str">
        <x:v>R-PUB-002</x:v>
      </x:c>
      <x:c r="B102" s="26" t="str">
        <x:v>Publishing, Marketing &amp; Reputation</x:v>
      </x:c>
      <x:c r="C102" s="26" t="str">
        <x:v>Build mismatch</x:v>
      </x:c>
      <x:c r="D102" s="26" t="str">
        <x:v>Existe el riesgo de que ocurra lo siguiente: Build enviada no corresponde a assets/copy.</x:v>
      </x:c>
      <x:c r="E102" s="26" t="str">
        <x:v>Release</x:v>
      </x:c>
      <x:c r="F102" s="26" t="n">
        <x:v>10</x:v>
      </x:c>
      <x:c r="G102" s="26" t="str">
        <x:v>MEDIUM</x:v>
      </x:c>
      <x:c r="H102" s="26" t="n">
        <x:v>10</x:v>
      </x:c>
      <x:c r="I102" s="26" t="str">
        <x:v>MEDIUM</x:v>
      </x:c>
      <x:c r="J102" s="26" t="str">
        <x:v>OUTSIDE TOLERANCE</x:v>
      </x:c>
      <x:c r="K102" s="26" t="str">
        <x:v>Publishing / Marketing</x:v>
      </x:c>
      <x:c r="L102" s="26" t="str">
        <x:v>Project Owner</x:v>
      </x:c>
      <x:c r="M102" s="26" t="str">
        <x:v>Build ID/hash no registrado</x:v>
      </x:c>
      <x:c r="N102" s="26" t="str">
        <x:v>Pausar campaña/publicación y centralizar comunicación.</x:v>
      </x:c>
      <x:c r="O102" s="26" t="str">
        <x:v>Publicar corrección transparente, actualizar store/assets y monitorizar impacto.</x:v>
      </x:c>
      <x:c r="P102" s="26" t="str">
        <x:v>BIA-11</x:v>
      </x:c>
      <x:c r="Q102" s="26" t="str">
        <x:v>PB-11</x:v>
      </x:c>
      <x:c r="R102" s="26" t="str">
        <x:v>TA-PUB-002</x:v>
      </x:c>
      <x:c r="S102" s="26" t="str">
        <x:v>23, 24, 25, 27, 28, 29, 30, 31</x:v>
      </x:c>
      <x:c r="T102" s="26" t="str">
        <x:v>Steam/Marketing Plans v0.3–v0.6 y requisitos de publicación</x:v>
      </x:c>
      <x:c r="U102" s="26" t="str">
        <x:v>OPEN</x:v>
      </x:c>
      <x:c r="V102" s="26" t="str">
        <x:v>UNVERIFIED</x:v>
      </x:c>
      <x:c r="W102" s="26" t="n">
        <x:v>1</x:v>
      </x:c>
      <x:c r="X102" s="26" t="str">
        <x:v>CHG-RISK-R-PUB-002</x:v>
      </x:c>
    </x:row>
    <x:row r="103" ht="30" customHeight="1">
      <x:c r="A103" s="26" t="str">
        <x:v>R-PUB-003</x:v>
      </x:c>
      <x:c r="B103" s="26" t="str">
        <x:v>Publishing, Marketing &amp; Reputation</x:v>
      </x:c>
      <x:c r="C103" s="26" t="str">
        <x:v>Overpromise</x:v>
      </x:c>
      <x:c r="D103" s="26" t="str">
        <x:v>Existe el riesgo de que ocurra lo siguiente: Campaña promete sistemas o calidad futura.</x:v>
      </x:c>
      <x:c r="E103" s="26" t="str">
        <x:v>Marketing</x:v>
      </x:c>
      <x:c r="F103" s="26" t="n">
        <x:v>20</x:v>
      </x:c>
      <x:c r="G103" s="26" t="str">
        <x:v>CRITICAL</x:v>
      </x:c>
      <x:c r="H103" s="26" t="n">
        <x:v>20</x:v>
      </x:c>
      <x:c r="I103" s="26" t="str">
        <x:v>CRITICAL</x:v>
      </x:c>
      <x:c r="J103" s="26" t="str">
        <x:v>OUTSIDE TOLERANCE</x:v>
      </x:c>
      <x:c r="K103" s="26" t="str">
        <x:v>Publishing / Marketing</x:v>
      </x:c>
      <x:c r="L103" s="26" t="str">
        <x:v>Project Owner</x:v>
      </x:c>
      <x:c r="M103" s="26" t="str">
        <x:v>Claim excede build</x:v>
      </x:c>
      <x:c r="N103" s="26" t="str">
        <x:v>Pausar campaña/publicación y centralizar comunicación.</x:v>
      </x:c>
      <x:c r="O103" s="26" t="str">
        <x:v>Publicar corrección transparente, actualizar store/assets y monitorizar impacto.</x:v>
      </x:c>
      <x:c r="P103" s="26" t="str">
        <x:v>BIA-11</x:v>
      </x:c>
      <x:c r="Q103" s="26" t="str">
        <x:v>PB-11</x:v>
      </x:c>
      <x:c r="R103" s="26" t="str">
        <x:v>TA-PUB-003</x:v>
      </x:c>
      <x:c r="S103" s="26" t="str">
        <x:v>23, 24, 25, 27, 28, 29, 30, 31</x:v>
      </x:c>
      <x:c r="T103" s="26" t="str">
        <x:v>Steam/Marketing Plans v0.3–v0.6 y requisitos de publicación</x:v>
      </x:c>
      <x:c r="U103" s="26" t="str">
        <x:v>OPEN</x:v>
      </x:c>
      <x:c r="V103" s="26" t="str">
        <x:v>UNVERIFIED</x:v>
      </x:c>
      <x:c r="W103" s="26" t="n">
        <x:v>1</x:v>
      </x:c>
      <x:c r="X103" s="26" t="str">
        <x:v>CHG-RISK-R-PUB-003</x:v>
      </x:c>
    </x:row>
    <x:row r="104" ht="30" customHeight="1">
      <x:c r="A104" s="26" t="str">
        <x:v>R-PUB-004</x:v>
      </x:c>
      <x:c r="B104" s="26" t="str">
        <x:v>Publishing, Marketing &amp; Reputation</x:v>
      </x:c>
      <x:c r="C104" s="26" t="str">
        <x:v>Community overload</x:v>
      </x:c>
      <x:c r="D104" s="26" t="str">
        <x:v>Existe el riesgo de que ocurra lo siguiente: Canales abiertos superan capacidad de moderación.</x:v>
      </x:c>
      <x:c r="E104" s="26" t="str">
        <x:v>Marketing/Post-launch</x:v>
      </x:c>
      <x:c r="F104" s="26" t="n">
        <x:v>12</x:v>
      </x:c>
      <x:c r="G104" s="26" t="str">
        <x:v>HIGH</x:v>
      </x:c>
      <x:c r="H104" s="26" t="n">
        <x:v>12</x:v>
      </x:c>
      <x:c r="I104" s="26" t="str">
        <x:v>HIGH</x:v>
      </x:c>
      <x:c r="J104" s="26" t="str">
        <x:v>OUTSIDE TOLERANCE</x:v>
      </x:c>
      <x:c r="K104" s="26" t="str">
        <x:v>Publishing / Marketing</x:v>
      </x:c>
      <x:c r="L104" s="26" t="str">
        <x:v>Project Owner</x:v>
      </x:c>
      <x:c r="M104" s="26" t="str">
        <x:v>Response SLA incumplido</x:v>
      </x:c>
      <x:c r="N104" s="26" t="str">
        <x:v>Pausar campaña/publicación y centralizar comunicación.</x:v>
      </x:c>
      <x:c r="O104" s="26" t="str">
        <x:v>Publicar corrección transparente, actualizar store/assets y monitorizar impacto.</x:v>
      </x:c>
      <x:c r="P104" s="26" t="str">
        <x:v>BIA-11</x:v>
      </x:c>
      <x:c r="Q104" s="26" t="str">
        <x:v>PB-11</x:v>
      </x:c>
      <x:c r="R104" s="26" t="str">
        <x:v>TA-PUB-004</x:v>
      </x:c>
      <x:c r="S104" s="26" t="str">
        <x:v>23, 24, 25, 27, 28, 29, 30, 31</x:v>
      </x:c>
      <x:c r="T104" s="26" t="str">
        <x:v>Steam/Marketing Plans v0.3–v0.6 y requisitos de publicación</x:v>
      </x:c>
      <x:c r="U104" s="26" t="str">
        <x:v>OPEN</x:v>
      </x:c>
      <x:c r="V104" s="26" t="str">
        <x:v>UNVERIFIED</x:v>
      </x:c>
      <x:c r="W104" s="26" t="n">
        <x:v>1</x:v>
      </x:c>
      <x:c r="X104" s="26" t="str">
        <x:v>CHG-RISK-R-PUB-004</x:v>
      </x:c>
    </x:row>
    <x:row r="105" ht="30" customHeight="1">
      <x:c r="A105" s="26" t="str">
        <x:v>R-PUB-005</x:v>
      </x:c>
      <x:c r="B105" s="26" t="str">
        <x:v>Publishing, Marketing &amp; Reputation</x:v>
      </x:c>
      <x:c r="C105" s="26" t="str">
        <x:v>Negative reception</x:v>
      </x:c>
      <x:c r="D105" s="26" t="str">
        <x:v>Existe el riesgo de que ocurra lo siguiente: Demo o reveal inmaduro fija percepción adversa.</x:v>
      </x:c>
      <x:c r="E105" s="26" t="str">
        <x:v>Marketing</x:v>
      </x:c>
      <x:c r="F105" s="26" t="n">
        <x:v>15</x:v>
      </x:c>
      <x:c r="G105" s="26" t="str">
        <x:v>HIGH</x:v>
      </x:c>
      <x:c r="H105" s="26" t="n">
        <x:v>15</x:v>
      </x:c>
      <x:c r="I105" s="26" t="str">
        <x:v>HIGH</x:v>
      </x:c>
      <x:c r="J105" s="26" t="str">
        <x:v>OUTSIDE TOLERANCE</x:v>
      </x:c>
      <x:c r="K105" s="26" t="str">
        <x:v>Publishing / Marketing</x:v>
      </x:c>
      <x:c r="L105" s="26" t="str">
        <x:v>Project Owner</x:v>
      </x:c>
      <x:c r="M105" s="26" t="str">
        <x:v>Feedback negativo concentrado</x:v>
      </x:c>
      <x:c r="N105" s="26" t="str">
        <x:v>Pausar campaña/publicación y centralizar comunicación.</x:v>
      </x:c>
      <x:c r="O105" s="26" t="str">
        <x:v>Publicar corrección transparente, actualizar store/assets y monitorizar impacto.</x:v>
      </x:c>
      <x:c r="P105" s="26" t="str">
        <x:v>BIA-11</x:v>
      </x:c>
      <x:c r="Q105" s="26" t="str">
        <x:v>PB-11</x:v>
      </x:c>
      <x:c r="R105" s="26" t="str">
        <x:v>TA-PUB-005</x:v>
      </x:c>
      <x:c r="S105" s="26" t="str">
        <x:v>23, 24, 25, 27, 28, 29, 30, 31</x:v>
      </x:c>
      <x:c r="T105" s="26" t="str">
        <x:v>Steam/Marketing Plans v0.3–v0.6 y requisitos de publicación</x:v>
      </x:c>
      <x:c r="U105" s="26" t="str">
        <x:v>OPEN</x:v>
      </x:c>
      <x:c r="V105" s="26" t="str">
        <x:v>UNVERIFIED</x:v>
      </x:c>
      <x:c r="W105" s="26" t="n">
        <x:v>1</x:v>
      </x:c>
      <x:c r="X105" s="26" t="str">
        <x:v>CHG-RISK-R-PUB-005</x:v>
      </x:c>
    </x:row>
    <x:row r="106" ht="30" customHeight="1">
      <x:c r="A106" s="26" t="str">
        <x:v>R-PUB-006</x:v>
      </x:c>
      <x:c r="B106" s="26" t="str">
        <x:v>Publishing, Marketing &amp; Reputation</x:v>
      </x:c>
      <x:c r="C106" s="26" t="str">
        <x:v>Impersonation</x:v>
      </x:c>
      <x:c r="D106" s="26" t="str">
        <x:v>Existe el riesgo de que ocurra lo siguiente: Tercero suplanta estudio/producto.</x:v>
      </x:c>
      <x:c r="E106" s="26" t="str">
        <x:v>Marketing/Post-launch</x:v>
      </x:c>
      <x:c r="F106" s="26" t="n">
        <x:v>8</x:v>
      </x:c>
      <x:c r="G106" s="26" t="str">
        <x:v>MEDIUM</x:v>
      </x:c>
      <x:c r="H106" s="26" t="n">
        <x:v>8</x:v>
      </x:c>
      <x:c r="I106" s="26" t="str">
        <x:v>MEDIUM</x:v>
      </x:c>
      <x:c r="J106" s="26" t="str">
        <x:v>WITHIN TOLERANCE</x:v>
      </x:c>
      <x:c r="K106" s="26" t="str">
        <x:v>Publishing / Marketing</x:v>
      </x:c>
      <x:c r="L106" s="26" t="str">
        <x:v>Project Owner</x:v>
      </x:c>
      <x:c r="M106" s="26" t="str">
        <x:v>Cuenta/store falsa</x:v>
      </x:c>
      <x:c r="N106" s="26" t="str">
        <x:v>Pausar campaña/publicación y centralizar comunicación.</x:v>
      </x:c>
      <x:c r="O106" s="26" t="str">
        <x:v>Publicar corrección transparente, actualizar store/assets y monitorizar impacto.</x:v>
      </x:c>
      <x:c r="P106" s="26" t="str">
        <x:v>BIA-11</x:v>
      </x:c>
      <x:c r="Q106" s="26" t="str">
        <x:v>PB-11</x:v>
      </x:c>
      <x:c r="R106" s="26" t="str">
        <x:v>TA-PUB-006</x:v>
      </x:c>
      <x:c r="S106" s="26" t="str">
        <x:v>23, 24, 25, 27, 28, 29, 30, 31</x:v>
      </x:c>
      <x:c r="T106" s="26" t="str">
        <x:v>Steam/Marketing Plans v0.3–v0.6 y requisitos de publicación</x:v>
      </x:c>
      <x:c r="U106" s="26" t="str">
        <x:v>OPEN</x:v>
      </x:c>
      <x:c r="V106" s="26" t="str">
        <x:v>UNVERIFIED</x:v>
      </x:c>
      <x:c r="W106" s="26" t="n">
        <x:v>0</x:v>
      </x:c>
      <x:c r="X106" s="26" t="str">
        <x:v>CHG-RISK-R-PUB-006</x:v>
      </x:c>
    </x:row>
    <x:row r="107" ht="30" customHeight="1">
      <x:c r="A107" s="26" t="str">
        <x:v>R-PUB-007</x:v>
      </x:c>
      <x:c r="B107" s="26" t="str">
        <x:v>Publishing, Marketing &amp; Reputation</x:v>
      </x:c>
      <x:c r="C107" s="26" t="str">
        <x:v>Press leak</x:v>
      </x:c>
      <x:c r="D107" s="26" t="str">
        <x:v>Existe el riesgo de que ocurra lo siguiente: Material no aprobado se distribuye antes de embargo.</x:v>
      </x:c>
      <x:c r="E107" s="26" t="str">
        <x:v>Marketing</x:v>
      </x:c>
      <x:c r="F107" s="26" t="n">
        <x:v>8</x:v>
      </x:c>
      <x:c r="G107" s="26" t="str">
        <x:v>MEDIUM</x:v>
      </x:c>
      <x:c r="H107" s="26" t="n">
        <x:v>8</x:v>
      </x:c>
      <x:c r="I107" s="26" t="str">
        <x:v>MEDIUM</x:v>
      </x:c>
      <x:c r="J107" s="26" t="str">
        <x:v>WITHIN TOLERANCE</x:v>
      </x:c>
      <x:c r="K107" s="26" t="str">
        <x:v>Publishing / Marketing</x:v>
      </x:c>
      <x:c r="L107" s="26" t="str">
        <x:v>Project Owner</x:v>
      </x:c>
      <x:c r="M107" s="26" t="str">
        <x:v>Link/asset compartido</x:v>
      </x:c>
      <x:c r="N107" s="26" t="str">
        <x:v>Pausar campaña/publicación y centralizar comunicación.</x:v>
      </x:c>
      <x:c r="O107" s="26" t="str">
        <x:v>Publicar corrección transparente, actualizar store/assets y monitorizar impacto.</x:v>
      </x:c>
      <x:c r="P107" s="26" t="str">
        <x:v>BIA-11</x:v>
      </x:c>
      <x:c r="Q107" s="26" t="str">
        <x:v>PB-11</x:v>
      </x:c>
      <x:c r="R107" s="26" t="str">
        <x:v>TA-PUB-007</x:v>
      </x:c>
      <x:c r="S107" s="26" t="str">
        <x:v>23, 24, 25, 27, 28, 29, 30, 31</x:v>
      </x:c>
      <x:c r="T107" s="26" t="str">
        <x:v>Steam/Marketing Plans v0.3–v0.6 y requisitos de publicación</x:v>
      </x:c>
      <x:c r="U107" s="26" t="str">
        <x:v>OPEN</x:v>
      </x:c>
      <x:c r="V107" s="26" t="str">
        <x:v>UNVERIFIED</x:v>
      </x:c>
      <x:c r="W107" s="26" t="n">
        <x:v>0</x:v>
      </x:c>
      <x:c r="X107" s="26" t="str">
        <x:v>CHG-RISK-R-PUB-007</x:v>
      </x:c>
    </x:row>
    <x:row r="108" ht="30" customHeight="1">
      <x:c r="A108" s="26" t="str">
        <x:v>R-PUB-008</x:v>
      </x:c>
      <x:c r="B108" s="26" t="str">
        <x:v>Publishing, Marketing &amp; Reputation</x:v>
      </x:c>
      <x:c r="C108" s="26" t="str">
        <x:v>Algorithm dependence</x:v>
      </x:c>
      <x:c r="D108" s="26" t="str">
        <x:v>Existe el riesgo de que ocurra lo siguiente: Descubrimiento depende de un único canal.</x:v>
      </x:c>
      <x:c r="E108" s="26" t="str">
        <x:v>Marketing</x:v>
      </x:c>
      <x:c r="F108" s="26" t="n">
        <x:v>12</x:v>
      </x:c>
      <x:c r="G108" s="26" t="str">
        <x:v>HIGH</x:v>
      </x:c>
      <x:c r="H108" s="26" t="n">
        <x:v>12</x:v>
      </x:c>
      <x:c r="I108" s="26" t="str">
        <x:v>HIGH</x:v>
      </x:c>
      <x:c r="J108" s="26" t="str">
        <x:v>OUTSIDE TOLERANCE</x:v>
      </x:c>
      <x:c r="K108" s="26" t="str">
        <x:v>Publishing / Marketing</x:v>
      </x:c>
      <x:c r="L108" s="26" t="str">
        <x:v>Project Owner</x:v>
      </x:c>
      <x:c r="M108" s="26" t="str">
        <x:v>&gt;60% tráfico de una fuente</x:v>
      </x:c>
      <x:c r="N108" s="26" t="str">
        <x:v>Pausar campaña/publicación y centralizar comunicación.</x:v>
      </x:c>
      <x:c r="O108" s="26" t="str">
        <x:v>Publicar corrección transparente, actualizar store/assets y monitorizar impacto.</x:v>
      </x:c>
      <x:c r="P108" s="26" t="str">
        <x:v>BIA-11</x:v>
      </x:c>
      <x:c r="Q108" s="26" t="str">
        <x:v>PB-11</x:v>
      </x:c>
      <x:c r="R108" s="26" t="str">
        <x:v>TA-PUB-008</x:v>
      </x:c>
      <x:c r="S108" s="26" t="str">
        <x:v>23, 24, 25, 27, 28, 29, 30, 31</x:v>
      </x:c>
      <x:c r="T108" s="26" t="str">
        <x:v>Steam/Marketing Plans v0.3–v0.6 y requisitos de publicación</x:v>
      </x:c>
      <x:c r="U108" s="26" t="str">
        <x:v>OPEN</x:v>
      </x:c>
      <x:c r="V108" s="26" t="str">
        <x:v>UNVERIFIED</x:v>
      </x:c>
      <x:c r="W108" s="26" t="n">
        <x:v>1</x:v>
      </x:c>
      <x:c r="X108" s="26" t="str">
        <x:v>CHG-RISK-R-PUB-008</x:v>
      </x:c>
    </x:row>
    <x:row r="109" ht="30" customHeight="1">
      <x:c r="A109" s="26" t="str">
        <x:v>R-ACC-001</x:v>
      </x:c>
      <x:c r="B109" s="26" t="str">
        <x:v>Accessibility &amp; Inclusion</x:v>
      </x:c>
      <x:c r="C109" s="26" t="str">
        <x:v>Keyboard/mouse barrier</x:v>
      </x:c>
      <x:c r="D109" s="26" t="str">
        <x:v>Existe el riesgo de que ocurra lo siguiente: Golden Path requiere interacción no accesible por teclado.</x:v>
      </x:c>
      <x:c r="E109" s="26" t="str">
        <x:v>H6/Release</x:v>
      </x:c>
      <x:c r="F109" s="26" t="n">
        <x:v>15</x:v>
      </x:c>
      <x:c r="G109" s="26" t="str">
        <x:v>HIGH</x:v>
      </x:c>
      <x:c r="H109" s="26" t="n">
        <x:v>15</x:v>
      </x:c>
      <x:c r="I109" s="26" t="str">
        <x:v>HIGH</x:v>
      </x:c>
      <x:c r="J109" s="26" t="str">
        <x:v>OUTSIDE TOLERANCE</x:v>
      </x:c>
      <x:c r="K109" s="26" t="str">
        <x:v>Accessibility / UX / QA</x:v>
      </x:c>
      <x:c r="L109" s="26" t="str">
        <x:v>Production</x:v>
      </x:c>
      <x:c r="M109" s="26" t="str">
        <x:v>Modal/foco no navegable</x:v>
      </x:c>
      <x:c r="N109" s="26" t="str">
        <x:v>Retirar claim o bloquear gate si la barrera impide completar la experiencia.</x:v>
      </x:c>
      <x:c r="O109" s="26" t="str">
        <x:v>Corregir UI/input/audio/copy y repetir pruebas inclusivas.</x:v>
      </x:c>
      <x:c r="P109" s="26" t="str">
        <x:v>BIA-12</x:v>
      </x:c>
      <x:c r="Q109" s="26" t="str">
        <x:v>PB-12</x:v>
      </x:c>
      <x:c r="R109" s="26" t="str">
        <x:v>TA-ACC-001</x:v>
      </x:c>
      <x:c r="S109" s="26" t="str">
        <x:v>05, 07, 08, 17, 18, 19, 22, 24, 28, 29, 31</x:v>
      </x:c>
      <x:c r="T109" s="26" t="str">
        <x:v>UX/UI/GDD/QA/localización/arte/audio distribuidos en v0.3–v0.6</x:v>
      </x:c>
      <x:c r="U109" s="26" t="str">
        <x:v>OPEN</x:v>
      </x:c>
      <x:c r="V109" s="26" t="str">
        <x:v>UNVERIFIED</x:v>
      </x:c>
      <x:c r="W109" s="26" t="n">
        <x:v>1</x:v>
      </x:c>
      <x:c r="X109" s="26" t="str">
        <x:v>CHG-RISK-R-ACC-001</x:v>
      </x:c>
    </x:row>
    <x:row r="110" ht="30" customHeight="1">
      <x:c r="A110" s="26" t="str">
        <x:v>R-ACC-002</x:v>
      </x:c>
      <x:c r="B110" s="26" t="str">
        <x:v>Accessibility &amp; Inclusion</x:v>
      </x:c>
      <x:c r="C110" s="26" t="str">
        <x:v>Controller gap</x:v>
      </x:c>
      <x:c r="D110" s="26" t="str">
        <x:v>Existe el riesgo de que ocurra lo siguiente: Se declara mando completo sin prueba integral.</x:v>
      </x:c>
      <x:c r="E110" s="26" t="str">
        <x:v>Publishing</x:v>
      </x:c>
      <x:c r="F110" s="26" t="n">
        <x:v>15</x:v>
      </x:c>
      <x:c r="G110" s="26" t="str">
        <x:v>HIGH</x:v>
      </x:c>
      <x:c r="H110" s="26" t="n">
        <x:v>15</x:v>
      </x:c>
      <x:c r="I110" s="26" t="str">
        <x:v>HIGH</x:v>
      </x:c>
      <x:c r="J110" s="26" t="str">
        <x:v>OUTSIDE TOLERANCE</x:v>
      </x:c>
      <x:c r="K110" s="26" t="str">
        <x:v>Accessibility / UX / QA</x:v>
      </x:c>
      <x:c r="L110" s="26" t="str">
        <x:v>Production</x:v>
      </x:c>
      <x:c r="M110" s="26" t="str">
        <x:v>Claim antes de validation</x:v>
      </x:c>
      <x:c r="N110" s="26" t="str">
        <x:v>Retirar claim o bloquear gate si la barrera impide completar la experiencia.</x:v>
      </x:c>
      <x:c r="O110" s="26" t="str">
        <x:v>Corregir UI/input/audio/copy y repetir pruebas inclusivas.</x:v>
      </x:c>
      <x:c r="P110" s="26" t="str">
        <x:v>BIA-12</x:v>
      </x:c>
      <x:c r="Q110" s="26" t="str">
        <x:v>PB-12</x:v>
      </x:c>
      <x:c r="R110" s="26" t="str">
        <x:v>TA-ACC-002</x:v>
      </x:c>
      <x:c r="S110" s="26" t="str">
        <x:v>05, 07, 08, 17, 18, 19, 22, 24, 28, 29, 31</x:v>
      </x:c>
      <x:c r="T110" s="26" t="str">
        <x:v>UX/UI/GDD/QA/localización/arte/audio distribuidos en v0.3–v0.6</x:v>
      </x:c>
      <x:c r="U110" s="26" t="str">
        <x:v>OPEN</x:v>
      </x:c>
      <x:c r="V110" s="26" t="str">
        <x:v>UNVERIFIED</x:v>
      </x:c>
      <x:c r="W110" s="26" t="n">
        <x:v>1</x:v>
      </x:c>
      <x:c r="X110" s="26" t="str">
        <x:v>CHG-RISK-R-ACC-002</x:v>
      </x:c>
    </x:row>
    <x:row r="111" ht="30" customHeight="1">
      <x:c r="A111" s="26" t="str">
        <x:v>R-ACC-003</x:v>
      </x:c>
      <x:c r="B111" s="26" t="str">
        <x:v>Accessibility &amp; Inclusion</x:v>
      </x:c>
      <x:c r="C111" s="26" t="str">
        <x:v>Color dependence</x:v>
      </x:c>
      <x:c r="D111" s="26" t="str">
        <x:v>Existe el riesgo de que ocurra lo siguiente: Estado crítico depende solo del color.</x:v>
      </x:c>
      <x:c r="E111" s="26" t="str">
        <x:v>All</x:v>
      </x:c>
      <x:c r="F111" s="26" t="n">
        <x:v>16</x:v>
      </x:c>
      <x:c r="G111" s="26" t="str">
        <x:v>HIGH</x:v>
      </x:c>
      <x:c r="H111" s="26" t="n">
        <x:v>16</x:v>
      </x:c>
      <x:c r="I111" s="26" t="str">
        <x:v>HIGH</x:v>
      </x:c>
      <x:c r="J111" s="26" t="str">
        <x:v>OUTSIDE TOLERANCE</x:v>
      </x:c>
      <x:c r="K111" s="26" t="str">
        <x:v>Accessibility / UX / QA</x:v>
      </x:c>
      <x:c r="L111" s="26" t="str">
        <x:v>Production</x:v>
      </x:c>
      <x:c r="M111" s="26" t="str">
        <x:v>UI review detecta falta de redundancia</x:v>
      </x:c>
      <x:c r="N111" s="26" t="str">
        <x:v>Retirar claim o bloquear gate si la barrera impide completar la experiencia.</x:v>
      </x:c>
      <x:c r="O111" s="26" t="str">
        <x:v>Corregir UI/input/audio/copy y repetir pruebas inclusivas.</x:v>
      </x:c>
      <x:c r="P111" s="26" t="str">
        <x:v>BIA-12</x:v>
      </x:c>
      <x:c r="Q111" s="26" t="str">
        <x:v>PB-12</x:v>
      </x:c>
      <x:c r="R111" s="26" t="str">
        <x:v>TA-ACC-003</x:v>
      </x:c>
      <x:c r="S111" s="26" t="str">
        <x:v>05, 07, 08, 17, 18, 19, 22, 24, 28, 29, 31</x:v>
      </x:c>
      <x:c r="T111" s="26" t="str">
        <x:v>UX/UI/GDD/QA/localización/arte/audio distribuidos en v0.3–v0.6</x:v>
      </x:c>
      <x:c r="U111" s="26" t="str">
        <x:v>OPEN</x:v>
      </x:c>
      <x:c r="V111" s="26" t="str">
        <x:v>UNVERIFIED</x:v>
      </x:c>
      <x:c r="W111" s="26" t="n">
        <x:v>1</x:v>
      </x:c>
      <x:c r="X111" s="26" t="str">
        <x:v>CHG-RISK-R-ACC-003</x:v>
      </x:c>
    </x:row>
    <x:row r="112" ht="30" customHeight="1">
      <x:c r="A112" s="26" t="str">
        <x:v>R-ACC-004</x:v>
      </x:c>
      <x:c r="B112" s="26" t="str">
        <x:v>Accessibility &amp; Inclusion</x:v>
      </x:c>
      <x:c r="C112" s="26" t="str">
        <x:v>Text scaling</x:v>
      </x:c>
      <x:c r="D112" s="26" t="str">
        <x:v>Existe el riesgo de que ocurra lo siguiente: UI rompe a 150% o con localización.</x:v>
      </x:c>
      <x:c r="E112" s="26" t="str">
        <x:v>H6/Release</x:v>
      </x:c>
      <x:c r="F112" s="26" t="n">
        <x:v>16</x:v>
      </x:c>
      <x:c r="G112" s="26" t="str">
        <x:v>HIGH</x:v>
      </x:c>
      <x:c r="H112" s="26" t="n">
        <x:v>16</x:v>
      </x:c>
      <x:c r="I112" s="26" t="str">
        <x:v>HIGH</x:v>
      </x:c>
      <x:c r="J112" s="26" t="str">
        <x:v>OUTSIDE TOLERANCE</x:v>
      </x:c>
      <x:c r="K112" s="26" t="str">
        <x:v>Accessibility / UX / QA</x:v>
      </x:c>
      <x:c r="L112" s="26" t="str">
        <x:v>Production</x:v>
      </x:c>
      <x:c r="M112" s="26" t="str">
        <x:v>Clipping/overlap en test</x:v>
      </x:c>
      <x:c r="N112" s="26" t="str">
        <x:v>Retirar claim o bloquear gate si la barrera impide completar la experiencia.</x:v>
      </x:c>
      <x:c r="O112" s="26" t="str">
        <x:v>Corregir UI/input/audio/copy y repetir pruebas inclusivas.</x:v>
      </x:c>
      <x:c r="P112" s="26" t="str">
        <x:v>BIA-12</x:v>
      </x:c>
      <x:c r="Q112" s="26" t="str">
        <x:v>PB-12</x:v>
      </x:c>
      <x:c r="R112" s="26" t="str">
        <x:v>TA-ACC-004</x:v>
      </x:c>
      <x:c r="S112" s="26" t="str">
        <x:v>05, 07, 08, 17, 18, 19, 22, 24, 28, 29, 31</x:v>
      </x:c>
      <x:c r="T112" s="26" t="str">
        <x:v>UX/UI/GDD/QA/localización/arte/audio distribuidos en v0.3–v0.6</x:v>
      </x:c>
      <x:c r="U112" s="26" t="str">
        <x:v>OPEN</x:v>
      </x:c>
      <x:c r="V112" s="26" t="str">
        <x:v>UNVERIFIED</x:v>
      </x:c>
      <x:c r="W112" s="26" t="n">
        <x:v>1</x:v>
      </x:c>
      <x:c r="X112" s="26" t="str">
        <x:v>CHG-RISK-R-ACC-004</x:v>
      </x:c>
    </x:row>
    <x:row r="113" ht="30" customHeight="1">
      <x:c r="A113" s="26" t="str">
        <x:v>R-ACC-005</x:v>
      </x:c>
      <x:c r="B113" s="26" t="str">
        <x:v>Accessibility &amp; Inclusion</x:v>
      </x:c>
      <x:c r="C113" s="26" t="str">
        <x:v>Captions gap</x:v>
      </x:c>
      <x:c r="D113" s="26" t="str">
        <x:v>Existe el riesgo de que ocurra lo siguiente: Audio relevante carece de equivalente visual.</x:v>
      </x:c>
      <x:c r="E113" s="26" t="str">
        <x:v>Release</x:v>
      </x:c>
      <x:c r="F113" s="26" t="n">
        <x:v>12</x:v>
      </x:c>
      <x:c r="G113" s="26" t="str">
        <x:v>HIGH</x:v>
      </x:c>
      <x:c r="H113" s="26" t="n">
        <x:v>12</x:v>
      </x:c>
      <x:c r="I113" s="26" t="str">
        <x:v>HIGH</x:v>
      </x:c>
      <x:c r="J113" s="26" t="str">
        <x:v>OUTSIDE TOLERANCE</x:v>
      </x:c>
      <x:c r="K113" s="26" t="str">
        <x:v>Accessibility / UX / QA</x:v>
      </x:c>
      <x:c r="L113" s="26" t="str">
        <x:v>Production</x:v>
      </x:c>
      <x:c r="M113" s="26" t="str">
        <x:v>Evento solo audible</x:v>
      </x:c>
      <x:c r="N113" s="26" t="str">
        <x:v>Retirar claim o bloquear gate si la barrera impide completar la experiencia.</x:v>
      </x:c>
      <x:c r="O113" s="26" t="str">
        <x:v>Corregir UI/input/audio/copy y repetir pruebas inclusivas.</x:v>
      </x:c>
      <x:c r="P113" s="26" t="str">
        <x:v>BIA-12</x:v>
      </x:c>
      <x:c r="Q113" s="26" t="str">
        <x:v>PB-12</x:v>
      </x:c>
      <x:c r="R113" s="26" t="str">
        <x:v>TA-ACC-005</x:v>
      </x:c>
      <x:c r="S113" s="26" t="str">
        <x:v>05, 07, 08, 17, 18, 19, 22, 24, 28, 29, 31</x:v>
      </x:c>
      <x:c r="T113" s="26" t="str">
        <x:v>UX/UI/GDD/QA/localización/arte/audio distribuidos en v0.3–v0.6</x:v>
      </x:c>
      <x:c r="U113" s="26" t="str">
        <x:v>OPEN</x:v>
      </x:c>
      <x:c r="V113" s="26" t="str">
        <x:v>UNVERIFIED</x:v>
      </x:c>
      <x:c r="W113" s="26" t="n">
        <x:v>1</x:v>
      </x:c>
      <x:c r="X113" s="26" t="str">
        <x:v>CHG-RISK-R-ACC-005</x:v>
      </x:c>
    </x:row>
    <x:row r="114" ht="30" customHeight="1">
      <x:c r="A114" s="26" t="str">
        <x:v>R-ACC-006</x:v>
      </x:c>
      <x:c r="B114" s="26" t="str">
        <x:v>Accessibility &amp; Inclusion</x:v>
      </x:c>
      <x:c r="C114" s="26" t="str">
        <x:v>Motion/photosensitivity</x:v>
      </x:c>
      <x:c r="D114" s="26" t="str">
        <x:v>Existe el riesgo de que ocurra lo siguiente: VFX/cámara causan malestar o riesgo.</x:v>
      </x:c>
      <x:c r="E114" s="26" t="str">
        <x:v>H6/Release</x:v>
      </x:c>
      <x:c r="F114" s="26" t="n">
        <x:v>10</x:v>
      </x:c>
      <x:c r="G114" s="26" t="str">
        <x:v>MEDIUM</x:v>
      </x:c>
      <x:c r="H114" s="26" t="n">
        <x:v>10</x:v>
      </x:c>
      <x:c r="I114" s="26" t="str">
        <x:v>MEDIUM</x:v>
      </x:c>
      <x:c r="J114" s="26" t="str">
        <x:v>OUTSIDE TOLERANCE</x:v>
      </x:c>
      <x:c r="K114" s="26" t="str">
        <x:v>Accessibility / UX / QA</x:v>
      </x:c>
      <x:c r="L114" s="26" t="str">
        <x:v>Production</x:v>
      </x:c>
      <x:c r="M114" s="26" t="str">
        <x:v>Flash/motion audit falla</x:v>
      </x:c>
      <x:c r="N114" s="26" t="str">
        <x:v>Retirar claim o bloquear gate si la barrera impide completar la experiencia.</x:v>
      </x:c>
      <x:c r="O114" s="26" t="str">
        <x:v>Corregir UI/input/audio/copy y repetir pruebas inclusivas.</x:v>
      </x:c>
      <x:c r="P114" s="26" t="str">
        <x:v>BIA-12</x:v>
      </x:c>
      <x:c r="Q114" s="26" t="str">
        <x:v>PB-12</x:v>
      </x:c>
      <x:c r="R114" s="26" t="str">
        <x:v>TA-ACC-006</x:v>
      </x:c>
      <x:c r="S114" s="26" t="str">
        <x:v>05, 07, 08, 17, 18, 19, 22, 24, 28, 29, 31</x:v>
      </x:c>
      <x:c r="T114" s="26" t="str">
        <x:v>UX/UI/GDD/QA/localización/arte/audio distribuidos en v0.3–v0.6</x:v>
      </x:c>
      <x:c r="U114" s="26" t="str">
        <x:v>OPEN</x:v>
      </x:c>
      <x:c r="V114" s="26" t="str">
        <x:v>UNVERIFIED</x:v>
      </x:c>
      <x:c r="W114" s="26" t="n">
        <x:v>1</x:v>
      </x:c>
      <x:c r="X114" s="26" t="str">
        <x:v>CHG-RISK-R-ACC-006</x:v>
      </x:c>
    </x:row>
    <x:row r="115" ht="30" customHeight="1">
      <x:c r="A115" s="26" t="str">
        <x:v>R-ACC-007</x:v>
      </x:c>
      <x:c r="B115" s="26" t="str">
        <x:v>Accessibility &amp; Inclusion</x:v>
      </x:c>
      <x:c r="C115" s="26" t="str">
        <x:v>Cognitive overload</x:v>
      </x:c>
      <x:c r="D115" s="26" t="str">
        <x:v>Existe el riesgo de que ocurra lo siguiente: Errores/tutorial no explican recuperación.</x:v>
      </x:c>
      <x:c r="E115" s="26" t="str">
        <x:v>All</x:v>
      </x:c>
      <x:c r="F115" s="26" t="n">
        <x:v>12</x:v>
      </x:c>
      <x:c r="G115" s="26" t="str">
        <x:v>HIGH</x:v>
      </x:c>
      <x:c r="H115" s="26" t="n">
        <x:v>12</x:v>
      </x:c>
      <x:c r="I115" s="26" t="str">
        <x:v>HIGH</x:v>
      </x:c>
      <x:c r="J115" s="26" t="str">
        <x:v>OUTSIDE TOLERANCE</x:v>
      </x:c>
      <x:c r="K115" s="26" t="str">
        <x:v>Accessibility / UX / QA</x:v>
      </x:c>
      <x:c r="L115" s="26" t="str">
        <x:v>Production</x:v>
      </x:c>
      <x:c r="M115" s="26" t="str">
        <x:v>Playtest no completa tarea</x:v>
      </x:c>
      <x:c r="N115" s="26" t="str">
        <x:v>Retirar claim o bloquear gate si la barrera impide completar la experiencia.</x:v>
      </x:c>
      <x:c r="O115" s="26" t="str">
        <x:v>Corregir UI/input/audio/copy y repetir pruebas inclusivas.</x:v>
      </x:c>
      <x:c r="P115" s="26" t="str">
        <x:v>BIA-12</x:v>
      </x:c>
      <x:c r="Q115" s="26" t="str">
        <x:v>PB-12</x:v>
      </x:c>
      <x:c r="R115" s="26" t="str">
        <x:v>TA-ACC-007</x:v>
      </x:c>
      <x:c r="S115" s="26" t="str">
        <x:v>05, 07, 08, 17, 18, 19, 22, 24, 28, 29, 31</x:v>
      </x:c>
      <x:c r="T115" s="26" t="str">
        <x:v>UX/UI/GDD/QA/localización/arte/audio distribuidos en v0.3–v0.6</x:v>
      </x:c>
      <x:c r="U115" s="26" t="str">
        <x:v>OPEN</x:v>
      </x:c>
      <x:c r="V115" s="26" t="str">
        <x:v>UNVERIFIED</x:v>
      </x:c>
      <x:c r="W115" s="26" t="n">
        <x:v>1</x:v>
      </x:c>
      <x:c r="X115" s="26" t="str">
        <x:v>CHG-RISK-R-ACC-007</x:v>
      </x:c>
    </x:row>
    <x:row r="116" ht="30" customHeight="1">
      <x:c r="A116" s="26" t="str">
        <x:v>R-ACC-008</x:v>
      </x:c>
      <x:c r="B116" s="26" t="str">
        <x:v>Accessibility &amp; Inclusion</x:v>
      </x:c>
      <x:c r="C116" s="26" t="str">
        <x:v>Inclusive content</x:v>
      </x:c>
      <x:c r="D116" s="26" t="str">
        <x:v>Existe el riesgo de que ocurra lo siguiente: Representación o copy produce daño evitable.</x:v>
      </x:c>
      <x:c r="E116" s="26" t="str">
        <x:v>All</x:v>
      </x:c>
      <x:c r="F116" s="26" t="n">
        <x:v>8</x:v>
      </x:c>
      <x:c r="G116" s="26" t="str">
        <x:v>MEDIUM</x:v>
      </x:c>
      <x:c r="H116" s="26" t="n">
        <x:v>8</x:v>
      </x:c>
      <x:c r="I116" s="26" t="str">
        <x:v>MEDIUM</x:v>
      </x:c>
      <x:c r="J116" s="26" t="str">
        <x:v>OUTSIDE TOLERANCE</x:v>
      </x:c>
      <x:c r="K116" s="26" t="str">
        <x:v>Accessibility / UX / QA</x:v>
      </x:c>
      <x:c r="L116" s="26" t="str">
        <x:v>Production</x:v>
      </x:c>
      <x:c r="M116" s="26" t="str">
        <x:v>Review/playtest señala patrón</x:v>
      </x:c>
      <x:c r="N116" s="26" t="str">
        <x:v>Retirar claim o bloquear gate si la barrera impide completar la experiencia.</x:v>
      </x:c>
      <x:c r="O116" s="26" t="str">
        <x:v>Corregir UI/input/audio/copy y repetir pruebas inclusivas.</x:v>
      </x:c>
      <x:c r="P116" s="26" t="str">
        <x:v>BIA-12</x:v>
      </x:c>
      <x:c r="Q116" s="26" t="str">
        <x:v>PB-12</x:v>
      </x:c>
      <x:c r="R116" s="26" t="str">
        <x:v>TA-ACC-008</x:v>
      </x:c>
      <x:c r="S116" s="26" t="str">
        <x:v>05, 07, 08, 17, 18, 19, 22, 24, 28, 29, 31</x:v>
      </x:c>
      <x:c r="T116" s="26" t="str">
        <x:v>UX/UI/GDD/QA/localización/arte/audio distribuidos en v0.3–v0.6</x:v>
      </x:c>
      <x:c r="U116" s="26" t="str">
        <x:v>OPEN</x:v>
      </x:c>
      <x:c r="V116" s="26" t="str">
        <x:v>UNVERIFIED</x:v>
      </x:c>
      <x:c r="W116" s="26" t="n">
        <x:v>1</x:v>
      </x:c>
      <x:c r="X116" s="26" t="str">
        <x:v>CHG-RISK-R-ACC-008</x:v>
      </x:c>
    </x:row>
    <x:row r="117" ht="30" customHeight="1">
      <x:c r="A117" s="26" t="str">
        <x:v>R-CNT-001</x:v>
      </x:c>
      <x:c r="B117" s="26" t="str">
        <x:v>Art, Audio &amp; Content</x:v>
      </x:c>
      <x:c r="C117" s="26" t="str">
        <x:v>Placeholder leakage</x:v>
      </x:c>
      <x:c r="D117" s="26" t="str">
        <x:v>Existe el riesgo de que ocurra lo siguiente: Placeholder visible llega a H6/Store.</x:v>
      </x:c>
      <x:c r="E117" s="26" t="str">
        <x:v>H6/Marketing</x:v>
      </x:c>
      <x:c r="F117" s="26" t="n">
        <x:v>16</x:v>
      </x:c>
      <x:c r="G117" s="26" t="str">
        <x:v>HIGH</x:v>
      </x:c>
      <x:c r="H117" s="26" t="n">
        <x:v>16</x:v>
      </x:c>
      <x:c r="I117" s="26" t="str">
        <x:v>HIGH</x:v>
      </x:c>
      <x:c r="J117" s="26" t="str">
        <x:v>OUTSIDE TOLERANCE</x:v>
      </x:c>
      <x:c r="K117" s="26" t="str">
        <x:v>Art / Audio / Content</x:v>
      </x:c>
      <x:c r="L117" s="26" t="str">
        <x:v>Production</x:v>
      </x:c>
      <x:c r="M117" s="26" t="str">
        <x:v>Review detecta placeholder</x:v>
      </x:c>
      <x:c r="N117" s="26" t="str">
        <x:v>Cuarentenar asset y restaurar versión aprobada.</x:v>
      </x:c>
      <x:c r="O117" s="26" t="str">
        <x:v>Reimportar desde fuente, regenerar derivados y verificar escenas/build.</x:v>
      </x:c>
      <x:c r="P117" s="26" t="str">
        <x:v>BIA-13</x:v>
      </x:c>
      <x:c r="Q117" s="26" t="str">
        <x:v>PB-13</x:v>
      </x:c>
      <x:c r="R117" s="26" t="str">
        <x:v>TA-CNT-001</x:v>
      </x:c>
      <x:c r="S117" s="26" t="str">
        <x:v>17, 18, 19, 21, 22, 23, 28, 30, 31</x:v>
      </x:c>
      <x:c r="T117" s="26" t="str">
        <x:v>Art/Audio/UI/Content/Localization baselines y Sprint 16</x:v>
      </x:c>
      <x:c r="U117" s="26" t="str">
        <x:v>OPEN</x:v>
      </x:c>
      <x:c r="V117" s="26" t="str">
        <x:v>UNVERIFIED</x:v>
      </x:c>
      <x:c r="W117" s="26" t="n">
        <x:v>1</x:v>
      </x:c>
      <x:c r="X117" s="26" t="str">
        <x:v>CHG-RISK-R-CNT-001</x:v>
      </x:c>
    </x:row>
    <x:row r="118" ht="30" customHeight="1">
      <x:c r="A118" s="26" t="str">
        <x:v>R-CNT-002</x:v>
      </x:c>
      <x:c r="B118" s="26" t="str">
        <x:v>Art, Audio &amp; Content</x:v>
      </x:c>
      <x:c r="C118" s="26" t="str">
        <x:v>Source loss</x:v>
      </x:c>
      <x:c r="D118" s="26" t="str">
        <x:v>Existe el riesgo de que ocurra lo siguiente: Archivo fuente de arte/audio se pierde.</x:v>
      </x:c>
      <x:c r="E118" s="26" t="str">
        <x:v>All</x:v>
      </x:c>
      <x:c r="F118" s="26" t="n">
        <x:v>15</x:v>
      </x:c>
      <x:c r="G118" s="26" t="str">
        <x:v>HIGH</x:v>
      </x:c>
      <x:c r="H118" s="26" t="n">
        <x:v>15</x:v>
      </x:c>
      <x:c r="I118" s="26" t="str">
        <x:v>HIGH</x:v>
      </x:c>
      <x:c r="J118" s="26" t="str">
        <x:v>OUTSIDE TOLERANCE</x:v>
      </x:c>
      <x:c r="K118" s="26" t="str">
        <x:v>Art / Audio / Content</x:v>
      </x:c>
      <x:c r="L118" s="26" t="str">
        <x:v>Production</x:v>
      </x:c>
      <x:c r="M118" s="26" t="str">
        <x:v>Solo derivado existe</x:v>
      </x:c>
      <x:c r="N118" s="26" t="str">
        <x:v>Cuarentenar asset y restaurar versión aprobada.</x:v>
      </x:c>
      <x:c r="O118" s="26" t="str">
        <x:v>Reimportar desde fuente, regenerar derivados y verificar escenas/build.</x:v>
      </x:c>
      <x:c r="P118" s="26" t="str">
        <x:v>BIA-13</x:v>
      </x:c>
      <x:c r="Q118" s="26" t="str">
        <x:v>PB-13</x:v>
      </x:c>
      <x:c r="R118" s="26" t="str">
        <x:v>TA-CNT-002</x:v>
      </x:c>
      <x:c r="S118" s="26" t="str">
        <x:v>17, 18, 19, 21, 22, 23, 28, 30, 31</x:v>
      </x:c>
      <x:c r="T118" s="26" t="str">
        <x:v>Art/Audio/UI/Content/Localization baselines y Sprint 16</x:v>
      </x:c>
      <x:c r="U118" s="26" t="str">
        <x:v>OPEN</x:v>
      </x:c>
      <x:c r="V118" s="26" t="str">
        <x:v>UNVERIFIED</x:v>
      </x:c>
      <x:c r="W118" s="26" t="n">
        <x:v>1</x:v>
      </x:c>
      <x:c r="X118" s="26" t="str">
        <x:v>CHG-RISK-R-CNT-002</x:v>
      </x:c>
    </x:row>
    <x:row r="119" ht="30" customHeight="1">
      <x:c r="A119" s="26" t="str">
        <x:v>R-CNT-003</x:v>
      </x:c>
      <x:c r="B119" s="26" t="str">
        <x:v>Art, Audio &amp; Content</x:v>
      </x:c>
      <x:c r="C119" s="26" t="str">
        <x:v>GUID breakage</x:v>
      </x:c>
      <x:c r="D119" s="26" t="str">
        <x:v>Existe el riesgo de que ocurra lo siguiente: Mover/renombrar asset rompe referencias.</x:v>
      </x:c>
      <x:c r="E119" s="26" t="str">
        <x:v>Development</x:v>
      </x:c>
      <x:c r="F119" s="26" t="n">
        <x:v>15</x:v>
      </x:c>
      <x:c r="G119" s="26" t="str">
        <x:v>HIGH</x:v>
      </x:c>
      <x:c r="H119" s="26" t="n">
        <x:v>15</x:v>
      </x:c>
      <x:c r="I119" s="26" t="str">
        <x:v>HIGH</x:v>
      </x:c>
      <x:c r="J119" s="26" t="str">
        <x:v>OUTSIDE TOLERANCE</x:v>
      </x:c>
      <x:c r="K119" s="26" t="str">
        <x:v>Art / Audio / Content</x:v>
      </x:c>
      <x:c r="L119" s="26" t="str">
        <x:v>Production</x:v>
      </x:c>
      <x:c r="M119" s="26" t="str">
        <x:v>Missing reference tras commit</x:v>
      </x:c>
      <x:c r="N119" s="26" t="str">
        <x:v>Cuarentenar asset y restaurar versión aprobada.</x:v>
      </x:c>
      <x:c r="O119" s="26" t="str">
        <x:v>Reimportar desde fuente, regenerar derivados y verificar escenas/build.</x:v>
      </x:c>
      <x:c r="P119" s="26" t="str">
        <x:v>BIA-13</x:v>
      </x:c>
      <x:c r="Q119" s="26" t="str">
        <x:v>PB-13</x:v>
      </x:c>
      <x:c r="R119" s="26" t="str">
        <x:v>TA-CNT-003</x:v>
      </x:c>
      <x:c r="S119" s="26" t="str">
        <x:v>17, 18, 19, 21, 22, 23, 28, 30, 31</x:v>
      </x:c>
      <x:c r="T119" s="26" t="str">
        <x:v>Art/Audio/UI/Content/Localization baselines y Sprint 16</x:v>
      </x:c>
      <x:c r="U119" s="26" t="str">
        <x:v>OPEN</x:v>
      </x:c>
      <x:c r="V119" s="26" t="str">
        <x:v>UNVERIFIED</x:v>
      </x:c>
      <x:c r="W119" s="26" t="n">
        <x:v>1</x:v>
      </x:c>
      <x:c r="X119" s="26" t="str">
        <x:v>CHG-RISK-R-CNT-003</x:v>
      </x:c>
    </x:row>
    <x:row r="120" ht="30" customHeight="1">
      <x:c r="A120" s="26" t="str">
        <x:v>R-CNT-004</x:v>
      </x:c>
      <x:c r="B120" s="26" t="str">
        <x:v>Art, Audio &amp; Content</x:v>
      </x:c>
      <x:c r="C120" s="26" t="str">
        <x:v>Visual inconsistency</x:v>
      </x:c>
      <x:c r="D120" s="26" t="str">
        <x:v>Existe el riesgo de que ocurra lo siguiente: Assets no siguen Art Bible.</x:v>
      </x:c>
      <x:c r="E120" s="26" t="str">
        <x:v>H6</x:v>
      </x:c>
      <x:c r="F120" s="26" t="n">
        <x:v>12</x:v>
      </x:c>
      <x:c r="G120" s="26" t="str">
        <x:v>HIGH</x:v>
      </x:c>
      <x:c r="H120" s="26" t="n">
        <x:v>12</x:v>
      </x:c>
      <x:c r="I120" s="26" t="str">
        <x:v>HIGH</x:v>
      </x:c>
      <x:c r="J120" s="26" t="str">
        <x:v>OUTSIDE TOLERANCE</x:v>
      </x:c>
      <x:c r="K120" s="26" t="str">
        <x:v>Art / Audio / Content</x:v>
      </x:c>
      <x:c r="L120" s="26" t="str">
        <x:v>Production</x:v>
      </x:c>
      <x:c r="M120" s="26" t="str">
        <x:v>Review visual no aprueba</x:v>
      </x:c>
      <x:c r="N120" s="26" t="str">
        <x:v>Cuarentenar asset y restaurar versión aprobada.</x:v>
      </x:c>
      <x:c r="O120" s="26" t="str">
        <x:v>Reimportar desde fuente, regenerar derivados y verificar escenas/build.</x:v>
      </x:c>
      <x:c r="P120" s="26" t="str">
        <x:v>BIA-13</x:v>
      </x:c>
      <x:c r="Q120" s="26" t="str">
        <x:v>PB-13</x:v>
      </x:c>
      <x:c r="R120" s="26" t="str">
        <x:v>TA-CNT-004</x:v>
      </x:c>
      <x:c r="S120" s="26" t="str">
        <x:v>17, 18, 19, 21, 22, 23, 28, 30, 31</x:v>
      </x:c>
      <x:c r="T120" s="26" t="str">
        <x:v>Art/Audio/UI/Content/Localization baselines y Sprint 16</x:v>
      </x:c>
      <x:c r="U120" s="26" t="str">
        <x:v>OPEN</x:v>
      </x:c>
      <x:c r="V120" s="26" t="str">
        <x:v>UNVERIFIED</x:v>
      </x:c>
      <x:c r="W120" s="26" t="n">
        <x:v>1</x:v>
      </x:c>
      <x:c r="X120" s="26" t="str">
        <x:v>CHG-RISK-R-CNT-004</x:v>
      </x:c>
    </x:row>
    <x:row r="121" ht="30" customHeight="1">
      <x:c r="A121" s="26" t="str">
        <x:v>R-CNT-005</x:v>
      </x:c>
      <x:c r="B121" s="26" t="str">
        <x:v>Art, Audio &amp; Content</x:v>
      </x:c>
      <x:c r="C121" s="26" t="str">
        <x:v>Audio imbalance</x:v>
      </x:c>
      <x:c r="D121" s="26" t="str">
        <x:v>Existe el riesgo de que ocurra lo siguiente: Niveles/picos/loops degradan experiencia.</x:v>
      </x:c>
      <x:c r="E121" s="26" t="str">
        <x:v>H6/Release</x:v>
      </x:c>
      <x:c r="F121" s="26" t="n">
        <x:v>12</x:v>
      </x:c>
      <x:c r="G121" s="26" t="str">
        <x:v>HIGH</x:v>
      </x:c>
      <x:c r="H121" s="26" t="n">
        <x:v>12</x:v>
      </x:c>
      <x:c r="I121" s="26" t="str">
        <x:v>HIGH</x:v>
      </x:c>
      <x:c r="J121" s="26" t="str">
        <x:v>OUTSIDE TOLERANCE</x:v>
      </x:c>
      <x:c r="K121" s="26" t="str">
        <x:v>Art / Audio / Content</x:v>
      </x:c>
      <x:c r="L121" s="26" t="str">
        <x:v>Production</x:v>
      </x:c>
      <x:c r="M121" s="26" t="str">
        <x:v>Peak/repetition audit falla</x:v>
      </x:c>
      <x:c r="N121" s="26" t="str">
        <x:v>Cuarentenar asset y restaurar versión aprobada.</x:v>
      </x:c>
      <x:c r="O121" s="26" t="str">
        <x:v>Reimportar desde fuente, regenerar derivados y verificar escenas/build.</x:v>
      </x:c>
      <x:c r="P121" s="26" t="str">
        <x:v>BIA-13</x:v>
      </x:c>
      <x:c r="Q121" s="26" t="str">
        <x:v>PB-13</x:v>
      </x:c>
      <x:c r="R121" s="26" t="str">
        <x:v>TA-CNT-005</x:v>
      </x:c>
      <x:c r="S121" s="26" t="str">
        <x:v>17, 18, 19, 21, 22, 23, 28, 30, 31</x:v>
      </x:c>
      <x:c r="T121" s="26" t="str">
        <x:v>Art/Audio/UI/Content/Localization baselines y Sprint 16</x:v>
      </x:c>
      <x:c r="U121" s="26" t="str">
        <x:v>OPEN</x:v>
      </x:c>
      <x:c r="V121" s="26" t="str">
        <x:v>UNVERIFIED</x:v>
      </x:c>
      <x:c r="W121" s="26" t="n">
        <x:v>1</x:v>
      </x:c>
      <x:c r="X121" s="26" t="str">
        <x:v>CHG-RISK-R-CNT-005</x:v>
      </x:c>
    </x:row>
    <x:row r="122" ht="30" customHeight="1">
      <x:c r="A122" s="26" t="str">
        <x:v>R-CNT-006</x:v>
      </x:c>
      <x:c r="B122" s="26" t="str">
        <x:v>Art, Audio &amp; Content</x:v>
      </x:c>
      <x:c r="C122" s="26" t="str">
        <x:v>Content IDs</x:v>
      </x:c>
      <x:c r="D122" s="26" t="str">
        <x:v>Existe el riesgo de que ocurra lo siguiente: Catálogo y assets divergen.</x:v>
      </x:c>
      <x:c r="E122" s="26" t="str">
        <x:v>Development</x:v>
      </x:c>
      <x:c r="F122" s="26" t="n">
        <x:v>15</x:v>
      </x:c>
      <x:c r="G122" s="26" t="str">
        <x:v>HIGH</x:v>
      </x:c>
      <x:c r="H122" s="26" t="n">
        <x:v>15</x:v>
      </x:c>
      <x:c r="I122" s="26" t="str">
        <x:v>HIGH</x:v>
      </x:c>
      <x:c r="J122" s="26" t="str">
        <x:v>OUTSIDE TOLERANCE</x:v>
      </x:c>
      <x:c r="K122" s="26" t="str">
        <x:v>Art / Audio / Content</x:v>
      </x:c>
      <x:c r="L122" s="26" t="str">
        <x:v>Production</x:v>
      </x:c>
      <x:c r="M122" s="26" t="str">
        <x:v>ID ausente/duplicado</x:v>
      </x:c>
      <x:c r="N122" s="26" t="str">
        <x:v>Cuarentenar asset y restaurar versión aprobada.</x:v>
      </x:c>
      <x:c r="O122" s="26" t="str">
        <x:v>Reimportar desde fuente, regenerar derivados y verificar escenas/build.</x:v>
      </x:c>
      <x:c r="P122" s="26" t="str">
        <x:v>BIA-13</x:v>
      </x:c>
      <x:c r="Q122" s="26" t="str">
        <x:v>PB-13</x:v>
      </x:c>
      <x:c r="R122" s="26" t="str">
        <x:v>TA-CNT-006</x:v>
      </x:c>
      <x:c r="S122" s="26" t="str">
        <x:v>17, 18, 19, 21, 22, 23, 28, 30, 31</x:v>
      </x:c>
      <x:c r="T122" s="26" t="str">
        <x:v>Art/Audio/UI/Content/Localization baselines y Sprint 16</x:v>
      </x:c>
      <x:c r="U122" s="26" t="str">
        <x:v>OPEN</x:v>
      </x:c>
      <x:c r="V122" s="26" t="str">
        <x:v>UNVERIFIED</x:v>
      </x:c>
      <x:c r="W122" s="26" t="n">
        <x:v>1</x:v>
      </x:c>
      <x:c r="X122" s="26" t="str">
        <x:v>CHG-RISK-R-CNT-006</x:v>
      </x:c>
    </x:row>
    <x:row r="123" ht="30" customHeight="1">
      <x:c r="A123" s="26" t="str">
        <x:v>R-CNT-007</x:v>
      </x:c>
      <x:c r="B123" s="26" t="str">
        <x:v>Art, Audio &amp; Content</x:v>
      </x:c>
      <x:c r="C123" s="26" t="str">
        <x:v>Localization expansion</x:v>
      </x:c>
      <x:c r="D123" s="26" t="str">
        <x:v>Existe el riesgo de que ocurra lo siguiente: Texto/arte no soporta ES/EN o expansión.</x:v>
      </x:c>
      <x:c r="E123" s="26" t="str">
        <x:v>Release</x:v>
      </x:c>
      <x:c r="F123" s="26" t="n">
        <x:v>16</x:v>
      </x:c>
      <x:c r="G123" s="26" t="str">
        <x:v>HIGH</x:v>
      </x:c>
      <x:c r="H123" s="26" t="n">
        <x:v>16</x:v>
      </x:c>
      <x:c r="I123" s="26" t="str">
        <x:v>HIGH</x:v>
      </x:c>
      <x:c r="J123" s="26" t="str">
        <x:v>OUTSIDE TOLERANCE</x:v>
      </x:c>
      <x:c r="K123" s="26" t="str">
        <x:v>Art / Audio / Content</x:v>
      </x:c>
      <x:c r="L123" s="26" t="str">
        <x:v>Production</x:v>
      </x:c>
      <x:c r="M123" s="26" t="str">
        <x:v>Hardcode/clipping</x:v>
      </x:c>
      <x:c r="N123" s="26" t="str">
        <x:v>Cuarentenar asset y restaurar versión aprobada.</x:v>
      </x:c>
      <x:c r="O123" s="26" t="str">
        <x:v>Reimportar desde fuente, regenerar derivados y verificar escenas/build.</x:v>
      </x:c>
      <x:c r="P123" s="26" t="str">
        <x:v>BIA-13</x:v>
      </x:c>
      <x:c r="Q123" s="26" t="str">
        <x:v>PB-13</x:v>
      </x:c>
      <x:c r="R123" s="26" t="str">
        <x:v>TA-CNT-007</x:v>
      </x:c>
      <x:c r="S123" s="26" t="str">
        <x:v>17, 18, 19, 21, 22, 23, 28, 30, 31</x:v>
      </x:c>
      <x:c r="T123" s="26" t="str">
        <x:v>Art/Audio/UI/Content/Localization baselines y Sprint 16</x:v>
      </x:c>
      <x:c r="U123" s="26" t="str">
        <x:v>OPEN</x:v>
      </x:c>
      <x:c r="V123" s="26" t="str">
        <x:v>UNVERIFIED</x:v>
      </x:c>
      <x:c r="W123" s="26" t="n">
        <x:v>1</x:v>
      </x:c>
      <x:c r="X123" s="26" t="str">
        <x:v>CHG-RISK-R-CNT-007</x:v>
      </x:c>
    </x:row>
    <x:row r="124" ht="30" customHeight="1">
      <x:c r="A124" s="26" t="str">
        <x:v>R-CNT-008</x:v>
      </x:c>
      <x:c r="B124" s="26" t="str">
        <x:v>Art, Audio &amp; Content</x:v>
      </x:c>
      <x:c r="C124" s="26" t="str">
        <x:v>Asset performance</x:v>
      </x:c>
      <x:c r="D124" s="26" t="str">
        <x:v>Existe el riesgo de que ocurra lo siguiente: Modelo/textura/VFX excede budget.</x:v>
      </x:c>
      <x:c r="E124" s="26" t="str">
        <x:v>H6/Release</x:v>
      </x:c>
      <x:c r="F124" s="26" t="n">
        <x:v>16</x:v>
      </x:c>
      <x:c r="G124" s="26" t="str">
        <x:v>HIGH</x:v>
      </x:c>
      <x:c r="H124" s="26" t="n">
        <x:v>16</x:v>
      </x:c>
      <x:c r="I124" s="26" t="str">
        <x:v>HIGH</x:v>
      </x:c>
      <x:c r="J124" s="26" t="str">
        <x:v>OUTSIDE TOLERANCE</x:v>
      </x:c>
      <x:c r="K124" s="26" t="str">
        <x:v>Art / Audio / Content</x:v>
      </x:c>
      <x:c r="L124" s="26" t="str">
        <x:v>Production</x:v>
      </x:c>
      <x:c r="M124" s="26" t="str">
        <x:v>Profiling identifica asset</x:v>
      </x:c>
      <x:c r="N124" s="26" t="str">
        <x:v>Cuarentenar asset y restaurar versión aprobada.</x:v>
      </x:c>
      <x:c r="O124" s="26" t="str">
        <x:v>Reimportar desde fuente, regenerar derivados y verificar escenas/build.</x:v>
      </x:c>
      <x:c r="P124" s="26" t="str">
        <x:v>BIA-13</x:v>
      </x:c>
      <x:c r="Q124" s="26" t="str">
        <x:v>PB-13</x:v>
      </x:c>
      <x:c r="R124" s="26" t="str">
        <x:v>TA-CNT-008</x:v>
      </x:c>
      <x:c r="S124" s="26" t="str">
        <x:v>17, 18, 19, 21, 22, 23, 28, 30, 31</x:v>
      </x:c>
      <x:c r="T124" s="26" t="str">
        <x:v>Art/Audio/UI/Content/Localization baselines y Sprint 16</x:v>
      </x:c>
      <x:c r="U124" s="26" t="str">
        <x:v>OPEN</x:v>
      </x:c>
      <x:c r="V124" s="26" t="str">
        <x:v>UNVERIFIED</x:v>
      </x:c>
      <x:c r="W124" s="26" t="n">
        <x:v>1</x:v>
      </x:c>
      <x:c r="X124" s="26" t="str">
        <x:v>CHG-RISK-R-CNT-008</x:v>
      </x:c>
    </x:row>
    <x:row r="125" ht="30" customHeight="1">
      <x:c r="A125" s="26" t="str">
        <x:v>R-FIN-001</x:v>
      </x:c>
      <x:c r="B125" s="26" t="str">
        <x:v>Financial &amp; Commercial</x:v>
      </x:c>
      <x:c r="C125" s="26" t="str">
        <x:v>Runway</x:v>
      </x:c>
      <x:c r="D125" s="26" t="str">
        <x:v>Existe el riesgo de que ocurra lo siguiente: Fondos/tiempo disponibles no cubren cierre.</x:v>
      </x:c>
      <x:c r="E125" s="26" t="str">
        <x:v>All</x:v>
      </x:c>
      <x:c r="F125" s="26" t="n">
        <x:v>15</x:v>
      </x:c>
      <x:c r="G125" s="26" t="str">
        <x:v>HIGH</x:v>
      </x:c>
      <x:c r="H125" s="26" t="n">
        <x:v>15</x:v>
      </x:c>
      <x:c r="I125" s="26" t="str">
        <x:v>HIGH</x:v>
      </x:c>
      <x:c r="J125" s="26" t="str">
        <x:v>OUTSIDE TOLERANCE</x:v>
      </x:c>
      <x:c r="K125" s="26" t="str">
        <x:v>Project Owner / Production</x:v>
      </x:c>
      <x:c r="L125" s="26" t="str">
        <x:v>Finance / Publishing</x:v>
      </x:c>
      <x:c r="M125" s="26" t="str">
        <x:v>Runway &lt; escenario de cierre</x:v>
      </x:c>
      <x:c r="N125" s="26" t="str">
        <x:v>Congelar gasto discrecional y revisar runway.</x:v>
      </x:c>
      <x:c r="O125" s="26" t="str">
        <x:v>Rebaselinar alcance/calendario y asegurar servicios críticos.</x:v>
      </x:c>
      <x:c r="P125" s="26" t="str">
        <x:v>BIA-14</x:v>
      </x:c>
      <x:c r="Q125" s="26" t="str">
        <x:v>PB-14</x:v>
      </x:c>
      <x:c r="R125" s="26" t="str">
        <x:v>TA-FIN-001</x:v>
      </x:c>
      <x:c r="S125" s="26" t="str">
        <x:v>00, 06, 20, 24, 25, 28, 33</x:v>
      </x:c>
      <x:c r="T125" s="26" t="str">
        <x:v>Roadmaps, Economy/Balance y Marketing Plans históricos</x:v>
      </x:c>
      <x:c r="U125" s="26" t="str">
        <x:v>OPEN</x:v>
      </x:c>
      <x:c r="V125" s="26" t="str">
        <x:v>UNVERIFIED</x:v>
      </x:c>
      <x:c r="W125" s="26" t="n">
        <x:v>1</x:v>
      </x:c>
      <x:c r="X125" s="26" t="str">
        <x:v>CHG-RISK-R-FIN-001</x:v>
      </x:c>
    </x:row>
    <x:row r="126" ht="30" customHeight="1">
      <x:c r="A126" s="26" t="str">
        <x:v>R-FIN-002</x:v>
      </x:c>
      <x:c r="B126" s="26" t="str">
        <x:v>Financial &amp; Commercial</x:v>
      </x:c>
      <x:c r="C126" s="26" t="str">
        <x:v>Unplanned spend</x:v>
      </x:c>
      <x:c r="D126" s="26" t="str">
        <x:v>Existe el riesgo de que ocurra lo siguiente: Herramientas/assets/servicios exceden presupuesto.</x:v>
      </x:c>
      <x:c r="E126" s="26" t="str">
        <x:v>All</x:v>
      </x:c>
      <x:c r="F126" s="26" t="n">
        <x:v>12</x:v>
      </x:c>
      <x:c r="G126" s="26" t="str">
        <x:v>HIGH</x:v>
      </x:c>
      <x:c r="H126" s="26" t="n">
        <x:v>12</x:v>
      </x:c>
      <x:c r="I126" s="26" t="str">
        <x:v>HIGH</x:v>
      </x:c>
      <x:c r="J126" s="26" t="str">
        <x:v>OUTSIDE TOLERANCE</x:v>
      </x:c>
      <x:c r="K126" s="26" t="str">
        <x:v>Project Owner / Production</x:v>
      </x:c>
      <x:c r="L126" s="26" t="str">
        <x:v>Finance / Publishing</x:v>
      </x:c>
      <x:c r="M126" s="26" t="str">
        <x:v>Gasto mensual &gt; baseline</x:v>
      </x:c>
      <x:c r="N126" s="26" t="str">
        <x:v>Congelar gasto discrecional y revisar runway.</x:v>
      </x:c>
      <x:c r="O126" s="26" t="str">
        <x:v>Rebaselinar alcance/calendario y asegurar servicios críticos.</x:v>
      </x:c>
      <x:c r="P126" s="26" t="str">
        <x:v>BIA-14</x:v>
      </x:c>
      <x:c r="Q126" s="26" t="str">
        <x:v>PB-14</x:v>
      </x:c>
      <x:c r="R126" s="26" t="str">
        <x:v>TA-FIN-002</x:v>
      </x:c>
      <x:c r="S126" s="26" t="str">
        <x:v>00, 06, 20, 24, 25, 28, 33</x:v>
      </x:c>
      <x:c r="T126" s="26" t="str">
        <x:v>Roadmaps, Economy/Balance y Marketing Plans históricos</x:v>
      </x:c>
      <x:c r="U126" s="26" t="str">
        <x:v>OPEN</x:v>
      </x:c>
      <x:c r="V126" s="26" t="str">
        <x:v>UNVERIFIED</x:v>
      </x:c>
      <x:c r="W126" s="26" t="n">
        <x:v>1</x:v>
      </x:c>
      <x:c r="X126" s="26" t="str">
        <x:v>CHG-RISK-R-FIN-002</x:v>
      </x:c>
    </x:row>
    <x:row r="127" ht="30" customHeight="1">
      <x:c r="A127" s="26" t="str">
        <x:v>R-FIN-003</x:v>
      </x:c>
      <x:c r="B127" s="26" t="str">
        <x:v>Financial &amp; Commercial</x:v>
      </x:c>
      <x:c r="C127" s="26" t="str">
        <x:v>Vendor pricing</x:v>
      </x:c>
      <x:c r="D127" s="26" t="str">
        <x:v>Existe el riesgo de que ocurra lo siguiente: Proveedor crítico aumenta coste o cambia plan.</x:v>
      </x:c>
      <x:c r="E127" s="26" t="str">
        <x:v>All</x:v>
      </x:c>
      <x:c r="F127" s="26" t="n">
        <x:v>9</x:v>
      </x:c>
      <x:c r="G127" s="26" t="str">
        <x:v>MEDIUM</x:v>
      </x:c>
      <x:c r="H127" s="26" t="n">
        <x:v>9</x:v>
      </x:c>
      <x:c r="I127" s="26" t="str">
        <x:v>MEDIUM</x:v>
      </x:c>
      <x:c r="J127" s="26" t="str">
        <x:v>WITHIN TOLERANCE</x:v>
      </x:c>
      <x:c r="K127" s="26" t="str">
        <x:v>Project Owner / Production</x:v>
      </x:c>
      <x:c r="L127" s="26" t="str">
        <x:v>Finance / Publishing</x:v>
      </x:c>
      <x:c r="M127" s="26" t="str">
        <x:v>Notice de precio/terms</x:v>
      </x:c>
      <x:c r="N127" s="26" t="str">
        <x:v>Congelar gasto discrecional y revisar runway.</x:v>
      </x:c>
      <x:c r="O127" s="26" t="str">
        <x:v>Rebaselinar alcance/calendario y asegurar servicios críticos.</x:v>
      </x:c>
      <x:c r="P127" s="26" t="str">
        <x:v>BIA-14</x:v>
      </x:c>
      <x:c r="Q127" s="26" t="str">
        <x:v>PB-14</x:v>
      </x:c>
      <x:c r="R127" s="26" t="str">
        <x:v>TA-FIN-003</x:v>
      </x:c>
      <x:c r="S127" s="26" t="str">
        <x:v>00, 06, 20, 24, 25, 28, 33</x:v>
      </x:c>
      <x:c r="T127" s="26" t="str">
        <x:v>Roadmaps, Economy/Balance y Marketing Plans históricos</x:v>
      </x:c>
      <x:c r="U127" s="26" t="str">
        <x:v>OPEN</x:v>
      </x:c>
      <x:c r="V127" s="26" t="str">
        <x:v>UNVERIFIED</x:v>
      </x:c>
      <x:c r="W127" s="26" t="n">
        <x:v>0</x:v>
      </x:c>
      <x:c r="X127" s="26" t="str">
        <x:v>CHG-RISK-R-FIN-003</x:v>
      </x:c>
    </x:row>
    <x:row r="128" ht="30" customHeight="1">
      <x:c r="A128" s="26" t="str">
        <x:v>R-FIN-004</x:v>
      </x:c>
      <x:c r="B128" s="26" t="str">
        <x:v>Financial &amp; Commercial</x:v>
      </x:c>
      <x:c r="C128" s="26" t="str">
        <x:v>Refund/chargeback</x:v>
      </x:c>
      <x:c r="D128" s="26" t="str">
        <x:v>Existe el riesgo de que ocurra lo siguiente: Problemas de lanzamiento elevan reembolsos.</x:v>
      </x:c>
      <x:c r="E128" s="26" t="str">
        <x:v>Post-launch</x:v>
      </x:c>
      <x:c r="F128" s="26" t="n">
        <x:v>8</x:v>
      </x:c>
      <x:c r="G128" s="26" t="str">
        <x:v>MEDIUM</x:v>
      </x:c>
      <x:c r="H128" s="26" t="n">
        <x:v>8</x:v>
      </x:c>
      <x:c r="I128" s="26" t="str">
        <x:v>MEDIUM</x:v>
      </x:c>
      <x:c r="J128" s="26" t="str">
        <x:v>WITHIN TOLERANCE</x:v>
      </x:c>
      <x:c r="K128" s="26" t="str">
        <x:v>Project Owner / Production</x:v>
      </x:c>
      <x:c r="L128" s="26" t="str">
        <x:v>Finance / Publishing</x:v>
      </x:c>
      <x:c r="M128" s="26" t="str">
        <x:v>Refund rate anómalo</x:v>
      </x:c>
      <x:c r="N128" s="26" t="str">
        <x:v>Congelar gasto discrecional y revisar runway.</x:v>
      </x:c>
      <x:c r="O128" s="26" t="str">
        <x:v>Rebaselinar alcance/calendario y asegurar servicios críticos.</x:v>
      </x:c>
      <x:c r="P128" s="26" t="str">
        <x:v>BIA-14</x:v>
      </x:c>
      <x:c r="Q128" s="26" t="str">
        <x:v>PB-14</x:v>
      </x:c>
      <x:c r="R128" s="26" t="str">
        <x:v>TA-FIN-004</x:v>
      </x:c>
      <x:c r="S128" s="26" t="str">
        <x:v>00, 06, 20, 24, 25, 28, 33</x:v>
      </x:c>
      <x:c r="T128" s="26" t="str">
        <x:v>Roadmaps, Economy/Balance y Marketing Plans históricos</x:v>
      </x:c>
      <x:c r="U128" s="26" t="str">
        <x:v>OPEN</x:v>
      </x:c>
      <x:c r="V128" s="26" t="str">
        <x:v>UNVERIFIED</x:v>
      </x:c>
      <x:c r="W128" s="26" t="n">
        <x:v>0</x:v>
      </x:c>
      <x:c r="X128" s="26" t="str">
        <x:v>CHG-RISK-R-FIN-004</x:v>
      </x:c>
    </x:row>
    <x:row r="129" ht="30" customHeight="1">
      <x:c r="A129" s="26" t="str">
        <x:v>R-FIN-005</x:v>
      </x:c>
      <x:c r="B129" s="26" t="str">
        <x:v>Financial &amp; Commercial</x:v>
      </x:c>
      <x:c r="C129" s="26" t="str">
        <x:v>Revenue assumptions</x:v>
      </x:c>
      <x:c r="D129" s="26" t="str">
        <x:v>Existe el riesgo de que ocurra lo siguiente: Decisiones dependen de previsión no validada.</x:v>
      </x:c>
      <x:c r="E129" s="26" t="str">
        <x:v>Planning</x:v>
      </x:c>
      <x:c r="F129" s="26" t="n">
        <x:v>12</x:v>
      </x:c>
      <x:c r="G129" s="26" t="str">
        <x:v>HIGH</x:v>
      </x:c>
      <x:c r="H129" s="26" t="n">
        <x:v>12</x:v>
      </x:c>
      <x:c r="I129" s="26" t="str">
        <x:v>HIGH</x:v>
      </x:c>
      <x:c r="J129" s="26" t="str">
        <x:v>OUTSIDE TOLERANCE</x:v>
      </x:c>
      <x:c r="K129" s="26" t="str">
        <x:v>Project Owner / Production</x:v>
      </x:c>
      <x:c r="L129" s="26" t="str">
        <x:v>Finance / Publishing</x:v>
      </x:c>
      <x:c r="M129" s="26" t="str">
        <x:v>Forecast se usa como garantía</x:v>
      </x:c>
      <x:c r="N129" s="26" t="str">
        <x:v>Congelar gasto discrecional y revisar runway.</x:v>
      </x:c>
      <x:c r="O129" s="26" t="str">
        <x:v>Rebaselinar alcance/calendario y asegurar servicios críticos.</x:v>
      </x:c>
      <x:c r="P129" s="26" t="str">
        <x:v>BIA-14</x:v>
      </x:c>
      <x:c r="Q129" s="26" t="str">
        <x:v>PB-14</x:v>
      </x:c>
      <x:c r="R129" s="26" t="str">
        <x:v>TA-FIN-005</x:v>
      </x:c>
      <x:c r="S129" s="26" t="str">
        <x:v>00, 06, 20, 24, 25, 28, 33</x:v>
      </x:c>
      <x:c r="T129" s="26" t="str">
        <x:v>Roadmaps, Economy/Balance y Marketing Plans históricos</x:v>
      </x:c>
      <x:c r="U129" s="26" t="str">
        <x:v>OPEN</x:v>
      </x:c>
      <x:c r="V129" s="26" t="str">
        <x:v>UNVERIFIED</x:v>
      </x:c>
      <x:c r="W129" s="26" t="n">
        <x:v>1</x:v>
      </x:c>
      <x:c r="X129" s="26" t="str">
        <x:v>CHG-RISK-R-FIN-005</x:v>
      </x:c>
    </x:row>
    <x:row r="130" ht="30" customHeight="1">
      <x:c r="A130" s="26" t="str">
        <x:v>R-FIN-006</x:v>
      </x:c>
      <x:c r="B130" s="26" t="str">
        <x:v>Financial &amp; Commercial</x:v>
      </x:c>
      <x:c r="C130" s="26" t="str">
        <x:v>Tax/accounting</x:v>
      </x:c>
      <x:c r="D130" s="26" t="str">
        <x:v>Existe el riesgo de que ocurra lo siguiente: Ingresos/gastos no se registran correctamente.</x:v>
      </x:c>
      <x:c r="E130" s="26" t="str">
        <x:v>Post-launch</x:v>
      </x:c>
      <x:c r="F130" s="26" t="n">
        <x:v>8</x:v>
      </x:c>
      <x:c r="G130" s="26" t="str">
        <x:v>MEDIUM</x:v>
      </x:c>
      <x:c r="H130" s="26" t="n">
        <x:v>8</x:v>
      </x:c>
      <x:c r="I130" s="26" t="str">
        <x:v>MEDIUM</x:v>
      </x:c>
      <x:c r="J130" s="26" t="str">
        <x:v>WITHIN TOLERANCE</x:v>
      </x:c>
      <x:c r="K130" s="26" t="str">
        <x:v>Project Owner / Production</x:v>
      </x:c>
      <x:c r="L130" s="26" t="str">
        <x:v>Finance / Publishing</x:v>
      </x:c>
      <x:c r="M130" s="26" t="str">
        <x:v>Documentación financiera incompleta</x:v>
      </x:c>
      <x:c r="N130" s="26" t="str">
        <x:v>Congelar gasto discrecional y revisar runway.</x:v>
      </x:c>
      <x:c r="O130" s="26" t="str">
        <x:v>Rebaselinar alcance/calendario y asegurar servicios críticos.</x:v>
      </x:c>
      <x:c r="P130" s="26" t="str">
        <x:v>BIA-14</x:v>
      </x:c>
      <x:c r="Q130" s="26" t="str">
        <x:v>PB-14</x:v>
      </x:c>
      <x:c r="R130" s="26" t="str">
        <x:v>TA-FIN-006</x:v>
      </x:c>
      <x:c r="S130" s="26" t="str">
        <x:v>00, 06, 20, 24, 25, 28, 33</x:v>
      </x:c>
      <x:c r="T130" s="26" t="str">
        <x:v>Roadmaps, Economy/Balance y Marketing Plans históricos</x:v>
      </x:c>
      <x:c r="U130" s="26" t="str">
        <x:v>OPEN</x:v>
      </x:c>
      <x:c r="V130" s="26" t="str">
        <x:v>UNVERIFIED</x:v>
      </x:c>
      <x:c r="W130" s="26" t="n">
        <x:v>0</x:v>
      </x:c>
      <x:c r="X130" s="26" t="str">
        <x:v>CHG-RISK-R-FIN-006</x:v>
      </x:c>
    </x:row>
    <x:row r="131" ht="30" customHeight="1">
      <x:c r="A131" s="26" t="str">
        <x:v>R-EXT-001</x:v>
      </x:c>
      <x:c r="B131" s="26" t="str">
        <x:v>External Services &amp; Vendors</x:v>
      </x:c>
      <x:c r="C131" s="26" t="str">
        <x:v>GitHub outage</x:v>
      </x:c>
      <x:c r="D131" s="26" t="str">
        <x:v>Existe el riesgo de que ocurra lo siguiente: Repositorio remoto no está disponible.</x:v>
      </x:c>
      <x:c r="E131" s="26" t="str">
        <x:v>All</x:v>
      </x:c>
      <x:c r="F131" s="26" t="n">
        <x:v>12</x:v>
      </x:c>
      <x:c r="G131" s="26" t="str">
        <x:v>HIGH</x:v>
      </x:c>
      <x:c r="H131" s="26" t="n">
        <x:v>12</x:v>
      </x:c>
      <x:c r="I131" s="26" t="str">
        <x:v>HIGH</x:v>
      </x:c>
      <x:c r="J131" s="26" t="str">
        <x:v>OUTSIDE TOLERANCE</x:v>
      </x:c>
      <x:c r="K131" s="26" t="str">
        <x:v>Production / Engineering</x:v>
      </x:c>
      <x:c r="L131" s="26" t="str">
        <x:v>Project Owner</x:v>
      </x:c>
      <x:c r="M131" s="26" t="str">
        <x:v>Servicio degradado &gt; 4 h</x:v>
      </x:c>
      <x:c r="N131" s="26" t="str">
        <x:v>Cambiar a operación local/degradada y contactar proveedor.</x:v>
      </x:c>
      <x:c r="O131" s="26" t="str">
        <x:v>Restaurar servicio o migrar a alternativa validada.</x:v>
      </x:c>
      <x:c r="P131" s="26" t="str">
        <x:v>BIA-15</x:v>
      </x:c>
      <x:c r="Q131" s="26" t="str">
        <x:v>PB-15</x:v>
      </x:c>
      <x:c r="R131" s="26" t="str">
        <x:v>TA-EXT-001</x:v>
      </x:c>
      <x:c r="S131" s="26" t="str">
        <x:v>10, 11, 23, 24, 25, 27, 28, 31</x:v>
      </x:c>
      <x:c r="T131" s="26" t="str">
        <x:v>Setup/build/Steam/legal y registros de herramientas</x:v>
      </x:c>
      <x:c r="U131" s="26" t="str">
        <x:v>OPEN</x:v>
      </x:c>
      <x:c r="V131" s="26" t="str">
        <x:v>UNVERIFIED</x:v>
      </x:c>
      <x:c r="W131" s="26" t="n">
        <x:v>1</x:v>
      </x:c>
      <x:c r="X131" s="26" t="str">
        <x:v>CHG-RISK-R-EXT-001</x:v>
      </x:c>
    </x:row>
    <x:row r="132" ht="30" customHeight="1">
      <x:c r="A132" s="26" t="str">
        <x:v>R-EXT-002</x:v>
      </x:c>
      <x:c r="B132" s="26" t="str">
        <x:v>External Services &amp; Vendors</x:v>
      </x:c>
      <x:c r="C132" s="26" t="str">
        <x:v>Steamworks outage</x:v>
      </x:c>
      <x:c r="D132" s="26" t="str">
        <x:v>Existe el riesgo de que ocurra lo siguiente: No se puede subir/publicar build.</x:v>
      </x:c>
      <x:c r="E132" s="26" t="str">
        <x:v>Release</x:v>
      </x:c>
      <x:c r="F132" s="26" t="n">
        <x:v>15</x:v>
      </x:c>
      <x:c r="G132" s="26" t="str">
        <x:v>HIGH</x:v>
      </x:c>
      <x:c r="H132" s="26" t="n">
        <x:v>15</x:v>
      </x:c>
      <x:c r="I132" s="26" t="str">
        <x:v>HIGH</x:v>
      </x:c>
      <x:c r="J132" s="26" t="str">
        <x:v>OUTSIDE TOLERANCE</x:v>
      </x:c>
      <x:c r="K132" s="26" t="str">
        <x:v>Production / Engineering</x:v>
      </x:c>
      <x:c r="L132" s="26" t="str">
        <x:v>Project Owner</x:v>
      </x:c>
      <x:c r="M132" s="26" t="str">
        <x:v>Outage durante ventana</x:v>
      </x:c>
      <x:c r="N132" s="26" t="str">
        <x:v>Cambiar a operación local/degradada y contactar proveedor.</x:v>
      </x:c>
      <x:c r="O132" s="26" t="str">
        <x:v>Restaurar servicio o migrar a alternativa validada.</x:v>
      </x:c>
      <x:c r="P132" s="26" t="str">
        <x:v>BIA-15</x:v>
      </x:c>
      <x:c r="Q132" s="26" t="str">
        <x:v>PB-15</x:v>
      </x:c>
      <x:c r="R132" s="26" t="str">
        <x:v>TA-EXT-002</x:v>
      </x:c>
      <x:c r="S132" s="26" t="str">
        <x:v>10, 11, 23, 24, 25, 27, 28, 31</x:v>
      </x:c>
      <x:c r="T132" s="26" t="str">
        <x:v>Setup/build/Steam/legal y registros de herramientas</x:v>
      </x:c>
      <x:c r="U132" s="26" t="str">
        <x:v>OPEN</x:v>
      </x:c>
      <x:c r="V132" s="26" t="str">
        <x:v>UNVERIFIED</x:v>
      </x:c>
      <x:c r="W132" s="26" t="n">
        <x:v>1</x:v>
      </x:c>
      <x:c r="X132" s="26" t="str">
        <x:v>CHG-RISK-R-EXT-002</x:v>
      </x:c>
    </x:row>
    <x:row r="133" ht="30" customHeight="1">
      <x:c r="A133" s="26" t="str">
        <x:v>R-EXT-003</x:v>
      </x:c>
      <x:c r="B133" s="26" t="str">
        <x:v>External Services &amp; Vendors</x:v>
      </x:c>
      <x:c r="C133" s="26" t="str">
        <x:v>Unity service/license</x:v>
      </x:c>
      <x:c r="D133" s="26" t="str">
        <x:v>Existe el riesgo de que ocurra lo siguiente: Editor/licencia/servicio impide trabajar.</x:v>
      </x:c>
      <x:c r="E133" s="26" t="str">
        <x:v>Development</x:v>
      </x:c>
      <x:c r="F133" s="26" t="n">
        <x:v>8</x:v>
      </x:c>
      <x:c r="G133" s="26" t="str">
        <x:v>MEDIUM</x:v>
      </x:c>
      <x:c r="H133" s="26" t="n">
        <x:v>8</x:v>
      </x:c>
      <x:c r="I133" s="26" t="str">
        <x:v>MEDIUM</x:v>
      </x:c>
      <x:c r="J133" s="26" t="str">
        <x:v>OUTSIDE TOLERANCE</x:v>
      </x:c>
      <x:c r="K133" s="26" t="str">
        <x:v>Production / Engineering</x:v>
      </x:c>
      <x:c r="L133" s="26" t="str">
        <x:v>Project Owner</x:v>
      </x:c>
      <x:c r="M133" s="26" t="str">
        <x:v>Activación/login bloqueado</x:v>
      </x:c>
      <x:c r="N133" s="26" t="str">
        <x:v>Cambiar a operación local/degradada y contactar proveedor.</x:v>
      </x:c>
      <x:c r="O133" s="26" t="str">
        <x:v>Restaurar servicio o migrar a alternativa validada.</x:v>
      </x:c>
      <x:c r="P133" s="26" t="str">
        <x:v>BIA-15</x:v>
      </x:c>
      <x:c r="Q133" s="26" t="str">
        <x:v>PB-15</x:v>
      </x:c>
      <x:c r="R133" s="26" t="str">
        <x:v>TA-EXT-003</x:v>
      </x:c>
      <x:c r="S133" s="26" t="str">
        <x:v>10, 11, 23, 24, 25, 27, 28, 31</x:v>
      </x:c>
      <x:c r="T133" s="26" t="str">
        <x:v>Setup/build/Steam/legal y registros de herramientas</x:v>
      </x:c>
      <x:c r="U133" s="26" t="str">
        <x:v>OPEN</x:v>
      </x:c>
      <x:c r="V133" s="26" t="str">
        <x:v>UNVERIFIED</x:v>
      </x:c>
      <x:c r="W133" s="26" t="n">
        <x:v>1</x:v>
      </x:c>
      <x:c r="X133" s="26" t="str">
        <x:v>CHG-RISK-R-EXT-003</x:v>
      </x:c>
    </x:row>
    <x:row r="134" ht="30" customHeight="1">
      <x:c r="A134" s="26" t="str">
        <x:v>R-EXT-004</x:v>
      </x:c>
      <x:c r="B134" s="26" t="str">
        <x:v>External Services &amp; Vendors</x:v>
      </x:c>
      <x:c r="C134" s="26" t="str">
        <x:v>Cloud storage outage</x:v>
      </x:c>
      <x:c r="D134" s="26" t="str">
        <x:v>Existe el riesgo de que ocurra lo siguiente: Backup remoto no es accesible.</x:v>
      </x:c>
      <x:c r="E134" s="26" t="str">
        <x:v>All</x:v>
      </x:c>
      <x:c r="F134" s="26" t="n">
        <x:v>15</x:v>
      </x:c>
      <x:c r="G134" s="26" t="str">
        <x:v>HIGH</x:v>
      </x:c>
      <x:c r="H134" s="26" t="n">
        <x:v>15</x:v>
      </x:c>
      <x:c r="I134" s="26" t="str">
        <x:v>HIGH</x:v>
      </x:c>
      <x:c r="J134" s="26" t="str">
        <x:v>OUTSIDE TOLERANCE</x:v>
      </x:c>
      <x:c r="K134" s="26" t="str">
        <x:v>Production / Engineering</x:v>
      </x:c>
      <x:c r="L134" s="26" t="str">
        <x:v>Project Owner</x:v>
      </x:c>
      <x:c r="M134" s="26" t="str">
        <x:v>Restore necesita proveedor caído</x:v>
      </x:c>
      <x:c r="N134" s="26" t="str">
        <x:v>Cambiar a operación local/degradada y contactar proveedor.</x:v>
      </x:c>
      <x:c r="O134" s="26" t="str">
        <x:v>Restaurar servicio o migrar a alternativa validada.</x:v>
      </x:c>
      <x:c r="P134" s="26" t="str">
        <x:v>BIA-15</x:v>
      </x:c>
      <x:c r="Q134" s="26" t="str">
        <x:v>PB-15</x:v>
      </x:c>
      <x:c r="R134" s="26" t="str">
        <x:v>TA-EXT-004</x:v>
      </x:c>
      <x:c r="S134" s="26" t="str">
        <x:v>10, 11, 23, 24, 25, 27, 28, 31</x:v>
      </x:c>
      <x:c r="T134" s="26" t="str">
        <x:v>Setup/build/Steam/legal y registros de herramientas</x:v>
      </x:c>
      <x:c r="U134" s="26" t="str">
        <x:v>OPEN</x:v>
      </x:c>
      <x:c r="V134" s="26" t="str">
        <x:v>UNVERIFIED</x:v>
      </x:c>
      <x:c r="W134" s="26" t="n">
        <x:v>1</x:v>
      </x:c>
      <x:c r="X134" s="26" t="str">
        <x:v>CHG-RISK-R-EXT-004</x:v>
      </x:c>
    </x:row>
    <x:row r="135" ht="30" customHeight="1">
      <x:c r="A135" s="26" t="str">
        <x:v>R-EXT-005</x:v>
      </x:c>
      <x:c r="B135" s="26" t="str">
        <x:v>External Services &amp; Vendors</x:v>
      </x:c>
      <x:c r="C135" s="26" t="str">
        <x:v>Vendor termination</x:v>
      </x:c>
      <x:c r="D135" s="26" t="str">
        <x:v>Existe el riesgo de que ocurra lo siguiente: Herramienta/servicio se cierra o cambia términos.</x:v>
      </x:c>
      <x:c r="E135" s="26" t="str">
        <x:v>All</x:v>
      </x:c>
      <x:c r="F135" s="26" t="n">
        <x:v>8</x:v>
      </x:c>
      <x:c r="G135" s="26" t="str">
        <x:v>MEDIUM</x:v>
      </x:c>
      <x:c r="H135" s="26" t="n">
        <x:v>8</x:v>
      </x:c>
      <x:c r="I135" s="26" t="str">
        <x:v>MEDIUM</x:v>
      </x:c>
      <x:c r="J135" s="26" t="str">
        <x:v>OUTSIDE TOLERANCE</x:v>
      </x:c>
      <x:c r="K135" s="26" t="str">
        <x:v>Production / Engineering</x:v>
      </x:c>
      <x:c r="L135" s="26" t="str">
        <x:v>Project Owner</x:v>
      </x:c>
      <x:c r="M135" s="26" t="str">
        <x:v>EOL/terms notice</x:v>
      </x:c>
      <x:c r="N135" s="26" t="str">
        <x:v>Cambiar a operación local/degradada y contactar proveedor.</x:v>
      </x:c>
      <x:c r="O135" s="26" t="str">
        <x:v>Restaurar servicio o migrar a alternativa validada.</x:v>
      </x:c>
      <x:c r="P135" s="26" t="str">
        <x:v>BIA-15</x:v>
      </x:c>
      <x:c r="Q135" s="26" t="str">
        <x:v>PB-15</x:v>
      </x:c>
      <x:c r="R135" s="26" t="str">
        <x:v>TA-EXT-005</x:v>
      </x:c>
      <x:c r="S135" s="26" t="str">
        <x:v>10, 11, 23, 24, 25, 27, 28, 31</x:v>
      </x:c>
      <x:c r="T135" s="26" t="str">
        <x:v>Setup/build/Steam/legal y registros de herramientas</x:v>
      </x:c>
      <x:c r="U135" s="26" t="str">
        <x:v>OPEN</x:v>
      </x:c>
      <x:c r="V135" s="26" t="str">
        <x:v>UNVERIFIED</x:v>
      </x:c>
      <x:c r="W135" s="26" t="n">
        <x:v>1</x:v>
      </x:c>
      <x:c r="X135" s="26" t="str">
        <x:v>CHG-RISK-R-EXT-005</x:v>
      </x:c>
    </x:row>
    <x:row r="136" ht="30" customHeight="1">
      <x:c r="A136" s="26" t="str">
        <x:v>R-EXT-006</x:v>
      </x:c>
      <x:c r="B136" s="26" t="str">
        <x:v>External Services &amp; Vendors</x:v>
      </x:c>
      <x:c r="C136" s="26" t="str">
        <x:v>Domain/email loss</x:v>
      </x:c>
      <x:c r="D136" s="26" t="str">
        <x:v>Existe el riesgo de que ocurra lo siguiente: Dominio o email expira/se compromete.</x:v>
      </x:c>
      <x:c r="E136" s="26" t="str">
        <x:v>Marketing/Post-launch</x:v>
      </x:c>
      <x:c r="F136" s="26" t="n">
        <x:v>10</x:v>
      </x:c>
      <x:c r="G136" s="26" t="str">
        <x:v>MEDIUM</x:v>
      </x:c>
      <x:c r="H136" s="26" t="n">
        <x:v>10</x:v>
      </x:c>
      <x:c r="I136" s="26" t="str">
        <x:v>MEDIUM</x:v>
      </x:c>
      <x:c r="J136" s="26" t="str">
        <x:v>OUTSIDE TOLERANCE</x:v>
      </x:c>
      <x:c r="K136" s="26" t="str">
        <x:v>Production / Engineering</x:v>
      </x:c>
      <x:c r="L136" s="26" t="str">
        <x:v>Project Owner</x:v>
      </x:c>
      <x:c r="M136" s="26" t="str">
        <x:v>Renewal/MX/auth fails</x:v>
      </x:c>
      <x:c r="N136" s="26" t="str">
        <x:v>Cambiar a operación local/degradada y contactar proveedor.</x:v>
      </x:c>
      <x:c r="O136" s="26" t="str">
        <x:v>Restaurar servicio o migrar a alternativa validada.</x:v>
      </x:c>
      <x:c r="P136" s="26" t="str">
        <x:v>BIA-15</x:v>
      </x:c>
      <x:c r="Q136" s="26" t="str">
        <x:v>PB-15</x:v>
      </x:c>
      <x:c r="R136" s="26" t="str">
        <x:v>TA-EXT-006</x:v>
      </x:c>
      <x:c r="S136" s="26" t="str">
        <x:v>10, 11, 23, 24, 25, 27, 28, 31</x:v>
      </x:c>
      <x:c r="T136" s="26" t="str">
        <x:v>Setup/build/Steam/legal y registros de herramientas</x:v>
      </x:c>
      <x:c r="U136" s="26" t="str">
        <x:v>OPEN</x:v>
      </x:c>
      <x:c r="V136" s="26" t="str">
        <x:v>UNVERIFIED</x:v>
      </x:c>
      <x:c r="W136" s="26" t="n">
        <x:v>1</x:v>
      </x:c>
      <x:c r="X136" s="26" t="str">
        <x:v>CHG-RISK-R-EXT-006</x:v>
      </x:c>
    </x:row>
    <x:row r="137" ht="30" customHeight="1">
      <x:c r="A137" s="26" t="str">
        <x:v>R-EXT-007</x:v>
      </x:c>
      <x:c r="B137" s="26" t="str">
        <x:v>External Services &amp; Vendors</x:v>
      </x:c>
      <x:c r="C137" s="26" t="str">
        <x:v>Contractor failure</x:v>
      </x:c>
      <x:c r="D137" s="26" t="str">
        <x:v>Existe el riesgo de que ocurra lo siguiente: Proveedor no entrega asset/servicio.</x:v>
      </x:c>
      <x:c r="E137" s="26" t="str">
        <x:v>All</x:v>
      </x:c>
      <x:c r="F137" s="26" t="n">
        <x:v>12</x:v>
      </x:c>
      <x:c r="G137" s="26" t="str">
        <x:v>HIGH</x:v>
      </x:c>
      <x:c r="H137" s="26" t="n">
        <x:v>12</x:v>
      </x:c>
      <x:c r="I137" s="26" t="str">
        <x:v>HIGH</x:v>
      </x:c>
      <x:c r="J137" s="26" t="str">
        <x:v>OUTSIDE TOLERANCE</x:v>
      </x:c>
      <x:c r="K137" s="26" t="str">
        <x:v>Production / Engineering</x:v>
      </x:c>
      <x:c r="L137" s="26" t="str">
        <x:v>Project Owner</x:v>
      </x:c>
      <x:c r="M137" s="26" t="str">
        <x:v>Milestone incumplido</x:v>
      </x:c>
      <x:c r="N137" s="26" t="str">
        <x:v>Cambiar a operación local/degradada y contactar proveedor.</x:v>
      </x:c>
      <x:c r="O137" s="26" t="str">
        <x:v>Restaurar servicio o migrar a alternativa validada.</x:v>
      </x:c>
      <x:c r="P137" s="26" t="str">
        <x:v>BIA-15</x:v>
      </x:c>
      <x:c r="Q137" s="26" t="str">
        <x:v>PB-15</x:v>
      </x:c>
      <x:c r="R137" s="26" t="str">
        <x:v>TA-EXT-007</x:v>
      </x:c>
      <x:c r="S137" s="26" t="str">
        <x:v>10, 11, 23, 24, 25, 27, 28, 31</x:v>
      </x:c>
      <x:c r="T137" s="26" t="str">
        <x:v>Setup/build/Steam/legal y registros de herramientas</x:v>
      </x:c>
      <x:c r="U137" s="26" t="str">
        <x:v>OPEN</x:v>
      </x:c>
      <x:c r="V137" s="26" t="str">
        <x:v>UNVERIFIED</x:v>
      </x:c>
      <x:c r="W137" s="26" t="n">
        <x:v>1</x:v>
      </x:c>
      <x:c r="X137" s="26" t="str">
        <x:v>CHG-RISK-R-EXT-007</x:v>
      </x:c>
    </x:row>
    <x:row r="138" ht="30" customHeight="1">
      <x:c r="A138" s="26" t="str">
        <x:v>R-EXT-008</x:v>
      </x:c>
      <x:c r="B138" s="26" t="str">
        <x:v>External Services &amp; Vendors</x:v>
      </x:c>
      <x:c r="C138" s="26" t="str">
        <x:v>No export path</x:v>
      </x:c>
      <x:c r="D138" s="26" t="str">
        <x:v>Existe el riesgo de que ocurra lo siguiente: Datos/configuración quedan encerrados en SaaS.</x:v>
      </x:c>
      <x:c r="E138" s="26" t="str">
        <x:v>All</x:v>
      </x:c>
      <x:c r="F138" s="26" t="n">
        <x:v>8</x:v>
      </x:c>
      <x:c r="G138" s="26" t="str">
        <x:v>MEDIUM</x:v>
      </x:c>
      <x:c r="H138" s="26" t="n">
        <x:v>8</x:v>
      </x:c>
      <x:c r="I138" s="26" t="str">
        <x:v>MEDIUM</x:v>
      </x:c>
      <x:c r="J138" s="26" t="str">
        <x:v>OUTSIDE TOLERANCE</x:v>
      </x:c>
      <x:c r="K138" s="26" t="str">
        <x:v>Production / Engineering</x:v>
      </x:c>
      <x:c r="L138" s="26" t="str">
        <x:v>Project Owner</x:v>
      </x:c>
      <x:c r="M138" s="26" t="str">
        <x:v>Export no probado</x:v>
      </x:c>
      <x:c r="N138" s="26" t="str">
        <x:v>Cambiar a operación local/degradada y contactar proveedor.</x:v>
      </x:c>
      <x:c r="O138" s="26" t="str">
        <x:v>Restaurar servicio o migrar a alternativa validada.</x:v>
      </x:c>
      <x:c r="P138" s="26" t="str">
        <x:v>BIA-15</x:v>
      </x:c>
      <x:c r="Q138" s="26" t="str">
        <x:v>PB-15</x:v>
      </x:c>
      <x:c r="R138" s="26" t="str">
        <x:v>TA-EXT-008</x:v>
      </x:c>
      <x:c r="S138" s="26" t="str">
        <x:v>10, 11, 23, 24, 25, 27, 28, 31</x:v>
      </x:c>
      <x:c r="T138" s="26" t="str">
        <x:v>Setup/build/Steam/legal y registros de herramientas</x:v>
      </x:c>
      <x:c r="U138" s="26" t="str">
        <x:v>OPEN</x:v>
      </x:c>
      <x:c r="V138" s="26" t="str">
        <x:v>UNVERIFIED</x:v>
      </x:c>
      <x:c r="W138" s="26" t="n">
        <x:v>1</x:v>
      </x:c>
      <x:c r="X138" s="26" t="str">
        <x:v>CHG-RISK-R-EXT-008</x:v>
      </x:c>
    </x:row>
    <x:row r="139" ht="30" customHeight="1">
      <x:c r="A139" s="26" t="str">
        <x:v>R-ENV-001</x:v>
      </x:c>
      <x:c r="B139" s="26" t="str">
        <x:v>Hardware, Facilities &amp; Environment</x:v>
      </x:c>
      <x:c r="C139" s="26" t="str">
        <x:v>Disk failure</x:v>
      </x:c>
      <x:c r="D139" s="26" t="str">
        <x:v>Existe el riesgo de que ocurra lo siguiente: Disco de estación falla.</x:v>
      </x:c>
      <x:c r="E139" s="26" t="str">
        <x:v>All</x:v>
      </x:c>
      <x:c r="F139" s="26" t="n">
        <x:v>15</x:v>
      </x:c>
      <x:c r="G139" s="26" t="str">
        <x:v>HIGH</x:v>
      </x:c>
      <x:c r="H139" s="26" t="n">
        <x:v>15</x:v>
      </x:c>
      <x:c r="I139" s="26" t="str">
        <x:v>HIGH</x:v>
      </x:c>
      <x:c r="J139" s="26" t="str">
        <x:v>OUTSIDE TOLERANCE</x:v>
      </x:c>
      <x:c r="K139" s="26" t="str">
        <x:v>Project Owner / IT</x:v>
      </x:c>
      <x:c r="L139" s="26" t="str">
        <x:v>Production</x:v>
      </x:c>
      <x:c r="M139" s="26" t="str">
        <x:v>SMART/I/O failure</x:v>
      </x:c>
      <x:c r="N139" s="26" t="str">
        <x:v>Proteger evidencia/datos y pasar a hardware alternativo.</x:v>
      </x:c>
      <x:c r="O139" s="26" t="str">
        <x:v>Reponer equipo, restaurar repositorio/datos y validar toolchain.</x:v>
      </x:c>
      <x:c r="P139" s="26" t="str">
        <x:v>BIA-16</x:v>
      </x:c>
      <x:c r="Q139" s="26" t="str">
        <x:v>PB-16</x:v>
      </x:c>
      <x:c r="R139" s="26" t="str">
        <x:v>TA-ENV-001</x:v>
      </x:c>
      <x:c r="S139" s="26" t="str">
        <x:v>10, 11, 25, 27, 30, 31, 34</x:v>
      </x:c>
      <x:c r="T139" s="26" t="str">
        <x:v>Environment records, setup guides, handoffs y build records</x:v>
      </x:c>
      <x:c r="U139" s="26" t="str">
        <x:v>OPEN</x:v>
      </x:c>
      <x:c r="V139" s="26" t="str">
        <x:v>UNVERIFIED</x:v>
      </x:c>
      <x:c r="W139" s="26" t="n">
        <x:v>1</x:v>
      </x:c>
      <x:c r="X139" s="26" t="str">
        <x:v>CHG-RISK-R-ENV-001</x:v>
      </x:c>
    </x:row>
    <x:row r="140" ht="30" customHeight="1">
      <x:c r="A140" s="26" t="str">
        <x:v>R-ENV-002</x:v>
      </x:c>
      <x:c r="B140" s="26" t="str">
        <x:v>Hardware, Facilities &amp; Environment</x:v>
      </x:c>
      <x:c r="C140" s="26" t="str">
        <x:v>Device theft</x:v>
      </x:c>
      <x:c r="D140" s="26" t="str">
        <x:v>Existe el riesgo de que ocurra lo siguiente: Equipo es robado.</x:v>
      </x:c>
      <x:c r="E140" s="26" t="str">
        <x:v>All</x:v>
      </x:c>
      <x:c r="F140" s="26" t="n">
        <x:v>10</x:v>
      </x:c>
      <x:c r="G140" s="26" t="str">
        <x:v>MEDIUM</x:v>
      </x:c>
      <x:c r="H140" s="26" t="n">
        <x:v>10</x:v>
      </x:c>
      <x:c r="I140" s="26" t="str">
        <x:v>MEDIUM</x:v>
      </x:c>
      <x:c r="J140" s="26" t="str">
        <x:v>OUTSIDE TOLERANCE</x:v>
      </x:c>
      <x:c r="K140" s="26" t="str">
        <x:v>Project Owner / IT</x:v>
      </x:c>
      <x:c r="L140" s="26" t="str">
        <x:v>Production</x:v>
      </x:c>
      <x:c r="M140" s="26" t="str">
        <x:v>Equipo perdido</x:v>
      </x:c>
      <x:c r="N140" s="26" t="str">
        <x:v>Proteger evidencia/datos y pasar a hardware alternativo.</x:v>
      </x:c>
      <x:c r="O140" s="26" t="str">
        <x:v>Reponer equipo, restaurar repositorio/datos y validar toolchain.</x:v>
      </x:c>
      <x:c r="P140" s="26" t="str">
        <x:v>BIA-16</x:v>
      </x:c>
      <x:c r="Q140" s="26" t="str">
        <x:v>PB-16</x:v>
      </x:c>
      <x:c r="R140" s="26" t="str">
        <x:v>TA-ENV-002</x:v>
      </x:c>
      <x:c r="S140" s="26" t="str">
        <x:v>10, 11, 25, 27, 30, 31, 34</x:v>
      </x:c>
      <x:c r="T140" s="26" t="str">
        <x:v>Environment records, setup guides, handoffs y build records</x:v>
      </x:c>
      <x:c r="U140" s="26" t="str">
        <x:v>OPEN</x:v>
      </x:c>
      <x:c r="V140" s="26" t="str">
        <x:v>UNVERIFIED</x:v>
      </x:c>
      <x:c r="W140" s="26" t="n">
        <x:v>1</x:v>
      </x:c>
      <x:c r="X140" s="26" t="str">
        <x:v>CHG-RISK-R-ENV-002</x:v>
      </x:c>
    </x:row>
    <x:row r="141" ht="30" customHeight="1">
      <x:c r="A141" s="26" t="str">
        <x:v>R-ENV-003</x:v>
      </x:c>
      <x:c r="B141" s="26" t="str">
        <x:v>Hardware, Facilities &amp; Environment</x:v>
      </x:c>
      <x:c r="C141" s="26" t="str">
        <x:v>Power event</x:v>
      </x:c>
      <x:c r="D141" s="26" t="str">
        <x:v>Existe el riesgo de que ocurra lo siguiente: Corte/sobretensión interrumpe escritura o daña equipo.</x:v>
      </x:c>
      <x:c r="E141" s="26" t="str">
        <x:v>All</x:v>
      </x:c>
      <x:c r="F141" s="26" t="n">
        <x:v>12</x:v>
      </x:c>
      <x:c r="G141" s="26" t="str">
        <x:v>HIGH</x:v>
      </x:c>
      <x:c r="H141" s="26" t="n">
        <x:v>12</x:v>
      </x:c>
      <x:c r="I141" s="26" t="str">
        <x:v>HIGH</x:v>
      </x:c>
      <x:c r="J141" s="26" t="str">
        <x:v>OUTSIDE TOLERANCE</x:v>
      </x:c>
      <x:c r="K141" s="26" t="str">
        <x:v>Project Owner / IT</x:v>
      </x:c>
      <x:c r="L141" s="26" t="str">
        <x:v>Production</x:v>
      </x:c>
      <x:c r="M141" s="26" t="str">
        <x:v>Power loss</x:v>
      </x:c>
      <x:c r="N141" s="26" t="str">
        <x:v>Proteger evidencia/datos y pasar a hardware alternativo.</x:v>
      </x:c>
      <x:c r="O141" s="26" t="str">
        <x:v>Reponer equipo, restaurar repositorio/datos y validar toolchain.</x:v>
      </x:c>
      <x:c r="P141" s="26" t="str">
        <x:v>BIA-16</x:v>
      </x:c>
      <x:c r="Q141" s="26" t="str">
        <x:v>PB-16</x:v>
      </x:c>
      <x:c r="R141" s="26" t="str">
        <x:v>TA-ENV-003</x:v>
      </x:c>
      <x:c r="S141" s="26" t="str">
        <x:v>10, 11, 25, 27, 30, 31, 34</x:v>
      </x:c>
      <x:c r="T141" s="26" t="str">
        <x:v>Environment records, setup guides, handoffs y build records</x:v>
      </x:c>
      <x:c r="U141" s="26" t="str">
        <x:v>OPEN</x:v>
      </x:c>
      <x:c r="V141" s="26" t="str">
        <x:v>UNVERIFIED</x:v>
      </x:c>
      <x:c r="W141" s="26" t="n">
        <x:v>1</x:v>
      </x:c>
      <x:c r="X141" s="26" t="str">
        <x:v>CHG-RISK-R-ENV-003</x:v>
      </x:c>
    </x:row>
    <x:row r="142" ht="30" customHeight="1">
      <x:c r="A142" s="26" t="str">
        <x:v>R-ENV-004</x:v>
      </x:c>
      <x:c r="B142" s="26" t="str">
        <x:v>Hardware, Facilities &amp; Environment</x:v>
      </x:c>
      <x:c r="C142" s="26" t="str">
        <x:v>Fire/flood</x:v>
      </x:c>
      <x:c r="D142" s="26" t="str">
        <x:v>Existe el riesgo de que ocurra lo siguiente: Ubicación principal queda inaccesible.</x:v>
      </x:c>
      <x:c r="E142" s="26" t="str">
        <x:v>All</x:v>
      </x:c>
      <x:c r="F142" s="26" t="n">
        <x:v>5</x:v>
      </x:c>
      <x:c r="G142" s="26" t="str">
        <x:v>LOW</x:v>
      </x:c>
      <x:c r="H142" s="26" t="n">
        <x:v>5</x:v>
      </x:c>
      <x:c r="I142" s="26" t="str">
        <x:v>LOW</x:v>
      </x:c>
      <x:c r="J142" s="26" t="str">
        <x:v>OUTSIDE TOLERANCE</x:v>
      </x:c>
      <x:c r="K142" s="26" t="str">
        <x:v>Project Owner / IT</x:v>
      </x:c>
      <x:c r="L142" s="26" t="str">
        <x:v>Production</x:v>
      </x:c>
      <x:c r="M142" s="26" t="str">
        <x:v>Facility incident</x:v>
      </x:c>
      <x:c r="N142" s="26" t="str">
        <x:v>Proteger evidencia/datos y pasar a hardware alternativo.</x:v>
      </x:c>
      <x:c r="O142" s="26" t="str">
        <x:v>Reponer equipo, restaurar repositorio/datos y validar toolchain.</x:v>
      </x:c>
      <x:c r="P142" s="26" t="str">
        <x:v>BIA-16</x:v>
      </x:c>
      <x:c r="Q142" s="26" t="str">
        <x:v>PB-16</x:v>
      </x:c>
      <x:c r="R142" s="26" t="str">
        <x:v>TA-ENV-004</x:v>
      </x:c>
      <x:c r="S142" s="26" t="str">
        <x:v>10, 11, 25, 27, 30, 31, 34</x:v>
      </x:c>
      <x:c r="T142" s="26" t="str">
        <x:v>Environment records, setup guides, handoffs y build records</x:v>
      </x:c>
      <x:c r="U142" s="26" t="str">
        <x:v>OPEN</x:v>
      </x:c>
      <x:c r="V142" s="26" t="str">
        <x:v>UNVERIFIED</x:v>
      </x:c>
      <x:c r="W142" s="26" t="n">
        <x:v>1</x:v>
      </x:c>
      <x:c r="X142" s="26" t="str">
        <x:v>CHG-RISK-R-ENV-004</x:v>
      </x:c>
    </x:row>
    <x:row r="143" ht="30" customHeight="1">
      <x:c r="A143" s="26" t="str">
        <x:v>R-ENV-005</x:v>
      </x:c>
      <x:c r="B143" s="26" t="str">
        <x:v>Hardware, Facilities &amp; Environment</x:v>
      </x:c>
      <x:c r="C143" s="26" t="str">
        <x:v>Internet outage</x:v>
      </x:c>
      <x:c r="D143" s="26" t="str">
        <x:v>Existe el riesgo de que ocurra lo siguiente: Conectividad impide servicios remotos.</x:v>
      </x:c>
      <x:c r="E143" s="26" t="str">
        <x:v>All</x:v>
      </x:c>
      <x:c r="F143" s="26" t="n">
        <x:v>12</x:v>
      </x:c>
      <x:c r="G143" s="26" t="str">
        <x:v>HIGH</x:v>
      </x:c>
      <x:c r="H143" s="26" t="n">
        <x:v>12</x:v>
      </x:c>
      <x:c r="I143" s="26" t="str">
        <x:v>HIGH</x:v>
      </x:c>
      <x:c r="J143" s="26" t="str">
        <x:v>OUTSIDE TOLERANCE</x:v>
      </x:c>
      <x:c r="K143" s="26" t="str">
        <x:v>Project Owner / IT</x:v>
      </x:c>
      <x:c r="L143" s="26" t="str">
        <x:v>Production</x:v>
      </x:c>
      <x:c r="M143" s="26" t="str">
        <x:v>Sin conexión &gt; 4 h</x:v>
      </x:c>
      <x:c r="N143" s="26" t="str">
        <x:v>Proteger evidencia/datos y pasar a hardware alternativo.</x:v>
      </x:c>
      <x:c r="O143" s="26" t="str">
        <x:v>Reponer equipo, restaurar repositorio/datos y validar toolchain.</x:v>
      </x:c>
      <x:c r="P143" s="26" t="str">
        <x:v>BIA-16</x:v>
      </x:c>
      <x:c r="Q143" s="26" t="str">
        <x:v>PB-16</x:v>
      </x:c>
      <x:c r="R143" s="26" t="str">
        <x:v>TA-ENV-005</x:v>
      </x:c>
      <x:c r="S143" s="26" t="str">
        <x:v>10, 11, 25, 27, 30, 31, 34</x:v>
      </x:c>
      <x:c r="T143" s="26" t="str">
        <x:v>Environment records, setup guides, handoffs y build records</x:v>
      </x:c>
      <x:c r="U143" s="26" t="str">
        <x:v>OPEN</x:v>
      </x:c>
      <x:c r="V143" s="26" t="str">
        <x:v>UNVERIFIED</x:v>
      </x:c>
      <x:c r="W143" s="26" t="n">
        <x:v>1</x:v>
      </x:c>
      <x:c r="X143" s="26" t="str">
        <x:v>CHG-RISK-R-ENV-005</x:v>
      </x:c>
    </x:row>
    <x:row r="144" ht="30" customHeight="1">
      <x:c r="A144" s="26" t="str">
        <x:v>R-ENV-006</x:v>
      </x:c>
      <x:c r="B144" s="26" t="str">
        <x:v>Hardware, Facilities &amp; Environment</x:v>
      </x:c>
      <x:c r="C144" s="26" t="str">
        <x:v>Thermal instability</x:v>
      </x:c>
      <x:c r="D144" s="26" t="str">
        <x:v>Existe el riesgo de que ocurra lo siguiente: Equipo se degrada/crashea bajo carga.</x:v>
      </x:c>
      <x:c r="E144" s="26" t="str">
        <x:v>Development</x:v>
      </x:c>
      <x:c r="F144" s="26" t="n">
        <x:v>12</x:v>
      </x:c>
      <x:c r="G144" s="26" t="str">
        <x:v>HIGH</x:v>
      </x:c>
      <x:c r="H144" s="26" t="n">
        <x:v>12</x:v>
      </x:c>
      <x:c r="I144" s="26" t="str">
        <x:v>HIGH</x:v>
      </x:c>
      <x:c r="J144" s="26" t="str">
        <x:v>OUTSIDE TOLERANCE</x:v>
      </x:c>
      <x:c r="K144" s="26" t="str">
        <x:v>Project Owner / IT</x:v>
      </x:c>
      <x:c r="L144" s="26" t="str">
        <x:v>Production</x:v>
      </x:c>
      <x:c r="M144" s="26" t="str">
        <x:v>Temperature/throttling</x:v>
      </x:c>
      <x:c r="N144" s="26" t="str">
        <x:v>Proteger evidencia/datos y pasar a hardware alternativo.</x:v>
      </x:c>
      <x:c r="O144" s="26" t="str">
        <x:v>Reponer equipo, restaurar repositorio/datos y validar toolchain.</x:v>
      </x:c>
      <x:c r="P144" s="26" t="str">
        <x:v>BIA-16</x:v>
      </x:c>
      <x:c r="Q144" s="26" t="str">
        <x:v>PB-16</x:v>
      </x:c>
      <x:c r="R144" s="26" t="str">
        <x:v>TA-ENV-006</x:v>
      </x:c>
      <x:c r="S144" s="26" t="str">
        <x:v>10, 11, 25, 27, 30, 31, 34</x:v>
      </x:c>
      <x:c r="T144" s="26" t="str">
        <x:v>Environment records, setup guides, handoffs y build records</x:v>
      </x:c>
      <x:c r="U144" s="26" t="str">
        <x:v>OPEN</x:v>
      </x:c>
      <x:c r="V144" s="26" t="str">
        <x:v>UNVERIFIED</x:v>
      </x:c>
      <x:c r="W144" s="26" t="n">
        <x:v>1</x:v>
      </x:c>
      <x:c r="X144" s="26" t="str">
        <x:v>CHG-RISK-R-ENV-006</x:v>
      </x:c>
    </x:row>
    <x:row r="145" ht="30" customHeight="1">
      <x:c r="A145" s="26" t="str">
        <x:v>R-ENV-007</x:v>
      </x:c>
      <x:c r="B145" s="26" t="str">
        <x:v>Hardware, Facilities &amp; Environment</x:v>
      </x:c>
      <x:c r="C145" s="26" t="str">
        <x:v>Replacement delay</x:v>
      </x:c>
      <x:c r="D145" s="26" t="str">
        <x:v>Existe el riesgo de que ocurra lo siguiente: Hardware alternativo tarda demasiado.</x:v>
      </x:c>
      <x:c r="E145" s="26" t="str">
        <x:v>All</x:v>
      </x:c>
      <x:c r="F145" s="26" t="n">
        <x:v>12</x:v>
      </x:c>
      <x:c r="G145" s="26" t="str">
        <x:v>HIGH</x:v>
      </x:c>
      <x:c r="H145" s="26" t="n">
        <x:v>12</x:v>
      </x:c>
      <x:c r="I145" s="26" t="str">
        <x:v>HIGH</x:v>
      </x:c>
      <x:c r="J145" s="26" t="str">
        <x:v>OUTSIDE TOLERANCE</x:v>
      </x:c>
      <x:c r="K145" s="26" t="str">
        <x:v>Project Owner / IT</x:v>
      </x:c>
      <x:c r="L145" s="26" t="str">
        <x:v>Production</x:v>
      </x:c>
      <x:c r="M145" s="26" t="str">
        <x:v>Sin spare/procurement</x:v>
      </x:c>
      <x:c r="N145" s="26" t="str">
        <x:v>Proteger evidencia/datos y pasar a hardware alternativo.</x:v>
      </x:c>
      <x:c r="O145" s="26" t="str">
        <x:v>Reponer equipo, restaurar repositorio/datos y validar toolchain.</x:v>
      </x:c>
      <x:c r="P145" s="26" t="str">
        <x:v>BIA-16</x:v>
      </x:c>
      <x:c r="Q145" s="26" t="str">
        <x:v>PB-16</x:v>
      </x:c>
      <x:c r="R145" s="26" t="str">
        <x:v>TA-ENV-007</x:v>
      </x:c>
      <x:c r="S145" s="26" t="str">
        <x:v>10, 11, 25, 27, 30, 31, 34</x:v>
      </x:c>
      <x:c r="T145" s="26" t="str">
        <x:v>Environment records, setup guides, handoffs y build records</x:v>
      </x:c>
      <x:c r="U145" s="26" t="str">
        <x:v>OPEN</x:v>
      </x:c>
      <x:c r="V145" s="26" t="str">
        <x:v>UNVERIFIED</x:v>
      </x:c>
      <x:c r="W145" s="26" t="n">
        <x:v>1</x:v>
      </x:c>
      <x:c r="X145" s="26" t="str">
        <x:v>CHG-RISK-R-ENV-007</x:v>
      </x:c>
    </x:row>
    <x:row r="146" ht="30" customHeight="1">
      <x:c r="A146" s="26" t="str">
        <x:v>R-ENV-008</x:v>
      </x:c>
      <x:c r="B146" s="26" t="str">
        <x:v>Hardware, Facilities &amp; Environment</x:v>
      </x:c>
      <x:c r="C146" s="26" t="str">
        <x:v>Workspace access</x:v>
      </x:c>
      <x:c r="D146" s="26" t="str">
        <x:v>Existe el riesgo de que ocurra lo siguiente: Owner no puede acceder al entorno físico.</x:v>
      </x:c>
      <x:c r="E146" s="26" t="str">
        <x:v>All</x:v>
      </x:c>
      <x:c r="F146" s="26" t="n">
        <x:v>8</x:v>
      </x:c>
      <x:c r="G146" s="26" t="str">
        <x:v>MEDIUM</x:v>
      </x:c>
      <x:c r="H146" s="26" t="n">
        <x:v>8</x:v>
      </x:c>
      <x:c r="I146" s="26" t="str">
        <x:v>MEDIUM</x:v>
      </x:c>
      <x:c r="J146" s="26" t="str">
        <x:v>OUTSIDE TOLERANCE</x:v>
      </x:c>
      <x:c r="K146" s="26" t="str">
        <x:v>Project Owner / IT</x:v>
      </x:c>
      <x:c r="L146" s="26" t="str">
        <x:v>Production</x:v>
      </x:c>
      <x:c r="M146" s="26" t="str">
        <x:v>Access disruption</x:v>
      </x:c>
      <x:c r="N146" s="26" t="str">
        <x:v>Proteger evidencia/datos y pasar a hardware alternativo.</x:v>
      </x:c>
      <x:c r="O146" s="26" t="str">
        <x:v>Reponer equipo, restaurar repositorio/datos y validar toolchain.</x:v>
      </x:c>
      <x:c r="P146" s="26" t="str">
        <x:v>BIA-16</x:v>
      </x:c>
      <x:c r="Q146" s="26" t="str">
        <x:v>PB-16</x:v>
      </x:c>
      <x:c r="R146" s="26" t="str">
        <x:v>TA-ENV-008</x:v>
      </x:c>
      <x:c r="S146" s="26" t="str">
        <x:v>10, 11, 25, 27, 30, 31, 34</x:v>
      </x:c>
      <x:c r="T146" s="26" t="str">
        <x:v>Environment records, setup guides, handoffs y build records</x:v>
      </x:c>
      <x:c r="U146" s="26" t="str">
        <x:v>OPEN</x:v>
      </x:c>
      <x:c r="V146" s="26" t="str">
        <x:v>UNVERIFIED</x:v>
      </x:c>
      <x:c r="W146" s="26" t="n">
        <x:v>1</x:v>
      </x:c>
      <x:c r="X146" s="26" t="str">
        <x:v>CHG-RISK-R-ENV-008</x:v>
      </x:c>
    </x:row>
    <x:row r="147" ht="30" customHeight="1">
      <x:c r="A147" s="26" t="str">
        <x:v>R-DOC-001</x:v>
      </x:c>
      <x:c r="B147" s="26" t="str">
        <x:v>Documentation &amp; Knowledge</x:v>
      </x:c>
      <x:c r="C147" s="26" t="str">
        <x:v>Baseline incompleteness</x:v>
      </x:c>
      <x:c r="D147" s="26" t="str">
        <x:v>Existe el riesgo de que ocurra lo siguiente: Documentos 12–16/34 o referencias quedan sin cerrar.</x:v>
      </x:c>
      <x:c r="E147" s="26" t="str">
        <x:v>Closure</x:v>
      </x:c>
      <x:c r="F147" s="26" t="n">
        <x:v>20</x:v>
      </x:c>
      <x:c r="G147" s="26" t="str">
        <x:v>CRITICAL</x:v>
      </x:c>
      <x:c r="H147" s="26" t="n">
        <x:v>20</x:v>
      </x:c>
      <x:c r="I147" s="26" t="str">
        <x:v>CRITICAL</x:v>
      </x:c>
      <x:c r="J147" s="26" t="str">
        <x:v>OUTSIDE TOLERANCE</x:v>
      </x:c>
      <x:c r="K147" s="26" t="str">
        <x:v>Documentation / Production</x:v>
      </x:c>
      <x:c r="L147" s="26" t="str">
        <x:v>Project Owner</x:v>
      </x:c>
      <x:c r="M147" s="26" t="str">
        <x:v>Manifest muestra acciones abiertas</x:v>
      </x:c>
      <x:c r="N147" s="26" t="str">
        <x:v>Congelar edición y determinar última autoridad verificable.</x:v>
      </x:c>
      <x:c r="O147" s="26" t="str">
        <x:v>Restaurar baseline/hashes, aplicar cambios trazables y reauditar.</x:v>
      </x:c>
      <x:c r="P147" s="26" t="str">
        <x:v>BIA-17</x:v>
      </x:c>
      <x:c r="Q147" s="26" t="str">
        <x:v>PB-17</x:v>
      </x:c>
      <x:c r="R147" s="26" t="str">
        <x:v>TA-DOC-001</x:v>
      </x:c>
      <x:c r="S147" s="26" t="str">
        <x:v>12, 13, 14, 15, 16, 31, 32, 33, 34</x:v>
      </x:c>
      <x:c r="T147" s="26" t="str">
        <x:v>Baselines v0.3–v0.6, README, manifests, checksums, ADR y handoffs</x:v>
      </x:c>
      <x:c r="U147" s="26" t="str">
        <x:v>OPEN</x:v>
      </x:c>
      <x:c r="V147" s="26" t="str">
        <x:v>UNVERIFIED</x:v>
      </x:c>
      <x:c r="W147" s="26" t="n">
        <x:v>1</x:v>
      </x:c>
      <x:c r="X147" s="26" t="str">
        <x:v>CHG-RISK-R-DOC-001</x:v>
      </x:c>
    </x:row>
    <x:row r="148" ht="30" customHeight="1">
      <x:c r="A148" s="26" t="str">
        <x:v>R-DOC-002</x:v>
      </x:c>
      <x:c r="B148" s="26" t="str">
        <x:v>Documentation &amp; Knowledge</x:v>
      </x:c>
      <x:c r="C148" s="26" t="str">
        <x:v>Hash mismatch</x:v>
      </x:c>
      <x:c r="D148" s="26" t="str">
        <x:v>Existe el riesgo de que ocurra lo siguiente: Archivo no coincide con checksum publicado.</x:v>
      </x:c>
      <x:c r="E148" s="26" t="str">
        <x:v>All</x:v>
      </x:c>
      <x:c r="F148" s="26" t="n">
        <x:v>15</x:v>
      </x:c>
      <x:c r="G148" s="26" t="str">
        <x:v>HIGH</x:v>
      </x:c>
      <x:c r="H148" s="26" t="n">
        <x:v>15</x:v>
      </x:c>
      <x:c r="I148" s="26" t="str">
        <x:v>HIGH</x:v>
      </x:c>
      <x:c r="J148" s="26" t="str">
        <x:v>OUTSIDE TOLERANCE</x:v>
      </x:c>
      <x:c r="K148" s="26" t="str">
        <x:v>Documentation / Production</x:v>
      </x:c>
      <x:c r="L148" s="26" t="str">
        <x:v>Project Owner</x:v>
      </x:c>
      <x:c r="M148" s="26" t="str">
        <x:v>Verification fails</x:v>
      </x:c>
      <x:c r="N148" s="26" t="str">
        <x:v>Congelar edición y determinar última autoridad verificable.</x:v>
      </x:c>
      <x:c r="O148" s="26" t="str">
        <x:v>Restaurar baseline/hashes, aplicar cambios trazables y reauditar.</x:v>
      </x:c>
      <x:c r="P148" s="26" t="str">
        <x:v>BIA-17</x:v>
      </x:c>
      <x:c r="Q148" s="26" t="str">
        <x:v>PB-17</x:v>
      </x:c>
      <x:c r="R148" s="26" t="str">
        <x:v>TA-DOC-002</x:v>
      </x:c>
      <x:c r="S148" s="26" t="str">
        <x:v>12, 13, 14, 15, 16, 31, 32, 33, 34</x:v>
      </x:c>
      <x:c r="T148" s="26" t="str">
        <x:v>Baselines v0.3–v0.6, README, manifests, checksums, ADR y handoffs</x:v>
      </x:c>
      <x:c r="U148" s="26" t="str">
        <x:v>OPEN</x:v>
      </x:c>
      <x:c r="V148" s="26" t="str">
        <x:v>UNVERIFIED</x:v>
      </x:c>
      <x:c r="W148" s="26" t="n">
        <x:v>1</x:v>
      </x:c>
      <x:c r="X148" s="26" t="str">
        <x:v>CHG-RISK-R-DOC-002</x:v>
      </x:c>
    </x:row>
    <x:row r="149" ht="30" customHeight="1">
      <x:c r="A149" s="26" t="str">
        <x:v>R-DOC-003</x:v>
      </x:c>
      <x:c r="B149" s="26" t="str">
        <x:v>Documentation &amp; Knowledge</x:v>
      </x:c>
      <x:c r="C149" s="26" t="str">
        <x:v>History loss</x:v>
      </x:c>
      <x:c r="D149" s="26" t="str">
        <x:v>Existe el riesgo de que ocurra lo siguiente: Baseline antigua o evidencia se borra por consolidación.</x:v>
      </x:c>
      <x:c r="E149" s="26" t="str">
        <x:v>All</x:v>
      </x:c>
      <x:c r="F149" s="26" t="n">
        <x:v>10</x:v>
      </x:c>
      <x:c r="G149" s="26" t="str">
        <x:v>MEDIUM</x:v>
      </x:c>
      <x:c r="H149" s="26" t="n">
        <x:v>10</x:v>
      </x:c>
      <x:c r="I149" s="26" t="str">
        <x:v>MEDIUM</x:v>
      </x:c>
      <x:c r="J149" s="26" t="str">
        <x:v>OUTSIDE TOLERANCE</x:v>
      </x:c>
      <x:c r="K149" s="26" t="str">
        <x:v>Documentation / Production</x:v>
      </x:c>
      <x:c r="L149" s="26" t="str">
        <x:v>Project Owner</x:v>
      </x:c>
      <x:c r="M149" s="26" t="str">
        <x:v>Cleanup sin disposition</x:v>
      </x:c>
      <x:c r="N149" s="26" t="str">
        <x:v>Congelar edición y determinar última autoridad verificable.</x:v>
      </x:c>
      <x:c r="O149" s="26" t="str">
        <x:v>Restaurar baseline/hashes, aplicar cambios trazables y reauditar.</x:v>
      </x:c>
      <x:c r="P149" s="26" t="str">
        <x:v>BIA-17</x:v>
      </x:c>
      <x:c r="Q149" s="26" t="str">
        <x:v>PB-17</x:v>
      </x:c>
      <x:c r="R149" s="26" t="str">
        <x:v>TA-DOC-003</x:v>
      </x:c>
      <x:c r="S149" s="26" t="str">
        <x:v>12, 13, 14, 15, 16, 31, 32, 33, 34</x:v>
      </x:c>
      <x:c r="T149" s="26" t="str">
        <x:v>Baselines v0.3–v0.6, README, manifests, checksums, ADR y handoffs</x:v>
      </x:c>
      <x:c r="U149" s="26" t="str">
        <x:v>OPEN</x:v>
      </x:c>
      <x:c r="V149" s="26" t="str">
        <x:v>UNVERIFIED</x:v>
      </x:c>
      <x:c r="W149" s="26" t="n">
        <x:v>1</x:v>
      </x:c>
      <x:c r="X149" s="26" t="str">
        <x:v>CHG-RISK-R-DOC-003</x:v>
      </x:c>
    </x:row>
    <x:row r="150" ht="30" customHeight="1">
      <x:c r="A150" s="26" t="str">
        <x:v>R-DOC-004</x:v>
      </x:c>
      <x:c r="B150" s="26" t="str">
        <x:v>Documentation &amp; Knowledge</x:v>
      </x:c>
      <x:c r="C150" s="26" t="str">
        <x:v>Self-hash error</x:v>
      </x:c>
      <x:c r="D150" s="26" t="str">
        <x:v>Existe el riesgo de que ocurra lo siguiente: Se intenta embebir hash del XLSX dentro de sí mismo.</x:v>
      </x:c>
      <x:c r="E150" s="26" t="str">
        <x:v>Closure</x:v>
      </x:c>
      <x:c r="F150" s="26" t="n">
        <x:v>9</x:v>
      </x:c>
      <x:c r="G150" s="26" t="str">
        <x:v>MEDIUM</x:v>
      </x:c>
      <x:c r="H150" s="26" t="n">
        <x:v>9</x:v>
      </x:c>
      <x:c r="I150" s="26" t="str">
        <x:v>MEDIUM</x:v>
      </x:c>
      <x:c r="J150" s="26" t="str">
        <x:v>OUTSIDE TOLERANCE</x:v>
      </x:c>
      <x:c r="K150" s="26" t="str">
        <x:v>Documentation / Production</x:v>
      </x:c>
      <x:c r="L150" s="26" t="str">
        <x:v>Project Owner</x:v>
      </x:c>
      <x:c r="M150" s="26" t="str">
        <x:v>Hash cambia tras edición</x:v>
      </x:c>
      <x:c r="N150" s="26" t="str">
        <x:v>Congelar edición y determinar última autoridad verificable.</x:v>
      </x:c>
      <x:c r="O150" s="26" t="str">
        <x:v>Restaurar baseline/hashes, aplicar cambios trazables y reauditar.</x:v>
      </x:c>
      <x:c r="P150" s="26" t="str">
        <x:v>BIA-17</x:v>
      </x:c>
      <x:c r="Q150" s="26" t="str">
        <x:v>PB-17</x:v>
      </x:c>
      <x:c r="R150" s="26" t="str">
        <x:v>TA-DOC-004</x:v>
      </x:c>
      <x:c r="S150" s="26" t="str">
        <x:v>12, 13, 14, 15, 16, 31, 32, 33, 34</x:v>
      </x:c>
      <x:c r="T150" s="26" t="str">
        <x:v>Baselines v0.3–v0.6, README, manifests, checksums, ADR y handoffs</x:v>
      </x:c>
      <x:c r="U150" s="26" t="str">
        <x:v>OPEN</x:v>
      </x:c>
      <x:c r="V150" s="26" t="str">
        <x:v>UNVERIFIED</x:v>
      </x:c>
      <x:c r="W150" s="26" t="n">
        <x:v>1</x:v>
      </x:c>
      <x:c r="X150" s="26" t="str">
        <x:v>CHG-RISK-R-DOC-004</x:v>
      </x:c>
    </x:row>
    <x:row r="151" ht="30" customHeight="1">
      <x:c r="A151" s="26" t="str">
        <x:v>R-DOC-005</x:v>
      </x:c>
      <x:c r="B151" s="26" t="str">
        <x:v>Documentation &amp; Knowledge</x:v>
      </x:c>
      <x:c r="C151" s="26" t="str">
        <x:v>Stale guidance</x:v>
      </x:c>
      <x:c r="D151" s="26" t="str">
        <x:v>Existe el riesgo de que ocurra lo siguiente: Guía/Binder describe estado anterior.</x:v>
      </x:c>
      <x:c r="E151" s="26" t="str">
        <x:v>All</x:v>
      </x:c>
      <x:c r="F151" s="26" t="n">
        <x:v>20</x:v>
      </x:c>
      <x:c r="G151" s="26" t="str">
        <x:v>CRITICAL</x:v>
      </x:c>
      <x:c r="H151" s="26" t="n">
        <x:v>20</x:v>
      </x:c>
      <x:c r="I151" s="26" t="str">
        <x:v>CRITICAL</x:v>
      </x:c>
      <x:c r="J151" s="26" t="str">
        <x:v>OUTSIDE TOLERANCE</x:v>
      </x:c>
      <x:c r="K151" s="26" t="str">
        <x:v>Documentation / Production</x:v>
      </x:c>
      <x:c r="L151" s="26" t="str">
        <x:v>Project Owner</x:v>
      </x:c>
      <x:c r="M151" s="26" t="str">
        <x:v>Documento no incluye 17–34</x:v>
      </x:c>
      <x:c r="N151" s="26" t="str">
        <x:v>Congelar edición y determinar última autoridad verificable.</x:v>
      </x:c>
      <x:c r="O151" s="26" t="str">
        <x:v>Restaurar baseline/hashes, aplicar cambios trazables y reauditar.</x:v>
      </x:c>
      <x:c r="P151" s="26" t="str">
        <x:v>BIA-17</x:v>
      </x:c>
      <x:c r="Q151" s="26" t="str">
        <x:v>PB-17</x:v>
      </x:c>
      <x:c r="R151" s="26" t="str">
        <x:v>TA-DOC-005</x:v>
      </x:c>
      <x:c r="S151" s="26" t="str">
        <x:v>12, 13, 14, 15, 16, 31, 32, 33, 34</x:v>
      </x:c>
      <x:c r="T151" s="26" t="str">
        <x:v>Baselines v0.3–v0.6, README, manifests, checksums, ADR y handoffs</x:v>
      </x:c>
      <x:c r="U151" s="26" t="str">
        <x:v>OPEN</x:v>
      </x:c>
      <x:c r="V151" s="26" t="str">
        <x:v>UNVERIFIED</x:v>
      </x:c>
      <x:c r="W151" s="26" t="n">
        <x:v>1</x:v>
      </x:c>
      <x:c r="X151" s="26" t="str">
        <x:v>CHG-RISK-R-DOC-005</x:v>
      </x:c>
    </x:row>
    <x:row r="152" ht="30" customHeight="1">
      <x:c r="A152" s="26" t="str">
        <x:v>R-DOC-006</x:v>
      </x:c>
      <x:c r="B152" s="26" t="str">
        <x:v>Documentation &amp; Knowledge</x:v>
      </x:c>
      <x:c r="C152" s="26" t="str">
        <x:v>Chat dependency</x:v>
      </x:c>
      <x:c r="D152" s="26" t="str">
        <x:v>Existe el riesgo de que ocurra lo siguiente: Decisión esencial solo existe en conversación.</x:v>
      </x:c>
      <x:c r="E152" s="26" t="str">
        <x:v>All</x:v>
      </x:c>
      <x:c r="F152" s="26" t="n">
        <x:v>20</x:v>
      </x:c>
      <x:c r="G152" s="26" t="str">
        <x:v>CRITICAL</x:v>
      </x:c>
      <x:c r="H152" s="26" t="n">
        <x:v>20</x:v>
      </x:c>
      <x:c r="I152" s="26" t="str">
        <x:v>CRITICAL</x:v>
      </x:c>
      <x:c r="J152" s="26" t="str">
        <x:v>OUTSIDE TOLERANCE</x:v>
      </x:c>
      <x:c r="K152" s="26" t="str">
        <x:v>Documentation / Production</x:v>
      </x:c>
      <x:c r="L152" s="26" t="str">
        <x:v>Project Owner</x:v>
      </x:c>
      <x:c r="M152" s="26" t="str">
        <x:v>No hay artefacto estable</x:v>
      </x:c>
      <x:c r="N152" s="26" t="str">
        <x:v>Congelar edición y determinar última autoridad verificable.</x:v>
      </x:c>
      <x:c r="O152" s="26" t="str">
        <x:v>Restaurar baseline/hashes, aplicar cambios trazables y reauditar.</x:v>
      </x:c>
      <x:c r="P152" s="26" t="str">
        <x:v>BIA-17</x:v>
      </x:c>
      <x:c r="Q152" s="26" t="str">
        <x:v>PB-17</x:v>
      </x:c>
      <x:c r="R152" s="26" t="str">
        <x:v>TA-DOC-006</x:v>
      </x:c>
      <x:c r="S152" s="26" t="str">
        <x:v>12, 13, 14, 15, 16, 31, 32, 33, 34</x:v>
      </x:c>
      <x:c r="T152" s="26" t="str">
        <x:v>Baselines v0.3–v0.6, README, manifests, checksums, ADR y handoffs</x:v>
      </x:c>
      <x:c r="U152" s="26" t="str">
        <x:v>OPEN</x:v>
      </x:c>
      <x:c r="V152" s="26" t="str">
        <x:v>UNVERIFIED</x:v>
      </x:c>
      <x:c r="W152" s="26" t="n">
        <x:v>1</x:v>
      </x:c>
      <x:c r="X152" s="26" t="str">
        <x:v>CHG-RISK-R-DOC-006</x:v>
      </x:c>
    </x:row>
    <x:row r="153" ht="30" customHeight="1">
      <x:c r="A153" s="26" t="str">
        <x:v>R-DOC-007</x:v>
      </x:c>
      <x:c r="B153" s="26" t="str">
        <x:v>Documentation &amp; Knowledge</x:v>
      </x:c>
      <x:c r="C153" s="26" t="str">
        <x:v>Naming drift</x:v>
      </x:c>
      <x:c r="D153" s="26" t="str">
        <x:v>Existe el riesgo de que ocurra lo siguiente: Nombres/rutas/versiones divergen entre documentos.</x:v>
      </x:c>
      <x:c r="E153" s="26" t="str">
        <x:v>All</x:v>
      </x:c>
      <x:c r="F153" s="26" t="n">
        <x:v>12</x:v>
      </x:c>
      <x:c r="G153" s="26" t="str">
        <x:v>HIGH</x:v>
      </x:c>
      <x:c r="H153" s="26" t="n">
        <x:v>12</x:v>
      </x:c>
      <x:c r="I153" s="26" t="str">
        <x:v>HIGH</x:v>
      </x:c>
      <x:c r="J153" s="26" t="str">
        <x:v>OUTSIDE TOLERANCE</x:v>
      </x:c>
      <x:c r="K153" s="26" t="str">
        <x:v>Documentation / Production</x:v>
      </x:c>
      <x:c r="L153" s="26" t="str">
        <x:v>Project Owner</x:v>
      </x:c>
      <x:c r="M153" s="26" t="str">
        <x:v>Referencia no resuelve</x:v>
      </x:c>
      <x:c r="N153" s="26" t="str">
        <x:v>Congelar edición y determinar última autoridad verificable.</x:v>
      </x:c>
      <x:c r="O153" s="26" t="str">
        <x:v>Restaurar baseline/hashes, aplicar cambios trazables y reauditar.</x:v>
      </x:c>
      <x:c r="P153" s="26" t="str">
        <x:v>BIA-17</x:v>
      </x:c>
      <x:c r="Q153" s="26" t="str">
        <x:v>PB-17</x:v>
      </x:c>
      <x:c r="R153" s="26" t="str">
        <x:v>TA-DOC-007</x:v>
      </x:c>
      <x:c r="S153" s="26" t="str">
        <x:v>12, 13, 14, 15, 16, 31, 32, 33, 34</x:v>
      </x:c>
      <x:c r="T153" s="26" t="str">
        <x:v>Baselines v0.3–v0.6, README, manifests, checksums, ADR y handoffs</x:v>
      </x:c>
      <x:c r="U153" s="26" t="str">
        <x:v>OPEN</x:v>
      </x:c>
      <x:c r="V153" s="26" t="str">
        <x:v>UNVERIFIED</x:v>
      </x:c>
      <x:c r="W153" s="26" t="n">
        <x:v>1</x:v>
      </x:c>
      <x:c r="X153" s="26" t="str">
        <x:v>CHG-RISK-R-DOC-007</x:v>
      </x:c>
    </x:row>
    <x:row r="154" ht="30" customHeight="1">
      <x:c r="A154" s="26" t="str">
        <x:v>R-DOC-008</x:v>
      </x:c>
      <x:c r="B154" s="26" t="str">
        <x:v>Documentation &amp; Knowledge</x:v>
      </x:c>
      <x:c r="C154" s="26" t="str">
        <x:v>No final package test</x:v>
      </x:c>
      <x:c r="D154" s="26" t="str">
        <x:v>Existe el riesgo de que ocurra lo siguiente: ZIP final no se restaura en entorno limpio.</x:v>
      </x:c>
      <x:c r="E154" s="26" t="str">
        <x:v>Closure</x:v>
      </x:c>
      <x:c r="F154" s="26" t="n">
        <x:v>20</x:v>
      </x:c>
      <x:c r="G154" s="26" t="str">
        <x:v>CRITICAL</x:v>
      </x:c>
      <x:c r="H154" s="26" t="n">
        <x:v>20</x:v>
      </x:c>
      <x:c r="I154" s="26" t="str">
        <x:v>CRITICAL</x:v>
      </x:c>
      <x:c r="J154" s="26" t="str">
        <x:v>OUTSIDE TOLERANCE</x:v>
      </x:c>
      <x:c r="K154" s="26" t="str">
        <x:v>Documentation / Production</x:v>
      </x:c>
      <x:c r="L154" s="26" t="str">
        <x:v>Project Owner</x:v>
      </x:c>
      <x:c r="M154" s="26" t="str">
        <x:v>Restore drill NOT TESTED</x:v>
      </x:c>
      <x:c r="N154" s="26" t="str">
        <x:v>Congelar edición y determinar última autoridad verificable.</x:v>
      </x:c>
      <x:c r="O154" s="26" t="str">
        <x:v>Restaurar baseline/hashes, aplicar cambios trazables y reauditar.</x:v>
      </x:c>
      <x:c r="P154" s="26" t="str">
        <x:v>BIA-17</x:v>
      </x:c>
      <x:c r="Q154" s="26" t="str">
        <x:v>PB-17</x:v>
      </x:c>
      <x:c r="R154" s="26" t="str">
        <x:v>TA-DOC-008</x:v>
      </x:c>
      <x:c r="S154" s="26" t="str">
        <x:v>12, 13, 14, 15, 16, 31, 32, 33, 34</x:v>
      </x:c>
      <x:c r="T154" s="26" t="str">
        <x:v>Baselines v0.3–v0.6, README, manifests, checksums, ADR y handoffs</x:v>
      </x:c>
      <x:c r="U154" s="26" t="str">
        <x:v>OPEN</x:v>
      </x:c>
      <x:c r="V154" s="26" t="str">
        <x:v>UNVERIFIED</x:v>
      </x:c>
      <x:c r="W154" s="26" t="n">
        <x:v>1</x:v>
      </x:c>
      <x:c r="X154" s="26" t="str">
        <x:v>CHG-RISK-R-DOC-008</x:v>
      </x:c>
    </x:row>
    <x:row r="155" ht="30" customHeight="1">
      <x:c r="A155" s="26" t="str">
        <x:v>R-BCP-001</x:v>
      </x:c>
      <x:c r="B155" s="26" t="str">
        <x:v>Business Continuity</x:v>
      </x:c>
      <x:c r="C155" s="26" t="str">
        <x:v>LOSS</x:v>
      </x:c>
      <x:c r="D155" s="26" t="str">
        <x:v>Existe el riesgo de que ocurra lo siguiente: Repository and Git history se pierde o queda corrupto.</x:v>
      </x:c>
      <x:c r="E155" s="26" t="str">
        <x:v>All</x:v>
      </x:c>
      <x:c r="F155" s="26" t="n">
        <x:v>15</x:v>
      </x:c>
      <x:c r="G155" s="26" t="str">
        <x:v>HIGH</x:v>
      </x:c>
      <x:c r="H155" s="26" t="n">
        <x:v>15</x:v>
      </x:c>
      <x:c r="I155" s="26" t="str">
        <x:v>HIGH</x:v>
      </x:c>
      <x:c r="J155" s="26" t="str">
        <x:v>OUTSIDE TOLERANCE</x:v>
      </x:c>
      <x:c r="K155" s="26" t="str">
        <x:v>Engineering</x:v>
      </x:c>
      <x:c r="L155" s="26" t="str">
        <x:v>Project Owner</x:v>
      </x:c>
      <x:c r="M155" s="26" t="str">
        <x:v>Activo no disponible, checksum inválido o prueba de restore vencida.</x:v>
      </x:c>
      <x:c r="N155" s="26" t="str">
        <x:v>Proteger evidencia/datos y pasar a hardware alternativo.</x:v>
      </x:c>
      <x:c r="O155" s="26" t="str">
        <x:v>Restaurar Repository and Git history desde la copia verificada más reciente; validar integridad y registrar pérdida de datos.</x:v>
      </x:c>
      <x:c r="P155" s="26" t="str">
        <x:v>BIA-18</x:v>
      </x:c>
      <x:c r="Q155" s="26" t="str">
        <x:v>PB-18</x:v>
      </x:c>
      <x:c r="R155" s="26" t="str">
        <x:v>TA-BCP-001</x:v>
      </x:c>
      <x:c r="S155" s="26" t="str">
        <x:v>11, 13, 25, 27, 31, 32, 33</x:v>
      </x:c>
      <x:c r="T155" s="26" t="str">
        <x:v>Package manifests, checksums, build records, handoffs y archivos históricos</x:v>
      </x:c>
      <x:c r="U155" s="26" t="str">
        <x:v>OPEN</x:v>
      </x:c>
      <x:c r="V155" s="26" t="str">
        <x:v>UNVERIFIED</x:v>
      </x:c>
      <x:c r="W155" s="26" t="n">
        <x:v>1</x:v>
      </x:c>
      <x:c r="X155" s="26" t="str">
        <x:v>CHG-RISK-R-BCP-001</x:v>
      </x:c>
    </x:row>
    <x:row r="156" ht="30" customHeight="1">
      <x:c r="A156" s="26" t="str">
        <x:v>R-BCP-002</x:v>
      </x:c>
      <x:c r="B156" s="26" t="str">
        <x:v>Business Continuity</x:v>
      </x:c>
      <x:c r="C156" s="26" t="str">
        <x:v>ACCESS</x:v>
      </x:c>
      <x:c r="D156" s="26" t="str">
        <x:v>Existe el riesgo de que ocurra lo siguiente: Repository and Git history queda inaccesible durante más que RPO 4h / RTO 24h.</x:v>
      </x:c>
      <x:c r="E156" s="26" t="str">
        <x:v>All</x:v>
      </x:c>
      <x:c r="F156" s="26" t="n">
        <x:v>12</x:v>
      </x:c>
      <x:c r="G156" s="26" t="str">
        <x:v>HIGH</x:v>
      </x:c>
      <x:c r="H156" s="26" t="n">
        <x:v>12</x:v>
      </x:c>
      <x:c r="I156" s="26" t="str">
        <x:v>HIGH</x:v>
      </x:c>
      <x:c r="J156" s="26" t="str">
        <x:v>OUTSIDE TOLERANCE</x:v>
      </x:c>
      <x:c r="K156" s="26" t="str">
        <x:v>Engineering</x:v>
      </x:c>
      <x:c r="L156" s="26" t="str">
        <x:v>Project Owner</x:v>
      </x:c>
      <x:c r="M156" s="26" t="str">
        <x:v>Activo no disponible, checksum inválido o prueba de restore vencida.</x:v>
      </x:c>
      <x:c r="N156" s="26" t="str">
        <x:v>Proteger evidencia/datos y pasar a hardware alternativo.</x:v>
      </x:c>
      <x:c r="O156" s="26" t="str">
        <x:v>Restaurar Repository and Git history desde la copia verificada más reciente; validar integridad y registrar pérdida de datos.</x:v>
      </x:c>
      <x:c r="P156" s="26" t="str">
        <x:v>BIA-18</x:v>
      </x:c>
      <x:c r="Q156" s="26" t="str">
        <x:v>PB-18</x:v>
      </x:c>
      <x:c r="R156" s="26" t="str">
        <x:v>TA-BCP-002</x:v>
      </x:c>
      <x:c r="S156" s="26" t="str">
        <x:v>11, 13, 25, 27, 31, 32, 33</x:v>
      </x:c>
      <x:c r="T156" s="26" t="str">
        <x:v>Package manifests, checksums, build records, handoffs y archivos históricos</x:v>
      </x:c>
      <x:c r="U156" s="26" t="str">
        <x:v>OPEN</x:v>
      </x:c>
      <x:c r="V156" s="26" t="str">
        <x:v>UNVERIFIED</x:v>
      </x:c>
      <x:c r="W156" s="26" t="n">
        <x:v>1</x:v>
      </x:c>
      <x:c r="X156" s="26" t="str">
        <x:v>CHG-RISK-R-BCP-002</x:v>
      </x:c>
    </x:row>
    <x:row r="157" ht="30" customHeight="1">
      <x:c r="A157" s="26" t="str">
        <x:v>R-BCP-003</x:v>
      </x:c>
      <x:c r="B157" s="26" t="str">
        <x:v>Business Continuity</x:v>
      </x:c>
      <x:c r="C157" s="26" t="str">
        <x:v>LOSS</x:v>
      </x:c>
      <x:c r="D157" s="26" t="str">
        <x:v>Existe el riesgo de que ocurra lo siguiente: Unity project and ProjectSettings se pierde o queda corrupto.</x:v>
      </x:c>
      <x:c r="E157" s="26" t="str">
        <x:v>All</x:v>
      </x:c>
      <x:c r="F157" s="26" t="n">
        <x:v>15</x:v>
      </x:c>
      <x:c r="G157" s="26" t="str">
        <x:v>HIGH</x:v>
      </x:c>
      <x:c r="H157" s="26" t="n">
        <x:v>15</x:v>
      </x:c>
      <x:c r="I157" s="26" t="str">
        <x:v>HIGH</x:v>
      </x:c>
      <x:c r="J157" s="26" t="str">
        <x:v>OUTSIDE TOLERANCE</x:v>
      </x:c>
      <x:c r="K157" s="26" t="str">
        <x:v>Engineering</x:v>
      </x:c>
      <x:c r="L157" s="26" t="str">
        <x:v>Project Owner</x:v>
      </x:c>
      <x:c r="M157" s="26" t="str">
        <x:v>Activo no disponible, checksum inválido o prueba de restore vencida.</x:v>
      </x:c>
      <x:c r="N157" s="26" t="str">
        <x:v>Proteger evidencia/datos y pasar a hardware alternativo.</x:v>
      </x:c>
      <x:c r="O157" s="26" t="str">
        <x:v>Restaurar Unity project and ProjectSettings desde la copia verificada más reciente; validar integridad y registrar pérdida de datos.</x:v>
      </x:c>
      <x:c r="P157" s="26" t="str">
        <x:v>BIA-18</x:v>
      </x:c>
      <x:c r="Q157" s="26" t="str">
        <x:v>PB-18</x:v>
      </x:c>
      <x:c r="R157" s="26" t="str">
        <x:v>TA-BCP-003</x:v>
      </x:c>
      <x:c r="S157" s="26" t="str">
        <x:v>11, 13, 25, 27, 31, 32, 33</x:v>
      </x:c>
      <x:c r="T157" s="26" t="str">
        <x:v>Package manifests, checksums, build records, handoffs y archivos históricos</x:v>
      </x:c>
      <x:c r="U157" s="26" t="str">
        <x:v>OPEN</x:v>
      </x:c>
      <x:c r="V157" s="26" t="str">
        <x:v>UNVERIFIED</x:v>
      </x:c>
      <x:c r="W157" s="26" t="n">
        <x:v>1</x:v>
      </x:c>
      <x:c r="X157" s="26" t="str">
        <x:v>CHG-RISK-R-BCP-003</x:v>
      </x:c>
    </x:row>
    <x:row r="158" ht="30" customHeight="1">
      <x:c r="A158" s="26" t="str">
        <x:v>R-BCP-004</x:v>
      </x:c>
      <x:c r="B158" s="26" t="str">
        <x:v>Business Continuity</x:v>
      </x:c>
      <x:c r="C158" s="26" t="str">
        <x:v>ACCESS</x:v>
      </x:c>
      <x:c r="D158" s="26" t="str">
        <x:v>Existe el riesgo de que ocurra lo siguiente: Unity project and ProjectSettings queda inaccesible durante más que RPO 4h / RTO 24h.</x:v>
      </x:c>
      <x:c r="E158" s="26" t="str">
        <x:v>All</x:v>
      </x:c>
      <x:c r="F158" s="26" t="n">
        <x:v>12</x:v>
      </x:c>
      <x:c r="G158" s="26" t="str">
        <x:v>HIGH</x:v>
      </x:c>
      <x:c r="H158" s="26" t="n">
        <x:v>12</x:v>
      </x:c>
      <x:c r="I158" s="26" t="str">
        <x:v>HIGH</x:v>
      </x:c>
      <x:c r="J158" s="26" t="str">
        <x:v>OUTSIDE TOLERANCE</x:v>
      </x:c>
      <x:c r="K158" s="26" t="str">
        <x:v>Engineering</x:v>
      </x:c>
      <x:c r="L158" s="26" t="str">
        <x:v>Project Owner</x:v>
      </x:c>
      <x:c r="M158" s="26" t="str">
        <x:v>Activo no disponible, checksum inválido o prueba de restore vencida.</x:v>
      </x:c>
      <x:c r="N158" s="26" t="str">
        <x:v>Proteger evidencia/datos y pasar a hardware alternativo.</x:v>
      </x:c>
      <x:c r="O158" s="26" t="str">
        <x:v>Restaurar Unity project and ProjectSettings desde la copia verificada más reciente; validar integridad y registrar pérdida de datos.</x:v>
      </x:c>
      <x:c r="P158" s="26" t="str">
        <x:v>BIA-18</x:v>
      </x:c>
      <x:c r="Q158" s="26" t="str">
        <x:v>PB-18</x:v>
      </x:c>
      <x:c r="R158" s="26" t="str">
        <x:v>TA-BCP-004</x:v>
      </x:c>
      <x:c r="S158" s="26" t="str">
        <x:v>11, 13, 25, 27, 31, 32, 33</x:v>
      </x:c>
      <x:c r="T158" s="26" t="str">
        <x:v>Package manifests, checksums, build records, handoffs y archivos históricos</x:v>
      </x:c>
      <x:c r="U158" s="26" t="str">
        <x:v>OPEN</x:v>
      </x:c>
      <x:c r="V158" s="26" t="str">
        <x:v>UNVERIFIED</x:v>
      </x:c>
      <x:c r="W158" s="26" t="n">
        <x:v>1</x:v>
      </x:c>
      <x:c r="X158" s="26" t="str">
        <x:v>CHG-RISK-R-BCP-004</x:v>
      </x:c>
    </x:row>
    <x:row r="159" ht="30" customHeight="1">
      <x:c r="A159" s="26" t="str">
        <x:v>R-BCP-005</x:v>
      </x:c>
      <x:c r="B159" s="26" t="str">
        <x:v>Business Continuity</x:v>
      </x:c>
      <x:c r="C159" s="26" t="str">
        <x:v>LOSS</x:v>
      </x:c>
      <x:c r="D159" s="26" t="str">
        <x:v>Existe el riesgo de que ocurra lo siguiente: Source art files se pierde o queda corrupto.</x:v>
      </x:c>
      <x:c r="E159" s="26" t="str">
        <x:v>All</x:v>
      </x:c>
      <x:c r="F159" s="26" t="n">
        <x:v>15</x:v>
      </x:c>
      <x:c r="G159" s="26" t="str">
        <x:v>HIGH</x:v>
      </x:c>
      <x:c r="H159" s="26" t="n">
        <x:v>15</x:v>
      </x:c>
      <x:c r="I159" s="26" t="str">
        <x:v>HIGH</x:v>
      </x:c>
      <x:c r="J159" s="26" t="str">
        <x:v>OUTSIDE TOLERANCE</x:v>
      </x:c>
      <x:c r="K159" s="26" t="str">
        <x:v>Art</x:v>
      </x:c>
      <x:c r="L159" s="26" t="str">
        <x:v>Project Owner</x:v>
      </x:c>
      <x:c r="M159" s="26" t="str">
        <x:v>Activo no disponible, checksum inválido o prueba de restore vencida.</x:v>
      </x:c>
      <x:c r="N159" s="26" t="str">
        <x:v>Proteger evidencia/datos y pasar a hardware alternativo.</x:v>
      </x:c>
      <x:c r="O159" s="26" t="str">
        <x:v>Restaurar Source art files desde la copia verificada más reciente; validar integridad y registrar pérdida de datos.</x:v>
      </x:c>
      <x:c r="P159" s="26" t="str">
        <x:v>BIA-18</x:v>
      </x:c>
      <x:c r="Q159" s="26" t="str">
        <x:v>PB-18</x:v>
      </x:c>
      <x:c r="R159" s="26" t="str">
        <x:v>TA-BCP-005</x:v>
      </x:c>
      <x:c r="S159" s="26" t="str">
        <x:v>11, 13, 25, 27, 31, 32, 33</x:v>
      </x:c>
      <x:c r="T159" s="26" t="str">
        <x:v>Package manifests, checksums, build records, handoffs y archivos históricos</x:v>
      </x:c>
      <x:c r="U159" s="26" t="str">
        <x:v>OPEN</x:v>
      </x:c>
      <x:c r="V159" s="26" t="str">
        <x:v>UNVERIFIED</x:v>
      </x:c>
      <x:c r="W159" s="26" t="n">
        <x:v>1</x:v>
      </x:c>
      <x:c r="X159" s="26" t="str">
        <x:v>CHG-RISK-R-BCP-005</x:v>
      </x:c>
    </x:row>
    <x:row r="160" ht="30" customHeight="1">
      <x:c r="A160" s="26" t="str">
        <x:v>R-BCP-006</x:v>
      </x:c>
      <x:c r="B160" s="26" t="str">
        <x:v>Business Continuity</x:v>
      </x:c>
      <x:c r="C160" s="26" t="str">
        <x:v>ACCESS</x:v>
      </x:c>
      <x:c r="D160" s="26" t="str">
        <x:v>Existe el riesgo de que ocurra lo siguiente: Source art files queda inaccesible durante más que RPO 24h / RTO 72h.</x:v>
      </x:c>
      <x:c r="E160" s="26" t="str">
        <x:v>All</x:v>
      </x:c>
      <x:c r="F160" s="26" t="n">
        <x:v>12</x:v>
      </x:c>
      <x:c r="G160" s="26" t="str">
        <x:v>HIGH</x:v>
      </x:c>
      <x:c r="H160" s="26" t="n">
        <x:v>12</x:v>
      </x:c>
      <x:c r="I160" s="26" t="str">
        <x:v>HIGH</x:v>
      </x:c>
      <x:c r="J160" s="26" t="str">
        <x:v>OUTSIDE TOLERANCE</x:v>
      </x:c>
      <x:c r="K160" s="26" t="str">
        <x:v>Art</x:v>
      </x:c>
      <x:c r="L160" s="26" t="str">
        <x:v>Project Owner</x:v>
      </x:c>
      <x:c r="M160" s="26" t="str">
        <x:v>Activo no disponible, checksum inválido o prueba de restore vencida.</x:v>
      </x:c>
      <x:c r="N160" s="26" t="str">
        <x:v>Proteger evidencia/datos y pasar a hardware alternativo.</x:v>
      </x:c>
      <x:c r="O160" s="26" t="str">
        <x:v>Restaurar Source art files desde la copia verificada más reciente; validar integridad y registrar pérdida de datos.</x:v>
      </x:c>
      <x:c r="P160" s="26" t="str">
        <x:v>BIA-18</x:v>
      </x:c>
      <x:c r="Q160" s="26" t="str">
        <x:v>PB-18</x:v>
      </x:c>
      <x:c r="R160" s="26" t="str">
        <x:v>TA-BCP-006</x:v>
      </x:c>
      <x:c r="S160" s="26" t="str">
        <x:v>11, 13, 25, 27, 31, 32, 33</x:v>
      </x:c>
      <x:c r="T160" s="26" t="str">
        <x:v>Package manifests, checksums, build records, handoffs y archivos históricos</x:v>
      </x:c>
      <x:c r="U160" s="26" t="str">
        <x:v>OPEN</x:v>
      </x:c>
      <x:c r="V160" s="26" t="str">
        <x:v>UNVERIFIED</x:v>
      </x:c>
      <x:c r="W160" s="26" t="n">
        <x:v>1</x:v>
      </x:c>
      <x:c r="X160" s="26" t="str">
        <x:v>CHG-RISK-R-BCP-006</x:v>
      </x:c>
    </x:row>
    <x:row r="161" ht="30" customHeight="1">
      <x:c r="A161" s="26" t="str">
        <x:v>R-BCP-007</x:v>
      </x:c>
      <x:c r="B161" s="26" t="str">
        <x:v>Business Continuity</x:v>
      </x:c>
      <x:c r="C161" s="26" t="str">
        <x:v>LOSS</x:v>
      </x:c>
      <x:c r="D161" s="26" t="str">
        <x:v>Existe el riesgo de que ocurra lo siguiente: Source audio files se pierde o queda corrupto.</x:v>
      </x:c>
      <x:c r="E161" s="26" t="str">
        <x:v>All</x:v>
      </x:c>
      <x:c r="F161" s="26" t="n">
        <x:v>15</x:v>
      </x:c>
      <x:c r="G161" s="26" t="str">
        <x:v>HIGH</x:v>
      </x:c>
      <x:c r="H161" s="26" t="n">
        <x:v>15</x:v>
      </x:c>
      <x:c r="I161" s="26" t="str">
        <x:v>HIGH</x:v>
      </x:c>
      <x:c r="J161" s="26" t="str">
        <x:v>OUTSIDE TOLERANCE</x:v>
      </x:c>
      <x:c r="K161" s="26" t="str">
        <x:v>Audio</x:v>
      </x:c>
      <x:c r="L161" s="26" t="str">
        <x:v>Project Owner</x:v>
      </x:c>
      <x:c r="M161" s="26" t="str">
        <x:v>Activo no disponible, checksum inválido o prueba de restore vencida.</x:v>
      </x:c>
      <x:c r="N161" s="26" t="str">
        <x:v>Proteger evidencia/datos y pasar a hardware alternativo.</x:v>
      </x:c>
      <x:c r="O161" s="26" t="str">
        <x:v>Restaurar Source audio files desde la copia verificada más reciente; validar integridad y registrar pérdida de datos.</x:v>
      </x:c>
      <x:c r="P161" s="26" t="str">
        <x:v>BIA-18</x:v>
      </x:c>
      <x:c r="Q161" s="26" t="str">
        <x:v>PB-18</x:v>
      </x:c>
      <x:c r="R161" s="26" t="str">
        <x:v>TA-BCP-007</x:v>
      </x:c>
      <x:c r="S161" s="26" t="str">
        <x:v>11, 13, 25, 27, 31, 32, 33</x:v>
      </x:c>
      <x:c r="T161" s="26" t="str">
        <x:v>Package manifests, checksums, build records, handoffs y archivos históricos</x:v>
      </x:c>
      <x:c r="U161" s="26" t="str">
        <x:v>OPEN</x:v>
      </x:c>
      <x:c r="V161" s="26" t="str">
        <x:v>UNVERIFIED</x:v>
      </x:c>
      <x:c r="W161" s="26" t="n">
        <x:v>1</x:v>
      </x:c>
      <x:c r="X161" s="26" t="str">
        <x:v>CHG-RISK-R-BCP-007</x:v>
      </x:c>
    </x:row>
    <x:row r="162" ht="30" customHeight="1">
      <x:c r="A162" s="26" t="str">
        <x:v>R-BCP-008</x:v>
      </x:c>
      <x:c r="B162" s="26" t="str">
        <x:v>Business Continuity</x:v>
      </x:c>
      <x:c r="C162" s="26" t="str">
        <x:v>ACCESS</x:v>
      </x:c>
      <x:c r="D162" s="26" t="str">
        <x:v>Existe el riesgo de que ocurra lo siguiente: Source audio files queda inaccesible durante más que RPO 24h / RTO 72h.</x:v>
      </x:c>
      <x:c r="E162" s="26" t="str">
        <x:v>All</x:v>
      </x:c>
      <x:c r="F162" s="26" t="n">
        <x:v>12</x:v>
      </x:c>
      <x:c r="G162" s="26" t="str">
        <x:v>HIGH</x:v>
      </x:c>
      <x:c r="H162" s="26" t="n">
        <x:v>12</x:v>
      </x:c>
      <x:c r="I162" s="26" t="str">
        <x:v>HIGH</x:v>
      </x:c>
      <x:c r="J162" s="26" t="str">
        <x:v>OUTSIDE TOLERANCE</x:v>
      </x:c>
      <x:c r="K162" s="26" t="str">
        <x:v>Audio</x:v>
      </x:c>
      <x:c r="L162" s="26" t="str">
        <x:v>Project Owner</x:v>
      </x:c>
      <x:c r="M162" s="26" t="str">
        <x:v>Activo no disponible, checksum inválido o prueba de restore vencida.</x:v>
      </x:c>
      <x:c r="N162" s="26" t="str">
        <x:v>Proteger evidencia/datos y pasar a hardware alternativo.</x:v>
      </x:c>
      <x:c r="O162" s="26" t="str">
        <x:v>Restaurar Source audio files desde la copia verificada más reciente; validar integridad y registrar pérdida de datos.</x:v>
      </x:c>
      <x:c r="P162" s="26" t="str">
        <x:v>BIA-18</x:v>
      </x:c>
      <x:c r="Q162" s="26" t="str">
        <x:v>PB-18</x:v>
      </x:c>
      <x:c r="R162" s="26" t="str">
        <x:v>TA-BCP-008</x:v>
      </x:c>
      <x:c r="S162" s="26" t="str">
        <x:v>11, 13, 25, 27, 31, 32, 33</x:v>
      </x:c>
      <x:c r="T162" s="26" t="str">
        <x:v>Package manifests, checksums, build records, handoffs y archivos históricos</x:v>
      </x:c>
      <x:c r="U162" s="26" t="str">
        <x:v>OPEN</x:v>
      </x:c>
      <x:c r="V162" s="26" t="str">
        <x:v>UNVERIFIED</x:v>
      </x:c>
      <x:c r="W162" s="26" t="n">
        <x:v>1</x:v>
      </x:c>
      <x:c r="X162" s="26" t="str">
        <x:v>CHG-RISK-R-BCP-008</x:v>
      </x:c>
    </x:row>
    <x:row r="163" ht="30" customHeight="1">
      <x:c r="A163" s="26" t="str">
        <x:v>R-BCP-009</x:v>
      </x:c>
      <x:c r="B163" s="26" t="str">
        <x:v>Business Continuity</x:v>
      </x:c>
      <x:c r="C163" s="26" t="str">
        <x:v>LOSS</x:v>
      </x:c>
      <x:c r="D163" s="26" t="str">
        <x:v>Existe el riesgo de que ocurra lo siguiente: Documentation baseline se pierde o queda corrupto.</x:v>
      </x:c>
      <x:c r="E163" s="26" t="str">
        <x:v>All</x:v>
      </x:c>
      <x:c r="F163" s="26" t="n">
        <x:v>15</x:v>
      </x:c>
      <x:c r="G163" s="26" t="str">
        <x:v>HIGH</x:v>
      </x:c>
      <x:c r="H163" s="26" t="n">
        <x:v>15</x:v>
      </x:c>
      <x:c r="I163" s="26" t="str">
        <x:v>HIGH</x:v>
      </x:c>
      <x:c r="J163" s="26" t="str">
        <x:v>OUTSIDE TOLERANCE</x:v>
      </x:c>
      <x:c r="K163" s="26" t="str">
        <x:v>Documentation</x:v>
      </x:c>
      <x:c r="L163" s="26" t="str">
        <x:v>Project Owner</x:v>
      </x:c>
      <x:c r="M163" s="26" t="str">
        <x:v>Activo no disponible, checksum inválido o prueba de restore vencida.</x:v>
      </x:c>
      <x:c r="N163" s="26" t="str">
        <x:v>Proteger evidencia/datos y pasar a hardware alternativo.</x:v>
      </x:c>
      <x:c r="O163" s="26" t="str">
        <x:v>Restaurar Documentation baseline desde la copia verificada más reciente; validar integridad y registrar pérdida de datos.</x:v>
      </x:c>
      <x:c r="P163" s="26" t="str">
        <x:v>BIA-18</x:v>
      </x:c>
      <x:c r="Q163" s="26" t="str">
        <x:v>PB-18</x:v>
      </x:c>
      <x:c r="R163" s="26" t="str">
        <x:v>TA-BCP-009</x:v>
      </x:c>
      <x:c r="S163" s="26" t="str">
        <x:v>11, 13, 25, 27, 31, 32, 33</x:v>
      </x:c>
      <x:c r="T163" s="26" t="str">
        <x:v>Package manifests, checksums, build records, handoffs y archivos históricos</x:v>
      </x:c>
      <x:c r="U163" s="26" t="str">
        <x:v>OPEN</x:v>
      </x:c>
      <x:c r="V163" s="26" t="str">
        <x:v>UNVERIFIED</x:v>
      </x:c>
      <x:c r="W163" s="26" t="n">
        <x:v>1</x:v>
      </x:c>
      <x:c r="X163" s="26" t="str">
        <x:v>CHG-RISK-R-BCP-009</x:v>
      </x:c>
    </x:row>
    <x:row r="164" ht="30" customHeight="1">
      <x:c r="A164" s="26" t="str">
        <x:v>R-BCP-010</x:v>
      </x:c>
      <x:c r="B164" s="26" t="str">
        <x:v>Business Continuity</x:v>
      </x:c>
      <x:c r="C164" s="26" t="str">
        <x:v>ACCESS</x:v>
      </x:c>
      <x:c r="D164" s="26" t="str">
        <x:v>Existe el riesgo de que ocurra lo siguiente: Documentation baseline queda inaccesible durante más que RPO 24h / RTO 24h.</x:v>
      </x:c>
      <x:c r="E164" s="26" t="str">
        <x:v>All</x:v>
      </x:c>
      <x:c r="F164" s="26" t="n">
        <x:v>12</x:v>
      </x:c>
      <x:c r="G164" s="26" t="str">
        <x:v>HIGH</x:v>
      </x:c>
      <x:c r="H164" s="26" t="n">
        <x:v>12</x:v>
      </x:c>
      <x:c r="I164" s="26" t="str">
        <x:v>HIGH</x:v>
      </x:c>
      <x:c r="J164" s="26" t="str">
        <x:v>OUTSIDE TOLERANCE</x:v>
      </x:c>
      <x:c r="K164" s="26" t="str">
        <x:v>Documentation</x:v>
      </x:c>
      <x:c r="L164" s="26" t="str">
        <x:v>Project Owner</x:v>
      </x:c>
      <x:c r="M164" s="26" t="str">
        <x:v>Activo no disponible, checksum inválido o prueba de restore vencida.</x:v>
      </x:c>
      <x:c r="N164" s="26" t="str">
        <x:v>Proteger evidencia/datos y pasar a hardware alternativo.</x:v>
      </x:c>
      <x:c r="O164" s="26" t="str">
        <x:v>Restaurar Documentation baseline desde la copia verificada más reciente; validar integridad y registrar pérdida de datos.</x:v>
      </x:c>
      <x:c r="P164" s="26" t="str">
        <x:v>BIA-18</x:v>
      </x:c>
      <x:c r="Q164" s="26" t="str">
        <x:v>PB-18</x:v>
      </x:c>
      <x:c r="R164" s="26" t="str">
        <x:v>TA-BCP-010</x:v>
      </x:c>
      <x:c r="S164" s="26" t="str">
        <x:v>11, 13, 25, 27, 31, 32, 33</x:v>
      </x:c>
      <x:c r="T164" s="26" t="str">
        <x:v>Package manifests, checksums, build records, handoffs y archivos históricos</x:v>
      </x:c>
      <x:c r="U164" s="26" t="str">
        <x:v>OPEN</x:v>
      </x:c>
      <x:c r="V164" s="26" t="str">
        <x:v>UNVERIFIED</x:v>
      </x:c>
      <x:c r="W164" s="26" t="n">
        <x:v>1</x:v>
      </x:c>
      <x:c r="X164" s="26" t="str">
        <x:v>CHG-RISK-R-BCP-010</x:v>
      </x:c>
    </x:row>
    <x:row r="165" ht="30" customHeight="1">
      <x:c r="A165" s="26" t="str">
        <x:v>R-BCP-011</x:v>
      </x:c>
      <x:c r="B165" s="26" t="str">
        <x:v>Business Continuity</x:v>
      </x:c>
      <x:c r="C165" s="26" t="str">
        <x:v>LOSS</x:v>
      </x:c>
      <x:c r="D165" s="26" t="str">
        <x:v>Existe el riesgo de que ocurra lo siguiente: Historical documentation se pierde o queda corrupto.</x:v>
      </x:c>
      <x:c r="E165" s="26" t="str">
        <x:v>All</x:v>
      </x:c>
      <x:c r="F165" s="26" t="n">
        <x:v>15</x:v>
      </x:c>
      <x:c r="G165" s="26" t="str">
        <x:v>HIGH</x:v>
      </x:c>
      <x:c r="H165" s="26" t="n">
        <x:v>15</x:v>
      </x:c>
      <x:c r="I165" s="26" t="str">
        <x:v>HIGH</x:v>
      </x:c>
      <x:c r="J165" s="26" t="str">
        <x:v>OUTSIDE TOLERANCE</x:v>
      </x:c>
      <x:c r="K165" s="26" t="str">
        <x:v>Documentation</x:v>
      </x:c>
      <x:c r="L165" s="26" t="str">
        <x:v>Project Owner</x:v>
      </x:c>
      <x:c r="M165" s="26" t="str">
        <x:v>Activo no disponible, checksum inválido o prueba de restore vencida.</x:v>
      </x:c>
      <x:c r="N165" s="26" t="str">
        <x:v>Proteger evidencia/datos y pasar a hardware alternativo.</x:v>
      </x:c>
      <x:c r="O165" s="26" t="str">
        <x:v>Restaurar Historical documentation desde la copia verificada más reciente; validar integridad y registrar pérdida de datos.</x:v>
      </x:c>
      <x:c r="P165" s="26" t="str">
        <x:v>BIA-18</x:v>
      </x:c>
      <x:c r="Q165" s="26" t="str">
        <x:v>PB-18</x:v>
      </x:c>
      <x:c r="R165" s="26" t="str">
        <x:v>TA-BCP-011</x:v>
      </x:c>
      <x:c r="S165" s="26" t="str">
        <x:v>11, 13, 25, 27, 31, 32, 33</x:v>
      </x:c>
      <x:c r="T165" s="26" t="str">
        <x:v>Package manifests, checksums, build records, handoffs y archivos históricos</x:v>
      </x:c>
      <x:c r="U165" s="26" t="str">
        <x:v>OPEN</x:v>
      </x:c>
      <x:c r="V165" s="26" t="str">
        <x:v>UNVERIFIED</x:v>
      </x:c>
      <x:c r="W165" s="26" t="n">
        <x:v>1</x:v>
      </x:c>
      <x:c r="X165" s="26" t="str">
        <x:v>CHG-RISK-R-BCP-011</x:v>
      </x:c>
    </x:row>
    <x:row r="166" ht="30" customHeight="1">
      <x:c r="A166" s="26" t="str">
        <x:v>R-BCP-012</x:v>
      </x:c>
      <x:c r="B166" s="26" t="str">
        <x:v>Business Continuity</x:v>
      </x:c>
      <x:c r="C166" s="26" t="str">
        <x:v>ACCESS</x:v>
      </x:c>
      <x:c r="D166" s="26" t="str">
        <x:v>Existe el riesgo de que ocurra lo siguiente: Historical documentation queda inaccesible durante más que RPO 24h / RTO 72h.</x:v>
      </x:c>
      <x:c r="E166" s="26" t="str">
        <x:v>All</x:v>
      </x:c>
      <x:c r="F166" s="26" t="n">
        <x:v>12</x:v>
      </x:c>
      <x:c r="G166" s="26" t="str">
        <x:v>HIGH</x:v>
      </x:c>
      <x:c r="H166" s="26" t="n">
        <x:v>12</x:v>
      </x:c>
      <x:c r="I166" s="26" t="str">
        <x:v>HIGH</x:v>
      </x:c>
      <x:c r="J166" s="26" t="str">
        <x:v>OUTSIDE TOLERANCE</x:v>
      </x:c>
      <x:c r="K166" s="26" t="str">
        <x:v>Documentation</x:v>
      </x:c>
      <x:c r="L166" s="26" t="str">
        <x:v>Project Owner</x:v>
      </x:c>
      <x:c r="M166" s="26" t="str">
        <x:v>Activo no disponible, checksum inválido o prueba de restore vencida.</x:v>
      </x:c>
      <x:c r="N166" s="26" t="str">
        <x:v>Proteger evidencia/datos y pasar a hardware alternativo.</x:v>
      </x:c>
      <x:c r="O166" s="26" t="str">
        <x:v>Restaurar Historical documentation desde la copia verificada más reciente; validar integridad y registrar pérdida de datos.</x:v>
      </x:c>
      <x:c r="P166" s="26" t="str">
        <x:v>BIA-18</x:v>
      </x:c>
      <x:c r="Q166" s="26" t="str">
        <x:v>PB-18</x:v>
      </x:c>
      <x:c r="R166" s="26" t="str">
        <x:v>TA-BCP-012</x:v>
      </x:c>
      <x:c r="S166" s="26" t="str">
        <x:v>11, 13, 25, 27, 31, 32, 33</x:v>
      </x:c>
      <x:c r="T166" s="26" t="str">
        <x:v>Package manifests, checksums, build records, handoffs y archivos históricos</x:v>
      </x:c>
      <x:c r="U166" s="26" t="str">
        <x:v>OPEN</x:v>
      </x:c>
      <x:c r="V166" s="26" t="str">
        <x:v>UNVERIFIED</x:v>
      </x:c>
      <x:c r="W166" s="26" t="n">
        <x:v>1</x:v>
      </x:c>
      <x:c r="X166" s="26" t="str">
        <x:v>CHG-RISK-R-BCP-012</x:v>
      </x:c>
    </x:row>
    <x:row r="167" ht="30" customHeight="1">
      <x:c r="A167" s="26" t="str">
        <x:v>R-BCP-013</x:v>
      </x:c>
      <x:c r="B167" s="26" t="str">
        <x:v>Business Continuity</x:v>
      </x:c>
      <x:c r="C167" s="26" t="str">
        <x:v>LOSS</x:v>
      </x:c>
      <x:c r="D167" s="26" t="str">
        <x:v>Existe el riesgo de que ocurra lo siguiente: Build artifacts se pierde o queda corrupto.</x:v>
      </x:c>
      <x:c r="E167" s="26" t="str">
        <x:v>All</x:v>
      </x:c>
      <x:c r="F167" s="26" t="n">
        <x:v>15</x:v>
      </x:c>
      <x:c r="G167" s="26" t="str">
        <x:v>HIGH</x:v>
      </x:c>
      <x:c r="H167" s="26" t="n">
        <x:v>15</x:v>
      </x:c>
      <x:c r="I167" s="26" t="str">
        <x:v>HIGH</x:v>
      </x:c>
      <x:c r="J167" s="26" t="str">
        <x:v>OUTSIDE TOLERANCE</x:v>
      </x:c>
      <x:c r="K167" s="26" t="str">
        <x:v>Build</x:v>
      </x:c>
      <x:c r="L167" s="26" t="str">
        <x:v>Project Owner</x:v>
      </x:c>
      <x:c r="M167" s="26" t="str">
        <x:v>Activo no disponible, checksum inválido o prueba de restore vencida.</x:v>
      </x:c>
      <x:c r="N167" s="26" t="str">
        <x:v>Proteger evidencia/datos y pasar a hardware alternativo.</x:v>
      </x:c>
      <x:c r="O167" s="26" t="str">
        <x:v>Restaurar Build artifacts desde la copia verificada más reciente; validar integridad y registrar pérdida de datos.</x:v>
      </x:c>
      <x:c r="P167" s="26" t="str">
        <x:v>BIA-18</x:v>
      </x:c>
      <x:c r="Q167" s="26" t="str">
        <x:v>PB-18</x:v>
      </x:c>
      <x:c r="R167" s="26" t="str">
        <x:v>TA-BCP-013</x:v>
      </x:c>
      <x:c r="S167" s="26" t="str">
        <x:v>11, 13, 25, 27, 31, 32, 33</x:v>
      </x:c>
      <x:c r="T167" s="26" t="str">
        <x:v>Package manifests, checksums, build records, handoffs y archivos históricos</x:v>
      </x:c>
      <x:c r="U167" s="26" t="str">
        <x:v>OPEN</x:v>
      </x:c>
      <x:c r="V167" s="26" t="str">
        <x:v>UNVERIFIED</x:v>
      </x:c>
      <x:c r="W167" s="26" t="n">
        <x:v>1</x:v>
      </x:c>
      <x:c r="X167" s="26" t="str">
        <x:v>CHG-RISK-R-BCP-013</x:v>
      </x:c>
    </x:row>
    <x:row r="168" ht="30" customHeight="1">
      <x:c r="A168" s="26" t="str">
        <x:v>R-BCP-014</x:v>
      </x:c>
      <x:c r="B168" s="26" t="str">
        <x:v>Business Continuity</x:v>
      </x:c>
      <x:c r="C168" s="26" t="str">
        <x:v>ACCESS</x:v>
      </x:c>
      <x:c r="D168" s="26" t="str">
        <x:v>Existe el riesgo de que ocurra lo siguiente: Build artifacts queda inaccesible durante más que RPO per candidate / RTO 8h.</x:v>
      </x:c>
      <x:c r="E168" s="26" t="str">
        <x:v>All</x:v>
      </x:c>
      <x:c r="F168" s="26" t="n">
        <x:v>12</x:v>
      </x:c>
      <x:c r="G168" s="26" t="str">
        <x:v>HIGH</x:v>
      </x:c>
      <x:c r="H168" s="26" t="n">
        <x:v>12</x:v>
      </x:c>
      <x:c r="I168" s="26" t="str">
        <x:v>HIGH</x:v>
      </x:c>
      <x:c r="J168" s="26" t="str">
        <x:v>OUTSIDE TOLERANCE</x:v>
      </x:c>
      <x:c r="K168" s="26" t="str">
        <x:v>Build</x:v>
      </x:c>
      <x:c r="L168" s="26" t="str">
        <x:v>Project Owner</x:v>
      </x:c>
      <x:c r="M168" s="26" t="str">
        <x:v>Activo no disponible, checksum inválido o prueba de restore vencida.</x:v>
      </x:c>
      <x:c r="N168" s="26" t="str">
        <x:v>Proteger evidencia/datos y pasar a hardware alternativo.</x:v>
      </x:c>
      <x:c r="O168" s="26" t="str">
        <x:v>Restaurar Build artifacts desde la copia verificada más reciente; validar integridad y registrar pérdida de datos.</x:v>
      </x:c>
      <x:c r="P168" s="26" t="str">
        <x:v>BIA-18</x:v>
      </x:c>
      <x:c r="Q168" s="26" t="str">
        <x:v>PB-18</x:v>
      </x:c>
      <x:c r="R168" s="26" t="str">
        <x:v>TA-BCP-014</x:v>
      </x:c>
      <x:c r="S168" s="26" t="str">
        <x:v>11, 13, 25, 27, 31, 32, 33</x:v>
      </x:c>
      <x:c r="T168" s="26" t="str">
        <x:v>Package manifests, checksums, build records, handoffs y archivos históricos</x:v>
      </x:c>
      <x:c r="U168" s="26" t="str">
        <x:v>OPEN</x:v>
      </x:c>
      <x:c r="V168" s="26" t="str">
        <x:v>UNVERIFIED</x:v>
      </x:c>
      <x:c r="W168" s="26" t="n">
        <x:v>1</x:v>
      </x:c>
      <x:c r="X168" s="26" t="str">
        <x:v>CHG-RISK-R-BCP-014</x:v>
      </x:c>
    </x:row>
    <x:row r="169" ht="30" customHeight="1">
      <x:c r="A169" s="26" t="str">
        <x:v>R-BCP-015</x:v>
      </x:c>
      <x:c r="B169" s="26" t="str">
        <x:v>Business Continuity</x:v>
      </x:c>
      <x:c r="C169" s="26" t="str">
        <x:v>LOSS</x:v>
      </x:c>
      <x:c r="D169" s="26" t="str">
        <x:v>Existe el riesgo de que ocurra lo siguiente: Save/recovery test corpus se pierde o queda corrupto.</x:v>
      </x:c>
      <x:c r="E169" s="26" t="str">
        <x:v>All</x:v>
      </x:c>
      <x:c r="F169" s="26" t="n">
        <x:v>15</x:v>
      </x:c>
      <x:c r="G169" s="26" t="str">
        <x:v>HIGH</x:v>
      </x:c>
      <x:c r="H169" s="26" t="n">
        <x:v>15</x:v>
      </x:c>
      <x:c r="I169" s="26" t="str">
        <x:v>HIGH</x:v>
      </x:c>
      <x:c r="J169" s="26" t="str">
        <x:v>OUTSIDE TOLERANCE</x:v>
      </x:c>
      <x:c r="K169" s="26" t="str">
        <x:v>QA/Data</x:v>
      </x:c>
      <x:c r="L169" s="26" t="str">
        <x:v>Project Owner</x:v>
      </x:c>
      <x:c r="M169" s="26" t="str">
        <x:v>Activo no disponible, checksum inválido o prueba de restore vencida.</x:v>
      </x:c>
      <x:c r="N169" s="26" t="str">
        <x:v>Proteger evidencia/datos y pasar a hardware alternativo.</x:v>
      </x:c>
      <x:c r="O169" s="26" t="str">
        <x:v>Restaurar Save/recovery test corpus desde la copia verificada más reciente; validar integridad y registrar pérdida de datos.</x:v>
      </x:c>
      <x:c r="P169" s="26" t="str">
        <x:v>BIA-18</x:v>
      </x:c>
      <x:c r="Q169" s="26" t="str">
        <x:v>PB-18</x:v>
      </x:c>
      <x:c r="R169" s="26" t="str">
        <x:v>TA-BCP-015</x:v>
      </x:c>
      <x:c r="S169" s="26" t="str">
        <x:v>11, 13, 25, 27, 31, 32, 33</x:v>
      </x:c>
      <x:c r="T169" s="26" t="str">
        <x:v>Package manifests, checksums, build records, handoffs y archivos históricos</x:v>
      </x:c>
      <x:c r="U169" s="26" t="str">
        <x:v>OPEN</x:v>
      </x:c>
      <x:c r="V169" s="26" t="str">
        <x:v>UNVERIFIED</x:v>
      </x:c>
      <x:c r="W169" s="26" t="n">
        <x:v>1</x:v>
      </x:c>
      <x:c r="X169" s="26" t="str">
        <x:v>CHG-RISK-R-BCP-015</x:v>
      </x:c>
    </x:row>
    <x:row r="170" ht="30" customHeight="1">
      <x:c r="A170" s="26" t="str">
        <x:v>R-BCP-016</x:v>
      </x:c>
      <x:c r="B170" s="26" t="str">
        <x:v>Business Continuity</x:v>
      </x:c>
      <x:c r="C170" s="26" t="str">
        <x:v>ACCESS</x:v>
      </x:c>
      <x:c r="D170" s="26" t="str">
        <x:v>Existe el riesgo de que ocurra lo siguiente: Save/recovery test corpus queda inaccesible durante más que RPO per release / RTO 8h.</x:v>
      </x:c>
      <x:c r="E170" s="26" t="str">
        <x:v>All</x:v>
      </x:c>
      <x:c r="F170" s="26" t="n">
        <x:v>12</x:v>
      </x:c>
      <x:c r="G170" s="26" t="str">
        <x:v>HIGH</x:v>
      </x:c>
      <x:c r="H170" s="26" t="n">
        <x:v>12</x:v>
      </x:c>
      <x:c r="I170" s="26" t="str">
        <x:v>HIGH</x:v>
      </x:c>
      <x:c r="J170" s="26" t="str">
        <x:v>OUTSIDE TOLERANCE</x:v>
      </x:c>
      <x:c r="K170" s="26" t="str">
        <x:v>QA/Data</x:v>
      </x:c>
      <x:c r="L170" s="26" t="str">
        <x:v>Project Owner</x:v>
      </x:c>
      <x:c r="M170" s="26" t="str">
        <x:v>Activo no disponible, checksum inválido o prueba de restore vencida.</x:v>
      </x:c>
      <x:c r="N170" s="26" t="str">
        <x:v>Proteger evidencia/datos y pasar a hardware alternativo.</x:v>
      </x:c>
      <x:c r="O170" s="26" t="str">
        <x:v>Restaurar Save/recovery test corpus desde la copia verificada más reciente; validar integridad y registrar pérdida de datos.</x:v>
      </x:c>
      <x:c r="P170" s="26" t="str">
        <x:v>BIA-18</x:v>
      </x:c>
      <x:c r="Q170" s="26" t="str">
        <x:v>PB-18</x:v>
      </x:c>
      <x:c r="R170" s="26" t="str">
        <x:v>TA-BCP-016</x:v>
      </x:c>
      <x:c r="S170" s="26" t="str">
        <x:v>11, 13, 25, 27, 31, 32, 33</x:v>
      </x:c>
      <x:c r="T170" s="26" t="str">
        <x:v>Package manifests, checksums, build records, handoffs y archivos históricos</x:v>
      </x:c>
      <x:c r="U170" s="26" t="str">
        <x:v>OPEN</x:v>
      </x:c>
      <x:c r="V170" s="26" t="str">
        <x:v>UNVERIFIED</x:v>
      </x:c>
      <x:c r="W170" s="26" t="n">
        <x:v>1</x:v>
      </x:c>
      <x:c r="X170" s="26" t="str">
        <x:v>CHG-RISK-R-BCP-016</x:v>
      </x:c>
    </x:row>
    <x:row r="171" ht="30" customHeight="1">
      <x:c r="A171" s="26" t="str">
        <x:v>R-BCP-017</x:v>
      </x:c>
      <x:c r="B171" s="26" t="str">
        <x:v>Business Continuity</x:v>
      </x:c>
      <x:c r="C171" s="26" t="str">
        <x:v>LOSS</x:v>
      </x:c>
      <x:c r="D171" s="26" t="str">
        <x:v>Existe el riesgo de que ocurra lo siguiente: Steamworks configuration se pierde o queda corrupto.</x:v>
      </x:c>
      <x:c r="E171" s="26" t="str">
        <x:v>All</x:v>
      </x:c>
      <x:c r="F171" s="26" t="n">
        <x:v>15</x:v>
      </x:c>
      <x:c r="G171" s="26" t="str">
        <x:v>HIGH</x:v>
      </x:c>
      <x:c r="H171" s="26" t="n">
        <x:v>15</x:v>
      </x:c>
      <x:c r="I171" s="26" t="str">
        <x:v>HIGH</x:v>
      </x:c>
      <x:c r="J171" s="26" t="str">
        <x:v>OUTSIDE TOLERANCE</x:v>
      </x:c>
      <x:c r="K171" s="26" t="str">
        <x:v>Publishing</x:v>
      </x:c>
      <x:c r="L171" s="26" t="str">
        <x:v>Project Owner</x:v>
      </x:c>
      <x:c r="M171" s="26" t="str">
        <x:v>Activo no disponible, checksum inválido o prueba de restore vencida.</x:v>
      </x:c>
      <x:c r="N171" s="26" t="str">
        <x:v>Proteger evidencia/datos y pasar a hardware alternativo.</x:v>
      </x:c>
      <x:c r="O171" s="26" t="str">
        <x:v>Restaurar Steamworks configuration desde la copia verificada más reciente; validar integridad y registrar pérdida de datos.</x:v>
      </x:c>
      <x:c r="P171" s="26" t="str">
        <x:v>BIA-18</x:v>
      </x:c>
      <x:c r="Q171" s="26" t="str">
        <x:v>PB-18</x:v>
      </x:c>
      <x:c r="R171" s="26" t="str">
        <x:v>TA-BCP-017</x:v>
      </x:c>
      <x:c r="S171" s="26" t="str">
        <x:v>11, 13, 25, 27, 31, 32, 33</x:v>
      </x:c>
      <x:c r="T171" s="26" t="str">
        <x:v>Package manifests, checksums, build records, handoffs y archivos históricos</x:v>
      </x:c>
      <x:c r="U171" s="26" t="str">
        <x:v>OPEN</x:v>
      </x:c>
      <x:c r="V171" s="26" t="str">
        <x:v>UNVERIFIED</x:v>
      </x:c>
      <x:c r="W171" s="26" t="n">
        <x:v>1</x:v>
      </x:c>
      <x:c r="X171" s="26" t="str">
        <x:v>CHG-RISK-R-BCP-017</x:v>
      </x:c>
    </x:row>
    <x:row r="172" ht="30" customHeight="1">
      <x:c r="A172" s="26" t="str">
        <x:v>R-BCP-018</x:v>
      </x:c>
      <x:c r="B172" s="26" t="str">
        <x:v>Business Continuity</x:v>
      </x:c>
      <x:c r="C172" s="26" t="str">
        <x:v>ACCESS</x:v>
      </x:c>
      <x:c r="D172" s="26" t="str">
        <x:v>Existe el riesgo de que ocurra lo siguiente: Steamworks configuration queda inaccesible durante más que RPO 24h / RTO 24h.</x:v>
      </x:c>
      <x:c r="E172" s="26" t="str">
        <x:v>All</x:v>
      </x:c>
      <x:c r="F172" s="26" t="n">
        <x:v>12</x:v>
      </x:c>
      <x:c r="G172" s="26" t="str">
        <x:v>HIGH</x:v>
      </x:c>
      <x:c r="H172" s="26" t="n">
        <x:v>12</x:v>
      </x:c>
      <x:c r="I172" s="26" t="str">
        <x:v>HIGH</x:v>
      </x:c>
      <x:c r="J172" s="26" t="str">
        <x:v>OUTSIDE TOLERANCE</x:v>
      </x:c>
      <x:c r="K172" s="26" t="str">
        <x:v>Publishing</x:v>
      </x:c>
      <x:c r="L172" s="26" t="str">
        <x:v>Project Owner</x:v>
      </x:c>
      <x:c r="M172" s="26" t="str">
        <x:v>Activo no disponible, checksum inválido o prueba de restore vencida.</x:v>
      </x:c>
      <x:c r="N172" s="26" t="str">
        <x:v>Proteger evidencia/datos y pasar a hardware alternativo.</x:v>
      </x:c>
      <x:c r="O172" s="26" t="str">
        <x:v>Restaurar Steamworks configuration desde la copia verificada más reciente; validar integridad y registrar pérdida de datos.</x:v>
      </x:c>
      <x:c r="P172" s="26" t="str">
        <x:v>BIA-18</x:v>
      </x:c>
      <x:c r="Q172" s="26" t="str">
        <x:v>PB-18</x:v>
      </x:c>
      <x:c r="R172" s="26" t="str">
        <x:v>TA-BCP-018</x:v>
      </x:c>
      <x:c r="S172" s="26" t="str">
        <x:v>11, 13, 25, 27, 31, 32, 33</x:v>
      </x:c>
      <x:c r="T172" s="26" t="str">
        <x:v>Package manifests, checksums, build records, handoffs y archivos históricos</x:v>
      </x:c>
      <x:c r="U172" s="26" t="str">
        <x:v>OPEN</x:v>
      </x:c>
      <x:c r="V172" s="26" t="str">
        <x:v>UNVERIFIED</x:v>
      </x:c>
      <x:c r="W172" s="26" t="n">
        <x:v>1</x:v>
      </x:c>
      <x:c r="X172" s="26" t="str">
        <x:v>CHG-RISK-R-BCP-018</x:v>
      </x:c>
    </x:row>
    <x:row r="173" ht="30" customHeight="1">
      <x:c r="A173" s="26" t="str">
        <x:v>R-BCP-019</x:v>
      </x:c>
      <x:c r="B173" s="26" t="str">
        <x:v>Business Continuity</x:v>
      </x:c>
      <x:c r="C173" s="26" t="str">
        <x:v>LOSS</x:v>
      </x:c>
      <x:c r="D173" s="26" t="str">
        <x:v>Existe el riesgo de que ocurra lo siguiente: Domains, email and social identities se pierde o queda corrupto.</x:v>
      </x:c>
      <x:c r="E173" s="26" t="str">
        <x:v>All</x:v>
      </x:c>
      <x:c r="F173" s="26" t="n">
        <x:v>15</x:v>
      </x:c>
      <x:c r="G173" s="26" t="str">
        <x:v>HIGH</x:v>
      </x:c>
      <x:c r="H173" s="26" t="n">
        <x:v>15</x:v>
      </x:c>
      <x:c r="I173" s="26" t="str">
        <x:v>HIGH</x:v>
      </x:c>
      <x:c r="J173" s="26" t="str">
        <x:v>OUTSIDE TOLERANCE</x:v>
      </x:c>
      <x:c r="K173" s="26" t="str">
        <x:v>Marketing</x:v>
      </x:c>
      <x:c r="L173" s="26" t="str">
        <x:v>Project Owner</x:v>
      </x:c>
      <x:c r="M173" s="26" t="str">
        <x:v>Activo no disponible, checksum inválido o prueba de restore vencida.</x:v>
      </x:c>
      <x:c r="N173" s="26" t="str">
        <x:v>Proteger evidencia/datos y pasar a hardware alternativo.</x:v>
      </x:c>
      <x:c r="O173" s="26" t="str">
        <x:v>Restaurar Domains, email and social identities desde la copia verificada más reciente; validar integridad y registrar pérdida de datos.</x:v>
      </x:c>
      <x:c r="P173" s="26" t="str">
        <x:v>BIA-18</x:v>
      </x:c>
      <x:c r="Q173" s="26" t="str">
        <x:v>PB-18</x:v>
      </x:c>
      <x:c r="R173" s="26" t="str">
        <x:v>TA-BCP-019</x:v>
      </x:c>
      <x:c r="S173" s="26" t="str">
        <x:v>11, 13, 25, 27, 31, 32, 33</x:v>
      </x:c>
      <x:c r="T173" s="26" t="str">
        <x:v>Package manifests, checksums, build records, handoffs y archivos históricos</x:v>
      </x:c>
      <x:c r="U173" s="26" t="str">
        <x:v>OPEN</x:v>
      </x:c>
      <x:c r="V173" s="26" t="str">
        <x:v>UNVERIFIED</x:v>
      </x:c>
      <x:c r="W173" s="26" t="n">
        <x:v>1</x:v>
      </x:c>
      <x:c r="X173" s="26" t="str">
        <x:v>CHG-RISK-R-BCP-019</x:v>
      </x:c>
    </x:row>
    <x:row r="174" ht="30" customHeight="1">
      <x:c r="A174" s="26" t="str">
        <x:v>R-BCP-020</x:v>
      </x:c>
      <x:c r="B174" s="26" t="str">
        <x:v>Business Continuity</x:v>
      </x:c>
      <x:c r="C174" s="26" t="str">
        <x:v>ACCESS</x:v>
      </x:c>
      <x:c r="D174" s="26" t="str">
        <x:v>Existe el riesgo de que ocurra lo siguiente: Domains, email and social identities queda inaccesible durante más que RPO 24h / RTO 8h.</x:v>
      </x:c>
      <x:c r="E174" s="26" t="str">
        <x:v>All</x:v>
      </x:c>
      <x:c r="F174" s="26" t="n">
        <x:v>12</x:v>
      </x:c>
      <x:c r="G174" s="26" t="str">
        <x:v>HIGH</x:v>
      </x:c>
      <x:c r="H174" s="26" t="n">
        <x:v>12</x:v>
      </x:c>
      <x:c r="I174" s="26" t="str">
        <x:v>HIGH</x:v>
      </x:c>
      <x:c r="J174" s="26" t="str">
        <x:v>OUTSIDE TOLERANCE</x:v>
      </x:c>
      <x:c r="K174" s="26" t="str">
        <x:v>Marketing</x:v>
      </x:c>
      <x:c r="L174" s="26" t="str">
        <x:v>Project Owner</x:v>
      </x:c>
      <x:c r="M174" s="26" t="str">
        <x:v>Activo no disponible, checksum inválido o prueba de restore vencida.</x:v>
      </x:c>
      <x:c r="N174" s="26" t="str">
        <x:v>Proteger evidencia/datos y pasar a hardware alternativo.</x:v>
      </x:c>
      <x:c r="O174" s="26" t="str">
        <x:v>Restaurar Domains, email and social identities desde la copia verificada más reciente; validar integridad y registrar pérdida de datos.</x:v>
      </x:c>
      <x:c r="P174" s="26" t="str">
        <x:v>BIA-18</x:v>
      </x:c>
      <x:c r="Q174" s="26" t="str">
        <x:v>PB-18</x:v>
      </x:c>
      <x:c r="R174" s="26" t="str">
        <x:v>TA-BCP-020</x:v>
      </x:c>
      <x:c r="S174" s="26" t="str">
        <x:v>11, 13, 25, 27, 31, 32, 33</x:v>
      </x:c>
      <x:c r="T174" s="26" t="str">
        <x:v>Package manifests, checksums, build records, handoffs y archivos históricos</x:v>
      </x:c>
      <x:c r="U174" s="26" t="str">
        <x:v>OPEN</x:v>
      </x:c>
      <x:c r="V174" s="26" t="str">
        <x:v>UNVERIFIED</x:v>
      </x:c>
      <x:c r="W174" s="26" t="n">
        <x:v>1</x:v>
      </x:c>
      <x:c r="X174" s="26" t="str">
        <x:v>CHG-RISK-R-BCP-020</x:v>
      </x:c>
    </x:row>
    <x:row r="175" ht="30" customHeight="1">
      <x:c r="A175" s="26" t="str">
        <x:v>R-BCP-021</x:v>
      </x:c>
      <x:c r="B175" s="26" t="str">
        <x:v>Business Continuity</x:v>
      </x:c>
      <x:c r="C175" s="26" t="str">
        <x:v>LOSS</x:v>
      </x:c>
      <x:c r="D175" s="26" t="str">
        <x:v>Existe el riesgo de que ocurra lo siguiente: Passwords and recovery codes se pierde o queda corrupto.</x:v>
      </x:c>
      <x:c r="E175" s="26" t="str">
        <x:v>All</x:v>
      </x:c>
      <x:c r="F175" s="26" t="n">
        <x:v>15</x:v>
      </x:c>
      <x:c r="G175" s="26" t="str">
        <x:v>HIGH</x:v>
      </x:c>
      <x:c r="H175" s="26" t="n">
        <x:v>15</x:v>
      </x:c>
      <x:c r="I175" s="26" t="str">
        <x:v>HIGH</x:v>
      </x:c>
      <x:c r="J175" s="26" t="str">
        <x:v>OUTSIDE TOLERANCE</x:v>
      </x:c>
      <x:c r="K175" s="26" t="str">
        <x:v>Security</x:v>
      </x:c>
      <x:c r="L175" s="26" t="str">
        <x:v>Project Owner</x:v>
      </x:c>
      <x:c r="M175" s="26" t="str">
        <x:v>Activo no disponible, checksum inválido o prueba de restore vencida.</x:v>
      </x:c>
      <x:c r="N175" s="26" t="str">
        <x:v>Proteger evidencia/datos y pasar a hardware alternativo.</x:v>
      </x:c>
      <x:c r="O175" s="26" t="str">
        <x:v>Restaurar Passwords and recovery codes desde la copia verificada más reciente; validar integridad y registrar pérdida de datos.</x:v>
      </x:c>
      <x:c r="P175" s="26" t="str">
        <x:v>BIA-18</x:v>
      </x:c>
      <x:c r="Q175" s="26" t="str">
        <x:v>PB-18</x:v>
      </x:c>
      <x:c r="R175" s="26" t="str">
        <x:v>TA-BCP-021</x:v>
      </x:c>
      <x:c r="S175" s="26" t="str">
        <x:v>11, 13, 25, 27, 31, 32, 33</x:v>
      </x:c>
      <x:c r="T175" s="26" t="str">
        <x:v>Package manifests, checksums, build records, handoffs y archivos históricos</x:v>
      </x:c>
      <x:c r="U175" s="26" t="str">
        <x:v>OPEN</x:v>
      </x:c>
      <x:c r="V175" s="26" t="str">
        <x:v>UNVERIFIED</x:v>
      </x:c>
      <x:c r="W175" s="26" t="n">
        <x:v>1</x:v>
      </x:c>
      <x:c r="X175" s="26" t="str">
        <x:v>CHG-RISK-R-BCP-021</x:v>
      </x:c>
    </x:row>
    <x:row r="176" ht="30" customHeight="1">
      <x:c r="A176" s="26" t="str">
        <x:v>R-BCP-022</x:v>
      </x:c>
      <x:c r="B176" s="26" t="str">
        <x:v>Business Continuity</x:v>
      </x:c>
      <x:c r="C176" s="26" t="str">
        <x:v>ACCESS</x:v>
      </x:c>
      <x:c r="D176" s="26" t="str">
        <x:v>Existe el riesgo de que ocurra lo siguiente: Passwords and recovery codes queda inaccesible durante más que RPO immediate / RTO 4h.</x:v>
      </x:c>
      <x:c r="E176" s="26" t="str">
        <x:v>All</x:v>
      </x:c>
      <x:c r="F176" s="26" t="n">
        <x:v>12</x:v>
      </x:c>
      <x:c r="G176" s="26" t="str">
        <x:v>HIGH</x:v>
      </x:c>
      <x:c r="H176" s="26" t="n">
        <x:v>12</x:v>
      </x:c>
      <x:c r="I176" s="26" t="str">
        <x:v>HIGH</x:v>
      </x:c>
      <x:c r="J176" s="26" t="str">
        <x:v>OUTSIDE TOLERANCE</x:v>
      </x:c>
      <x:c r="K176" s="26" t="str">
        <x:v>Security</x:v>
      </x:c>
      <x:c r="L176" s="26" t="str">
        <x:v>Project Owner</x:v>
      </x:c>
      <x:c r="M176" s="26" t="str">
        <x:v>Activo no disponible, checksum inválido o prueba de restore vencida.</x:v>
      </x:c>
      <x:c r="N176" s="26" t="str">
        <x:v>Proteger evidencia/datos y pasar a hardware alternativo.</x:v>
      </x:c>
      <x:c r="O176" s="26" t="str">
        <x:v>Restaurar Passwords and recovery codes desde la copia verificada más reciente; validar integridad y registrar pérdida de datos.</x:v>
      </x:c>
      <x:c r="P176" s="26" t="str">
        <x:v>BIA-18</x:v>
      </x:c>
      <x:c r="Q176" s="26" t="str">
        <x:v>PB-18</x:v>
      </x:c>
      <x:c r="R176" s="26" t="str">
        <x:v>TA-BCP-022</x:v>
      </x:c>
      <x:c r="S176" s="26" t="str">
        <x:v>11, 13, 25, 27, 31, 32, 33</x:v>
      </x:c>
      <x:c r="T176" s="26" t="str">
        <x:v>Package manifests, checksums, build records, handoffs y archivos históricos</x:v>
      </x:c>
      <x:c r="U176" s="26" t="str">
        <x:v>OPEN</x:v>
      </x:c>
      <x:c r="V176" s="26" t="str">
        <x:v>UNVERIFIED</x:v>
      </x:c>
      <x:c r="W176" s="26" t="n">
        <x:v>1</x:v>
      </x:c>
      <x:c r="X176" s="26" t="str">
        <x:v>CHG-RISK-R-BCP-022</x:v>
      </x:c>
    </x:row>
    <x:row r="177" ht="30" customHeight="1">
      <x:c r="A177" s="26" t="str">
        <x:v>R-BCP-023</x:v>
      </x:c>
      <x:c r="B177" s="26" t="str">
        <x:v>Business Continuity</x:v>
      </x:c>
      <x:c r="C177" s="26" t="str">
        <x:v>LOSS</x:v>
      </x:c>
      <x:c r="D177" s="26" t="str">
        <x:v>Existe el riesgo de que ocurra lo siguiente: Legal and license evidence se pierde o queda corrupto.</x:v>
      </x:c>
      <x:c r="E177" s="26" t="str">
        <x:v>All</x:v>
      </x:c>
      <x:c r="F177" s="26" t="n">
        <x:v>15</x:v>
      </x:c>
      <x:c r="G177" s="26" t="str">
        <x:v>HIGH</x:v>
      </x:c>
      <x:c r="H177" s="26" t="n">
        <x:v>15</x:v>
      </x:c>
      <x:c r="I177" s="26" t="str">
        <x:v>HIGH</x:v>
      </x:c>
      <x:c r="J177" s="26" t="str">
        <x:v>OUTSIDE TOLERANCE</x:v>
      </x:c>
      <x:c r="K177" s="26" t="str">
        <x:v>Legal</x:v>
      </x:c>
      <x:c r="L177" s="26" t="str">
        <x:v>Project Owner</x:v>
      </x:c>
      <x:c r="M177" s="26" t="str">
        <x:v>Activo no disponible, checksum inválido o prueba de restore vencida.</x:v>
      </x:c>
      <x:c r="N177" s="26" t="str">
        <x:v>Proteger evidencia/datos y pasar a hardware alternativo.</x:v>
      </x:c>
      <x:c r="O177" s="26" t="str">
        <x:v>Restaurar Legal and license evidence desde la copia verificada más reciente; validar integridad y registrar pérdida de datos.</x:v>
      </x:c>
      <x:c r="P177" s="26" t="str">
        <x:v>BIA-18</x:v>
      </x:c>
      <x:c r="Q177" s="26" t="str">
        <x:v>PB-18</x:v>
      </x:c>
      <x:c r="R177" s="26" t="str">
        <x:v>TA-BCP-023</x:v>
      </x:c>
      <x:c r="S177" s="26" t="str">
        <x:v>11, 13, 25, 27, 31, 32, 33</x:v>
      </x:c>
      <x:c r="T177" s="26" t="str">
        <x:v>Package manifests, checksums, build records, handoffs y archivos históricos</x:v>
      </x:c>
      <x:c r="U177" s="26" t="str">
        <x:v>OPEN</x:v>
      </x:c>
      <x:c r="V177" s="26" t="str">
        <x:v>UNVERIFIED</x:v>
      </x:c>
      <x:c r="W177" s="26" t="n">
        <x:v>1</x:v>
      </x:c>
      <x:c r="X177" s="26" t="str">
        <x:v>CHG-RISK-R-BCP-023</x:v>
      </x:c>
    </x:row>
    <x:row r="178" ht="30" customHeight="1">
      <x:c r="A178" s="26" t="str">
        <x:v>R-BCP-024</x:v>
      </x:c>
      <x:c r="B178" s="26" t="str">
        <x:v>Business Continuity</x:v>
      </x:c>
      <x:c r="C178" s="26" t="str">
        <x:v>ACCESS</x:v>
      </x:c>
      <x:c r="D178" s="26" t="str">
        <x:v>Existe el riesgo de que ocurra lo siguiente: Legal and license evidence queda inaccesible durante más que RPO per change / RTO 24h.</x:v>
      </x:c>
      <x:c r="E178" s="26" t="str">
        <x:v>All</x:v>
      </x:c>
      <x:c r="F178" s="26" t="n">
        <x:v>12</x:v>
      </x:c>
      <x:c r="G178" s="26" t="str">
        <x:v>HIGH</x:v>
      </x:c>
      <x:c r="H178" s="26" t="n">
        <x:v>12</x:v>
      </x:c>
      <x:c r="I178" s="26" t="str">
        <x:v>HIGH</x:v>
      </x:c>
      <x:c r="J178" s="26" t="str">
        <x:v>OUTSIDE TOLERANCE</x:v>
      </x:c>
      <x:c r="K178" s="26" t="str">
        <x:v>Legal</x:v>
      </x:c>
      <x:c r="L178" s="26" t="str">
        <x:v>Project Owner</x:v>
      </x:c>
      <x:c r="M178" s="26" t="str">
        <x:v>Activo no disponible, checksum inválido o prueba de restore vencida.</x:v>
      </x:c>
      <x:c r="N178" s="26" t="str">
        <x:v>Proteger evidencia/datos y pasar a hardware alternativo.</x:v>
      </x:c>
      <x:c r="O178" s="26" t="str">
        <x:v>Restaurar Legal and license evidence desde la copia verificada más reciente; validar integridad y registrar pérdida de datos.</x:v>
      </x:c>
      <x:c r="P178" s="26" t="str">
        <x:v>BIA-18</x:v>
      </x:c>
      <x:c r="Q178" s="26" t="str">
        <x:v>PB-18</x:v>
      </x:c>
      <x:c r="R178" s="26" t="str">
        <x:v>TA-BCP-024</x:v>
      </x:c>
      <x:c r="S178" s="26" t="str">
        <x:v>11, 13, 25, 27, 31, 32, 33</x:v>
      </x:c>
      <x:c r="T178" s="26" t="str">
        <x:v>Package manifests, checksums, build records, handoffs y archivos históricos</x:v>
      </x:c>
      <x:c r="U178" s="26" t="str">
        <x:v>OPEN</x:v>
      </x:c>
      <x:c r="V178" s="26" t="str">
        <x:v>UNVERIFIED</x:v>
      </x:c>
      <x:c r="W178" s="26" t="n">
        <x:v>1</x:v>
      </x:c>
      <x:c r="X178" s="26" t="str">
        <x:v>CHG-RISK-R-BCP-024</x:v>
      </x:c>
    </x:row>
    <x:row r="179" ht="30" customHeight="1">
      <x:c r="A179" s="26" t="str">
        <x:v>R-BCP-025</x:v>
      </x:c>
      <x:c r="B179" s="26" t="str">
        <x:v>Business Continuity</x:v>
      </x:c>
      <x:c r="C179" s="26" t="str">
        <x:v>LOSS</x:v>
      </x:c>
      <x:c r="D179" s="26" t="str">
        <x:v>Existe el riesgo de que ocurra lo siguiente: Production tracking and risk register se pierde o queda corrupto.</x:v>
      </x:c>
      <x:c r="E179" s="26" t="str">
        <x:v>All</x:v>
      </x:c>
      <x:c r="F179" s="26" t="n">
        <x:v>15</x:v>
      </x:c>
      <x:c r="G179" s="26" t="str">
        <x:v>HIGH</x:v>
      </x:c>
      <x:c r="H179" s="26" t="n">
        <x:v>15</x:v>
      </x:c>
      <x:c r="I179" s="26" t="str">
        <x:v>HIGH</x:v>
      </x:c>
      <x:c r="J179" s="26" t="str">
        <x:v>OUTSIDE TOLERANCE</x:v>
      </x:c>
      <x:c r="K179" s="26" t="str">
        <x:v>Production</x:v>
      </x:c>
      <x:c r="L179" s="26" t="str">
        <x:v>Project Owner</x:v>
      </x:c>
      <x:c r="M179" s="26" t="str">
        <x:v>Activo no disponible, checksum inválido o prueba de restore vencida.</x:v>
      </x:c>
      <x:c r="N179" s="26" t="str">
        <x:v>Proteger evidencia/datos y pasar a hardware alternativo.</x:v>
      </x:c>
      <x:c r="O179" s="26" t="str">
        <x:v>Restaurar Production tracking and risk register desde la copia verificada más reciente; validar integridad y registrar pérdida de datos.</x:v>
      </x:c>
      <x:c r="P179" s="26" t="str">
        <x:v>BIA-18</x:v>
      </x:c>
      <x:c r="Q179" s="26" t="str">
        <x:v>PB-18</x:v>
      </x:c>
      <x:c r="R179" s="26" t="str">
        <x:v>TA-BCP-025</x:v>
      </x:c>
      <x:c r="S179" s="26" t="str">
        <x:v>11, 13, 25, 27, 31, 32, 33</x:v>
      </x:c>
      <x:c r="T179" s="26" t="str">
        <x:v>Package manifests, checksums, build records, handoffs y archivos históricos</x:v>
      </x:c>
      <x:c r="U179" s="26" t="str">
        <x:v>OPEN</x:v>
      </x:c>
      <x:c r="V179" s="26" t="str">
        <x:v>UNVERIFIED</x:v>
      </x:c>
      <x:c r="W179" s="26" t="n">
        <x:v>1</x:v>
      </x:c>
      <x:c r="X179" s="26" t="str">
        <x:v>CHG-RISK-R-BCP-025</x:v>
      </x:c>
    </x:row>
    <x:row r="180" ht="30" customHeight="1">
      <x:c r="A180" s="26" t="str">
        <x:v>R-BCP-026</x:v>
      </x:c>
      <x:c r="B180" s="26" t="str">
        <x:v>Business Continuity</x:v>
      </x:c>
      <x:c r="C180" s="26" t="str">
        <x:v>ACCESS</x:v>
      </x:c>
      <x:c r="D180" s="26" t="str">
        <x:v>Existe el riesgo de que ocurra lo siguiente: Production tracking and risk register queda inaccesible durante más que RPO 24h / RTO 8h.</x:v>
      </x:c>
      <x:c r="E180" s="26" t="str">
        <x:v>All</x:v>
      </x:c>
      <x:c r="F180" s="26" t="n">
        <x:v>12</x:v>
      </x:c>
      <x:c r="G180" s="26" t="str">
        <x:v>HIGH</x:v>
      </x:c>
      <x:c r="H180" s="26" t="n">
        <x:v>12</x:v>
      </x:c>
      <x:c r="I180" s="26" t="str">
        <x:v>HIGH</x:v>
      </x:c>
      <x:c r="J180" s="26" t="str">
        <x:v>OUTSIDE TOLERANCE</x:v>
      </x:c>
      <x:c r="K180" s="26" t="str">
        <x:v>Production</x:v>
      </x:c>
      <x:c r="L180" s="26" t="str">
        <x:v>Project Owner</x:v>
      </x:c>
      <x:c r="M180" s="26" t="str">
        <x:v>Activo no disponible, checksum inválido o prueba de restore vencida.</x:v>
      </x:c>
      <x:c r="N180" s="26" t="str">
        <x:v>Proteger evidencia/datos y pasar a hardware alternativo.</x:v>
      </x:c>
      <x:c r="O180" s="26" t="str">
        <x:v>Restaurar Production tracking and risk register desde la copia verificada más reciente; validar integridad y registrar pérdida de datos.</x:v>
      </x:c>
      <x:c r="P180" s="26" t="str">
        <x:v>BIA-18</x:v>
      </x:c>
      <x:c r="Q180" s="26" t="str">
        <x:v>PB-18</x:v>
      </x:c>
      <x:c r="R180" s="26" t="str">
        <x:v>TA-BCP-026</x:v>
      </x:c>
      <x:c r="S180" s="26" t="str">
        <x:v>11, 13, 25, 27, 31, 32, 33</x:v>
      </x:c>
      <x:c r="T180" s="26" t="str">
        <x:v>Package manifests, checksums, build records, handoffs y archivos históricos</x:v>
      </x:c>
      <x:c r="U180" s="26" t="str">
        <x:v>OPEN</x:v>
      </x:c>
      <x:c r="V180" s="26" t="str">
        <x:v>UNVERIFIED</x:v>
      </x:c>
      <x:c r="W180" s="26" t="n">
        <x:v>1</x:v>
      </x:c>
      <x:c r="X180" s="26" t="str">
        <x:v>CHG-RISK-R-BCP-026</x:v>
      </x:c>
    </x:row>
    <x:row r="181" ht="30" customHeight="1">
      <x:c r="A181" s="26" t="str">
        <x:v>R-BCP-027</x:v>
      </x:c>
      <x:c r="B181" s="26" t="str">
        <x:v>Business Continuity</x:v>
      </x:c>
      <x:c r="C181" s="26" t="str">
        <x:v>LOSS</x:v>
      </x:c>
      <x:c r="D181" s="26" t="str">
        <x:v>Existe el riesgo de que ocurra lo siguiente: QA evidence and defect records se pierde o queda corrupto.</x:v>
      </x:c>
      <x:c r="E181" s="26" t="str">
        <x:v>All</x:v>
      </x:c>
      <x:c r="F181" s="26" t="n">
        <x:v>15</x:v>
      </x:c>
      <x:c r="G181" s="26" t="str">
        <x:v>HIGH</x:v>
      </x:c>
      <x:c r="H181" s="26" t="n">
        <x:v>15</x:v>
      </x:c>
      <x:c r="I181" s="26" t="str">
        <x:v>HIGH</x:v>
      </x:c>
      <x:c r="J181" s="26" t="str">
        <x:v>OUTSIDE TOLERANCE</x:v>
      </x:c>
      <x:c r="K181" s="26" t="str">
        <x:v>QA</x:v>
      </x:c>
      <x:c r="L181" s="26" t="str">
        <x:v>Project Owner</x:v>
      </x:c>
      <x:c r="M181" s="26" t="str">
        <x:v>Activo no disponible, checksum inválido o prueba de restore vencida.</x:v>
      </x:c>
      <x:c r="N181" s="26" t="str">
        <x:v>Proteger evidencia/datos y pasar a hardware alternativo.</x:v>
      </x:c>
      <x:c r="O181" s="26" t="str">
        <x:v>Restaurar QA evidence and defect records desde la copia verificada más reciente; validar integridad y registrar pérdida de datos.</x:v>
      </x:c>
      <x:c r="P181" s="26" t="str">
        <x:v>BIA-18</x:v>
      </x:c>
      <x:c r="Q181" s="26" t="str">
        <x:v>PB-18</x:v>
      </x:c>
      <x:c r="R181" s="26" t="str">
        <x:v>TA-BCP-027</x:v>
      </x:c>
      <x:c r="S181" s="26" t="str">
        <x:v>11, 13, 25, 27, 31, 32, 33</x:v>
      </x:c>
      <x:c r="T181" s="26" t="str">
        <x:v>Package manifests, checksums, build records, handoffs y archivos históricos</x:v>
      </x:c>
      <x:c r="U181" s="26" t="str">
        <x:v>OPEN</x:v>
      </x:c>
      <x:c r="V181" s="26" t="str">
        <x:v>UNVERIFIED</x:v>
      </x:c>
      <x:c r="W181" s="26" t="n">
        <x:v>1</x:v>
      </x:c>
      <x:c r="X181" s="26" t="str">
        <x:v>CHG-RISK-R-BCP-027</x:v>
      </x:c>
    </x:row>
    <x:row r="182" ht="30" customHeight="1">
      <x:c r="A182" s="26" t="str">
        <x:v>R-BCP-028</x:v>
      </x:c>
      <x:c r="B182" s="26" t="str">
        <x:v>Business Continuity</x:v>
      </x:c>
      <x:c r="C182" s="26" t="str">
        <x:v>ACCESS</x:v>
      </x:c>
      <x:c r="D182" s="26" t="str">
        <x:v>Existe el riesgo de que ocurra lo siguiente: QA evidence and defect records queda inaccesible durante más que RPO 24h / RTO 8h.</x:v>
      </x:c>
      <x:c r="E182" s="26" t="str">
        <x:v>All</x:v>
      </x:c>
      <x:c r="F182" s="26" t="n">
        <x:v>12</x:v>
      </x:c>
      <x:c r="G182" s="26" t="str">
        <x:v>HIGH</x:v>
      </x:c>
      <x:c r="H182" s="26" t="n">
        <x:v>12</x:v>
      </x:c>
      <x:c r="I182" s="26" t="str">
        <x:v>HIGH</x:v>
      </x:c>
      <x:c r="J182" s="26" t="str">
        <x:v>OUTSIDE TOLERANCE</x:v>
      </x:c>
      <x:c r="K182" s="26" t="str">
        <x:v>QA</x:v>
      </x:c>
      <x:c r="L182" s="26" t="str">
        <x:v>Project Owner</x:v>
      </x:c>
      <x:c r="M182" s="26" t="str">
        <x:v>Activo no disponible, checksum inválido o prueba de restore vencida.</x:v>
      </x:c>
      <x:c r="N182" s="26" t="str">
        <x:v>Proteger evidencia/datos y pasar a hardware alternativo.</x:v>
      </x:c>
      <x:c r="O182" s="26" t="str">
        <x:v>Restaurar QA evidence and defect records desde la copia verificada más reciente; validar integridad y registrar pérdida de datos.</x:v>
      </x:c>
      <x:c r="P182" s="26" t="str">
        <x:v>BIA-18</x:v>
      </x:c>
      <x:c r="Q182" s="26" t="str">
        <x:v>PB-18</x:v>
      </x:c>
      <x:c r="R182" s="26" t="str">
        <x:v>TA-BCP-028</x:v>
      </x:c>
      <x:c r="S182" s="26" t="str">
        <x:v>11, 13, 25, 27, 31, 32, 33</x:v>
      </x:c>
      <x:c r="T182" s="26" t="str">
        <x:v>Package manifests, checksums, build records, handoffs y archivos históricos</x:v>
      </x:c>
      <x:c r="U182" s="26" t="str">
        <x:v>OPEN</x:v>
      </x:c>
      <x:c r="V182" s="26" t="str">
        <x:v>UNVERIFIED</x:v>
      </x:c>
      <x:c r="W182" s="26" t="n">
        <x:v>1</x:v>
      </x:c>
      <x:c r="X182" s="26" t="str">
        <x:v>CHG-RISK-R-BCP-028</x:v>
      </x:c>
    </x:row>
    <x:row r="183" ht="30" customHeight="1">
      <x:c r="A183" s="26" t="str">
        <x:v>R-BCP-029</x:v>
      </x:c>
      <x:c r="B183" s="26" t="str">
        <x:v>Business Continuity</x:v>
      </x:c>
      <x:c r="C183" s="26" t="str">
        <x:v>LOSS</x:v>
      </x:c>
      <x:c r="D183" s="26" t="str">
        <x:v>Existe el riesgo de que ocurra lo siguiente: Development workstation image/config se pierde o queda corrupto.</x:v>
      </x:c>
      <x:c r="E183" s="26" t="str">
        <x:v>All</x:v>
      </x:c>
      <x:c r="F183" s="26" t="n">
        <x:v>15</x:v>
      </x:c>
      <x:c r="G183" s="26" t="str">
        <x:v>HIGH</x:v>
      </x:c>
      <x:c r="H183" s="26" t="n">
        <x:v>15</x:v>
      </x:c>
      <x:c r="I183" s="26" t="str">
        <x:v>HIGH</x:v>
      </x:c>
      <x:c r="J183" s="26" t="str">
        <x:v>OUTSIDE TOLERANCE</x:v>
      </x:c>
      <x:c r="K183" s="26" t="str">
        <x:v>IT/Engineering</x:v>
      </x:c>
      <x:c r="L183" s="26" t="str">
        <x:v>Project Owner</x:v>
      </x:c>
      <x:c r="M183" s="26" t="str">
        <x:v>Activo no disponible, checksum inválido o prueba de restore vencida.</x:v>
      </x:c>
      <x:c r="N183" s="26" t="str">
        <x:v>Proteger evidencia/datos y pasar a hardware alternativo.</x:v>
      </x:c>
      <x:c r="O183" s="26" t="str">
        <x:v>Restaurar Development workstation image/config desde la copia verificada más reciente; validar integridad y registrar pérdida de datos.</x:v>
      </x:c>
      <x:c r="P183" s="26" t="str">
        <x:v>BIA-18</x:v>
      </x:c>
      <x:c r="Q183" s="26" t="str">
        <x:v>PB-18</x:v>
      </x:c>
      <x:c r="R183" s="26" t="str">
        <x:v>TA-BCP-029</x:v>
      </x:c>
      <x:c r="S183" s="26" t="str">
        <x:v>11, 13, 25, 27, 31, 32, 33</x:v>
      </x:c>
      <x:c r="T183" s="26" t="str">
        <x:v>Package manifests, checksums, build records, handoffs y archivos históricos</x:v>
      </x:c>
      <x:c r="U183" s="26" t="str">
        <x:v>OPEN</x:v>
      </x:c>
      <x:c r="V183" s="26" t="str">
        <x:v>UNVERIFIED</x:v>
      </x:c>
      <x:c r="W183" s="26" t="n">
        <x:v>1</x:v>
      </x:c>
      <x:c r="X183" s="26" t="str">
        <x:v>CHG-RISK-R-BCP-029</x:v>
      </x:c>
    </x:row>
    <x:row r="184" ht="30" customHeight="1">
      <x:c r="A184" s="26" t="str">
        <x:v>R-BCP-030</x:v>
      </x:c>
      <x:c r="B184" s="26" t="str">
        <x:v>Business Continuity</x:v>
      </x:c>
      <x:c r="C184" s="26" t="str">
        <x:v>ACCESS</x:v>
      </x:c>
      <x:c r="D184" s="26" t="str">
        <x:v>Existe el riesgo de que ocurra lo siguiente: Development workstation image/config queda inaccesible durante más que RPO 7d / RTO 48h.</x:v>
      </x:c>
      <x:c r="E184" s="26" t="str">
        <x:v>All</x:v>
      </x:c>
      <x:c r="F184" s="26" t="n">
        <x:v>12</x:v>
      </x:c>
      <x:c r="G184" s="26" t="str">
        <x:v>HIGH</x:v>
      </x:c>
      <x:c r="H184" s="26" t="n">
        <x:v>12</x:v>
      </x:c>
      <x:c r="I184" s="26" t="str">
        <x:v>HIGH</x:v>
      </x:c>
      <x:c r="J184" s="26" t="str">
        <x:v>OUTSIDE TOLERANCE</x:v>
      </x:c>
      <x:c r="K184" s="26" t="str">
        <x:v>IT/Engineering</x:v>
      </x:c>
      <x:c r="L184" s="26" t="str">
        <x:v>Project Owner</x:v>
      </x:c>
      <x:c r="M184" s="26" t="str">
        <x:v>Activo no disponible, checksum inválido o prueba de restore vencida.</x:v>
      </x:c>
      <x:c r="N184" s="26" t="str">
        <x:v>Proteger evidencia/datos y pasar a hardware alternativo.</x:v>
      </x:c>
      <x:c r="O184" s="26" t="str">
        <x:v>Restaurar Development workstation image/config desde la copia verificada más reciente; validar integridad y registrar pérdida de datos.</x:v>
      </x:c>
      <x:c r="P184" s="26" t="str">
        <x:v>BIA-18</x:v>
      </x:c>
      <x:c r="Q184" s="26" t="str">
        <x:v>PB-18</x:v>
      </x:c>
      <x:c r="R184" s="26" t="str">
        <x:v>TA-BCP-030</x:v>
      </x:c>
      <x:c r="S184" s="26" t="str">
        <x:v>11, 13, 25, 27, 31, 32, 33</x:v>
      </x:c>
      <x:c r="T184" s="26" t="str">
        <x:v>Package manifests, checksums, build records, handoffs y archivos históricos</x:v>
      </x:c>
      <x:c r="U184" s="26" t="str">
        <x:v>OPEN</x:v>
      </x:c>
      <x:c r="V184" s="26" t="str">
        <x:v>UNVERIFIED</x:v>
      </x:c>
      <x:c r="W184" s="26" t="n">
        <x:v>1</x:v>
      </x:c>
      <x:c r="X184" s="26" t="str">
        <x:v>CHG-RISK-R-BCP-030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2" hidden="0" customWidth="1"/>
    <x:col min="5" max="5" width="5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8" hidden="0" customWidth="1"/>
    <x:col min="14" max="14" width="52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8" customHeight="1">
      <x:c r="A1" s="47" t="str">
        <x:v>Acciones de tratamiento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</x:row>
    <x:row r="2" ht="32" customHeight="1">
      <x:c r="A2" s="51" t="str">
        <x:v>180 acciones relacionadas con riesgos, owner, fecha, aceptación, progreso y evidencia.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</x:row>
    <x:row r="4" ht="30" customHeight="1">
      <x:c r="A4" s="56" t="str">
        <x:v>Action ID</x:v>
      </x:c>
      <x:c r="B4" s="56" t="str">
        <x:v>Risk ID</x:v>
      </x:c>
      <x:c r="C4" s="56" t="str">
        <x:v>Category</x:v>
      </x:c>
      <x:c r="D4" s="56" t="str">
        <x:v>Action Title</x:v>
      </x:c>
      <x:c r="E4" s="56" t="str">
        <x:v>Action / Deliverable</x:v>
      </x:c>
      <x:c r="F4" s="56" t="str">
        <x:v>Owner</x:v>
      </x:c>
      <x:c r="G4" s="56" t="str">
        <x:v>Alternate</x:v>
      </x:c>
      <x:c r="H4" s="56" t="str">
        <x:v>Priority</x:v>
      </x:c>
      <x:c r="I4" s="56" t="str">
        <x:v>Status</x:v>
      </x:c>
      <x:c r="J4" s="56" t="str">
        <x:v>Opened</x:v>
      </x:c>
      <x:c r="K4" s="56" t="str">
        <x:v>Target Date</x:v>
      </x:c>
      <x:c r="L4" s="56" t="str">
        <x:v>Completed Date</x:v>
      </x:c>
      <x:c r="M4" s="56" t="str">
        <x:v>Acceptance Criterion</x:v>
      </x:c>
      <x:c r="N4" s="56" t="str">
        <x:v>Sources / Basis</x:v>
      </x:c>
      <x:c r="O4" s="56" t="str">
        <x:v>Progress Note</x:v>
      </x:c>
      <x:c r="P4" s="56" t="str">
        <x:v>Completion %</x:v>
      </x:c>
      <x:c r="Q4" s="56" t="str">
        <x:v>Notes</x:v>
      </x:c>
    </x:row>
    <x:row r="5" ht="30" customHeight="1">
      <x:c r="A5" s="26" t="str">
        <x:v>TA-GOV-001</x:v>
      </x:c>
      <x:c r="B5" s="26" t="str">
        <x:v>R-GOV-001</x:v>
      </x:c>
      <x:c r="C5" s="26" t="str">
        <x:v>Governance &amp; Scope</x:v>
      </x:c>
      <x:c r="D5" s="26" t="str">
        <x:v>Reducir riesgo: Se incorpora funcionalidad no contractual antes de H6</x:v>
      </x:c>
      <x:c r="E5" s="26" t="str">
        <x:v>Aplicar change control; cuantificar coste, valor y riesgo; diferir fuera de H6 o rechazar.</x:v>
      </x:c>
      <x:c r="F5" s="26" t="str">
        <x:v>Project Owner / Production</x:v>
      </x:c>
      <x:c r="G5" s="26" t="str">
        <x:v>Game Design</x:v>
      </x:c>
      <x:c r="H5" s="26" t="str">
        <x:v>P1</x:v>
      </x:c>
      <x:c r="I5" s="26" t="str">
        <x:v>OPEN</x:v>
      </x:c>
      <x:c r="J5" s="26" t="str">
        <x:v>2026-07-01</x:v>
      </x:c>
      <x:c r="K5" s="26" t="str">
        <x:v>2026-07-08</x:v>
      </x:c>
      <x:c r="L5" s="26"/>
      <x:c r="M5" s="26" t="str">
        <x:v>Control verificable y evidencia ligada a R-GOV-001.</x:v>
      </x:c>
      <x:c r="N5" s="26" t="str">
        <x:v>00, 01, 02, 06, 12, 13, 14, 15, 16, 31, 32; Enfoque, GDD, Roadmap, Binder, Guía y auditorías v0.3–v0.6</x:v>
      </x:c>
      <x:c r="O5" s="26" t="str">
        <x:v>No iniciada</x:v>
      </x:c>
      <x:c r="P5" s="90" t="n">
        <x:v>0</x:v>
      </x:c>
      <x:c r="Q5" s="26" t="str">
        <x:v>No ejecutar cierre sin evidencia.</x:v>
      </x:c>
    </x:row>
    <x:row r="6" ht="30" customHeight="1">
      <x:c r="A6" s="26" t="str">
        <x:v>TA-GOV-002</x:v>
      </x:c>
      <x:c r="B6" s="26" t="str">
        <x:v>R-GOV-002</x:v>
      </x:c>
      <x:c r="C6" s="26" t="str">
        <x:v>Governance &amp; Scope</x:v>
      </x:c>
      <x:c r="D6" s="26" t="str">
        <x:v>Reducir riesgo: Dos documentos vigentes prescriben decisiones incompatibles</x:v>
      </x:c>
      <x:c r="E6" s="26" t="str">
        <x:v>Aplicar change control; cuantificar coste, valor y riesgo; diferir fuera de H6 o rechazar.</x:v>
      </x:c>
      <x:c r="F6" s="26" t="str">
        <x:v>Project Owner / Production</x:v>
      </x:c>
      <x:c r="G6" s="26" t="str">
        <x:v>Game Design</x:v>
      </x:c>
      <x:c r="H6" s="26" t="str">
        <x:v>P1</x:v>
      </x:c>
      <x:c r="I6" s="26" t="str">
        <x:v>OPEN</x:v>
      </x:c>
      <x:c r="J6" s="26" t="str">
        <x:v>2026-07-01</x:v>
      </x:c>
      <x:c r="K6" s="26" t="str">
        <x:v>2026-07-31</x:v>
      </x:c>
      <x:c r="L6" s="26"/>
      <x:c r="M6" s="26" t="str">
        <x:v>Control verificable y evidencia ligada a R-GOV-002.</x:v>
      </x:c>
      <x:c r="N6" s="26" t="str">
        <x:v>00, 01, 02, 06, 12, 13, 14, 15, 16, 31, 32; Enfoque, GDD, Roadmap, Binder, Guía y auditorías v0.3–v0.6</x:v>
      </x:c>
      <x:c r="O6" s="26" t="str">
        <x:v>No iniciada</x:v>
      </x:c>
      <x:c r="P6" s="90" t="n">
        <x:v>0</x:v>
      </x:c>
      <x:c r="Q6" s="26" t="str">
        <x:v>No ejecutar cierre sin evidencia.</x:v>
      </x:c>
    </x:row>
    <x:row r="7" ht="30" customHeight="1">
      <x:c r="A7" s="26" t="str">
        <x:v>TA-GOV-003</x:v>
      </x:c>
      <x:c r="B7" s="26" t="str">
        <x:v>R-GOV-003</x:v>
      </x:c>
      <x:c r="C7" s="26" t="str">
        <x:v>Governance &amp; Scope</x:v>
      </x:c>
      <x:c r="D7" s="26" t="str">
        <x:v>Reducir riesgo: La experiencia implementada se desvía de los pilares aprobados</x:v>
      </x:c>
      <x:c r="E7" s="26" t="str">
        <x:v>Aplicar change control; cuantificar coste, valor y riesgo; diferir fuera de H6 o rechazar.</x:v>
      </x:c>
      <x:c r="F7" s="26" t="str">
        <x:v>Project Owner / Production</x:v>
      </x:c>
      <x:c r="G7" s="26" t="str">
        <x:v>Game Design</x:v>
      </x:c>
      <x:c r="H7" s="26" t="str">
        <x:v>P2</x:v>
      </x:c>
      <x:c r="I7" s="26" t="str">
        <x:v>OPEN</x:v>
      </x:c>
      <x:c r="J7" s="26" t="str">
        <x:v>2026-07-01</x:v>
      </x:c>
      <x:c r="K7" s="26" t="str">
        <x:v>2026-07-31</x:v>
      </x:c>
      <x:c r="L7" s="26"/>
      <x:c r="M7" s="26" t="str">
        <x:v>Control verificable y evidencia ligada a R-GOV-003.</x:v>
      </x:c>
      <x:c r="N7" s="26" t="str">
        <x:v>00, 01, 02, 06, 12, 13, 14, 15, 16, 31, 32; Enfoque, GDD, Roadmap, Binder, Guía y auditorías v0.3–v0.6</x:v>
      </x:c>
      <x:c r="O7" s="26" t="str">
        <x:v>No iniciada</x:v>
      </x:c>
      <x:c r="P7" s="90" t="n">
        <x:v>0</x:v>
      </x:c>
      <x:c r="Q7" s="26" t="str">
        <x:v>No ejecutar cierre sin evidencia.</x:v>
      </x:c>
    </x:row>
    <x:row r="8" ht="30" customHeight="1">
      <x:c r="A8" s="26" t="str">
        <x:v>TA-GOV-004</x:v>
      </x:c>
      <x:c r="B8" s="26" t="str">
        <x:v>R-GOV-004</x:v>
      </x:c>
      <x:c r="C8" s="26" t="str">
        <x:v>Governance &amp; Scope</x:v>
      </x:c>
      <x:c r="D8" s="26" t="str">
        <x:v>Reducir riesgo: H6 se declara cerrado sin todas las evidencias contractuales</x:v>
      </x:c>
      <x:c r="E8" s="26" t="str">
        <x:v>Aplicar change control; cuantificar coste, valor y riesgo; diferir fuera de H6 o rechazar.</x:v>
      </x:c>
      <x:c r="F8" s="26" t="str">
        <x:v>Project Owner / Production</x:v>
      </x:c>
      <x:c r="G8" s="26" t="str">
        <x:v>Game Design</x:v>
      </x:c>
      <x:c r="H8" s="26" t="str">
        <x:v>P1</x:v>
      </x:c>
      <x:c r="I8" s="26" t="str">
        <x:v>OPEN</x:v>
      </x:c>
      <x:c r="J8" s="26" t="str">
        <x:v>2026-07-01</x:v>
      </x:c>
      <x:c r="K8" s="26" t="str">
        <x:v>2026-07-08</x:v>
      </x:c>
      <x:c r="L8" s="26"/>
      <x:c r="M8" s="26" t="str">
        <x:v>Control verificable y evidencia ligada a R-GOV-004.</x:v>
      </x:c>
      <x:c r="N8" s="26" t="str">
        <x:v>00, 01, 02, 06, 12, 13, 14, 15, 16, 31, 32; Enfoque, GDD, Roadmap, Binder, Guía y auditorías v0.3–v0.6</x:v>
      </x:c>
      <x:c r="O8" s="26" t="str">
        <x:v>No iniciada</x:v>
      </x:c>
      <x:c r="P8" s="90" t="n">
        <x:v>0</x:v>
      </x:c>
      <x:c r="Q8" s="26" t="str">
        <x:v>No ejecutar cierre sin evidencia.</x:v>
      </x:c>
    </x:row>
    <x:row r="9" ht="30" customHeight="1">
      <x:c r="A9" s="26" t="str">
        <x:v>TA-GOV-005</x:v>
      </x:c>
      <x:c r="B9" s="26" t="str">
        <x:v>R-GOV-005</x:v>
      </x:c>
      <x:c r="C9" s="26" t="str">
        <x:v>Governance &amp; Scope</x:v>
      </x:c>
      <x:c r="D9" s="26" t="str">
        <x:v>Reducir riesgo: Un cambio transversal no propaga a documentos y pruebas dependientes</x:v>
      </x:c>
      <x:c r="E9" s="26" t="str">
        <x:v>Aplicar change control; cuantificar coste, valor y riesgo; diferir fuera de H6 o rechazar.</x:v>
      </x:c>
      <x:c r="F9" s="26" t="str">
        <x:v>Project Owner / Production</x:v>
      </x:c>
      <x:c r="G9" s="26" t="str">
        <x:v>Game Design</x:v>
      </x:c>
      <x:c r="H9" s="26" t="str">
        <x:v>P1</x:v>
      </x:c>
      <x:c r="I9" s="26" t="str">
        <x:v>OPEN</x:v>
      </x:c>
      <x:c r="J9" s="26" t="str">
        <x:v>2026-07-01</x:v>
      </x:c>
      <x:c r="K9" s="26" t="str">
        <x:v>2026-07-08</x:v>
      </x:c>
      <x:c r="L9" s="26"/>
      <x:c r="M9" s="26" t="str">
        <x:v>Control verificable y evidencia ligada a R-GOV-005.</x:v>
      </x:c>
      <x:c r="N9" s="26" t="str">
        <x:v>00, 01, 02, 06, 12, 13, 14, 15, 16, 31, 32; Enfoque, GDD, Roadmap, Binder, Guía y auditorías v0.3–v0.6</x:v>
      </x:c>
      <x:c r="O9" s="26" t="str">
        <x:v>No iniciada</x:v>
      </x:c>
      <x:c r="P9" s="90" t="n">
        <x:v>0</x:v>
      </x:c>
      <x:c r="Q9" s="26" t="str">
        <x:v>No ejecutar cierre sin evidencia.</x:v>
      </x:c>
    </x:row>
    <x:row r="10" ht="30" customHeight="1">
      <x:c r="A10" s="26" t="str">
        <x:v>TA-GOV-006</x:v>
      </x:c>
      <x:c r="B10" s="26" t="str">
        <x:v>R-GOV-006</x:v>
      </x:c>
      <x:c r="C10" s="26" t="str">
        <x:v>Governance &amp; Scope</x:v>
      </x:c>
      <x:c r="D10" s="26" t="str">
        <x:v>Reducir riesgo: Trabajo atractivo desplaza dependencias de la ruta crítica</x:v>
      </x:c>
      <x:c r="E10" s="26" t="str">
        <x:v>Aplicar change control; cuantificar coste, valor y riesgo; diferir fuera de H6 o rechazar.</x:v>
      </x:c>
      <x:c r="F10" s="26" t="str">
        <x:v>Project Owner / Production</x:v>
      </x:c>
      <x:c r="G10" s="26" t="str">
        <x:v>Game Design</x:v>
      </x:c>
      <x:c r="H10" s="26" t="str">
        <x:v>P1</x:v>
      </x:c>
      <x:c r="I10" s="26" t="str">
        <x:v>OPEN</x:v>
      </x:c>
      <x:c r="J10" s="26" t="str">
        <x:v>2026-07-01</x:v>
      </x:c>
      <x:c r="K10" s="26" t="str">
        <x:v>2026-07-08</x:v>
      </x:c>
      <x:c r="L10" s="26"/>
      <x:c r="M10" s="26" t="str">
        <x:v>Control verificable y evidencia ligada a R-GOV-006.</x:v>
      </x:c>
      <x:c r="N10" s="26" t="str">
        <x:v>00, 01, 02, 06, 12, 13, 14, 15, 16, 31, 32; Enfoque, GDD, Roadmap, Binder, Guía y auditorías v0.3–v0.6</x:v>
      </x:c>
      <x:c r="O10" s="26" t="str">
        <x:v>No iniciada</x:v>
      </x:c>
      <x:c r="P10" s="90" t="n">
        <x:v>0</x:v>
      </x:c>
      <x:c r="Q10" s="26" t="str">
        <x:v>No ejecutar cierre sin evidencia.</x:v>
      </x:c>
    </x:row>
    <x:row r="11" ht="30" customHeight="1">
      <x:c r="A11" s="26" t="str">
        <x:v>TA-GOV-007</x:v>
      </x:c>
      <x:c r="B11" s="26" t="str">
        <x:v>R-GOV-007</x:v>
      </x:c>
      <x:c r="C11" s="26" t="str">
        <x:v>Governance &amp; Scope</x:v>
      </x:c>
      <x:c r="D11" s="26" t="str">
        <x:v>Reducir riesgo: Una decisión clave permanece ambigua y bloquea varias disciplinas</x:v>
      </x:c>
      <x:c r="E11" s="26" t="str">
        <x:v>Aplicar change control; cuantificar coste, valor y riesgo; diferir fuera de H6 o rechazar.</x:v>
      </x:c>
      <x:c r="F11" s="26" t="str">
        <x:v>Project Owner / Production</x:v>
      </x:c>
      <x:c r="G11" s="26" t="str">
        <x:v>Game Design</x:v>
      </x:c>
      <x:c r="H11" s="26" t="str">
        <x:v>P1</x:v>
      </x:c>
      <x:c r="I11" s="26" t="str">
        <x:v>OPEN</x:v>
      </x:c>
      <x:c r="J11" s="26" t="str">
        <x:v>2026-07-01</x:v>
      </x:c>
      <x:c r="K11" s="26" t="str">
        <x:v>2026-07-31</x:v>
      </x:c>
      <x:c r="L11" s="26"/>
      <x:c r="M11" s="26" t="str">
        <x:v>Control verificable y evidencia ligada a R-GOV-007.</x:v>
      </x:c>
      <x:c r="N11" s="26" t="str">
        <x:v>00, 01, 02, 06, 12, 13, 14, 15, 16, 31, 32; Enfoque, GDD, Roadmap, Binder, Guía y auditorías v0.3–v0.6</x:v>
      </x:c>
      <x:c r="O11" s="26" t="str">
        <x:v>No iniciada</x:v>
      </x:c>
      <x:c r="P11" s="90" t="n">
        <x:v>0</x:v>
      </x:c>
      <x:c r="Q11" s="26" t="str">
        <x:v>No ejecutar cierre sin evidencia.</x:v>
      </x:c>
    </x:row>
    <x:row r="12" ht="30" customHeight="1">
      <x:c r="A12" s="26" t="str">
        <x:v>TA-GOV-008</x:v>
      </x:c>
      <x:c r="B12" s="26" t="str">
        <x:v>R-GOV-008</x:v>
      </x:c>
      <x:c r="C12" s="26" t="str">
        <x:v>Governance &amp; Scope</x:v>
      </x:c>
      <x:c r="D12" s="26" t="str">
        <x:v>Reducir riesgo: Se confunde implementación técnica con aceptación de producto</x:v>
      </x:c>
      <x:c r="E12" s="26" t="str">
        <x:v>Aplicar change control; cuantificar coste, valor y riesgo; diferir fuera de H6 o rechazar.</x:v>
      </x:c>
      <x:c r="F12" s="26" t="str">
        <x:v>Project Owner / Production</x:v>
      </x:c>
      <x:c r="G12" s="26" t="str">
        <x:v>Game Design</x:v>
      </x:c>
      <x:c r="H12" s="26" t="str">
        <x:v>P1</x:v>
      </x:c>
      <x:c r="I12" s="26" t="str">
        <x:v>OPEN</x:v>
      </x:c>
      <x:c r="J12" s="26" t="str">
        <x:v>2026-07-01</x:v>
      </x:c>
      <x:c r="K12" s="26" t="str">
        <x:v>2026-07-08</x:v>
      </x:c>
      <x:c r="L12" s="26"/>
      <x:c r="M12" s="26" t="str">
        <x:v>Control verificable y evidencia ligada a R-GOV-008.</x:v>
      </x:c>
      <x:c r="N12" s="26" t="str">
        <x:v>00, 01, 02, 06, 12, 13, 14, 15, 16, 31, 32; Enfoque, GDD, Roadmap, Binder, Guía y auditorías v0.3–v0.6</x:v>
      </x:c>
      <x:c r="O12" s="26" t="str">
        <x:v>No iniciada</x:v>
      </x:c>
      <x:c r="P12" s="90" t="n">
        <x:v>0</x:v>
      </x:c>
      <x:c r="Q12" s="26" t="str">
        <x:v>No ejecutar cierre sin evidencia.</x:v>
      </x:c>
    </x:row>
    <x:row r="13" ht="30" customHeight="1">
      <x:c r="A13" s="26" t="str">
        <x:v>TA-GOV-009</x:v>
      </x:c>
      <x:c r="B13" s="26" t="str">
        <x:v>R-GOV-009</x:v>
      </x:c>
      <x:c r="C13" s="26" t="str">
        <x:v>Governance &amp; Scope</x:v>
      </x:c>
      <x:c r="D13" s="26" t="str">
        <x:v>Reducir riesgo: Título o nombre de estudio se trata como definitivo sin clearance</x:v>
      </x:c>
      <x:c r="E13" s="26" t="str">
        <x:v>Aplicar change control; cuantificar coste, valor y riesgo; diferir fuera de H6 o rechazar.</x:v>
      </x:c>
      <x:c r="F13" s="26" t="str">
        <x:v>Project Owner / Production</x:v>
      </x:c>
      <x:c r="G13" s="26" t="str">
        <x:v>Game Design</x:v>
      </x:c>
      <x:c r="H13" s="26" t="str">
        <x:v>P1</x:v>
      </x:c>
      <x:c r="I13" s="26" t="str">
        <x:v>OPEN</x:v>
      </x:c>
      <x:c r="J13" s="26" t="str">
        <x:v>2026-07-01</x:v>
      </x:c>
      <x:c r="K13" s="26" t="str">
        <x:v>2026-07-31</x:v>
      </x:c>
      <x:c r="L13" s="26"/>
      <x:c r="M13" s="26" t="str">
        <x:v>Control verificable y evidencia ligada a R-GOV-009.</x:v>
      </x:c>
      <x:c r="N13" s="26" t="str">
        <x:v>00, 01, 02, 06, 12, 13, 14, 15, 16, 31, 32; Enfoque, GDD, Roadmap, Binder, Guía y auditorías v0.3–v0.6</x:v>
      </x:c>
      <x:c r="O13" s="26" t="str">
        <x:v>No iniciada</x:v>
      </x:c>
      <x:c r="P13" s="90" t="n">
        <x:v>0</x:v>
      </x:c>
      <x:c r="Q13" s="26" t="str">
        <x:v>No ejecutar cierre sin evidencia.</x:v>
      </x:c>
    </x:row>
    <x:row r="14" ht="30" customHeight="1">
      <x:c r="A14" s="26" t="str">
        <x:v>TA-GOV-010</x:v>
      </x:c>
      <x:c r="B14" s="26" t="str">
        <x:v>R-GOV-010</x:v>
      </x:c>
      <x:c r="C14" s="26" t="str">
        <x:v>Governance &amp; Scope</x:v>
      </x:c>
      <x:c r="D14" s="26" t="str">
        <x:v>Reducir riesgo: Se promete contenido futuro como parte del vertical slice actual</x:v>
      </x:c>
      <x:c r="E14" s="26" t="str">
        <x:v>Aplicar change control; cuantificar coste, valor y riesgo; diferir fuera de H6 o rechazar.</x:v>
      </x:c>
      <x:c r="F14" s="26" t="str">
        <x:v>Project Owner / Production</x:v>
      </x:c>
      <x:c r="G14" s="26" t="str">
        <x:v>Game Design</x:v>
      </x:c>
      <x:c r="H14" s="26" t="str">
        <x:v>P1</x:v>
      </x:c>
      <x:c r="I14" s="26" t="str">
        <x:v>OPEN</x:v>
      </x:c>
      <x:c r="J14" s="26" t="str">
        <x:v>2026-07-01</x:v>
      </x:c>
      <x:c r="K14" s="26" t="str">
        <x:v>2026-07-08</x:v>
      </x:c>
      <x:c r="L14" s="26"/>
      <x:c r="M14" s="26" t="str">
        <x:v>Control verificable y evidencia ligada a R-GOV-010.</x:v>
      </x:c>
      <x:c r="N14" s="26" t="str">
        <x:v>00, 01, 02, 06, 12, 13, 14, 15, 16, 31, 32; Enfoque, GDD, Roadmap, Binder, Guía y auditorías v0.3–v0.6</x:v>
      </x:c>
      <x:c r="O14" s="26" t="str">
        <x:v>No iniciada</x:v>
      </x:c>
      <x:c r="P14" s="90" t="n">
        <x:v>0</x:v>
      </x:c>
      <x:c r="Q14" s="26" t="str">
        <x:v>No ejecutar cierre sin evidencia.</x:v>
      </x:c>
    </x:row>
    <x:row r="15" ht="30" customHeight="1">
      <x:c r="A15" s="26" t="str">
        <x:v>TA-PEO-001</x:v>
      </x:c>
      <x:c r="B15" s="26" t="str">
        <x:v>R-PEO-001</x:v>
      </x:c>
      <x:c r="C15" s="26" t="str">
        <x:v>People &amp; Capacity</x:v>
      </x:c>
      <x:c r="D15" s="26" t="str">
        <x:v>Reducir riesgo: La indisponibilidad del owner detiene producción y decisiones</x:v>
      </x:c>
      <x:c r="E15" s="26" t="str">
        <x:v>Reducir WIP, documentar conocimiento, preparar sustitución y priorizar ruta crítica.</x:v>
      </x:c>
      <x:c r="F15" s="26" t="str">
        <x:v>Project Owner / Production</x:v>
      </x:c>
      <x:c r="G15" s="26" t="str">
        <x:v>External collaborator / designated alternate</x:v>
      </x:c>
      <x:c r="H15" s="26" t="str">
        <x:v>P0</x:v>
      </x:c>
      <x:c r="I15" s="26" t="str">
        <x:v>OPEN</x:v>
      </x:c>
      <x:c r="J15" s="26" t="str">
        <x:v>2026-07-01</x:v>
      </x:c>
      <x:c r="K15" s="26" t="str">
        <x:v>2026-07-08</x:v>
      </x:c>
      <x:c r="L15" s="26"/>
      <x:c r="M15" s="26" t="str">
        <x:v>Control verificable y evidencia ligada a R-PEO-001.</x:v>
      </x:c>
      <x:c r="N15" s="26" t="str">
        <x:v>06, 09, 13, 15, 25, 27, 31, 34; Roadmaps, sprint closures, handoffs y estados actuales</x:v>
      </x:c>
      <x:c r="O15" s="26" t="str">
        <x:v>No iniciada</x:v>
      </x:c>
      <x:c r="P15" s="90" t="n">
        <x:v>0</x:v>
      </x:c>
      <x:c r="Q15" s="26" t="str">
        <x:v>No ejecutar cierre sin evidencia.</x:v>
      </x:c>
    </x:row>
    <x:row r="16" ht="30" customHeight="1">
      <x:c r="A16" s="26" t="str">
        <x:v>TA-PEO-002</x:v>
      </x:c>
      <x:c r="B16" s="26" t="str">
        <x:v>R-PEO-002</x:v>
      </x:c>
      <x:c r="C16" s="26" t="str">
        <x:v>People &amp; Capacity</x:v>
      </x:c>
      <x:c r="D16" s="26" t="str">
        <x:v>Reducir riesgo: Conocimiento crítico solo existe en memoria o chat</x:v>
      </x:c>
      <x:c r="E16" s="26" t="str">
        <x:v>Reducir WIP, documentar conocimiento, preparar sustitución y priorizar ruta crítica.</x:v>
      </x:c>
      <x:c r="F16" s="26" t="str">
        <x:v>Project Owner / Production</x:v>
      </x:c>
      <x:c r="G16" s="26" t="str">
        <x:v>External collaborator / designated alternate</x:v>
      </x:c>
      <x:c r="H16" s="26" t="str">
        <x:v>P0</x:v>
      </x:c>
      <x:c r="I16" s="26" t="str">
        <x:v>OPEN</x:v>
      </x:c>
      <x:c r="J16" s="26" t="str">
        <x:v>2026-07-01</x:v>
      </x:c>
      <x:c r="K16" s="26" t="str">
        <x:v>2026-07-08</x:v>
      </x:c>
      <x:c r="L16" s="26"/>
      <x:c r="M16" s="26" t="str">
        <x:v>Control verificable y evidencia ligada a R-PEO-002.</x:v>
      </x:c>
      <x:c r="N16" s="26" t="str">
        <x:v>06, 09, 13, 15, 25, 27, 31, 34; Roadmaps, sprint closures, handoffs y estados actuales</x:v>
      </x:c>
      <x:c r="O16" s="26" t="str">
        <x:v>No iniciada</x:v>
      </x:c>
      <x:c r="P16" s="90" t="n">
        <x:v>0</x:v>
      </x:c>
      <x:c r="Q16" s="26" t="str">
        <x:v>No ejecutar cierre sin evidencia.</x:v>
      </x:c>
    </x:row>
    <x:row r="17" ht="30" customHeight="1">
      <x:c r="A17" s="26" t="str">
        <x:v>TA-PEO-003</x:v>
      </x:c>
      <x:c r="B17" s="26" t="str">
        <x:v>R-PEO-003</x:v>
      </x:c>
      <x:c r="C17" s="26" t="str">
        <x:v>People &amp; Capacity</x:v>
      </x:c>
      <x:c r="D17" s="26" t="str">
        <x:v>Reducir riesgo: Sobrecarga reduce calidad y aumenta errores</x:v>
      </x:c>
      <x:c r="E17" s="26" t="str">
        <x:v>Reducir WIP, documentar conocimiento, preparar sustitución y priorizar ruta crítica.</x:v>
      </x:c>
      <x:c r="F17" s="26" t="str">
        <x:v>Project Owner / Production</x:v>
      </x:c>
      <x:c r="G17" s="26" t="str">
        <x:v>External collaborator / designated alternate</x:v>
      </x:c>
      <x:c r="H17" s="26" t="str">
        <x:v>P1</x:v>
      </x:c>
      <x:c r="I17" s="26" t="str">
        <x:v>OPEN</x:v>
      </x:c>
      <x:c r="J17" s="26" t="str">
        <x:v>2026-07-01</x:v>
      </x:c>
      <x:c r="K17" s="26" t="str">
        <x:v>2026-07-08</x:v>
      </x:c>
      <x:c r="L17" s="26"/>
      <x:c r="M17" s="26" t="str">
        <x:v>Control verificable y evidencia ligada a R-PEO-003.</x:v>
      </x:c>
      <x:c r="N17" s="26" t="str">
        <x:v>06, 09, 13, 15, 25, 27, 31, 34; Roadmaps, sprint closures, handoffs y estados actuales</x:v>
      </x:c>
      <x:c r="O17" s="26" t="str">
        <x:v>No iniciada</x:v>
      </x:c>
      <x:c r="P17" s="90" t="n">
        <x:v>0</x:v>
      </x:c>
      <x:c r="Q17" s="26" t="str">
        <x:v>No ejecutar cierre sin evidencia.</x:v>
      </x:c>
    </x:row>
    <x:row r="18" ht="30" customHeight="1">
      <x:c r="A18" s="26" t="str">
        <x:v>TA-PEO-004</x:v>
      </x:c>
      <x:c r="B18" s="26" t="str">
        <x:v>R-PEO-004</x:v>
      </x:c>
      <x:c r="C18" s="26" t="str">
        <x:v>People &amp; Capacity</x:v>
      </x:c>
      <x:c r="D18" s="26" t="str">
        <x:v>Reducir riesgo: Fatiga sostenida provoca interrupción prolongada</x:v>
      </x:c>
      <x:c r="E18" s="26" t="str">
        <x:v>Reducir WIP, documentar conocimiento, preparar sustitución y priorizar ruta crítica.</x:v>
      </x:c>
      <x:c r="F18" s="26" t="str">
        <x:v>Project Owner / Production</x:v>
      </x:c>
      <x:c r="G18" s="26" t="str">
        <x:v>External collaborator / designated alternate</x:v>
      </x:c>
      <x:c r="H18" s="26" t="str">
        <x:v>P1</x:v>
      </x:c>
      <x:c r="I18" s="26" t="str">
        <x:v>OPEN</x:v>
      </x:c>
      <x:c r="J18" s="26" t="str">
        <x:v>2026-07-01</x:v>
      </x:c>
      <x:c r="K18" s="26" t="str">
        <x:v>2026-07-31</x:v>
      </x:c>
      <x:c r="L18" s="26"/>
      <x:c r="M18" s="26" t="str">
        <x:v>Control verificable y evidencia ligada a R-PEO-004.</x:v>
      </x:c>
      <x:c r="N18" s="26" t="str">
        <x:v>06, 09, 13, 15, 25, 27, 31, 34; Roadmaps, sprint closures, handoffs y estados actuales</x:v>
      </x:c>
      <x:c r="O18" s="26" t="str">
        <x:v>No iniciada</x:v>
      </x:c>
      <x:c r="P18" s="90" t="n">
        <x:v>0</x:v>
      </x:c>
      <x:c r="Q18" s="26" t="str">
        <x:v>No ejecutar cierre sin evidencia.</x:v>
      </x:c>
    </x:row>
    <x:row r="19" ht="30" customHeight="1">
      <x:c r="A19" s="26" t="str">
        <x:v>TA-PEO-005</x:v>
      </x:c>
      <x:c r="B19" s="26" t="str">
        <x:v>R-PEO-005</x:v>
      </x:c>
      <x:c r="C19" s="26" t="str">
        <x:v>People &amp; Capacity</x:v>
      </x:c>
      <x:c r="D19" s="26" t="str">
        <x:v>Reducir riesgo: Demasiados frentes abiertos degradan foco</x:v>
      </x:c>
      <x:c r="E19" s="26" t="str">
        <x:v>Reducir WIP, documentar conocimiento, preparar sustitución y priorizar ruta crítica.</x:v>
      </x:c>
      <x:c r="F19" s="26" t="str">
        <x:v>Project Owner / Production</x:v>
      </x:c>
      <x:c r="G19" s="26" t="str">
        <x:v>External collaborator / designated alternate</x:v>
      </x:c>
      <x:c r="H19" s="26" t="str">
        <x:v>P1</x:v>
      </x:c>
      <x:c r="I19" s="26" t="str">
        <x:v>OPEN</x:v>
      </x:c>
      <x:c r="J19" s="26" t="str">
        <x:v>2026-07-01</x:v>
      </x:c>
      <x:c r="K19" s="26" t="str">
        <x:v>2026-07-31</x:v>
      </x:c>
      <x:c r="L19" s="26"/>
      <x:c r="M19" s="26" t="str">
        <x:v>Control verificable y evidencia ligada a R-PEO-005.</x:v>
      </x:c>
      <x:c r="N19" s="26" t="str">
        <x:v>06, 09, 13, 15, 25, 27, 31, 34; Roadmaps, sprint closures, handoffs y estados actuales</x:v>
      </x:c>
      <x:c r="O19" s="26" t="str">
        <x:v>No iniciada</x:v>
      </x:c>
      <x:c r="P19" s="90" t="n">
        <x:v>0</x:v>
      </x:c>
      <x:c r="Q19" s="26" t="str">
        <x:v>No ejecutar cierre sin evidencia.</x:v>
      </x:c>
    </x:row>
    <x:row r="20" ht="30" customHeight="1">
      <x:c r="A20" s="26" t="str">
        <x:v>TA-PEO-006</x:v>
      </x:c>
      <x:c r="B20" s="26" t="str">
        <x:v>R-PEO-006</x:v>
      </x:c>
      <x:c r="C20" s="26" t="str">
        <x:v>People &amp; Capacity</x:v>
      </x:c>
      <x:c r="D20" s="26" t="str">
        <x:v>Reducir riesgo: Colaborador accede sin onboarding, límites o offboarding</x:v>
      </x:c>
      <x:c r="E20" s="26" t="str">
        <x:v>Reducir WIP, documentar conocimiento, preparar sustitución y priorizar ruta crítica.</x:v>
      </x:c>
      <x:c r="F20" s="26" t="str">
        <x:v>Project Owner / Production</x:v>
      </x:c>
      <x:c r="G20" s="26" t="str">
        <x:v>External collaborator / designated alternate</x:v>
      </x:c>
      <x:c r="H20" s="26" t="str">
        <x:v>P2</x:v>
      </x:c>
      <x:c r="I20" s="26" t="str">
        <x:v>OPEN</x:v>
      </x:c>
      <x:c r="J20" s="26" t="str">
        <x:v>2026-07-01</x:v>
      </x:c>
      <x:c r="K20" s="26" t="str">
        <x:v>2026-07-08</x:v>
      </x:c>
      <x:c r="L20" s="26"/>
      <x:c r="M20" s="26" t="str">
        <x:v>Control verificable y evidencia ligada a R-PEO-006.</x:v>
      </x:c>
      <x:c r="N20" s="26" t="str">
        <x:v>06, 09, 13, 15, 25, 27, 31, 34; Roadmaps, sprint closures, handoffs y estados actuales</x:v>
      </x:c>
      <x:c r="O20" s="26" t="str">
        <x:v>No iniciada</x:v>
      </x:c>
      <x:c r="P20" s="90" t="n">
        <x:v>0</x:v>
      </x:c>
      <x:c r="Q20" s="26" t="str">
        <x:v>No ejecutar cierre sin evidencia.</x:v>
      </x:c>
    </x:row>
    <x:row r="21" ht="30" customHeight="1">
      <x:c r="A21" s="26" t="str">
        <x:v>TA-PEO-007</x:v>
      </x:c>
      <x:c r="B21" s="26" t="str">
        <x:v>R-PEO-007</x:v>
      </x:c>
      <x:c r="C21" s="26" t="str">
        <x:v>People &amp; Capacity</x:v>
      </x:c>
      <x:c r="D21" s="26" t="str">
        <x:v>Reducir riesgo: Falta experiencia especializada en Steam, legal o accesibilidad</x:v>
      </x:c>
      <x:c r="E21" s="26" t="str">
        <x:v>Reducir WIP, documentar conocimiento, preparar sustitución y priorizar ruta crítica.</x:v>
      </x:c>
      <x:c r="F21" s="26" t="str">
        <x:v>Project Owner / Production</x:v>
      </x:c>
      <x:c r="G21" s="26" t="str">
        <x:v>External collaborator / designated alternate</x:v>
      </x:c>
      <x:c r="H21" s="26" t="str">
        <x:v>P1</x:v>
      </x:c>
      <x:c r="I21" s="26" t="str">
        <x:v>OPEN</x:v>
      </x:c>
      <x:c r="J21" s="26" t="str">
        <x:v>2026-07-01</x:v>
      </x:c>
      <x:c r="K21" s="26" t="str">
        <x:v>2026-07-31</x:v>
      </x:c>
      <x:c r="L21" s="26"/>
      <x:c r="M21" s="26" t="str">
        <x:v>Control verificable y evidencia ligada a R-PEO-007.</x:v>
      </x:c>
      <x:c r="N21" s="26" t="str">
        <x:v>06, 09, 13, 15, 25, 27, 31, 34; Roadmaps, sprint closures, handoffs y estados actuales</x:v>
      </x:c>
      <x:c r="O21" s="26" t="str">
        <x:v>No iniciada</x:v>
      </x:c>
      <x:c r="P21" s="90" t="n">
        <x:v>0</x:v>
      </x:c>
      <x:c r="Q21" s="26" t="str">
        <x:v>No ejecutar cierre sin evidencia.</x:v>
      </x:c>
    </x:row>
    <x:row r="22" ht="30" customHeight="1">
      <x:c r="A22" s="26" t="str">
        <x:v>TA-PEO-008</x:v>
      </x:c>
      <x:c r="B22" s="26" t="str">
        <x:v>R-PEO-008</x:v>
      </x:c>
      <x:c r="C22" s="26" t="str">
        <x:v>People &amp; Capacity</x:v>
      </x:c>
      <x:c r="D22" s="26" t="str">
        <x:v>Reducir riesgo: No existe sustituto capaz de ejecutar build/recovery</x:v>
      </x:c>
      <x:c r="E22" s="26" t="str">
        <x:v>Reducir WIP, documentar conocimiento, preparar sustitución y priorizar ruta crítica.</x:v>
      </x:c>
      <x:c r="F22" s="26" t="str">
        <x:v>Project Owner / Production</x:v>
      </x:c>
      <x:c r="G22" s="26" t="str">
        <x:v>External collaborator / designated alternate</x:v>
      </x:c>
      <x:c r="H22" s="26" t="str">
        <x:v>P0</x:v>
      </x:c>
      <x:c r="I22" s="26" t="str">
        <x:v>OPEN</x:v>
      </x:c>
      <x:c r="J22" s="26" t="str">
        <x:v>2026-07-01</x:v>
      </x:c>
      <x:c r="K22" s="26" t="str">
        <x:v>2026-07-08</x:v>
      </x:c>
      <x:c r="L22" s="26"/>
      <x:c r="M22" s="26" t="str">
        <x:v>Control verificable y evidencia ligada a R-PEO-008.</x:v>
      </x:c>
      <x:c r="N22" s="26" t="str">
        <x:v>06, 09, 13, 15, 25, 27, 31, 34; Roadmaps, sprint closures, handoffs y estados actuales</x:v>
      </x:c>
      <x:c r="O22" s="26" t="str">
        <x:v>No iniciada</x:v>
      </x:c>
      <x:c r="P22" s="90" t="n">
        <x:v>0</x:v>
      </x:c>
      <x:c r="Q22" s="26" t="str">
        <x:v>No ejecutar cierre sin evidencia.</x:v>
      </x:c>
    </x:row>
    <x:row r="23" ht="30" customHeight="1">
      <x:c r="A23" s="26" t="str">
        <x:v>TA-PEO-009</x:v>
      </x:c>
      <x:c r="B23" s="26" t="str">
        <x:v>R-PEO-009</x:v>
      </x:c>
      <x:c r="C23" s="26" t="str">
        <x:v>People &amp; Capacity</x:v>
      </x:c>
      <x:c r="D23" s="26" t="str">
        <x:v>Reducir riesgo: Decisiones se toman en canales no preservados</x:v>
      </x:c>
      <x:c r="E23" s="26" t="str">
        <x:v>Reducir WIP, documentar conocimiento, preparar sustitución y priorizar ruta crítica.</x:v>
      </x:c>
      <x:c r="F23" s="26" t="str">
        <x:v>Project Owner / Production</x:v>
      </x:c>
      <x:c r="G23" s="26" t="str">
        <x:v>External collaborator / designated alternate</x:v>
      </x:c>
      <x:c r="H23" s="26" t="str">
        <x:v>P1</x:v>
      </x:c>
      <x:c r="I23" s="26" t="str">
        <x:v>OPEN</x:v>
      </x:c>
      <x:c r="J23" s="26" t="str">
        <x:v>2026-07-01</x:v>
      </x:c>
      <x:c r="K23" s="26" t="str">
        <x:v>2026-07-31</x:v>
      </x:c>
      <x:c r="L23" s="26"/>
      <x:c r="M23" s="26" t="str">
        <x:v>Control verificable y evidencia ligada a R-PEO-009.</x:v>
      </x:c>
      <x:c r="N23" s="26" t="str">
        <x:v>06, 09, 13, 15, 25, 27, 31, 34; Roadmaps, sprint closures, handoffs y estados actuales</x:v>
      </x:c>
      <x:c r="O23" s="26" t="str">
        <x:v>No iniciada</x:v>
      </x:c>
      <x:c r="P23" s="90" t="n">
        <x:v>0</x:v>
      </x:c>
      <x:c r="Q23" s="26" t="str">
        <x:v>No ejecutar cierre sin evidencia.</x:v>
      </x:c>
    </x:row>
    <x:row r="24" ht="30" customHeight="1">
      <x:c r="A24" s="26" t="str">
        <x:v>TA-PEO-010</x:v>
      </x:c>
      <x:c r="B24" s="26" t="str">
        <x:v>R-PEO-010</x:v>
      </x:c>
      <x:c r="C24" s="26" t="str">
        <x:v>People &amp; Capacity</x:v>
      </x:c>
      <x:c r="D24" s="26" t="str">
        <x:v>Reducir riesgo: Una acción irreversible del owner no tiene revisión</x:v>
      </x:c>
      <x:c r="E24" s="26" t="str">
        <x:v>Reducir WIP, documentar conocimiento, preparar sustitución y priorizar ruta crítica.</x:v>
      </x:c>
      <x:c r="F24" s="26" t="str">
        <x:v>Project Owner / Production</x:v>
      </x:c>
      <x:c r="G24" s="26" t="str">
        <x:v>External collaborator / designated alternate</x:v>
      </x:c>
      <x:c r="H24" s="26" t="str">
        <x:v>P1</x:v>
      </x:c>
      <x:c r="I24" s="26" t="str">
        <x:v>OPEN</x:v>
      </x:c>
      <x:c r="J24" s="26" t="str">
        <x:v>2026-07-01</x:v>
      </x:c>
      <x:c r="K24" s="26" t="str">
        <x:v>2026-07-08</x:v>
      </x:c>
      <x:c r="L24" s="26"/>
      <x:c r="M24" s="26" t="str">
        <x:v>Control verificable y evidencia ligada a R-PEO-010.</x:v>
      </x:c>
      <x:c r="N24" s="26" t="str">
        <x:v>06, 09, 13, 15, 25, 27, 31, 34; Roadmaps, sprint closures, handoffs y estados actuales</x:v>
      </x:c>
      <x:c r="O24" s="26" t="str">
        <x:v>No iniciada</x:v>
      </x:c>
      <x:c r="P24" s="90" t="n">
        <x:v>0</x:v>
      </x:c>
      <x:c r="Q24" s="26" t="str">
        <x:v>No ejecutar cierre sin evidencia.</x:v>
      </x:c>
    </x:row>
    <x:row r="25" ht="30" customHeight="1">
      <x:c r="A25" s="26" t="str">
        <x:v>TA-PRD-001</x:v>
      </x:c>
      <x:c r="B25" s="26" t="str">
        <x:v>R-PRD-001</x:v>
      </x:c>
      <x:c r="C25" s="26" t="str">
        <x:v>Production &amp; Schedule</x:v>
      </x:c>
      <x:c r="D25" s="26" t="str">
        <x:v>Reducir riesgo: Sprint inicia con dependencias no listas</x:v>
      </x:c>
      <x:c r="E25" s="26" t="str">
        <x:v>Re-secuenciar por dependencias, reducir alcance no contractual y proteger H6.</x:v>
      </x:c>
      <x:c r="F25" s="26" t="str">
        <x:v>Production</x:v>
      </x:c>
      <x:c r="G25" s="26" t="str">
        <x:v>Project Owner</x:v>
      </x:c>
      <x:c r="H25" s="26" t="str">
        <x:v>P1</x:v>
      </x:c>
      <x:c r="I25" s="26" t="str">
        <x:v>OPEN</x:v>
      </x:c>
      <x:c r="J25" s="26" t="str">
        <x:v>2026-07-01</x:v>
      </x:c>
      <x:c r="K25" s="26" t="str">
        <x:v>2026-07-08</x:v>
      </x:c>
      <x:c r="L25" s="26"/>
      <x:c r="M25" s="26" t="str">
        <x:v>Control verificable y evidencia ligada a R-PRD-001.</x:v>
      </x:c>
      <x:c r="N25" s="26" t="str">
        <x:v>02, 06, 07, 08, 12, 13, 16, 31; Roadmap/Sprint Plan, tracking y acceptance matrices v0.3–v0.6</x:v>
      </x:c>
      <x:c r="O25" s="26" t="str">
        <x:v>No iniciada</x:v>
      </x:c>
      <x:c r="P25" s="90" t="n">
        <x:v>0</x:v>
      </x:c>
      <x:c r="Q25" s="26" t="str">
        <x:v>No ejecutar cierre sin evidencia.</x:v>
      </x:c>
    </x:row>
    <x:row r="26" ht="30" customHeight="1">
      <x:c r="A26" s="26" t="str">
        <x:v>TA-PRD-002</x:v>
      </x:c>
      <x:c r="B26" s="26" t="str">
        <x:v>R-PRD-002</x:v>
      </x:c>
      <x:c r="C26" s="26" t="str">
        <x:v>Production &amp; Schedule</x:v>
      </x:c>
      <x:c r="D26" s="26" t="str">
        <x:v>Reducir riesgo: Estimaciones sin medición producen compromiso irreal</x:v>
      </x:c>
      <x:c r="E26" s="26" t="str">
        <x:v>Re-secuenciar por dependencias, reducir alcance no contractual y proteger H6.</x:v>
      </x:c>
      <x:c r="F26" s="26" t="str">
        <x:v>Production</x:v>
      </x:c>
      <x:c r="G26" s="26" t="str">
        <x:v>Project Owner</x:v>
      </x:c>
      <x:c r="H26" s="26" t="str">
        <x:v>P1</x:v>
      </x:c>
      <x:c r="I26" s="26" t="str">
        <x:v>OPEN</x:v>
      </x:c>
      <x:c r="J26" s="26" t="str">
        <x:v>2026-07-01</x:v>
      </x:c>
      <x:c r="K26" s="26" t="str">
        <x:v>2026-07-31</x:v>
      </x:c>
      <x:c r="L26" s="26"/>
      <x:c r="M26" s="26" t="str">
        <x:v>Control verificable y evidencia ligada a R-PRD-002.</x:v>
      </x:c>
      <x:c r="N26" s="26" t="str">
        <x:v>02, 06, 07, 08, 12, 13, 16, 31; Roadmap/Sprint Plan, tracking y acceptance matrices v0.3–v0.6</x:v>
      </x:c>
      <x:c r="O26" s="26" t="str">
        <x:v>No iniciada</x:v>
      </x:c>
      <x:c r="P26" s="90" t="n">
        <x:v>0</x:v>
      </x:c>
      <x:c r="Q26" s="26" t="str">
        <x:v>No ejecutar cierre sin evidencia.</x:v>
      </x:c>
    </x:row>
    <x:row r="27" ht="30" customHeight="1">
      <x:c r="A27" s="26" t="str">
        <x:v>TA-PRD-003</x:v>
      </x:c>
      <x:c r="B27" s="26" t="str">
        <x:v>R-PRD-003</x:v>
      </x:c>
      <x:c r="C27" s="26" t="str">
        <x:v>Production &amp; Schedule</x:v>
      </x:c>
      <x:c r="D27" s="26" t="str">
        <x:v>Reducir riesgo: Integración tardía de arte/UI/audio genera retrabajo</x:v>
      </x:c>
      <x:c r="E27" s="26" t="str">
        <x:v>Re-secuenciar por dependencias, reducir alcance no contractual y proteger H6.</x:v>
      </x:c>
      <x:c r="F27" s="26" t="str">
        <x:v>Production</x:v>
      </x:c>
      <x:c r="G27" s="26" t="str">
        <x:v>Project Owner</x:v>
      </x:c>
      <x:c r="H27" s="26" t="str">
        <x:v>P1</x:v>
      </x:c>
      <x:c r="I27" s="26" t="str">
        <x:v>OPEN</x:v>
      </x:c>
      <x:c r="J27" s="26" t="str">
        <x:v>2026-07-01</x:v>
      </x:c>
      <x:c r="K27" s="26" t="str">
        <x:v>2026-07-08</x:v>
      </x:c>
      <x:c r="L27" s="26"/>
      <x:c r="M27" s="26" t="str">
        <x:v>Control verificable y evidencia ligada a R-PRD-003.</x:v>
      </x:c>
      <x:c r="N27" s="26" t="str">
        <x:v>02, 06, 07, 08, 12, 13, 16, 31; Roadmap/Sprint Plan, tracking y acceptance matrices v0.3–v0.6</x:v>
      </x:c>
      <x:c r="O27" s="26" t="str">
        <x:v>No iniciada</x:v>
      </x:c>
      <x:c r="P27" s="90" t="n">
        <x:v>0</x:v>
      </x:c>
      <x:c r="Q27" s="26" t="str">
        <x:v>No ejecutar cierre sin evidencia.</x:v>
      </x:c>
    </x:row>
    <x:row r="28" ht="30" customHeight="1">
      <x:c r="A28" s="26" t="str">
        <x:v>TA-PRD-004</x:v>
      </x:c>
      <x:c r="B28" s="26" t="str">
        <x:v>R-PRD-004</x:v>
      </x:c>
      <x:c r="C28" s="26" t="str">
        <x:v>Production &amp; Schedule</x:v>
      </x:c>
      <x:c r="D28" s="26" t="str">
        <x:v>Reducir riesgo: StoreInitial, Golden Path o build quedan fuera de ruta prioritaria</x:v>
      </x:c>
      <x:c r="E28" s="26" t="str">
        <x:v>Re-secuenciar por dependencias, reducir alcance no contractual y proteger H6.</x:v>
      </x:c>
      <x:c r="F28" s="26" t="str">
        <x:v>Production</x:v>
      </x:c>
      <x:c r="G28" s="26" t="str">
        <x:v>Project Owner</x:v>
      </x:c>
      <x:c r="H28" s="26" t="str">
        <x:v>P1</x:v>
      </x:c>
      <x:c r="I28" s="26" t="str">
        <x:v>OPEN</x:v>
      </x:c>
      <x:c r="J28" s="26" t="str">
        <x:v>2026-07-01</x:v>
      </x:c>
      <x:c r="K28" s="26" t="str">
        <x:v>2026-07-08</x:v>
      </x:c>
      <x:c r="L28" s="26"/>
      <x:c r="M28" s="26" t="str">
        <x:v>Control verificable y evidencia ligada a R-PRD-004.</x:v>
      </x:c>
      <x:c r="N28" s="26" t="str">
        <x:v>02, 06, 07, 08, 12, 13, 16, 31; Roadmap/Sprint Plan, tracking y acceptance matrices v0.3–v0.6</x:v>
      </x:c>
      <x:c r="O28" s="26" t="str">
        <x:v>No iniciada</x:v>
      </x:c>
      <x:c r="P28" s="90" t="n">
        <x:v>0</x:v>
      </x:c>
      <x:c r="Q28" s="26" t="str">
        <x:v>No ejecutar cierre sin evidencia.</x:v>
      </x:c>
    </x:row>
    <x:row r="29" ht="30" customHeight="1">
      <x:c r="A29" s="26" t="str">
        <x:v>TA-PRD-005</x:v>
      </x:c>
      <x:c r="B29" s="26" t="str">
        <x:v>R-PRD-005</x:v>
      </x:c>
      <x:c r="C29" s="26" t="str">
        <x:v>Production &amp; Schedule</x:v>
      </x:c>
      <x:c r="D29" s="26" t="str">
        <x:v>Reducir riesgo: QA y correcciones se comprimen al final</x:v>
      </x:c>
      <x:c r="E29" s="26" t="str">
        <x:v>Re-secuenciar por dependencias, reducir alcance no contractual y proteger H6.</x:v>
      </x:c>
      <x:c r="F29" s="26" t="str">
        <x:v>Production</x:v>
      </x:c>
      <x:c r="G29" s="26" t="str">
        <x:v>Project Owner</x:v>
      </x:c>
      <x:c r="H29" s="26" t="str">
        <x:v>P0</x:v>
      </x:c>
      <x:c r="I29" s="26" t="str">
        <x:v>OPEN</x:v>
      </x:c>
      <x:c r="J29" s="26" t="str">
        <x:v>2026-07-01</x:v>
      </x:c>
      <x:c r="K29" s="26" t="str">
        <x:v>2026-07-08</x:v>
      </x:c>
      <x:c r="L29" s="26"/>
      <x:c r="M29" s="26" t="str">
        <x:v>Control verificable y evidencia ligada a R-PRD-005.</x:v>
      </x:c>
      <x:c r="N29" s="26" t="str">
        <x:v>02, 06, 07, 08, 12, 13, 16, 31; Roadmap/Sprint Plan, tracking y acceptance matrices v0.3–v0.6</x:v>
      </x:c>
      <x:c r="O29" s="26" t="str">
        <x:v>No iniciada</x:v>
      </x:c>
      <x:c r="P29" s="90" t="n">
        <x:v>0</x:v>
      </x:c>
      <x:c r="Q29" s="26" t="str">
        <x:v>No ejecutar cierre sin evidencia.</x:v>
      </x:c>
    </x:row>
    <x:row r="30" ht="30" customHeight="1">
      <x:c r="A30" s="26" t="str">
        <x:v>TA-PRD-006</x:v>
      </x:c>
      <x:c r="B30" s="26" t="str">
        <x:v>R-PRD-006</x:v>
      </x:c>
      <x:c r="C30" s="26" t="str">
        <x:v>Production &amp; Schedule</x:v>
      </x:c>
      <x:c r="D30" s="26" t="str">
        <x:v>Reducir riesgo: Regresiones reabren capacidades cerradas</x:v>
      </x:c>
      <x:c r="E30" s="26" t="str">
        <x:v>Re-secuenciar por dependencias, reducir alcance no contractual y proteger H6.</x:v>
      </x:c>
      <x:c r="F30" s="26" t="str">
        <x:v>Production</x:v>
      </x:c>
      <x:c r="G30" s="26" t="str">
        <x:v>Project Owner</x:v>
      </x:c>
      <x:c r="H30" s="26" t="str">
        <x:v>P1</x:v>
      </x:c>
      <x:c r="I30" s="26" t="str">
        <x:v>OPEN</x:v>
      </x:c>
      <x:c r="J30" s="26" t="str">
        <x:v>2026-07-01</x:v>
      </x:c>
      <x:c r="K30" s="26" t="str">
        <x:v>2026-07-08</x:v>
      </x:c>
      <x:c r="L30" s="26"/>
      <x:c r="M30" s="26" t="str">
        <x:v>Control verificable y evidencia ligada a R-PRD-006.</x:v>
      </x:c>
      <x:c r="N30" s="26" t="str">
        <x:v>02, 06, 07, 08, 12, 13, 16, 31; Roadmap/Sprint Plan, tracking y acceptance matrices v0.3–v0.6</x:v>
      </x:c>
      <x:c r="O30" s="26" t="str">
        <x:v>No iniciada</x:v>
      </x:c>
      <x:c r="P30" s="90" t="n">
        <x:v>0</x:v>
      </x:c>
      <x:c r="Q30" s="26" t="str">
        <x:v>No ejecutar cierre sin evidencia.</x:v>
      </x:c>
    </x:row>
    <x:row r="31" ht="30" customHeight="1">
      <x:c r="A31" s="26" t="str">
        <x:v>TA-PRD-007</x:v>
      </x:c>
      <x:c r="B31" s="26" t="str">
        <x:v>R-PRD-007</x:v>
      </x:c>
      <x:c r="C31" s="26" t="str">
        <x:v>Production &amp; Schedule</x:v>
      </x:c>
      <x:c r="D31" s="26" t="str">
        <x:v>Reducir riesgo: Trabajo completado carece de logs, capturas o resultados</x:v>
      </x:c>
      <x:c r="E31" s="26" t="str">
        <x:v>Re-secuenciar por dependencias, reducir alcance no contractual y proteger H6.</x:v>
      </x:c>
      <x:c r="F31" s="26" t="str">
        <x:v>Production</x:v>
      </x:c>
      <x:c r="G31" s="26" t="str">
        <x:v>Project Owner</x:v>
      </x:c>
      <x:c r="H31" s="26" t="str">
        <x:v>P1</x:v>
      </x:c>
      <x:c r="I31" s="26" t="str">
        <x:v>OPEN</x:v>
      </x:c>
      <x:c r="J31" s="26" t="str">
        <x:v>2026-07-01</x:v>
      </x:c>
      <x:c r="K31" s="26" t="str">
        <x:v>2026-07-31</x:v>
      </x:c>
      <x:c r="L31" s="26"/>
      <x:c r="M31" s="26" t="str">
        <x:v>Control verificable y evidencia ligada a R-PRD-007.</x:v>
      </x:c>
      <x:c r="N31" s="26" t="str">
        <x:v>02, 06, 07, 08, 12, 13, 16, 31; Roadmap/Sprint Plan, tracking y acceptance matrices v0.3–v0.6</x:v>
      </x:c>
      <x:c r="O31" s="26" t="str">
        <x:v>No iniciada</x:v>
      </x:c>
      <x:c r="P31" s="90" t="n">
        <x:v>0</x:v>
      </x:c>
      <x:c r="Q31" s="26" t="str">
        <x:v>No ejecutar cierre sin evidencia.</x:v>
      </x:c>
    </x:row>
    <x:row r="32" ht="30" customHeight="1">
      <x:c r="A32" s="26" t="str">
        <x:v>TA-PRD-008</x:v>
      </x:c>
      <x:c r="B32" s="26" t="str">
        <x:v>R-PRD-008</x:v>
      </x:c>
      <x:c r="C32" s="26" t="str">
        <x:v>Production &amp; Schedule</x:v>
      </x:c>
      <x:c r="D32" s="26" t="str">
        <x:v>Reducir riesgo: H6 se desplaza sin decisión explícita de alcance</x:v>
      </x:c>
      <x:c r="E32" s="26" t="str">
        <x:v>Re-secuenciar por dependencias, reducir alcance no contractual y proteger H6.</x:v>
      </x:c>
      <x:c r="F32" s="26" t="str">
        <x:v>Production</x:v>
      </x:c>
      <x:c r="G32" s="26" t="str">
        <x:v>Project Owner</x:v>
      </x:c>
      <x:c r="H32" s="26" t="str">
        <x:v>P1</x:v>
      </x:c>
      <x:c r="I32" s="26" t="str">
        <x:v>OPEN</x:v>
      </x:c>
      <x:c r="J32" s="26" t="str">
        <x:v>2026-07-01</x:v>
      </x:c>
      <x:c r="K32" s="26" t="str">
        <x:v>2026-07-31</x:v>
      </x:c>
      <x:c r="L32" s="26"/>
      <x:c r="M32" s="26" t="str">
        <x:v>Control verificable y evidencia ligada a R-PRD-008.</x:v>
      </x:c>
      <x:c r="N32" s="26" t="str">
        <x:v>02, 06, 07, 08, 12, 13, 16, 31; Roadmap/Sprint Plan, tracking y acceptance matrices v0.3–v0.6</x:v>
      </x:c>
      <x:c r="O32" s="26" t="str">
        <x:v>No iniciada</x:v>
      </x:c>
      <x:c r="P32" s="90" t="n">
        <x:v>0</x:v>
      </x:c>
      <x:c r="Q32" s="26" t="str">
        <x:v>No ejecutar cierre sin evidencia.</x:v>
      </x:c>
    </x:row>
    <x:row r="33" ht="30" customHeight="1">
      <x:c r="A33" s="26" t="str">
        <x:v>TA-PRD-009</x:v>
      </x:c>
      <x:c r="B33" s="26" t="str">
        <x:v>R-PRD-009</x:v>
      </x:c>
      <x:c r="C33" s="26" t="str">
        <x:v>Production &amp; Schedule</x:v>
      </x:c>
      <x:c r="D33" s="26" t="str">
        <x:v>Reducir riesgo: Se fija fecha externa antes de validar build y Store</x:v>
      </x:c>
      <x:c r="E33" s="26" t="str">
        <x:v>Re-secuenciar por dependencias, reducir alcance no contractual y proteger H6.</x:v>
      </x:c>
      <x:c r="F33" s="26" t="str">
        <x:v>Production</x:v>
      </x:c>
      <x:c r="G33" s="26" t="str">
        <x:v>Project Owner</x:v>
      </x:c>
      <x:c r="H33" s="26" t="str">
        <x:v>P2</x:v>
      </x:c>
      <x:c r="I33" s="26" t="str">
        <x:v>OPEN</x:v>
      </x:c>
      <x:c r="J33" s="26" t="str">
        <x:v>2026-07-01</x:v>
      </x:c>
      <x:c r="K33" s="26" t="str">
        <x:v>2026-07-08</x:v>
      </x:c>
      <x:c r="L33" s="26"/>
      <x:c r="M33" s="26" t="str">
        <x:v>Control verificable y evidencia ligada a R-PRD-009.</x:v>
      </x:c>
      <x:c r="N33" s="26" t="str">
        <x:v>02, 06, 07, 08, 12, 13, 16, 31; Roadmap/Sprint Plan, tracking y acceptance matrices v0.3–v0.6</x:v>
      </x:c>
      <x:c r="O33" s="26" t="str">
        <x:v>No iniciada</x:v>
      </x:c>
      <x:c r="P33" s="90" t="n">
        <x:v>0</x:v>
      </x:c>
      <x:c r="Q33" s="26" t="str">
        <x:v>No ejecutar cierre sin evidencia.</x:v>
      </x:c>
    </x:row>
    <x:row r="34" ht="30" customHeight="1">
      <x:c r="A34" s="26" t="str">
        <x:v>TA-PRD-010</x:v>
      </x:c>
      <x:c r="B34" s="26" t="str">
        <x:v>R-PRD-010</x:v>
      </x:c>
      <x:c r="C34" s="26" t="str">
        <x:v>Production &amp; Schedule</x:v>
      </x:c>
      <x:c r="D34" s="26" t="str">
        <x:v>Reducir riesgo: Sprints/documentos quedan abiertos indefinidamente</x:v>
      </x:c>
      <x:c r="E34" s="26" t="str">
        <x:v>Re-secuenciar por dependencias, reducir alcance no contractual y proteger H6.</x:v>
      </x:c>
      <x:c r="F34" s="26" t="str">
        <x:v>Production</x:v>
      </x:c>
      <x:c r="G34" s="26" t="str">
        <x:v>Project Owner</x:v>
      </x:c>
      <x:c r="H34" s="26" t="str">
        <x:v>P2</x:v>
      </x:c>
      <x:c r="I34" s="26" t="str">
        <x:v>OPEN</x:v>
      </x:c>
      <x:c r="J34" s="26" t="str">
        <x:v>2026-07-01</x:v>
      </x:c>
      <x:c r="K34" s="26" t="str">
        <x:v>2026-07-31</x:v>
      </x:c>
      <x:c r="L34" s="26"/>
      <x:c r="M34" s="26" t="str">
        <x:v>Control verificable y evidencia ligada a R-PRD-010.</x:v>
      </x:c>
      <x:c r="N34" s="26" t="str">
        <x:v>02, 06, 07, 08, 12, 13, 16, 31; Roadmap/Sprint Plan, tracking y acceptance matrices v0.3–v0.6</x:v>
      </x:c>
      <x:c r="O34" s="26" t="str">
        <x:v>No iniciada</x:v>
      </x:c>
      <x:c r="P34" s="90" t="n">
        <x:v>0</x:v>
      </x:c>
      <x:c r="Q34" s="26" t="str">
        <x:v>No ejecutar cierre sin evidencia.</x:v>
      </x:c>
    </x:row>
    <x:row r="35" ht="30" customHeight="1">
      <x:c r="A35" s="26" t="str">
        <x:v>TA-TEC-001</x:v>
      </x:c>
      <x:c r="B35" s="26" t="str">
        <x:v>R-TEC-001</x:v>
      </x:c>
      <x:c r="C35" s="26" t="str">
        <x:v>Architecture &amp; Toolchain</x:v>
      </x:c>
      <x:c r="D35" s="26" t="str">
        <x:v>Reducir riesgo: Upgrade de Unity cambia comportamiento o rompe build</x:v>
      </x:c>
      <x:c r="E35" s="26" t="str">
        <x:v>Aislar cambio, reproducir en entorno limpio, fijar versión y revertir si rompe gate.</x:v>
      </x:c>
      <x:c r="F35" s="26" t="str">
        <x:v>Engineering</x:v>
      </x:c>
      <x:c r="G35" s="26" t="str">
        <x:v>Build / Project Owner</x:v>
      </x:c>
      <x:c r="H35" s="26" t="str">
        <x:v>P1</x:v>
      </x:c>
      <x:c r="I35" s="26" t="str">
        <x:v>OPEN</x:v>
      </x:c>
      <x:c r="J35" s="26" t="str">
        <x:v>2026-07-01</x:v>
      </x:c>
      <x:c r="K35" s="26" t="str">
        <x:v>2026-07-08</x:v>
      </x:c>
      <x:c r="L35" s="26"/>
      <x:c r="M35" s="26" t="str">
        <x:v>Control verificable y evidencia ligada a R-TEC-001.</x:v>
      </x:c>
      <x:c r="N35" s="26" t="str">
        <x:v>03, 09, 10, 11, 13, 27, 30, 31; TDD, setup, coding/build guides, ADR y build records</x:v>
      </x:c>
      <x:c r="O35" s="26" t="str">
        <x:v>No iniciada</x:v>
      </x:c>
      <x:c r="P35" s="90" t="n">
        <x:v>0</x:v>
      </x:c>
      <x:c r="Q35" s="26" t="str">
        <x:v>No ejecutar cierre sin evidencia.</x:v>
      </x:c>
    </x:row>
    <x:row r="36" ht="30" customHeight="1">
      <x:c r="A36" s="26" t="str">
        <x:v>TA-TEC-002</x:v>
      </x:c>
      <x:c r="B36" s="26" t="str">
        <x:v>R-TEC-002</x:v>
      </x:c>
      <x:c r="C36" s="26" t="str">
        <x:v>Architecture &amp; Toolchain</x:v>
      </x:c>
      <x:c r="D36" s="26" t="str">
        <x:v>Reducir riesgo: manifest/lock divergen entre entornos</x:v>
      </x:c>
      <x:c r="E36" s="26" t="str">
        <x:v>Aislar cambio, reproducir en entorno limpio, fijar versión y revertir si rompe gate.</x:v>
      </x:c>
      <x:c r="F36" s="26" t="str">
        <x:v>Engineering</x:v>
      </x:c>
      <x:c r="G36" s="26" t="str">
        <x:v>Build / Project Owner</x:v>
      </x:c>
      <x:c r="H36" s="26" t="str">
        <x:v>P1</x:v>
      </x:c>
      <x:c r="I36" s="26" t="str">
        <x:v>OPEN</x:v>
      </x:c>
      <x:c r="J36" s="26" t="str">
        <x:v>2026-07-01</x:v>
      </x:c>
      <x:c r="K36" s="26" t="str">
        <x:v>2026-07-08</x:v>
      </x:c>
      <x:c r="L36" s="26"/>
      <x:c r="M36" s="26" t="str">
        <x:v>Control verificable y evidencia ligada a R-TEC-002.</x:v>
      </x:c>
      <x:c r="N36" s="26" t="str">
        <x:v>03, 09, 10, 11, 13, 27, 30, 31; TDD, setup, coding/build guides, ADR y build records</x:v>
      </x:c>
      <x:c r="O36" s="26" t="str">
        <x:v>No iniciada</x:v>
      </x:c>
      <x:c r="P36" s="90" t="n">
        <x:v>0</x:v>
      </x:c>
      <x:c r="Q36" s="26" t="str">
        <x:v>No ejecutar cierre sin evidencia.</x:v>
      </x:c>
    </x:row>
    <x:row r="37" ht="30" customHeight="1">
      <x:c r="A37" s="26" t="str">
        <x:v>TA-TEC-003</x:v>
      </x:c>
      <x:c r="B37" s="26" t="str">
        <x:v>R-TEC-003</x:v>
      </x:c>
      <x:c r="C37" s="26" t="str">
        <x:v>Architecture &amp; Toolchain</x:v>
      </x:c>
      <x:c r="D37" s="26" t="str">
        <x:v>Reducir riesgo: Rama principal contiene estado no compilable</x:v>
      </x:c>
      <x:c r="E37" s="26" t="str">
        <x:v>Aislar cambio, reproducir en entorno limpio, fijar versión y revertir si rompe gate.</x:v>
      </x:c>
      <x:c r="F37" s="26" t="str">
        <x:v>Engineering</x:v>
      </x:c>
      <x:c r="G37" s="26" t="str">
        <x:v>Build / Project Owner</x:v>
      </x:c>
      <x:c r="H37" s="26" t="str">
        <x:v>P1</x:v>
      </x:c>
      <x:c r="I37" s="26" t="str">
        <x:v>OPEN</x:v>
      </x:c>
      <x:c r="J37" s="26" t="str">
        <x:v>2026-07-01</x:v>
      </x:c>
      <x:c r="K37" s="26" t="str">
        <x:v>2026-07-08</x:v>
      </x:c>
      <x:c r="L37" s="26"/>
      <x:c r="M37" s="26" t="str">
        <x:v>Control verificable y evidencia ligada a R-TEC-003.</x:v>
      </x:c>
      <x:c r="N37" s="26" t="str">
        <x:v>03, 09, 10, 11, 13, 27, 30, 31; TDD, setup, coding/build guides, ADR y build records</x:v>
      </x:c>
      <x:c r="O37" s="26" t="str">
        <x:v>No iniciada</x:v>
      </x:c>
      <x:c r="P37" s="90" t="n">
        <x:v>0</x:v>
      </x:c>
      <x:c r="Q37" s="26" t="str">
        <x:v>No ejecutar cierre sin evidencia.</x:v>
      </x:c>
    </x:row>
    <x:row r="38" ht="30" customHeight="1">
      <x:c r="A38" s="26" t="str">
        <x:v>TA-TEC-004</x:v>
      </x:c>
      <x:c r="B38" s="26" t="str">
        <x:v>R-TEC-004</x:v>
      </x:c>
      <x:c r="C38" s="26" t="str">
        <x:v>Architecture &amp; Toolchain</x:v>
      </x:c>
      <x:c r="D38" s="26" t="str">
        <x:v>Reducir riesgo: Servicios dependen de nombres/referencias frágiles</x:v>
      </x:c>
      <x:c r="E38" s="26" t="str">
        <x:v>Aislar cambio, reproducir en entorno limpio, fijar versión y revertir si rompe gate.</x:v>
      </x:c>
      <x:c r="F38" s="26" t="str">
        <x:v>Engineering</x:v>
      </x:c>
      <x:c r="G38" s="26" t="str">
        <x:v>Build / Project Owner</x:v>
      </x:c>
      <x:c r="H38" s="26" t="str">
        <x:v>P1</x:v>
      </x:c>
      <x:c r="I38" s="26" t="str">
        <x:v>OPEN</x:v>
      </x:c>
      <x:c r="J38" s="26" t="str">
        <x:v>2026-07-01</x:v>
      </x:c>
      <x:c r="K38" s="26" t="str">
        <x:v>2026-07-08</x:v>
      </x:c>
      <x:c r="L38" s="26"/>
      <x:c r="M38" s="26" t="str">
        <x:v>Control verificable y evidencia ligada a R-TEC-004.</x:v>
      </x:c>
      <x:c r="N38" s="26" t="str">
        <x:v>03, 09, 10, 11, 13, 27, 30, 31; TDD, setup, coding/build guides, ADR y build records</x:v>
      </x:c>
      <x:c r="O38" s="26" t="str">
        <x:v>No iniciada</x:v>
      </x:c>
      <x:c r="P38" s="90" t="n">
        <x:v>0</x:v>
      </x:c>
      <x:c r="Q38" s="26" t="str">
        <x:v>No ejecutar cierre sin evidencia.</x:v>
      </x:c>
    </x:row>
    <x:row r="39" ht="30" customHeight="1">
      <x:c r="A39" s="26" t="str">
        <x:v>TA-TEC-005</x:v>
      </x:c>
      <x:c r="B39" s="26" t="str">
        <x:v>R-TEC-005</x:v>
      </x:c>
      <x:c r="C39" s="26" t="str">
        <x:v>Architecture &amp; Toolchain</x:v>
      </x:c>
      <x:c r="D39" s="26" t="str">
        <x:v>Reducir riesgo: Función pasa en Editor y falla en Player</x:v>
      </x:c>
      <x:c r="E39" s="26" t="str">
        <x:v>Aislar cambio, reproducir en entorno limpio, fijar versión y revertir si rompe gate.</x:v>
      </x:c>
      <x:c r="F39" s="26" t="str">
        <x:v>Engineering</x:v>
      </x:c>
      <x:c r="G39" s="26" t="str">
        <x:v>Build / Project Owner</x:v>
      </x:c>
      <x:c r="H39" s="26" t="str">
        <x:v>P0</x:v>
      </x:c>
      <x:c r="I39" s="26" t="str">
        <x:v>OPEN</x:v>
      </x:c>
      <x:c r="J39" s="26" t="str">
        <x:v>2026-07-01</x:v>
      </x:c>
      <x:c r="K39" s="26" t="str">
        <x:v>2026-07-08</x:v>
      </x:c>
      <x:c r="L39" s="26"/>
      <x:c r="M39" s="26" t="str">
        <x:v>Control verificable y evidencia ligada a R-TEC-005.</x:v>
      </x:c>
      <x:c r="N39" s="26" t="str">
        <x:v>03, 09, 10, 11, 13, 27, 30, 31; TDD, setup, coding/build guides, ADR y build records</x:v>
      </x:c>
      <x:c r="O39" s="26" t="str">
        <x:v>No iniciada</x:v>
      </x:c>
      <x:c r="P39" s="90" t="n">
        <x:v>0</x:v>
      </x:c>
      <x:c r="Q39" s="26" t="str">
        <x:v>No ejecutar cierre sin evidencia.</x:v>
      </x:c>
    </x:row>
    <x:row r="40" ht="30" customHeight="1">
      <x:c r="A40" s="26" t="str">
        <x:v>TA-TEC-006</x:v>
      </x:c>
      <x:c r="B40" s="26" t="str">
        <x:v>R-TEC-006</x:v>
      </x:c>
      <x:c r="C40" s="26" t="str">
        <x:v>Architecture &amp; Toolchain</x:v>
      </x:c>
      <x:c r="D40" s="26" t="str">
        <x:v>Reducir riesgo: StoreInitial o escenas requeridas quedan fuera del build</x:v>
      </x:c>
      <x:c r="E40" s="26" t="str">
        <x:v>Aislar cambio, reproducir en entorno limpio, fijar versión y revertir si rompe gate.</x:v>
      </x:c>
      <x:c r="F40" s="26" t="str">
        <x:v>Engineering</x:v>
      </x:c>
      <x:c r="G40" s="26" t="str">
        <x:v>Build / Project Owner</x:v>
      </x:c>
      <x:c r="H40" s="26" t="str">
        <x:v>P0</x:v>
      </x:c>
      <x:c r="I40" s="26" t="str">
        <x:v>OPEN</x:v>
      </x:c>
      <x:c r="J40" s="26" t="str">
        <x:v>2026-07-01</x:v>
      </x:c>
      <x:c r="K40" s="26" t="str">
        <x:v>2026-07-08</x:v>
      </x:c>
      <x:c r="L40" s="26"/>
      <x:c r="M40" s="26" t="str">
        <x:v>Control verificable y evidencia ligada a R-TEC-006.</x:v>
      </x:c>
      <x:c r="N40" s="26" t="str">
        <x:v>03, 09, 10, 11, 13, 27, 30, 31; TDD, setup, coding/build guides, ADR y build records</x:v>
      </x:c>
      <x:c r="O40" s="26" t="str">
        <x:v>No iniciada</x:v>
      </x:c>
      <x:c r="P40" s="90" t="n">
        <x:v>0</x:v>
      </x:c>
      <x:c r="Q40" s="26" t="str">
        <x:v>No ejecutar cierre sin evidencia.</x:v>
      </x:c>
    </x:row>
    <x:row r="41" ht="30" customHeight="1">
      <x:c r="A41" s="26" t="str">
        <x:v>TA-TEC-007</x:v>
      </x:c>
      <x:c r="B41" s="26" t="str">
        <x:v>R-TEC-007</x:v>
      </x:c>
      <x:c r="C41" s="26" t="str">
        <x:v>Architecture &amp; Toolchain</x:v>
      </x:c>
      <x:c r="D41" s="26" t="str">
        <x:v>Reducir riesgo: ProjectSettings difieren de la guía o baseline</x:v>
      </x:c>
      <x:c r="E41" s="26" t="str">
        <x:v>Aislar cambio, reproducir en entorno limpio, fijar versión y revertir si rompe gate.</x:v>
      </x:c>
      <x:c r="F41" s="26" t="str">
        <x:v>Engineering</x:v>
      </x:c>
      <x:c r="G41" s="26" t="str">
        <x:v>Build / Project Owner</x:v>
      </x:c>
      <x:c r="H41" s="26" t="str">
        <x:v>P1</x:v>
      </x:c>
      <x:c r="I41" s="26" t="str">
        <x:v>OPEN</x:v>
      </x:c>
      <x:c r="J41" s="26" t="str">
        <x:v>2026-07-01</x:v>
      </x:c>
      <x:c r="K41" s="26" t="str">
        <x:v>2026-07-31</x:v>
      </x:c>
      <x:c r="L41" s="26"/>
      <x:c r="M41" s="26" t="str">
        <x:v>Control verificable y evidencia ligada a R-TEC-007.</x:v>
      </x:c>
      <x:c r="N41" s="26" t="str">
        <x:v>03, 09, 10, 11, 13, 27, 30, 31; TDD, setup, coding/build guides, ADR y build records</x:v>
      </x:c>
      <x:c r="O41" s="26" t="str">
        <x:v>No iniciada</x:v>
      </x:c>
      <x:c r="P41" s="90" t="n">
        <x:v>0</x:v>
      </x:c>
      <x:c r="Q41" s="26" t="str">
        <x:v>No ejecutar cierre sin evidencia.</x:v>
      </x:c>
    </x:row>
    <x:row r="42" ht="30" customHeight="1">
      <x:c r="A42" s="26" t="str">
        <x:v>TA-TEC-008</x:v>
      </x:c>
      <x:c r="B42" s="26" t="str">
        <x:v>R-TEC-008</x:v>
      </x:c>
      <x:c r="C42" s="26" t="str">
        <x:v>Architecture &amp; Toolchain</x:v>
      </x:c>
      <x:c r="D42" s="26" t="str">
        <x:v>Reducir riesgo: Plugin introduce vulnerabilidad, incompatibilidad o licencia</x:v>
      </x:c>
      <x:c r="E42" s="26" t="str">
        <x:v>Aislar cambio, reproducir en entorno limpio, fijar versión y revertir si rompe gate.</x:v>
      </x:c>
      <x:c r="F42" s="26" t="str">
        <x:v>Engineering</x:v>
      </x:c>
      <x:c r="G42" s="26" t="str">
        <x:v>Build / Project Owner</x:v>
      </x:c>
      <x:c r="H42" s="26" t="str">
        <x:v>P2</x:v>
      </x:c>
      <x:c r="I42" s="26" t="str">
        <x:v>OPEN</x:v>
      </x:c>
      <x:c r="J42" s="26" t="str">
        <x:v>2026-07-01</x:v>
      </x:c>
      <x:c r="K42" s="26" t="str">
        <x:v>2026-07-31</x:v>
      </x:c>
      <x:c r="L42" s="26"/>
      <x:c r="M42" s="26" t="str">
        <x:v>Control verificable y evidencia ligada a R-TEC-008.</x:v>
      </x:c>
      <x:c r="N42" s="26" t="str">
        <x:v>03, 09, 10, 11, 13, 27, 30, 31; TDD, setup, coding/build guides, ADR y build records</x:v>
      </x:c>
      <x:c r="O42" s="26" t="str">
        <x:v>No iniciada</x:v>
      </x:c>
      <x:c r="P42" s="90" t="n">
        <x:v>0</x:v>
      </x:c>
      <x:c r="Q42" s="26" t="str">
        <x:v>No ejecutar cierre sin evidencia.</x:v>
      </x:c>
    </x:row>
    <x:row r="43" ht="30" customHeight="1">
      <x:c r="A43" s="26" t="str">
        <x:v>TA-TEC-009</x:v>
      </x:c>
      <x:c r="B43" s="26" t="str">
        <x:v>R-TEC-009</x:v>
      </x:c>
      <x:c r="C43" s="26" t="str">
        <x:v>Architecture &amp; Toolchain</x:v>
      </x:c>
      <x:c r="D43" s="26" t="str">
        <x:v>Reducir riesgo: Solución temporal se convierte en dependencia estructural</x:v>
      </x:c>
      <x:c r="E43" s="26" t="str">
        <x:v>Aislar cambio, reproducir en entorno limpio, fijar versión y revertir si rompe gate.</x:v>
      </x:c>
      <x:c r="F43" s="26" t="str">
        <x:v>Engineering</x:v>
      </x:c>
      <x:c r="G43" s="26" t="str">
        <x:v>Build / Project Owner</x:v>
      </x:c>
      <x:c r="H43" s="26" t="str">
        <x:v>P1</x:v>
      </x:c>
      <x:c r="I43" s="26" t="str">
        <x:v>OPEN</x:v>
      </x:c>
      <x:c r="J43" s="26" t="str">
        <x:v>2026-07-01</x:v>
      </x:c>
      <x:c r="K43" s="26" t="str">
        <x:v>2026-07-31</x:v>
      </x:c>
      <x:c r="L43" s="26"/>
      <x:c r="M43" s="26" t="str">
        <x:v>Control verificable y evidencia ligada a R-TEC-009.</x:v>
      </x:c>
      <x:c r="N43" s="26" t="str">
        <x:v>03, 09, 10, 11, 13, 27, 30, 31; TDD, setup, coding/build guides, ADR y build records</x:v>
      </x:c>
      <x:c r="O43" s="26" t="str">
        <x:v>No iniciada</x:v>
      </x:c>
      <x:c r="P43" s="90" t="n">
        <x:v>0</x:v>
      </x:c>
      <x:c r="Q43" s="26" t="str">
        <x:v>No ejecutar cierre sin evidencia.</x:v>
      </x:c>
    </x:row>
    <x:row r="44" ht="30" customHeight="1">
      <x:c r="A44" s="26" t="str">
        <x:v>TA-TEC-010</x:v>
      </x:c>
      <x:c r="B44" s="26" t="str">
        <x:v>R-TEC-010</x:v>
      </x:c>
      <x:c r="C44" s="26" t="str">
        <x:v>Architecture &amp; Toolchain</x:v>
      </x:c>
      <x:c r="D44" s="26" t="str">
        <x:v>Reducir riesgo: Build depende solo de estación local</x:v>
      </x:c>
      <x:c r="E44" s="26" t="str">
        <x:v>Aislar cambio, reproducir en entorno limpio, fijar versión y revertir si rompe gate.</x:v>
      </x:c>
      <x:c r="F44" s="26" t="str">
        <x:v>Engineering</x:v>
      </x:c>
      <x:c r="G44" s="26" t="str">
        <x:v>Build / Project Owner</x:v>
      </x:c>
      <x:c r="H44" s="26" t="str">
        <x:v>P1</x:v>
      </x:c>
      <x:c r="I44" s="26" t="str">
        <x:v>OPEN</x:v>
      </x:c>
      <x:c r="J44" s="26" t="str">
        <x:v>2026-07-01</x:v>
      </x:c>
      <x:c r="K44" s="26" t="str">
        <x:v>2026-07-08</x:v>
      </x:c>
      <x:c r="L44" s="26"/>
      <x:c r="M44" s="26" t="str">
        <x:v>Control verificable y evidencia ligada a R-TEC-010.</x:v>
      </x:c>
      <x:c r="N44" s="26" t="str">
        <x:v>03, 09, 10, 11, 13, 27, 30, 31; TDD, setup, coding/build guides, ADR y build records</x:v>
      </x:c>
      <x:c r="O44" s="26" t="str">
        <x:v>No iniciada</x:v>
      </x:c>
      <x:c r="P44" s="90" t="n">
        <x:v>0</x:v>
      </x:c>
      <x:c r="Q44" s="26" t="str">
        <x:v>No ejecutar cierre sin evidencia.</x:v>
      </x:c>
    </x:row>
    <x:row r="45" ht="30" customHeight="1">
      <x:c r="A45" s="26" t="str">
        <x:v>TA-TEC-011</x:v>
      </x:c>
      <x:c r="B45" s="26" t="str">
        <x:v>R-TEC-011</x:v>
      </x:c>
      <x:c r="C45" s="26" t="str">
        <x:v>Architecture &amp; Toolchain</x:v>
      </x:c>
      <x:c r="D45" s="26" t="str">
        <x:v>Reducir riesgo: Reimport masivo cambia resultados o GUID</x:v>
      </x:c>
      <x:c r="E45" s="26" t="str">
        <x:v>Aislar cambio, reproducir en entorno limpio, fijar versión y revertir si rompe gate.</x:v>
      </x:c>
      <x:c r="F45" s="26" t="str">
        <x:v>Engineering</x:v>
      </x:c>
      <x:c r="G45" s="26" t="str">
        <x:v>Build / Project Owner</x:v>
      </x:c>
      <x:c r="H45" s="26" t="str">
        <x:v>P1</x:v>
      </x:c>
      <x:c r="I45" s="26" t="str">
        <x:v>OPEN</x:v>
      </x:c>
      <x:c r="J45" s="26" t="str">
        <x:v>2026-07-01</x:v>
      </x:c>
      <x:c r="K45" s="26" t="str">
        <x:v>2026-07-08</x:v>
      </x:c>
      <x:c r="L45" s="26"/>
      <x:c r="M45" s="26" t="str">
        <x:v>Control verificable y evidencia ligada a R-TEC-011.</x:v>
      </x:c>
      <x:c r="N45" s="26" t="str">
        <x:v>03, 09, 10, 11, 13, 27, 30, 31; TDD, setup, coding/build guides, ADR y build records</x:v>
      </x:c>
      <x:c r="O45" s="26" t="str">
        <x:v>No iniciada</x:v>
      </x:c>
      <x:c r="P45" s="90" t="n">
        <x:v>0</x:v>
      </x:c>
      <x:c r="Q45" s="26" t="str">
        <x:v>No ejecutar cierre sin evidencia.</x:v>
      </x:c>
    </x:row>
    <x:row r="46" ht="30" customHeight="1">
      <x:c r="A46" s="26" t="str">
        <x:v>TA-TEC-012</x:v>
      </x:c>
      <x:c r="B46" s="26" t="str">
        <x:v>R-TEC-012</x:v>
      </x:c>
      <x:c r="C46" s="26" t="str">
        <x:v>Architecture &amp; Toolchain</x:v>
      </x:c>
      <x:c r="D46" s="26" t="str">
        <x:v>Reducir riesgo: Trabajo largo diverge y provoca integración destructiva</x:v>
      </x:c>
      <x:c r="E46" s="26" t="str">
        <x:v>Aislar cambio, reproducir en entorno limpio, fijar versión y revertir si rompe gate.</x:v>
      </x:c>
      <x:c r="F46" s="26" t="str">
        <x:v>Engineering</x:v>
      </x:c>
      <x:c r="G46" s="26" t="str">
        <x:v>Build / Project Owner</x:v>
      </x:c>
      <x:c r="H46" s="26" t="str">
        <x:v>P1</x:v>
      </x:c>
      <x:c r="I46" s="26" t="str">
        <x:v>OPEN</x:v>
      </x:c>
      <x:c r="J46" s="26" t="str">
        <x:v>2026-07-01</x:v>
      </x:c>
      <x:c r="K46" s="26" t="str">
        <x:v>2026-07-31</x:v>
      </x:c>
      <x:c r="L46" s="26"/>
      <x:c r="M46" s="26" t="str">
        <x:v>Control verificable y evidencia ligada a R-TEC-012.</x:v>
      </x:c>
      <x:c r="N46" s="26" t="str">
        <x:v>03, 09, 10, 11, 13, 27, 30, 31; TDD, setup, coding/build guides, ADR y build records</x:v>
      </x:c>
      <x:c r="O46" s="26" t="str">
        <x:v>No iniciada</x:v>
      </x:c>
      <x:c r="P46" s="90" t="n">
        <x:v>0</x:v>
      </x:c>
      <x:c r="Q46" s="26" t="str">
        <x:v>No ejecutar cierre sin evidencia.</x:v>
      </x:c>
    </x:row>
    <x:row r="47" ht="30" customHeight="1">
      <x:c r="A47" s="26" t="str">
        <x:v>TA-DAT-001</x:v>
      </x:c>
      <x:c r="B47" s="26" t="str">
        <x:v>R-DAT-001</x:v>
      </x:c>
      <x:c r="C47" s="26" t="str">
        <x:v>Data, Save &amp; Integrity</x:v>
      </x:c>
      <x:c r="D47" s="26" t="str">
        <x:v>Reducir riesgo: Guardado primario y backup quedan inutilizables</x:v>
      </x:c>
      <x:c r="E47" s="26" t="str">
        <x:v>Añadir validación, migración, backup independiente y recovery probado.</x:v>
      </x:c>
      <x:c r="F47" s="26" t="str">
        <x:v>Engineering / Data</x:v>
      </x:c>
      <x:c r="G47" s="26" t="str">
        <x:v>QA</x:v>
      </x:c>
      <x:c r="H47" s="26" t="str">
        <x:v>P2</x:v>
      </x:c>
      <x:c r="I47" s="26" t="str">
        <x:v>OPEN</x:v>
      </x:c>
      <x:c r="J47" s="26" t="str">
        <x:v>2026-07-01</x:v>
      </x:c>
      <x:c r="K47" s="26" t="str">
        <x:v>2026-07-08</x:v>
      </x:c>
      <x:c r="L47" s="26"/>
      <x:c r="M47" s="26" t="str">
        <x:v>Control verificable y evidencia ligada a R-DAT-001.</x:v>
      </x:c>
      <x:c r="N47" s="26" t="str">
        <x:v>03, 04, 07, 08, 11, 25, 27, 31; Modelo de Datos, TDD, QA y Sprint 14 save/recovery</x:v>
      </x:c>
      <x:c r="O47" s="26" t="str">
        <x:v>No iniciada</x:v>
      </x:c>
      <x:c r="P47" s="90" t="n">
        <x:v>0</x:v>
      </x:c>
      <x:c r="Q47" s="26" t="str">
        <x:v>No ejecutar cierre sin evidencia.</x:v>
      </x:c>
    </x:row>
    <x:row r="48" ht="30" customHeight="1">
      <x:c r="A48" s="26" t="str">
        <x:v>TA-DAT-002</x:v>
      </x:c>
      <x:c r="B48" s="26" t="str">
        <x:v>R-DAT-002</x:v>
      </x:c>
      <x:c r="C48" s="26" t="str">
        <x:v>Data, Save &amp; Integrity</x:v>
      </x:c>
      <x:c r="D48" s="26" t="str">
        <x:v>Reducir riesgo: Corte durante escritura deja archivo parcial</x:v>
      </x:c>
      <x:c r="E48" s="26" t="str">
        <x:v>Añadir validación, migración, backup independiente y recovery probado.</x:v>
      </x:c>
      <x:c r="F48" s="26" t="str">
        <x:v>Engineering / Data</x:v>
      </x:c>
      <x:c r="G48" s="26" t="str">
        <x:v>QA</x:v>
      </x:c>
      <x:c r="H48" s="26" t="str">
        <x:v>P1</x:v>
      </x:c>
      <x:c r="I48" s="26" t="str">
        <x:v>OPEN</x:v>
      </x:c>
      <x:c r="J48" s="26" t="str">
        <x:v>2026-07-01</x:v>
      </x:c>
      <x:c r="K48" s="26" t="str">
        <x:v>2026-07-08</x:v>
      </x:c>
      <x:c r="L48" s="26"/>
      <x:c r="M48" s="26" t="str">
        <x:v>Control verificable y evidencia ligada a R-DAT-002.</x:v>
      </x:c>
      <x:c r="N48" s="26" t="str">
        <x:v>03, 04, 07, 08, 11, 25, 27, 31; Modelo de Datos, TDD, QA y Sprint 14 save/recovery</x:v>
      </x:c>
      <x:c r="O48" s="26" t="str">
        <x:v>No iniciada</x:v>
      </x:c>
      <x:c r="P48" s="90" t="n">
        <x:v>0</x:v>
      </x:c>
      <x:c r="Q48" s="26" t="str">
        <x:v>No ejecutar cierre sin evidencia.</x:v>
      </x:c>
    </x:row>
    <x:row r="49" ht="30" customHeight="1">
      <x:c r="A49" s="26" t="str">
        <x:v>TA-DAT-003</x:v>
      </x:c>
      <x:c r="B49" s="26" t="str">
        <x:v>R-DAT-003</x:v>
      </x:c>
      <x:c r="C49" s="26" t="str">
        <x:v>Data, Save &amp; Integrity</x:v>
      </x:c>
      <x:c r="D49" s="26" t="str">
        <x:v>Reducir riesgo: Backup válido se reemplaza por estado corrupto</x:v>
      </x:c>
      <x:c r="E49" s="26" t="str">
        <x:v>Añadir validación, migración, backup independiente y recovery probado.</x:v>
      </x:c>
      <x:c r="F49" s="26" t="str">
        <x:v>Engineering / Data</x:v>
      </x:c>
      <x:c r="G49" s="26" t="str">
        <x:v>QA</x:v>
      </x:c>
      <x:c r="H49" s="26" t="str">
        <x:v>P1</x:v>
      </x:c>
      <x:c r="I49" s="26" t="str">
        <x:v>OPEN</x:v>
      </x:c>
      <x:c r="J49" s="26" t="str">
        <x:v>2026-07-01</x:v>
      </x:c>
      <x:c r="K49" s="26" t="str">
        <x:v>2026-07-08</x:v>
      </x:c>
      <x:c r="L49" s="26"/>
      <x:c r="M49" s="26" t="str">
        <x:v>Control verificable y evidencia ligada a R-DAT-003.</x:v>
      </x:c>
      <x:c r="N49" s="26" t="str">
        <x:v>03, 04, 07, 08, 11, 25, 27, 31; Modelo de Datos, TDD, QA y Sprint 14 save/recovery</x:v>
      </x:c>
      <x:c r="O49" s="26" t="str">
        <x:v>No iniciada</x:v>
      </x:c>
      <x:c r="P49" s="90" t="n">
        <x:v>0</x:v>
      </x:c>
      <x:c r="Q49" s="26" t="str">
        <x:v>No ejecutar cierre sin evidencia.</x:v>
      </x:c>
    </x:row>
    <x:row r="50" ht="30" customHeight="1">
      <x:c r="A50" s="26" t="str">
        <x:v>TA-DAT-004</x:v>
      </x:c>
      <x:c r="B50" s="26" t="str">
        <x:v>R-DAT-004</x:v>
      </x:c>
      <x:c r="C50" s="26" t="str">
        <x:v>Data, Save &amp; Integrity</x:v>
      </x:c>
      <x:c r="D50" s="26" t="str">
        <x:v>Reducir riesgo: Nueva versión no migra saves anteriores</x:v>
      </x:c>
      <x:c r="E50" s="26" t="str">
        <x:v>Añadir validación, migración, backup independiente y recovery probado.</x:v>
      </x:c>
      <x:c r="F50" s="26" t="str">
        <x:v>Engineering / Data</x:v>
      </x:c>
      <x:c r="G50" s="26" t="str">
        <x:v>QA</x:v>
      </x:c>
      <x:c r="H50" s="26" t="str">
        <x:v>P1</x:v>
      </x:c>
      <x:c r="I50" s="26" t="str">
        <x:v>OPEN</x:v>
      </x:c>
      <x:c r="J50" s="26" t="str">
        <x:v>2026-07-01</x:v>
      </x:c>
      <x:c r="K50" s="26" t="str">
        <x:v>2026-07-31</x:v>
      </x:c>
      <x:c r="L50" s="26"/>
      <x:c r="M50" s="26" t="str">
        <x:v>Control verificable y evidencia ligada a R-DAT-004.</x:v>
      </x:c>
      <x:c r="N50" s="26" t="str">
        <x:v>03, 04, 07, 08, 11, 25, 27, 31; Modelo de Datos, TDD, QA y Sprint 14 save/recovery</x:v>
      </x:c>
      <x:c r="O50" s="26" t="str">
        <x:v>No iniciada</x:v>
      </x:c>
      <x:c r="P50" s="90" t="n">
        <x:v>0</x:v>
      </x:c>
      <x:c r="Q50" s="26" t="str">
        <x:v>No ejecutar cierre sin evidencia.</x:v>
      </x:c>
    </x:row>
    <x:row r="51" ht="30" customHeight="1">
      <x:c r="A51" s="26" t="str">
        <x:v>TA-DAT-005</x:v>
      </x:c>
      <x:c r="B51" s="26" t="str">
        <x:v>R-DAT-005</x:v>
      </x:c>
      <x:c r="C51" s="26" t="str">
        <x:v>Data, Save &amp; Integrity</x:v>
      </x:c>
      <x:c r="D51" s="26" t="str">
        <x:v>Reducir riesgo: Abrir save nuevo en build antigua destruye datos</x:v>
      </x:c>
      <x:c r="E51" s="26" t="str">
        <x:v>Añadir validación, migración, backup independiente y recovery probado.</x:v>
      </x:c>
      <x:c r="F51" s="26" t="str">
        <x:v>Engineering / Data</x:v>
      </x:c>
      <x:c r="G51" s="26" t="str">
        <x:v>QA</x:v>
      </x:c>
      <x:c r="H51" s="26" t="str">
        <x:v>P2</x:v>
      </x:c>
      <x:c r="I51" s="26" t="str">
        <x:v>OPEN</x:v>
      </x:c>
      <x:c r="J51" s="26" t="str">
        <x:v>2026-07-01</x:v>
      </x:c>
      <x:c r="K51" s="26" t="str">
        <x:v>2026-07-08</x:v>
      </x:c>
      <x:c r="L51" s="26"/>
      <x:c r="M51" s="26" t="str">
        <x:v>Control verificable y evidencia ligada a R-DAT-005.</x:v>
      </x:c>
      <x:c r="N51" s="26" t="str">
        <x:v>03, 04, 07, 08, 11, 25, 27, 31; Modelo de Datos, TDD, QA y Sprint 14 save/recovery</x:v>
      </x:c>
      <x:c r="O51" s="26" t="str">
        <x:v>No iniciada</x:v>
      </x:c>
      <x:c r="P51" s="90" t="n">
        <x:v>0</x:v>
      </x:c>
      <x:c r="Q51" s="26" t="str">
        <x:v>No ejecutar cierre sin evidencia.</x:v>
      </x:c>
    </x:row>
    <x:row r="52" ht="30" customHeight="1">
      <x:c r="A52" s="26" t="str">
        <x:v>TA-DAT-006</x:v>
      </x:c>
      <x:c r="B52" s="26" t="str">
        <x:v>R-DAT-006</x:v>
      </x:c>
      <x:c r="C52" s="26" t="str">
        <x:v>Data, Save &amp; Integrity</x:v>
      </x:c>
      <x:c r="D52" s="26" t="str">
        <x:v>Reducir riesgo: Una operación afecta al slot equivocado</x:v>
      </x:c>
      <x:c r="E52" s="26" t="str">
        <x:v>Añadir validación, migración, backup independiente y recovery probado.</x:v>
      </x:c>
      <x:c r="F52" s="26" t="str">
        <x:v>Engineering / Data</x:v>
      </x:c>
      <x:c r="G52" s="26" t="str">
        <x:v>QA</x:v>
      </x:c>
      <x:c r="H52" s="26" t="str">
        <x:v>P2</x:v>
      </x:c>
      <x:c r="I52" s="26" t="str">
        <x:v>OPEN</x:v>
      </x:c>
      <x:c r="J52" s="26" t="str">
        <x:v>2026-07-01</x:v>
      </x:c>
      <x:c r="K52" s="26" t="str">
        <x:v>2026-07-08</x:v>
      </x:c>
      <x:c r="L52" s="26"/>
      <x:c r="M52" s="26" t="str">
        <x:v>Control verificable y evidencia ligada a R-DAT-006.</x:v>
      </x:c>
      <x:c r="N52" s="26" t="str">
        <x:v>03, 04, 07, 08, 11, 25, 27, 31; Modelo de Datos, TDD, QA y Sprint 14 save/recovery</x:v>
      </x:c>
      <x:c r="O52" s="26" t="str">
        <x:v>No iniciada</x:v>
      </x:c>
      <x:c r="P52" s="90" t="n">
        <x:v>0</x:v>
      </x:c>
      <x:c r="Q52" s="26" t="str">
        <x:v>No ejecutar cierre sin evidencia.</x:v>
      </x:c>
    </x:row>
    <x:row r="53" ht="30" customHeight="1">
      <x:c r="A53" s="26" t="str">
        <x:v>TA-DAT-007</x:v>
      </x:c>
      <x:c r="B53" s="26" t="str">
        <x:v>R-DAT-007</x:v>
      </x:c>
      <x:c r="C53" s="26" t="str">
        <x:v>Data, Save &amp; Integrity</x:v>
      </x:c>
      <x:c r="D53" s="26" t="str">
        <x:v>Reducir riesgo: Preferencias globales se pierden o contaminan save</x:v>
      </x:c>
      <x:c r="E53" s="26" t="str">
        <x:v>Añadir validación, migración, backup independiente y recovery probado.</x:v>
      </x:c>
      <x:c r="F53" s="26" t="str">
        <x:v>Engineering / Data</x:v>
      </x:c>
      <x:c r="G53" s="26" t="str">
        <x:v>QA</x:v>
      </x:c>
      <x:c r="H53" s="26" t="str">
        <x:v>P2</x:v>
      </x:c>
      <x:c r="I53" s="26" t="str">
        <x:v>OPEN</x:v>
      </x:c>
      <x:c r="J53" s="26" t="str">
        <x:v>2026-07-01</x:v>
      </x:c>
      <x:c r="K53" s="26" t="str">
        <x:v>2026-07-31</x:v>
      </x:c>
      <x:c r="L53" s="26"/>
      <x:c r="M53" s="26" t="str">
        <x:v>Control verificable y evidencia ligada a R-DAT-007.</x:v>
      </x:c>
      <x:c r="N53" s="26" t="str">
        <x:v>03, 04, 07, 08, 11, 25, 27, 31; Modelo de Datos, TDD, QA y Sprint 14 save/recovery</x:v>
      </x:c>
      <x:c r="O53" s="26" t="str">
        <x:v>No iniciada</x:v>
      </x:c>
      <x:c r="P53" s="90" t="n">
        <x:v>0</x:v>
      </x:c>
      <x:c r="Q53" s="26" t="str">
        <x:v>No ejecutar cierre sin evidencia.</x:v>
      </x:c>
    </x:row>
    <x:row r="54" ht="30" customHeight="1">
      <x:c r="A54" s="26" t="str">
        <x:v>TA-DAT-008</x:v>
      </x:c>
      <x:c r="B54" s="26" t="str">
        <x:v>R-DAT-008</x:v>
      </x:c>
      <x:c r="C54" s="26" t="str">
        <x:v>Data, Save &amp; Integrity</x:v>
      </x:c>
      <x:c r="D54" s="26" t="str">
        <x:v>Reducir riesgo: IDs de contenido cambian sin migración</x:v>
      </x:c>
      <x:c r="E54" s="26" t="str">
        <x:v>Añadir validación, migración, backup independiente y recovery probado.</x:v>
      </x:c>
      <x:c r="F54" s="26" t="str">
        <x:v>Engineering / Data</x:v>
      </x:c>
      <x:c r="G54" s="26" t="str">
        <x:v>QA</x:v>
      </x:c>
      <x:c r="H54" s="26" t="str">
        <x:v>P1</x:v>
      </x:c>
      <x:c r="I54" s="26" t="str">
        <x:v>OPEN</x:v>
      </x:c>
      <x:c r="J54" s="26" t="str">
        <x:v>2026-07-01</x:v>
      </x:c>
      <x:c r="K54" s="26" t="str">
        <x:v>2026-07-31</x:v>
      </x:c>
      <x:c r="L54" s="26"/>
      <x:c r="M54" s="26" t="str">
        <x:v>Control verificable y evidencia ligada a R-DAT-008.</x:v>
      </x:c>
      <x:c r="N54" s="26" t="str">
        <x:v>03, 04, 07, 08, 11, 25, 27, 31; Modelo de Datos, TDD, QA y Sprint 14 save/recovery</x:v>
      </x:c>
      <x:c r="O54" s="26" t="str">
        <x:v>No iniciada</x:v>
      </x:c>
      <x:c r="P54" s="90" t="n">
        <x:v>0</x:v>
      </x:c>
      <x:c r="Q54" s="26" t="str">
        <x:v>No ejecutar cierre sin evidencia.</x:v>
      </x:c>
    </x:row>
    <x:row r="55" ht="30" customHeight="1">
      <x:c r="A55" s="26" t="str">
        <x:v>TA-DAT-009</x:v>
      </x:c>
      <x:c r="B55" s="26" t="str">
        <x:v>R-DAT-009</x:v>
      </x:c>
      <x:c r="C55" s="26" t="str">
        <x:v>Data, Save &amp; Integrity</x:v>
      </x:c>
      <x:c r="D55" s="26" t="str">
        <x:v>Reducir riesgo: Recovery ocurre sin informar pérdida potencial</x:v>
      </x:c>
      <x:c r="E55" s="26" t="str">
        <x:v>Añadir validación, migración, backup independiente y recovery probado.</x:v>
      </x:c>
      <x:c r="F55" s="26" t="str">
        <x:v>Engineering / Data</x:v>
      </x:c>
      <x:c r="G55" s="26" t="str">
        <x:v>QA</x:v>
      </x:c>
      <x:c r="H55" s="26" t="str">
        <x:v>P1</x:v>
      </x:c>
      <x:c r="I55" s="26" t="str">
        <x:v>OPEN</x:v>
      </x:c>
      <x:c r="J55" s="26" t="str">
        <x:v>2026-07-01</x:v>
      </x:c>
      <x:c r="K55" s="26" t="str">
        <x:v>2026-07-31</x:v>
      </x:c>
      <x:c r="L55" s="26"/>
      <x:c r="M55" s="26" t="str">
        <x:v>Control verificable y evidencia ligada a R-DAT-009.</x:v>
      </x:c>
      <x:c r="N55" s="26" t="str">
        <x:v>03, 04, 07, 08, 11, 25, 27, 31; Modelo de Datos, TDD, QA y Sprint 14 save/recovery</x:v>
      </x:c>
      <x:c r="O55" s="26" t="str">
        <x:v>No iniciada</x:v>
      </x:c>
      <x:c r="P55" s="90" t="n">
        <x:v>0</x:v>
      </x:c>
      <x:c r="Q55" s="26" t="str">
        <x:v>No ejecutar cierre sin evidencia.</x:v>
      </x:c>
    </x:row>
    <x:row r="56" ht="30" customHeight="1">
      <x:c r="A56" s="26" t="str">
        <x:v>TA-DAT-010</x:v>
      </x:c>
      <x:c r="B56" s="26" t="str">
        <x:v>R-DAT-010</x:v>
      </x:c>
      <x:c r="C56" s="26" t="str">
        <x:v>Data, Save &amp; Integrity</x:v>
      </x:c>
      <x:c r="D56" s="26" t="str">
        <x:v>Reducir riesgo: Backups existen pero nunca se restauran</x:v>
      </x:c>
      <x:c r="E56" s="26" t="str">
        <x:v>Añadir validación, migración, backup independiente y recovery probado.</x:v>
      </x:c>
      <x:c r="F56" s="26" t="str">
        <x:v>Engineering / Data</x:v>
      </x:c>
      <x:c r="G56" s="26" t="str">
        <x:v>QA</x:v>
      </x:c>
      <x:c r="H56" s="26" t="str">
        <x:v>P0</x:v>
      </x:c>
      <x:c r="I56" s="26" t="str">
        <x:v>OPEN</x:v>
      </x:c>
      <x:c r="J56" s="26" t="str">
        <x:v>2026-07-01</x:v>
      </x:c>
      <x:c r="K56" s="26" t="str">
        <x:v>2026-07-08</x:v>
      </x:c>
      <x:c r="L56" s="26"/>
      <x:c r="M56" s="26" t="str">
        <x:v>Control verificable y evidencia ligada a R-DAT-010.</x:v>
      </x:c>
      <x:c r="N56" s="26" t="str">
        <x:v>03, 04, 07, 08, 11, 25, 27, 31; Modelo de Datos, TDD, QA y Sprint 14 save/recovery</x:v>
      </x:c>
      <x:c r="O56" s="26" t="str">
        <x:v>No iniciada</x:v>
      </x:c>
      <x:c r="P56" s="90" t="n">
        <x:v>0</x:v>
      </x:c>
      <x:c r="Q56" s="26" t="str">
        <x:v>No ejecutar cierre sin evidencia.</x:v>
      </x:c>
    </x:row>
    <x:row r="57" ht="30" customHeight="1">
      <x:c r="A57" s="26" t="str">
        <x:v>TA-QUA-001</x:v>
      </x:c>
      <x:c r="B57" s="26" t="str">
        <x:v>R-QUA-001</x:v>
      </x:c>
      <x:c r="C57" s="26" t="str">
        <x:v>Quality &amp; Acceptance</x:v>
      </x:c>
      <x:c r="D57" s="26" t="str">
        <x:v>Reducir riesgo: Defecto bloqueante llega a candidato</x:v>
      </x:c>
      <x:c r="E57" s="26" t="str">
        <x:v>Aumentar cobertura, reproducir, fijar owner y bloquear gate según severidad.</x:v>
      </x:c>
      <x:c r="F57" s="26" t="str">
        <x:v>QA</x:v>
      </x:c>
      <x:c r="G57" s="26" t="str">
        <x:v>Production</x:v>
      </x:c>
      <x:c r="H57" s="26" t="str">
        <x:v>P1</x:v>
      </x:c>
      <x:c r="I57" s="26" t="str">
        <x:v>OPEN</x:v>
      </x:c>
      <x:c r="J57" s="26" t="str">
        <x:v>2026-07-01</x:v>
      </x:c>
      <x:c r="K57" s="26" t="str">
        <x:v>2026-07-08</x:v>
      </x:c>
      <x:c r="L57" s="26"/>
      <x:c r="M57" s="26" t="str">
        <x:v>Control verificable y evidencia ligada a R-QUA-001.</x:v>
      </x:c>
      <x:c r="N57" s="26" t="str">
        <x:v>02, 07, 08, 11, 16, 29, 30, 31; QA Plan/Matrix, validation checklists y execution records v0.3–v0.6</x:v>
      </x:c>
      <x:c r="O57" s="26" t="str">
        <x:v>No iniciada</x:v>
      </x:c>
      <x:c r="P57" s="90" t="n">
        <x:v>0</x:v>
      </x:c>
      <x:c r="Q57" s="26" t="str">
        <x:v>No ejecutar cierre sin evidencia.</x:v>
      </x:c>
    </x:row>
    <x:row r="58" ht="30" customHeight="1">
      <x:c r="A58" s="26" t="str">
        <x:v>TA-QUA-002</x:v>
      </x:c>
      <x:c r="B58" s="26" t="str">
        <x:v>R-QUA-002</x:v>
      </x:c>
      <x:c r="C58" s="26" t="str">
        <x:v>Quality &amp; Acceptance</x:v>
      </x:c>
      <x:c r="D58" s="26" t="str">
        <x:v>Reducir riesgo: Golden Path no se ejecuta de extremo a extremo</x:v>
      </x:c>
      <x:c r="E58" s="26" t="str">
        <x:v>Aumentar cobertura, reproducir, fijar owner y bloquear gate según severidad.</x:v>
      </x:c>
      <x:c r="F58" s="26" t="str">
        <x:v>QA</x:v>
      </x:c>
      <x:c r="G58" s="26" t="str">
        <x:v>Production</x:v>
      </x:c>
      <x:c r="H58" s="26" t="str">
        <x:v>P0</x:v>
      </x:c>
      <x:c r="I58" s="26" t="str">
        <x:v>OPEN</x:v>
      </x:c>
      <x:c r="J58" s="26" t="str">
        <x:v>2026-07-01</x:v>
      </x:c>
      <x:c r="K58" s="26" t="str">
        <x:v>2026-07-08</x:v>
      </x:c>
      <x:c r="L58" s="26"/>
      <x:c r="M58" s="26" t="str">
        <x:v>Control verificable y evidencia ligada a R-QUA-002.</x:v>
      </x:c>
      <x:c r="N58" s="26" t="str">
        <x:v>02, 07, 08, 11, 16, 29, 30, 31; QA Plan/Matrix, validation checklists y execution records v0.3–v0.6</x:v>
      </x:c>
      <x:c r="O58" s="26" t="str">
        <x:v>No iniciada</x:v>
      </x:c>
      <x:c r="P58" s="90" t="n">
        <x:v>0</x:v>
      </x:c>
      <x:c r="Q58" s="26" t="str">
        <x:v>No ejecutar cierre sin evidencia.</x:v>
      </x:c>
    </x:row>
    <x:row r="59" ht="30" customHeight="1">
      <x:c r="A59" s="26" t="str">
        <x:v>TA-QUA-003</x:v>
      </x:c>
      <x:c r="B59" s="26" t="str">
        <x:v>R-QUA-003</x:v>
      </x:c>
      <x:c r="C59" s="26" t="str">
        <x:v>Quality &amp; Acceptance</x:v>
      </x:c>
      <x:c r="D59" s="26" t="str">
        <x:v>Reducir riesgo: Capacidad cerrada no entra en regresión</x:v>
      </x:c>
      <x:c r="E59" s="26" t="str">
        <x:v>Aumentar cobertura, reproducir, fijar owner y bloquear gate según severidad.</x:v>
      </x:c>
      <x:c r="F59" s="26" t="str">
        <x:v>QA</x:v>
      </x:c>
      <x:c r="G59" s="26" t="str">
        <x:v>Production</x:v>
      </x:c>
      <x:c r="H59" s="26" t="str">
        <x:v>P1</x:v>
      </x:c>
      <x:c r="I59" s="26" t="str">
        <x:v>OPEN</x:v>
      </x:c>
      <x:c r="J59" s="26" t="str">
        <x:v>2026-07-01</x:v>
      </x:c>
      <x:c r="K59" s="26" t="str">
        <x:v>2026-07-08</x:v>
      </x:c>
      <x:c r="L59" s="26"/>
      <x:c r="M59" s="26" t="str">
        <x:v>Control verificable y evidencia ligada a R-QUA-003.</x:v>
      </x:c>
      <x:c r="N59" s="26" t="str">
        <x:v>02, 07, 08, 11, 16, 29, 30, 31; QA Plan/Matrix, validation checklists y execution records v0.3–v0.6</x:v>
      </x:c>
      <x:c r="O59" s="26" t="str">
        <x:v>No iniciada</x:v>
      </x:c>
      <x:c r="P59" s="90" t="n">
        <x:v>0</x:v>
      </x:c>
      <x:c r="Q59" s="26" t="str">
        <x:v>No ejecutar cierre sin evidencia.</x:v>
      </x:c>
    </x:row>
    <x:row r="60" ht="30" customHeight="1">
      <x:c r="A60" s="26" t="str">
        <x:v>TA-QUA-004</x:v>
      </x:c>
      <x:c r="B60" s="26" t="str">
        <x:v>R-QUA-004</x:v>
      </x:c>
      <x:c r="C60" s="26" t="str">
        <x:v>Quality &amp; Acceptance</x:v>
      </x:c>
      <x:c r="D60" s="26" t="str">
        <x:v>Reducir riesgo: Control se marca PASS sin evidencia verificable</x:v>
      </x:c>
      <x:c r="E60" s="26" t="str">
        <x:v>Aumentar cobertura, reproducir, fijar owner y bloquear gate según severidad.</x:v>
      </x:c>
      <x:c r="F60" s="26" t="str">
        <x:v>QA</x:v>
      </x:c>
      <x:c r="G60" s="26" t="str">
        <x:v>Production</x:v>
      </x:c>
      <x:c r="H60" s="26" t="str">
        <x:v>P1</x:v>
      </x:c>
      <x:c r="I60" s="26" t="str">
        <x:v>OPEN</x:v>
      </x:c>
      <x:c r="J60" s="26" t="str">
        <x:v>2026-07-01</x:v>
      </x:c>
      <x:c r="K60" s="26" t="str">
        <x:v>2026-07-08</x:v>
      </x:c>
      <x:c r="L60" s="26"/>
      <x:c r="M60" s="26" t="str">
        <x:v>Control verificable y evidencia ligada a R-QUA-004.</x:v>
      </x:c>
      <x:c r="N60" s="26" t="str">
        <x:v>02, 07, 08, 11, 16, 29, 30, 31; QA Plan/Matrix, validation checklists y execution records v0.3–v0.6</x:v>
      </x:c>
      <x:c r="O60" s="26" t="str">
        <x:v>No iniciada</x:v>
      </x:c>
      <x:c r="P60" s="90" t="n">
        <x:v>0</x:v>
      </x:c>
      <x:c r="Q60" s="26" t="str">
        <x:v>No ejecutar cierre sin evidencia.</x:v>
      </x:c>
    </x:row>
    <x:row r="61" ht="30" customHeight="1">
      <x:c r="A61" s="26" t="str">
        <x:v>TA-QUA-005</x:v>
      </x:c>
      <x:c r="B61" s="26" t="str">
        <x:v>R-QUA-005</x:v>
      </x:c>
      <x:c r="C61" s="26" t="str">
        <x:v>Quality &amp; Acceptance</x:v>
      </x:c>
      <x:c r="D61" s="26" t="str">
        <x:v>Reducir riesgo: QA usa entorno distinto al candidato</x:v>
      </x:c>
      <x:c r="E61" s="26" t="str">
        <x:v>Aumentar cobertura, reproducir, fijar owner y bloquear gate según severidad.</x:v>
      </x:c>
      <x:c r="F61" s="26" t="str">
        <x:v>QA</x:v>
      </x:c>
      <x:c r="G61" s="26" t="str">
        <x:v>Production</x:v>
      </x:c>
      <x:c r="H61" s="26" t="str">
        <x:v>P1</x:v>
      </x:c>
      <x:c r="I61" s="26" t="str">
        <x:v>OPEN</x:v>
      </x:c>
      <x:c r="J61" s="26" t="str">
        <x:v>2026-07-01</x:v>
      </x:c>
      <x:c r="K61" s="26" t="str">
        <x:v>2026-07-31</x:v>
      </x:c>
      <x:c r="L61" s="26"/>
      <x:c r="M61" s="26" t="str">
        <x:v>Control verificable y evidencia ligada a R-QUA-005.</x:v>
      </x:c>
      <x:c r="N61" s="26" t="str">
        <x:v>02, 07, 08, 11, 16, 29, 30, 31; QA Plan/Matrix, validation checklists y execution records v0.3–v0.6</x:v>
      </x:c>
      <x:c r="O61" s="26" t="str">
        <x:v>No iniciada</x:v>
      </x:c>
      <x:c r="P61" s="90" t="n">
        <x:v>0</x:v>
      </x:c>
      <x:c r="Q61" s="26" t="str">
        <x:v>No ejecutar cierre sin evidencia.</x:v>
      </x:c>
    </x:row>
    <x:row r="62" ht="30" customHeight="1">
      <x:c r="A62" s="26" t="str">
        <x:v>TA-QUA-006</x:v>
      </x:c>
      <x:c r="B62" s="26" t="str">
        <x:v>R-QUA-006</x:v>
      </x:c>
      <x:c r="C62" s="26" t="str">
        <x:v>Quality &amp; Acceptance</x:v>
      </x:c>
      <x:c r="D62" s="26" t="str">
        <x:v>Reducir riesgo: Solo tests previstos y no exploratorios</x:v>
      </x:c>
      <x:c r="E62" s="26" t="str">
        <x:v>Aumentar cobertura, reproducir, fijar owner y bloquear gate según severidad.</x:v>
      </x:c>
      <x:c r="F62" s="26" t="str">
        <x:v>QA</x:v>
      </x:c>
      <x:c r="G62" s="26" t="str">
        <x:v>Production</x:v>
      </x:c>
      <x:c r="H62" s="26" t="str">
        <x:v>P2</x:v>
      </x:c>
      <x:c r="I62" s="26" t="str">
        <x:v>OPEN</x:v>
      </x:c>
      <x:c r="J62" s="26" t="str">
        <x:v>2026-07-01</x:v>
      </x:c>
      <x:c r="K62" s="26" t="str">
        <x:v>2026-07-31</x:v>
      </x:c>
      <x:c r="L62" s="26"/>
      <x:c r="M62" s="26" t="str">
        <x:v>Control verificable y evidencia ligada a R-QUA-006.</x:v>
      </x:c>
      <x:c r="N62" s="26" t="str">
        <x:v>02, 07, 08, 11, 16, 29, 30, 31; QA Plan/Matrix, validation checklists y execution records v0.3–v0.6</x:v>
      </x:c>
      <x:c r="O62" s="26" t="str">
        <x:v>No iniciada</x:v>
      </x:c>
      <x:c r="P62" s="90" t="n">
        <x:v>0</x:v>
      </x:c>
      <x:c r="Q62" s="26" t="str">
        <x:v>No ejecutar cierre sin evidencia.</x:v>
      </x:c>
    </x:row>
    <x:row r="63" ht="30" customHeight="1">
      <x:c r="A63" s="26" t="str">
        <x:v>TA-QUA-007</x:v>
      </x:c>
      <x:c r="B63" s="26" t="str">
        <x:v>R-QUA-007</x:v>
      </x:c>
      <x:c r="C63" s="26" t="str">
        <x:v>Quality &amp; Acceptance</x:v>
      </x:c>
      <x:c r="D63" s="26" t="str">
        <x:v>Reducir riesgo: Fallo no reproducible se cierra prematuramente</x:v>
      </x:c>
      <x:c r="E63" s="26" t="str">
        <x:v>Aumentar cobertura, reproducir, fijar owner y bloquear gate según severidad.</x:v>
      </x:c>
      <x:c r="F63" s="26" t="str">
        <x:v>QA</x:v>
      </x:c>
      <x:c r="G63" s="26" t="str">
        <x:v>Production</x:v>
      </x:c>
      <x:c r="H63" s="26" t="str">
        <x:v>P1</x:v>
      </x:c>
      <x:c r="I63" s="26" t="str">
        <x:v>OPEN</x:v>
      </x:c>
      <x:c r="J63" s="26" t="str">
        <x:v>2026-07-01</x:v>
      </x:c>
      <x:c r="K63" s="26" t="str">
        <x:v>2026-07-31</x:v>
      </x:c>
      <x:c r="L63" s="26"/>
      <x:c r="M63" s="26" t="str">
        <x:v>Control verificable y evidencia ligada a R-QUA-007.</x:v>
      </x:c>
      <x:c r="N63" s="26" t="str">
        <x:v>02, 07, 08, 11, 16, 29, 30, 31; QA Plan/Matrix, validation checklists y execution records v0.3–v0.6</x:v>
      </x:c>
      <x:c r="O63" s="26" t="str">
        <x:v>No iniciada</x:v>
      </x:c>
      <x:c r="P63" s="90" t="n">
        <x:v>0</x:v>
      </x:c>
      <x:c r="Q63" s="26" t="str">
        <x:v>No ejecutar cierre sin evidencia.</x:v>
      </x:c>
    </x:row>
    <x:row r="64" ht="30" customHeight="1">
      <x:c r="A64" s="26" t="str">
        <x:v>TA-QUA-008</x:v>
      </x:c>
      <x:c r="B64" s="26" t="str">
        <x:v>R-QUA-008</x:v>
      </x:c>
      <x:c r="C64" s="26" t="str">
        <x:v>Quality &amp; Acceptance</x:v>
      </x:c>
      <x:c r="D64" s="26" t="str">
        <x:v>Reducir riesgo: Arte representativo no recibe aceptación formal</x:v>
      </x:c>
      <x:c r="E64" s="26" t="str">
        <x:v>Aumentar cobertura, reproducir, fijar owner y bloquear gate según severidad.</x:v>
      </x:c>
      <x:c r="F64" s="26" t="str">
        <x:v>QA</x:v>
      </x:c>
      <x:c r="G64" s="26" t="str">
        <x:v>Production</x:v>
      </x:c>
      <x:c r="H64" s="26" t="str">
        <x:v>P1</x:v>
      </x:c>
      <x:c r="I64" s="26" t="str">
        <x:v>OPEN</x:v>
      </x:c>
      <x:c r="J64" s="26" t="str">
        <x:v>2026-07-01</x:v>
      </x:c>
      <x:c r="K64" s="26" t="str">
        <x:v>2026-07-08</x:v>
      </x:c>
      <x:c r="L64" s="26"/>
      <x:c r="M64" s="26" t="str">
        <x:v>Control verificable y evidencia ligada a R-QUA-008.</x:v>
      </x:c>
      <x:c r="N64" s="26" t="str">
        <x:v>02, 07, 08, 11, 16, 29, 30, 31; QA Plan/Matrix, validation checklists y execution records v0.3–v0.6</x:v>
      </x:c>
      <x:c r="O64" s="26" t="str">
        <x:v>No iniciada</x:v>
      </x:c>
      <x:c r="P64" s="90" t="n">
        <x:v>0</x:v>
      </x:c>
      <x:c r="Q64" s="26" t="str">
        <x:v>No ejecutar cierre sin evidencia.</x:v>
      </x:c>
    </x:row>
    <x:row r="65" ht="30" customHeight="1">
      <x:c r="A65" s="26" t="str">
        <x:v>TA-QUA-009</x:v>
      </x:c>
      <x:c r="B65" s="26" t="str">
        <x:v>R-QUA-009</x:v>
      </x:c>
      <x:c r="C65" s="26" t="str">
        <x:v>Quality &amp; Acceptance</x:v>
      </x:c>
      <x:c r="D65" s="26" t="str">
        <x:v>Reducir riesgo: No se prueba hardware objetivo</x:v>
      </x:c>
      <x:c r="E65" s="26" t="str">
        <x:v>Aumentar cobertura, reproducir, fijar owner y bloquear gate según severidad.</x:v>
      </x:c>
      <x:c r="F65" s="26" t="str">
        <x:v>QA</x:v>
      </x:c>
      <x:c r="G65" s="26" t="str">
        <x:v>Production</x:v>
      </x:c>
      <x:c r="H65" s="26" t="str">
        <x:v>P1</x:v>
      </x:c>
      <x:c r="I65" s="26" t="str">
        <x:v>OPEN</x:v>
      </x:c>
      <x:c r="J65" s="26" t="str">
        <x:v>2026-07-01</x:v>
      </x:c>
      <x:c r="K65" s="26" t="str">
        <x:v>2026-07-08</x:v>
      </x:c>
      <x:c r="L65" s="26"/>
      <x:c r="M65" s="26" t="str">
        <x:v>Control verificable y evidencia ligada a R-QUA-009.</x:v>
      </x:c>
      <x:c r="N65" s="26" t="str">
        <x:v>02, 07, 08, 11, 16, 29, 30, 31; QA Plan/Matrix, validation checklists y execution records v0.3–v0.6</x:v>
      </x:c>
      <x:c r="O65" s="26" t="str">
        <x:v>No iniciada</x:v>
      </x:c>
      <x:c r="P65" s="90" t="n">
        <x:v>0</x:v>
      </x:c>
      <x:c r="Q65" s="26" t="str">
        <x:v>No ejecutar cierre sin evidencia.</x:v>
      </x:c>
    </x:row>
    <x:row r="66" ht="30" customHeight="1">
      <x:c r="A66" s="26" t="str">
        <x:v>TA-QUA-010</x:v>
      </x:c>
      <x:c r="B66" s="26" t="str">
        <x:v>R-QUA-010</x:v>
      </x:c>
      <x:c r="C66" s="26" t="str">
        <x:v>Quality &amp; Acceptance</x:v>
      </x:c>
      <x:c r="D66" s="26" t="str">
        <x:v>Reducir riesgo: Excepciones sustituyen correcciones sin límite</x:v>
      </x:c>
      <x:c r="E66" s="26" t="str">
        <x:v>Aumentar cobertura, reproducir, fijar owner y bloquear gate según severidad.</x:v>
      </x:c>
      <x:c r="F66" s="26" t="str">
        <x:v>QA</x:v>
      </x:c>
      <x:c r="G66" s="26" t="str">
        <x:v>Production</x:v>
      </x:c>
      <x:c r="H66" s="26" t="str">
        <x:v>P1</x:v>
      </x:c>
      <x:c r="I66" s="26" t="str">
        <x:v>OPEN</x:v>
      </x:c>
      <x:c r="J66" s="26" t="str">
        <x:v>2026-07-01</x:v>
      </x:c>
      <x:c r="K66" s="26" t="str">
        <x:v>2026-07-31</x:v>
      </x:c>
      <x:c r="L66" s="26"/>
      <x:c r="M66" s="26" t="str">
        <x:v>Control verificable y evidencia ligada a R-QUA-010.</x:v>
      </x:c>
      <x:c r="N66" s="26" t="str">
        <x:v>02, 07, 08, 11, 16, 29, 30, 31; QA Plan/Matrix, validation checklists y execution records v0.3–v0.6</x:v>
      </x:c>
      <x:c r="O66" s="26" t="str">
        <x:v>No iniciada</x:v>
      </x:c>
      <x:c r="P66" s="90" t="n">
        <x:v>0</x:v>
      </x:c>
      <x:c r="Q66" s="26" t="str">
        <x:v>No ejecutar cierre sin evidencia.</x:v>
      </x:c>
    </x:row>
    <x:row r="67" ht="30" customHeight="1">
      <x:c r="A67" s="26" t="str">
        <x:v>TA-PER-001</x:v>
      </x:c>
      <x:c r="B67" s="26" t="str">
        <x:v>R-PER-001</x:v>
      </x:c>
      <x:c r="C67" s="26" t="str">
        <x:v>Performance &amp; Stability</x:v>
      </x:c>
      <x:c r="D67" s="26" t="str">
        <x:v>Reducir riesgo: No se alcanzan 60 FPS a 1080p en hardware objetivo</x:v>
      </x:c>
      <x:c r="E67" s="26" t="str">
        <x:v>Medir antes de optimizar, priorizar hotspots y ajustar presets sin comprometer integridad.</x:v>
      </x:c>
      <x:c r="F67" s="26" t="str">
        <x:v>Engineering / QA</x:v>
      </x:c>
      <x:c r="G67" s="26" t="str">
        <x:v>Technical Lead</x:v>
      </x:c>
      <x:c r="H67" s="26" t="str">
        <x:v>P1</x:v>
      </x:c>
      <x:c r="I67" s="26" t="str">
        <x:v>OPEN</x:v>
      </x:c>
      <x:c r="J67" s="26" t="str">
        <x:v>2026-07-01</x:v>
      </x:c>
      <x:c r="K67" s="26" t="str">
        <x:v>2026-07-08</x:v>
      </x:c>
      <x:c r="L67" s="26"/>
      <x:c r="M67" s="26" t="str">
        <x:v>Control verificable y evidencia ligada a R-PER-001.</x:v>
      </x:c>
      <x:c r="N67" s="26" t="str">
        <x:v>02, 03, 07, 10, 11, 17, 18, 19, 20, 30, 31; Targets históricos de VSS/TDD y pruebas de build v0.3–v0.6</x:v>
      </x:c>
      <x:c r="O67" s="26" t="str">
        <x:v>No iniciada</x:v>
      </x:c>
      <x:c r="P67" s="90" t="n">
        <x:v>0</x:v>
      </x:c>
      <x:c r="Q67" s="26" t="str">
        <x:v>No ejecutar cierre sin evidencia.</x:v>
      </x:c>
    </x:row>
    <x:row r="68" ht="30" customHeight="1">
      <x:c r="A68" s="26" t="str">
        <x:v>TA-PER-002</x:v>
      </x:c>
      <x:c r="B68" s="26" t="str">
        <x:v>R-PER-002</x:v>
      </x:c>
      <x:c r="C68" s="26" t="str">
        <x:v>Performance &amp; Stability</x:v>
      </x:c>
      <x:c r="D68" s="26" t="str">
        <x:v>Reducir riesgo: Stutter perceptible pese a promedio aceptable</x:v>
      </x:c>
      <x:c r="E68" s="26" t="str">
        <x:v>Medir antes de optimizar, priorizar hotspots y ajustar presets sin comprometer integridad.</x:v>
      </x:c>
      <x:c r="F68" s="26" t="str">
        <x:v>Engineering / QA</x:v>
      </x:c>
      <x:c r="G68" s="26" t="str">
        <x:v>Technical Lead</x:v>
      </x:c>
      <x:c r="H68" s="26" t="str">
        <x:v>P1</x:v>
      </x:c>
      <x:c r="I68" s="26" t="str">
        <x:v>OPEN</x:v>
      </x:c>
      <x:c r="J68" s="26" t="str">
        <x:v>2026-07-01</x:v>
      </x:c>
      <x:c r="K68" s="26" t="str">
        <x:v>2026-07-08</x:v>
      </x:c>
      <x:c r="L68" s="26"/>
      <x:c r="M68" s="26" t="str">
        <x:v>Control verificable y evidencia ligada a R-PER-002.</x:v>
      </x:c>
      <x:c r="N68" s="26" t="str">
        <x:v>02, 03, 07, 10, 11, 17, 18, 19, 20, 30, 31; Targets históricos de VSS/TDD y pruebas de build v0.3–v0.6</x:v>
      </x:c>
      <x:c r="O68" s="26" t="str">
        <x:v>No iniciada</x:v>
      </x:c>
      <x:c r="P68" s="90" t="n">
        <x:v>0</x:v>
      </x:c>
      <x:c r="Q68" s="26" t="str">
        <x:v>No ejecutar cierre sin evidencia.</x:v>
      </x:c>
    </x:row>
    <x:row r="69" ht="30" customHeight="1">
      <x:c r="A69" s="26" t="str">
        <x:v>TA-PER-003</x:v>
      </x:c>
      <x:c r="B69" s="26" t="str">
        <x:v>R-PER-003</x:v>
      </x:c>
      <x:c r="C69" s="26" t="str">
        <x:v>Performance &amp; Stability</x:v>
      </x:c>
      <x:c r="D69" s="26" t="str">
        <x:v>Reducir riesgo: Memoria aumenta durante sesión prolongada</x:v>
      </x:c>
      <x:c r="E69" s="26" t="str">
        <x:v>Medir antes de optimizar, priorizar hotspots y ajustar presets sin comprometer integridad.</x:v>
      </x:c>
      <x:c r="F69" s="26" t="str">
        <x:v>Engineering / QA</x:v>
      </x:c>
      <x:c r="G69" s="26" t="str">
        <x:v>Technical Lead</x:v>
      </x:c>
      <x:c r="H69" s="26" t="str">
        <x:v>P1</x:v>
      </x:c>
      <x:c r="I69" s="26" t="str">
        <x:v>OPEN</x:v>
      </x:c>
      <x:c r="J69" s="26" t="str">
        <x:v>2026-07-01</x:v>
      </x:c>
      <x:c r="K69" s="26" t="str">
        <x:v>2026-07-31</x:v>
      </x:c>
      <x:c r="L69" s="26"/>
      <x:c r="M69" s="26" t="str">
        <x:v>Control verificable y evidencia ligada a R-PER-003.</x:v>
      </x:c>
      <x:c r="N69" s="26" t="str">
        <x:v>02, 03, 07, 10, 11, 17, 18, 19, 20, 30, 31; Targets históricos de VSS/TDD y pruebas de build v0.3–v0.6</x:v>
      </x:c>
      <x:c r="O69" s="26" t="str">
        <x:v>No iniciada</x:v>
      </x:c>
      <x:c r="P69" s="90" t="n">
        <x:v>0</x:v>
      </x:c>
      <x:c r="Q69" s="26" t="str">
        <x:v>No ejecutar cierre sin evidencia.</x:v>
      </x:c>
    </x:row>
    <x:row r="70" ht="30" customHeight="1">
      <x:c r="A70" s="26" t="str">
        <x:v>TA-PER-004</x:v>
      </x:c>
      <x:c r="B70" s="26" t="str">
        <x:v>R-PER-004</x:v>
      </x:c>
      <x:c r="C70" s="26" t="str">
        <x:v>Performance &amp; Stability</x:v>
      </x:c>
      <x:c r="D70" s="26" t="str">
        <x:v>Reducir riesgo: Allocations frecuentes causan picos</x:v>
      </x:c>
      <x:c r="E70" s="26" t="str">
        <x:v>Medir antes de optimizar, priorizar hotspots y ajustar presets sin comprometer integridad.</x:v>
      </x:c>
      <x:c r="F70" s="26" t="str">
        <x:v>Engineering / QA</x:v>
      </x:c>
      <x:c r="G70" s="26" t="str">
        <x:v>Technical Lead</x:v>
      </x:c>
      <x:c r="H70" s="26" t="str">
        <x:v>P1</x:v>
      </x:c>
      <x:c r="I70" s="26" t="str">
        <x:v>OPEN</x:v>
      </x:c>
      <x:c r="J70" s="26" t="str">
        <x:v>2026-07-01</x:v>
      </x:c>
      <x:c r="K70" s="26" t="str">
        <x:v>2026-07-08</x:v>
      </x:c>
      <x:c r="L70" s="26"/>
      <x:c r="M70" s="26" t="str">
        <x:v>Control verificable y evidencia ligada a R-PER-004.</x:v>
      </x:c>
      <x:c r="N70" s="26" t="str">
        <x:v>02, 03, 07, 10, 11, 17, 18, 19, 20, 30, 31; Targets históricos de VSS/TDD y pruebas de build v0.3–v0.6</x:v>
      </x:c>
      <x:c r="O70" s="26" t="str">
        <x:v>No iniciada</x:v>
      </x:c>
      <x:c r="P70" s="90" t="n">
        <x:v>0</x:v>
      </x:c>
      <x:c r="Q70" s="26" t="str">
        <x:v>No ejecutar cierre sin evidencia.</x:v>
      </x:c>
    </x:row>
    <x:row r="71" ht="30" customHeight="1">
      <x:c r="A71" s="26" t="str">
        <x:v>TA-PER-005</x:v>
      </x:c>
      <x:c r="B71" s="26" t="str">
        <x:v>R-PER-005</x:v>
      </x:c>
      <x:c r="C71" s="26" t="str">
        <x:v>Performance &amp; Stability</x:v>
      </x:c>
      <x:c r="D71" s="26" t="str">
        <x:v>Reducir riesgo: Carga del slice supera 5 segundos</x:v>
      </x:c>
      <x:c r="E71" s="26" t="str">
        <x:v>Medir antes de optimizar, priorizar hotspots y ajustar presets sin comprometer integridad.</x:v>
      </x:c>
      <x:c r="F71" s="26" t="str">
        <x:v>Engineering / QA</x:v>
      </x:c>
      <x:c r="G71" s="26" t="str">
        <x:v>Technical Lead</x:v>
      </x:c>
      <x:c r="H71" s="26" t="str">
        <x:v>P1</x:v>
      </x:c>
      <x:c r="I71" s="26" t="str">
        <x:v>OPEN</x:v>
      </x:c>
      <x:c r="J71" s="26" t="str">
        <x:v>2026-07-01</x:v>
      </x:c>
      <x:c r="K71" s="26" t="str">
        <x:v>2026-07-08</x:v>
      </x:c>
      <x:c r="L71" s="26"/>
      <x:c r="M71" s="26" t="str">
        <x:v>Control verificable y evidencia ligada a R-PER-005.</x:v>
      </x:c>
      <x:c r="N71" s="26" t="str">
        <x:v>02, 03, 07, 10, 11, 17, 18, 19, 20, 30, 31; Targets históricos de VSS/TDD y pruebas de build v0.3–v0.6</x:v>
      </x:c>
      <x:c r="O71" s="26" t="str">
        <x:v>No iniciada</x:v>
      </x:c>
      <x:c r="P71" s="90" t="n">
        <x:v>0</x:v>
      </x:c>
      <x:c r="Q71" s="26" t="str">
        <x:v>No ejecutar cierre sin evidencia.</x:v>
      </x:c>
    </x:row>
    <x:row r="72" ht="30" customHeight="1">
      <x:c r="A72" s="26" t="str">
        <x:v>TA-PER-006</x:v>
      </x:c>
      <x:c r="B72" s="26" t="str">
        <x:v>R-PER-006</x:v>
      </x:c>
      <x:c r="C72" s="26" t="str">
        <x:v>Performance &amp; Stability</x:v>
      </x:c>
      <x:c r="D72" s="26" t="str">
        <x:v>Reducir riesgo: Guardado/cierre supera 2 segundos</x:v>
      </x:c>
      <x:c r="E72" s="26" t="str">
        <x:v>Medir antes de optimizar, priorizar hotspots y ajustar presets sin comprometer integridad.</x:v>
      </x:c>
      <x:c r="F72" s="26" t="str">
        <x:v>Engineering / QA</x:v>
      </x:c>
      <x:c r="G72" s="26" t="str">
        <x:v>Technical Lead</x:v>
      </x:c>
      <x:c r="H72" s="26" t="str">
        <x:v>P1</x:v>
      </x:c>
      <x:c r="I72" s="26" t="str">
        <x:v>OPEN</x:v>
      </x:c>
      <x:c r="J72" s="26" t="str">
        <x:v>2026-07-01</x:v>
      </x:c>
      <x:c r="K72" s="26" t="str">
        <x:v>2026-07-08</x:v>
      </x:c>
      <x:c r="L72" s="26"/>
      <x:c r="M72" s="26" t="str">
        <x:v>Control verificable y evidencia ligada a R-PER-006.</x:v>
      </x:c>
      <x:c r="N72" s="26" t="str">
        <x:v>02, 03, 07, 10, 11, 17, 18, 19, 20, 30, 31; Targets históricos de VSS/TDD y pruebas de build v0.3–v0.6</x:v>
      </x:c>
      <x:c r="O72" s="26" t="str">
        <x:v>No iniciada</x:v>
      </x:c>
      <x:c r="P72" s="90" t="n">
        <x:v>0</x:v>
      </x:c>
      <x:c r="Q72" s="26" t="str">
        <x:v>No ejecutar cierre sin evidencia.</x:v>
      </x:c>
    </x:row>
    <x:row r="73" ht="30" customHeight="1">
      <x:c r="A73" s="26" t="str">
        <x:v>TA-PER-007</x:v>
      </x:c>
      <x:c r="B73" s="26" t="str">
        <x:v>R-PER-007</x:v>
      </x:c>
      <x:c r="C73" s="26" t="str">
        <x:v>Performance &amp; Stability</x:v>
      </x:c>
      <x:c r="D73" s="26" t="str">
        <x:v>Reducir riesgo: Sombras/SSAO/overdraw exceden budget</x:v>
      </x:c>
      <x:c r="E73" s="26" t="str">
        <x:v>Medir antes de optimizar, priorizar hotspots y ajustar presets sin comprometer integridad.</x:v>
      </x:c>
      <x:c r="F73" s="26" t="str">
        <x:v>Engineering / QA</x:v>
      </x:c>
      <x:c r="G73" s="26" t="str">
        <x:v>Technical Lead</x:v>
      </x:c>
      <x:c r="H73" s="26" t="str">
        <x:v>P1</x:v>
      </x:c>
      <x:c r="I73" s="26" t="str">
        <x:v>OPEN</x:v>
      </x:c>
      <x:c r="J73" s="26" t="str">
        <x:v>2026-07-01</x:v>
      </x:c>
      <x:c r="K73" s="26" t="str">
        <x:v>2026-07-31</x:v>
      </x:c>
      <x:c r="L73" s="26"/>
      <x:c r="M73" s="26" t="str">
        <x:v>Control verificable y evidencia ligada a R-PER-007.</x:v>
      </x:c>
      <x:c r="N73" s="26" t="str">
        <x:v>02, 03, 07, 10, 11, 17, 18, 19, 20, 30, 31; Targets históricos de VSS/TDD y pruebas de build v0.3–v0.6</x:v>
      </x:c>
      <x:c r="O73" s="26" t="str">
        <x:v>No iniciada</x:v>
      </x:c>
      <x:c r="P73" s="90" t="n">
        <x:v>0</x:v>
      </x:c>
      <x:c r="Q73" s="26" t="str">
        <x:v>No ejecutar cierre sin evidencia.</x:v>
      </x:c>
    </x:row>
    <x:row r="74" ht="30" customHeight="1">
      <x:c r="A74" s="26" t="str">
        <x:v>TA-PER-008</x:v>
      </x:c>
      <x:c r="B74" s="26" t="str">
        <x:v>R-PER-008</x:v>
      </x:c>
      <x:c r="C74" s="26" t="str">
        <x:v>Performance &amp; Stability</x:v>
      </x:c>
      <x:c r="D74" s="26" t="str">
        <x:v>Reducir riesgo: Ocho clientes degradan CPU/NavMesh</x:v>
      </x:c>
      <x:c r="E74" s="26" t="str">
        <x:v>Medir antes de optimizar, priorizar hotspots y ajustar presets sin comprometer integridad.</x:v>
      </x:c>
      <x:c r="F74" s="26" t="str">
        <x:v>Engineering / QA</x:v>
      </x:c>
      <x:c r="G74" s="26" t="str">
        <x:v>Technical Lead</x:v>
      </x:c>
      <x:c r="H74" s="26" t="str">
        <x:v>P1</x:v>
      </x:c>
      <x:c r="I74" s="26" t="str">
        <x:v>OPEN</x:v>
      </x:c>
      <x:c r="J74" s="26" t="str">
        <x:v>2026-07-01</x:v>
      </x:c>
      <x:c r="K74" s="26" t="str">
        <x:v>2026-07-31</x:v>
      </x:c>
      <x:c r="L74" s="26"/>
      <x:c r="M74" s="26" t="str">
        <x:v>Control verificable y evidencia ligada a R-PER-008.</x:v>
      </x:c>
      <x:c r="N74" s="26" t="str">
        <x:v>02, 03, 07, 10, 11, 17, 18, 19, 20, 30, 31; Targets históricos de VSS/TDD y pruebas de build v0.3–v0.6</x:v>
      </x:c>
      <x:c r="O74" s="26" t="str">
        <x:v>No iniciada</x:v>
      </x:c>
      <x:c r="P74" s="90" t="n">
        <x:v>0</x:v>
      </x:c>
      <x:c r="Q74" s="26" t="str">
        <x:v>No ejecutar cierre sin evidencia.</x:v>
      </x:c>
    </x:row>
    <x:row r="75" ht="30" customHeight="1">
      <x:c r="A75" s="26" t="str">
        <x:v>TA-SEC-001</x:v>
      </x:c>
      <x:c r="B75" s="26" t="str">
        <x:v>R-SEC-001</x:v>
      </x:c>
      <x:c r="C75" s="26" t="str">
        <x:v>Security &amp; Secrets</x:v>
      </x:c>
      <x:c r="D75" s="26" t="str">
        <x:v>Reducir riesgo: Token, contraseña o key aparece en repo/build/log</x:v>
      </x:c>
      <x:c r="E75" s="26" t="str">
        <x:v>Eliminar exposición, rotar credenciales, parchear, preservar evidencia y notificar según impacto.</x:v>
      </x:c>
      <x:c r="F75" s="26" t="str">
        <x:v>Security / Engineering</x:v>
      </x:c>
      <x:c r="G75" s="26" t="str">
        <x:v>Project Owner</x:v>
      </x:c>
      <x:c r="H75" s="26" t="str">
        <x:v>P1</x:v>
      </x:c>
      <x:c r="I75" s="26" t="str">
        <x:v>OPEN</x:v>
      </x:c>
      <x:c r="J75" s="26" t="str">
        <x:v>2026-07-01</x:v>
      </x:c>
      <x:c r="K75" s="26" t="str">
        <x:v>2026-07-08</x:v>
      </x:c>
      <x:c r="L75" s="26"/>
      <x:c r="M75" s="26" t="str">
        <x:v>Control verificable y evidencia ligada a R-SEC-001.</x:v>
      </x:c>
      <x:c r="N75" s="26" t="str">
        <x:v>11, 23, 24, 25, 26, 27, 31, 32; Build records, legal registers, package manifests y registros técnicos</x:v>
      </x:c>
      <x:c r="O75" s="26" t="str">
        <x:v>No iniciada</x:v>
      </x:c>
      <x:c r="P75" s="90" t="n">
        <x:v>0</x:v>
      </x:c>
      <x:c r="Q75" s="26" t="str">
        <x:v>No ejecutar cierre sin evidencia.</x:v>
      </x:c>
    </x:row>
    <x:row r="76" ht="30" customHeight="1">
      <x:c r="A76" s="26" t="str">
        <x:v>TA-SEC-002</x:v>
      </x:c>
      <x:c r="B76" s="26" t="str">
        <x:v>R-SEC-002</x:v>
      </x:c>
      <x:c r="C76" s="26" t="str">
        <x:v>Security &amp; Secrets</x:v>
      </x:c>
      <x:c r="D76" s="26" t="str">
        <x:v>Reducir riesgo: Cuenta Steam/GitHub/email comprometida</x:v>
      </x:c>
      <x:c r="E76" s="26" t="str">
        <x:v>Eliminar exposición, rotar credenciales, parchear, preservar evidencia y notificar según impacto.</x:v>
      </x:c>
      <x:c r="F76" s="26" t="str">
        <x:v>Security / Engineering</x:v>
      </x:c>
      <x:c r="G76" s="26" t="str">
        <x:v>Project Owner</x:v>
      </x:c>
      <x:c r="H76" s="26" t="str">
        <x:v>P2</x:v>
      </x:c>
      <x:c r="I76" s="26" t="str">
        <x:v>OPEN</x:v>
      </x:c>
      <x:c r="J76" s="26" t="str">
        <x:v>2026-07-01</x:v>
      </x:c>
      <x:c r="K76" s="26" t="str">
        <x:v>2026-07-08</x:v>
      </x:c>
      <x:c r="L76" s="26"/>
      <x:c r="M76" s="26" t="str">
        <x:v>Control verificable y evidencia ligada a R-SEC-002.</x:v>
      </x:c>
      <x:c r="N76" s="26" t="str">
        <x:v>11, 23, 24, 25, 26, 27, 31, 32; Build records, legal registers, package manifests y registros técnicos</x:v>
      </x:c>
      <x:c r="O76" s="26" t="str">
        <x:v>No iniciada</x:v>
      </x:c>
      <x:c r="P76" s="90" t="n">
        <x:v>0</x:v>
      </x:c>
      <x:c r="Q76" s="26" t="str">
        <x:v>No ejecutar cierre sin evidencia.</x:v>
      </x:c>
    </x:row>
    <x:row r="77" ht="30" customHeight="1">
      <x:c r="A77" s="26" t="str">
        <x:v>TA-SEC-003</x:v>
      </x:c>
      <x:c r="B77" s="26" t="str">
        <x:v>R-SEC-003</x:v>
      </x:c>
      <x:c r="C77" s="26" t="str">
        <x:v>Security &amp; Secrets</x:v>
      </x:c>
      <x:c r="D77" s="26" t="str">
        <x:v>Reducir riesgo: Pérdida de segundo factor bloquea cuentas críticas</x:v>
      </x:c>
      <x:c r="E77" s="26" t="str">
        <x:v>Eliminar exposición, rotar credenciales, parchear, preservar evidencia y notificar según impacto.</x:v>
      </x:c>
      <x:c r="F77" s="26" t="str">
        <x:v>Security / Engineering</x:v>
      </x:c>
      <x:c r="G77" s="26" t="str">
        <x:v>Project Owner</x:v>
      </x:c>
      <x:c r="H77" s="26" t="str">
        <x:v>P1</x:v>
      </x:c>
      <x:c r="I77" s="26" t="str">
        <x:v>OPEN</x:v>
      </x:c>
      <x:c r="J77" s="26" t="str">
        <x:v>2026-07-01</x:v>
      </x:c>
      <x:c r="K77" s="26" t="str">
        <x:v>2026-07-08</x:v>
      </x:c>
      <x:c r="L77" s="26"/>
      <x:c r="M77" s="26" t="str">
        <x:v>Control verificable y evidencia ligada a R-SEC-003.</x:v>
      </x:c>
      <x:c r="N77" s="26" t="str">
        <x:v>11, 23, 24, 25, 26, 27, 31, 32; Build records, legal registers, package manifests y registros técnicos</x:v>
      </x:c>
      <x:c r="O77" s="26" t="str">
        <x:v>No iniciada</x:v>
      </x:c>
      <x:c r="P77" s="90" t="n">
        <x:v>0</x:v>
      </x:c>
      <x:c r="Q77" s="26" t="str">
        <x:v>No ejecutar cierre sin evidencia.</x:v>
      </x:c>
    </x:row>
    <x:row r="78" ht="30" customHeight="1">
      <x:c r="A78" s="26" t="str">
        <x:v>TA-SEC-004</x:v>
      </x:c>
      <x:c r="B78" s="26" t="str">
        <x:v>R-SEC-004</x:v>
      </x:c>
      <x:c r="C78" s="26" t="str">
        <x:v>Security &amp; Secrets</x:v>
      </x:c>
      <x:c r="D78" s="26" t="str">
        <x:v>Reducir riesgo: Estación de desarrollo comprometida</x:v>
      </x:c>
      <x:c r="E78" s="26" t="str">
        <x:v>Eliminar exposición, rotar credenciales, parchear, preservar evidencia y notificar según impacto.</x:v>
      </x:c>
      <x:c r="F78" s="26" t="str">
        <x:v>Security / Engineering</x:v>
      </x:c>
      <x:c r="G78" s="26" t="str">
        <x:v>Project Owner</x:v>
      </x:c>
      <x:c r="H78" s="26" t="str">
        <x:v>P2</x:v>
      </x:c>
      <x:c r="I78" s="26" t="str">
        <x:v>OPEN</x:v>
      </x:c>
      <x:c r="J78" s="26" t="str">
        <x:v>2026-07-01</x:v>
      </x:c>
      <x:c r="K78" s="26" t="str">
        <x:v>2026-07-08</x:v>
      </x:c>
      <x:c r="L78" s="26"/>
      <x:c r="M78" s="26" t="str">
        <x:v>Control verificable y evidencia ligada a R-SEC-004.</x:v>
      </x:c>
      <x:c r="N78" s="26" t="str">
        <x:v>11, 23, 24, 25, 26, 27, 31, 32; Build records, legal registers, package manifests y registros técnicos</x:v>
      </x:c>
      <x:c r="O78" s="26" t="str">
        <x:v>No iniciada</x:v>
      </x:c>
      <x:c r="P78" s="90" t="n">
        <x:v>0</x:v>
      </x:c>
      <x:c r="Q78" s="26" t="str">
        <x:v>No ejecutar cierre sin evidencia.</x:v>
      </x:c>
    </x:row>
    <x:row r="79" ht="30" customHeight="1">
      <x:c r="A79" s="26" t="str">
        <x:v>TA-SEC-005</x:v>
      </x:c>
      <x:c r="B79" s="26" t="str">
        <x:v>R-SEC-005</x:v>
      </x:c>
      <x:c r="C79" s="26" t="str">
        <x:v>Security &amp; Secrets</x:v>
      </x:c>
      <x:c r="D79" s="26" t="str">
        <x:v>Reducir riesgo: Paquete contiene vulnerabilidad explotable</x:v>
      </x:c>
      <x:c r="E79" s="26" t="str">
        <x:v>Eliminar exposición, rotar credenciales, parchear, preservar evidencia y notificar según impacto.</x:v>
      </x:c>
      <x:c r="F79" s="26" t="str">
        <x:v>Security / Engineering</x:v>
      </x:c>
      <x:c r="G79" s="26" t="str">
        <x:v>Project Owner</x:v>
      </x:c>
      <x:c r="H79" s="26" t="str">
        <x:v>P1</x:v>
      </x:c>
      <x:c r="I79" s="26" t="str">
        <x:v>OPEN</x:v>
      </x:c>
      <x:c r="J79" s="26" t="str">
        <x:v>2026-07-01</x:v>
      </x:c>
      <x:c r="K79" s="26" t="str">
        <x:v>2026-07-31</x:v>
      </x:c>
      <x:c r="L79" s="26"/>
      <x:c r="M79" s="26" t="str">
        <x:v>Control verificable y evidencia ligada a R-SEC-005.</x:v>
      </x:c>
      <x:c r="N79" s="26" t="str">
        <x:v>11, 23, 24, 25, 26, 27, 31, 32; Build records, legal registers, package manifests y registros técnicos</x:v>
      </x:c>
      <x:c r="O79" s="26" t="str">
        <x:v>No iniciada</x:v>
      </x:c>
      <x:c r="P79" s="90" t="n">
        <x:v>0</x:v>
      </x:c>
      <x:c r="Q79" s="26" t="str">
        <x:v>No ejecutar cierre sin evidencia.</x:v>
      </x:c>
    </x:row>
    <x:row r="80" ht="30" customHeight="1">
      <x:c r="A80" s="26" t="str">
        <x:v>TA-SEC-006</x:v>
      </x:c>
      <x:c r="B80" s="26" t="str">
        <x:v>R-SEC-006</x:v>
      </x:c>
      <x:c r="C80" s="26" t="str">
        <x:v>Security &amp; Secrets</x:v>
      </x:c>
      <x:c r="D80" s="26" t="str">
        <x:v>Reducir riesgo: Build o artefacto es modificado fuera del proceso</x:v>
      </x:c>
      <x:c r="E80" s="26" t="str">
        <x:v>Eliminar exposición, rotar credenciales, parchear, preservar evidencia y notificar según impacto.</x:v>
      </x:c>
      <x:c r="F80" s="26" t="str">
        <x:v>Security / Engineering</x:v>
      </x:c>
      <x:c r="G80" s="26" t="str">
        <x:v>Project Owner</x:v>
      </x:c>
      <x:c r="H80" s="26" t="str">
        <x:v>P2</x:v>
      </x:c>
      <x:c r="I80" s="26" t="str">
        <x:v>OPEN</x:v>
      </x:c>
      <x:c r="J80" s="26" t="str">
        <x:v>2026-07-01</x:v>
      </x:c>
      <x:c r="K80" s="26" t="str">
        <x:v>2026-07-08</x:v>
      </x:c>
      <x:c r="L80" s="26"/>
      <x:c r="M80" s="26" t="str">
        <x:v>Control verificable y evidencia ligada a R-SEC-006.</x:v>
      </x:c>
      <x:c r="N80" s="26" t="str">
        <x:v>11, 23, 24, 25, 26, 27, 31, 32; Build records, legal registers, package manifests y registros técnicos</x:v>
      </x:c>
      <x:c r="O80" s="26" t="str">
        <x:v>No iniciada</x:v>
      </x:c>
      <x:c r="P80" s="90" t="n">
        <x:v>0</x:v>
      </x:c>
      <x:c r="Q80" s="26" t="str">
        <x:v>No ejecutar cierre sin evidencia.</x:v>
      </x:c>
    </x:row>
    <x:row r="81" ht="30" customHeight="1">
      <x:c r="A81" s="26" t="str">
        <x:v>TA-SEC-007</x:v>
      </x:c>
      <x:c r="B81" s="26" t="str">
        <x:v>R-SEC-007</x:v>
      </x:c>
      <x:c r="C81" s="26" t="str">
        <x:v>Security &amp; Secrets</x:v>
      </x:c>
      <x:c r="D81" s="26" t="str">
        <x:v>Reducir riesgo: Colaborador conserva acceso tras finalizar</x:v>
      </x:c>
      <x:c r="E81" s="26" t="str">
        <x:v>Eliminar exposición, rotar credenciales, parchear, preservar evidencia y notificar según impacto.</x:v>
      </x:c>
      <x:c r="F81" s="26" t="str">
        <x:v>Security / Engineering</x:v>
      </x:c>
      <x:c r="G81" s="26" t="str">
        <x:v>Project Owner</x:v>
      </x:c>
      <x:c r="H81" s="26" t="str">
        <x:v>P2</x:v>
      </x:c>
      <x:c r="I81" s="26" t="str">
        <x:v>OPEN</x:v>
      </x:c>
      <x:c r="J81" s="26" t="str">
        <x:v>2026-07-01</x:v>
      </x:c>
      <x:c r="K81" s="26" t="str">
        <x:v>2026-07-08</x:v>
      </x:c>
      <x:c r="L81" s="26"/>
      <x:c r="M81" s="26" t="str">
        <x:v>Control verificable y evidencia ligada a R-SEC-007.</x:v>
      </x:c>
      <x:c r="N81" s="26" t="str">
        <x:v>11, 23, 24, 25, 26, 27, 31, 32; Build records, legal registers, package manifests y registros técnicos</x:v>
      </x:c>
      <x:c r="O81" s="26" t="str">
        <x:v>No iniciada</x:v>
      </x:c>
      <x:c r="P81" s="90" t="n">
        <x:v>0</x:v>
      </x:c>
      <x:c r="Q81" s="26" t="str">
        <x:v>No ejecutar cierre sin evidencia.</x:v>
      </x:c>
    </x:row>
    <x:row r="82" ht="30" customHeight="1">
      <x:c r="A82" s="26" t="str">
        <x:v>TA-SEC-008</x:v>
      </x:c>
      <x:c r="B82" s="26" t="str">
        <x:v>R-SEC-008</x:v>
      </x:c>
      <x:c r="C82" s="26" t="str">
        <x:v>Security &amp; Secrets</x:v>
      </x:c>
      <x:c r="D82" s="26" t="str">
        <x:v>Reducir riesgo: VDF/scripts incluyen credenciales o rutas sensibles</x:v>
      </x:c>
      <x:c r="E82" s="26" t="str">
        <x:v>Eliminar exposición, rotar credenciales, parchear, preservar evidencia y notificar según impacto.</x:v>
      </x:c>
      <x:c r="F82" s="26" t="str">
        <x:v>Security / Engineering</x:v>
      </x:c>
      <x:c r="G82" s="26" t="str">
        <x:v>Project Owner</x:v>
      </x:c>
      <x:c r="H82" s="26" t="str">
        <x:v>P2</x:v>
      </x:c>
      <x:c r="I82" s="26" t="str">
        <x:v>OPEN</x:v>
      </x:c>
      <x:c r="J82" s="26" t="str">
        <x:v>2026-07-01</x:v>
      </x:c>
      <x:c r="K82" s="26" t="str">
        <x:v>2026-07-08</x:v>
      </x:c>
      <x:c r="L82" s="26"/>
      <x:c r="M82" s="26" t="str">
        <x:v>Control verificable y evidencia ligada a R-SEC-008.</x:v>
      </x:c>
      <x:c r="N82" s="26" t="str">
        <x:v>11, 23, 24, 25, 26, 27, 31, 32; Build records, legal registers, package manifests y registros técnicos</x:v>
      </x:c>
      <x:c r="O82" s="26" t="str">
        <x:v>No iniciada</x:v>
      </x:c>
      <x:c r="P82" s="90" t="n">
        <x:v>0</x:v>
      </x:c>
      <x:c r="Q82" s="26" t="str">
        <x:v>No ejecutar cierre sin evidencia.</x:v>
      </x:c>
    </x:row>
    <x:row r="83" ht="30" customHeight="1">
      <x:c r="A83" s="26" t="str">
        <x:v>TA-SEC-009</x:v>
      </x:c>
      <x:c r="B83" s="26" t="str">
        <x:v>R-SEC-009</x:v>
      </x:c>
      <x:c r="C83" s="26" t="str">
        <x:v>Security &amp; Secrets</x:v>
      </x:c>
      <x:c r="D83" s="26" t="str">
        <x:v>Reducir riesgo: Repo privado se publica o fork expone assets</x:v>
      </x:c>
      <x:c r="E83" s="26" t="str">
        <x:v>Eliminar exposición, rotar credenciales, parchear, preservar evidencia y notificar según impacto.</x:v>
      </x:c>
      <x:c r="F83" s="26" t="str">
        <x:v>Security / Engineering</x:v>
      </x:c>
      <x:c r="G83" s="26" t="str">
        <x:v>Project Owner</x:v>
      </x:c>
      <x:c r="H83" s="26" t="str">
        <x:v>P2</x:v>
      </x:c>
      <x:c r="I83" s="26" t="str">
        <x:v>OPEN</x:v>
      </x:c>
      <x:c r="J83" s="26" t="str">
        <x:v>2026-07-01</x:v>
      </x:c>
      <x:c r="K83" s="26" t="str">
        <x:v>2026-07-08</x:v>
      </x:c>
      <x:c r="L83" s="26"/>
      <x:c r="M83" s="26" t="str">
        <x:v>Control verificable y evidencia ligada a R-SEC-009.</x:v>
      </x:c>
      <x:c r="N83" s="26" t="str">
        <x:v>11, 23, 24, 25, 26, 27, 31, 32; Build records, legal registers, package manifests y registros técnicos</x:v>
      </x:c>
      <x:c r="O83" s="26" t="str">
        <x:v>No iniciada</x:v>
      </x:c>
      <x:c r="P83" s="90" t="n">
        <x:v>0</x:v>
      </x:c>
      <x:c r="Q83" s="26" t="str">
        <x:v>No ejecutar cierre sin evidencia.</x:v>
      </x:c>
    </x:row>
    <x:row r="84" ht="30" customHeight="1">
      <x:c r="A84" s="26" t="str">
        <x:v>TA-SEC-010</x:v>
      </x:c>
      <x:c r="B84" s="26" t="str">
        <x:v>R-SEC-010</x:v>
      </x:c>
      <x:c r="C84" s="26" t="str">
        <x:v>Security &amp; Secrets</x:v>
      </x:c>
      <x:c r="D84" s="26" t="str">
        <x:v>Reducir riesgo: Logs contienen datos, rutas o secretos</x:v>
      </x:c>
      <x:c r="E84" s="26" t="str">
        <x:v>Eliminar exposición, rotar credenciales, parchear, preservar evidencia y notificar según impacto.</x:v>
      </x:c>
      <x:c r="F84" s="26" t="str">
        <x:v>Security / Engineering</x:v>
      </x:c>
      <x:c r="G84" s="26" t="str">
        <x:v>Project Owner</x:v>
      </x:c>
      <x:c r="H84" s="26" t="str">
        <x:v>P1</x:v>
      </x:c>
      <x:c r="I84" s="26" t="str">
        <x:v>OPEN</x:v>
      </x:c>
      <x:c r="J84" s="26" t="str">
        <x:v>2026-07-01</x:v>
      </x:c>
      <x:c r="K84" s="26" t="str">
        <x:v>2026-07-08</x:v>
      </x:c>
      <x:c r="L84" s="26"/>
      <x:c r="M84" s="26" t="str">
        <x:v>Control verificable y evidencia ligada a R-SEC-010.</x:v>
      </x:c>
      <x:c r="N84" s="26" t="str">
        <x:v>11, 23, 24, 25, 26, 27, 31, 32; Build records, legal registers, package manifests y registros técnicos</x:v>
      </x:c>
      <x:c r="O84" s="26" t="str">
        <x:v>No iniciada</x:v>
      </x:c>
      <x:c r="P84" s="90" t="n">
        <x:v>0</x:v>
      </x:c>
      <x:c r="Q84" s="26" t="str">
        <x:v>No ejecutar cierre sin evidencia.</x:v>
      </x:c>
    </x:row>
    <x:row r="85" ht="30" customHeight="1">
      <x:c r="A85" s="26" t="str">
        <x:v>TA-SEC-011</x:v>
      </x:c>
      <x:c r="B85" s="26" t="str">
        <x:v>R-SEC-011</x:v>
      </x:c>
      <x:c r="C85" s="26" t="str">
        <x:v>Security &amp; Secrets</x:v>
      </x:c>
      <x:c r="D85" s="26" t="str">
        <x:v>Reducir riesgo: Se limpia sistema antes de preservar evidencia</x:v>
      </x:c>
      <x:c r="E85" s="26" t="str">
        <x:v>Eliminar exposición, rotar credenciales, parchear, preservar evidencia y notificar según impacto.</x:v>
      </x:c>
      <x:c r="F85" s="26" t="str">
        <x:v>Security / Engineering</x:v>
      </x:c>
      <x:c r="G85" s="26" t="str">
        <x:v>Project Owner</x:v>
      </x:c>
      <x:c r="H85" s="26" t="str">
        <x:v>P1</x:v>
      </x:c>
      <x:c r="I85" s="26" t="str">
        <x:v>OPEN</x:v>
      </x:c>
      <x:c r="J85" s="26" t="str">
        <x:v>2026-07-01</x:v>
      </x:c>
      <x:c r="K85" s="26" t="str">
        <x:v>2026-07-08</x:v>
      </x:c>
      <x:c r="L85" s="26"/>
      <x:c r="M85" s="26" t="str">
        <x:v>Control verificable y evidencia ligada a R-SEC-011.</x:v>
      </x:c>
      <x:c r="N85" s="26" t="str">
        <x:v>11, 23, 24, 25, 26, 27, 31, 32; Build records, legal registers, package manifests y registros técnicos</x:v>
      </x:c>
      <x:c r="O85" s="26" t="str">
        <x:v>No iniciada</x:v>
      </x:c>
      <x:c r="P85" s="90" t="n">
        <x:v>0</x:v>
      </x:c>
      <x:c r="Q85" s="26" t="str">
        <x:v>No ejecutar cierre sin evidencia.</x:v>
      </x:c>
    </x:row>
    <x:row r="86" ht="30" customHeight="1">
      <x:c r="A86" s="26" t="str">
        <x:v>TA-SEC-012</x:v>
      </x:c>
      <x:c r="B86" s="26" t="str">
        <x:v>R-SEC-012</x:v>
      </x:c>
      <x:c r="C86" s="26" t="str">
        <x:v>Security &amp; Secrets</x:v>
      </x:c>
      <x:c r="D86" s="26" t="str">
        <x:v>Reducir riesgo: Vulnerabilidad crítica no se corrige a tiempo</x:v>
      </x:c>
      <x:c r="E86" s="26" t="str">
        <x:v>Eliminar exposición, rotar credenciales, parchear, preservar evidencia y notificar según impacto.</x:v>
      </x:c>
      <x:c r="F86" s="26" t="str">
        <x:v>Security / Engineering</x:v>
      </x:c>
      <x:c r="G86" s="26" t="str">
        <x:v>Project Owner</x:v>
      </x:c>
      <x:c r="H86" s="26" t="str">
        <x:v>P2</x:v>
      </x:c>
      <x:c r="I86" s="26" t="str">
        <x:v>OPEN</x:v>
      </x:c>
      <x:c r="J86" s="26" t="str">
        <x:v>2026-07-01</x:v>
      </x:c>
      <x:c r="K86" s="26" t="str">
        <x:v>2026-07-08</x:v>
      </x:c>
      <x:c r="L86" s="26"/>
      <x:c r="M86" s="26" t="str">
        <x:v>Control verificable y evidencia ligada a R-SEC-012.</x:v>
      </x:c>
      <x:c r="N86" s="26" t="str">
        <x:v>11, 23, 24, 25, 26, 27, 31, 32; Build records, legal registers, package manifests y registros técnicos</x:v>
      </x:c>
      <x:c r="O86" s="26" t="str">
        <x:v>No iniciada</x:v>
      </x:c>
      <x:c r="P86" s="90" t="n">
        <x:v>0</x:v>
      </x:c>
      <x:c r="Q86" s="26" t="str">
        <x:v>No ejecutar cierre sin evidencia.</x:v>
      </x:c>
    </x:row>
    <x:row r="87" ht="30" customHeight="1">
      <x:c r="A87" s="26" t="str">
        <x:v>TA-PRI-001</x:v>
      </x:c>
      <x:c r="B87" s="26" t="str">
        <x:v>R-PRI-001</x:v>
      </x:c>
      <x:c r="C87" s="26" t="str">
        <x:v>Privacy &amp; Telemetry</x:v>
      </x:c>
      <x:c r="D87" s="26" t="str">
        <x:v>Reducir riesgo: Se recopila dato sin propósito o consentimiento</x:v>
      </x:c>
      <x:c r="E87" s="26" t="str">
        <x:v>No recopilar hasta justificar; reducir campos, retención y terceros.</x:v>
      </x:c>
      <x:c r="F87" s="26" t="str">
        <x:v>Privacy / Engineering</x:v>
      </x:c>
      <x:c r="G87" s="26" t="str">
        <x:v>Legal / Production</x:v>
      </x:c>
      <x:c r="H87" s="26" t="str">
        <x:v>P2</x:v>
      </x:c>
      <x:c r="I87" s="26" t="str">
        <x:v>OPEN</x:v>
      </x:c>
      <x:c r="J87" s="26" t="str">
        <x:v>2026-07-01</x:v>
      </x:c>
      <x:c r="K87" s="26" t="str">
        <x:v>2026-07-08</x:v>
      </x:c>
      <x:c r="L87" s="26"/>
      <x:c r="M87" s="26" t="str">
        <x:v>Control verificable y evidencia ligada a R-PRI-001.</x:v>
      </x:c>
      <x:c r="N87" s="26" t="str">
        <x:v>23, 24, 25, 26, 27, 28, 31; Requisitos distribuidos en TDD, Steam, legal, QA y marketing</x:v>
      </x:c>
      <x:c r="O87" s="26" t="str">
        <x:v>No iniciada</x:v>
      </x:c>
      <x:c r="P87" s="90" t="n">
        <x:v>0</x:v>
      </x:c>
      <x:c r="Q87" s="26" t="str">
        <x:v>No ejecutar cierre sin evidencia.</x:v>
      </x:c>
    </x:row>
    <x:row r="88" ht="30" customHeight="1">
      <x:c r="A88" s="26" t="str">
        <x:v>TA-PRI-002</x:v>
      </x:c>
      <x:c r="B88" s="26" t="str">
        <x:v>R-PRI-002</x:v>
      </x:c>
      <x:c r="C88" s="26" t="str">
        <x:v>Privacy &amp; Telemetry</x:v>
      </x:c>
      <x:c r="D88" s="26" t="str">
        <x:v>Reducir riesgo: SDK envía datos no inventariados</x:v>
      </x:c>
      <x:c r="E88" s="26" t="str">
        <x:v>No recopilar hasta justificar; reducir campos, retención y terceros.</x:v>
      </x:c>
      <x:c r="F88" s="26" t="str">
        <x:v>Privacy / Engineering</x:v>
      </x:c>
      <x:c r="G88" s="26" t="str">
        <x:v>Legal / Production</x:v>
      </x:c>
      <x:c r="H88" s="26" t="str">
        <x:v>P2</x:v>
      </x:c>
      <x:c r="I88" s="26" t="str">
        <x:v>OPEN</x:v>
      </x:c>
      <x:c r="J88" s="26" t="str">
        <x:v>2026-07-01</x:v>
      </x:c>
      <x:c r="K88" s="26" t="str">
        <x:v>2026-07-08</x:v>
      </x:c>
      <x:c r="L88" s="26"/>
      <x:c r="M88" s="26" t="str">
        <x:v>Control verificable y evidencia ligada a R-PRI-002.</x:v>
      </x:c>
      <x:c r="N88" s="26" t="str">
        <x:v>23, 24, 25, 26, 27, 28, 31; Requisitos distribuidos en TDD, Steam, legal, QA y marketing</x:v>
      </x:c>
      <x:c r="O88" s="26" t="str">
        <x:v>No iniciada</x:v>
      </x:c>
      <x:c r="P88" s="90" t="n">
        <x:v>0</x:v>
      </x:c>
      <x:c r="Q88" s="26" t="str">
        <x:v>No ejecutar cierre sin evidencia.</x:v>
      </x:c>
    </x:row>
    <x:row r="89" ht="30" customHeight="1">
      <x:c r="A89" s="26" t="str">
        <x:v>TA-PRI-003</x:v>
      </x:c>
      <x:c r="B89" s="26" t="str">
        <x:v>R-PRI-003</x:v>
      </x:c>
      <x:c r="C89" s="26" t="str">
        <x:v>Privacy &amp; Telemetry</x:v>
      </x:c>
      <x:c r="D89" s="26" t="str">
        <x:v>Reducir riesgo: Datos se conservan más de lo aprobado</x:v>
      </x:c>
      <x:c r="E89" s="26" t="str">
        <x:v>No recopilar hasta justificar; reducir campos, retención y terceros.</x:v>
      </x:c>
      <x:c r="F89" s="26" t="str">
        <x:v>Privacy / Engineering</x:v>
      </x:c>
      <x:c r="G89" s="26" t="str">
        <x:v>Legal / Production</x:v>
      </x:c>
      <x:c r="H89" s="26" t="str">
        <x:v>P2</x:v>
      </x:c>
      <x:c r="I89" s="26" t="str">
        <x:v>OPEN</x:v>
      </x:c>
      <x:c r="J89" s="26" t="str">
        <x:v>2026-07-01</x:v>
      </x:c>
      <x:c r="K89" s="26" t="str">
        <x:v>2026-07-31</x:v>
      </x:c>
      <x:c r="L89" s="26"/>
      <x:c r="M89" s="26" t="str">
        <x:v>Control verificable y evidencia ligada a R-PRI-003.</x:v>
      </x:c>
      <x:c r="N89" s="26" t="str">
        <x:v>23, 24, 25, 26, 27, 28, 31; Requisitos distribuidos en TDD, Steam, legal, QA y marketing</x:v>
      </x:c>
      <x:c r="O89" s="26" t="str">
        <x:v>No iniciada</x:v>
      </x:c>
      <x:c r="P89" s="90" t="n">
        <x:v>0</x:v>
      </x:c>
      <x:c r="Q89" s="26" t="str">
        <x:v>No ejecutar cierre sin evidencia.</x:v>
      </x:c>
    </x:row>
    <x:row r="90" ht="30" customHeight="1">
      <x:c r="A90" s="26" t="str">
        <x:v>TA-PRI-004</x:v>
      </x:c>
      <x:c r="B90" s="26" t="str">
        <x:v>R-PRI-004</x:v>
      </x:c>
      <x:c r="C90" s="26" t="str">
        <x:v>Privacy &amp; Telemetry</x:v>
      </x:c>
      <x:c r="D90" s="26" t="str">
        <x:v>Reducir riesgo: No se puede localizar/borrar/exportar dato</x:v>
      </x:c>
      <x:c r="E90" s="26" t="str">
        <x:v>No recopilar hasta justificar; reducir campos, retención y terceros.</x:v>
      </x:c>
      <x:c r="F90" s="26" t="str">
        <x:v>Privacy / Engineering</x:v>
      </x:c>
      <x:c r="G90" s="26" t="str">
        <x:v>Legal / Production</x:v>
      </x:c>
      <x:c r="H90" s="26" t="str">
        <x:v>P2</x:v>
      </x:c>
      <x:c r="I90" s="26" t="str">
        <x:v>OPEN</x:v>
      </x:c>
      <x:c r="J90" s="26" t="str">
        <x:v>2026-07-01</x:v>
      </x:c>
      <x:c r="K90" s="26" t="str">
        <x:v>2026-07-31</x:v>
      </x:c>
      <x:c r="L90" s="26"/>
      <x:c r="M90" s="26" t="str">
        <x:v>Control verificable y evidencia ligada a R-PRI-004.</x:v>
      </x:c>
      <x:c r="N90" s="26" t="str">
        <x:v>23, 24, 25, 26, 27, 28, 31; Requisitos distribuidos en TDD, Steam, legal, QA y marketing</x:v>
      </x:c>
      <x:c r="O90" s="26" t="str">
        <x:v>No iniciada</x:v>
      </x:c>
      <x:c r="P90" s="90" t="n">
        <x:v>0</x:v>
      </x:c>
      <x:c r="Q90" s="26" t="str">
        <x:v>No ejecutar cierre sin evidencia.</x:v>
      </x:c>
    </x:row>
    <x:row r="91" ht="30" customHeight="1">
      <x:c r="A91" s="26" t="str">
        <x:v>TA-PRI-005</x:v>
      </x:c>
      <x:c r="B91" s="26" t="str">
        <x:v>R-PRI-005</x:v>
      </x:c>
      <x:c r="C91" s="26" t="str">
        <x:v>Privacy &amp; Telemetry</x:v>
      </x:c>
      <x:c r="D91" s="26" t="str">
        <x:v>Reducir riesgo: Crash report contiene información sensible</x:v>
      </x:c>
      <x:c r="E91" s="26" t="str">
        <x:v>No recopilar hasta justificar; reducir campos, retención y terceros.</x:v>
      </x:c>
      <x:c r="F91" s="26" t="str">
        <x:v>Privacy / Engineering</x:v>
      </x:c>
      <x:c r="G91" s="26" t="str">
        <x:v>Legal / Production</x:v>
      </x:c>
      <x:c r="H91" s="26" t="str">
        <x:v>P1</x:v>
      </x:c>
      <x:c r="I91" s="26" t="str">
        <x:v>OPEN</x:v>
      </x:c>
      <x:c r="J91" s="26" t="str">
        <x:v>2026-07-01</x:v>
      </x:c>
      <x:c r="K91" s="26" t="str">
        <x:v>2026-07-08</x:v>
      </x:c>
      <x:c r="L91" s="26"/>
      <x:c r="M91" s="26" t="str">
        <x:v>Control verificable y evidencia ligada a R-PRI-005.</x:v>
      </x:c>
      <x:c r="N91" s="26" t="str">
        <x:v>23, 24, 25, 26, 27, 28, 31; Requisitos distribuidos en TDD, Steam, legal, QA y marketing</x:v>
      </x:c>
      <x:c r="O91" s="26" t="str">
        <x:v>No iniciada</x:v>
      </x:c>
      <x:c r="P91" s="90" t="n">
        <x:v>0</x:v>
      </x:c>
      <x:c r="Q91" s="26" t="str">
        <x:v>No ejecutar cierre sin evidencia.</x:v>
      </x:c>
    </x:row>
    <x:row r="92" ht="30" customHeight="1">
      <x:c r="A92" s="26" t="str">
        <x:v>TA-PRI-006</x:v>
      </x:c>
      <x:c r="B92" s="26" t="str">
        <x:v>R-PRI-006</x:v>
      </x:c>
      <x:c r="C92" s="26" t="str">
        <x:v>Privacy &amp; Telemetry</x:v>
      </x:c>
      <x:c r="D92" s="26" t="str">
        <x:v>Reducir riesgo: Datos de comunidad se gestionan sin aviso/opt-out</x:v>
      </x:c>
      <x:c r="E92" s="26" t="str">
        <x:v>No recopilar hasta justificar; reducir campos, retención y terceros.</x:v>
      </x:c>
      <x:c r="F92" s="26" t="str">
        <x:v>Privacy / Engineering</x:v>
      </x:c>
      <x:c r="G92" s="26" t="str">
        <x:v>Legal / Production</x:v>
      </x:c>
      <x:c r="H92" s="26" t="str">
        <x:v>P2</x:v>
      </x:c>
      <x:c r="I92" s="26" t="str">
        <x:v>OPEN</x:v>
      </x:c>
      <x:c r="J92" s="26" t="str">
        <x:v>2026-07-01</x:v>
      </x:c>
      <x:c r="K92" s="26" t="str">
        <x:v>2026-07-31</x:v>
      </x:c>
      <x:c r="L92" s="26"/>
      <x:c r="M92" s="26" t="str">
        <x:v>Control verificable y evidencia ligada a R-PRI-006.</x:v>
      </x:c>
      <x:c r="N92" s="26" t="str">
        <x:v>23, 24, 25, 26, 27, 28, 31; Requisitos distribuidos en TDD, Steam, legal, QA y marketing</x:v>
      </x:c>
      <x:c r="O92" s="26" t="str">
        <x:v>No iniciada</x:v>
      </x:c>
      <x:c r="P92" s="90" t="n">
        <x:v>0</x:v>
      </x:c>
      <x:c r="Q92" s="26" t="str">
        <x:v>No ejecutar cierre sin evidencia.</x:v>
      </x:c>
    </x:row>
    <x:row r="93" ht="30" customHeight="1">
      <x:c r="A93" s="26" t="str">
        <x:v>TA-LEG-001</x:v>
      </x:c>
      <x:c r="B93" s="26" t="str">
        <x:v>R-LEG-001</x:v>
      </x:c>
      <x:c r="C93" s="26" t="str">
        <x:v>Legal, IP &amp; Compliance</x:v>
      </x:c>
      <x:c r="D93" s="26" t="str">
        <x:v>Reducir riesgo: Título o VRM Games entra en conflicto con tercero</x:v>
      </x:c>
      <x:c r="E93" s="26" t="str">
        <x:v>Obtener permiso, sustituir asset/copy, limitar claim o retirar distribución.</x:v>
      </x:c>
      <x:c r="F93" s="26" t="str">
        <x:v>Legal / Project Owner</x:v>
      </x:c>
      <x:c r="G93" s="26" t="str">
        <x:v>Production</x:v>
      </x:c>
      <x:c r="H93" s="26" t="str">
        <x:v>P1</x:v>
      </x:c>
      <x:c r="I93" s="26" t="str">
        <x:v>OPEN</x:v>
      </x:c>
      <x:c r="J93" s="26" t="str">
        <x:v>2026-07-01</x:v>
      </x:c>
      <x:c r="K93" s="26" t="str">
        <x:v>2026-07-31</x:v>
      </x:c>
      <x:c r="L93" s="26"/>
      <x:c r="M93" s="26" t="str">
        <x:v>Control verificable y evidencia ligada a R-LEG-001.</x:v>
      </x:c>
      <x:c r="N93" s="26" t="str">
        <x:v>17, 18, 19, 21, 22, 23, 24, 26, 28, 29, 31; Legal/Credits/Licenses v0.3–v0.6 y provenance de assets</x:v>
      </x:c>
      <x:c r="O93" s="26" t="str">
        <x:v>No iniciada</x:v>
      </x:c>
      <x:c r="P93" s="90" t="n">
        <x:v>0</x:v>
      </x:c>
      <x:c r="Q93" s="26" t="str">
        <x:v>No ejecutar cierre sin evidencia.</x:v>
      </x:c>
    </x:row>
    <x:row r="94" ht="30" customHeight="1">
      <x:c r="A94" s="26" t="str">
        <x:v>TA-LEG-002</x:v>
      </x:c>
      <x:c r="B94" s="26" t="str">
        <x:v>R-LEG-002</x:v>
      </x:c>
      <x:c r="C94" s="26" t="str">
        <x:v>Legal, IP &amp; Compliance</x:v>
      </x:c>
      <x:c r="D94" s="26" t="str">
        <x:v>Reducir riesgo: Asset carece de licencia/provenance suficiente</x:v>
      </x:c>
      <x:c r="E94" s="26" t="str">
        <x:v>Obtener permiso, sustituir asset/copy, limitar claim o retirar distribución.</x:v>
      </x:c>
      <x:c r="F94" s="26" t="str">
        <x:v>Legal / Project Owner</x:v>
      </x:c>
      <x:c r="G94" s="26" t="str">
        <x:v>Production</x:v>
      </x:c>
      <x:c r="H94" s="26" t="str">
        <x:v>P1</x:v>
      </x:c>
      <x:c r="I94" s="26" t="str">
        <x:v>OPEN</x:v>
      </x:c>
      <x:c r="J94" s="26" t="str">
        <x:v>2026-07-01</x:v>
      </x:c>
      <x:c r="K94" s="26" t="str">
        <x:v>2026-07-08</x:v>
      </x:c>
      <x:c r="L94" s="26"/>
      <x:c r="M94" s="26" t="str">
        <x:v>Control verificable y evidencia ligada a R-LEG-002.</x:v>
      </x:c>
      <x:c r="N94" s="26" t="str">
        <x:v>17, 18, 19, 21, 22, 23, 24, 26, 28, 29, 31; Legal/Credits/Licenses v0.3–v0.6 y provenance de assets</x:v>
      </x:c>
      <x:c r="O94" s="26" t="str">
        <x:v>No iniciada</x:v>
      </x:c>
      <x:c r="P94" s="90" t="n">
        <x:v>0</x:v>
      </x:c>
      <x:c r="Q94" s="26" t="str">
        <x:v>No ejecutar cierre sin evidencia.</x:v>
      </x:c>
    </x:row>
    <x:row r="95" ht="30" customHeight="1">
      <x:c r="A95" s="26" t="str">
        <x:v>TA-LEG-003</x:v>
      </x:c>
      <x:c r="B95" s="26" t="str">
        <x:v>R-LEG-003</x:v>
      </x:c>
      <x:c r="C95" s="26" t="str">
        <x:v>Legal, IP &amp; Compliance</x:v>
      </x:c>
      <x:c r="D95" s="26" t="str">
        <x:v>Reducir riesgo: Audio final no permite distribución comercial</x:v>
      </x:c>
      <x:c r="E95" s="26" t="str">
        <x:v>Obtener permiso, sustituir asset/copy, limitar claim o retirar distribución.</x:v>
      </x:c>
      <x:c r="F95" s="26" t="str">
        <x:v>Legal / Project Owner</x:v>
      </x:c>
      <x:c r="G95" s="26" t="str">
        <x:v>Production</x:v>
      </x:c>
      <x:c r="H95" s="26" t="str">
        <x:v>P1</x:v>
      </x:c>
      <x:c r="I95" s="26" t="str">
        <x:v>OPEN</x:v>
      </x:c>
      <x:c r="J95" s="26" t="str">
        <x:v>2026-07-01</x:v>
      </x:c>
      <x:c r="K95" s="26" t="str">
        <x:v>2026-07-08</x:v>
      </x:c>
      <x:c r="L95" s="26"/>
      <x:c r="M95" s="26" t="str">
        <x:v>Control verificable y evidencia ligada a R-LEG-003.</x:v>
      </x:c>
      <x:c r="N95" s="26" t="str">
        <x:v>17, 18, 19, 21, 22, 23, 24, 26, 28, 29, 31; Legal/Credits/Licenses v0.3–v0.6 y provenance de assets</x:v>
      </x:c>
      <x:c r="O95" s="26" t="str">
        <x:v>No iniciada</x:v>
      </x:c>
      <x:c r="P95" s="90" t="n">
        <x:v>0</x:v>
      </x:c>
      <x:c r="Q95" s="26" t="str">
        <x:v>No ejecutar cierre sin evidencia.</x:v>
      </x:c>
    </x:row>
    <x:row r="96" ht="30" customHeight="1">
      <x:c r="A96" s="26" t="str">
        <x:v>TA-LEG-004</x:v>
      </x:c>
      <x:c r="B96" s="26" t="str">
        <x:v>R-LEG-004</x:v>
      </x:c>
      <x:c r="C96" s="26" t="str">
        <x:v>Legal, IP &amp; Compliance</x:v>
      </x:c>
      <x:c r="D96" s="26" t="str">
        <x:v>Reducir riesgo: Fuente UI no autoriza uso/redistribución</x:v>
      </x:c>
      <x:c r="E96" s="26" t="str">
        <x:v>Obtener permiso, sustituir asset/copy, limitar claim o retirar distribución.</x:v>
      </x:c>
      <x:c r="F96" s="26" t="str">
        <x:v>Legal / Project Owner</x:v>
      </x:c>
      <x:c r="G96" s="26" t="str">
        <x:v>Production</x:v>
      </x:c>
      <x:c r="H96" s="26" t="str">
        <x:v>P1</x:v>
      </x:c>
      <x:c r="I96" s="26" t="str">
        <x:v>OPEN</x:v>
      </x:c>
      <x:c r="J96" s="26" t="str">
        <x:v>2026-07-01</x:v>
      </x:c>
      <x:c r="K96" s="26" t="str">
        <x:v>2026-07-08</x:v>
      </x:c>
      <x:c r="L96" s="26"/>
      <x:c r="M96" s="26" t="str">
        <x:v>Control verificable y evidencia ligada a R-LEG-004.</x:v>
      </x:c>
      <x:c r="N96" s="26" t="str">
        <x:v>17, 18, 19, 21, 22, 23, 24, 26, 28, 29, 31; Legal/Credits/Licenses v0.3–v0.6 y provenance de assets</x:v>
      </x:c>
      <x:c r="O96" s="26" t="str">
        <x:v>No iniciada</x:v>
      </x:c>
      <x:c r="P96" s="90" t="n">
        <x:v>0</x:v>
      </x:c>
      <x:c r="Q96" s="26" t="str">
        <x:v>No ejecutar cierre sin evidencia.</x:v>
      </x:c>
    </x:row>
    <x:row r="97" ht="30" customHeight="1">
      <x:c r="A97" s="26" t="str">
        <x:v>TA-LEG-005</x:v>
      </x:c>
      <x:c r="B97" s="26" t="str">
        <x:v>R-LEG-005</x:v>
      </x:c>
      <x:c r="C97" s="26" t="str">
        <x:v>Legal, IP &amp; Compliance</x:v>
      </x:c>
      <x:c r="D97" s="26" t="str">
        <x:v>Reducir riesgo: Notices o credits están incompletos</x:v>
      </x:c>
      <x:c r="E97" s="26" t="str">
        <x:v>Obtener permiso, sustituir asset/copy, limitar claim o retirar distribución.</x:v>
      </x:c>
      <x:c r="F97" s="26" t="str">
        <x:v>Legal / Project Owner</x:v>
      </x:c>
      <x:c r="G97" s="26" t="str">
        <x:v>Production</x:v>
      </x:c>
      <x:c r="H97" s="26" t="str">
        <x:v>P1</x:v>
      </x:c>
      <x:c r="I97" s="26" t="str">
        <x:v>OPEN</x:v>
      </x:c>
      <x:c r="J97" s="26" t="str">
        <x:v>2026-07-01</x:v>
      </x:c>
      <x:c r="K97" s="26" t="str">
        <x:v>2026-07-31</x:v>
      </x:c>
      <x:c r="L97" s="26"/>
      <x:c r="M97" s="26" t="str">
        <x:v>Control verificable y evidencia ligada a R-LEG-005.</x:v>
      </x:c>
      <x:c r="N97" s="26" t="str">
        <x:v>17, 18, 19, 21, 22, 23, 24, 26, 28, 29, 31; Legal/Credits/Licenses v0.3–v0.6 y provenance de assets</x:v>
      </x:c>
      <x:c r="O97" s="26" t="str">
        <x:v>No iniciada</x:v>
      </x:c>
      <x:c r="P97" s="90" t="n">
        <x:v>0</x:v>
      </x:c>
      <x:c r="Q97" s="26" t="str">
        <x:v>No ejecutar cierre sin evidencia.</x:v>
      </x:c>
    </x:row>
    <x:row r="98" ht="30" customHeight="1">
      <x:c r="A98" s="26" t="str">
        <x:v>TA-LEG-006</x:v>
      </x:c>
      <x:c r="B98" s="26" t="str">
        <x:v>R-LEG-006</x:v>
      </x:c>
      <x:c r="C98" s="26" t="str">
        <x:v>Legal, IP &amp; Compliance</x:v>
      </x:c>
      <x:c r="D98" s="26" t="str">
        <x:v>Reducir riesgo: Store page realiza claim no demostrable</x:v>
      </x:c>
      <x:c r="E98" s="26" t="str">
        <x:v>Obtener permiso, sustituir asset/copy, limitar claim o retirar distribución.</x:v>
      </x:c>
      <x:c r="F98" s="26" t="str">
        <x:v>Legal / Project Owner</x:v>
      </x:c>
      <x:c r="G98" s="26" t="str">
        <x:v>Production</x:v>
      </x:c>
      <x:c r="H98" s="26" t="str">
        <x:v>P1</x:v>
      </x:c>
      <x:c r="I98" s="26" t="str">
        <x:v>OPEN</x:v>
      </x:c>
      <x:c r="J98" s="26" t="str">
        <x:v>2026-07-01</x:v>
      </x:c>
      <x:c r="K98" s="26" t="str">
        <x:v>2026-07-08</x:v>
      </x:c>
      <x:c r="L98" s="26"/>
      <x:c r="M98" s="26" t="str">
        <x:v>Control verificable y evidencia ligada a R-LEG-006.</x:v>
      </x:c>
      <x:c r="N98" s="26" t="str">
        <x:v>17, 18, 19, 21, 22, 23, 24, 26, 28, 29, 31; Legal/Credits/Licenses v0.3–v0.6 y provenance de assets</x:v>
      </x:c>
      <x:c r="O98" s="26" t="str">
        <x:v>No iniciada</x:v>
      </x:c>
      <x:c r="P98" s="90" t="n">
        <x:v>0</x:v>
      </x:c>
      <x:c r="Q98" s="26" t="str">
        <x:v>No ejecutar cierre sin evidencia.</x:v>
      </x:c>
    </x:row>
    <x:row r="99" ht="30" customHeight="1">
      <x:c r="A99" s="26" t="str">
        <x:v>TA-LEG-007</x:v>
      </x:c>
      <x:c r="B99" s="26" t="str">
        <x:v>R-LEG-007</x:v>
      </x:c>
      <x:c r="C99" s="26" t="str">
        <x:v>Legal, IP &amp; Compliance</x:v>
      </x:c>
      <x:c r="D99" s="26" t="str">
        <x:v>Reducir riesgo: Política no refleja prácticas reales</x:v>
      </x:c>
      <x:c r="E99" s="26" t="str">
        <x:v>Obtener permiso, sustituir asset/copy, limitar claim o retirar distribución.</x:v>
      </x:c>
      <x:c r="F99" s="26" t="str">
        <x:v>Legal / Project Owner</x:v>
      </x:c>
      <x:c r="G99" s="26" t="str">
        <x:v>Production</x:v>
      </x:c>
      <x:c r="H99" s="26" t="str">
        <x:v>P2</x:v>
      </x:c>
      <x:c r="I99" s="26" t="str">
        <x:v>OPEN</x:v>
      </x:c>
      <x:c r="J99" s="26" t="str">
        <x:v>2026-07-01</x:v>
      </x:c>
      <x:c r="K99" s="26" t="str">
        <x:v>2026-07-08</x:v>
      </x:c>
      <x:c r="L99" s="26"/>
      <x:c r="M99" s="26" t="str">
        <x:v>Control verificable y evidencia ligada a R-LEG-007.</x:v>
      </x:c>
      <x:c r="N99" s="26" t="str">
        <x:v>17, 18, 19, 21, 22, 23, 24, 26, 28, 29, 31; Legal/Credits/Licenses v0.3–v0.6 y provenance de assets</x:v>
      </x:c>
      <x:c r="O99" s="26" t="str">
        <x:v>No iniciada</x:v>
      </x:c>
      <x:c r="P99" s="90" t="n">
        <x:v>0</x:v>
      </x:c>
      <x:c r="Q99" s="26" t="str">
        <x:v>No ejecutar cierre sin evidencia.</x:v>
      </x:c>
    </x:row>
    <x:row r="100" ht="30" customHeight="1">
      <x:c r="A100" s="26" t="str">
        <x:v>TA-LEG-008</x:v>
      </x:c>
      <x:c r="B100" s="26" t="str">
        <x:v>R-LEG-008</x:v>
      </x:c>
      <x:c r="C100" s="26" t="str">
        <x:v>Legal, IP &amp; Compliance</x:v>
      </x:c>
      <x:c r="D100" s="26" t="str">
        <x:v>Reducir riesgo: Distribución entra en territorio/requisito no cubierto</x:v>
      </x:c>
      <x:c r="E100" s="26" t="str">
        <x:v>Obtener permiso, sustituir asset/copy, limitar claim o retirar distribución.</x:v>
      </x:c>
      <x:c r="F100" s="26" t="str">
        <x:v>Legal / Project Owner</x:v>
      </x:c>
      <x:c r="G100" s="26" t="str">
        <x:v>Production</x:v>
      </x:c>
      <x:c r="H100" s="26" t="str">
        <x:v>P2</x:v>
      </x:c>
      <x:c r="I100" s="26" t="str">
        <x:v>OPEN</x:v>
      </x:c>
      <x:c r="J100" s="26" t="str">
        <x:v>2026-07-01</x:v>
      </x:c>
      <x:c r="K100" s="26" t="str">
        <x:v>2026-07-31</x:v>
      </x:c>
      <x:c r="L100" s="26"/>
      <x:c r="M100" s="26" t="str">
        <x:v>Control verificable y evidencia ligada a R-LEG-008.</x:v>
      </x:c>
      <x:c r="N100" s="26" t="str">
        <x:v>17, 18, 19, 21, 22, 23, 24, 26, 28, 29, 31; Legal/Credits/Licenses v0.3–v0.6 y provenance de assets</x:v>
      </x:c>
      <x:c r="O100" s="26" t="str">
        <x:v>No iniciada</x:v>
      </x:c>
      <x:c r="P100" s="90" t="n">
        <x:v>0</x:v>
      </x:c>
      <x:c r="Q100" s="26" t="str">
        <x:v>No ejecutar cierre sin evidencia.</x:v>
      </x:c>
    </x:row>
    <x:row r="101" ht="30" customHeight="1">
      <x:c r="A101" s="26" t="str">
        <x:v>TA-PUB-001</x:v>
      </x:c>
      <x:c r="B101" s="26" t="str">
        <x:v>R-PUB-001</x:v>
      </x:c>
      <x:c r="C101" s="26" t="str">
        <x:v>Publishing, Marketing &amp; Reputation</x:v>
      </x:c>
      <x:c r="D101" s="26" t="str">
        <x:v>Reducir riesgo: Steam Coming Soon se publica antes de gates</x:v>
      </x:c>
      <x:c r="E101" s="26" t="str">
        <x:v>Alinear mensaje con build, corregir expectativas y preparar respuesta pública.</x:v>
      </x:c>
      <x:c r="F101" s="26" t="str">
        <x:v>Publishing / Marketing</x:v>
      </x:c>
      <x:c r="G101" s="26" t="str">
        <x:v>Project Owner</x:v>
      </x:c>
      <x:c r="H101" s="26" t="str">
        <x:v>P1</x:v>
      </x:c>
      <x:c r="I101" s="26" t="str">
        <x:v>OPEN</x:v>
      </x:c>
      <x:c r="J101" s="26" t="str">
        <x:v>2026-07-01</x:v>
      </x:c>
      <x:c r="K101" s="26" t="str">
        <x:v>2026-07-08</x:v>
      </x:c>
      <x:c r="L101" s="26"/>
      <x:c r="M101" s="26" t="str">
        <x:v>Control verificable y evidencia ligada a R-PUB-001.</x:v>
      </x:c>
      <x:c r="N101" s="26" t="str">
        <x:v>23, 24, 25, 27, 28, 29, 30, 31; Steam/Marketing Plans v0.3–v0.6 y requisitos de publicación</x:v>
      </x:c>
      <x:c r="O101" s="26" t="str">
        <x:v>No iniciada</x:v>
      </x:c>
      <x:c r="P101" s="90" t="n">
        <x:v>0</x:v>
      </x:c>
      <x:c r="Q101" s="26" t="str">
        <x:v>No ejecutar cierre sin evidencia.</x:v>
      </x:c>
    </x:row>
    <x:row r="102" ht="30" customHeight="1">
      <x:c r="A102" s="26" t="str">
        <x:v>TA-PUB-002</x:v>
      </x:c>
      <x:c r="B102" s="26" t="str">
        <x:v>R-PUB-002</x:v>
      </x:c>
      <x:c r="C102" s="26" t="str">
        <x:v>Publishing, Marketing &amp; Reputation</x:v>
      </x:c>
      <x:c r="D102" s="26" t="str">
        <x:v>Reducir riesgo: Build enviada no corresponde a assets/copy</x:v>
      </x:c>
      <x:c r="E102" s="26" t="str">
        <x:v>Alinear mensaje con build, corregir expectativas y preparar respuesta pública.</x:v>
      </x:c>
      <x:c r="F102" s="26" t="str">
        <x:v>Publishing / Marketing</x:v>
      </x:c>
      <x:c r="G102" s="26" t="str">
        <x:v>Project Owner</x:v>
      </x:c>
      <x:c r="H102" s="26" t="str">
        <x:v>P2</x:v>
      </x:c>
      <x:c r="I102" s="26" t="str">
        <x:v>OPEN</x:v>
      </x:c>
      <x:c r="J102" s="26" t="str">
        <x:v>2026-07-01</x:v>
      </x:c>
      <x:c r="K102" s="26" t="str">
        <x:v>2026-07-08</x:v>
      </x:c>
      <x:c r="L102" s="26"/>
      <x:c r="M102" s="26" t="str">
        <x:v>Control verificable y evidencia ligada a R-PUB-002.</x:v>
      </x:c>
      <x:c r="N102" s="26" t="str">
        <x:v>23, 24, 25, 27, 28, 29, 30, 31; Steam/Marketing Plans v0.3–v0.6 y requisitos de publicación</x:v>
      </x:c>
      <x:c r="O102" s="26" t="str">
        <x:v>No iniciada</x:v>
      </x:c>
      <x:c r="P102" s="90" t="n">
        <x:v>0</x:v>
      </x:c>
      <x:c r="Q102" s="26" t="str">
        <x:v>No ejecutar cierre sin evidencia.</x:v>
      </x:c>
    </x:row>
    <x:row r="103" ht="30" customHeight="1">
      <x:c r="A103" s="26" t="str">
        <x:v>TA-PUB-003</x:v>
      </x:c>
      <x:c r="B103" s="26" t="str">
        <x:v>R-PUB-003</x:v>
      </x:c>
      <x:c r="C103" s="26" t="str">
        <x:v>Publishing, Marketing &amp; Reputation</x:v>
      </x:c>
      <x:c r="D103" s="26" t="str">
        <x:v>Reducir riesgo: Campaña promete sistemas o calidad futura</x:v>
      </x:c>
      <x:c r="E103" s="26" t="str">
        <x:v>Alinear mensaje con build, corregir expectativas y preparar respuesta pública.</x:v>
      </x:c>
      <x:c r="F103" s="26" t="str">
        <x:v>Publishing / Marketing</x:v>
      </x:c>
      <x:c r="G103" s="26" t="str">
        <x:v>Project Owner</x:v>
      </x:c>
      <x:c r="H103" s="26" t="str">
        <x:v>P0</x:v>
      </x:c>
      <x:c r="I103" s="26" t="str">
        <x:v>OPEN</x:v>
      </x:c>
      <x:c r="J103" s="26" t="str">
        <x:v>2026-07-01</x:v>
      </x:c>
      <x:c r="K103" s="26" t="str">
        <x:v>2026-07-08</x:v>
      </x:c>
      <x:c r="L103" s="26"/>
      <x:c r="M103" s="26" t="str">
        <x:v>Control verificable y evidencia ligada a R-PUB-003.</x:v>
      </x:c>
      <x:c r="N103" s="26" t="str">
        <x:v>23, 24, 25, 27, 28, 29, 30, 31; Steam/Marketing Plans v0.3–v0.6 y requisitos de publicación</x:v>
      </x:c>
      <x:c r="O103" s="26" t="str">
        <x:v>No iniciada</x:v>
      </x:c>
      <x:c r="P103" s="90" t="n">
        <x:v>0</x:v>
      </x:c>
      <x:c r="Q103" s="26" t="str">
        <x:v>No ejecutar cierre sin evidencia.</x:v>
      </x:c>
    </x:row>
    <x:row r="104" ht="30" customHeight="1">
      <x:c r="A104" s="26" t="str">
        <x:v>TA-PUB-004</x:v>
      </x:c>
      <x:c r="B104" s="26" t="str">
        <x:v>R-PUB-004</x:v>
      </x:c>
      <x:c r="C104" s="26" t="str">
        <x:v>Publishing, Marketing &amp; Reputation</x:v>
      </x:c>
      <x:c r="D104" s="26" t="str">
        <x:v>Reducir riesgo: Canales abiertos superan capacidad de moderación</x:v>
      </x:c>
      <x:c r="E104" s="26" t="str">
        <x:v>Alinear mensaje con build, corregir expectativas y preparar respuesta pública.</x:v>
      </x:c>
      <x:c r="F104" s="26" t="str">
        <x:v>Publishing / Marketing</x:v>
      </x:c>
      <x:c r="G104" s="26" t="str">
        <x:v>Project Owner</x:v>
      </x:c>
      <x:c r="H104" s="26" t="str">
        <x:v>P1</x:v>
      </x:c>
      <x:c r="I104" s="26" t="str">
        <x:v>OPEN</x:v>
      </x:c>
      <x:c r="J104" s="26" t="str">
        <x:v>2026-07-01</x:v>
      </x:c>
      <x:c r="K104" s="26" t="str">
        <x:v>2026-07-31</x:v>
      </x:c>
      <x:c r="L104" s="26"/>
      <x:c r="M104" s="26" t="str">
        <x:v>Control verificable y evidencia ligada a R-PUB-004.</x:v>
      </x:c>
      <x:c r="N104" s="26" t="str">
        <x:v>23, 24, 25, 27, 28, 29, 30, 31; Steam/Marketing Plans v0.3–v0.6 y requisitos de publicación</x:v>
      </x:c>
      <x:c r="O104" s="26" t="str">
        <x:v>No iniciada</x:v>
      </x:c>
      <x:c r="P104" s="90" t="n">
        <x:v>0</x:v>
      </x:c>
      <x:c r="Q104" s="26" t="str">
        <x:v>No ejecutar cierre sin evidencia.</x:v>
      </x:c>
    </x:row>
    <x:row r="105" ht="30" customHeight="1">
      <x:c r="A105" s="26" t="str">
        <x:v>TA-PUB-005</x:v>
      </x:c>
      <x:c r="B105" s="26" t="str">
        <x:v>R-PUB-005</x:v>
      </x:c>
      <x:c r="C105" s="26" t="str">
        <x:v>Publishing, Marketing &amp; Reputation</x:v>
      </x:c>
      <x:c r="D105" s="26" t="str">
        <x:v>Reducir riesgo: Demo o reveal inmaduro fija percepción adversa</x:v>
      </x:c>
      <x:c r="E105" s="26" t="str">
        <x:v>Alinear mensaje con build, corregir expectativas y preparar respuesta pública.</x:v>
      </x:c>
      <x:c r="F105" s="26" t="str">
        <x:v>Publishing / Marketing</x:v>
      </x:c>
      <x:c r="G105" s="26" t="str">
        <x:v>Project Owner</x:v>
      </x:c>
      <x:c r="H105" s="26" t="str">
        <x:v>P1</x:v>
      </x:c>
      <x:c r="I105" s="26" t="str">
        <x:v>OPEN</x:v>
      </x:c>
      <x:c r="J105" s="26" t="str">
        <x:v>2026-07-01</x:v>
      </x:c>
      <x:c r="K105" s="26" t="str">
        <x:v>2026-07-08</x:v>
      </x:c>
      <x:c r="L105" s="26"/>
      <x:c r="M105" s="26" t="str">
        <x:v>Control verificable y evidencia ligada a R-PUB-005.</x:v>
      </x:c>
      <x:c r="N105" s="26" t="str">
        <x:v>23, 24, 25, 27, 28, 29, 30, 31; Steam/Marketing Plans v0.3–v0.6 y requisitos de publicación</x:v>
      </x:c>
      <x:c r="O105" s="26" t="str">
        <x:v>No iniciada</x:v>
      </x:c>
      <x:c r="P105" s="90" t="n">
        <x:v>0</x:v>
      </x:c>
      <x:c r="Q105" s="26" t="str">
        <x:v>No ejecutar cierre sin evidencia.</x:v>
      </x:c>
    </x:row>
    <x:row r="106" ht="30" customHeight="1">
      <x:c r="A106" s="26" t="str">
        <x:v>TA-PUB-006</x:v>
      </x:c>
      <x:c r="B106" s="26" t="str">
        <x:v>R-PUB-006</x:v>
      </x:c>
      <x:c r="C106" s="26" t="str">
        <x:v>Publishing, Marketing &amp; Reputation</x:v>
      </x:c>
      <x:c r="D106" s="26" t="str">
        <x:v>Reducir riesgo: Tercero suplanta estudio/producto</x:v>
      </x:c>
      <x:c r="E106" s="26" t="str">
        <x:v>Alinear mensaje con build, corregir expectativas y preparar respuesta pública.</x:v>
      </x:c>
      <x:c r="F106" s="26" t="str">
        <x:v>Publishing / Marketing</x:v>
      </x:c>
      <x:c r="G106" s="26" t="str">
        <x:v>Project Owner</x:v>
      </x:c>
      <x:c r="H106" s="26" t="str">
        <x:v>P2</x:v>
      </x:c>
      <x:c r="I106" s="26" t="str">
        <x:v>OPEN</x:v>
      </x:c>
      <x:c r="J106" s="26" t="str">
        <x:v>2026-07-01</x:v>
      </x:c>
      <x:c r="K106" s="26" t="str">
        <x:v>2026-07-08</x:v>
      </x:c>
      <x:c r="L106" s="26"/>
      <x:c r="M106" s="26" t="str">
        <x:v>Control verificable y evidencia ligada a R-PUB-006.</x:v>
      </x:c>
      <x:c r="N106" s="26" t="str">
        <x:v>23, 24, 25, 27, 28, 29, 30, 31; Steam/Marketing Plans v0.3–v0.6 y requisitos de publicación</x:v>
      </x:c>
      <x:c r="O106" s="26" t="str">
        <x:v>No iniciada</x:v>
      </x:c>
      <x:c r="P106" s="90" t="n">
        <x:v>0</x:v>
      </x:c>
      <x:c r="Q106" s="26" t="str">
        <x:v>No ejecutar cierre sin evidencia.</x:v>
      </x:c>
    </x:row>
    <x:row r="107" ht="30" customHeight="1">
      <x:c r="A107" s="26" t="str">
        <x:v>TA-PUB-007</x:v>
      </x:c>
      <x:c r="B107" s="26" t="str">
        <x:v>R-PUB-007</x:v>
      </x:c>
      <x:c r="C107" s="26" t="str">
        <x:v>Publishing, Marketing &amp; Reputation</x:v>
      </x:c>
      <x:c r="D107" s="26" t="str">
        <x:v>Reducir riesgo: Material no aprobado se distribuye antes de embargo</x:v>
      </x:c>
      <x:c r="E107" s="26" t="str">
        <x:v>Alinear mensaje con build, corregir expectativas y preparar respuesta pública.</x:v>
      </x:c>
      <x:c r="F107" s="26" t="str">
        <x:v>Publishing / Marketing</x:v>
      </x:c>
      <x:c r="G107" s="26" t="str">
        <x:v>Project Owner</x:v>
      </x:c>
      <x:c r="H107" s="26" t="str">
        <x:v>P2</x:v>
      </x:c>
      <x:c r="I107" s="26" t="str">
        <x:v>OPEN</x:v>
      </x:c>
      <x:c r="J107" s="26" t="str">
        <x:v>2026-07-01</x:v>
      </x:c>
      <x:c r="K107" s="26" t="str">
        <x:v>2026-07-08</x:v>
      </x:c>
      <x:c r="L107" s="26"/>
      <x:c r="M107" s="26" t="str">
        <x:v>Control verificable y evidencia ligada a R-PUB-007.</x:v>
      </x:c>
      <x:c r="N107" s="26" t="str">
        <x:v>23, 24, 25, 27, 28, 29, 30, 31; Steam/Marketing Plans v0.3–v0.6 y requisitos de publicación</x:v>
      </x:c>
      <x:c r="O107" s="26" t="str">
        <x:v>No iniciada</x:v>
      </x:c>
      <x:c r="P107" s="90" t="n">
        <x:v>0</x:v>
      </x:c>
      <x:c r="Q107" s="26" t="str">
        <x:v>No ejecutar cierre sin evidencia.</x:v>
      </x:c>
    </x:row>
    <x:row r="108" ht="30" customHeight="1">
      <x:c r="A108" s="26" t="str">
        <x:v>TA-PUB-008</x:v>
      </x:c>
      <x:c r="B108" s="26" t="str">
        <x:v>R-PUB-008</x:v>
      </x:c>
      <x:c r="C108" s="26" t="str">
        <x:v>Publishing, Marketing &amp; Reputation</x:v>
      </x:c>
      <x:c r="D108" s="26" t="str">
        <x:v>Reducir riesgo: Descubrimiento depende de un único canal</x:v>
      </x:c>
      <x:c r="E108" s="26" t="str">
        <x:v>Alinear mensaje con build, corregir expectativas y preparar respuesta pública.</x:v>
      </x:c>
      <x:c r="F108" s="26" t="str">
        <x:v>Publishing / Marketing</x:v>
      </x:c>
      <x:c r="G108" s="26" t="str">
        <x:v>Project Owner</x:v>
      </x:c>
      <x:c r="H108" s="26" t="str">
        <x:v>P1</x:v>
      </x:c>
      <x:c r="I108" s="26" t="str">
        <x:v>OPEN</x:v>
      </x:c>
      <x:c r="J108" s="26" t="str">
        <x:v>2026-07-01</x:v>
      </x:c>
      <x:c r="K108" s="26" t="str">
        <x:v>2026-07-31</x:v>
      </x:c>
      <x:c r="L108" s="26"/>
      <x:c r="M108" s="26" t="str">
        <x:v>Control verificable y evidencia ligada a R-PUB-008.</x:v>
      </x:c>
      <x:c r="N108" s="26" t="str">
        <x:v>23, 24, 25, 27, 28, 29, 30, 31; Steam/Marketing Plans v0.3–v0.6 y requisitos de publicación</x:v>
      </x:c>
      <x:c r="O108" s="26" t="str">
        <x:v>No iniciada</x:v>
      </x:c>
      <x:c r="P108" s="90" t="n">
        <x:v>0</x:v>
      </x:c>
      <x:c r="Q108" s="26" t="str">
        <x:v>No ejecutar cierre sin evidencia.</x:v>
      </x:c>
    </x:row>
    <x:row r="109" ht="30" customHeight="1">
      <x:c r="A109" s="26" t="str">
        <x:v>TA-ACC-001</x:v>
      </x:c>
      <x:c r="B109" s="26" t="str">
        <x:v>R-ACC-001</x:v>
      </x:c>
      <x:c r="C109" s="26" t="str">
        <x:v>Accessibility &amp; Inclusion</x:v>
      </x:c>
      <x:c r="D109" s="26" t="str">
        <x:v>Reducir riesgo: Golden Path requiere interacción no accesible por teclado</x:v>
      </x:c>
      <x:c r="E109" s="26" t="str">
        <x:v>Eliminar barrera, añadir alternativa y probar Golden Path por modalidad.</x:v>
      </x:c>
      <x:c r="F109" s="26" t="str">
        <x:v>Accessibility / UX / QA</x:v>
      </x:c>
      <x:c r="G109" s="26" t="str">
        <x:v>Production</x:v>
      </x:c>
      <x:c r="H109" s="26" t="str">
        <x:v>P1</x:v>
      </x:c>
      <x:c r="I109" s="26" t="str">
        <x:v>OPEN</x:v>
      </x:c>
      <x:c r="J109" s="26" t="str">
        <x:v>2026-07-01</x:v>
      </x:c>
      <x:c r="K109" s="26" t="str">
        <x:v>2026-07-08</x:v>
      </x:c>
      <x:c r="L109" s="26"/>
      <x:c r="M109" s="26" t="str">
        <x:v>Control verificable y evidencia ligada a R-ACC-001.</x:v>
      </x:c>
      <x:c r="N109" s="26" t="str">
        <x:v>05, 07, 08, 17, 18, 19, 22, 24, 28, 29, 31; UX/UI/GDD/QA/localización/arte/audio distribuidos en v0.3–v0.6</x:v>
      </x:c>
      <x:c r="O109" s="26" t="str">
        <x:v>No iniciada</x:v>
      </x:c>
      <x:c r="P109" s="90" t="n">
        <x:v>0</x:v>
      </x:c>
      <x:c r="Q109" s="26" t="str">
        <x:v>No ejecutar cierre sin evidencia.</x:v>
      </x:c>
    </x:row>
    <x:row r="110" ht="30" customHeight="1">
      <x:c r="A110" s="26" t="str">
        <x:v>TA-ACC-002</x:v>
      </x:c>
      <x:c r="B110" s="26" t="str">
        <x:v>R-ACC-002</x:v>
      </x:c>
      <x:c r="C110" s="26" t="str">
        <x:v>Accessibility &amp; Inclusion</x:v>
      </x:c>
      <x:c r="D110" s="26" t="str">
        <x:v>Reducir riesgo: Se declara mando completo sin prueba integral</x:v>
      </x:c>
      <x:c r="E110" s="26" t="str">
        <x:v>Eliminar barrera, añadir alternativa y probar Golden Path por modalidad.</x:v>
      </x:c>
      <x:c r="F110" s="26" t="str">
        <x:v>Accessibility / UX / QA</x:v>
      </x:c>
      <x:c r="G110" s="26" t="str">
        <x:v>Production</x:v>
      </x:c>
      <x:c r="H110" s="26" t="str">
        <x:v>P1</x:v>
      </x:c>
      <x:c r="I110" s="26" t="str">
        <x:v>OPEN</x:v>
      </x:c>
      <x:c r="J110" s="26" t="str">
        <x:v>2026-07-01</x:v>
      </x:c>
      <x:c r="K110" s="26" t="str">
        <x:v>2026-07-08</x:v>
      </x:c>
      <x:c r="L110" s="26"/>
      <x:c r="M110" s="26" t="str">
        <x:v>Control verificable y evidencia ligada a R-ACC-002.</x:v>
      </x:c>
      <x:c r="N110" s="26" t="str">
        <x:v>05, 07, 08, 17, 18, 19, 22, 24, 28, 29, 31; UX/UI/GDD/QA/localización/arte/audio distribuidos en v0.3–v0.6</x:v>
      </x:c>
      <x:c r="O110" s="26" t="str">
        <x:v>No iniciada</x:v>
      </x:c>
      <x:c r="P110" s="90" t="n">
        <x:v>0</x:v>
      </x:c>
      <x:c r="Q110" s="26" t="str">
        <x:v>No ejecutar cierre sin evidencia.</x:v>
      </x:c>
    </x:row>
    <x:row r="111" ht="30" customHeight="1">
      <x:c r="A111" s="26" t="str">
        <x:v>TA-ACC-003</x:v>
      </x:c>
      <x:c r="B111" s="26" t="str">
        <x:v>R-ACC-003</x:v>
      </x:c>
      <x:c r="C111" s="26" t="str">
        <x:v>Accessibility &amp; Inclusion</x:v>
      </x:c>
      <x:c r="D111" s="26" t="str">
        <x:v>Reducir riesgo: Estado crítico depende solo del color</x:v>
      </x:c>
      <x:c r="E111" s="26" t="str">
        <x:v>Eliminar barrera, añadir alternativa y probar Golden Path por modalidad.</x:v>
      </x:c>
      <x:c r="F111" s="26" t="str">
        <x:v>Accessibility / UX / QA</x:v>
      </x:c>
      <x:c r="G111" s="26" t="str">
        <x:v>Production</x:v>
      </x:c>
      <x:c r="H111" s="26" t="str">
        <x:v>P1</x:v>
      </x:c>
      <x:c r="I111" s="26" t="str">
        <x:v>OPEN</x:v>
      </x:c>
      <x:c r="J111" s="26" t="str">
        <x:v>2026-07-01</x:v>
      </x:c>
      <x:c r="K111" s="26" t="str">
        <x:v>2026-07-08</x:v>
      </x:c>
      <x:c r="L111" s="26"/>
      <x:c r="M111" s="26" t="str">
        <x:v>Control verificable y evidencia ligada a R-ACC-003.</x:v>
      </x:c>
      <x:c r="N111" s="26" t="str">
        <x:v>05, 07, 08, 17, 18, 19, 22, 24, 28, 29, 31; UX/UI/GDD/QA/localización/arte/audio distribuidos en v0.3–v0.6</x:v>
      </x:c>
      <x:c r="O111" s="26" t="str">
        <x:v>No iniciada</x:v>
      </x:c>
      <x:c r="P111" s="90" t="n">
        <x:v>0</x:v>
      </x:c>
      <x:c r="Q111" s="26" t="str">
        <x:v>No ejecutar cierre sin evidencia.</x:v>
      </x:c>
    </x:row>
    <x:row r="112" ht="30" customHeight="1">
      <x:c r="A112" s="26" t="str">
        <x:v>TA-ACC-004</x:v>
      </x:c>
      <x:c r="B112" s="26" t="str">
        <x:v>R-ACC-004</x:v>
      </x:c>
      <x:c r="C112" s="26" t="str">
        <x:v>Accessibility &amp; Inclusion</x:v>
      </x:c>
      <x:c r="D112" s="26" t="str">
        <x:v>Reducir riesgo: UI rompe a 150% o con localización</x:v>
      </x:c>
      <x:c r="E112" s="26" t="str">
        <x:v>Eliminar barrera, añadir alternativa y probar Golden Path por modalidad.</x:v>
      </x:c>
      <x:c r="F112" s="26" t="str">
        <x:v>Accessibility / UX / QA</x:v>
      </x:c>
      <x:c r="G112" s="26" t="str">
        <x:v>Production</x:v>
      </x:c>
      <x:c r="H112" s="26" t="str">
        <x:v>P1</x:v>
      </x:c>
      <x:c r="I112" s="26" t="str">
        <x:v>OPEN</x:v>
      </x:c>
      <x:c r="J112" s="26" t="str">
        <x:v>2026-07-01</x:v>
      </x:c>
      <x:c r="K112" s="26" t="str">
        <x:v>2026-07-08</x:v>
      </x:c>
      <x:c r="L112" s="26"/>
      <x:c r="M112" s="26" t="str">
        <x:v>Control verificable y evidencia ligada a R-ACC-004.</x:v>
      </x:c>
      <x:c r="N112" s="26" t="str">
        <x:v>05, 07, 08, 17, 18, 19, 22, 24, 28, 29, 31; UX/UI/GDD/QA/localización/arte/audio distribuidos en v0.3–v0.6</x:v>
      </x:c>
      <x:c r="O112" s="26" t="str">
        <x:v>No iniciada</x:v>
      </x:c>
      <x:c r="P112" s="90" t="n">
        <x:v>0</x:v>
      </x:c>
      <x:c r="Q112" s="26" t="str">
        <x:v>No ejecutar cierre sin evidencia.</x:v>
      </x:c>
    </x:row>
    <x:row r="113" ht="30" customHeight="1">
      <x:c r="A113" s="26" t="str">
        <x:v>TA-ACC-005</x:v>
      </x:c>
      <x:c r="B113" s="26" t="str">
        <x:v>R-ACC-005</x:v>
      </x:c>
      <x:c r="C113" s="26" t="str">
        <x:v>Accessibility &amp; Inclusion</x:v>
      </x:c>
      <x:c r="D113" s="26" t="str">
        <x:v>Reducir riesgo: Audio relevante carece de equivalente visual</x:v>
      </x:c>
      <x:c r="E113" s="26" t="str">
        <x:v>Eliminar barrera, añadir alternativa y probar Golden Path por modalidad.</x:v>
      </x:c>
      <x:c r="F113" s="26" t="str">
        <x:v>Accessibility / UX / QA</x:v>
      </x:c>
      <x:c r="G113" s="26" t="str">
        <x:v>Production</x:v>
      </x:c>
      <x:c r="H113" s="26" t="str">
        <x:v>P1</x:v>
      </x:c>
      <x:c r="I113" s="26" t="str">
        <x:v>OPEN</x:v>
      </x:c>
      <x:c r="J113" s="26" t="str">
        <x:v>2026-07-01</x:v>
      </x:c>
      <x:c r="K113" s="26" t="str">
        <x:v>2026-07-31</x:v>
      </x:c>
      <x:c r="L113" s="26"/>
      <x:c r="M113" s="26" t="str">
        <x:v>Control verificable y evidencia ligada a R-ACC-005.</x:v>
      </x:c>
      <x:c r="N113" s="26" t="str">
        <x:v>05, 07, 08, 17, 18, 19, 22, 24, 28, 29, 31; UX/UI/GDD/QA/localización/arte/audio distribuidos en v0.3–v0.6</x:v>
      </x:c>
      <x:c r="O113" s="26" t="str">
        <x:v>No iniciada</x:v>
      </x:c>
      <x:c r="P113" s="90" t="n">
        <x:v>0</x:v>
      </x:c>
      <x:c r="Q113" s="26" t="str">
        <x:v>No ejecutar cierre sin evidencia.</x:v>
      </x:c>
    </x:row>
    <x:row r="114" ht="30" customHeight="1">
      <x:c r="A114" s="26" t="str">
        <x:v>TA-ACC-006</x:v>
      </x:c>
      <x:c r="B114" s="26" t="str">
        <x:v>R-ACC-006</x:v>
      </x:c>
      <x:c r="C114" s="26" t="str">
        <x:v>Accessibility &amp; Inclusion</x:v>
      </x:c>
      <x:c r="D114" s="26" t="str">
        <x:v>Reducir riesgo: VFX/cámara causan malestar o riesgo</x:v>
      </x:c>
      <x:c r="E114" s="26" t="str">
        <x:v>Eliminar barrera, añadir alternativa y probar Golden Path por modalidad.</x:v>
      </x:c>
      <x:c r="F114" s="26" t="str">
        <x:v>Accessibility / UX / QA</x:v>
      </x:c>
      <x:c r="G114" s="26" t="str">
        <x:v>Production</x:v>
      </x:c>
      <x:c r="H114" s="26" t="str">
        <x:v>P2</x:v>
      </x:c>
      <x:c r="I114" s="26" t="str">
        <x:v>OPEN</x:v>
      </x:c>
      <x:c r="J114" s="26" t="str">
        <x:v>2026-07-01</x:v>
      </x:c>
      <x:c r="K114" s="26" t="str">
        <x:v>2026-07-08</x:v>
      </x:c>
      <x:c r="L114" s="26"/>
      <x:c r="M114" s="26" t="str">
        <x:v>Control verificable y evidencia ligada a R-ACC-006.</x:v>
      </x:c>
      <x:c r="N114" s="26" t="str">
        <x:v>05, 07, 08, 17, 18, 19, 22, 24, 28, 29, 31; UX/UI/GDD/QA/localización/arte/audio distribuidos en v0.3–v0.6</x:v>
      </x:c>
      <x:c r="O114" s="26" t="str">
        <x:v>No iniciada</x:v>
      </x:c>
      <x:c r="P114" s="90" t="n">
        <x:v>0</x:v>
      </x:c>
      <x:c r="Q114" s="26" t="str">
        <x:v>No ejecutar cierre sin evidencia.</x:v>
      </x:c>
    </x:row>
    <x:row r="115" ht="30" customHeight="1">
      <x:c r="A115" s="26" t="str">
        <x:v>TA-ACC-007</x:v>
      </x:c>
      <x:c r="B115" s="26" t="str">
        <x:v>R-ACC-007</x:v>
      </x:c>
      <x:c r="C115" s="26" t="str">
        <x:v>Accessibility &amp; Inclusion</x:v>
      </x:c>
      <x:c r="D115" s="26" t="str">
        <x:v>Reducir riesgo: Errores/tutorial no explican recuperación</x:v>
      </x:c>
      <x:c r="E115" s="26" t="str">
        <x:v>Eliminar barrera, añadir alternativa y probar Golden Path por modalidad.</x:v>
      </x:c>
      <x:c r="F115" s="26" t="str">
        <x:v>Accessibility / UX / QA</x:v>
      </x:c>
      <x:c r="G115" s="26" t="str">
        <x:v>Production</x:v>
      </x:c>
      <x:c r="H115" s="26" t="str">
        <x:v>P1</x:v>
      </x:c>
      <x:c r="I115" s="26" t="str">
        <x:v>OPEN</x:v>
      </x:c>
      <x:c r="J115" s="26" t="str">
        <x:v>2026-07-01</x:v>
      </x:c>
      <x:c r="K115" s="26" t="str">
        <x:v>2026-07-31</x:v>
      </x:c>
      <x:c r="L115" s="26"/>
      <x:c r="M115" s="26" t="str">
        <x:v>Control verificable y evidencia ligada a R-ACC-007.</x:v>
      </x:c>
      <x:c r="N115" s="26" t="str">
        <x:v>05, 07, 08, 17, 18, 19, 22, 24, 28, 29, 31; UX/UI/GDD/QA/localización/arte/audio distribuidos en v0.3–v0.6</x:v>
      </x:c>
      <x:c r="O115" s="26" t="str">
        <x:v>No iniciada</x:v>
      </x:c>
      <x:c r="P115" s="90" t="n">
        <x:v>0</x:v>
      </x:c>
      <x:c r="Q115" s="26" t="str">
        <x:v>No ejecutar cierre sin evidencia.</x:v>
      </x:c>
    </x:row>
    <x:row r="116" ht="30" customHeight="1">
      <x:c r="A116" s="26" t="str">
        <x:v>TA-ACC-008</x:v>
      </x:c>
      <x:c r="B116" s="26" t="str">
        <x:v>R-ACC-008</x:v>
      </x:c>
      <x:c r="C116" s="26" t="str">
        <x:v>Accessibility &amp; Inclusion</x:v>
      </x:c>
      <x:c r="D116" s="26" t="str">
        <x:v>Reducir riesgo: Representación o copy produce daño evitable</x:v>
      </x:c>
      <x:c r="E116" s="26" t="str">
        <x:v>Eliminar barrera, añadir alternativa y probar Golden Path por modalidad.</x:v>
      </x:c>
      <x:c r="F116" s="26" t="str">
        <x:v>Accessibility / UX / QA</x:v>
      </x:c>
      <x:c r="G116" s="26" t="str">
        <x:v>Production</x:v>
      </x:c>
      <x:c r="H116" s="26" t="str">
        <x:v>P2</x:v>
      </x:c>
      <x:c r="I116" s="26" t="str">
        <x:v>OPEN</x:v>
      </x:c>
      <x:c r="J116" s="26" t="str">
        <x:v>2026-07-01</x:v>
      </x:c>
      <x:c r="K116" s="26" t="str">
        <x:v>2026-07-31</x:v>
      </x:c>
      <x:c r="L116" s="26"/>
      <x:c r="M116" s="26" t="str">
        <x:v>Control verificable y evidencia ligada a R-ACC-008.</x:v>
      </x:c>
      <x:c r="N116" s="26" t="str">
        <x:v>05, 07, 08, 17, 18, 19, 22, 24, 28, 29, 31; UX/UI/GDD/QA/localización/arte/audio distribuidos en v0.3–v0.6</x:v>
      </x:c>
      <x:c r="O116" s="26" t="str">
        <x:v>No iniciada</x:v>
      </x:c>
      <x:c r="P116" s="90" t="n">
        <x:v>0</x:v>
      </x:c>
      <x:c r="Q116" s="26" t="str">
        <x:v>No ejecutar cierre sin evidencia.</x:v>
      </x:c>
    </x:row>
    <x:row r="117" ht="30" customHeight="1">
      <x:c r="A117" s="26" t="str">
        <x:v>TA-CNT-001</x:v>
      </x:c>
      <x:c r="B117" s="26" t="str">
        <x:v>R-CNT-001</x:v>
      </x:c>
      <x:c r="C117" s="26" t="str">
        <x:v>Art, Audio &amp; Content</x:v>
      </x:c>
      <x:c r="D117" s="26" t="str">
        <x:v>Reducir riesgo: Placeholder visible llega a H6/Store</x:v>
      </x:c>
      <x:c r="E117" s="26" t="str">
        <x:v>Sustituir placeholder, optimizar asset, documentar licencia y validar integración.</x:v>
      </x:c>
      <x:c r="F117" s="26" t="str">
        <x:v>Art / Audio / Content</x:v>
      </x:c>
      <x:c r="G117" s="26" t="str">
        <x:v>Production</x:v>
      </x:c>
      <x:c r="H117" s="26" t="str">
        <x:v>P1</x:v>
      </x:c>
      <x:c r="I117" s="26" t="str">
        <x:v>OPEN</x:v>
      </x:c>
      <x:c r="J117" s="26" t="str">
        <x:v>2026-07-01</x:v>
      </x:c>
      <x:c r="K117" s="26" t="str">
        <x:v>2026-07-08</x:v>
      </x:c>
      <x:c r="L117" s="26"/>
      <x:c r="M117" s="26" t="str">
        <x:v>Control verificable y evidencia ligada a R-CNT-001.</x:v>
      </x:c>
      <x:c r="N117" s="26" t="str">
        <x:v>17, 18, 19, 21, 22, 23, 28, 30, 31; Art/Audio/UI/Content/Localization baselines y Sprint 16</x:v>
      </x:c>
      <x:c r="O117" s="26" t="str">
        <x:v>No iniciada</x:v>
      </x:c>
      <x:c r="P117" s="90" t="n">
        <x:v>0</x:v>
      </x:c>
      <x:c r="Q117" s="26" t="str">
        <x:v>No ejecutar cierre sin evidencia.</x:v>
      </x:c>
    </x:row>
    <x:row r="118" ht="30" customHeight="1">
      <x:c r="A118" s="26" t="str">
        <x:v>TA-CNT-002</x:v>
      </x:c>
      <x:c r="B118" s="26" t="str">
        <x:v>R-CNT-002</x:v>
      </x:c>
      <x:c r="C118" s="26" t="str">
        <x:v>Art, Audio &amp; Content</x:v>
      </x:c>
      <x:c r="D118" s="26" t="str">
        <x:v>Reducir riesgo: Archivo fuente de arte/audio se pierde</x:v>
      </x:c>
      <x:c r="E118" s="26" t="str">
        <x:v>Sustituir placeholder, optimizar asset, documentar licencia y validar integración.</x:v>
      </x:c>
      <x:c r="F118" s="26" t="str">
        <x:v>Art / Audio / Content</x:v>
      </x:c>
      <x:c r="G118" s="26" t="str">
        <x:v>Production</x:v>
      </x:c>
      <x:c r="H118" s="26" t="str">
        <x:v>P1</x:v>
      </x:c>
      <x:c r="I118" s="26" t="str">
        <x:v>OPEN</x:v>
      </x:c>
      <x:c r="J118" s="26" t="str">
        <x:v>2026-07-01</x:v>
      </x:c>
      <x:c r="K118" s="26" t="str">
        <x:v>2026-07-08</x:v>
      </x:c>
      <x:c r="L118" s="26"/>
      <x:c r="M118" s="26" t="str">
        <x:v>Control verificable y evidencia ligada a R-CNT-002.</x:v>
      </x:c>
      <x:c r="N118" s="26" t="str">
        <x:v>17, 18, 19, 21, 22, 23, 28, 30, 31; Art/Audio/UI/Content/Localization baselines y Sprint 16</x:v>
      </x:c>
      <x:c r="O118" s="26" t="str">
        <x:v>No iniciada</x:v>
      </x:c>
      <x:c r="P118" s="90" t="n">
        <x:v>0</x:v>
      </x:c>
      <x:c r="Q118" s="26" t="str">
        <x:v>No ejecutar cierre sin evidencia.</x:v>
      </x:c>
    </x:row>
    <x:row r="119" ht="30" customHeight="1">
      <x:c r="A119" s="26" t="str">
        <x:v>TA-CNT-003</x:v>
      </x:c>
      <x:c r="B119" s="26" t="str">
        <x:v>R-CNT-003</x:v>
      </x:c>
      <x:c r="C119" s="26" t="str">
        <x:v>Art, Audio &amp; Content</x:v>
      </x:c>
      <x:c r="D119" s="26" t="str">
        <x:v>Reducir riesgo: Mover/renombrar asset rompe referencias</x:v>
      </x:c>
      <x:c r="E119" s="26" t="str">
        <x:v>Sustituir placeholder, optimizar asset, documentar licencia y validar integración.</x:v>
      </x:c>
      <x:c r="F119" s="26" t="str">
        <x:v>Art / Audio / Content</x:v>
      </x:c>
      <x:c r="G119" s="26" t="str">
        <x:v>Production</x:v>
      </x:c>
      <x:c r="H119" s="26" t="str">
        <x:v>P1</x:v>
      </x:c>
      <x:c r="I119" s="26" t="str">
        <x:v>OPEN</x:v>
      </x:c>
      <x:c r="J119" s="26" t="str">
        <x:v>2026-07-01</x:v>
      </x:c>
      <x:c r="K119" s="26" t="str">
        <x:v>2026-07-08</x:v>
      </x:c>
      <x:c r="L119" s="26"/>
      <x:c r="M119" s="26" t="str">
        <x:v>Control verificable y evidencia ligada a R-CNT-003.</x:v>
      </x:c>
      <x:c r="N119" s="26" t="str">
        <x:v>17, 18, 19, 21, 22, 23, 28, 30, 31; Art/Audio/UI/Content/Localization baselines y Sprint 16</x:v>
      </x:c>
      <x:c r="O119" s="26" t="str">
        <x:v>No iniciada</x:v>
      </x:c>
      <x:c r="P119" s="90" t="n">
        <x:v>0</x:v>
      </x:c>
      <x:c r="Q119" s="26" t="str">
        <x:v>No ejecutar cierre sin evidencia.</x:v>
      </x:c>
    </x:row>
    <x:row r="120" ht="30" customHeight="1">
      <x:c r="A120" s="26" t="str">
        <x:v>TA-CNT-004</x:v>
      </x:c>
      <x:c r="B120" s="26" t="str">
        <x:v>R-CNT-004</x:v>
      </x:c>
      <x:c r="C120" s="26" t="str">
        <x:v>Art, Audio &amp; Content</x:v>
      </x:c>
      <x:c r="D120" s="26" t="str">
        <x:v>Reducir riesgo: Assets no siguen Art Bible</x:v>
      </x:c>
      <x:c r="E120" s="26" t="str">
        <x:v>Sustituir placeholder, optimizar asset, documentar licencia y validar integración.</x:v>
      </x:c>
      <x:c r="F120" s="26" t="str">
        <x:v>Art / Audio / Content</x:v>
      </x:c>
      <x:c r="G120" s="26" t="str">
        <x:v>Production</x:v>
      </x:c>
      <x:c r="H120" s="26" t="str">
        <x:v>P1</x:v>
      </x:c>
      <x:c r="I120" s="26" t="str">
        <x:v>OPEN</x:v>
      </x:c>
      <x:c r="J120" s="26" t="str">
        <x:v>2026-07-01</x:v>
      </x:c>
      <x:c r="K120" s="26" t="str">
        <x:v>2026-07-31</x:v>
      </x:c>
      <x:c r="L120" s="26"/>
      <x:c r="M120" s="26" t="str">
        <x:v>Control verificable y evidencia ligada a R-CNT-004.</x:v>
      </x:c>
      <x:c r="N120" s="26" t="str">
        <x:v>17, 18, 19, 21, 22, 23, 28, 30, 31; Art/Audio/UI/Content/Localization baselines y Sprint 16</x:v>
      </x:c>
      <x:c r="O120" s="26" t="str">
        <x:v>No iniciada</x:v>
      </x:c>
      <x:c r="P120" s="90" t="n">
        <x:v>0</x:v>
      </x:c>
      <x:c r="Q120" s="26" t="str">
        <x:v>No ejecutar cierre sin evidencia.</x:v>
      </x:c>
    </x:row>
    <x:row r="121" ht="30" customHeight="1">
      <x:c r="A121" s="26" t="str">
        <x:v>TA-CNT-005</x:v>
      </x:c>
      <x:c r="B121" s="26" t="str">
        <x:v>R-CNT-005</x:v>
      </x:c>
      <x:c r="C121" s="26" t="str">
        <x:v>Art, Audio &amp; Content</x:v>
      </x:c>
      <x:c r="D121" s="26" t="str">
        <x:v>Reducir riesgo: Niveles/picos/loops degradan experiencia</x:v>
      </x:c>
      <x:c r="E121" s="26" t="str">
        <x:v>Sustituir placeholder, optimizar asset, documentar licencia y validar integración.</x:v>
      </x:c>
      <x:c r="F121" s="26" t="str">
        <x:v>Art / Audio / Content</x:v>
      </x:c>
      <x:c r="G121" s="26" t="str">
        <x:v>Production</x:v>
      </x:c>
      <x:c r="H121" s="26" t="str">
        <x:v>P1</x:v>
      </x:c>
      <x:c r="I121" s="26" t="str">
        <x:v>OPEN</x:v>
      </x:c>
      <x:c r="J121" s="26" t="str">
        <x:v>2026-07-01</x:v>
      </x:c>
      <x:c r="K121" s="26" t="str">
        <x:v>2026-07-08</x:v>
      </x:c>
      <x:c r="L121" s="26"/>
      <x:c r="M121" s="26" t="str">
        <x:v>Control verificable y evidencia ligada a R-CNT-005.</x:v>
      </x:c>
      <x:c r="N121" s="26" t="str">
        <x:v>17, 18, 19, 21, 22, 23, 28, 30, 31; Art/Audio/UI/Content/Localization baselines y Sprint 16</x:v>
      </x:c>
      <x:c r="O121" s="26" t="str">
        <x:v>No iniciada</x:v>
      </x:c>
      <x:c r="P121" s="90" t="n">
        <x:v>0</x:v>
      </x:c>
      <x:c r="Q121" s="26" t="str">
        <x:v>No ejecutar cierre sin evidencia.</x:v>
      </x:c>
    </x:row>
    <x:row r="122" ht="30" customHeight="1">
      <x:c r="A122" s="26" t="str">
        <x:v>TA-CNT-006</x:v>
      </x:c>
      <x:c r="B122" s="26" t="str">
        <x:v>R-CNT-006</x:v>
      </x:c>
      <x:c r="C122" s="26" t="str">
        <x:v>Art, Audio &amp; Content</x:v>
      </x:c>
      <x:c r="D122" s="26" t="str">
        <x:v>Reducir riesgo: Catálogo y assets divergen</x:v>
      </x:c>
      <x:c r="E122" s="26" t="str">
        <x:v>Sustituir placeholder, optimizar asset, documentar licencia y validar integración.</x:v>
      </x:c>
      <x:c r="F122" s="26" t="str">
        <x:v>Art / Audio / Content</x:v>
      </x:c>
      <x:c r="G122" s="26" t="str">
        <x:v>Production</x:v>
      </x:c>
      <x:c r="H122" s="26" t="str">
        <x:v>P1</x:v>
      </x:c>
      <x:c r="I122" s="26" t="str">
        <x:v>OPEN</x:v>
      </x:c>
      <x:c r="J122" s="26" t="str">
        <x:v>2026-07-01</x:v>
      </x:c>
      <x:c r="K122" s="26" t="str">
        <x:v>2026-07-31</x:v>
      </x:c>
      <x:c r="L122" s="26"/>
      <x:c r="M122" s="26" t="str">
        <x:v>Control verificable y evidencia ligada a R-CNT-006.</x:v>
      </x:c>
      <x:c r="N122" s="26" t="str">
        <x:v>17, 18, 19, 21, 22, 23, 28, 30, 31; Art/Audio/UI/Content/Localization baselines y Sprint 16</x:v>
      </x:c>
      <x:c r="O122" s="26" t="str">
        <x:v>No iniciada</x:v>
      </x:c>
      <x:c r="P122" s="90" t="n">
        <x:v>0</x:v>
      </x:c>
      <x:c r="Q122" s="26" t="str">
        <x:v>No ejecutar cierre sin evidencia.</x:v>
      </x:c>
    </x:row>
    <x:row r="123" ht="30" customHeight="1">
      <x:c r="A123" s="26" t="str">
        <x:v>TA-CNT-007</x:v>
      </x:c>
      <x:c r="B123" s="26" t="str">
        <x:v>R-CNT-007</x:v>
      </x:c>
      <x:c r="C123" s="26" t="str">
        <x:v>Art, Audio &amp; Content</x:v>
      </x:c>
      <x:c r="D123" s="26" t="str">
        <x:v>Reducir riesgo: Texto/arte no soporta ES/EN o expansión</x:v>
      </x:c>
      <x:c r="E123" s="26" t="str">
        <x:v>Sustituir placeholder, optimizar asset, documentar licencia y validar integración.</x:v>
      </x:c>
      <x:c r="F123" s="26" t="str">
        <x:v>Art / Audio / Content</x:v>
      </x:c>
      <x:c r="G123" s="26" t="str">
        <x:v>Production</x:v>
      </x:c>
      <x:c r="H123" s="26" t="str">
        <x:v>P1</x:v>
      </x:c>
      <x:c r="I123" s="26" t="str">
        <x:v>OPEN</x:v>
      </x:c>
      <x:c r="J123" s="26" t="str">
        <x:v>2026-07-01</x:v>
      </x:c>
      <x:c r="K123" s="26" t="str">
        <x:v>2026-07-08</x:v>
      </x:c>
      <x:c r="L123" s="26"/>
      <x:c r="M123" s="26" t="str">
        <x:v>Control verificable y evidencia ligada a R-CNT-007.</x:v>
      </x:c>
      <x:c r="N123" s="26" t="str">
        <x:v>17, 18, 19, 21, 22, 23, 28, 30, 31; Art/Audio/UI/Content/Localization baselines y Sprint 16</x:v>
      </x:c>
      <x:c r="O123" s="26" t="str">
        <x:v>No iniciada</x:v>
      </x:c>
      <x:c r="P123" s="90" t="n">
        <x:v>0</x:v>
      </x:c>
      <x:c r="Q123" s="26" t="str">
        <x:v>No ejecutar cierre sin evidencia.</x:v>
      </x:c>
    </x:row>
    <x:row r="124" ht="30" customHeight="1">
      <x:c r="A124" s="26" t="str">
        <x:v>TA-CNT-008</x:v>
      </x:c>
      <x:c r="B124" s="26" t="str">
        <x:v>R-CNT-008</x:v>
      </x:c>
      <x:c r="C124" s="26" t="str">
        <x:v>Art, Audio &amp; Content</x:v>
      </x:c>
      <x:c r="D124" s="26" t="str">
        <x:v>Reducir riesgo: Modelo/textura/VFX excede budget</x:v>
      </x:c>
      <x:c r="E124" s="26" t="str">
        <x:v>Sustituir placeholder, optimizar asset, documentar licencia y validar integración.</x:v>
      </x:c>
      <x:c r="F124" s="26" t="str">
        <x:v>Art / Audio / Content</x:v>
      </x:c>
      <x:c r="G124" s="26" t="str">
        <x:v>Production</x:v>
      </x:c>
      <x:c r="H124" s="26" t="str">
        <x:v>P1</x:v>
      </x:c>
      <x:c r="I124" s="26" t="str">
        <x:v>OPEN</x:v>
      </x:c>
      <x:c r="J124" s="26" t="str">
        <x:v>2026-07-01</x:v>
      </x:c>
      <x:c r="K124" s="26" t="str">
        <x:v>2026-07-08</x:v>
      </x:c>
      <x:c r="L124" s="26"/>
      <x:c r="M124" s="26" t="str">
        <x:v>Control verificable y evidencia ligada a R-CNT-008.</x:v>
      </x:c>
      <x:c r="N124" s="26" t="str">
        <x:v>17, 18, 19, 21, 22, 23, 28, 30, 31; Art/Audio/UI/Content/Localization baselines y Sprint 16</x:v>
      </x:c>
      <x:c r="O124" s="26" t="str">
        <x:v>No iniciada</x:v>
      </x:c>
      <x:c r="P124" s="90" t="n">
        <x:v>0</x:v>
      </x:c>
      <x:c r="Q124" s="26" t="str">
        <x:v>No ejecutar cierre sin evidencia.</x:v>
      </x:c>
    </x:row>
    <x:row r="125" ht="30" customHeight="1">
      <x:c r="A125" s="26" t="str">
        <x:v>TA-FIN-001</x:v>
      </x:c>
      <x:c r="B125" s="26" t="str">
        <x:v>R-FIN-001</x:v>
      </x:c>
      <x:c r="C125" s="26" t="str">
        <x:v>Financial &amp; Commercial</x:v>
      </x:c>
      <x:c r="D125" s="26" t="str">
        <x:v>Reducir riesgo: Fondos/tiempo disponibles no cubren cierre</x:v>
      </x:c>
      <x:c r="E125" s="26" t="str">
        <x:v>Reducir burn, renegociar, diferir gasto y mantener reserva de continuidad.</x:v>
      </x:c>
      <x:c r="F125" s="26" t="str">
        <x:v>Project Owner / Production</x:v>
      </x:c>
      <x:c r="G125" s="26" t="str">
        <x:v>Finance / Publishing</x:v>
      </x:c>
      <x:c r="H125" s="26" t="str">
        <x:v>P1</x:v>
      </x:c>
      <x:c r="I125" s="26" t="str">
        <x:v>OPEN</x:v>
      </x:c>
      <x:c r="J125" s="26" t="str">
        <x:v>2026-07-01</x:v>
      </x:c>
      <x:c r="K125" s="26" t="str">
        <x:v>2026-07-31</x:v>
      </x:c>
      <x:c r="L125" s="26"/>
      <x:c r="M125" s="26" t="str">
        <x:v>Control verificable y evidencia ligada a R-FIN-001.</x:v>
      </x:c>
      <x:c r="N125" s="26" t="str">
        <x:v>00, 06, 20, 24, 25, 28, 33; Roadmaps, Economy/Balance y Marketing Plans históricos</x:v>
      </x:c>
      <x:c r="O125" s="26" t="str">
        <x:v>No iniciada</x:v>
      </x:c>
      <x:c r="P125" s="90" t="n">
        <x:v>0</x:v>
      </x:c>
      <x:c r="Q125" s="26" t="str">
        <x:v>No ejecutar cierre sin evidencia.</x:v>
      </x:c>
    </x:row>
    <x:row r="126" ht="30" customHeight="1">
      <x:c r="A126" s="26" t="str">
        <x:v>TA-FIN-002</x:v>
      </x:c>
      <x:c r="B126" s="26" t="str">
        <x:v>R-FIN-002</x:v>
      </x:c>
      <x:c r="C126" s="26" t="str">
        <x:v>Financial &amp; Commercial</x:v>
      </x:c>
      <x:c r="D126" s="26" t="str">
        <x:v>Reducir riesgo: Herramientas/assets/servicios exceden presupuesto</x:v>
      </x:c>
      <x:c r="E126" s="26" t="str">
        <x:v>Reducir burn, renegociar, diferir gasto y mantener reserva de continuidad.</x:v>
      </x:c>
      <x:c r="F126" s="26" t="str">
        <x:v>Project Owner / Production</x:v>
      </x:c>
      <x:c r="G126" s="26" t="str">
        <x:v>Finance / Publishing</x:v>
      </x:c>
      <x:c r="H126" s="26" t="str">
        <x:v>P1</x:v>
      </x:c>
      <x:c r="I126" s="26" t="str">
        <x:v>OPEN</x:v>
      </x:c>
      <x:c r="J126" s="26" t="str">
        <x:v>2026-07-01</x:v>
      </x:c>
      <x:c r="K126" s="26" t="str">
        <x:v>2026-07-31</x:v>
      </x:c>
      <x:c r="L126" s="26"/>
      <x:c r="M126" s="26" t="str">
        <x:v>Control verificable y evidencia ligada a R-FIN-002.</x:v>
      </x:c>
      <x:c r="N126" s="26" t="str">
        <x:v>00, 06, 20, 24, 25, 28, 33; Roadmaps, Economy/Balance y Marketing Plans históricos</x:v>
      </x:c>
      <x:c r="O126" s="26" t="str">
        <x:v>No iniciada</x:v>
      </x:c>
      <x:c r="P126" s="90" t="n">
        <x:v>0</x:v>
      </x:c>
      <x:c r="Q126" s="26" t="str">
        <x:v>No ejecutar cierre sin evidencia.</x:v>
      </x:c>
    </x:row>
    <x:row r="127" ht="30" customHeight="1">
      <x:c r="A127" s="26" t="str">
        <x:v>TA-FIN-003</x:v>
      </x:c>
      <x:c r="B127" s="26" t="str">
        <x:v>R-FIN-003</x:v>
      </x:c>
      <x:c r="C127" s="26" t="str">
        <x:v>Financial &amp; Commercial</x:v>
      </x:c>
      <x:c r="D127" s="26" t="str">
        <x:v>Reducir riesgo: Proveedor crítico aumenta coste o cambia plan</x:v>
      </x:c>
      <x:c r="E127" s="26" t="str">
        <x:v>Reducir burn, renegociar, diferir gasto y mantener reserva de continuidad.</x:v>
      </x:c>
      <x:c r="F127" s="26" t="str">
        <x:v>Project Owner / Production</x:v>
      </x:c>
      <x:c r="G127" s="26" t="str">
        <x:v>Finance / Publishing</x:v>
      </x:c>
      <x:c r="H127" s="26" t="str">
        <x:v>P2</x:v>
      </x:c>
      <x:c r="I127" s="26" t="str">
        <x:v>OPEN</x:v>
      </x:c>
      <x:c r="J127" s="26" t="str">
        <x:v>2026-07-01</x:v>
      </x:c>
      <x:c r="K127" s="26" t="str">
        <x:v>2026-07-31</x:v>
      </x:c>
      <x:c r="L127" s="26"/>
      <x:c r="M127" s="26" t="str">
        <x:v>Control verificable y evidencia ligada a R-FIN-003.</x:v>
      </x:c>
      <x:c r="N127" s="26" t="str">
        <x:v>00, 06, 20, 24, 25, 28, 33; Roadmaps, Economy/Balance y Marketing Plans históricos</x:v>
      </x:c>
      <x:c r="O127" s="26" t="str">
        <x:v>No iniciada</x:v>
      </x:c>
      <x:c r="P127" s="90" t="n">
        <x:v>0</x:v>
      </x:c>
      <x:c r="Q127" s="26" t="str">
        <x:v>No ejecutar cierre sin evidencia.</x:v>
      </x:c>
    </x:row>
    <x:row r="128" ht="30" customHeight="1">
      <x:c r="A128" s="26" t="str">
        <x:v>TA-FIN-004</x:v>
      </x:c>
      <x:c r="B128" s="26" t="str">
        <x:v>R-FIN-004</x:v>
      </x:c>
      <x:c r="C128" s="26" t="str">
        <x:v>Financial &amp; Commercial</x:v>
      </x:c>
      <x:c r="D128" s="26" t="str">
        <x:v>Reducir riesgo: Problemas de lanzamiento elevan reembolsos</x:v>
      </x:c>
      <x:c r="E128" s="26" t="str">
        <x:v>Reducir burn, renegociar, diferir gasto y mantener reserva de continuidad.</x:v>
      </x:c>
      <x:c r="F128" s="26" t="str">
        <x:v>Project Owner / Production</x:v>
      </x:c>
      <x:c r="G128" s="26" t="str">
        <x:v>Finance / Publishing</x:v>
      </x:c>
      <x:c r="H128" s="26" t="str">
        <x:v>P2</x:v>
      </x:c>
      <x:c r="I128" s="26" t="str">
        <x:v>OPEN</x:v>
      </x:c>
      <x:c r="J128" s="26" t="str">
        <x:v>2026-07-01</x:v>
      </x:c>
      <x:c r="K128" s="26" t="str">
        <x:v>2026-07-08</x:v>
      </x:c>
      <x:c r="L128" s="26"/>
      <x:c r="M128" s="26" t="str">
        <x:v>Control verificable y evidencia ligada a R-FIN-004.</x:v>
      </x:c>
      <x:c r="N128" s="26" t="str">
        <x:v>00, 06, 20, 24, 25, 28, 33; Roadmaps, Economy/Balance y Marketing Plans históricos</x:v>
      </x:c>
      <x:c r="O128" s="26" t="str">
        <x:v>No iniciada</x:v>
      </x:c>
      <x:c r="P128" s="90" t="n">
        <x:v>0</x:v>
      </x:c>
      <x:c r="Q128" s="26" t="str">
        <x:v>No ejecutar cierre sin evidencia.</x:v>
      </x:c>
    </x:row>
    <x:row r="129" ht="30" customHeight="1">
      <x:c r="A129" s="26" t="str">
        <x:v>TA-FIN-005</x:v>
      </x:c>
      <x:c r="B129" s="26" t="str">
        <x:v>R-FIN-005</x:v>
      </x:c>
      <x:c r="C129" s="26" t="str">
        <x:v>Financial &amp; Commercial</x:v>
      </x:c>
      <x:c r="D129" s="26" t="str">
        <x:v>Reducir riesgo: Decisiones dependen de previsión no validada</x:v>
      </x:c>
      <x:c r="E129" s="26" t="str">
        <x:v>Reducir burn, renegociar, diferir gasto y mantener reserva de continuidad.</x:v>
      </x:c>
      <x:c r="F129" s="26" t="str">
        <x:v>Project Owner / Production</x:v>
      </x:c>
      <x:c r="G129" s="26" t="str">
        <x:v>Finance / Publishing</x:v>
      </x:c>
      <x:c r="H129" s="26" t="str">
        <x:v>P1</x:v>
      </x:c>
      <x:c r="I129" s="26" t="str">
        <x:v>OPEN</x:v>
      </x:c>
      <x:c r="J129" s="26" t="str">
        <x:v>2026-07-01</x:v>
      </x:c>
      <x:c r="K129" s="26" t="str">
        <x:v>2026-07-31</x:v>
      </x:c>
      <x:c r="L129" s="26"/>
      <x:c r="M129" s="26" t="str">
        <x:v>Control verificable y evidencia ligada a R-FIN-005.</x:v>
      </x:c>
      <x:c r="N129" s="26" t="str">
        <x:v>00, 06, 20, 24, 25, 28, 33; Roadmaps, Economy/Balance y Marketing Plans históricos</x:v>
      </x:c>
      <x:c r="O129" s="26" t="str">
        <x:v>No iniciada</x:v>
      </x:c>
      <x:c r="P129" s="90" t="n">
        <x:v>0</x:v>
      </x:c>
      <x:c r="Q129" s="26" t="str">
        <x:v>No ejecutar cierre sin evidencia.</x:v>
      </x:c>
    </x:row>
    <x:row r="130" ht="30" customHeight="1">
      <x:c r="A130" s="26" t="str">
        <x:v>TA-FIN-006</x:v>
      </x:c>
      <x:c r="B130" s="26" t="str">
        <x:v>R-FIN-006</x:v>
      </x:c>
      <x:c r="C130" s="26" t="str">
        <x:v>Financial &amp; Commercial</x:v>
      </x:c>
      <x:c r="D130" s="26" t="str">
        <x:v>Reducir riesgo: Ingresos/gastos no se registran correctamente</x:v>
      </x:c>
      <x:c r="E130" s="26" t="str">
        <x:v>Reducir burn, renegociar, diferir gasto y mantener reserva de continuidad.</x:v>
      </x:c>
      <x:c r="F130" s="26" t="str">
        <x:v>Project Owner / Production</x:v>
      </x:c>
      <x:c r="G130" s="26" t="str">
        <x:v>Finance / Publishing</x:v>
      </x:c>
      <x:c r="H130" s="26" t="str">
        <x:v>P2</x:v>
      </x:c>
      <x:c r="I130" s="26" t="str">
        <x:v>OPEN</x:v>
      </x:c>
      <x:c r="J130" s="26" t="str">
        <x:v>2026-07-01</x:v>
      </x:c>
      <x:c r="K130" s="26" t="str">
        <x:v>2026-07-31</x:v>
      </x:c>
      <x:c r="L130" s="26"/>
      <x:c r="M130" s="26" t="str">
        <x:v>Control verificable y evidencia ligada a R-FIN-006.</x:v>
      </x:c>
      <x:c r="N130" s="26" t="str">
        <x:v>00, 06, 20, 24, 25, 28, 33; Roadmaps, Economy/Balance y Marketing Plans históricos</x:v>
      </x:c>
      <x:c r="O130" s="26" t="str">
        <x:v>No iniciada</x:v>
      </x:c>
      <x:c r="P130" s="90" t="n">
        <x:v>0</x:v>
      </x:c>
      <x:c r="Q130" s="26" t="str">
        <x:v>No ejecutar cierre sin evidencia.</x:v>
      </x:c>
    </x:row>
    <x:row r="131" ht="30" customHeight="1">
      <x:c r="A131" s="26" t="str">
        <x:v>TA-EXT-001</x:v>
      </x:c>
      <x:c r="B131" s="26" t="str">
        <x:v>R-EXT-001</x:v>
      </x:c>
      <x:c r="C131" s="26" t="str">
        <x:v>External Services &amp; Vendors</x:v>
      </x:c>
      <x:c r="D131" s="26" t="str">
        <x:v>Reducir riesgo: Repositorio remoto no está disponible</x:v>
      </x:c>
      <x:c r="E131" s="26" t="str">
        <x:v>Eliminar dependencia innecesaria, preparar sustituto y exportar datos.</x:v>
      </x:c>
      <x:c r="F131" s="26" t="str">
        <x:v>Production / Engineering</x:v>
      </x:c>
      <x:c r="G131" s="26" t="str">
        <x:v>Project Owner</x:v>
      </x:c>
      <x:c r="H131" s="26" t="str">
        <x:v>P1</x:v>
      </x:c>
      <x:c r="I131" s="26" t="str">
        <x:v>OPEN</x:v>
      </x:c>
      <x:c r="J131" s="26" t="str">
        <x:v>2026-07-01</x:v>
      </x:c>
      <x:c r="K131" s="26" t="str">
        <x:v>2026-07-08</x:v>
      </x:c>
      <x:c r="L131" s="26"/>
      <x:c r="M131" s="26" t="str">
        <x:v>Control verificable y evidencia ligada a R-EXT-001.</x:v>
      </x:c>
      <x:c r="N131" s="26" t="str">
        <x:v>10, 11, 23, 24, 25, 27, 28, 31; Setup/build/Steam/legal y registros de herramientas</x:v>
      </x:c>
      <x:c r="O131" s="26" t="str">
        <x:v>No iniciada</x:v>
      </x:c>
      <x:c r="P131" s="90" t="n">
        <x:v>0</x:v>
      </x:c>
      <x:c r="Q131" s="26" t="str">
        <x:v>No ejecutar cierre sin evidencia.</x:v>
      </x:c>
    </x:row>
    <x:row r="132" ht="30" customHeight="1">
      <x:c r="A132" s="26" t="str">
        <x:v>TA-EXT-002</x:v>
      </x:c>
      <x:c r="B132" s="26" t="str">
        <x:v>R-EXT-002</x:v>
      </x:c>
      <x:c r="C132" s="26" t="str">
        <x:v>External Services &amp; Vendors</x:v>
      </x:c>
      <x:c r="D132" s="26" t="str">
        <x:v>Reducir riesgo: No se puede subir/publicar build</x:v>
      </x:c>
      <x:c r="E132" s="26" t="str">
        <x:v>Eliminar dependencia innecesaria, preparar sustituto y exportar datos.</x:v>
      </x:c>
      <x:c r="F132" s="26" t="str">
        <x:v>Production / Engineering</x:v>
      </x:c>
      <x:c r="G132" s="26" t="str">
        <x:v>Project Owner</x:v>
      </x:c>
      <x:c r="H132" s="26" t="str">
        <x:v>P1</x:v>
      </x:c>
      <x:c r="I132" s="26" t="str">
        <x:v>OPEN</x:v>
      </x:c>
      <x:c r="J132" s="26" t="str">
        <x:v>2026-07-01</x:v>
      </x:c>
      <x:c r="K132" s="26" t="str">
        <x:v>2026-07-08</x:v>
      </x:c>
      <x:c r="L132" s="26"/>
      <x:c r="M132" s="26" t="str">
        <x:v>Control verificable y evidencia ligada a R-EXT-002.</x:v>
      </x:c>
      <x:c r="N132" s="26" t="str">
        <x:v>10, 11, 23, 24, 25, 27, 28, 31; Setup/build/Steam/legal y registros de herramientas</x:v>
      </x:c>
      <x:c r="O132" s="26" t="str">
        <x:v>No iniciada</x:v>
      </x:c>
      <x:c r="P132" s="90" t="n">
        <x:v>0</x:v>
      </x:c>
      <x:c r="Q132" s="26" t="str">
        <x:v>No ejecutar cierre sin evidencia.</x:v>
      </x:c>
    </x:row>
    <x:row r="133" ht="30" customHeight="1">
      <x:c r="A133" s="26" t="str">
        <x:v>TA-EXT-003</x:v>
      </x:c>
      <x:c r="B133" s="26" t="str">
        <x:v>R-EXT-003</x:v>
      </x:c>
      <x:c r="C133" s="26" t="str">
        <x:v>External Services &amp; Vendors</x:v>
      </x:c>
      <x:c r="D133" s="26" t="str">
        <x:v>Reducir riesgo: Editor/licencia/servicio impide trabajar</x:v>
      </x:c>
      <x:c r="E133" s="26" t="str">
        <x:v>Eliminar dependencia innecesaria, preparar sustituto y exportar datos.</x:v>
      </x:c>
      <x:c r="F133" s="26" t="str">
        <x:v>Production / Engineering</x:v>
      </x:c>
      <x:c r="G133" s="26" t="str">
        <x:v>Project Owner</x:v>
      </x:c>
      <x:c r="H133" s="26" t="str">
        <x:v>P2</x:v>
      </x:c>
      <x:c r="I133" s="26" t="str">
        <x:v>OPEN</x:v>
      </x:c>
      <x:c r="J133" s="26" t="str">
        <x:v>2026-07-01</x:v>
      </x:c>
      <x:c r="K133" s="26" t="str">
        <x:v>2026-07-08</x:v>
      </x:c>
      <x:c r="L133" s="26"/>
      <x:c r="M133" s="26" t="str">
        <x:v>Control verificable y evidencia ligada a R-EXT-003.</x:v>
      </x:c>
      <x:c r="N133" s="26" t="str">
        <x:v>10, 11, 23, 24, 25, 27, 28, 31; Setup/build/Steam/legal y registros de herramientas</x:v>
      </x:c>
      <x:c r="O133" s="26" t="str">
        <x:v>No iniciada</x:v>
      </x:c>
      <x:c r="P133" s="90" t="n">
        <x:v>0</x:v>
      </x:c>
      <x:c r="Q133" s="26" t="str">
        <x:v>No ejecutar cierre sin evidencia.</x:v>
      </x:c>
    </x:row>
    <x:row r="134" ht="30" customHeight="1">
      <x:c r="A134" s="26" t="str">
        <x:v>TA-EXT-004</x:v>
      </x:c>
      <x:c r="B134" s="26" t="str">
        <x:v>R-EXT-004</x:v>
      </x:c>
      <x:c r="C134" s="26" t="str">
        <x:v>External Services &amp; Vendors</x:v>
      </x:c>
      <x:c r="D134" s="26" t="str">
        <x:v>Reducir riesgo: Backup remoto no es accesible</x:v>
      </x:c>
      <x:c r="E134" s="26" t="str">
        <x:v>Eliminar dependencia innecesaria, preparar sustituto y exportar datos.</x:v>
      </x:c>
      <x:c r="F134" s="26" t="str">
        <x:v>Production / Engineering</x:v>
      </x:c>
      <x:c r="G134" s="26" t="str">
        <x:v>Project Owner</x:v>
      </x:c>
      <x:c r="H134" s="26" t="str">
        <x:v>P1</x:v>
      </x:c>
      <x:c r="I134" s="26" t="str">
        <x:v>OPEN</x:v>
      </x:c>
      <x:c r="J134" s="26" t="str">
        <x:v>2026-07-01</x:v>
      </x:c>
      <x:c r="K134" s="26" t="str">
        <x:v>2026-07-08</x:v>
      </x:c>
      <x:c r="L134" s="26"/>
      <x:c r="M134" s="26" t="str">
        <x:v>Control verificable y evidencia ligada a R-EXT-004.</x:v>
      </x:c>
      <x:c r="N134" s="26" t="str">
        <x:v>10, 11, 23, 24, 25, 27, 28, 31; Setup/build/Steam/legal y registros de herramientas</x:v>
      </x:c>
      <x:c r="O134" s="26" t="str">
        <x:v>No iniciada</x:v>
      </x:c>
      <x:c r="P134" s="90" t="n">
        <x:v>0</x:v>
      </x:c>
      <x:c r="Q134" s="26" t="str">
        <x:v>No ejecutar cierre sin evidencia.</x:v>
      </x:c>
    </x:row>
    <x:row r="135" ht="30" customHeight="1">
      <x:c r="A135" s="26" t="str">
        <x:v>TA-EXT-005</x:v>
      </x:c>
      <x:c r="B135" s="26" t="str">
        <x:v>R-EXT-005</x:v>
      </x:c>
      <x:c r="C135" s="26" t="str">
        <x:v>External Services &amp; Vendors</x:v>
      </x:c>
      <x:c r="D135" s="26" t="str">
        <x:v>Reducir riesgo: Herramienta/servicio se cierra o cambia términos</x:v>
      </x:c>
      <x:c r="E135" s="26" t="str">
        <x:v>Eliminar dependencia innecesaria, preparar sustituto y exportar datos.</x:v>
      </x:c>
      <x:c r="F135" s="26" t="str">
        <x:v>Production / Engineering</x:v>
      </x:c>
      <x:c r="G135" s="26" t="str">
        <x:v>Project Owner</x:v>
      </x:c>
      <x:c r="H135" s="26" t="str">
        <x:v>P2</x:v>
      </x:c>
      <x:c r="I135" s="26" t="str">
        <x:v>OPEN</x:v>
      </x:c>
      <x:c r="J135" s="26" t="str">
        <x:v>2026-07-01</x:v>
      </x:c>
      <x:c r="K135" s="26" t="str">
        <x:v>2026-07-31</x:v>
      </x:c>
      <x:c r="L135" s="26"/>
      <x:c r="M135" s="26" t="str">
        <x:v>Control verificable y evidencia ligada a R-EXT-005.</x:v>
      </x:c>
      <x:c r="N135" s="26" t="str">
        <x:v>10, 11, 23, 24, 25, 27, 28, 31; Setup/build/Steam/legal y registros de herramientas</x:v>
      </x:c>
      <x:c r="O135" s="26" t="str">
        <x:v>No iniciada</x:v>
      </x:c>
      <x:c r="P135" s="90" t="n">
        <x:v>0</x:v>
      </x:c>
      <x:c r="Q135" s="26" t="str">
        <x:v>No ejecutar cierre sin evidencia.</x:v>
      </x:c>
    </x:row>
    <x:row r="136" ht="30" customHeight="1">
      <x:c r="A136" s="26" t="str">
        <x:v>TA-EXT-006</x:v>
      </x:c>
      <x:c r="B136" s="26" t="str">
        <x:v>R-EXT-006</x:v>
      </x:c>
      <x:c r="C136" s="26" t="str">
        <x:v>External Services &amp; Vendors</x:v>
      </x:c>
      <x:c r="D136" s="26" t="str">
        <x:v>Reducir riesgo: Dominio o email expira/se compromete</x:v>
      </x:c>
      <x:c r="E136" s="26" t="str">
        <x:v>Eliminar dependencia innecesaria, preparar sustituto y exportar datos.</x:v>
      </x:c>
      <x:c r="F136" s="26" t="str">
        <x:v>Production / Engineering</x:v>
      </x:c>
      <x:c r="G136" s="26" t="str">
        <x:v>Project Owner</x:v>
      </x:c>
      <x:c r="H136" s="26" t="str">
        <x:v>P2</x:v>
      </x:c>
      <x:c r="I136" s="26" t="str">
        <x:v>OPEN</x:v>
      </x:c>
      <x:c r="J136" s="26" t="str">
        <x:v>2026-07-01</x:v>
      </x:c>
      <x:c r="K136" s="26" t="str">
        <x:v>2026-07-08</x:v>
      </x:c>
      <x:c r="L136" s="26"/>
      <x:c r="M136" s="26" t="str">
        <x:v>Control verificable y evidencia ligada a R-EXT-006.</x:v>
      </x:c>
      <x:c r="N136" s="26" t="str">
        <x:v>10, 11, 23, 24, 25, 27, 28, 31; Setup/build/Steam/legal y registros de herramientas</x:v>
      </x:c>
      <x:c r="O136" s="26" t="str">
        <x:v>No iniciada</x:v>
      </x:c>
      <x:c r="P136" s="90" t="n">
        <x:v>0</x:v>
      </x:c>
      <x:c r="Q136" s="26" t="str">
        <x:v>No ejecutar cierre sin evidencia.</x:v>
      </x:c>
    </x:row>
    <x:row r="137" ht="30" customHeight="1">
      <x:c r="A137" s="26" t="str">
        <x:v>TA-EXT-007</x:v>
      </x:c>
      <x:c r="B137" s="26" t="str">
        <x:v>R-EXT-007</x:v>
      </x:c>
      <x:c r="C137" s="26" t="str">
        <x:v>External Services &amp; Vendors</x:v>
      </x:c>
      <x:c r="D137" s="26" t="str">
        <x:v>Reducir riesgo: Proveedor no entrega asset/servicio</x:v>
      </x:c>
      <x:c r="E137" s="26" t="str">
        <x:v>Eliminar dependencia innecesaria, preparar sustituto y exportar datos.</x:v>
      </x:c>
      <x:c r="F137" s="26" t="str">
        <x:v>Production / Engineering</x:v>
      </x:c>
      <x:c r="G137" s="26" t="str">
        <x:v>Project Owner</x:v>
      </x:c>
      <x:c r="H137" s="26" t="str">
        <x:v>P1</x:v>
      </x:c>
      <x:c r="I137" s="26" t="str">
        <x:v>OPEN</x:v>
      </x:c>
      <x:c r="J137" s="26" t="str">
        <x:v>2026-07-01</x:v>
      </x:c>
      <x:c r="K137" s="26" t="str">
        <x:v>2026-07-31</x:v>
      </x:c>
      <x:c r="L137" s="26"/>
      <x:c r="M137" s="26" t="str">
        <x:v>Control verificable y evidencia ligada a R-EXT-007.</x:v>
      </x:c>
      <x:c r="N137" s="26" t="str">
        <x:v>10, 11, 23, 24, 25, 27, 28, 31; Setup/build/Steam/legal y registros de herramientas</x:v>
      </x:c>
      <x:c r="O137" s="26" t="str">
        <x:v>No iniciada</x:v>
      </x:c>
      <x:c r="P137" s="90" t="n">
        <x:v>0</x:v>
      </x:c>
      <x:c r="Q137" s="26" t="str">
        <x:v>No ejecutar cierre sin evidencia.</x:v>
      </x:c>
    </x:row>
    <x:row r="138" ht="30" customHeight="1">
      <x:c r="A138" s="26" t="str">
        <x:v>TA-EXT-008</x:v>
      </x:c>
      <x:c r="B138" s="26" t="str">
        <x:v>R-EXT-008</x:v>
      </x:c>
      <x:c r="C138" s="26" t="str">
        <x:v>External Services &amp; Vendors</x:v>
      </x:c>
      <x:c r="D138" s="26" t="str">
        <x:v>Reducir riesgo: Datos/configuración quedan encerrados en SaaS</x:v>
      </x:c>
      <x:c r="E138" s="26" t="str">
        <x:v>Eliminar dependencia innecesaria, preparar sustituto y exportar datos.</x:v>
      </x:c>
      <x:c r="F138" s="26" t="str">
        <x:v>Production / Engineering</x:v>
      </x:c>
      <x:c r="G138" s="26" t="str">
        <x:v>Project Owner</x:v>
      </x:c>
      <x:c r="H138" s="26" t="str">
        <x:v>P2</x:v>
      </x:c>
      <x:c r="I138" s="26" t="str">
        <x:v>OPEN</x:v>
      </x:c>
      <x:c r="J138" s="26" t="str">
        <x:v>2026-07-01</x:v>
      </x:c>
      <x:c r="K138" s="26" t="str">
        <x:v>2026-07-31</x:v>
      </x:c>
      <x:c r="L138" s="26"/>
      <x:c r="M138" s="26" t="str">
        <x:v>Control verificable y evidencia ligada a R-EXT-008.</x:v>
      </x:c>
      <x:c r="N138" s="26" t="str">
        <x:v>10, 11, 23, 24, 25, 27, 28, 31; Setup/build/Steam/legal y registros de herramientas</x:v>
      </x:c>
      <x:c r="O138" s="26" t="str">
        <x:v>No iniciada</x:v>
      </x:c>
      <x:c r="P138" s="90" t="n">
        <x:v>0</x:v>
      </x:c>
      <x:c r="Q138" s="26" t="str">
        <x:v>No ejecutar cierre sin evidencia.</x:v>
      </x:c>
    </x:row>
    <x:row r="139" ht="30" customHeight="1">
      <x:c r="A139" s="26" t="str">
        <x:v>TA-ENV-001</x:v>
      </x:c>
      <x:c r="B139" s="26" t="str">
        <x:v>R-ENV-001</x:v>
      </x:c>
      <x:c r="C139" s="26" t="str">
        <x:v>Hardware, Facilities &amp; Environment</x:v>
      </x:c>
      <x:c r="D139" s="26" t="str">
        <x:v>Reducir riesgo: Disco de estación falla</x:v>
      </x:c>
      <x:c r="E139" s="26" t="str">
        <x:v>Mantener equipo alternativo, copias externas y procedimiento de rebuild.</x:v>
      </x:c>
      <x:c r="F139" s="26" t="str">
        <x:v>Project Owner / IT</x:v>
      </x:c>
      <x:c r="G139" s="26" t="str">
        <x:v>Production</x:v>
      </x:c>
      <x:c r="H139" s="26" t="str">
        <x:v>P1</x:v>
      </x:c>
      <x:c r="I139" s="26" t="str">
        <x:v>OPEN</x:v>
      </x:c>
      <x:c r="J139" s="26" t="str">
        <x:v>2026-07-01</x:v>
      </x:c>
      <x:c r="K139" s="26" t="str">
        <x:v>2026-07-08</x:v>
      </x:c>
      <x:c r="L139" s="26"/>
      <x:c r="M139" s="26" t="str">
        <x:v>Control verificable y evidencia ligada a R-ENV-001.</x:v>
      </x:c>
      <x:c r="N139" s="26" t="str">
        <x:v>10, 11, 25, 27, 30, 31, 34; Environment records, setup guides, handoffs y build records</x:v>
      </x:c>
      <x:c r="O139" s="26" t="str">
        <x:v>No iniciada</x:v>
      </x:c>
      <x:c r="P139" s="90" t="n">
        <x:v>0</x:v>
      </x:c>
      <x:c r="Q139" s="26" t="str">
        <x:v>No ejecutar cierre sin evidencia.</x:v>
      </x:c>
    </x:row>
    <x:row r="140" ht="30" customHeight="1">
      <x:c r="A140" s="26" t="str">
        <x:v>TA-ENV-002</x:v>
      </x:c>
      <x:c r="B140" s="26" t="str">
        <x:v>R-ENV-002</x:v>
      </x:c>
      <x:c r="C140" s="26" t="str">
        <x:v>Hardware, Facilities &amp; Environment</x:v>
      </x:c>
      <x:c r="D140" s="26" t="str">
        <x:v>Reducir riesgo: Equipo es robado</x:v>
      </x:c>
      <x:c r="E140" s="26" t="str">
        <x:v>Mantener equipo alternativo, copias externas y procedimiento de rebuild.</x:v>
      </x:c>
      <x:c r="F140" s="26" t="str">
        <x:v>Project Owner / IT</x:v>
      </x:c>
      <x:c r="G140" s="26" t="str">
        <x:v>Production</x:v>
      </x:c>
      <x:c r="H140" s="26" t="str">
        <x:v>P2</x:v>
      </x:c>
      <x:c r="I140" s="26" t="str">
        <x:v>OPEN</x:v>
      </x:c>
      <x:c r="J140" s="26" t="str">
        <x:v>2026-07-01</x:v>
      </x:c>
      <x:c r="K140" s="26" t="str">
        <x:v>2026-07-08</x:v>
      </x:c>
      <x:c r="L140" s="26"/>
      <x:c r="M140" s="26" t="str">
        <x:v>Control verificable y evidencia ligada a R-ENV-002.</x:v>
      </x:c>
      <x:c r="N140" s="26" t="str">
        <x:v>10, 11, 25, 27, 30, 31, 34; Environment records, setup guides, handoffs y build records</x:v>
      </x:c>
      <x:c r="O140" s="26" t="str">
        <x:v>No iniciada</x:v>
      </x:c>
      <x:c r="P140" s="90" t="n">
        <x:v>0</x:v>
      </x:c>
      <x:c r="Q140" s="26" t="str">
        <x:v>No ejecutar cierre sin evidencia.</x:v>
      </x:c>
    </x:row>
    <x:row r="141" ht="30" customHeight="1">
      <x:c r="A141" s="26" t="str">
        <x:v>TA-ENV-003</x:v>
      </x:c>
      <x:c r="B141" s="26" t="str">
        <x:v>R-ENV-003</x:v>
      </x:c>
      <x:c r="C141" s="26" t="str">
        <x:v>Hardware, Facilities &amp; Environment</x:v>
      </x:c>
      <x:c r="D141" s="26" t="str">
        <x:v>Reducir riesgo: Corte/sobretensión interrumpe escritura o daña equipo</x:v>
      </x:c>
      <x:c r="E141" s="26" t="str">
        <x:v>Mantener equipo alternativo, copias externas y procedimiento de rebuild.</x:v>
      </x:c>
      <x:c r="F141" s="26" t="str">
        <x:v>Project Owner / IT</x:v>
      </x:c>
      <x:c r="G141" s="26" t="str">
        <x:v>Production</x:v>
      </x:c>
      <x:c r="H141" s="26" t="str">
        <x:v>P1</x:v>
      </x:c>
      <x:c r="I141" s="26" t="str">
        <x:v>OPEN</x:v>
      </x:c>
      <x:c r="J141" s="26" t="str">
        <x:v>2026-07-01</x:v>
      </x:c>
      <x:c r="K141" s="26" t="str">
        <x:v>2026-07-08</x:v>
      </x:c>
      <x:c r="L141" s="26"/>
      <x:c r="M141" s="26" t="str">
        <x:v>Control verificable y evidencia ligada a R-ENV-003.</x:v>
      </x:c>
      <x:c r="N141" s="26" t="str">
        <x:v>10, 11, 25, 27, 30, 31, 34; Environment records, setup guides, handoffs y build records</x:v>
      </x:c>
      <x:c r="O141" s="26" t="str">
        <x:v>No iniciada</x:v>
      </x:c>
      <x:c r="P141" s="90" t="n">
        <x:v>0</x:v>
      </x:c>
      <x:c r="Q141" s="26" t="str">
        <x:v>No ejecutar cierre sin evidencia.</x:v>
      </x:c>
    </x:row>
    <x:row r="142" ht="30" customHeight="1">
      <x:c r="A142" s="26" t="str">
        <x:v>TA-ENV-004</x:v>
      </x:c>
      <x:c r="B142" s="26" t="str">
        <x:v>R-ENV-004</x:v>
      </x:c>
      <x:c r="C142" s="26" t="str">
        <x:v>Hardware, Facilities &amp; Environment</x:v>
      </x:c>
      <x:c r="D142" s="26" t="str">
        <x:v>Reducir riesgo: Ubicación principal queda inaccesible</x:v>
      </x:c>
      <x:c r="E142" s="26" t="str">
        <x:v>Mantener equipo alternativo, copias externas y procedimiento de rebuild.</x:v>
      </x:c>
      <x:c r="F142" s="26" t="str">
        <x:v>Project Owner / IT</x:v>
      </x:c>
      <x:c r="G142" s="26" t="str">
        <x:v>Production</x:v>
      </x:c>
      <x:c r="H142" s="26" t="str">
        <x:v>P2</x:v>
      </x:c>
      <x:c r="I142" s="26" t="str">
        <x:v>OPEN</x:v>
      </x:c>
      <x:c r="J142" s="26" t="str">
        <x:v>2026-07-01</x:v>
      </x:c>
      <x:c r="K142" s="26" t="str">
        <x:v>2026-07-08</x:v>
      </x:c>
      <x:c r="L142" s="26"/>
      <x:c r="M142" s="26" t="str">
        <x:v>Control verificable y evidencia ligada a R-ENV-004.</x:v>
      </x:c>
      <x:c r="N142" s="26" t="str">
        <x:v>10, 11, 25, 27, 30, 31, 34; Environment records, setup guides, handoffs y build records</x:v>
      </x:c>
      <x:c r="O142" s="26" t="str">
        <x:v>No iniciada</x:v>
      </x:c>
      <x:c r="P142" s="90" t="n">
        <x:v>0</x:v>
      </x:c>
      <x:c r="Q142" s="26" t="str">
        <x:v>No ejecutar cierre sin evidencia.</x:v>
      </x:c>
    </x:row>
    <x:row r="143" ht="30" customHeight="1">
      <x:c r="A143" s="26" t="str">
        <x:v>TA-ENV-005</x:v>
      </x:c>
      <x:c r="B143" s="26" t="str">
        <x:v>R-ENV-005</x:v>
      </x:c>
      <x:c r="C143" s="26" t="str">
        <x:v>Hardware, Facilities &amp; Environment</x:v>
      </x:c>
      <x:c r="D143" s="26" t="str">
        <x:v>Reducir riesgo: Conectividad impide servicios remotos</x:v>
      </x:c>
      <x:c r="E143" s="26" t="str">
        <x:v>Mantener equipo alternativo, copias externas y procedimiento de rebuild.</x:v>
      </x:c>
      <x:c r="F143" s="26" t="str">
        <x:v>Project Owner / IT</x:v>
      </x:c>
      <x:c r="G143" s="26" t="str">
        <x:v>Production</x:v>
      </x:c>
      <x:c r="H143" s="26" t="str">
        <x:v>P1</x:v>
      </x:c>
      <x:c r="I143" s="26" t="str">
        <x:v>OPEN</x:v>
      </x:c>
      <x:c r="J143" s="26" t="str">
        <x:v>2026-07-01</x:v>
      </x:c>
      <x:c r="K143" s="26" t="str">
        <x:v>2026-07-08</x:v>
      </x:c>
      <x:c r="L143" s="26"/>
      <x:c r="M143" s="26" t="str">
        <x:v>Control verificable y evidencia ligada a R-ENV-005.</x:v>
      </x:c>
      <x:c r="N143" s="26" t="str">
        <x:v>10, 11, 25, 27, 30, 31, 34; Environment records, setup guides, handoffs y build records</x:v>
      </x:c>
      <x:c r="O143" s="26" t="str">
        <x:v>No iniciada</x:v>
      </x:c>
      <x:c r="P143" s="90" t="n">
        <x:v>0</x:v>
      </x:c>
      <x:c r="Q143" s="26" t="str">
        <x:v>No ejecutar cierre sin evidencia.</x:v>
      </x:c>
    </x:row>
    <x:row r="144" ht="30" customHeight="1">
      <x:c r="A144" s="26" t="str">
        <x:v>TA-ENV-006</x:v>
      </x:c>
      <x:c r="B144" s="26" t="str">
        <x:v>R-ENV-006</x:v>
      </x:c>
      <x:c r="C144" s="26" t="str">
        <x:v>Hardware, Facilities &amp; Environment</x:v>
      </x:c>
      <x:c r="D144" s="26" t="str">
        <x:v>Reducir riesgo: Equipo se degrada/crashea bajo carga</x:v>
      </x:c>
      <x:c r="E144" s="26" t="str">
        <x:v>Mantener equipo alternativo, copias externas y procedimiento de rebuild.</x:v>
      </x:c>
      <x:c r="F144" s="26" t="str">
        <x:v>Project Owner / IT</x:v>
      </x:c>
      <x:c r="G144" s="26" t="str">
        <x:v>Production</x:v>
      </x:c>
      <x:c r="H144" s="26" t="str">
        <x:v>P1</x:v>
      </x:c>
      <x:c r="I144" s="26" t="str">
        <x:v>OPEN</x:v>
      </x:c>
      <x:c r="J144" s="26" t="str">
        <x:v>2026-07-01</x:v>
      </x:c>
      <x:c r="K144" s="26" t="str">
        <x:v>2026-07-31</x:v>
      </x:c>
      <x:c r="L144" s="26"/>
      <x:c r="M144" s="26" t="str">
        <x:v>Control verificable y evidencia ligada a R-ENV-006.</x:v>
      </x:c>
      <x:c r="N144" s="26" t="str">
        <x:v>10, 11, 25, 27, 30, 31, 34; Environment records, setup guides, handoffs y build records</x:v>
      </x:c>
      <x:c r="O144" s="26" t="str">
        <x:v>No iniciada</x:v>
      </x:c>
      <x:c r="P144" s="90" t="n">
        <x:v>0</x:v>
      </x:c>
      <x:c r="Q144" s="26" t="str">
        <x:v>No ejecutar cierre sin evidencia.</x:v>
      </x:c>
    </x:row>
    <x:row r="145" ht="30" customHeight="1">
      <x:c r="A145" s="26" t="str">
        <x:v>TA-ENV-007</x:v>
      </x:c>
      <x:c r="B145" s="26" t="str">
        <x:v>R-ENV-007</x:v>
      </x:c>
      <x:c r="C145" s="26" t="str">
        <x:v>Hardware, Facilities &amp; Environment</x:v>
      </x:c>
      <x:c r="D145" s="26" t="str">
        <x:v>Reducir riesgo: Hardware alternativo tarda demasiado</x:v>
      </x:c>
      <x:c r="E145" s="26" t="str">
        <x:v>Mantener equipo alternativo, copias externas y procedimiento de rebuild.</x:v>
      </x:c>
      <x:c r="F145" s="26" t="str">
        <x:v>Project Owner / IT</x:v>
      </x:c>
      <x:c r="G145" s="26" t="str">
        <x:v>Production</x:v>
      </x:c>
      <x:c r="H145" s="26" t="str">
        <x:v>P1</x:v>
      </x:c>
      <x:c r="I145" s="26" t="str">
        <x:v>OPEN</x:v>
      </x:c>
      <x:c r="J145" s="26" t="str">
        <x:v>2026-07-01</x:v>
      </x:c>
      <x:c r="K145" s="26" t="str">
        <x:v>2026-07-31</x:v>
      </x:c>
      <x:c r="L145" s="26"/>
      <x:c r="M145" s="26" t="str">
        <x:v>Control verificable y evidencia ligada a R-ENV-007.</x:v>
      </x:c>
      <x:c r="N145" s="26" t="str">
        <x:v>10, 11, 25, 27, 30, 31, 34; Environment records, setup guides, handoffs y build records</x:v>
      </x:c>
      <x:c r="O145" s="26" t="str">
        <x:v>No iniciada</x:v>
      </x:c>
      <x:c r="P145" s="90" t="n">
        <x:v>0</x:v>
      </x:c>
      <x:c r="Q145" s="26" t="str">
        <x:v>No ejecutar cierre sin evidencia.</x:v>
      </x:c>
    </x:row>
    <x:row r="146" ht="30" customHeight="1">
      <x:c r="A146" s="26" t="str">
        <x:v>TA-ENV-008</x:v>
      </x:c>
      <x:c r="B146" s="26" t="str">
        <x:v>R-ENV-008</x:v>
      </x:c>
      <x:c r="C146" s="26" t="str">
        <x:v>Hardware, Facilities &amp; Environment</x:v>
      </x:c>
      <x:c r="D146" s="26" t="str">
        <x:v>Reducir riesgo: Owner no puede acceder al entorno físico</x:v>
      </x:c>
      <x:c r="E146" s="26" t="str">
        <x:v>Mantener equipo alternativo, copias externas y procedimiento de rebuild.</x:v>
      </x:c>
      <x:c r="F146" s="26" t="str">
        <x:v>Project Owner / IT</x:v>
      </x:c>
      <x:c r="G146" s="26" t="str">
        <x:v>Production</x:v>
      </x:c>
      <x:c r="H146" s="26" t="str">
        <x:v>P2</x:v>
      </x:c>
      <x:c r="I146" s="26" t="str">
        <x:v>OPEN</x:v>
      </x:c>
      <x:c r="J146" s="26" t="str">
        <x:v>2026-07-01</x:v>
      </x:c>
      <x:c r="K146" s="26" t="str">
        <x:v>2026-07-08</x:v>
      </x:c>
      <x:c r="L146" s="26"/>
      <x:c r="M146" s="26" t="str">
        <x:v>Control verificable y evidencia ligada a R-ENV-008.</x:v>
      </x:c>
      <x:c r="N146" s="26" t="str">
        <x:v>10, 11, 25, 27, 30, 31, 34; Environment records, setup guides, handoffs y build records</x:v>
      </x:c>
      <x:c r="O146" s="26" t="str">
        <x:v>No iniciada</x:v>
      </x:c>
      <x:c r="P146" s="90" t="n">
        <x:v>0</x:v>
      </x:c>
      <x:c r="Q146" s="26" t="str">
        <x:v>No ejecutar cierre sin evidencia.</x:v>
      </x:c>
    </x:row>
    <x:row r="147" ht="30" customHeight="1">
      <x:c r="A147" s="26" t="str">
        <x:v>TA-DOC-001</x:v>
      </x:c>
      <x:c r="B147" s="26" t="str">
        <x:v>R-DOC-001</x:v>
      </x:c>
      <x:c r="C147" s="26" t="str">
        <x:v>Documentation &amp; Knowledge</x:v>
      </x:c>
      <x:c r="D147" s="26" t="str">
        <x:v>Reducir riesgo: Documentos 12–16/34 o referencias quedan sin cerrar</x:v>
      </x:c>
      <x:c r="E147" s="26" t="str">
        <x:v>Regenerar documentos afectados, preservar historia y cerrar referencias.</x:v>
      </x:c>
      <x:c r="F147" s="26" t="str">
        <x:v>Documentation / Production</x:v>
      </x:c>
      <x:c r="G147" s="26" t="str">
        <x:v>Project Owner</x:v>
      </x:c>
      <x:c r="H147" s="26" t="str">
        <x:v>P0</x:v>
      </x:c>
      <x:c r="I147" s="26" t="str">
        <x:v>OPEN</x:v>
      </x:c>
      <x:c r="J147" s="26" t="str">
        <x:v>2026-07-01</x:v>
      </x:c>
      <x:c r="K147" s="26" t="str">
        <x:v>2026-07-08</x:v>
      </x:c>
      <x:c r="L147" s="26"/>
      <x:c r="M147" s="26" t="str">
        <x:v>Control verificable y evidencia ligada a R-DOC-001.</x:v>
      </x:c>
      <x:c r="N147" s="26" t="str">
        <x:v>12, 13, 14, 15, 16, 31, 32, 33, 34; Baselines v0.3–v0.6, README, manifests, checksums, ADR y handoffs</x:v>
      </x:c>
      <x:c r="O147" s="26" t="str">
        <x:v>No iniciada</x:v>
      </x:c>
      <x:c r="P147" s="90" t="n">
        <x:v>0</x:v>
      </x:c>
      <x:c r="Q147" s="26" t="str">
        <x:v>No ejecutar cierre sin evidencia.</x:v>
      </x:c>
    </x:row>
    <x:row r="148" ht="30" customHeight="1">
      <x:c r="A148" s="26" t="str">
        <x:v>TA-DOC-002</x:v>
      </x:c>
      <x:c r="B148" s="26" t="str">
        <x:v>R-DOC-002</x:v>
      </x:c>
      <x:c r="C148" s="26" t="str">
        <x:v>Documentation &amp; Knowledge</x:v>
      </x:c>
      <x:c r="D148" s="26" t="str">
        <x:v>Reducir riesgo: Archivo no coincide con checksum publicado</x:v>
      </x:c>
      <x:c r="E148" s="26" t="str">
        <x:v>Regenerar documentos afectados, preservar historia y cerrar referencias.</x:v>
      </x:c>
      <x:c r="F148" s="26" t="str">
        <x:v>Documentation / Production</x:v>
      </x:c>
      <x:c r="G148" s="26" t="str">
        <x:v>Project Owner</x:v>
      </x:c>
      <x:c r="H148" s="26" t="str">
        <x:v>P1</x:v>
      </x:c>
      <x:c r="I148" s="26" t="str">
        <x:v>OPEN</x:v>
      </x:c>
      <x:c r="J148" s="26" t="str">
        <x:v>2026-07-01</x:v>
      </x:c>
      <x:c r="K148" s="26" t="str">
        <x:v>2026-07-08</x:v>
      </x:c>
      <x:c r="L148" s="26"/>
      <x:c r="M148" s="26" t="str">
        <x:v>Control verificable y evidencia ligada a R-DOC-002.</x:v>
      </x:c>
      <x:c r="N148" s="26" t="str">
        <x:v>12, 13, 14, 15, 16, 31, 32, 33, 34; Baselines v0.3–v0.6, README, manifests, checksums, ADR y handoffs</x:v>
      </x:c>
      <x:c r="O148" s="26" t="str">
        <x:v>No iniciada</x:v>
      </x:c>
      <x:c r="P148" s="90" t="n">
        <x:v>0</x:v>
      </x:c>
      <x:c r="Q148" s="26" t="str">
        <x:v>No ejecutar cierre sin evidencia.</x:v>
      </x:c>
    </x:row>
    <x:row r="149" ht="30" customHeight="1">
      <x:c r="A149" s="26" t="str">
        <x:v>TA-DOC-003</x:v>
      </x:c>
      <x:c r="B149" s="26" t="str">
        <x:v>R-DOC-003</x:v>
      </x:c>
      <x:c r="C149" s="26" t="str">
        <x:v>Documentation &amp; Knowledge</x:v>
      </x:c>
      <x:c r="D149" s="26" t="str">
        <x:v>Reducir riesgo: Baseline antigua o evidencia se borra por consolidación</x:v>
      </x:c>
      <x:c r="E149" s="26" t="str">
        <x:v>Regenerar documentos afectados, preservar historia y cerrar referencias.</x:v>
      </x:c>
      <x:c r="F149" s="26" t="str">
        <x:v>Documentation / Production</x:v>
      </x:c>
      <x:c r="G149" s="26" t="str">
        <x:v>Project Owner</x:v>
      </x:c>
      <x:c r="H149" s="26" t="str">
        <x:v>P2</x:v>
      </x:c>
      <x:c r="I149" s="26" t="str">
        <x:v>OPEN</x:v>
      </x:c>
      <x:c r="J149" s="26" t="str">
        <x:v>2026-07-01</x:v>
      </x:c>
      <x:c r="K149" s="26" t="str">
        <x:v>2026-07-08</x:v>
      </x:c>
      <x:c r="L149" s="26"/>
      <x:c r="M149" s="26" t="str">
        <x:v>Control verificable y evidencia ligada a R-DOC-003.</x:v>
      </x:c>
      <x:c r="N149" s="26" t="str">
        <x:v>12, 13, 14, 15, 16, 31, 32, 33, 34; Baselines v0.3–v0.6, README, manifests, checksums, ADR y handoffs</x:v>
      </x:c>
      <x:c r="O149" s="26" t="str">
        <x:v>No iniciada</x:v>
      </x:c>
      <x:c r="P149" s="90" t="n">
        <x:v>0</x:v>
      </x:c>
      <x:c r="Q149" s="26" t="str">
        <x:v>No ejecutar cierre sin evidencia.</x:v>
      </x:c>
    </x:row>
    <x:row r="150" ht="30" customHeight="1">
      <x:c r="A150" s="26" t="str">
        <x:v>TA-DOC-004</x:v>
      </x:c>
      <x:c r="B150" s="26" t="str">
        <x:v>R-DOC-004</x:v>
      </x:c>
      <x:c r="C150" s="26" t="str">
        <x:v>Documentation &amp; Knowledge</x:v>
      </x:c>
      <x:c r="D150" s="26" t="str">
        <x:v>Reducir riesgo: Se intenta embebir hash del XLSX dentro de sí mismo</x:v>
      </x:c>
      <x:c r="E150" s="26" t="str">
        <x:v>Regenerar documentos afectados, preservar historia y cerrar referencias.</x:v>
      </x:c>
      <x:c r="F150" s="26" t="str">
        <x:v>Documentation / Production</x:v>
      </x:c>
      <x:c r="G150" s="26" t="str">
        <x:v>Project Owner</x:v>
      </x:c>
      <x:c r="H150" s="26" t="str">
        <x:v>P2</x:v>
      </x:c>
      <x:c r="I150" s="26" t="str">
        <x:v>OPEN</x:v>
      </x:c>
      <x:c r="J150" s="26" t="str">
        <x:v>2026-07-01</x:v>
      </x:c>
      <x:c r="K150" s="26" t="str">
        <x:v>2026-07-08</x:v>
      </x:c>
      <x:c r="L150" s="26"/>
      <x:c r="M150" s="26" t="str">
        <x:v>Control verificable y evidencia ligada a R-DOC-004.</x:v>
      </x:c>
      <x:c r="N150" s="26" t="str">
        <x:v>12, 13, 14, 15, 16, 31, 32, 33, 34; Baselines v0.3–v0.6, README, manifests, checksums, ADR y handoffs</x:v>
      </x:c>
      <x:c r="O150" s="26" t="str">
        <x:v>No iniciada</x:v>
      </x:c>
      <x:c r="P150" s="90" t="n">
        <x:v>0</x:v>
      </x:c>
      <x:c r="Q150" s="26" t="str">
        <x:v>No ejecutar cierre sin evidencia.</x:v>
      </x:c>
    </x:row>
    <x:row r="151" ht="30" customHeight="1">
      <x:c r="A151" s="26" t="str">
        <x:v>TA-DOC-005</x:v>
      </x:c>
      <x:c r="B151" s="26" t="str">
        <x:v>R-DOC-005</x:v>
      </x:c>
      <x:c r="C151" s="26" t="str">
        <x:v>Documentation &amp; Knowledge</x:v>
      </x:c>
      <x:c r="D151" s="26" t="str">
        <x:v>Reducir riesgo: Guía/Binder describe estado anterior</x:v>
      </x:c>
      <x:c r="E151" s="26" t="str">
        <x:v>Regenerar documentos afectados, preservar historia y cerrar referencias.</x:v>
      </x:c>
      <x:c r="F151" s="26" t="str">
        <x:v>Documentation / Production</x:v>
      </x:c>
      <x:c r="G151" s="26" t="str">
        <x:v>Project Owner</x:v>
      </x:c>
      <x:c r="H151" s="26" t="str">
        <x:v>P0</x:v>
      </x:c>
      <x:c r="I151" s="26" t="str">
        <x:v>OPEN</x:v>
      </x:c>
      <x:c r="J151" s="26" t="str">
        <x:v>2026-07-01</x:v>
      </x:c>
      <x:c r="K151" s="26" t="str">
        <x:v>2026-07-08</x:v>
      </x:c>
      <x:c r="L151" s="26"/>
      <x:c r="M151" s="26" t="str">
        <x:v>Control verificable y evidencia ligada a R-DOC-005.</x:v>
      </x:c>
      <x:c r="N151" s="26" t="str">
        <x:v>12, 13, 14, 15, 16, 31, 32, 33, 34; Baselines v0.3–v0.6, README, manifests, checksums, ADR y handoffs</x:v>
      </x:c>
      <x:c r="O151" s="26" t="str">
        <x:v>No iniciada</x:v>
      </x:c>
      <x:c r="P151" s="90" t="n">
        <x:v>0</x:v>
      </x:c>
      <x:c r="Q151" s="26" t="str">
        <x:v>No ejecutar cierre sin evidencia.</x:v>
      </x:c>
    </x:row>
    <x:row r="152" ht="30" customHeight="1">
      <x:c r="A152" s="26" t="str">
        <x:v>TA-DOC-006</x:v>
      </x:c>
      <x:c r="B152" s="26" t="str">
        <x:v>R-DOC-006</x:v>
      </x:c>
      <x:c r="C152" s="26" t="str">
        <x:v>Documentation &amp; Knowledge</x:v>
      </x:c>
      <x:c r="D152" s="26" t="str">
        <x:v>Reducir riesgo: Decisión esencial solo existe en conversación</x:v>
      </x:c>
      <x:c r="E152" s="26" t="str">
        <x:v>Regenerar documentos afectados, preservar historia y cerrar referencias.</x:v>
      </x:c>
      <x:c r="F152" s="26" t="str">
        <x:v>Documentation / Production</x:v>
      </x:c>
      <x:c r="G152" s="26" t="str">
        <x:v>Project Owner</x:v>
      </x:c>
      <x:c r="H152" s="26" t="str">
        <x:v>P0</x:v>
      </x:c>
      <x:c r="I152" s="26" t="str">
        <x:v>OPEN</x:v>
      </x:c>
      <x:c r="J152" s="26" t="str">
        <x:v>2026-07-01</x:v>
      </x:c>
      <x:c r="K152" s="26" t="str">
        <x:v>2026-07-08</x:v>
      </x:c>
      <x:c r="L152" s="26"/>
      <x:c r="M152" s="26" t="str">
        <x:v>Control verificable y evidencia ligada a R-DOC-006.</x:v>
      </x:c>
      <x:c r="N152" s="26" t="str">
        <x:v>12, 13, 14, 15, 16, 31, 32, 33, 34; Baselines v0.3–v0.6, README, manifests, checksums, ADR y handoffs</x:v>
      </x:c>
      <x:c r="O152" s="26" t="str">
        <x:v>No iniciada</x:v>
      </x:c>
      <x:c r="P152" s="90" t="n">
        <x:v>0</x:v>
      </x:c>
      <x:c r="Q152" s="26" t="str">
        <x:v>No ejecutar cierre sin evidencia.</x:v>
      </x:c>
    </x:row>
    <x:row r="153" ht="30" customHeight="1">
      <x:c r="A153" s="26" t="str">
        <x:v>TA-DOC-007</x:v>
      </x:c>
      <x:c r="B153" s="26" t="str">
        <x:v>R-DOC-007</x:v>
      </x:c>
      <x:c r="C153" s="26" t="str">
        <x:v>Documentation &amp; Knowledge</x:v>
      </x:c>
      <x:c r="D153" s="26" t="str">
        <x:v>Reducir riesgo: Nombres/rutas/versiones divergen entre documentos</x:v>
      </x:c>
      <x:c r="E153" s="26" t="str">
        <x:v>Regenerar documentos afectados, preservar historia y cerrar referencias.</x:v>
      </x:c>
      <x:c r="F153" s="26" t="str">
        <x:v>Documentation / Production</x:v>
      </x:c>
      <x:c r="G153" s="26" t="str">
        <x:v>Project Owner</x:v>
      </x:c>
      <x:c r="H153" s="26" t="str">
        <x:v>P1</x:v>
      </x:c>
      <x:c r="I153" s="26" t="str">
        <x:v>OPEN</x:v>
      </x:c>
      <x:c r="J153" s="26" t="str">
        <x:v>2026-07-01</x:v>
      </x:c>
      <x:c r="K153" s="26" t="str">
        <x:v>2026-07-31</x:v>
      </x:c>
      <x:c r="L153" s="26"/>
      <x:c r="M153" s="26" t="str">
        <x:v>Control verificable y evidencia ligada a R-DOC-007.</x:v>
      </x:c>
      <x:c r="N153" s="26" t="str">
        <x:v>12, 13, 14, 15, 16, 31, 32, 33, 34; Baselines v0.3–v0.6, README, manifests, checksums, ADR y handoffs</x:v>
      </x:c>
      <x:c r="O153" s="26" t="str">
        <x:v>No iniciada</x:v>
      </x:c>
      <x:c r="P153" s="90" t="n">
        <x:v>0</x:v>
      </x:c>
      <x:c r="Q153" s="26" t="str">
        <x:v>No ejecutar cierre sin evidencia.</x:v>
      </x:c>
    </x:row>
    <x:row r="154" ht="30" customHeight="1">
      <x:c r="A154" s="26" t="str">
        <x:v>TA-DOC-008</x:v>
      </x:c>
      <x:c r="B154" s="26" t="str">
        <x:v>R-DOC-008</x:v>
      </x:c>
      <x:c r="C154" s="26" t="str">
        <x:v>Documentation &amp; Knowledge</x:v>
      </x:c>
      <x:c r="D154" s="26" t="str">
        <x:v>Reducir riesgo: ZIP final no se restaura en entorno limpio</x:v>
      </x:c>
      <x:c r="E154" s="26" t="str">
        <x:v>Regenerar documentos afectados, preservar historia y cerrar referencias.</x:v>
      </x:c>
      <x:c r="F154" s="26" t="str">
        <x:v>Documentation / Production</x:v>
      </x:c>
      <x:c r="G154" s="26" t="str">
        <x:v>Project Owner</x:v>
      </x:c>
      <x:c r="H154" s="26" t="str">
        <x:v>P0</x:v>
      </x:c>
      <x:c r="I154" s="26" t="str">
        <x:v>OPEN</x:v>
      </x:c>
      <x:c r="J154" s="26" t="str">
        <x:v>2026-07-01</x:v>
      </x:c>
      <x:c r="K154" s="26" t="str">
        <x:v>2026-07-08</x:v>
      </x:c>
      <x:c r="L154" s="26"/>
      <x:c r="M154" s="26" t="str">
        <x:v>Control verificable y evidencia ligada a R-DOC-008.</x:v>
      </x:c>
      <x:c r="N154" s="26" t="str">
        <x:v>12, 13, 14, 15, 16, 31, 32, 33, 34; Baselines v0.3–v0.6, README, manifests, checksums, ADR y handoffs</x:v>
      </x:c>
      <x:c r="O154" s="26" t="str">
        <x:v>No iniciada</x:v>
      </x:c>
      <x:c r="P154" s="90" t="n">
        <x:v>0</x:v>
      </x:c>
      <x:c r="Q154" s="26" t="str">
        <x:v>No ejecutar cierre sin evidencia.</x:v>
      </x:c>
    </x:row>
    <x:row r="155" ht="30" customHeight="1">
      <x:c r="A155" s="26" t="str">
        <x:v>TA-BCP-001</x:v>
      </x:c>
      <x:c r="B155" s="26" t="str">
        <x:v>R-BCP-001</x:v>
      </x:c>
      <x:c r="C155" s="26" t="str">
        <x:v>Business Continuity</x:v>
      </x:c>
      <x:c r="D155" s="26" t="str">
        <x:v>Asegurar continuidad de Repository and Git history</x:v>
      </x:c>
      <x:c r="E155" s="26" t="str">
        <x:v>Documentar ubicación primaria/secundaria, cifrado, retención, RPO/RTO y ejecutar restore test de Repository and Git history.</x:v>
      </x:c>
      <x:c r="F155" s="26" t="str">
        <x:v>Engineering</x:v>
      </x:c>
      <x:c r="G155" s="26" t="str">
        <x:v>Project Owner</x:v>
      </x:c>
      <x:c r="H155" s="26" t="str">
        <x:v>P0</x:v>
      </x:c>
      <x:c r="I155" s="26" t="str">
        <x:v>OPEN</x:v>
      </x:c>
      <x:c r="J155" s="26" t="str">
        <x:v>2026-07-01</x:v>
      </x:c>
      <x:c r="K155" s="26" t="str">
        <x:v>2026-07-31</x:v>
      </x:c>
      <x:c r="L155" s="26"/>
      <x:c r="M155" s="26" t="str">
        <x:v>Restore verificado dentro de RPO 4h / RTO 24h con hash/log.</x:v>
      </x:c>
      <x:c r="N155" s="26" t="str">
        <x:v>25, 27, 31, 32; historical manifests/checksums</x:v>
      </x:c>
      <x:c r="O155" s="26" t="str">
        <x:v>No iniciada</x:v>
      </x:c>
      <x:c r="P155" s="90" t="n">
        <x:v>0</x:v>
      </x:c>
      <x:c r="Q155" s="26" t="str">
        <x:v>La existencia de una copia no equivale a recuperación probada.</x:v>
      </x:c>
    </x:row>
    <x:row r="156" ht="30" customHeight="1">
      <x:c r="A156" s="26" t="str">
        <x:v>TA-BCP-002</x:v>
      </x:c>
      <x:c r="B156" s="26" t="str">
        <x:v>R-BCP-002</x:v>
      </x:c>
      <x:c r="C156" s="26" t="str">
        <x:v>Business Continuity</x:v>
      </x:c>
      <x:c r="D156" s="26" t="str">
        <x:v>Asegurar continuidad de Repository and Git history</x:v>
      </x:c>
      <x:c r="E156" s="26" t="str">
        <x:v>Documentar ubicación primaria/secundaria, cifrado, retención, RPO/RTO y ejecutar restore test de Repository and Git history.</x:v>
      </x:c>
      <x:c r="F156" s="26" t="str">
        <x:v>Engineering</x:v>
      </x:c>
      <x:c r="G156" s="26" t="str">
        <x:v>Project Owner</x:v>
      </x:c>
      <x:c r="H156" s="26" t="str">
        <x:v>P1</x:v>
      </x:c>
      <x:c r="I156" s="26" t="str">
        <x:v>OPEN</x:v>
      </x:c>
      <x:c r="J156" s="26" t="str">
        <x:v>2026-07-01</x:v>
      </x:c>
      <x:c r="K156" s="26" t="str">
        <x:v>2026-07-31</x:v>
      </x:c>
      <x:c r="L156" s="26"/>
      <x:c r="M156" s="26" t="str">
        <x:v>Restore verificado dentro de RPO 4h / RTO 24h con hash/log.</x:v>
      </x:c>
      <x:c r="N156" s="26" t="str">
        <x:v>25, 27, 31, 32; historical manifests/checksums</x:v>
      </x:c>
      <x:c r="O156" s="26" t="str">
        <x:v>No iniciada</x:v>
      </x:c>
      <x:c r="P156" s="90" t="n">
        <x:v>0</x:v>
      </x:c>
      <x:c r="Q156" s="26" t="str">
        <x:v>La existencia de una copia no equivale a recuperación probada.</x:v>
      </x:c>
    </x:row>
    <x:row r="157" ht="30" customHeight="1">
      <x:c r="A157" s="26" t="str">
        <x:v>TA-BCP-003</x:v>
      </x:c>
      <x:c r="B157" s="26" t="str">
        <x:v>R-BCP-003</x:v>
      </x:c>
      <x:c r="C157" s="26" t="str">
        <x:v>Business Continuity</x:v>
      </x:c>
      <x:c r="D157" s="26" t="str">
        <x:v>Asegurar continuidad de Unity project and ProjectSettings</x:v>
      </x:c>
      <x:c r="E157" s="26" t="str">
        <x:v>Documentar ubicación primaria/secundaria, cifrado, retención, RPO/RTO y ejecutar restore test de Unity project and ProjectSettings.</x:v>
      </x:c>
      <x:c r="F157" s="26" t="str">
        <x:v>Engineering</x:v>
      </x:c>
      <x:c r="G157" s="26" t="str">
        <x:v>Project Owner</x:v>
      </x:c>
      <x:c r="H157" s="26" t="str">
        <x:v>P0</x:v>
      </x:c>
      <x:c r="I157" s="26" t="str">
        <x:v>OPEN</x:v>
      </x:c>
      <x:c r="J157" s="26" t="str">
        <x:v>2026-07-01</x:v>
      </x:c>
      <x:c r="K157" s="26" t="str">
        <x:v>2026-07-31</x:v>
      </x:c>
      <x:c r="L157" s="26"/>
      <x:c r="M157" s="26" t="str">
        <x:v>Restore verificado dentro de RPO 4h / RTO 24h con hash/log.</x:v>
      </x:c>
      <x:c r="N157" s="26" t="str">
        <x:v>25, 27, 31, 32; historical manifests/checksums</x:v>
      </x:c>
      <x:c r="O157" s="26" t="str">
        <x:v>No iniciada</x:v>
      </x:c>
      <x:c r="P157" s="90" t="n">
        <x:v>0</x:v>
      </x:c>
      <x:c r="Q157" s="26" t="str">
        <x:v>La existencia de una copia no equivale a recuperación probada.</x:v>
      </x:c>
    </x:row>
    <x:row r="158" ht="30" customHeight="1">
      <x:c r="A158" s="26" t="str">
        <x:v>TA-BCP-004</x:v>
      </x:c>
      <x:c r="B158" s="26" t="str">
        <x:v>R-BCP-004</x:v>
      </x:c>
      <x:c r="C158" s="26" t="str">
        <x:v>Business Continuity</x:v>
      </x:c>
      <x:c r="D158" s="26" t="str">
        <x:v>Asegurar continuidad de Unity project and ProjectSettings</x:v>
      </x:c>
      <x:c r="E158" s="26" t="str">
        <x:v>Documentar ubicación primaria/secundaria, cifrado, retención, RPO/RTO y ejecutar restore test de Unity project and ProjectSettings.</x:v>
      </x:c>
      <x:c r="F158" s="26" t="str">
        <x:v>Engineering</x:v>
      </x:c>
      <x:c r="G158" s="26" t="str">
        <x:v>Project Owner</x:v>
      </x:c>
      <x:c r="H158" s="26" t="str">
        <x:v>P1</x:v>
      </x:c>
      <x:c r="I158" s="26" t="str">
        <x:v>OPEN</x:v>
      </x:c>
      <x:c r="J158" s="26" t="str">
        <x:v>2026-07-01</x:v>
      </x:c>
      <x:c r="K158" s="26" t="str">
        <x:v>2026-07-31</x:v>
      </x:c>
      <x:c r="L158" s="26"/>
      <x:c r="M158" s="26" t="str">
        <x:v>Restore verificado dentro de RPO 4h / RTO 24h con hash/log.</x:v>
      </x:c>
      <x:c r="N158" s="26" t="str">
        <x:v>25, 27, 31, 32; historical manifests/checksums</x:v>
      </x:c>
      <x:c r="O158" s="26" t="str">
        <x:v>No iniciada</x:v>
      </x:c>
      <x:c r="P158" s="90" t="n">
        <x:v>0</x:v>
      </x:c>
      <x:c r="Q158" s="26" t="str">
        <x:v>La existencia de una copia no equivale a recuperación probada.</x:v>
      </x:c>
    </x:row>
    <x:row r="159" ht="30" customHeight="1">
      <x:c r="A159" s="26" t="str">
        <x:v>TA-BCP-005</x:v>
      </x:c>
      <x:c r="B159" s="26" t="str">
        <x:v>R-BCP-005</x:v>
      </x:c>
      <x:c r="C159" s="26" t="str">
        <x:v>Business Continuity</x:v>
      </x:c>
      <x:c r="D159" s="26" t="str">
        <x:v>Asegurar continuidad de Source art files</x:v>
      </x:c>
      <x:c r="E159" s="26" t="str">
        <x:v>Documentar ubicación primaria/secundaria, cifrado, retención, RPO/RTO y ejecutar restore test de Source art files.</x:v>
      </x:c>
      <x:c r="F159" s="26" t="str">
        <x:v>Art</x:v>
      </x:c>
      <x:c r="G159" s="26" t="str">
        <x:v>Project Owner</x:v>
      </x:c>
      <x:c r="H159" s="26" t="str">
        <x:v>P0</x:v>
      </x:c>
      <x:c r="I159" s="26" t="str">
        <x:v>OPEN</x:v>
      </x:c>
      <x:c r="J159" s="26" t="str">
        <x:v>2026-07-01</x:v>
      </x:c>
      <x:c r="K159" s="26" t="str">
        <x:v>2026-07-31</x:v>
      </x:c>
      <x:c r="L159" s="26"/>
      <x:c r="M159" s="26" t="str">
        <x:v>Restore verificado dentro de RPO 24h / RTO 72h con hash/log.</x:v>
      </x:c>
      <x:c r="N159" s="26" t="str">
        <x:v>25, 27, 31, 32; historical manifests/checksums</x:v>
      </x:c>
      <x:c r="O159" s="26" t="str">
        <x:v>No iniciada</x:v>
      </x:c>
      <x:c r="P159" s="90" t="n">
        <x:v>0</x:v>
      </x:c>
      <x:c r="Q159" s="26" t="str">
        <x:v>La existencia de una copia no equivale a recuperación probada.</x:v>
      </x:c>
    </x:row>
    <x:row r="160" ht="30" customHeight="1">
      <x:c r="A160" s="26" t="str">
        <x:v>TA-BCP-006</x:v>
      </x:c>
      <x:c r="B160" s="26" t="str">
        <x:v>R-BCP-006</x:v>
      </x:c>
      <x:c r="C160" s="26" t="str">
        <x:v>Business Continuity</x:v>
      </x:c>
      <x:c r="D160" s="26" t="str">
        <x:v>Asegurar continuidad de Source art files</x:v>
      </x:c>
      <x:c r="E160" s="26" t="str">
        <x:v>Documentar ubicación primaria/secundaria, cifrado, retención, RPO/RTO y ejecutar restore test de Source art files.</x:v>
      </x:c>
      <x:c r="F160" s="26" t="str">
        <x:v>Art</x:v>
      </x:c>
      <x:c r="G160" s="26" t="str">
        <x:v>Project Owner</x:v>
      </x:c>
      <x:c r="H160" s="26" t="str">
        <x:v>P1</x:v>
      </x:c>
      <x:c r="I160" s="26" t="str">
        <x:v>OPEN</x:v>
      </x:c>
      <x:c r="J160" s="26" t="str">
        <x:v>2026-07-01</x:v>
      </x:c>
      <x:c r="K160" s="26" t="str">
        <x:v>2026-07-31</x:v>
      </x:c>
      <x:c r="L160" s="26"/>
      <x:c r="M160" s="26" t="str">
        <x:v>Restore verificado dentro de RPO 24h / RTO 72h con hash/log.</x:v>
      </x:c>
      <x:c r="N160" s="26" t="str">
        <x:v>25, 27, 31, 32; historical manifests/checksums</x:v>
      </x:c>
      <x:c r="O160" s="26" t="str">
        <x:v>No iniciada</x:v>
      </x:c>
      <x:c r="P160" s="90" t="n">
        <x:v>0</x:v>
      </x:c>
      <x:c r="Q160" s="26" t="str">
        <x:v>La existencia de una copia no equivale a recuperación probada.</x:v>
      </x:c>
    </x:row>
    <x:row r="161" ht="30" customHeight="1">
      <x:c r="A161" s="26" t="str">
        <x:v>TA-BCP-007</x:v>
      </x:c>
      <x:c r="B161" s="26" t="str">
        <x:v>R-BCP-007</x:v>
      </x:c>
      <x:c r="C161" s="26" t="str">
        <x:v>Business Continuity</x:v>
      </x:c>
      <x:c r="D161" s="26" t="str">
        <x:v>Asegurar continuidad de Source audio files</x:v>
      </x:c>
      <x:c r="E161" s="26" t="str">
        <x:v>Documentar ubicación primaria/secundaria, cifrado, retención, RPO/RTO y ejecutar restore test de Source audio files.</x:v>
      </x:c>
      <x:c r="F161" s="26" t="str">
        <x:v>Audio</x:v>
      </x:c>
      <x:c r="G161" s="26" t="str">
        <x:v>Project Owner</x:v>
      </x:c>
      <x:c r="H161" s="26" t="str">
        <x:v>P0</x:v>
      </x:c>
      <x:c r="I161" s="26" t="str">
        <x:v>OPEN</x:v>
      </x:c>
      <x:c r="J161" s="26" t="str">
        <x:v>2026-07-01</x:v>
      </x:c>
      <x:c r="K161" s="26" t="str">
        <x:v>2026-07-31</x:v>
      </x:c>
      <x:c r="L161" s="26"/>
      <x:c r="M161" s="26" t="str">
        <x:v>Restore verificado dentro de RPO 24h / RTO 72h con hash/log.</x:v>
      </x:c>
      <x:c r="N161" s="26" t="str">
        <x:v>25, 27, 31, 32; historical manifests/checksums</x:v>
      </x:c>
      <x:c r="O161" s="26" t="str">
        <x:v>No iniciada</x:v>
      </x:c>
      <x:c r="P161" s="90" t="n">
        <x:v>0</x:v>
      </x:c>
      <x:c r="Q161" s="26" t="str">
        <x:v>La existencia de una copia no equivale a recuperación probada.</x:v>
      </x:c>
    </x:row>
    <x:row r="162" ht="30" customHeight="1">
      <x:c r="A162" s="26" t="str">
        <x:v>TA-BCP-008</x:v>
      </x:c>
      <x:c r="B162" s="26" t="str">
        <x:v>R-BCP-008</x:v>
      </x:c>
      <x:c r="C162" s="26" t="str">
        <x:v>Business Continuity</x:v>
      </x:c>
      <x:c r="D162" s="26" t="str">
        <x:v>Asegurar continuidad de Source audio files</x:v>
      </x:c>
      <x:c r="E162" s="26" t="str">
        <x:v>Documentar ubicación primaria/secundaria, cifrado, retención, RPO/RTO y ejecutar restore test de Source audio files.</x:v>
      </x:c>
      <x:c r="F162" s="26" t="str">
        <x:v>Audio</x:v>
      </x:c>
      <x:c r="G162" s="26" t="str">
        <x:v>Project Owner</x:v>
      </x:c>
      <x:c r="H162" s="26" t="str">
        <x:v>P1</x:v>
      </x:c>
      <x:c r="I162" s="26" t="str">
        <x:v>OPEN</x:v>
      </x:c>
      <x:c r="J162" s="26" t="str">
        <x:v>2026-07-01</x:v>
      </x:c>
      <x:c r="K162" s="26" t="str">
        <x:v>2026-07-31</x:v>
      </x:c>
      <x:c r="L162" s="26"/>
      <x:c r="M162" s="26" t="str">
        <x:v>Restore verificado dentro de RPO 24h / RTO 72h con hash/log.</x:v>
      </x:c>
      <x:c r="N162" s="26" t="str">
        <x:v>25, 27, 31, 32; historical manifests/checksums</x:v>
      </x:c>
      <x:c r="O162" s="26" t="str">
        <x:v>No iniciada</x:v>
      </x:c>
      <x:c r="P162" s="90" t="n">
        <x:v>0</x:v>
      </x:c>
      <x:c r="Q162" s="26" t="str">
        <x:v>La existencia de una copia no equivale a recuperación probada.</x:v>
      </x:c>
    </x:row>
    <x:row r="163" ht="30" customHeight="1">
      <x:c r="A163" s="26" t="str">
        <x:v>TA-BCP-009</x:v>
      </x:c>
      <x:c r="B163" s="26" t="str">
        <x:v>R-BCP-009</x:v>
      </x:c>
      <x:c r="C163" s="26" t="str">
        <x:v>Business Continuity</x:v>
      </x:c>
      <x:c r="D163" s="26" t="str">
        <x:v>Asegurar continuidad de Documentation baseline</x:v>
      </x:c>
      <x:c r="E163" s="26" t="str">
        <x:v>Documentar ubicación primaria/secundaria, cifrado, retención, RPO/RTO y ejecutar restore test de Documentation baseline.</x:v>
      </x:c>
      <x:c r="F163" s="26" t="str">
        <x:v>Documentation</x:v>
      </x:c>
      <x:c r="G163" s="26" t="str">
        <x:v>Project Owner</x:v>
      </x:c>
      <x:c r="H163" s="26" t="str">
        <x:v>P0</x:v>
      </x:c>
      <x:c r="I163" s="26" t="str">
        <x:v>OPEN</x:v>
      </x:c>
      <x:c r="J163" s="26" t="str">
        <x:v>2026-07-01</x:v>
      </x:c>
      <x:c r="K163" s="26" t="str">
        <x:v>2026-07-31</x:v>
      </x:c>
      <x:c r="L163" s="26"/>
      <x:c r="M163" s="26" t="str">
        <x:v>Restore verificado dentro de RPO 24h / RTO 24h con hash/log.</x:v>
      </x:c>
      <x:c r="N163" s="26" t="str">
        <x:v>25, 27, 31, 32; historical manifests/checksums</x:v>
      </x:c>
      <x:c r="O163" s="26" t="str">
        <x:v>No iniciada</x:v>
      </x:c>
      <x:c r="P163" s="90" t="n">
        <x:v>0</x:v>
      </x:c>
      <x:c r="Q163" s="26" t="str">
        <x:v>La existencia de una copia no equivale a recuperación probada.</x:v>
      </x:c>
    </x:row>
    <x:row r="164" ht="30" customHeight="1">
      <x:c r="A164" s="26" t="str">
        <x:v>TA-BCP-010</x:v>
      </x:c>
      <x:c r="B164" s="26" t="str">
        <x:v>R-BCP-010</x:v>
      </x:c>
      <x:c r="C164" s="26" t="str">
        <x:v>Business Continuity</x:v>
      </x:c>
      <x:c r="D164" s="26" t="str">
        <x:v>Asegurar continuidad de Documentation baseline</x:v>
      </x:c>
      <x:c r="E164" s="26" t="str">
        <x:v>Documentar ubicación primaria/secundaria, cifrado, retención, RPO/RTO y ejecutar restore test de Documentation baseline.</x:v>
      </x:c>
      <x:c r="F164" s="26" t="str">
        <x:v>Documentation</x:v>
      </x:c>
      <x:c r="G164" s="26" t="str">
        <x:v>Project Owner</x:v>
      </x:c>
      <x:c r="H164" s="26" t="str">
        <x:v>P1</x:v>
      </x:c>
      <x:c r="I164" s="26" t="str">
        <x:v>OPEN</x:v>
      </x:c>
      <x:c r="J164" s="26" t="str">
        <x:v>2026-07-01</x:v>
      </x:c>
      <x:c r="K164" s="26" t="str">
        <x:v>2026-07-31</x:v>
      </x:c>
      <x:c r="L164" s="26"/>
      <x:c r="M164" s="26" t="str">
        <x:v>Restore verificado dentro de RPO 24h / RTO 24h con hash/log.</x:v>
      </x:c>
      <x:c r="N164" s="26" t="str">
        <x:v>25, 27, 31, 32; historical manifests/checksums</x:v>
      </x:c>
      <x:c r="O164" s="26" t="str">
        <x:v>No iniciada</x:v>
      </x:c>
      <x:c r="P164" s="90" t="n">
        <x:v>0</x:v>
      </x:c>
      <x:c r="Q164" s="26" t="str">
        <x:v>La existencia de una copia no equivale a recuperación probada.</x:v>
      </x:c>
    </x:row>
    <x:row r="165" ht="30" customHeight="1">
      <x:c r="A165" s="26" t="str">
        <x:v>TA-BCP-011</x:v>
      </x:c>
      <x:c r="B165" s="26" t="str">
        <x:v>R-BCP-011</x:v>
      </x:c>
      <x:c r="C165" s="26" t="str">
        <x:v>Business Continuity</x:v>
      </x:c>
      <x:c r="D165" s="26" t="str">
        <x:v>Asegurar continuidad de Historical documentation</x:v>
      </x:c>
      <x:c r="E165" s="26" t="str">
        <x:v>Documentar ubicación primaria/secundaria, cifrado, retención, RPO/RTO y ejecutar restore test de Historical documentation.</x:v>
      </x:c>
      <x:c r="F165" s="26" t="str">
        <x:v>Documentation</x:v>
      </x:c>
      <x:c r="G165" s="26" t="str">
        <x:v>Project Owner</x:v>
      </x:c>
      <x:c r="H165" s="26" t="str">
        <x:v>P0</x:v>
      </x:c>
      <x:c r="I165" s="26" t="str">
        <x:v>OPEN</x:v>
      </x:c>
      <x:c r="J165" s="26" t="str">
        <x:v>2026-07-01</x:v>
      </x:c>
      <x:c r="K165" s="26" t="str">
        <x:v>2026-07-31</x:v>
      </x:c>
      <x:c r="L165" s="26"/>
      <x:c r="M165" s="26" t="str">
        <x:v>Restore verificado dentro de RPO 24h / RTO 72h con hash/log.</x:v>
      </x:c>
      <x:c r="N165" s="26" t="str">
        <x:v>25, 27, 31, 32; historical manifests/checksums</x:v>
      </x:c>
      <x:c r="O165" s="26" t="str">
        <x:v>No iniciada</x:v>
      </x:c>
      <x:c r="P165" s="90" t="n">
        <x:v>0</x:v>
      </x:c>
      <x:c r="Q165" s="26" t="str">
        <x:v>La existencia de una copia no equivale a recuperación probada.</x:v>
      </x:c>
    </x:row>
    <x:row r="166" ht="30" customHeight="1">
      <x:c r="A166" s="26" t="str">
        <x:v>TA-BCP-012</x:v>
      </x:c>
      <x:c r="B166" s="26" t="str">
        <x:v>R-BCP-012</x:v>
      </x:c>
      <x:c r="C166" s="26" t="str">
        <x:v>Business Continuity</x:v>
      </x:c>
      <x:c r="D166" s="26" t="str">
        <x:v>Asegurar continuidad de Historical documentation</x:v>
      </x:c>
      <x:c r="E166" s="26" t="str">
        <x:v>Documentar ubicación primaria/secundaria, cifrado, retención, RPO/RTO y ejecutar restore test de Historical documentation.</x:v>
      </x:c>
      <x:c r="F166" s="26" t="str">
        <x:v>Documentation</x:v>
      </x:c>
      <x:c r="G166" s="26" t="str">
        <x:v>Project Owner</x:v>
      </x:c>
      <x:c r="H166" s="26" t="str">
        <x:v>P1</x:v>
      </x:c>
      <x:c r="I166" s="26" t="str">
        <x:v>OPEN</x:v>
      </x:c>
      <x:c r="J166" s="26" t="str">
        <x:v>2026-07-01</x:v>
      </x:c>
      <x:c r="K166" s="26" t="str">
        <x:v>2026-07-31</x:v>
      </x:c>
      <x:c r="L166" s="26"/>
      <x:c r="M166" s="26" t="str">
        <x:v>Restore verificado dentro de RPO 24h / RTO 72h con hash/log.</x:v>
      </x:c>
      <x:c r="N166" s="26" t="str">
        <x:v>25, 27, 31, 32; historical manifests/checksums</x:v>
      </x:c>
      <x:c r="O166" s="26" t="str">
        <x:v>No iniciada</x:v>
      </x:c>
      <x:c r="P166" s="90" t="n">
        <x:v>0</x:v>
      </x:c>
      <x:c r="Q166" s="26" t="str">
        <x:v>La existencia de una copia no equivale a recuperación probada.</x:v>
      </x:c>
    </x:row>
    <x:row r="167" ht="30" customHeight="1">
      <x:c r="A167" s="26" t="str">
        <x:v>TA-BCP-013</x:v>
      </x:c>
      <x:c r="B167" s="26" t="str">
        <x:v>R-BCP-013</x:v>
      </x:c>
      <x:c r="C167" s="26" t="str">
        <x:v>Business Continuity</x:v>
      </x:c>
      <x:c r="D167" s="26" t="str">
        <x:v>Asegurar continuidad de Build artifacts</x:v>
      </x:c>
      <x:c r="E167" s="26" t="str">
        <x:v>Documentar ubicación primaria/secundaria, cifrado, retención, RPO/RTO y ejecutar restore test de Build artifacts.</x:v>
      </x:c>
      <x:c r="F167" s="26" t="str">
        <x:v>Build</x:v>
      </x:c>
      <x:c r="G167" s="26" t="str">
        <x:v>Project Owner</x:v>
      </x:c>
      <x:c r="H167" s="26" t="str">
        <x:v>P0</x:v>
      </x:c>
      <x:c r="I167" s="26" t="str">
        <x:v>OPEN</x:v>
      </x:c>
      <x:c r="J167" s="26" t="str">
        <x:v>2026-07-01</x:v>
      </x:c>
      <x:c r="K167" s="26" t="str">
        <x:v>2026-07-31</x:v>
      </x:c>
      <x:c r="L167" s="26"/>
      <x:c r="M167" s="26" t="str">
        <x:v>Restore verificado dentro de RPO per candidate / RTO 8h con hash/log.</x:v>
      </x:c>
      <x:c r="N167" s="26" t="str">
        <x:v>25, 27, 31, 32; historical manifests/checksums</x:v>
      </x:c>
      <x:c r="O167" s="26" t="str">
        <x:v>No iniciada</x:v>
      </x:c>
      <x:c r="P167" s="90" t="n">
        <x:v>0</x:v>
      </x:c>
      <x:c r="Q167" s="26" t="str">
        <x:v>La existencia de una copia no equivale a recuperación probada.</x:v>
      </x:c>
    </x:row>
    <x:row r="168" ht="30" customHeight="1">
      <x:c r="A168" s="26" t="str">
        <x:v>TA-BCP-014</x:v>
      </x:c>
      <x:c r="B168" s="26" t="str">
        <x:v>R-BCP-014</x:v>
      </x:c>
      <x:c r="C168" s="26" t="str">
        <x:v>Business Continuity</x:v>
      </x:c>
      <x:c r="D168" s="26" t="str">
        <x:v>Asegurar continuidad de Build artifacts</x:v>
      </x:c>
      <x:c r="E168" s="26" t="str">
        <x:v>Documentar ubicación primaria/secundaria, cifrado, retención, RPO/RTO y ejecutar restore test de Build artifacts.</x:v>
      </x:c>
      <x:c r="F168" s="26" t="str">
        <x:v>Build</x:v>
      </x:c>
      <x:c r="G168" s="26" t="str">
        <x:v>Project Owner</x:v>
      </x:c>
      <x:c r="H168" s="26" t="str">
        <x:v>P1</x:v>
      </x:c>
      <x:c r="I168" s="26" t="str">
        <x:v>OPEN</x:v>
      </x:c>
      <x:c r="J168" s="26" t="str">
        <x:v>2026-07-01</x:v>
      </x:c>
      <x:c r="K168" s="26" t="str">
        <x:v>2026-07-31</x:v>
      </x:c>
      <x:c r="L168" s="26"/>
      <x:c r="M168" s="26" t="str">
        <x:v>Restore verificado dentro de RPO per candidate / RTO 8h con hash/log.</x:v>
      </x:c>
      <x:c r="N168" s="26" t="str">
        <x:v>25, 27, 31, 32; historical manifests/checksums</x:v>
      </x:c>
      <x:c r="O168" s="26" t="str">
        <x:v>No iniciada</x:v>
      </x:c>
      <x:c r="P168" s="90" t="n">
        <x:v>0</x:v>
      </x:c>
      <x:c r="Q168" s="26" t="str">
        <x:v>La existencia de una copia no equivale a recuperación probada.</x:v>
      </x:c>
    </x:row>
    <x:row r="169" ht="30" customHeight="1">
      <x:c r="A169" s="26" t="str">
        <x:v>TA-BCP-015</x:v>
      </x:c>
      <x:c r="B169" s="26" t="str">
        <x:v>R-BCP-015</x:v>
      </x:c>
      <x:c r="C169" s="26" t="str">
        <x:v>Business Continuity</x:v>
      </x:c>
      <x:c r="D169" s="26" t="str">
        <x:v>Asegurar continuidad de Save/recovery test corpus</x:v>
      </x:c>
      <x:c r="E169" s="26" t="str">
        <x:v>Documentar ubicación primaria/secundaria, cifrado, retención, RPO/RTO y ejecutar restore test de Save/recovery test corpus.</x:v>
      </x:c>
      <x:c r="F169" s="26" t="str">
        <x:v>QA/Data</x:v>
      </x:c>
      <x:c r="G169" s="26" t="str">
        <x:v>Project Owner</x:v>
      </x:c>
      <x:c r="H169" s="26" t="str">
        <x:v>P0</x:v>
      </x:c>
      <x:c r="I169" s="26" t="str">
        <x:v>OPEN</x:v>
      </x:c>
      <x:c r="J169" s="26" t="str">
        <x:v>2026-07-01</x:v>
      </x:c>
      <x:c r="K169" s="26" t="str">
        <x:v>2026-07-31</x:v>
      </x:c>
      <x:c r="L169" s="26"/>
      <x:c r="M169" s="26" t="str">
        <x:v>Restore verificado dentro de RPO per release / RTO 8h con hash/log.</x:v>
      </x:c>
      <x:c r="N169" s="26" t="str">
        <x:v>25, 27, 31, 32; historical manifests/checksums</x:v>
      </x:c>
      <x:c r="O169" s="26" t="str">
        <x:v>No iniciada</x:v>
      </x:c>
      <x:c r="P169" s="90" t="n">
        <x:v>0</x:v>
      </x:c>
      <x:c r="Q169" s="26" t="str">
        <x:v>La existencia de una copia no equivale a recuperación probada.</x:v>
      </x:c>
    </x:row>
    <x:row r="170" ht="30" customHeight="1">
      <x:c r="A170" s="26" t="str">
        <x:v>TA-BCP-016</x:v>
      </x:c>
      <x:c r="B170" s="26" t="str">
        <x:v>R-BCP-016</x:v>
      </x:c>
      <x:c r="C170" s="26" t="str">
        <x:v>Business Continuity</x:v>
      </x:c>
      <x:c r="D170" s="26" t="str">
        <x:v>Asegurar continuidad de Save/recovery test corpus</x:v>
      </x:c>
      <x:c r="E170" s="26" t="str">
        <x:v>Documentar ubicación primaria/secundaria, cifrado, retención, RPO/RTO y ejecutar restore test de Save/recovery test corpus.</x:v>
      </x:c>
      <x:c r="F170" s="26" t="str">
        <x:v>QA/Data</x:v>
      </x:c>
      <x:c r="G170" s="26" t="str">
        <x:v>Project Owner</x:v>
      </x:c>
      <x:c r="H170" s="26" t="str">
        <x:v>P1</x:v>
      </x:c>
      <x:c r="I170" s="26" t="str">
        <x:v>OPEN</x:v>
      </x:c>
      <x:c r="J170" s="26" t="str">
        <x:v>2026-07-01</x:v>
      </x:c>
      <x:c r="K170" s="26" t="str">
        <x:v>2026-07-31</x:v>
      </x:c>
      <x:c r="L170" s="26"/>
      <x:c r="M170" s="26" t="str">
        <x:v>Restore verificado dentro de RPO per release / RTO 8h con hash/log.</x:v>
      </x:c>
      <x:c r="N170" s="26" t="str">
        <x:v>25, 27, 31, 32; historical manifests/checksums</x:v>
      </x:c>
      <x:c r="O170" s="26" t="str">
        <x:v>No iniciada</x:v>
      </x:c>
      <x:c r="P170" s="90" t="n">
        <x:v>0</x:v>
      </x:c>
      <x:c r="Q170" s="26" t="str">
        <x:v>La existencia de una copia no equivale a recuperación probada.</x:v>
      </x:c>
    </x:row>
    <x:row r="171" ht="30" customHeight="1">
      <x:c r="A171" s="26" t="str">
        <x:v>TA-BCP-017</x:v>
      </x:c>
      <x:c r="B171" s="26" t="str">
        <x:v>R-BCP-017</x:v>
      </x:c>
      <x:c r="C171" s="26" t="str">
        <x:v>Business Continuity</x:v>
      </x:c>
      <x:c r="D171" s="26" t="str">
        <x:v>Asegurar continuidad de Steamworks configuration</x:v>
      </x:c>
      <x:c r="E171" s="26" t="str">
        <x:v>Documentar ubicación primaria/secundaria, cifrado, retención, RPO/RTO y ejecutar restore test de Steamworks configuration.</x:v>
      </x:c>
      <x:c r="F171" s="26" t="str">
        <x:v>Publishing</x:v>
      </x:c>
      <x:c r="G171" s="26" t="str">
        <x:v>Project Owner</x:v>
      </x:c>
      <x:c r="H171" s="26" t="str">
        <x:v>P0</x:v>
      </x:c>
      <x:c r="I171" s="26" t="str">
        <x:v>OPEN</x:v>
      </x:c>
      <x:c r="J171" s="26" t="str">
        <x:v>2026-07-01</x:v>
      </x:c>
      <x:c r="K171" s="26" t="str">
        <x:v>2026-07-31</x:v>
      </x:c>
      <x:c r="L171" s="26"/>
      <x:c r="M171" s="26" t="str">
        <x:v>Restore verificado dentro de RPO 24h / RTO 24h con hash/log.</x:v>
      </x:c>
      <x:c r="N171" s="26" t="str">
        <x:v>25, 27, 31, 32; historical manifests/checksums</x:v>
      </x:c>
      <x:c r="O171" s="26" t="str">
        <x:v>No iniciada</x:v>
      </x:c>
      <x:c r="P171" s="90" t="n">
        <x:v>0</x:v>
      </x:c>
      <x:c r="Q171" s="26" t="str">
        <x:v>La existencia de una copia no equivale a recuperación probada.</x:v>
      </x:c>
    </x:row>
    <x:row r="172" ht="30" customHeight="1">
      <x:c r="A172" s="26" t="str">
        <x:v>TA-BCP-018</x:v>
      </x:c>
      <x:c r="B172" s="26" t="str">
        <x:v>R-BCP-018</x:v>
      </x:c>
      <x:c r="C172" s="26" t="str">
        <x:v>Business Continuity</x:v>
      </x:c>
      <x:c r="D172" s="26" t="str">
        <x:v>Asegurar continuidad de Steamworks configuration</x:v>
      </x:c>
      <x:c r="E172" s="26" t="str">
        <x:v>Documentar ubicación primaria/secundaria, cifrado, retención, RPO/RTO y ejecutar restore test de Steamworks configuration.</x:v>
      </x:c>
      <x:c r="F172" s="26" t="str">
        <x:v>Publishing</x:v>
      </x:c>
      <x:c r="G172" s="26" t="str">
        <x:v>Project Owner</x:v>
      </x:c>
      <x:c r="H172" s="26" t="str">
        <x:v>P1</x:v>
      </x:c>
      <x:c r="I172" s="26" t="str">
        <x:v>OPEN</x:v>
      </x:c>
      <x:c r="J172" s="26" t="str">
        <x:v>2026-07-01</x:v>
      </x:c>
      <x:c r="K172" s="26" t="str">
        <x:v>2026-07-31</x:v>
      </x:c>
      <x:c r="L172" s="26"/>
      <x:c r="M172" s="26" t="str">
        <x:v>Restore verificado dentro de RPO 24h / RTO 24h con hash/log.</x:v>
      </x:c>
      <x:c r="N172" s="26" t="str">
        <x:v>25, 27, 31, 32; historical manifests/checksums</x:v>
      </x:c>
      <x:c r="O172" s="26" t="str">
        <x:v>No iniciada</x:v>
      </x:c>
      <x:c r="P172" s="90" t="n">
        <x:v>0</x:v>
      </x:c>
      <x:c r="Q172" s="26" t="str">
        <x:v>La existencia de una copia no equivale a recuperación probada.</x:v>
      </x:c>
    </x:row>
    <x:row r="173" ht="30" customHeight="1">
      <x:c r="A173" s="26" t="str">
        <x:v>TA-BCP-019</x:v>
      </x:c>
      <x:c r="B173" s="26" t="str">
        <x:v>R-BCP-019</x:v>
      </x:c>
      <x:c r="C173" s="26" t="str">
        <x:v>Business Continuity</x:v>
      </x:c>
      <x:c r="D173" s="26" t="str">
        <x:v>Asegurar continuidad de Domains, email and social identities</x:v>
      </x:c>
      <x:c r="E173" s="26" t="str">
        <x:v>Documentar ubicación primaria/secundaria, cifrado, retención, RPO/RTO y ejecutar restore test de Domains, email and social identities.</x:v>
      </x:c>
      <x:c r="F173" s="26" t="str">
        <x:v>Marketing</x:v>
      </x:c>
      <x:c r="G173" s="26" t="str">
        <x:v>Project Owner</x:v>
      </x:c>
      <x:c r="H173" s="26" t="str">
        <x:v>P0</x:v>
      </x:c>
      <x:c r="I173" s="26" t="str">
        <x:v>OPEN</x:v>
      </x:c>
      <x:c r="J173" s="26" t="str">
        <x:v>2026-07-01</x:v>
      </x:c>
      <x:c r="K173" s="26" t="str">
        <x:v>2026-07-31</x:v>
      </x:c>
      <x:c r="L173" s="26"/>
      <x:c r="M173" s="26" t="str">
        <x:v>Restore verificado dentro de RPO 24h / RTO 8h con hash/log.</x:v>
      </x:c>
      <x:c r="N173" s="26" t="str">
        <x:v>25, 27, 31, 32; historical manifests/checksums</x:v>
      </x:c>
      <x:c r="O173" s="26" t="str">
        <x:v>No iniciada</x:v>
      </x:c>
      <x:c r="P173" s="90" t="n">
        <x:v>0</x:v>
      </x:c>
      <x:c r="Q173" s="26" t="str">
        <x:v>La existencia de una copia no equivale a recuperación probada.</x:v>
      </x:c>
    </x:row>
    <x:row r="174" ht="30" customHeight="1">
      <x:c r="A174" s="26" t="str">
        <x:v>TA-BCP-020</x:v>
      </x:c>
      <x:c r="B174" s="26" t="str">
        <x:v>R-BCP-020</x:v>
      </x:c>
      <x:c r="C174" s="26" t="str">
        <x:v>Business Continuity</x:v>
      </x:c>
      <x:c r="D174" s="26" t="str">
        <x:v>Asegurar continuidad de Domains, email and social identities</x:v>
      </x:c>
      <x:c r="E174" s="26" t="str">
        <x:v>Documentar ubicación primaria/secundaria, cifrado, retención, RPO/RTO y ejecutar restore test de Domains, email and social identities.</x:v>
      </x:c>
      <x:c r="F174" s="26" t="str">
        <x:v>Marketing</x:v>
      </x:c>
      <x:c r="G174" s="26" t="str">
        <x:v>Project Owner</x:v>
      </x:c>
      <x:c r="H174" s="26" t="str">
        <x:v>P1</x:v>
      </x:c>
      <x:c r="I174" s="26" t="str">
        <x:v>OPEN</x:v>
      </x:c>
      <x:c r="J174" s="26" t="str">
        <x:v>2026-07-01</x:v>
      </x:c>
      <x:c r="K174" s="26" t="str">
        <x:v>2026-07-31</x:v>
      </x:c>
      <x:c r="L174" s="26"/>
      <x:c r="M174" s="26" t="str">
        <x:v>Restore verificado dentro de RPO 24h / RTO 8h con hash/log.</x:v>
      </x:c>
      <x:c r="N174" s="26" t="str">
        <x:v>25, 27, 31, 32; historical manifests/checksums</x:v>
      </x:c>
      <x:c r="O174" s="26" t="str">
        <x:v>No iniciada</x:v>
      </x:c>
      <x:c r="P174" s="90" t="n">
        <x:v>0</x:v>
      </x:c>
      <x:c r="Q174" s="26" t="str">
        <x:v>La existencia de una copia no equivale a recuperación probada.</x:v>
      </x:c>
    </x:row>
    <x:row r="175" ht="30" customHeight="1">
      <x:c r="A175" s="26" t="str">
        <x:v>TA-BCP-021</x:v>
      </x:c>
      <x:c r="B175" s="26" t="str">
        <x:v>R-BCP-021</x:v>
      </x:c>
      <x:c r="C175" s="26" t="str">
        <x:v>Business Continuity</x:v>
      </x:c>
      <x:c r="D175" s="26" t="str">
        <x:v>Asegurar continuidad de Passwords and recovery codes</x:v>
      </x:c>
      <x:c r="E175" s="26" t="str">
        <x:v>Documentar ubicación primaria/secundaria, cifrado, retención, RPO/RTO y ejecutar restore test de Passwords and recovery codes.</x:v>
      </x:c>
      <x:c r="F175" s="26" t="str">
        <x:v>Security</x:v>
      </x:c>
      <x:c r="G175" s="26" t="str">
        <x:v>Project Owner</x:v>
      </x:c>
      <x:c r="H175" s="26" t="str">
        <x:v>P0</x:v>
      </x:c>
      <x:c r="I175" s="26" t="str">
        <x:v>OPEN</x:v>
      </x:c>
      <x:c r="J175" s="26" t="str">
        <x:v>2026-07-01</x:v>
      </x:c>
      <x:c r="K175" s="26" t="str">
        <x:v>2026-07-31</x:v>
      </x:c>
      <x:c r="L175" s="26"/>
      <x:c r="M175" s="26" t="str">
        <x:v>Restore verificado dentro de RPO immediate / RTO 4h con hash/log.</x:v>
      </x:c>
      <x:c r="N175" s="26" t="str">
        <x:v>25, 27, 31, 32; historical manifests/checksums</x:v>
      </x:c>
      <x:c r="O175" s="26" t="str">
        <x:v>No iniciada</x:v>
      </x:c>
      <x:c r="P175" s="90" t="n">
        <x:v>0</x:v>
      </x:c>
      <x:c r="Q175" s="26" t="str">
        <x:v>La existencia de una copia no equivale a recuperación probada.</x:v>
      </x:c>
    </x:row>
    <x:row r="176" ht="30" customHeight="1">
      <x:c r="A176" s="26" t="str">
        <x:v>TA-BCP-022</x:v>
      </x:c>
      <x:c r="B176" s="26" t="str">
        <x:v>R-BCP-022</x:v>
      </x:c>
      <x:c r="C176" s="26" t="str">
        <x:v>Business Continuity</x:v>
      </x:c>
      <x:c r="D176" s="26" t="str">
        <x:v>Asegurar continuidad de Passwords and recovery codes</x:v>
      </x:c>
      <x:c r="E176" s="26" t="str">
        <x:v>Documentar ubicación primaria/secundaria, cifrado, retención, RPO/RTO y ejecutar restore test de Passwords and recovery codes.</x:v>
      </x:c>
      <x:c r="F176" s="26" t="str">
        <x:v>Security</x:v>
      </x:c>
      <x:c r="G176" s="26" t="str">
        <x:v>Project Owner</x:v>
      </x:c>
      <x:c r="H176" s="26" t="str">
        <x:v>P1</x:v>
      </x:c>
      <x:c r="I176" s="26" t="str">
        <x:v>OPEN</x:v>
      </x:c>
      <x:c r="J176" s="26" t="str">
        <x:v>2026-07-01</x:v>
      </x:c>
      <x:c r="K176" s="26" t="str">
        <x:v>2026-07-31</x:v>
      </x:c>
      <x:c r="L176" s="26"/>
      <x:c r="M176" s="26" t="str">
        <x:v>Restore verificado dentro de RPO immediate / RTO 4h con hash/log.</x:v>
      </x:c>
      <x:c r="N176" s="26" t="str">
        <x:v>25, 27, 31, 32; historical manifests/checksums</x:v>
      </x:c>
      <x:c r="O176" s="26" t="str">
        <x:v>No iniciada</x:v>
      </x:c>
      <x:c r="P176" s="90" t="n">
        <x:v>0</x:v>
      </x:c>
      <x:c r="Q176" s="26" t="str">
        <x:v>La existencia de una copia no equivale a recuperación probada.</x:v>
      </x:c>
    </x:row>
    <x:row r="177" ht="30" customHeight="1">
      <x:c r="A177" s="26" t="str">
        <x:v>TA-BCP-023</x:v>
      </x:c>
      <x:c r="B177" s="26" t="str">
        <x:v>R-BCP-023</x:v>
      </x:c>
      <x:c r="C177" s="26" t="str">
        <x:v>Business Continuity</x:v>
      </x:c>
      <x:c r="D177" s="26" t="str">
        <x:v>Asegurar continuidad de Legal and license evidence</x:v>
      </x:c>
      <x:c r="E177" s="26" t="str">
        <x:v>Documentar ubicación primaria/secundaria, cifrado, retención, RPO/RTO y ejecutar restore test de Legal and license evidence.</x:v>
      </x:c>
      <x:c r="F177" s="26" t="str">
        <x:v>Legal</x:v>
      </x:c>
      <x:c r="G177" s="26" t="str">
        <x:v>Project Owner</x:v>
      </x:c>
      <x:c r="H177" s="26" t="str">
        <x:v>P0</x:v>
      </x:c>
      <x:c r="I177" s="26" t="str">
        <x:v>OPEN</x:v>
      </x:c>
      <x:c r="J177" s="26" t="str">
        <x:v>2026-07-01</x:v>
      </x:c>
      <x:c r="K177" s="26" t="str">
        <x:v>2026-07-31</x:v>
      </x:c>
      <x:c r="L177" s="26"/>
      <x:c r="M177" s="26" t="str">
        <x:v>Restore verificado dentro de RPO per change / RTO 24h con hash/log.</x:v>
      </x:c>
      <x:c r="N177" s="26" t="str">
        <x:v>25, 27, 31, 32; historical manifests/checksums</x:v>
      </x:c>
      <x:c r="O177" s="26" t="str">
        <x:v>No iniciada</x:v>
      </x:c>
      <x:c r="P177" s="90" t="n">
        <x:v>0</x:v>
      </x:c>
      <x:c r="Q177" s="26" t="str">
        <x:v>La existencia de una copia no equivale a recuperación probada.</x:v>
      </x:c>
    </x:row>
    <x:row r="178" ht="30" customHeight="1">
      <x:c r="A178" s="26" t="str">
        <x:v>TA-BCP-024</x:v>
      </x:c>
      <x:c r="B178" s="26" t="str">
        <x:v>R-BCP-024</x:v>
      </x:c>
      <x:c r="C178" s="26" t="str">
        <x:v>Business Continuity</x:v>
      </x:c>
      <x:c r="D178" s="26" t="str">
        <x:v>Asegurar continuidad de Legal and license evidence</x:v>
      </x:c>
      <x:c r="E178" s="26" t="str">
        <x:v>Documentar ubicación primaria/secundaria, cifrado, retención, RPO/RTO y ejecutar restore test de Legal and license evidence.</x:v>
      </x:c>
      <x:c r="F178" s="26" t="str">
        <x:v>Legal</x:v>
      </x:c>
      <x:c r="G178" s="26" t="str">
        <x:v>Project Owner</x:v>
      </x:c>
      <x:c r="H178" s="26" t="str">
        <x:v>P1</x:v>
      </x:c>
      <x:c r="I178" s="26" t="str">
        <x:v>OPEN</x:v>
      </x:c>
      <x:c r="J178" s="26" t="str">
        <x:v>2026-07-01</x:v>
      </x:c>
      <x:c r="K178" s="26" t="str">
        <x:v>2026-07-31</x:v>
      </x:c>
      <x:c r="L178" s="26"/>
      <x:c r="M178" s="26" t="str">
        <x:v>Restore verificado dentro de RPO per change / RTO 24h con hash/log.</x:v>
      </x:c>
      <x:c r="N178" s="26" t="str">
        <x:v>25, 27, 31, 32; historical manifests/checksums</x:v>
      </x:c>
      <x:c r="O178" s="26" t="str">
        <x:v>No iniciada</x:v>
      </x:c>
      <x:c r="P178" s="90" t="n">
        <x:v>0</x:v>
      </x:c>
      <x:c r="Q178" s="26" t="str">
        <x:v>La existencia de una copia no equivale a recuperación probada.</x:v>
      </x:c>
    </x:row>
    <x:row r="179" ht="30" customHeight="1">
      <x:c r="A179" s="26" t="str">
        <x:v>TA-BCP-025</x:v>
      </x:c>
      <x:c r="B179" s="26" t="str">
        <x:v>R-BCP-025</x:v>
      </x:c>
      <x:c r="C179" s="26" t="str">
        <x:v>Business Continuity</x:v>
      </x:c>
      <x:c r="D179" s="26" t="str">
        <x:v>Asegurar continuidad de Production tracking and risk register</x:v>
      </x:c>
      <x:c r="E179" s="26" t="str">
        <x:v>Documentar ubicación primaria/secundaria, cifrado, retención, RPO/RTO y ejecutar restore test de Production tracking and risk register.</x:v>
      </x:c>
      <x:c r="F179" s="26" t="str">
        <x:v>Production</x:v>
      </x:c>
      <x:c r="G179" s="26" t="str">
        <x:v>Project Owner</x:v>
      </x:c>
      <x:c r="H179" s="26" t="str">
        <x:v>P0</x:v>
      </x:c>
      <x:c r="I179" s="26" t="str">
        <x:v>OPEN</x:v>
      </x:c>
      <x:c r="J179" s="26" t="str">
        <x:v>2026-07-01</x:v>
      </x:c>
      <x:c r="K179" s="26" t="str">
        <x:v>2026-07-31</x:v>
      </x:c>
      <x:c r="L179" s="26"/>
      <x:c r="M179" s="26" t="str">
        <x:v>Restore verificado dentro de RPO 24h / RTO 8h con hash/log.</x:v>
      </x:c>
      <x:c r="N179" s="26" t="str">
        <x:v>25, 27, 31, 32; historical manifests/checksums</x:v>
      </x:c>
      <x:c r="O179" s="26" t="str">
        <x:v>No iniciada</x:v>
      </x:c>
      <x:c r="P179" s="90" t="n">
        <x:v>0</x:v>
      </x:c>
      <x:c r="Q179" s="26" t="str">
        <x:v>La existencia de una copia no equivale a recuperación probada.</x:v>
      </x:c>
    </x:row>
    <x:row r="180" ht="30" customHeight="1">
      <x:c r="A180" s="26" t="str">
        <x:v>TA-BCP-026</x:v>
      </x:c>
      <x:c r="B180" s="26" t="str">
        <x:v>R-BCP-026</x:v>
      </x:c>
      <x:c r="C180" s="26" t="str">
        <x:v>Business Continuity</x:v>
      </x:c>
      <x:c r="D180" s="26" t="str">
        <x:v>Asegurar continuidad de Production tracking and risk register</x:v>
      </x:c>
      <x:c r="E180" s="26" t="str">
        <x:v>Documentar ubicación primaria/secundaria, cifrado, retención, RPO/RTO y ejecutar restore test de Production tracking and risk register.</x:v>
      </x:c>
      <x:c r="F180" s="26" t="str">
        <x:v>Production</x:v>
      </x:c>
      <x:c r="G180" s="26" t="str">
        <x:v>Project Owner</x:v>
      </x:c>
      <x:c r="H180" s="26" t="str">
        <x:v>P1</x:v>
      </x:c>
      <x:c r="I180" s="26" t="str">
        <x:v>OPEN</x:v>
      </x:c>
      <x:c r="J180" s="26" t="str">
        <x:v>2026-07-01</x:v>
      </x:c>
      <x:c r="K180" s="26" t="str">
        <x:v>2026-07-31</x:v>
      </x:c>
      <x:c r="L180" s="26"/>
      <x:c r="M180" s="26" t="str">
        <x:v>Restore verificado dentro de RPO 24h / RTO 8h con hash/log.</x:v>
      </x:c>
      <x:c r="N180" s="26" t="str">
        <x:v>25, 27, 31, 32; historical manifests/checksums</x:v>
      </x:c>
      <x:c r="O180" s="26" t="str">
        <x:v>No iniciada</x:v>
      </x:c>
      <x:c r="P180" s="90" t="n">
        <x:v>0</x:v>
      </x:c>
      <x:c r="Q180" s="26" t="str">
        <x:v>La existencia de una copia no equivale a recuperación probada.</x:v>
      </x:c>
    </x:row>
    <x:row r="181" ht="30" customHeight="1">
      <x:c r="A181" s="26" t="str">
        <x:v>TA-BCP-027</x:v>
      </x:c>
      <x:c r="B181" s="26" t="str">
        <x:v>R-BCP-027</x:v>
      </x:c>
      <x:c r="C181" s="26" t="str">
        <x:v>Business Continuity</x:v>
      </x:c>
      <x:c r="D181" s="26" t="str">
        <x:v>Asegurar continuidad de QA evidence and defect records</x:v>
      </x:c>
      <x:c r="E181" s="26" t="str">
        <x:v>Documentar ubicación primaria/secundaria, cifrado, retención, RPO/RTO y ejecutar restore test de QA evidence and defect records.</x:v>
      </x:c>
      <x:c r="F181" s="26" t="str">
        <x:v>QA</x:v>
      </x:c>
      <x:c r="G181" s="26" t="str">
        <x:v>Project Owner</x:v>
      </x:c>
      <x:c r="H181" s="26" t="str">
        <x:v>P0</x:v>
      </x:c>
      <x:c r="I181" s="26" t="str">
        <x:v>OPEN</x:v>
      </x:c>
      <x:c r="J181" s="26" t="str">
        <x:v>2026-07-01</x:v>
      </x:c>
      <x:c r="K181" s="26" t="str">
        <x:v>2026-07-31</x:v>
      </x:c>
      <x:c r="L181" s="26"/>
      <x:c r="M181" s="26" t="str">
        <x:v>Restore verificado dentro de RPO 24h / RTO 8h con hash/log.</x:v>
      </x:c>
      <x:c r="N181" s="26" t="str">
        <x:v>25, 27, 31, 32; historical manifests/checksums</x:v>
      </x:c>
      <x:c r="O181" s="26" t="str">
        <x:v>No iniciada</x:v>
      </x:c>
      <x:c r="P181" s="90" t="n">
        <x:v>0</x:v>
      </x:c>
      <x:c r="Q181" s="26" t="str">
        <x:v>La existencia de una copia no equivale a recuperación probada.</x:v>
      </x:c>
    </x:row>
    <x:row r="182" ht="30" customHeight="1">
      <x:c r="A182" s="26" t="str">
        <x:v>TA-BCP-028</x:v>
      </x:c>
      <x:c r="B182" s="26" t="str">
        <x:v>R-BCP-028</x:v>
      </x:c>
      <x:c r="C182" s="26" t="str">
        <x:v>Business Continuity</x:v>
      </x:c>
      <x:c r="D182" s="26" t="str">
        <x:v>Asegurar continuidad de QA evidence and defect records</x:v>
      </x:c>
      <x:c r="E182" s="26" t="str">
        <x:v>Documentar ubicación primaria/secundaria, cifrado, retención, RPO/RTO y ejecutar restore test de QA evidence and defect records.</x:v>
      </x:c>
      <x:c r="F182" s="26" t="str">
        <x:v>QA</x:v>
      </x:c>
      <x:c r="G182" s="26" t="str">
        <x:v>Project Owner</x:v>
      </x:c>
      <x:c r="H182" s="26" t="str">
        <x:v>P1</x:v>
      </x:c>
      <x:c r="I182" s="26" t="str">
        <x:v>OPEN</x:v>
      </x:c>
      <x:c r="J182" s="26" t="str">
        <x:v>2026-07-01</x:v>
      </x:c>
      <x:c r="K182" s="26" t="str">
        <x:v>2026-07-31</x:v>
      </x:c>
      <x:c r="L182" s="26"/>
      <x:c r="M182" s="26" t="str">
        <x:v>Restore verificado dentro de RPO 24h / RTO 8h con hash/log.</x:v>
      </x:c>
      <x:c r="N182" s="26" t="str">
        <x:v>25, 27, 31, 32; historical manifests/checksums</x:v>
      </x:c>
      <x:c r="O182" s="26" t="str">
        <x:v>No iniciada</x:v>
      </x:c>
      <x:c r="P182" s="90" t="n">
        <x:v>0</x:v>
      </x:c>
      <x:c r="Q182" s="26" t="str">
        <x:v>La existencia de una copia no equivale a recuperación probada.</x:v>
      </x:c>
    </x:row>
    <x:row r="183" ht="30" customHeight="1">
      <x:c r="A183" s="26" t="str">
        <x:v>TA-BCP-029</x:v>
      </x:c>
      <x:c r="B183" s="26" t="str">
        <x:v>R-BCP-029</x:v>
      </x:c>
      <x:c r="C183" s="26" t="str">
        <x:v>Business Continuity</x:v>
      </x:c>
      <x:c r="D183" s="26" t="str">
        <x:v>Asegurar continuidad de Development workstation image/config</x:v>
      </x:c>
      <x:c r="E183" s="26" t="str">
        <x:v>Documentar ubicación primaria/secundaria, cifrado, retención, RPO/RTO y ejecutar restore test de Development workstation image/config.</x:v>
      </x:c>
      <x:c r="F183" s="26" t="str">
        <x:v>IT/Engineering</x:v>
      </x:c>
      <x:c r="G183" s="26" t="str">
        <x:v>Project Owner</x:v>
      </x:c>
      <x:c r="H183" s="26" t="str">
        <x:v>P0</x:v>
      </x:c>
      <x:c r="I183" s="26" t="str">
        <x:v>OPEN</x:v>
      </x:c>
      <x:c r="J183" s="26" t="str">
        <x:v>2026-07-01</x:v>
      </x:c>
      <x:c r="K183" s="26" t="str">
        <x:v>2026-07-31</x:v>
      </x:c>
      <x:c r="L183" s="26"/>
      <x:c r="M183" s="26" t="str">
        <x:v>Restore verificado dentro de RPO 7d / RTO 48h con hash/log.</x:v>
      </x:c>
      <x:c r="N183" s="26" t="str">
        <x:v>25, 27, 31, 32; historical manifests/checksums</x:v>
      </x:c>
      <x:c r="O183" s="26" t="str">
        <x:v>No iniciada</x:v>
      </x:c>
      <x:c r="P183" s="90" t="n">
        <x:v>0</x:v>
      </x:c>
      <x:c r="Q183" s="26" t="str">
        <x:v>La existencia de una copia no equivale a recuperación probada.</x:v>
      </x:c>
    </x:row>
    <x:row r="184" ht="30" customHeight="1">
      <x:c r="A184" s="26" t="str">
        <x:v>TA-BCP-030</x:v>
      </x:c>
      <x:c r="B184" s="26" t="str">
        <x:v>R-BCP-030</x:v>
      </x:c>
      <x:c r="C184" s="26" t="str">
        <x:v>Business Continuity</x:v>
      </x:c>
      <x:c r="D184" s="26" t="str">
        <x:v>Asegurar continuidad de Development workstation image/config</x:v>
      </x:c>
      <x:c r="E184" s="26" t="str">
        <x:v>Documentar ubicación primaria/secundaria, cifrado, retención, RPO/RTO y ejecutar restore test de Development workstation image/config.</x:v>
      </x:c>
      <x:c r="F184" s="26" t="str">
        <x:v>IT/Engineering</x:v>
      </x:c>
      <x:c r="G184" s="26" t="str">
        <x:v>Project Owner</x:v>
      </x:c>
      <x:c r="H184" s="26" t="str">
        <x:v>P1</x:v>
      </x:c>
      <x:c r="I184" s="26" t="str">
        <x:v>OPEN</x:v>
      </x:c>
      <x:c r="J184" s="26" t="str">
        <x:v>2026-07-01</x:v>
      </x:c>
      <x:c r="K184" s="26" t="str">
        <x:v>2026-07-31</x:v>
      </x:c>
      <x:c r="L184" s="26"/>
      <x:c r="M184" s="26" t="str">
        <x:v>Restore verificado dentro de RPO 7d / RTO 48h con hash/log.</x:v>
      </x:c>
      <x:c r="N184" s="26" t="str">
        <x:v>25, 27, 31, 32; historical manifests/checksums</x:v>
      </x:c>
      <x:c r="O184" s="26" t="str">
        <x:v>No iniciada</x:v>
      </x:c>
      <x:c r="P184" s="90" t="n">
        <x:v>0</x:v>
      </x:c>
      <x:c r="Q184" s="26" t="str">
        <x:v>La existencia de una copia no equivale a recuperación probada.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52" hidden="0" customWidth="1"/>
    <x:col min="5" max="5" width="5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  <x:col min="11" max="11" width="42" hidden="0" customWidth="1"/>
  </x:cols>
  <x:sheetData>
    <x:row r="1" ht="28" customHeight="1">
      <x:c r="A1" s="47" t="str">
        <x:v>Decisiones y ADR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 ht="32" customHeight="1">
      <x:c r="A2" s="51" t="str">
        <x:v>Registro histórico de decisiones arquitectónicas, de diseño y producción.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4" ht="30" customHeight="1">
      <x:c r="A4" s="56" t="str">
        <x:v>ADR ID</x:v>
      </x:c>
      <x:c r="B4" s="56" t="str">
        <x:v>Sprint</x:v>
      </x:c>
      <x:c r="C4" s="56" t="str">
        <x:v>Decisión</x:v>
      </x:c>
      <x:c r="D4" s="56" t="str">
        <x:v>Estado</x:v>
      </x:c>
      <x:c r="E4" s="56" t="str">
        <x:v>Área</x:v>
      </x:c>
      <x:c r="F4" s="56" t="str">
        <x:v>Documento</x:v>
      </x:c>
      <x:c r="G4" s="56" t="str">
        <x:v>Sustituye</x:v>
      </x:c>
      <x:c r="H4" s="56" t="str">
        <x:v>Impacto</x:v>
      </x:c>
      <x:c r="I4" s="56" t="str">
        <x:v>Revisión</x:v>
      </x:c>
      <x:c r="J4" s="56" t="str">
        <x:v>SHA-256</x:v>
      </x:c>
      <x:c r="K4" s="56" t="str">
        <x:v>Notas</x:v>
      </x:c>
    </x:row>
    <x:row r="5" ht="30" customHeight="1">
      <x:c r="A5" s="26" t="str">
        <x:v>ADR-0035-S16</x:v>
      </x:c>
      <x:c r="B5" s="26" t="n">
        <x:v>16</x:v>
      </x:c>
      <x:c r="C5" s="26" t="str">
        <x:v>ADR-0035 - StoreInitial Manual Scene Authoring</x:v>
      </x:c>
      <x:c r="D5" s="26" t="str">
        <x:v>Accepted</x:v>
      </x:c>
      <x:c r="E5" s="26"/>
      <x:c r="F5" s="26" t="str">
        <x:v>Documentation/00_Official_Baseline/v0.6/06_Development_Records/Governance/ADR-0035_StoreInitial_Manual_Scene_Authoring.md</x:v>
      </x:c>
      <x:c r="G5" s="26"/>
      <x:c r="H5" s="26"/>
      <x:c r="I5" s="26" t="str">
        <x:v>Solo si cambia la decisión</x:v>
      </x:c>
      <x:c r="J5" s="26" t="str">
        <x:v>0e69d8b664239477738f3dcce96eb5cfce2ff6e3db8817261f639ac4d64092b3</x:v>
      </x:c>
      <x:c r="K5" s="26" t="str">
        <x:v>Alias normalizado por colisión histórica.</x:v>
      </x:c>
    </x:row>
    <x:row r="6" ht="30" customHeight="1">
      <x:c r="A6" s="26" t="str">
        <x:v>ADR-0001</x:v>
      </x:c>
      <x:c r="B6" s="26" t="n">
        <x:v>0</x:v>
      </x:c>
      <x:c r="C6" s="26" t="str">
        <x:v>ADR-0001 — Unity and Package Baseline</x:v>
      </x:c>
      <x:c r="D6" s="26" t="str">
        <x:v>Accepted</x:v>
      </x:c>
      <x:c r="E6" s="26"/>
      <x:c r="F6" s="26" t="str">
        <x:v>Documentation/10_Development_Records/ADR/ADR-0001-Unity-and-Package-Baseline.md</x:v>
      </x:c>
      <x:c r="G6" s="26"/>
      <x:c r="H6" s="26"/>
      <x:c r="I6" s="26" t="str">
        <x:v>Solo si cambia la decisión</x:v>
      </x:c>
      <x:c r="J6" s="26" t="str">
        <x:v>196d02854bf9a34c0e4c2acd7056cde24e0a232c74d345f900997fff9689f853</x:v>
      </x:c>
      <x:c r="K6" s="26"/>
    </x:row>
    <x:row r="7" ht="30" customHeight="1">
      <x:c r="A7" s="26" t="str">
        <x:v>ADR-0002</x:v>
      </x:c>
      <x:c r="B7" s="26" t="n">
        <x:v>0</x:v>
      </x:c>
      <x:c r="C7" s="26" t="str">
        <x:v>ADR-0002 — Version Control and Repository Workflow</x:v>
      </x:c>
      <x:c r="D7" s="26" t="str">
        <x:v>Accepted</x:v>
      </x:c>
      <x:c r="E7" s="26"/>
      <x:c r="F7" s="26" t="str">
        <x:v>Documentation/10_Development_Records/ADR/ADR-0002-Version-Control-and-Repository-Workflow.md</x:v>
      </x:c>
      <x:c r="G7" s="26"/>
      <x:c r="H7" s="26"/>
      <x:c r="I7" s="26" t="str">
        <x:v>Solo si cambia la decisión</x:v>
      </x:c>
      <x:c r="J7" s="26" t="str">
        <x:v>53e4ccc17554147c05af07525dbbe96401d99cc339774c075dffbd835edfb099</x:v>
      </x:c>
      <x:c r="K7" s="26"/>
    </x:row>
    <x:row r="8" ht="30" customHeight="1">
      <x:c r="A8" s="26" t="str">
        <x:v>ADR-0003</x:v>
      </x:c>
      <x:c r="B8" s="26" t="n">
        <x:v>0</x:v>
      </x:c>
      <x:c r="C8" s="26" t="str">
        <x:v>ADR-0003 — Documentation Baseline and Operational Layer</x:v>
      </x:c>
      <x:c r="D8" s="26" t="str">
        <x:v>Accepted</x:v>
      </x:c>
      <x:c r="E8" s="26"/>
      <x:c r="F8" s="26" t="str">
        <x:v>Documentation/10_Development_Records/ADR/ADR-0003-Documentation-Baseline-and-Operational-Layer.md</x:v>
      </x:c>
      <x:c r="G8" s="26"/>
      <x:c r="H8" s="26"/>
      <x:c r="I8" s="26" t="str">
        <x:v>Solo si cambia la decisión</x:v>
      </x:c>
      <x:c r="J8" s="26" t="str">
        <x:v>18a0308055e403fabd0e9b7a3d60910d22f9ba4dd2a35317408c441e905c605f</x:v>
      </x:c>
      <x:c r="K8" s="26"/>
    </x:row>
    <x:row r="9" ht="30" customHeight="1">
      <x:c r="A9" s="26" t="str">
        <x:v>ADR-0004</x:v>
      </x:c>
      <x:c r="B9" s="26" t="n">
        <x:v>0</x:v>
      </x:c>
      <x:c r="C9" s="26" t="str">
        <x:v>ADR-0004 — Assembly Dependency Boundaries</x:v>
      </x:c>
      <x:c r="D9" s="26" t="str">
        <x:v>Accepted</x:v>
      </x:c>
      <x:c r="E9" s="26"/>
      <x:c r="F9" s="26" t="str">
        <x:v>Documentation/10_Development_Records/ADR/ADR-0004-Assembly-Dependency-Boundaries.md</x:v>
      </x:c>
      <x:c r="G9" s="26"/>
      <x:c r="H9" s="26"/>
      <x:c r="I9" s="26" t="str">
        <x:v>Solo si cambia la decisión</x:v>
      </x:c>
      <x:c r="J9" s="26" t="str">
        <x:v>8eea405d40efbffd5f51ad2c945994ffd82165bb5fef57900518c94fc23ac800</x:v>
      </x:c>
      <x:c r="K9" s="26"/>
    </x:row>
    <x:row r="10" ht="30" customHeight="1">
      <x:c r="A10" s="26" t="str">
        <x:v>ADR-0005</x:v>
      </x:c>
      <x:c r="B10" s="26" t="n">
        <x:v>0</x:v>
      </x:c>
      <x:c r="C10" s="26" t="str">
        <x:v>ADR-0005 — Scene Baseline and Global Build Order</x:v>
      </x:c>
      <x:c r="D10" s="26" t="str">
        <x:v>Accepted</x:v>
      </x:c>
      <x:c r="E10" s="26"/>
      <x:c r="F10" s="26" t="str">
        <x:v>Documentation/10_Development_Records/ADR/ADR-0005-Scene-Baseline-and-Build-Order.md</x:v>
      </x:c>
      <x:c r="G10" s="26"/>
      <x:c r="H10" s="26"/>
      <x:c r="I10" s="26" t="str">
        <x:v>Solo si cambia la decisión</x:v>
      </x:c>
      <x:c r="J10" s="26" t="str">
        <x:v>e83bbf7ee82448366ccdd997c18b11a620016ba4ea70b4576f8b159930db8880</x:v>
      </x:c>
      <x:c r="K10" s="26"/>
    </x:row>
    <x:row r="11" ht="30" customHeight="1">
      <x:c r="A11" s="26" t="str">
        <x:v>ADR-0006</x:v>
      </x:c>
      <x:c r="B11" s="26" t="n">
        <x:v>0</x:v>
      </x:c>
      <x:c r="C11" s="26" t="str">
        <x:v>ADR-0006 — Smoke Test Baseline and Execution Policy</x:v>
      </x:c>
      <x:c r="D11" s="26" t="str">
        <x:v>Accepted</x:v>
      </x:c>
      <x:c r="E11" s="26"/>
      <x:c r="F11" s="26" t="str">
        <x:v>Documentation/10_Development_Records/ADR/ADR-0006-Smoke-Test-Baseline-and-Execution-Policy.md</x:v>
      </x:c>
      <x:c r="G11" s="26"/>
      <x:c r="H11" s="26"/>
      <x:c r="I11" s="26" t="str">
        <x:v>Solo si cambia la decisión</x:v>
      </x:c>
      <x:c r="J11" s="26" t="str">
        <x:v>e2b6c379f89de34cfbf3064b62dad675d85560a4a0117ebc634cd49d703ab97a</x:v>
      </x:c>
      <x:c r="K11" s="26"/>
    </x:row>
    <x:row r="12" ht="30" customHeight="1">
      <x:c r="A12" s="26" t="str">
        <x:v>ADR-0007</x:v>
      </x:c>
      <x:c r="B12" s="26" t="n">
        <x:v>0</x:v>
      </x:c>
      <x:c r="C12" s="26" t="str">
        <x:v>ADR-0007 — Windows Development Build Baseline</x:v>
      </x:c>
      <x:c r="D12" s="26" t="str">
        <x:v>Accepted</x:v>
      </x:c>
      <x:c r="E12" s="26"/>
      <x:c r="F12" s="26" t="str">
        <x:v>Documentation/10_Development_Records/ADR/ADR-0007-Windows-Development-Build-Baseline.md</x:v>
      </x:c>
      <x:c r="G12" s="26"/>
      <x:c r="H12" s="26"/>
      <x:c r="I12" s="26" t="str">
        <x:v>Solo si cambia la decisión</x:v>
      </x:c>
      <x:c r="J12" s="26" t="str">
        <x:v>e62888a6608c248e56868b73025bd7044c455528178984f410f53fa18e942641</x:v>
      </x:c>
      <x:c r="K12" s="26"/>
    </x:row>
    <x:row r="13" ht="30" customHeight="1">
      <x:c r="A13" s="26" t="str">
        <x:v>ADR-0008</x:v>
      </x:c>
      <x:c r="B13" s="26" t="n">
        <x:v>0</x:v>
      </x:c>
      <x:c r="C13" s="26" t="str">
        <x:v>ADR-0008 — Sprint 0 Foundation Closure Policy</x:v>
      </x:c>
      <x:c r="D13" s="26" t="str">
        <x:v>Accepted</x:v>
      </x:c>
      <x:c r="E13" s="26"/>
      <x:c r="F13" s="26" t="str">
        <x:v>Documentation/10_Development_Records/ADR/ADR-0008-Sprint-0-Foundation-Closure-Policy.md</x:v>
      </x:c>
      <x:c r="G13" s="26"/>
      <x:c r="H13" s="26"/>
      <x:c r="I13" s="26" t="str">
        <x:v>Solo si cambia la decisión</x:v>
      </x:c>
      <x:c r="J13" s="26" t="str">
        <x:v>76b9266ef045590959eef0187fff7fa2c4dcbfa7f6cf173159873e39cdaca757</x:v>
      </x:c>
      <x:c r="K13" s="26"/>
    </x:row>
    <x:row r="14" ht="30" customHeight="1">
      <x:c r="A14" s="26" t="str">
        <x:v>ADR-0009</x:v>
      </x:c>
      <x:c r="B14" s="26" t="n">
        <x:v>1</x:v>
      </x:c>
      <x:c r="C14" s="26" t="str">
        <x:v>ADR-0009 — Bootstrap-Owned Scene Flow</x:v>
      </x:c>
      <x:c r="D14" s="26" t="str">
        <x:v>Accepted</x:v>
      </x:c>
      <x:c r="E14" s="26"/>
      <x:c r="F14" s="26" t="str">
        <x:v>Documentation/10_Development_Records/Sprint_01/Governance/ADR-0009_Bootstrap_Owned_Scene_Flow.md</x:v>
      </x:c>
      <x:c r="G14" s="26"/>
      <x:c r="H14" s="26"/>
      <x:c r="I14" s="26" t="str">
        <x:v>Solo si cambia la decisión</x:v>
      </x:c>
      <x:c r="J14" s="26" t="str">
        <x:v>15408cc4633c35efc6f8b622230184e1636f9140898e48811a2f3498a0e0e2b5</x:v>
      </x:c>
      <x:c r="K14" s="26"/>
    </x:row>
    <x:row r="15" ht="30" customHeight="1">
      <x:c r="A15" s="26" t="str">
        <x:v>ADR-0010</x:v>
      </x:c>
      <x:c r="B15" s="26" t="n">
        <x:v>1</x:v>
      </x:c>
      <x:c r="C15" s="26" t="str">
        <x:v>ADR-0010 — Phase-Level Build Evidence and Release Policy</x:v>
      </x:c>
      <x:c r="D15" s="26" t="str">
        <x:v>Accepted</x:v>
      </x:c>
      <x:c r="E15" s="26"/>
      <x:c r="F15" s="26" t="str">
        <x:v>Documentation/10_Development_Records/Sprint_01/Governance/ADR-0010_Phase_Level_Build_Evidence_and_Release_Policy.md</x:v>
      </x:c>
      <x:c r="G15" s="26"/>
      <x:c r="H15" s="26"/>
      <x:c r="I15" s="26" t="str">
        <x:v>Solo si cambia la decisión</x:v>
      </x:c>
      <x:c r="J15" s="26" t="str">
        <x:v>ad328a9eabc2302b0688591df010650b693d9423f0f485eb1000e24d50475184</x:v>
      </x:c>
      <x:c r="K15" s="26"/>
    </x:row>
    <x:row r="16" ht="30" customHeight="1">
      <x:c r="A16" s="26" t="str">
        <x:v>ADR-0011</x:v>
      </x:c>
      <x:c r="B16" s="26" t="n">
        <x:v>2</x:v>
      </x:c>
      <x:c r="C16" s="26" t="str">
        <x:v>ADR-0011 — Minimal Versioned Save Skeleton</x:v>
      </x:c>
      <x:c r="D16" s="26" t="str">
        <x:v>Accepted</x:v>
      </x:c>
      <x:c r="E16" s="26"/>
      <x:c r="F16" s="26" t="str">
        <x:v>Documentation/10_Development_Records/Sprint_02/Governance/ADR-0011_Minimal_Versioned_Save_Skeleton.md</x:v>
      </x:c>
      <x:c r="G16" s="26"/>
      <x:c r="H16" s="26"/>
      <x:c r="I16" s="26" t="str">
        <x:v>Solo si cambia la decisión</x:v>
      </x:c>
      <x:c r="J16" s="26" t="str">
        <x:v>4048b071ec41b0d5caf4beb0d5a4ff7547e409f566a403d0e9331a604de076dd</x:v>
      </x:c>
      <x:c r="K16" s="26"/>
    </x:row>
    <x:row r="17" ht="30" customHeight="1">
      <x:c r="A17" s="26" t="str">
        <x:v>ADR-0012</x:v>
      </x:c>
      <x:c r="B17" s="26" t="n">
        <x:v>3</x:v>
      </x:c>
      <x:c r="C17" s="26" t="str">
        <x:v>ADR-0012 — Scene-Driven Input Contexts</x:v>
      </x:c>
      <x:c r="D17" s="26" t="str">
        <x:v>Accepted</x:v>
      </x:c>
      <x:c r="E17" s="26"/>
      <x:c r="F17" s="26" t="str">
        <x:v>Documentation/10_Development_Records/Sprint_03/Governance/ADR-0012_Scene_Driven_Input_Contexts.md</x:v>
      </x:c>
      <x:c r="G17" s="26"/>
      <x:c r="H17" s="26"/>
      <x:c r="I17" s="26" t="str">
        <x:v>Solo si cambia la decisión</x:v>
      </x:c>
      <x:c r="J17" s="26" t="str">
        <x:v>13c16537cc90fb0cdf3e74d588a585635c8b7b998433a1ed52501aad1d89af0f</x:v>
      </x:c>
      <x:c r="K17" s="26"/>
    </x:row>
    <x:row r="18" ht="30" customHeight="1">
      <x:c r="A18" s="26" t="str">
        <x:v>ADR-0013</x:v>
      </x:c>
      <x:c r="B18" s="26" t="n">
        <x:v>3</x:v>
      </x:c>
      <x:c r="C18" s="26" t="str">
        <x:v>ADR-0013 — Direct Planar Click-to-Move Foundation</x:v>
      </x:c>
      <x:c r="D18" s="26" t="str">
        <x:v>Accepted</x:v>
      </x:c>
      <x:c r="E18" s="26"/>
      <x:c r="F18" s="26" t="str">
        <x:v>Documentation/10_Development_Records/Sprint_03/Governance/ADR-0013_Direct_Planar_Click_To_Move_Foundation.md</x:v>
      </x:c>
      <x:c r="G18" s="26"/>
      <x:c r="H18" s="26"/>
      <x:c r="I18" s="26" t="str">
        <x:v>Solo si cambia la decisión</x:v>
      </x:c>
      <x:c r="J18" s="26" t="str">
        <x:v>24601e21279c905274e2c7092c1504eae9f72be23477d15741fab33d79971059</x:v>
      </x:c>
      <x:c r="K18" s="26"/>
    </x:row>
    <x:row r="19" ht="30" customHeight="1">
      <x:c r="A19" s="26" t="str">
        <x:v>ADR-0014</x:v>
      </x:c>
      <x:c r="B19" s="26" t="n">
        <x:v>3</x:v>
      </x:c>
      <x:c r="C19" s="26" t="str">
        <x:v>ADR-0014 — Orbit, Zoom and Follow Camera</x:v>
      </x:c>
      <x:c r="D19" s="26" t="str">
        <x:v>Accepted</x:v>
      </x:c>
      <x:c r="E19" s="26"/>
      <x:c r="F19" s="26" t="str">
        <x:v>Documentation/10_Development_Records/Sprint_03/Governance/ADR-0014_Orbit_Zoom_Follow_Camera.md</x:v>
      </x:c>
      <x:c r="G19" s="26"/>
      <x:c r="H19" s="26"/>
      <x:c r="I19" s="26" t="str">
        <x:v>Solo si cambia la decisión</x:v>
      </x:c>
      <x:c r="J19" s="26" t="str">
        <x:v>c7bcb3d83c5544605bac741e625f1a441f5ba10047e204e4ce6dbd9eb7468a77</x:v>
      </x:c>
      <x:c r="K19" s="26"/>
    </x:row>
    <x:row r="20" ht="30" customHeight="1">
      <x:c r="A20" s="26" t="str">
        <x:v>ADR-0015</x:v>
      </x:c>
      <x:c r="B20" s="26" t="n">
        <x:v>3</x:v>
      </x:c>
      <x:c r="C20" s="26" t="str">
        <x:v>ADR-0015 — Project Input Actions and Context Routing</x:v>
      </x:c>
      <x:c r="D20" s="26" t="str">
        <x:v>Accepted</x:v>
      </x:c>
      <x:c r="E20" s="26"/>
      <x:c r="F20" s="26" t="str">
        <x:v>Documentation/10_Development_Records/Sprint_03/Governance/ADR-0015_Project_Input_Actions_And_Context_Routing.md</x:v>
      </x:c>
      <x:c r="G20" s="26"/>
      <x:c r="H20" s="26"/>
      <x:c r="I20" s="26" t="str">
        <x:v>Solo si cambia la decisión</x:v>
      </x:c>
      <x:c r="J20" s="26" t="str">
        <x:v>b665c0f33852bfb4ae7d0de42fac1636487181e19c28593c1d728d412e21954e</x:v>
      </x:c>
      <x:c r="K20" s="26"/>
    </x:row>
    <x:row r="21" ht="30" customHeight="1">
      <x:c r="A21" s="26" t="str">
        <x:v>ADR-0016</x:v>
      </x:c>
      <x:c r="B21" s="26" t="n">
        <x:v>4</x:v>
      </x:c>
      <x:c r="C21" s="26" t="str">
        <x:v>ADR-0016 — Grid Coordinate and Footprint Foundation</x:v>
      </x:c>
      <x:c r="D21" s="26" t="str">
        <x:v>Accepted</x:v>
      </x:c>
      <x:c r="E21" s="26"/>
      <x:c r="F21" s="26" t="str">
        <x:v>Documentation/10_Development_Records/Sprint_04/Governance/ADR-0016_Grid_Coordinate_And_Footprint_Foundation.md</x:v>
      </x:c>
      <x:c r="G21" s="26"/>
      <x:c r="H21" s="26"/>
      <x:c r="I21" s="26" t="str">
        <x:v>Solo si cambia la decisión</x:v>
      </x:c>
      <x:c r="J21" s="26" t="str">
        <x:v>84ffb0f806ec18937785dc30f5410a0be471ea75deeeb3d23021657ff513d622</x:v>
      </x:c>
      <x:c r="K21" s="26"/>
    </x:row>
    <x:row r="22" ht="30" customHeight="1">
      <x:c r="A22" s="26" t="str">
        <x:v>ADR-0017</x:v>
      </x:c>
      <x:c r="B22" s="26" t="n">
        <x:v>4</x:v>
      </x:c>
      <x:c r="C22" s="26" t="str">
        <x:v>ADR-0017 — Placement Preview and Rotation</x:v>
      </x:c>
      <x:c r="D22" s="26" t="str">
        <x:v>Accepted</x:v>
      </x:c>
      <x:c r="E22" s="26"/>
      <x:c r="F22" s="26" t="str">
        <x:v>Documentation/10_Development_Records/Sprint_04/Governance/ADR-0017_Placement_Preview_And_Rotation.md</x:v>
      </x:c>
      <x:c r="G22" s="26"/>
      <x:c r="H22" s="26"/>
      <x:c r="I22" s="26" t="str">
        <x:v>Solo si cambia la decisión</x:v>
      </x:c>
      <x:c r="J22" s="26" t="str">
        <x:v>996ccbe4400bc1971fea44b1d1e89b7a0cbe30437fa660283af16e79b8f18965</x:v>
      </x:c>
      <x:c r="K22" s="26"/>
    </x:row>
    <x:row r="23" ht="30" customHeight="1">
      <x:c r="A23" s="26" t="str">
        <x:v>ADR-0018</x:v>
      </x:c>
      <x:c r="B23" s="26" t="n">
        <x:v>4</x:v>
      </x:c>
      <x:c r="C23" s="26" t="str">
        <x:v>ADR-0018 — Atomic Occupancy and Placement Mode</x:v>
      </x:c>
      <x:c r="D23" s="26" t="str">
        <x:v>Accepted</x:v>
      </x:c>
      <x:c r="E23" s="26"/>
      <x:c r="F23" s="26" t="str">
        <x:v>Documentation/10_Development_Records/Sprint_04/Governance/ADR-0018_Atomic_Occupancy_And_Placement_Mode.md</x:v>
      </x:c>
      <x:c r="G23" s="26"/>
      <x:c r="H23" s="26"/>
      <x:c r="I23" s="26" t="str">
        <x:v>Solo si cambia la decisión</x:v>
      </x:c>
      <x:c r="J23" s="26" t="str">
        <x:v>3cdafe143aedd7a015756ec256b6c92be2aaaa918c33499421589d3fb51177e1</x:v>
      </x:c>
      <x:c r="K23" s="26"/>
    </x:row>
    <x:row r="24" ht="30" customHeight="1">
      <x:c r="A24" s="26" t="str">
        <x:v>ADR-0019</x:v>
      </x:c>
      <x:c r="B24" s="26" t="n">
        <x:v>4</x:v>
      </x:c>
      <x:c r="C24" s="26" t="str">
        <x:v>ADR-0019 — Sprint 04 Final Integration and Build Gate</x:v>
      </x:c>
      <x:c r="D24" s="26" t="str">
        <x:v>Accepted</x:v>
      </x:c>
      <x:c r="E24" s="26"/>
      <x:c r="F24" s="26" t="str">
        <x:v>Documentation/10_Development_Records/Sprint_04/Governance/ADR-0019_Sprint_04_Final_Integration_And_Build_Gate.md</x:v>
      </x:c>
      <x:c r="G24" s="26"/>
      <x:c r="H24" s="26"/>
      <x:c r="I24" s="26" t="str">
        <x:v>Solo si cambia la decisión</x:v>
      </x:c>
      <x:c r="J24" s="26" t="str">
        <x:v>f78c4971ab6969d8d3f302b93ceb5dbf30f2d553f433122bd8d24eb12fa7dff3</x:v>
      </x:c>
      <x:c r="K24" s="26"/>
    </x:row>
    <x:row r="25" ht="30" customHeight="1">
      <x:c r="A25" s="26" t="str">
        <x:v>ADR-0020</x:v>
      </x:c>
      <x:c r="B25" s="26" t="n">
        <x:v>5</x:v>
      </x:c>
      <x:c r="C25" s="26" t="str">
        <x:v>ADR-0020 — Initial Store Shell Dimensions and Entrance</x:v>
      </x:c>
      <x:c r="D25" s="26" t="str">
        <x:v>Accepted</x:v>
      </x:c>
      <x:c r="E25" s="26"/>
      <x:c r="F25" s="26" t="str">
        <x:v>Documentation/10_Development_Records/Sprint_05/Governance/ADR-0020_Initial_Store_Shell_Dimensions_And_Entrance.md</x:v>
      </x:c>
      <x:c r="G25" s="26"/>
      <x:c r="H25" s="26"/>
      <x:c r="I25" s="26" t="str">
        <x:v>Solo si cambia la decisión</x:v>
      </x:c>
      <x:c r="J25" s="26" t="str">
        <x:v>af706a1741b657833a36805700e10d25e2b66264438b488c1a8983e883799e3d</x:v>
      </x:c>
      <x:c r="K25" s="26"/>
    </x:row>
    <x:row r="26" ht="30" customHeight="1">
      <x:c r="A26" s="26" t="str">
        <x:v>ADR-0021</x:v>
      </x:c>
      <x:c r="B26" s="26" t="n">
        <x:v>5</x:v>
      </x:c>
      <x:c r="C26" s="26" t="str">
        <x:v>ADR-0021 — Logical Store Access Validation</x:v>
      </x:c>
      <x:c r="D26" s="26" t="str">
        <x:v>Accepted</x:v>
      </x:c>
      <x:c r="E26" s="26"/>
      <x:c r="F26" s="26" t="str">
        <x:v>Documentation/10_Development_Records/Sprint_05/Governance/ADR-0021_Logical_Store_Access_Validation.md</x:v>
      </x:c>
      <x:c r="G26" s="26"/>
      <x:c r="H26" s="26"/>
      <x:c r="I26" s="26" t="str">
        <x:v>Solo si cambia la decisión</x:v>
      </x:c>
      <x:c r="J26" s="26" t="str">
        <x:v>079eab3c8041ef624f17ba35976f8ac46627ed9ff192a910e1f0f4f63fee5fe7</x:v>
      </x:c>
      <x:c r="K26" s="26"/>
    </x:row>
    <x:row r="27" ht="30" customHeight="1">
      <x:c r="A27" s="26" t="str">
        <x:v>ADR-0022</x:v>
      </x:c>
      <x:c r="B27" s="26" t="n">
        <x:v>5</x:v>
      </x:c>
      <x:c r="C27" s="26" t="str">
        <x:v>ADR-0022 — Store Placement and Access Integration</x:v>
      </x:c>
      <x:c r="D27" s="26" t="str">
        <x:v>Accepted</x:v>
      </x:c>
      <x:c r="E27" s="26"/>
      <x:c r="F27" s="26" t="str">
        <x:v>Documentation/10_Development_Records/Sprint_05/Governance/ADR-0022_Store_Placement_And_Access_Integration.md</x:v>
      </x:c>
      <x:c r="G27" s="26"/>
      <x:c r="H27" s="26"/>
      <x:c r="I27" s="26" t="str">
        <x:v>Solo si cambia la decisión</x:v>
      </x:c>
      <x:c r="J27" s="26" t="str">
        <x:v>f180b5eac43281274d001667b8fc49f39febfbacfeb78fec7d686b9e07546524</x:v>
      </x:c>
      <x:c r="K27" s="26"/>
    </x:row>
    <x:row r="28" ht="30" customHeight="1">
      <x:c r="A28" s="26" t="str">
        <x:v>ADR-0023</x:v>
      </x:c>
      <x:c r="B28" s="26" t="n">
        <x:v>5</x:v>
      </x:c>
      <x:c r="C28" s="26" t="str">
        <x:v>ADR-0023 — Sprint 05 Final Integration and Build Gate</x:v>
      </x:c>
      <x:c r="D28" s="26" t="str">
        <x:v>Accepted</x:v>
      </x:c>
      <x:c r="E28" s="26"/>
      <x:c r="F28" s="26" t="str">
        <x:v>Documentation/10_Development_Records/Sprint_05/Governance/ADR-0023_Sprint_05_Final_Integration_And_Build_Gate.md</x:v>
      </x:c>
      <x:c r="G28" s="26"/>
      <x:c r="H28" s="26"/>
      <x:c r="I28" s="26" t="str">
        <x:v>Solo si cambia la decisión</x:v>
      </x:c>
      <x:c r="J28" s="26" t="str">
        <x:v>86eaea910888d35b0bb89c6a30aef788d767f38b95283339487890c29844f476</x:v>
      </x:c>
      <x:c r="K28" s="26"/>
    </x:row>
    <x:row r="29" ht="30" customHeight="1">
      <x:c r="A29" s="26" t="str">
        <x:v>ADR-0024</x:v>
      </x:c>
      <x:c r="B29" s="26" t="n">
        <x:v>6</x:v>
      </x:c>
      <x:c r="C29" s="26" t="str">
        <x:v>ADR-0024 — Stack and Unit-Capacity Model</x:v>
      </x:c>
      <x:c r="D29" s="26" t="str">
        <x:v>Accepted</x:v>
      </x:c>
      <x:c r="E29" s="26"/>
      <x:c r="F29" s="26" t="str">
        <x:v>Documentation/10_Development_Records/Sprint_06/Governance/ADR-0024_Stack_And_Unit_Capacity_Model.md</x:v>
      </x:c>
      <x:c r="G29" s="26"/>
      <x:c r="H29" s="26"/>
      <x:c r="I29" s="26" t="str">
        <x:v>Solo si cambia la decisión</x:v>
      </x:c>
      <x:c r="J29" s="26" t="str">
        <x:v>a621a76517cf2dce58d2f2a6444486853bceb8107e45e2ce0cead9da79b99f87</x:v>
      </x:c>
      <x:c r="K29" s="26"/>
    </x:row>
    <x:row r="30" ht="30" customHeight="1">
      <x:c r="A30" s="26" t="str">
        <x:v>ADR-0025</x:v>
      </x:c>
      <x:c r="B30" s="26" t="n">
        <x:v>6</x:v>
      </x:c>
      <x:c r="C30" s="26" t="str">
        <x:v>ADR-0025 — Atomic Inventory Transfers</x:v>
      </x:c>
      <x:c r="D30" s="26" t="str">
        <x:v>Accepted</x:v>
      </x:c>
      <x:c r="E30" s="26"/>
      <x:c r="F30" s="26" t="str">
        <x:v>Documentation/10_Development_Records/Sprint_06/Governance/ADR-0025_Atomic_Inventory_Transfers.md</x:v>
      </x:c>
      <x:c r="G30" s="26"/>
      <x:c r="H30" s="26"/>
      <x:c r="I30" s="26" t="str">
        <x:v>Solo si cambia la decisión</x:v>
      </x:c>
      <x:c r="J30" s="26" t="str">
        <x:v>4286c837998785523afe7b5818a07a7f09b63b8f94175a602f7133ae7c3df6ad</x:v>
      </x:c>
      <x:c r="K30" s="26"/>
    </x:row>
    <x:row r="31" ht="30" customHeight="1">
      <x:c r="A31" s="26" t="str">
        <x:v>ADR-0026</x:v>
      </x:c>
      <x:c r="B31" s="26" t="n">
        <x:v>6</x:v>
      </x:c>
      <x:c r="C31" s="26" t="str">
        <x:v>ADR-0026 — Sprint 6 Version and Persistence Boundary</x:v>
      </x:c>
      <x:c r="D31" s="26" t="str">
        <x:v>Accepted</x:v>
      </x:c>
      <x:c r="E31" s="26"/>
      <x:c r="F31" s="26" t="str">
        <x:v>Documentation/10_Development_Records/Sprint_06/Governance/ADR-0026_Sprint_06_Version_And_Persistence_Boundary.md</x:v>
      </x:c>
      <x:c r="G31" s="26"/>
      <x:c r="H31" s="26"/>
      <x:c r="I31" s="26" t="str">
        <x:v>Solo si cambia la decisión</x:v>
      </x:c>
      <x:c r="J31" s="26" t="str">
        <x:v>88e809b7e5a461f57c5d9f943adaf6eeb0445f62ba3cd08440f5d2e45c48ed1f</x:v>
      </x:c>
      <x:c r="K31" s="26"/>
    </x:row>
    <x:row r="32" ht="30" customHeight="1">
      <x:c r="A32" s="26" t="str">
        <x:v>ADR-0027</x:v>
      </x:c>
      <x:c r="B32" s="26" t="n">
        <x:v>7</x:v>
      </x:c>
      <x:c r="C32" s="26" t="str">
        <x:v>ADR-0027 — Product and Supplier Authoring with ScriptableObjects</x:v>
      </x:c>
      <x:c r="D32" s="26" t="str">
        <x:v>Accepted</x:v>
      </x:c>
      <x:c r="E32" s="26"/>
      <x:c r="F32" s="26" t="str">
        <x:v>Documentation/10_Development_Records/Sprint_07/Governance/ADR-0027_Product_and_Supplier_Authoring.md</x:v>
      </x:c>
      <x:c r="G32" s="26"/>
      <x:c r="H32" s="26"/>
      <x:c r="I32" s="26" t="str">
        <x:v>Solo si cambia la decisión</x:v>
      </x:c>
      <x:c r="J32" s="26" t="str">
        <x:v>86a7e5e37add2c9d6fe855fef6deda2f4ddfba8f00cdb1062dfdbec3eb0dcb13</x:v>
      </x:c>
      <x:c r="K32" s="26"/>
    </x:row>
    <x:row r="33" ht="30" customHeight="1">
      <x:c r="A33" s="26" t="str">
        <x:v>ADR-0028</x:v>
      </x:c>
      <x:c r="B33" s="26" t="n">
        <x:v>7</x:v>
      </x:c>
      <x:c r="C33" s="26" t="str">
        <x:v>ADR-0028 — Purchase Orders Use Whole Shipment Boxes</x:v>
      </x:c>
      <x:c r="D33" s="26" t="str">
        <x:v>Accepted</x:v>
      </x:c>
      <x:c r="E33" s="26"/>
      <x:c r="F33" s="26" t="str">
        <x:v>Documentation/10_Development_Records/Sprint_07/Governance/ADR-0028_Box_Based_Ordering.md</x:v>
      </x:c>
      <x:c r="G33" s="26"/>
      <x:c r="H33" s="26"/>
      <x:c r="I33" s="26" t="str">
        <x:v>Solo si cambia la decisión</x:v>
      </x:c>
      <x:c r="J33" s="26" t="str">
        <x:v>57af021d5e1412eadd90d34cdb62da418efa8d0bd0001d8da4c219bb9fa98f40</x:v>
      </x:c>
      <x:c r="K33" s="26"/>
    </x:row>
    <x:row r="34" ht="30" customHeight="1">
      <x:c r="A34" s="26" t="str">
        <x:v>ADR-0029</x:v>
      </x:c>
      <x:c r="B34" s="26" t="n">
        <x:v>7</x:v>
      </x:c>
      <x:c r="C34" s="26" t="str">
        <x:v>ADR-0029 — Shipment-Box Receiving Is Atomic</x:v>
      </x:c>
      <x:c r="D34" s="26" t="str">
        <x:v>Accepted</x:v>
      </x:c>
      <x:c r="E34" s="26"/>
      <x:c r="F34" s="26" t="str">
        <x:v>Documentation/10_Development_Records/Sprint_07/Governance/ADR-0029_Atomic_Box_Receiving.md</x:v>
      </x:c>
      <x:c r="G34" s="26"/>
      <x:c r="H34" s="26"/>
      <x:c r="I34" s="26" t="str">
        <x:v>Solo si cambia la decisión</x:v>
      </x:c>
      <x:c r="J34" s="26" t="str">
        <x:v>bf3785f3178e96118326edaf1a4134d4300f5817a838cb24bacdd7dc6884af0d</x:v>
      </x:c>
      <x:c r="K34" s="26"/>
    </x:row>
    <x:row r="35" ht="30" customHeight="1">
      <x:c r="A35" s="26" t="str">
        <x:v>ADR-0030</x:v>
      </x:c>
      <x:c r="B35" s="26" t="n">
        <x:v>8</x:v>
      </x:c>
      <x:c r="C35" s="26" t="str">
        <x:v>ADR-0030 — Single-product display assignment</x:v>
      </x:c>
      <x:c r="D35" s="26" t="str">
        <x:v>Accepted</x:v>
      </x:c>
      <x:c r="E35" s="26"/>
      <x:c r="F35" s="26" t="str">
        <x:v>Documentation/10_Development_Records/Sprint_08/Governance/ADR-0030_Single_Product_Display_Assignment.md</x:v>
      </x:c>
      <x:c r="G35" s="26"/>
      <x:c r="H35" s="26"/>
      <x:c r="I35" s="26" t="str">
        <x:v>Solo si cambia la decisión</x:v>
      </x:c>
      <x:c r="J35" s="26" t="str">
        <x:v>ff34c07064a44ae5ffb3db2f205b4ef1fe2fd330bed57702a84f53e4f428e4a5</x:v>
      </x:c>
      <x:c r="K35" s="26"/>
    </x:row>
    <x:row r="36" ht="30" customHeight="1">
      <x:c r="A36" s="26" t="str">
        <x:v>ADR-0031</x:v>
      </x:c>
      <x:c r="B36" s="26" t="n">
        <x:v>8</x:v>
      </x:c>
      <x:c r="C36" s="26" t="str">
        <x:v>ADR-0031 — Display capacity and visible units</x:v>
      </x:c>
      <x:c r="D36" s="26" t="str">
        <x:v>Accepted</x:v>
      </x:c>
      <x:c r="E36" s="26"/>
      <x:c r="F36" s="26" t="str">
        <x:v>Documentation/10_Development_Records/Sprint_08/Governance/ADR-0031_Display_Capacity_and_Visible_Units.md</x:v>
      </x:c>
      <x:c r="G36" s="26"/>
      <x:c r="H36" s="26"/>
      <x:c r="I36" s="26" t="str">
        <x:v>Solo si cambia la decisión</x:v>
      </x:c>
      <x:c r="J36" s="26" t="str">
        <x:v>55398e2d4b0f0989db0716a124fd96d597cfe878d561d2546f8114c74009a900</x:v>
      </x:c>
      <x:c r="K36" s="26"/>
    </x:row>
    <x:row r="37" ht="30" customHeight="1">
      <x:c r="A37" s="26" t="str">
        <x:v>ADR-0032</x:v>
      </x:c>
      <x:c r="B37" s="26" t="n">
        <x:v>8</x:v>
      </x:c>
      <x:c r="C37" s="26" t="str">
        <x:v>ADR-0032 — Atomic manual restocking</x:v>
      </x:c>
      <x:c r="D37" s="26" t="str">
        <x:v>Accepted</x:v>
      </x:c>
      <x:c r="E37" s="26"/>
      <x:c r="F37" s="26" t="str">
        <x:v>Documentation/10_Development_Records/Sprint_08/Governance/ADR-0032_Atomic_Manual_Restocking.md</x:v>
      </x:c>
      <x:c r="G37" s="26"/>
      <x:c r="H37" s="26"/>
      <x:c r="I37" s="26" t="str">
        <x:v>Solo si cambia la decisión</x:v>
      </x:c>
      <x:c r="J37" s="26" t="str">
        <x:v>3995a709fcd6235ec918570685e381fea53ef9620adb0bf10a0f25d2f0e6b970</x:v>
      </x:c>
      <x:c r="K37" s="26"/>
    </x:row>
    <x:row r="38" ht="30" customHeight="1">
      <x:c r="A38" s="26" t="str">
        <x:v>ADR-0033</x:v>
      </x:c>
      <x:c r="B38" s="26" t="n">
        <x:v>8</x:v>
      </x:c>
      <x:c r="C38" s="26" t="str">
        <x:v>ADR-0033 — Display authoring and placement boundary</x:v>
      </x:c>
      <x:c r="D38" s="26" t="str">
        <x:v>Accepted</x:v>
      </x:c>
      <x:c r="E38" s="26"/>
      <x:c r="F38" s="26" t="str">
        <x:v>Documentation/10_Development_Records/Sprint_08/Governance/ADR-0033_Display_Authoring_and_Placement_Boundary.md</x:v>
      </x:c>
      <x:c r="G38" s="26"/>
      <x:c r="H38" s="26"/>
      <x:c r="I38" s="26" t="str">
        <x:v>Solo si cambia la decisión</x:v>
      </x:c>
      <x:c r="J38" s="26" t="str">
        <x:v>68b6ada32b41b33a38e6bd2e36673610f62e92d911bd9181b1cc431c25a22c77</x:v>
      </x:c>
      <x:c r="K38" s="26"/>
    </x:row>
    <x:row r="39" ht="30" customHeight="1">
      <x:c r="A39" s="26" t="str">
        <x:v>ADR-0034</x:v>
      </x:c>
      <x:c r="B39" s="26" t="n">
        <x:v>9</x:v>
      </x:c>
      <x:c r="C39" s="26" t="str">
        <x:v>ADR-0034 — Selección determinista y cola de spawn</x:v>
      </x:c>
      <x:c r="D39" s="26" t="str">
        <x:v>Accepted</x:v>
      </x:c>
      <x:c r="E39" s="26"/>
      <x:c r="F39" s="26" t="str">
        <x:v>Documentation/10_Development_Records/Sprint_09/Governance/ADR-0034_Deterministic_Profile_Selection_and_Spawn_Queue.md</x:v>
      </x:c>
      <x:c r="G39" s="26"/>
      <x:c r="H39" s="26"/>
      <x:c r="I39" s="26" t="str">
        <x:v>Solo si cambia la decisión</x:v>
      </x:c>
      <x:c r="J39" s="26" t="str">
        <x:v>b3190da9985256d7704754263838fb9845526aaf470eec40c3e6501ffa6b8d0b</x:v>
      </x:c>
      <x:c r="K39" s="26"/>
    </x:row>
    <x:row r="40" ht="30" customHeight="1">
      <x:c r="A40" s="26" t="str">
        <x:v>ADR-0035</x:v>
      </x:c>
      <x:c r="B40" s="26" t="n">
        <x:v>9</x:v>
      </x:c>
      <x:c r="C40" s="26" t="str">
        <x:v>ADR-0035 — Ciclo de vida y paciencia</x:v>
      </x:c>
      <x:c r="D40" s="26" t="str">
        <x:v>Accepted</x:v>
      </x:c>
      <x:c r="E40" s="26"/>
      <x:c r="F40" s="26" t="str">
        <x:v>Documentation/10_Development_Records/Sprint_09/Governance/ADR-0035_Customer_Lifecycle_and_Patience.md</x:v>
      </x:c>
      <x:c r="G40" s="26"/>
      <x:c r="H40" s="26"/>
      <x:c r="I40" s="26" t="str">
        <x:v>Solo si cambia la decisión</x:v>
      </x:c>
      <x:c r="J40" s="26" t="str">
        <x:v>abae8d2eebdfc7d8b65386653fb1cbb78c351049ef3d838a6d8b0668dd1e1173</x:v>
      </x:c>
      <x:c r="K40" s="26"/>
    </x:row>
    <x:row r="41" ht="30" customHeight="1">
      <x:c r="A41" s="26" t="str">
        <x:v>ADR-0036</x:v>
      </x:c>
      <x:c r="B41" s="26" t="n">
        <x:v>9</x:v>
      </x:c>
      <x:c r="C41" s="26" t="str">
        <x:v>ADR-0036 — Límite de navegación técnica</x:v>
      </x:c>
      <x:c r="D41" s="26" t="str">
        <x:v>Accepted</x:v>
      </x:c>
      <x:c r="E41" s="26"/>
      <x:c r="F41" s="26" t="str">
        <x:v>Documentation/10_Development_Records/Sprint_09/Governance/ADR-0036_Technical_Navigation_Boundary.md</x:v>
      </x:c>
      <x:c r="G41" s="26"/>
      <x:c r="H41" s="26"/>
      <x:c r="I41" s="26" t="str">
        <x:v>Solo si cambia la decisión</x:v>
      </x:c>
      <x:c r="J41" s="26" t="str">
        <x:v>d749100129b58f4e3fd7f9da9b540340194be1dee4dce5195173796089acb4d0</x:v>
      </x:c>
      <x:c r="K41" s="26"/>
    </x:row>
    <x:row r="42" ht="30" customHeight="1">
      <x:c r="A42" s="26" t="str">
        <x:v>ADR-0037</x:v>
      </x:c>
      <x:c r="B42" s="26" t="n">
        <x:v>9</x:v>
      </x:c>
      <x:c r="C42" s="26" t="str">
        <x:v>ADR-0037 — Límite de población y representación técnica</x:v>
      </x:c>
      <x:c r="D42" s="26" t="str">
        <x:v>Accepted</x:v>
      </x:c>
      <x:c r="E42" s="26"/>
      <x:c r="F42" s="26" t="str">
        <x:v>Documentation/10_Development_Records/Sprint_09/Governance/ADR-0037_Population_Cap_and_Technical_Representation.md</x:v>
      </x:c>
      <x:c r="G42" s="26"/>
      <x:c r="H42" s="26"/>
      <x:c r="I42" s="26" t="str">
        <x:v>Solo si cambia la decisión</x:v>
      </x:c>
      <x:c r="J42" s="26" t="str">
        <x:v>a03265cb88add303fe2be3c2b7982b1c183f2a3d52c5e7815b17a1a886428392</x:v>
      </x:c>
      <x:c r="K42" s="26"/>
    </x:row>
    <x:row r="43" ht="30" customHeight="1">
      <x:c r="A43" s="26" t="str">
        <x:v>ADR-0038</x:v>
      </x:c>
      <x:c r="B43" s="26" t="n">
        <x:v>10</x:v>
      </x:c>
      <x:c r="C43" s="26" t="str">
        <x:v>ADR-0038 — Reservation-backed cart</x:v>
      </x:c>
      <x:c r="D43" s="26" t="str">
        <x:v>Accepted</x:v>
      </x:c>
      <x:c r="E43" s="26"/>
      <x:c r="F43" s="26" t="str">
        <x:v>Documentation/10_Development_Records/Sprint_10/Architecture/ADR-0038-ReservationBackedCart.md</x:v>
      </x:c>
      <x:c r="G43" s="26"/>
      <x:c r="H43" s="26"/>
      <x:c r="I43" s="26" t="str">
        <x:v>Solo si cambia la decisión</x:v>
      </x:c>
      <x:c r="J43" s="26" t="str">
        <x:v>b75acced6289b8579e95ccb0e1dbe76dcaa3fafbbd9e4c16c8bda84aaa7a37fc</x:v>
      </x:c>
      <x:c r="K43" s="26"/>
    </x:row>
    <x:row r="44" ht="30" customHeight="1">
      <x:c r="A44" s="26" t="str">
        <x:v>ADR-0039</x:v>
      </x:c>
      <x:c r="B44" s="26" t="n">
        <x:v>10</x:v>
      </x:c>
      <x:c r="C44" s="26" t="str">
        <x:v>ADR-0039 — Deterministic shopping search</x:v>
      </x:c>
      <x:c r="D44" s="26" t="str">
        <x:v>Accepted</x:v>
      </x:c>
      <x:c r="E44" s="26"/>
      <x:c r="F44" s="26" t="str">
        <x:v>Documentation/10_Development_Records/Sprint_10/Architecture/ADR-0039-DeterministicShoppingSearch.md</x:v>
      </x:c>
      <x:c r="G44" s="26"/>
      <x:c r="H44" s="26"/>
      <x:c r="I44" s="26" t="str">
        <x:v>Solo si cambia la decisión</x:v>
      </x:c>
      <x:c r="J44" s="26" t="str">
        <x:v>f68af75f570d688595409b8c6be5689989143acb084811e26f6e21f125bae81e</x:v>
      </x:c>
      <x:c r="K44" s="26"/>
    </x:row>
    <x:row r="45" ht="30" customHeight="1">
      <x:c r="A45" s="26" t="str">
        <x:v>ADR-0040</x:v>
      </x:c>
      <x:c r="B45" s="26" t="n">
        <x:v>10</x:v>
      </x:c>
      <x:c r="C45" s="26" t="str">
        <x:v>ADR-0040 — Reservation provenance</x:v>
      </x:c>
      <x:c r="D45" s="26" t="str">
        <x:v>Accepted</x:v>
      </x:c>
      <x:c r="E45" s="26"/>
      <x:c r="F45" s="26" t="str">
        <x:v>Documentation/10_Development_Records/Sprint_10/Architecture/ADR-0040-ReservationProvenance.md</x:v>
      </x:c>
      <x:c r="G45" s="26"/>
      <x:c r="H45" s="26"/>
      <x:c r="I45" s="26" t="str">
        <x:v>Solo si cambia la decisión</x:v>
      </x:c>
      <x:c r="J45" s="26" t="str">
        <x:v>fb548c17172d591576640e2454ef14319057adc48b3dbd9944374ff306f3dee5</x:v>
      </x:c>
      <x:c r="K45" s="26"/>
    </x:row>
    <x:row r="46" ht="30" customHeight="1">
      <x:c r="A46" s="26" t="str">
        <x:v>ADR-0041</x:v>
      </x:c>
      <x:c r="B46" s="26" t="n">
        <x:v>10</x:v>
      </x:c>
      <x:c r="C46" s="26" t="str">
        <x:v>ADR-0041 — Customer shopping session boundary</x:v>
      </x:c>
      <x:c r="D46" s="26" t="str">
        <x:v>Accepted</x:v>
      </x:c>
      <x:c r="E46" s="26"/>
      <x:c r="F46" s="26" t="str">
        <x:v>Documentation/10_Development_Records/Sprint_10/Architecture/ADR-0041-CustomerShoppingSessionBoundary.md</x:v>
      </x:c>
      <x:c r="G46" s="26"/>
      <x:c r="H46" s="26"/>
      <x:c r="I46" s="26" t="str">
        <x:v>Solo si cambia la decisión</x:v>
      </x:c>
      <x:c r="J46" s="26" t="str">
        <x:v>d6bf2284912c0e33992a0af84e445ad75fb6af270bb901ec0bf0f03942a11c08</x:v>
      </x:c>
      <x:c r="K46" s="26"/>
    </x:row>
    <x:row r="47" ht="30" customHeight="1">
      <x:c r="A47" s="26" t="str">
        <x:v>ADR-0042</x:v>
      </x:c>
      <x:c r="B47" s="26" t="n">
        <x:v>11</x:v>
      </x:c>
      <x:c r="C47" s="26" t="str">
        <x:v>ADR-0042 — Strict FIFO checkout queue</x:v>
      </x:c>
      <x:c r="D47" s="26" t="str">
        <x:v>Accepted</x:v>
      </x:c>
      <x:c r="E47" s="26"/>
      <x:c r="F47" s="26" t="str">
        <x:v>Documentation/10_Development_Records/Sprint_11/Architecture/ADR-0042-StrictFifoCheckoutQueue.md</x:v>
      </x:c>
      <x:c r="G47" s="26"/>
      <x:c r="H47" s="26"/>
      <x:c r="I47" s="26" t="str">
        <x:v>Solo si cambia la decisión</x:v>
      </x:c>
      <x:c r="J47" s="26" t="str">
        <x:v>094a7bdd2663b03a04f085dd8b9e0c775081f8b64eb6319858f1ac39b086df43</x:v>
      </x:c>
      <x:c r="K47" s="26"/>
    </x:row>
    <x:row r="48" ht="30" customHeight="1">
      <x:c r="A48" s="26" t="str">
        <x:v>ADR-0043</x:v>
      </x:c>
      <x:c r="B48" s="26" t="n">
        <x:v>11</x:v>
      </x:c>
      <x:c r="C48" s="26" t="str">
        <x:v>ADR-0043 — Single-entry checkout station</x:v>
      </x:c>
      <x:c r="D48" s="26" t="str">
        <x:v>Accepted</x:v>
      </x:c>
      <x:c r="E48" s="26"/>
      <x:c r="F48" s="26" t="str">
        <x:v>Documentation/10_Development_Records/Sprint_11/Architecture/ADR-0043-SingleEntryCheckoutStation.md</x:v>
      </x:c>
      <x:c r="G48" s="26"/>
      <x:c r="H48" s="26"/>
      <x:c r="I48" s="26" t="str">
        <x:v>Solo si cambia la decisión</x:v>
      </x:c>
      <x:c r="J48" s="26" t="str">
        <x:v>251308c9d85fe221f37152f5f9448a811db556b3b91816c20485e7a12949d5db</x:v>
      </x:c>
      <x:c r="K48" s="26"/>
    </x:row>
    <x:row r="49" ht="30" customHeight="1">
      <x:c r="A49" s="26" t="str">
        <x:v>ADR-0044</x:v>
      </x:c>
      <x:c r="B49" s="26" t="n">
        <x:v>11</x:v>
      </x:c>
      <x:c r="C49" s="26" t="str">
        <x:v>ADR-0044 — Preflight then commit checkout</x:v>
      </x:c>
      <x:c r="D49" s="26" t="str">
        <x:v>Accepted</x:v>
      </x:c>
      <x:c r="E49" s="26"/>
      <x:c r="F49" s="26" t="str">
        <x:v>Documentation/10_Development_Records/Sprint_11/Architecture/ADR-0044-PreflightThenCommitCheckout.md</x:v>
      </x:c>
      <x:c r="G49" s="26"/>
      <x:c r="H49" s="26"/>
      <x:c r="I49" s="26" t="str">
        <x:v>Solo si cambia la decisión</x:v>
      </x:c>
      <x:c r="J49" s="26" t="str">
        <x:v>a58dfea3f71f24fd52ae8c7ab9d015aad8b31ad56c60e12162e4aff95783a864</x:v>
      </x:c>
      <x:c r="K49" s="26"/>
    </x:row>
    <x:row r="50" ht="30" customHeight="1">
      <x:c r="A50" s="26" t="str">
        <x:v>ADR-0045</x:v>
      </x:c>
      <x:c r="B50" s="26" t="n">
        <x:v>11</x:v>
      </x:c>
      <x:c r="C50" s="26" t="str">
        <x:v>ADR-0045 — Checkout idempotency</x:v>
      </x:c>
      <x:c r="D50" s="26" t="str">
        <x:v>Accepted</x:v>
      </x:c>
      <x:c r="E50" s="26"/>
      <x:c r="F50" s="26" t="str">
        <x:v>Documentation/10_Development_Records/Sprint_11/Architecture/ADR-0045-CheckoutIdempotency.md</x:v>
      </x:c>
      <x:c r="G50" s="26"/>
      <x:c r="H50" s="26"/>
      <x:c r="I50" s="26" t="str">
        <x:v>Solo si cambia la decisión</x:v>
      </x:c>
      <x:c r="J50" s="26" t="str">
        <x:v>dcaf08280bbc3fb2f7947d5d594d13d1d84c415dfa93e3c83148280a171d5d75</x:v>
      </x:c>
      <x:c r="K50" s="26"/>
    </x:row>
    <x:row r="51" ht="30" customHeight="1">
      <x:c r="A51" s="26" t="str">
        <x:v>ADR-0046</x:v>
      </x:c>
      <x:c r="B51" s="26" t="n">
        <x:v>12</x:v>
      </x:c>
      <x:c r="C51" s="26" t="str">
        <x:v>ADR-0046 — Logical Store Day aggregate</x:v>
      </x:c>
      <x:c r="D51" s="26" t="str">
        <x:v>Accepted</x:v>
      </x:c>
      <x:c r="E51" s="26"/>
      <x:c r="F51" s="26" t="str">
        <x:v>Documentation/10_Development_Records/Sprint_12/Architecture/ADR-0046-LogicalStoreDayAggregate.md</x:v>
      </x:c>
      <x:c r="G51" s="26"/>
      <x:c r="H51" s="26"/>
      <x:c r="I51" s="26" t="str">
        <x:v>Solo si cambia la decisión</x:v>
      </x:c>
      <x:c r="J51" s="26" t="str">
        <x:v>4b0703008d657d9b20ef1554afcf827e8126540b156009d91cfc61c6270fcc7d</x:v>
      </x:c>
      <x:c r="K51" s="26"/>
    </x:row>
    <x:row r="52" ht="30" customHeight="1">
      <x:c r="A52" s="26" t="str">
        <x:v>ADR-0047</x:v>
      </x:c>
      <x:c r="B52" s="26" t="n">
        <x:v>12</x:v>
      </x:c>
      <x:c r="C52" s="26" t="str">
        <x:v>ADR-0047 — Closing admission gates</x:v>
      </x:c>
      <x:c r="D52" s="26" t="str">
        <x:v>Accepted</x:v>
      </x:c>
      <x:c r="E52" s="26"/>
      <x:c r="F52" s="26" t="str">
        <x:v>Documentation/10_Development_Records/Sprint_12/Architecture/ADR-0047-ClosingAdmissionGates.md</x:v>
      </x:c>
      <x:c r="G52" s="26"/>
      <x:c r="H52" s="26"/>
      <x:c r="I52" s="26" t="str">
        <x:v>Solo si cambia la decisión</x:v>
      </x:c>
      <x:c r="J52" s="26" t="str">
        <x:v>1bea6d3a71b2dda9f027398423d40013fed095318570d0c983c3a5ef5adbf2ef</x:v>
      </x:c>
      <x:c r="K52" s="26"/>
    </x:row>
    <x:row r="53" ht="30" customHeight="1">
      <x:c r="A53" s="26" t="str">
        <x:v>ADR-0048</x:v>
      </x:c>
      <x:c r="B53" s="26" t="n">
        <x:v>12</x:v>
      </x:c>
      <x:c r="C53" s="26" t="str">
        <x:v>ADR-0048 — Deterministic drain and resolution</x:v>
      </x:c>
      <x:c r="D53" s="26" t="str">
        <x:v>Accepted</x:v>
      </x:c>
      <x:c r="E53" s="26"/>
      <x:c r="F53" s="26" t="str">
        <x:v>Documentation/10_Development_Records/Sprint_12/Architecture/ADR-0048-DeterministicDrainAndResolution.md</x:v>
      </x:c>
      <x:c r="G53" s="26"/>
      <x:c r="H53" s="26"/>
      <x:c r="I53" s="26" t="str">
        <x:v>Solo si cambia la decisión</x:v>
      </x:c>
      <x:c r="J53" s="26" t="str">
        <x:v>930429172027b64eeed649d79c17f55747622690c4355f303b4b1f572f2e53da</x:v>
      </x:c>
      <x:c r="K53" s="26"/>
    </x:row>
    <x:row r="54" ht="30" customHeight="1">
      <x:c r="A54" s="26" t="str">
        <x:v>ADR-0049</x:v>
      </x:c>
      <x:c r="B54" s="26" t="n">
        <x:v>12</x:v>
      </x:c>
      <x:c r="C54" s="26" t="str">
        <x:v>ADR-0049 — Closure readiness snapshot</x:v>
      </x:c>
      <x:c r="D54" s="26" t="str">
        <x:v>Accepted</x:v>
      </x:c>
      <x:c r="E54" s="26"/>
      <x:c r="F54" s="26" t="str">
        <x:v>Documentation/10_Development_Records/Sprint_12/Architecture/ADR-0049-ClosureReadinessSnapshot.md</x:v>
      </x:c>
      <x:c r="G54" s="26"/>
      <x:c r="H54" s="26"/>
      <x:c r="I54" s="26" t="str">
        <x:v>Solo si cambia la decisión</x:v>
      </x:c>
      <x:c r="J54" s="26" t="str">
        <x:v>8bbed47b5de9fe5d2fb48f877e7bc1452a95aab891c3fcae14d6b06fea819df9</x:v>
      </x:c>
      <x:c r="K54" s="26"/>
    </x:row>
    <x:row r="55" ht="30" customHeight="1">
      <x:c r="A55" s="26" t="str">
        <x:v>ADR-0050</x:v>
      </x:c>
      <x:c r="B55" s="26" t="n">
        <x:v>12</x:v>
      </x:c>
      <x:c r="C55" s="26" t="str">
        <x:v>ADR-0050 — Technical day summary</x:v>
      </x:c>
      <x:c r="D55" s="26" t="str">
        <x:v>Accepted</x:v>
      </x:c>
      <x:c r="E55" s="26"/>
      <x:c r="F55" s="26" t="str">
        <x:v>Documentation/10_Development_Records/Sprint_12/Architecture/ADR-0050-TechnicalDaySummary.md</x:v>
      </x:c>
      <x:c r="G55" s="26"/>
      <x:c r="H55" s="26"/>
      <x:c r="I55" s="26" t="str">
        <x:v>Solo si cambia la decisión</x:v>
      </x:c>
      <x:c r="J55" s="26" t="str">
        <x:v>523e7074e3ffda8a481a51a7fe1637494cf452b722c77823f268c3d7b773a1dc</x:v>
      </x:c>
      <x:c r="K55" s="26"/>
    </x:row>
    <x:row r="56" ht="30" customHeight="1">
      <x:c r="A56" s="26" t="str">
        <x:v>ADR-0051</x:v>
      </x:c>
      <x:c r="B56" s="26" t="n">
        <x:v>13</x:v>
      </x:c>
      <x:c r="C56" s="26" t="str">
        <x:v>ADR-0051 — Integer minor-unit money</x:v>
      </x:c>
      <x:c r="D56" s="26" t="str">
        <x:v>Accepted</x:v>
      </x:c>
      <x:c r="E56" s="26"/>
      <x:c r="F56" s="26" t="str">
        <x:v>Documentation/10_Development_Records/Sprint_13/Architecture/ADR-0051-IntegerMinorUnitMoney.md</x:v>
      </x:c>
      <x:c r="G56" s="26"/>
      <x:c r="H56" s="26"/>
      <x:c r="I56" s="26" t="str">
        <x:v>Solo si cambia la decisión</x:v>
      </x:c>
      <x:c r="J56" s="26" t="str">
        <x:v>73384536261c238a733a2f818844f35d55f135835e6b5c97cdd7dae6d63ca795</x:v>
      </x:c>
      <x:c r="K56" s="26"/>
    </x:row>
    <x:row r="57" ht="30" customHeight="1">
      <x:c r="A57" s="26" t="str">
        <x:v>ADR-0052</x:v>
      </x:c>
      <x:c r="B57" s="26" t="n">
        <x:v>13</x:v>
      </x:c>
      <x:c r="C57" s="26" t="str">
        <x:v>ADR-0052 — Separate sale-price catalog</x:v>
      </x:c>
      <x:c r="D57" s="26" t="str">
        <x:v>Accepted</x:v>
      </x:c>
      <x:c r="E57" s="26"/>
      <x:c r="F57" s="26" t="str">
        <x:v>Documentation/10_Development_Records/Sprint_13/Architecture/ADR-0052-SeparateSalePriceCatalog.md</x:v>
      </x:c>
      <x:c r="G57" s="26"/>
      <x:c r="H57" s="26"/>
      <x:c r="I57" s="26" t="str">
        <x:v>Solo si cambia la decisión</x:v>
      </x:c>
      <x:c r="J57" s="26" t="str">
        <x:v>1a0a34e33c5a76ff1cfb80921aa4dbbdf223200b95c8e54bf52e95e1eece4018</x:v>
      </x:c>
      <x:c r="K57" s="26"/>
    </x:row>
    <x:row r="58" ht="30" customHeight="1">
      <x:c r="A58" s="26" t="str">
        <x:v>ADR-0053</x:v>
      </x:c>
      <x:c r="B58" s="26" t="n">
        <x:v>13</x:v>
      </x:c>
      <x:c r="C58" s="26" t="str">
        <x:v>ADR-0053 — Quote before physical checkout</x:v>
      </x:c>
      <x:c r="D58" s="26" t="str">
        <x:v>Accepted</x:v>
      </x:c>
      <x:c r="E58" s="26"/>
      <x:c r="F58" s="26" t="str">
        <x:v>Documentation/10_Development_Records/Sprint_13/Architecture/ADR-0053-QuoteBeforePhysicalCheckout.md</x:v>
      </x:c>
      <x:c r="G58" s="26"/>
      <x:c r="H58" s="26"/>
      <x:c r="I58" s="26" t="str">
        <x:v>Solo si cambia la decisión</x:v>
      </x:c>
      <x:c r="J58" s="26" t="str">
        <x:v>5c71902b6c89d51d471338f30be7fdf34014f33944ada9030b826b0149562d3a</x:v>
      </x:c>
      <x:c r="K58" s="26"/>
    </x:row>
    <x:row r="59" ht="30" customHeight="1">
      <x:c r="A59" s="26" t="str">
        <x:v>ADR-0054</x:v>
      </x:c>
      <x:c r="B59" s="26" t="n">
        <x:v>13</x:v>
      </x:c>
      <x:c r="C59" s="26" t="str">
        <x:v>ADR-0054 — Idempotent economy ledger</x:v>
      </x:c>
      <x:c r="D59" s="26" t="str">
        <x:v>Accepted</x:v>
      </x:c>
      <x:c r="E59" s="26"/>
      <x:c r="F59" s="26" t="str">
        <x:v>Documentation/10_Development_Records/Sprint_13/Architecture/ADR-0054-IdempotentEconomyLedger.md</x:v>
      </x:c>
      <x:c r="G59" s="26"/>
      <x:c r="H59" s="26"/>
      <x:c r="I59" s="26" t="str">
        <x:v>Solo si cambia la decisión</x:v>
      </x:c>
      <x:c r="J59" s="26" t="str">
        <x:v>f52b16bb87159d2616add98a3c44442ddfb65e0fe5e50fa4fea29fee33215246</x:v>
      </x:c>
      <x:c r="K59" s="26"/>
    </x:row>
    <x:row r="60" ht="30" customHeight="1">
      <x:c r="A60" s="26" t="str">
        <x:v>ADR-0055</x:v>
      </x:c>
      <x:c r="B60" s="26" t="n">
        <x:v>13</x:v>
      </x:c>
      <x:c r="C60" s="26" t="str">
        <x:v>ADR-0055 — Closed-day economic result</x:v>
      </x:c>
      <x:c r="D60" s="26" t="str">
        <x:v>Accepted</x:v>
      </x:c>
      <x:c r="E60" s="26"/>
      <x:c r="F60" s="26" t="str">
        <x:v>Documentation/10_Development_Records/Sprint_13/Architecture/ADR-0055-ClosedDayEconomicResult.md</x:v>
      </x:c>
      <x:c r="G60" s="26"/>
      <x:c r="H60" s="26"/>
      <x:c r="I60" s="26" t="str">
        <x:v>Solo si cambia la decisión</x:v>
      </x:c>
      <x:c r="J60" s="26" t="str">
        <x:v>d0445e9824c68ff49cdc6836a4809e56bc768dfeb1f504dd17f6207db76ef0af</x:v>
      </x:c>
      <x:c r="K60" s="26"/>
    </x:row>
    <x:row r="61" ht="30" customHeight="1">
      <x:c r="A61" s="26" t="str">
        <x:v>ADR-0056</x:v>
      </x:c>
      <x:c r="B61" s="26" t="n">
        <x:v>14</x:v>
      </x:c>
      <x:c r="C61" s="26" t="str">
        <x:v>ADR-0056 — Compatible integrated save v2</x:v>
      </x:c>
      <x:c r="D61" s="26" t="str">
        <x:v>Accepted</x:v>
      </x:c>
      <x:c r="E61" s="26"/>
      <x:c r="F61" s="26" t="str">
        <x:v>Documentation/10_Development_Records/Sprint_14/Architecture/ADR-0056-CompatibleIntegratedSaveV2.md</x:v>
      </x:c>
      <x:c r="G61" s="26"/>
      <x:c r="H61" s="26"/>
      <x:c r="I61" s="26" t="str">
        <x:v>Solo si cambia la decisión</x:v>
      </x:c>
      <x:c r="J61" s="26" t="str">
        <x:v>5cc539efb691df4398f23002613d08079fa8869bde84816f89a91be781ffcf6a</x:v>
      </x:c>
      <x:c r="K61" s="26"/>
    </x:row>
    <x:row r="62" ht="30" customHeight="1">
      <x:c r="A62" s="26" t="str">
        <x:v>ADR-0057</x:v>
      </x:c>
      <x:c r="B62" s="26" t="n">
        <x:v>14</x:v>
      </x:c>
      <x:c r="C62" s="26" t="str">
        <x:v>ADR-0057 — Validated atomic write</x:v>
      </x:c>
      <x:c r="D62" s="26" t="str">
        <x:v>Accepted</x:v>
      </x:c>
      <x:c r="E62" s="26"/>
      <x:c r="F62" s="26" t="str">
        <x:v>Documentation/10_Development_Records/Sprint_14/Architecture/ADR-0057-ValidatedAtomicWrite.md</x:v>
      </x:c>
      <x:c r="G62" s="26"/>
      <x:c r="H62" s="26"/>
      <x:c r="I62" s="26" t="str">
        <x:v>Solo si cambia la decisión</x:v>
      </x:c>
      <x:c r="J62" s="26" t="str">
        <x:v>919cf393c0449300f85947190ba50828706c34ebfbc0a93d9aa31a1d9e021301</x:v>
      </x:c>
      <x:c r="K62" s="26"/>
    </x:row>
    <x:row r="63" ht="30" customHeight="1">
      <x:c r="A63" s="26" t="str">
        <x:v>ADR-0058</x:v>
      </x:c>
      <x:c r="B63" s="26" t="n">
        <x:v>14</x:v>
      </x:c>
      <x:c r="C63" s="26" t="str">
        <x:v>ADR-0058 — Checksum and generation envelope</x:v>
      </x:c>
      <x:c r="D63" s="26" t="str">
        <x:v>Accepted</x:v>
      </x:c>
      <x:c r="E63" s="26"/>
      <x:c r="F63" s="26" t="str">
        <x:v>Documentation/10_Development_Records/Sprint_14/Architecture/ADR-0058-ChecksumAndGenerationEnvelope.md</x:v>
      </x:c>
      <x:c r="G63" s="26"/>
      <x:c r="H63" s="26"/>
      <x:c r="I63" s="26" t="str">
        <x:v>Solo si cambia la decisión</x:v>
      </x:c>
      <x:c r="J63" s="26" t="str">
        <x:v>ee9dd8479ba19464211e32510dcb7cd3f4f4a199cc9506ac28cf7cefc3cffd0b</x:v>
      </x:c>
      <x:c r="K63" s="26"/>
    </x:row>
    <x:row r="64" ht="30" customHeight="1">
      <x:c r="A64" s="26" t="str">
        <x:v>ADR-0059</x:v>
      </x:c>
      <x:c r="B64" s="26" t="n">
        <x:v>14</x:v>
      </x:c>
      <x:c r="C64" s="26" t="str">
        <x:v>ADR-0059 — Backup-first recovery</x:v>
      </x:c>
      <x:c r="D64" s="26" t="str">
        <x:v>Accepted</x:v>
      </x:c>
      <x:c r="E64" s="26"/>
      <x:c r="F64" s="26" t="str">
        <x:v>Documentation/10_Development_Records/Sprint_14/Architecture/ADR-0059-BackupFirstRecovery.md</x:v>
      </x:c>
      <x:c r="G64" s="26"/>
      <x:c r="H64" s="26"/>
      <x:c r="I64" s="26" t="str">
        <x:v>Solo si cambia la decisión</x:v>
      </x:c>
      <x:c r="J64" s="26" t="str">
        <x:v>22af6a1df416b4c7fb8389f08ec428c61289bbb5984d958e0576aa2478ad03d4</x:v>
      </x:c>
      <x:c r="K64" s="26"/>
    </x:row>
    <x:row r="65" ht="30" customHeight="1">
      <x:c r="A65" s="26" t="str">
        <x:v>ADR-0060</x:v>
      </x:c>
      <x:c r="B65" s="26" t="n">
        <x:v>14</x:v>
      </x:c>
      <x:c r="C65" s="26" t="str">
        <x:v>ADR-0060 — Two-phase restore</x:v>
      </x:c>
      <x:c r="D65" s="26" t="str">
        <x:v>Accepted</x:v>
      </x:c>
      <x:c r="E65" s="26"/>
      <x:c r="F65" s="26" t="str">
        <x:v>Documentation/10_Development_Records/Sprint_14/Architecture/ADR-0060-TwoPhaseRestore.md</x:v>
      </x:c>
      <x:c r="G65" s="26"/>
      <x:c r="H65" s="26"/>
      <x:c r="I65" s="26" t="str">
        <x:v>Solo si cambia la decisión</x:v>
      </x:c>
      <x:c r="J65" s="26" t="str">
        <x:v>4c701c8c4cfcadabb5a9002e0599765339d6028694431b79bb8a372f6a857345</x:v>
      </x:c>
      <x:c r="K65" s="26"/>
    </x:row>
    <x:row r="66" ht="30" customHeight="1">
      <x:c r="A66" s="26" t="str">
        <x:v>ADR-0061</x:v>
      </x:c>
      <x:c r="B66" s="26" t="n">
        <x:v>15</x:v>
      </x:c>
      <x:c r="C66" s="26" t="str">
        <x:v>ADR-0061 — Runtime UI Composition Root</x:v>
      </x:c>
      <x:c r="D66" s="26" t="str">
        <x:v>Accepted</x:v>
      </x:c>
      <x:c r="E66" s="26"/>
      <x:c r="F66" s="26" t="str">
        <x:v>Documentation/10_Development_Records/Sprint_15/Architecture/ADR-0061-RuntimeUICompositionRoot.md</x:v>
      </x:c>
      <x:c r="G66" s="26"/>
      <x:c r="H66" s="26"/>
      <x:c r="I66" s="26" t="str">
        <x:v>Solo si cambia la decisión</x:v>
      </x:c>
      <x:c r="J66" s="26" t="str">
        <x:v>65c71a50143e1217e64a395d48e368db684e9051879a84fe991d293254644fd9</x:v>
      </x:c>
      <x:c r="K66" s="26"/>
    </x:row>
    <x:row r="67" ht="30" customHeight="1">
      <x:c r="A67" s="26" t="str">
        <x:v>ADR-0062</x:v>
      </x:c>
      <x:c r="B67" s="26" t="n">
        <x:v>15</x:v>
      </x:c>
      <x:c r="C67" s="26" t="str">
        <x:v>ADR-0062 — Slot UI uses integrated repository</x:v>
      </x:c>
      <x:c r="D67" s="26" t="str">
        <x:v>Accepted</x:v>
      </x:c>
      <x:c r="E67" s="26"/>
      <x:c r="F67" s="26" t="str">
        <x:v>Documentation/10_Development_Records/Sprint_15/Architecture/ADR-0062-SlotUIUsesIntegratedRepository.md</x:v>
      </x:c>
      <x:c r="G67" s="26"/>
      <x:c r="H67" s="26"/>
      <x:c r="I67" s="26" t="str">
        <x:v>Solo si cambia la decisión</x:v>
      </x:c>
      <x:c r="J67" s="26" t="str">
        <x:v>ddaab79fcc1ee70e54e299ef81c1b274c28de02b60cd7ca500b83f0c779a83ae</x:v>
      </x:c>
      <x:c r="K67" s="26"/>
    </x:row>
    <x:row r="68" ht="30" customHeight="1">
      <x:c r="A68" s="26" t="str">
        <x:v>ADR-0063</x:v>
      </x:c>
      <x:c r="B68" s="26" t="n">
        <x:v>15</x:v>
      </x:c>
      <x:c r="C68" s="26" t="str">
        <x:v>ADR-0063 — Closed-day autosave idempotency</x:v>
      </x:c>
      <x:c r="D68" s="26" t="str">
        <x:v>Accepted</x:v>
      </x:c>
      <x:c r="E68" s="26"/>
      <x:c r="F68" s="26" t="str">
        <x:v>Documentation/10_Development_Records/Sprint_15/Architecture/ADR-0063-ClosedDayAutosaveIdempotency.md</x:v>
      </x:c>
      <x:c r="G68" s="26"/>
      <x:c r="H68" s="26"/>
      <x:c r="I68" s="26" t="str">
        <x:v>Solo si cambia la decisión</x:v>
      </x:c>
      <x:c r="J68" s="26" t="str">
        <x:v>8575a38534155149713d4c711e65216ce43402c06dce60d181fbad87d806ad59</x:v>
      </x:c>
      <x:c r="K68" s="26"/>
    </x:row>
    <x:row r="69" ht="30" customHeight="1">
      <x:c r="A69" s="26" t="str">
        <x:v>ADR-0064</x:v>
      </x:c>
      <x:c r="B69" s="26" t="n">
        <x:v>15</x:v>
      </x:c>
      <x:c r="C69" s="26" t="str">
        <x:v>ADR-0064 — Tutorial progress sidecar</x:v>
      </x:c>
      <x:c r="D69" s="26" t="str">
        <x:v>Accepted</x:v>
      </x:c>
      <x:c r="E69" s="26"/>
      <x:c r="F69" s="26" t="str">
        <x:v>Documentation/10_Development_Records/Sprint_15/Architecture/ADR-0064-TutorialProgressSidecar.md</x:v>
      </x:c>
      <x:c r="G69" s="26"/>
      <x:c r="H69" s="26"/>
      <x:c r="I69" s="26" t="str">
        <x:v>Solo si cambia la decisión</x:v>
      </x:c>
      <x:c r="J69" s="26" t="str">
        <x:v>d2cdde79c43ec5206b0f28cd4e4d5542210988058e9039cd6c510e41b8992b85</x:v>
      </x:c>
      <x:c r="K69" s="26"/>
    </x:row>
    <x:row r="70" ht="30" customHeight="1">
      <x:c r="A70" s="26" t="str">
        <x:v>ADR-0065</x:v>
      </x:c>
      <x:c r="B70" s="26" t="n">
        <x:v>15</x:v>
      </x:c>
      <x:c r="C70" s="26" t="str">
        <x:v>ADR-0065 — Global accessibility preferences</x:v>
      </x:c>
      <x:c r="D70" s="26" t="str">
        <x:v>Accepted</x:v>
      </x:c>
      <x:c r="E70" s="26"/>
      <x:c r="F70" s="26" t="str">
        <x:v>Documentation/10_Development_Records/Sprint_15/Architecture/ADR-0065-GlobalAccessibilityPreferences.md</x:v>
      </x:c>
      <x:c r="G70" s="26"/>
      <x:c r="H70" s="26"/>
      <x:c r="I70" s="26" t="str">
        <x:v>Solo si cambia la decisión</x:v>
      </x:c>
      <x:c r="J70" s="26" t="str">
        <x:v>2d42a2ba223eea0dd142a1c34949bf6095b257b8790b7ad36aabf0ae3fd4f30f</x:v>
      </x:c>
      <x:c r="K70" s="26"/>
    </x:row>
    <x:row r="71" ht="30" customHeight="1">
      <x:c r="A71" s="26" t="str">
        <x:v>ADR-0066</x:v>
      </x:c>
      <x:c r="B71" s="26" t="n">
        <x:v>15</x:v>
      </x:c>
      <x:c r="C71" s="26" t="str">
        <x:v>ADR-0066 — Exclusive UI input</x:v>
      </x:c>
      <x:c r="D71" s="26" t="str">
        <x:v>Accepted</x:v>
      </x:c>
      <x:c r="E71" s="26"/>
      <x:c r="F71" s="26" t="str">
        <x:v>Documentation/10_Development_Records/Sprint_15/Architecture/ADR-0066-ExclusiveUIInput.md</x:v>
      </x:c>
      <x:c r="G71" s="26"/>
      <x:c r="H71" s="26"/>
      <x:c r="I71" s="26" t="str">
        <x:v>Solo si cambia la decisión</x:v>
      </x:c>
      <x:c r="J71" s="26" t="str">
        <x:v>dd52812f99015a563282f87506a4b57884e6c41b4f0f9488cfb4d58944d74bbe</x:v>
      </x:c>
      <x:c r="K71" s="26"/>
    </x:row>
    <x:row r="72" ht="30" customHeight="1">
      <x:c r="A72" s="26" t="str">
        <x:v>ADR-0067</x:v>
      </x:c>
      <x:c r="B72" s="26" t="n">
        <x:v>16</x:v>
      </x:c>
      <x:c r="C72" s="26" t="str">
        <x:v>ADR-0067 — Sprint 16 two-phase delivery</x:v>
      </x:c>
      <x:c r="D72" s="26" t="str">
        <x:v>Accepted</x:v>
      </x:c>
      <x:c r="E72" s="26"/>
      <x:c r="F72" s="26" t="str">
        <x:v>Documentation/10_Development_Records/Sprint_16/Phase_1/Architecture/ADR-0067-Sprint16TwoPhaseDelivery.md</x:v>
      </x:c>
      <x:c r="G72" s="26"/>
      <x:c r="H72" s="26"/>
      <x:c r="I72" s="26" t="str">
        <x:v>Solo si cambia la decisión</x:v>
      </x:c>
      <x:c r="J72" s="26" t="str">
        <x:v>59f759e966b057f091473d52cf205d1a089a0917d2f8fff80342ca8ce2ca0a75</x:v>
      </x:c>
      <x:c r="K72" s="26"/>
    </x:row>
    <x:row r="73" ht="30" customHeight="1">
      <x:c r="A73" s="26" t="str">
        <x:v>ADR-0068</x:v>
      </x:c>
      <x:c r="B73" s="26" t="n">
        <x:v>16</x:v>
      </x:c>
      <x:c r="C73" s="26" t="str">
        <x:v>ADR-0068 — Pure Phase 1 sidecar</x:v>
      </x:c>
      <x:c r="D73" s="26" t="str">
        <x:v>Accepted</x:v>
      </x:c>
      <x:c r="E73" s="26"/>
      <x:c r="F73" s="26" t="str">
        <x:v>Documentation/10_Development_Records/Sprint_16/Phase_1/Architecture/ADR-0068-PurePhase1Sidecar.md</x:v>
      </x:c>
      <x:c r="G73" s="26"/>
      <x:c r="H73" s="26"/>
      <x:c r="I73" s="26" t="str">
        <x:v>Solo si cambia la decisión</x:v>
      </x:c>
      <x:c r="J73" s="26" t="str">
        <x:v>5a4b767d6daf552a48dc2b4d256b38c698da130b41314243902c4b5fbab68459</x:v>
      </x:c>
      <x:c r="K73" s="26"/>
    </x:row>
    <x:row r="74" ht="30" customHeight="1">
      <x:c r="A74" s="26" t="str">
        <x:v>ADR-0069</x:v>
      </x:c>
      <x:c r="B74" s="26" t="n">
        <x:v>16</x:v>
      </x:c>
      <x:c r="C74" s="26" t="str">
        <x:v>ADR-0069 — Autosave-coordinated checkpoint</x:v>
      </x:c>
      <x:c r="D74" s="26" t="str">
        <x:v>Accepted</x:v>
      </x:c>
      <x:c r="E74" s="26"/>
      <x:c r="F74" s="26" t="str">
        <x:v>Documentation/10_Development_Records/Sprint_16/Phase_1/Architecture/ADR-0069-AutosaveCoordinatedCheckpoint.md</x:v>
      </x:c>
      <x:c r="G74" s="26"/>
      <x:c r="H74" s="26"/>
      <x:c r="I74" s="26" t="str">
        <x:v>Solo si cambia la decisión</x:v>
      </x:c>
      <x:c r="J74" s="26" t="str">
        <x:v>c4aaad9ce98b604d52894350668f7e59cc8c9d893ec3e96658a467bff0dbd44a</x:v>
      </x:c>
      <x:c r="K74" s="26"/>
    </x:row>
    <x:row r="75" ht="30" customHeight="1">
      <x:c r="A75" s="26" t="str">
        <x:v>ADR-0070</x:v>
      </x:c>
      <x:c r="B75" s="26" t="n">
        <x:v>16</x:v>
      </x:c>
      <x:c r="C75" s="26" t="str">
        <x:v>ADR-0070 — Placement compatibility bridge</x:v>
      </x:c>
      <x:c r="D75" s="26" t="str">
        <x:v>Accepted</x:v>
      </x:c>
      <x:c r="E75" s="26"/>
      <x:c r="F75" s="26" t="str">
        <x:v>Documentation/10_Development_Records/Sprint_16/Phase_1/Architecture/ADR-0070-PlacementCompatibilityBridge.md</x:v>
      </x:c>
      <x:c r="G75" s="26"/>
      <x:c r="H75" s="26"/>
      <x:c r="I75" s="26" t="str">
        <x:v>Solo si cambia la decisión</x:v>
      </x:c>
      <x:c r="J75" s="26" t="str">
        <x:v>66a5b5172267c6984edd5474ba03dc2fb0da28de72c310ced74feba060f6df17</x:v>
      </x:c>
      <x:c r="K75" s="26"/>
    </x:row>
    <x:row r="76" ht="30" customHeight="1">
      <x:c r="A76" s="26" t="str">
        <x:v>ADR-0071</x:v>
      </x:c>
      <x:c r="B76" s="26" t="n">
        <x:v>16</x:v>
      </x:c>
      <x:c r="C76" s="26" t="str">
        <x:v>ADR-0071 — Decoupled presentation fallbacks</x:v>
      </x:c>
      <x:c r="D76" s="26" t="str">
        <x:v>Accepted</x:v>
      </x:c>
      <x:c r="E76" s="26"/>
      <x:c r="F76" s="26" t="str">
        <x:v>Documentation/10_Development_Records/Sprint_16/Phase_1/Architecture/ADR-0071-DecoupledPresentationFallbacks.md</x:v>
      </x:c>
      <x:c r="G76" s="26"/>
      <x:c r="H76" s="26"/>
      <x:c r="I76" s="26" t="str">
        <x:v>Solo si cambia la decisión</x:v>
      </x:c>
      <x:c r="J76" s="26" t="str">
        <x:v>f2e025be2f68b6de2388bd63a6b25549d4e6d111012bc685b034fa120ff9616c</x:v>
      </x:c>
      <x:c r="K76" s="26"/>
    </x:row>
    <x:row r="77" ht="30" customHeight="1">
      <x:c r="A77" s="26" t="str">
        <x:v>ADR-0072</x:v>
      </x:c>
      <x:c r="B77" s="26" t="n">
        <x:v>16</x:v>
      </x:c>
      <x:c r="C77" s="26" t="str">
        <x:v>ADR-0072 — Shared materials and prefab IDs</x:v>
      </x:c>
      <x:c r="D77" s="26" t="str">
        <x:v>Accepted</x:v>
      </x:c>
      <x:c r="E77" s="26"/>
      <x:c r="F77" s="26" t="str">
        <x:v>Documentation/10_Development_Records/Sprint_16/Phase_1/Architecture/ADR-0072-SharedMaterialAndPrefabIds.md</x:v>
      </x:c>
      <x:c r="G77" s="26"/>
      <x:c r="H77" s="26"/>
      <x:c r="I77" s="26" t="str">
        <x:v>Solo si cambia la decisión</x:v>
      </x:c>
      <x:c r="J77" s="26" t="str">
        <x:v>f32e2b4b274522d03df3c1c08084d86114a19dbe15fa2b3008c217943e2ff11a</x:v>
      </x:c>
      <x:c r="K77" s="26"/>
    </x:row>
    <x:row r="78" ht="30" customHeight="1">
      <x:c r="A78" s="26" t="str">
        <x:v>ADR-0073</x:v>
      </x:c>
      <x:c r="B78" s="26" t="n">
        <x:v>16</x:v>
      </x:c>
      <x:c r="C78" s="26" t="str">
        <x:v>ADR-0073 — Completed checkout snapshot records</x:v>
      </x:c>
      <x:c r="D78" s="26" t="str">
        <x:v>Accepted</x:v>
      </x:c>
      <x:c r="E78" s="26"/>
      <x:c r="F78" s="26" t="str">
        <x:v>Documentation/10_Development_Records/Sprint_16/Phase_1/Architecture/ADR-0073-CompletedCheckoutSnapshotRecords.md</x:v>
      </x:c>
      <x:c r="G78" s="26"/>
      <x:c r="H78" s="26"/>
      <x:c r="I78" s="26" t="str">
        <x:v>Solo si cambia la decisión</x:v>
      </x:c>
      <x:c r="J78" s="26" t="str">
        <x:v>7d401e745e557c63167dae48cd0f4b05b1d08f5c58a2e652b4321925fc35caa7</x:v>
      </x:c>
      <x:c r="K78" s="26"/>
    </x:row>
    <x:row r="79">
      <x:c r="A79" t="str">
        <x:v>ADR-0074</x:v>
      </x:c>
      <x:c r="B79" t="n">
        <x:v>17</x:v>
      </x:c>
      <x:c r="C79" t="str">
        <x:v>ADR-0074 — Día H6 y velocidades</x:v>
      </x:c>
      <x:c r="D79" t="str">
        <x:v>Accepted</x:v>
      </x:c>
      <x:c r="E79" t="str">
        <x:v>Tiempo / UX</x:v>
      </x:c>
      <x:c r="F79" t="str">
        <x:v>13_Trazabilidad_y_Control_de_Cambios.xlsx / 14_Project_Binder_Indice_Maestro.md</x:v>
      </x:c>
      <x:c r="G79"/>
      <x:c r="H79" t="str">
        <x:v>Día H6 configurable de 300 s; velocidades x0,5, x1, x2 y x4; PauseService independiente.</x:v>
      </x:c>
      <x:c r="I79" t="str">
        <x:v>Revisar tras W1</x:v>
      </x:c>
      <x:c r="J79"/>
      <x:c r="K79" t="str">
        <x:v>DEC-01; W0 2026-07-07; implementación pendiente</x:v>
      </x:c>
    </x:row>
    <x:row r="80">
      <x:c r="A80" t="str">
        <x:v>ADR-0075</x:v>
      </x:c>
      <x:c r="B80" t="n">
        <x:v>17</x:v>
      </x:c>
      <x:c r="C80" t="str">
        <x:v>ADR-0075 — Autoridad temporal única</x:v>
      </x:c>
      <x:c r="D80" t="str">
        <x:v>Accepted</x:v>
      </x:c>
      <x:c r="E80" t="str">
        <x:v>Arquitectura / Tiempo</x:v>
      </x:c>
      <x:c r="F80" t="str">
        <x:v>13_Trazabilidad_y_Control_de_Cambios.xlsx / 14_Project_Binder_Indice_Maestro.md</x:v>
      </x:c>
      <x:c r="G80"/>
      <x:c r="H80" t="str">
        <x:v>SimulationClock / StoreDay es la única autoridad de tiempo de negocio; PauseService separado.</x:v>
      </x:c>
      <x:c r="I80" t="str">
        <x:v>Revisar tras W1</x:v>
      </x:c>
      <x:c r="J80"/>
      <x:c r="K80" t="str">
        <x:v>DEC-02; W0 2026-07-07; implementación pendiente</x:v>
      </x:c>
    </x:row>
    <x:row r="81">
      <x:c r="A81" t="str">
        <x:v>ADR-0076</x:v>
      </x:c>
      <x:c r="B81" t="n">
        <x:v>17</x:v>
      </x:c>
      <x:c r="C81" t="str">
        <x:v>ADR-0076 — Guardado manual seguro</x:v>
      </x:c>
      <x:c r="D81" t="str">
        <x:v>Accepted</x:v>
      </x:c>
      <x:c r="E81" t="str">
        <x:v>Persistencia / UX</x:v>
      </x:c>
      <x:c r="F81" t="str">
        <x:v>13_Trazabilidad_y_Control_de_Cambios.xlsx / 14_Project_Binder_Indice_Maestro.md</x:v>
      </x:c>
      <x:c r="G81"/>
      <x:c r="H81" t="str">
        <x:v>Guardado desde pausa solo en BeforeOpen, Closed o Results y sin mutaciones pendientes; mid-day exacto Post-H6.</x:v>
      </x:c>
      <x:c r="I81" t="str">
        <x:v>Revisar tras W5</x:v>
      </x:c>
      <x:c r="J81"/>
      <x:c r="K81" t="str">
        <x:v>DEC-03; W0 2026-07-07; implementación pendiente</x:v>
      </x:c>
    </x:row>
    <x:row r="82">
      <x:c r="A82" t="str">
        <x:v>ADR-0077</x:v>
      </x:c>
      <x:c r="B82" t="n">
        <x:v>17</x:v>
      </x:c>
      <x:c r="C82" t="str">
        <x:v>ADR-0077 — Checkout requerido para abrir</x:v>
      </x:c>
      <x:c r="D82" t="str">
        <x:v>Accepted</x:v>
      </x:c>
      <x:c r="E82" t="str">
        <x:v>Checkout / Día</x:v>
      </x:c>
      <x:c r="F82" t="str">
        <x:v>13_Trazabilidad_y_Control_de_Cambios.xlsx / 14_Project_Binder_Indice_Maestro.md</x:v>
      </x:c>
      <x:c r="G82"/>
      <x:c r="H82" t="str">
        <x:v>Checkout funcional obligatorio; no retirar el último durante Open; invalidación bloquea spawn y fuerza recuperación/cierre.</x:v>
      </x:c>
      <x:c r="I82" t="str">
        <x:v>Revisar tras W2</x:v>
      </x:c>
      <x:c r="J82"/>
      <x:c r="K82" t="str">
        <x:v>DEC-04; W0 2026-07-07; implementación pendiente</x:v>
      </x:c>
    </x:row>
    <x:row r="83">
      <x:c r="A83" t="str">
        <x:v>ADR-0078</x:v>
      </x:c>
      <x:c r="B83" t="n">
        <x:v>17</x:v>
      </x:c>
      <x:c r="C83" t="str">
        <x:v>ADR-0078 — Máximo de clientes H6</x:v>
      </x:c>
      <x:c r="D83" t="str">
        <x:v>Accepted</x:v>
      </x:c>
      <x:c r="E83" t="str">
        <x:v>Clientes / Rendimiento</x:v>
      </x:c>
      <x:c r="F83" t="str">
        <x:v>13_Trazabilidad_y_Control_de_Cambios.xlsx / 14_Project_Binder_Indice_Maestro.md</x:v>
      </x:c>
      <x:c r="G83"/>
      <x:c r="H83" t="str">
        <x:v>Máximo configurable de 8 clientes activos; activo significa estado distinto de Despawned.</x:v>
      </x:c>
      <x:c r="I83" t="str">
        <x:v>Revisar tras W2</x:v>
      </x:c>
      <x:c r="J83"/>
      <x:c r="K83" t="str">
        <x:v>DEC-05; W0 2026-07-07; implementación pendiente</x:v>
      </x:c>
    </x:row>
    <x:row r="84">
      <x:c r="A84" t="str">
        <x:v>ADR-0079</x:v>
      </x:c>
      <x:c r="B84" t="n">
        <x:v>17</x:v>
      </x:c>
      <x:c r="C84" t="str">
        <x:v>ADR-0079 — Reserva y coste de recepción</x:v>
      </x:c>
      <x:c r="D84" t="str">
        <x:v>Accepted</x:v>
      </x:c>
      <x:c r="E84" t="str">
        <x:v>Pedidos / Economía</x:v>
      </x:c>
      <x:c r="F84" t="str">
        <x:v>13_Trazabilidad_y_Control_de_Cambios.xlsx / 14_Project_Binder_Indice_Maestro.md</x:v>
      </x:c>
      <x:c r="G84"/>
      <x:c r="H84" t="str">
        <x:v>Solicitud reserva fondos; recepción descuenta caja, registra SupplierReceivingCost y añade stock exactamente una vez.</x:v>
      </x:c>
      <x:c r="I84" t="str">
        <x:v>Revisar tras W3</x:v>
      </x:c>
      <x:c r="J84"/>
      <x:c r="K84" t="str">
        <x:v>DEC-06; W0 2026-07-07; implementación pendiente</x:v>
      </x:c>
    </x:row>
    <x:row r="85">
      <x:c r="A85" t="str">
        <x:v>ADR-0080</x:v>
      </x:c>
      <x:c r="B85" t="n">
        <x:v>17</x:v>
      </x:c>
      <x:c r="C85" t="str">
        <x:v>ADR-0080 — Process All atómico</x:v>
      </x:c>
      <x:c r="D85" t="str">
        <x:v>Accepted</x:v>
      </x:c>
      <x:c r="E85" t="str">
        <x:v>Pedidos / Economía</x:v>
      </x:c>
      <x:c r="F85" t="str">
        <x:v>13_Trazabilidad_y_Control_de_Cambios.xlsx / 14_Project_Binder_Indice_Maestro.md</x:v>
      </x:c>
      <x:c r="G85"/>
      <x:c r="H85" t="str">
        <x:v>Process All es todo-o-nada, reserva el total, crea un DeliveryRun y mantiene órdenes independientes.</x:v>
      </x:c>
      <x:c r="I85" t="str">
        <x:v>Revisar tras W3</x:v>
      </x:c>
      <x:c r="J85"/>
      <x:c r="K85" t="str">
        <x:v>DEC-07; W0 2026-07-07; implementación pendiente</x:v>
      </x:c>
    </x:row>
    <x:row r="86">
      <x:c r="A86" t="str">
        <x:v>ADR-0081</x:v>
      </x:c>
      <x:c r="B86" t="n">
        <x:v>17</x:v>
      </x:c>
      <x:c r="C86" t="str">
        <x:v>ADR-0081 — Displays monoproducto H6</x:v>
      </x:c>
      <x:c r="D86" t="str">
        <x:v>Accepted</x:v>
      </x:c>
      <x:c r="E86" t="str">
        <x:v>Displays / Inventario</x:v>
      </x:c>
      <x:c r="F86" t="str">
        <x:v>13_Trazabilidad_y_Control_de_Cambios.xlsx / 14_Project_Binder_Indice_Maestro.md</x:v>
      </x:c>
      <x:c r="G86"/>
      <x:c r="H86" t="str">
        <x:v>Displays monoproducto hasta H6; cantidades, retirada, retorno y clear-empty obligatorios; multiproducto Post-H6.</x:v>
      </x:c>
      <x:c r="I86" t="str">
        <x:v>Revisar tras W4</x:v>
      </x:c>
      <x:c r="J86"/>
      <x:c r="K86" t="str">
        <x:v>DEC-08; W0 2026-07-07; implementación pendiente</x:v>
      </x:c>
    </x:row>
    <x:row r="87">
      <x:c r="A87" t="str">
        <x:v>ADR-0082</x:v>
      </x:c>
      <x:c r="B87" t="n">
        <x:v>17</x:v>
      </x:c>
      <x:c r="C87" t="str">
        <x:v>ADR-0082 — Histórico de Management</x:v>
      </x:c>
      <x:c r="D87" t="str">
        <x:v>Accepted</x:v>
      </x:c>
      <x:c r="E87" t="str">
        <x:v>Management / Datos</x:v>
      </x:c>
      <x:c r="F87" t="str">
        <x:v>13_Trazabilidad_y_Control_de_Cambios.xlsx / 14_Project_Binder_Indice_Maestro.md</x:v>
      </x:c>
      <x:c r="G87"/>
      <x:c r="H87" t="str">
        <x:v>Día actual + dos completados con detalle; DailySummary individual para días anteriores y acumulados lifetime.</x:v>
      </x:c>
      <x:c r="I87" t="str">
        <x:v>Revisar tras W6</x:v>
      </x:c>
      <x:c r="J87"/>
      <x:c r="K87" t="str">
        <x:v>DEC-09; W0 2026-07-07; implementación pendiente</x:v>
      </x:c>
    </x:row>
    <x:row r="88">
      <x:c r="A88" t="str">
        <x:v>ADR-0083</x:v>
      </x:c>
      <x:c r="B88" t="n">
        <x:v>17</x:v>
      </x:c>
      <x:c r="C88" t="str">
        <x:v>ADR-0083 — Impuesto semanal H6</x:v>
      </x:c>
      <x:c r="D88" t="str">
        <x:v>Accepted</x:v>
      </x:c>
      <x:c r="E88" t="str">
        <x:v>Economía / Ledger</x:v>
      </x:c>
      <x:c r="F88" t="str">
        <x:v>13_Trazabilidad_y_Control_de_Cambios.xlsx / 14_Project_Binder_Indice_Maestro.md</x:v>
      </x:c>
      <x:c r="G88"/>
      <x:c r="H88" t="str">
        <x:v>Al cierre del día 7: 10 % de max(0, resultado bruto técnico semanal), exactamente una vez; costes fijos Post-H6.</x:v>
      </x:c>
      <x:c r="I88" t="str">
        <x:v>Revisar tras W3</x:v>
      </x:c>
      <x:c r="J88"/>
      <x:c r="K88" t="str">
        <x:v>DEC-10; W0 2026-07-07; implementación pendiente</x:v>
      </x:c>
    </x:row>
    <x:row r="89">
      <x:c r="A89" t="str">
        <x:v>ADR-0084</x:v>
      </x:c>
      <x:c r="B89" t="n">
        <x:v>17</x:v>
      </x:c>
      <x:c r="C89" t="str">
        <x:v>ADR-0084 — Wall occlusion desactivada</x:v>
      </x:c>
      <x:c r="D89" t="str">
        <x:v>Accepted</x:v>
      </x:c>
      <x:c r="E89" t="str">
        <x:v>Cámara / Settings</x:v>
      </x:c>
      <x:c r="F89" t="str">
        <x:v>13_Trazabilidad_y_Control_de_Cambios.xlsx / 14_Project_Binder_Indice_Maestro.md</x:v>
      </x:c>
      <x:c r="G89"/>
      <x:c r="H89" t="str">
        <x:v>Feature flag prioritaria false; toggle oculto; valores antiguos migrados o ignorados; regresión de cámara.</x:v>
      </x:c>
      <x:c r="I89" t="str">
        <x:v>Revisar tras W7</x:v>
      </x:c>
      <x:c r="J89"/>
      <x:c r="K89" t="str">
        <x:v>DEC-11; W0 2026-07-07; implementación pendiente</x:v>
      </x:c>
    </x:row>
    <x:row r="90">
      <x:c r="A90" t="str">
        <x:v>ADR-0085</x:v>
      </x:c>
      <x:c r="B90" t="n">
        <x:v>17</x:v>
      </x:c>
      <x:c r="C90" t="str">
        <x:v>ADR-0085 — Pivotes y GroundAnchor</x:v>
      </x:c>
      <x:c r="D90" t="str">
        <x:v>Accepted</x:v>
      </x:c>
      <x:c r="E90" t="str">
        <x:v>Arte / Placement</x:v>
      </x:c>
      <x:c r="F90" t="str">
        <x:v>13_Trazabilidad_y_Control_de_Cambios.xlsx / 14_Project_Binder_Indice_Maestro.md</x:v>
      </x:c>
      <x:c r="G90"/>
      <x:c r="H90" t="str">
        <x:v>Contrato base-centro con wrapper o GroundAnchor y migración/compensación única; preservar escenas y saves.</x:v>
      </x:c>
      <x:c r="I90" t="str">
        <x:v>Revisar tras W7</x:v>
      </x:c>
      <x:c r="J90"/>
      <x:c r="K90" t="str">
        <x:v>DEC-12; W0 2026-07-07; implementación pendiente</x:v>
      </x:c>
    </x:row>
    <x:row r="91">
      <x:c r="A91" s="24" t="str">
        <x:v>ADR-0086</x:v>
      </x:c>
      <x:c r="B91" t="n">
        <x:v>17</x:v>
      </x:c>
      <x:c r="C91" t="str">
        <x:v>ADR-0086 — Reloj global continuo y proyección virtual de 24 horas</x:v>
      </x:c>
      <x:c r="D91" t="str">
        <x:v>Accepted / Implemented Candidate</x:v>
      </x:c>
      <x:c r="E91" t="str">
        <x:v>Tiempo / UX / Persistencia</x:v>
      </x:c>
      <x:c r="F91" t="str">
        <x:v>Documentation/02_Technical_and_Engineering/Architecture_Decisions/ADR-0086_Reloj_Global_Continuo_y_Proyeccion_24h.md</x:v>
      </x:c>
      <x:c r="G91" t="str">
        <x:v>Complementa ADR-0074 y ADR-0075; absorbe S17-MOD-001</x:v>
      </x:c>
      <x:c r="H91" t="str">
        <x:v>Reloj único 00:00–24:00, HH:mm, avance en todos los estados salvo pausa y velocidad efectiva coherente.</x:v>
      </x:c>
      <x:c r="I91" t="str">
        <x:v>Validar tras paquete S17-MOD-002-010</x:v>
      </x:c>
      <x:c r="J91" t="str">
        <x:v>bc35f844b8a13a07787605d55aa31027a54e77600d437517bbcdb82e15ea07c8</x:v>
      </x:c>
      <x:c r="K91" t="str">
        <x:v>S17-MOD-006/007; implementación candidata pendiente de EditMode, PlayMode y build.</x:v>
      </x:c>
    </x:row>
    <x:row r="92">
      <x:c r="A92" s="24" t="str">
        <x:v>ADR-0087</x:v>
      </x:c>
      <x:c r="B92" t="n">
        <x:v>17</x:v>
      </x:c>
      <x:c r="C92" t="str">
        <x:v>ADR-0087 — Ventana comercial y aperturas múltiples dentro del mismo día</x:v>
      </x:c>
      <x:c r="D92" t="str">
        <x:v>Accepted / Implemented Candidate</x:v>
      </x:c>
      <x:c r="E92" t="str">
        <x:v>Día / Clientes / Economía</x:v>
      </x:c>
      <x:c r="F92" t="str">
        <x:v>Documentation/02_Technical_and_Engineering/Architecture_Decisions/ADR-0087_Ventana_Comercial_y_Aperturas_Multiples.md</x:v>
      </x:c>
      <x:c r="G92" t="str">
        <x:v>Complementa ADR-0074, ADR-0075 y ADR-0077</x:v>
      </x:c>
      <x:c r="H92" t="str">
        <x:v>Aperturas múltiples 08:00–22:00, cierre controlado desde 22:00 y liquidación diaria única a 24:00.</x:v>
      </x:c>
      <x:c r="I92" t="str">
        <x:v>Validar tras paquete S17-MOD-002-010</x:v>
      </x:c>
      <x:c r="J92" t="str">
        <x:v>4bf4297b2dbc2fff56e12a0c6c8aea64dc89577b05ed6970c2b7e995680c8444</x:v>
      </x:c>
      <x:c r="K92" t="str">
        <x:v>S17-MOD-008; implementación candidata pendiente de regresión completa.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52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</x:cols>
  <x:sheetData>
    <x:row r="1" ht="28" customHeight="1">
      <x:c r="A1" s="47" t="str">
        <x:v>Commits y procedencia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32" customHeight="1">
      <x:c r="A2" s="51" t="str">
        <x:v>Commits históricos; asociación final a commit/tag durante el freeze definitivo.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4" ht="30" customHeight="1">
      <x:c r="A4" s="56" t="str">
        <x:v>Commit</x:v>
      </x:c>
      <x:c r="B4" s="56" t="str">
        <x:v>Fecha</x:v>
      </x:c>
      <x:c r="C4" s="56" t="str">
        <x:v>Sprint</x:v>
      </x:c>
      <x:c r="D4" s="56" t="str">
        <x:v>Versión</x:v>
      </x:c>
      <x:c r="E4" s="56" t="str">
        <x:v>Mensaje</x:v>
      </x:c>
      <x:c r="F4" s="56" t="str">
        <x:v>Estado</x:v>
      </x:c>
      <x:c r="G4" s="56" t="str">
        <x:v>Fuente</x:v>
      </x:c>
      <x:c r="H4" s="56" t="str">
        <x:v>Build ID</x:v>
      </x:c>
      <x:c r="I4" s="56" t="str">
        <x:v>Baseline</x:v>
      </x:c>
      <x:c r="J4" s="56" t="str">
        <x:v>Notas</x:v>
      </x:c>
    </x:row>
    <x:row r="5" ht="30" customHeight="1">
      <x:c r="A5" s="26" t="str">
        <x:v>478794017015054571d6ca22332a201589abbe5c</x:v>
      </x:c>
      <x:c r="B5" s="26"/>
      <x:c r="C5" s="26" t="str">
        <x:v>Sprint 0 technical</x:v>
      </x:c>
      <x:c r="D5" s="26" t="str">
        <x:v>0.0.1</x:v>
      </x:c>
      <x:c r="E5" s="26" t="str">
        <x:v>foundation closure</x:v>
      </x:c>
      <x:c r="F5" s="26" t="str">
        <x:v>Published</x:v>
      </x:c>
      <x:c r="G5" s="26" t="str">
        <x:v>Tracker histórico</x:v>
      </x:c>
      <x:c r="H5" s="26"/>
      <x:c r="I5" s="26"/>
      <x:c r="J5" s="26"/>
    </x:row>
    <x:row r="6" ht="30" customHeight="1">
      <x:c r="A6" s="26" t="str">
        <x:v>9574dc217fd56ff8c867c04724ae2db23cf85f99</x:v>
      </x:c>
      <x:c r="B6" s="26"/>
      <x:c r="C6" s="26" t="str">
        <x:v>Baseline v0.4</x:v>
      </x:c>
      <x:c r="D6" s="26" t="str">
        <x:v>0.0.1</x:v>
      </x:c>
      <x:c r="E6" s="26" t="str">
        <x:v>publish documentation baseline v0.4</x:v>
      </x:c>
      <x:c r="F6" s="26" t="str">
        <x:v>Published</x:v>
      </x:c>
      <x:c r="G6" s="26" t="str">
        <x:v>Tracker histórico</x:v>
      </x:c>
      <x:c r="H6" s="26"/>
      <x:c r="I6" s="26"/>
      <x:c r="J6" s="26"/>
    </x:row>
    <x:row r="7" ht="30" customHeight="1">
      <x:c r="A7" s="26" t="str">
        <x:v>c55b5d04a150c2fc452e37ff0fc5be3f9633e80d</x:v>
      </x:c>
      <x:c r="B7" s="26"/>
      <x:c r="C7" s="26" t="str">
        <x:v>Sprint 2 technical</x:v>
      </x:c>
      <x:c r="D7" s="26" t="str">
        <x:v>0.0.3</x:v>
      </x:c>
      <x:c r="E7" s="26" t="str">
        <x:v>save skeleton</x:v>
      </x:c>
      <x:c r="F7" s="26" t="str">
        <x:v>Published</x:v>
      </x:c>
      <x:c r="G7" s="26" t="str">
        <x:v>Tracker histórico</x:v>
      </x:c>
      <x:c r="H7" s="26"/>
      <x:c r="I7" s="26"/>
      <x:c r="J7" s="26"/>
    </x:row>
    <x:row r="8" ht="30" customHeight="1">
      <x:c r="A8" s="26" t="str">
        <x:v>fe3f83ce9d52ded6944f4b57b3b0b6724ceeb7a6</x:v>
      </x:c>
      <x:c r="B8" s="26"/>
      <x:c r="C8" s="26" t="str">
        <x:v>Sprint 3 technical</x:v>
      </x:c>
      <x:c r="D8" s="26" t="str">
        <x:v>0.0.4</x:v>
      </x:c>
      <x:c r="E8" s="26" t="str">
        <x:v>input integration closure</x:v>
      </x:c>
      <x:c r="F8" s="26" t="str">
        <x:v>Published</x:v>
      </x:c>
      <x:c r="G8" s="26" t="str">
        <x:v>Tracker histórico</x:v>
      </x:c>
      <x:c r="H8" s="26"/>
      <x:c r="I8" s="26"/>
      <x:c r="J8" s="26"/>
    </x:row>
    <x:row r="9" ht="30" customHeight="1">
      <x:c r="A9" s="26" t="str">
        <x:v>bcf8cdd309d89570b5b58a0735154b4863e2aebc</x:v>
      </x:c>
      <x:c r="B9" s="26"/>
      <x:c r="C9" s="26" t="str">
        <x:v>Sprint 4 technical</x:v>
      </x:c>
      <x:c r="D9" s="26" t="str">
        <x:v>0.0.5</x:v>
      </x:c>
      <x:c r="E9" s="26" t="str">
        <x:v>finalize placement foundation</x:v>
      </x:c>
      <x:c r="F9" s="26" t="str">
        <x:v>Published</x:v>
      </x:c>
      <x:c r="G9" s="26" t="str">
        <x:v>Tracker histórico</x:v>
      </x:c>
      <x:c r="H9" s="26"/>
      <x:c r="I9" s="26"/>
      <x:c r="J9" s="26"/>
    </x:row>
    <x:row r="10" ht="30" customHeight="1">
      <x:c r="A10" s="26" t="str">
        <x:v>e09196b24307122015b718c1d7400061eca4c711</x:v>
      </x:c>
      <x:c r="B10" s="26"/>
      <x:c r="C10" s="26" t="str">
        <x:v>Sprint 4 docs</x:v>
      </x:c>
      <x:c r="D10" s="26" t="str">
        <x:v>0.0.5</x:v>
      </x:c>
      <x:c r="E10" s="26" t="str">
        <x:v>close Sprint 4</x:v>
      </x:c>
      <x:c r="F10" s="26" t="str">
        <x:v>Published</x:v>
      </x:c>
      <x:c r="G10" s="26" t="str">
        <x:v>Tracker histórico</x:v>
      </x:c>
      <x:c r="H10" s="26"/>
      <x:c r="I10" s="26"/>
      <x:c r="J10" s="26"/>
    </x:row>
    <x:row r="11" ht="30" customHeight="1">
      <x:c r="A11" s="26" t="str">
        <x:v>22d62967aaf9895db7bce75afd2ffa11f7858e0c</x:v>
      </x:c>
      <x:c r="B11" s="26"/>
      <x:c r="C11" s="26" t="str">
        <x:v>Sprint 5 technical</x:v>
      </x:c>
      <x:c r="D11" s="26" t="str">
        <x:v>0.0.6</x:v>
      </x:c>
      <x:c r="E11" s="26" t="str">
        <x:v>finalize Store foundation</x:v>
      </x:c>
      <x:c r="F11" s="26" t="str">
        <x:v>Published</x:v>
      </x:c>
      <x:c r="G11" s="26" t="str">
        <x:v>Tracker histórico</x:v>
      </x:c>
      <x:c r="H11" s="26"/>
      <x:c r="I11" s="26"/>
      <x:c r="J11" s="26"/>
    </x:row>
    <x:row r="12" ht="30" customHeight="1">
      <x:c r="A12" s="26" t="str">
        <x:v>b650aa5968ecfc9ebe63fc308b0dc8ea2cafae57</x:v>
      </x:c>
      <x:c r="B12" s="26"/>
      <x:c r="C12" s="26" t="str">
        <x:v>Sprint 5 docs</x:v>
      </x:c>
      <x:c r="D12" s="26" t="str">
        <x:v>0.0.6</x:v>
      </x:c>
      <x:c r="E12" s="26" t="str">
        <x:v>close Sprint 5</x:v>
      </x:c>
      <x:c r="F12" s="26" t="str">
        <x:v>Published</x:v>
      </x:c>
      <x:c r="G12" s="26" t="str">
        <x:v>Tracker histórico</x:v>
      </x:c>
      <x:c r="H12" s="26"/>
      <x:c r="I12" s="26"/>
      <x:c r="J12" s="26"/>
    </x:row>
    <x:row r="13" ht="30" customHeight="1">
      <x:c r="A13" s="26" t="str">
        <x:v>9acb74af4946c9a2f889d9e2b9180700ff3807d1</x:v>
      </x:c>
      <x:c r="B13" s="26"/>
      <x:c r="C13" s="26"/>
      <x:c r="D13" s="26"/>
      <x:c r="E13" s="26"/>
      <x:c r="F13" s="26" t="str">
        <x:v>Published</x:v>
      </x:c>
      <x:c r="G13" s="26" t="str">
        <x:v>Documentation/00_Official_Baseline/v0.5/06_Development_Records/Sprints/Sprint_03/Governance/ADR-0012_Scene_Driven_Input_Contexts.md</x:v>
      </x:c>
      <x:c r="H13" s="26"/>
      <x:c r="I13" s="26"/>
      <x:c r="J13" s="26" t="str">
        <x:v>SHA citado en documentación.</x:v>
      </x:c>
    </x:row>
    <x:row r="14" ht="30" customHeight="1">
      <x:c r="A14" s="26" t="str">
        <x:v>f5a03fb986c241b3062f989524cf0b5737c0b32a</x:v>
      </x:c>
      <x:c r="B14" s="26"/>
      <x:c r="C14" s="26"/>
      <x:c r="D14" s="26"/>
      <x:c r="E14" s="26"/>
      <x:c r="F14" s="26" t="str">
        <x:v>Published</x:v>
      </x:c>
      <x:c r="G14" s="26" t="str">
        <x:v>Documentation/00_Official_Baseline/v0.5/06_Development_Records/Sprints/Sprint_03/Governance/ADR-0013_Direct_Planar_Click_To_Move_Foundation.md</x:v>
      </x:c>
      <x:c r="H14" s="26"/>
      <x:c r="I14" s="26"/>
      <x:c r="J14" s="26" t="str">
        <x:v>SHA citado en documentación.</x:v>
      </x:c>
    </x:row>
    <x:row r="15" ht="30" customHeight="1">
      <x:c r="A15" s="26" t="str">
        <x:v>a4e56e7b16f16c385a350cf3078f2e70f280a45f</x:v>
      </x:c>
      <x:c r="B15" s="26"/>
      <x:c r="C15" s="26"/>
      <x:c r="D15" s="26"/>
      <x:c r="E15" s="26"/>
      <x:c r="F15" s="26" t="str">
        <x:v>Published</x:v>
      </x:c>
      <x:c r="G15" s="26" t="str">
        <x:v>Documentation/00_Official_Baseline/v0.5/06_Development_Records/Sprints/Sprint_03/Governance/ADR-0014_Orbit_Zoom_Follow_Camera.md</x:v>
      </x:c>
      <x:c r="H15" s="26"/>
      <x:c r="I15" s="26"/>
      <x:c r="J15" s="26" t="str">
        <x:v>SHA citado en documentación.</x:v>
      </x:c>
    </x:row>
    <x:row r="16" ht="30" customHeight="1">
      <x:c r="A16" s="26" t="str">
        <x:v>7acbdd7e3860238f5a4961f8f17537cd6c505231</x:v>
      </x:c>
      <x:c r="B16" s="26"/>
      <x:c r="C16" s="26"/>
      <x:c r="D16" s="26"/>
      <x:c r="E16" s="26"/>
      <x:c r="F16" s="26" t="str">
        <x:v>Published</x:v>
      </x:c>
      <x:c r="G16" s="26" t="str">
        <x:v>Documentation/00_Official_Baseline/v0.5/06_Development_Records/Sprints/Sprint_05/QA/S5.1_Validation_Checklist.md</x:v>
      </x:c>
      <x:c r="H16" s="26"/>
      <x:c r="I16" s="26"/>
      <x:c r="J16" s="26" t="str">
        <x:v>SHA citado en documentación.</x:v>
      </x:c>
    </x:row>
    <x:row r="17" ht="30" customHeight="1">
      <x:c r="A17" s="26" t="str">
        <x:v>3b4d33698dd4f71c8499960887a39cfb43a414e9</x:v>
      </x:c>
      <x:c r="B17" s="26"/>
      <x:c r="C17" s="26"/>
      <x:c r="D17" s="26"/>
      <x:c r="E17" s="26"/>
      <x:c r="F17" s="26" t="str">
        <x:v>Published</x:v>
      </x:c>
      <x:c r="G17" s="26" t="str">
        <x:v>Documentation/00_Official_Baseline/v0.5/06_Development_Records/Sprints/Sprint_05/QA/S5.2_Validation_Checklist.md</x:v>
      </x:c>
      <x:c r="H17" s="26"/>
      <x:c r="I17" s="26"/>
      <x:c r="J17" s="26" t="str">
        <x:v>SHA citado en documentación.</x:v>
      </x:c>
    </x:row>
    <x:row r="18" ht="30" customHeight="1">
      <x:c r="A18" s="26" t="str">
        <x:v>0c71fd1c622d86947483a12455ff83fb9585665b</x:v>
      </x:c>
      <x:c r="B18" s="26"/>
      <x:c r="C18" s="26"/>
      <x:c r="D18" s="26"/>
      <x:c r="E18" s="26"/>
      <x:c r="F18" s="26" t="str">
        <x:v>Published</x:v>
      </x:c>
      <x:c r="G18" s="26" t="str">
        <x:v>Documentation/00_Official_Baseline/v0.5/06_Development_Records/Sprints/Sprint_05/QA/S5.3_Validation_Checklist.md</x:v>
      </x:c>
      <x:c r="H18" s="26"/>
      <x:c r="I18" s="26"/>
      <x:c r="J18" s="26" t="str">
        <x:v>SHA citado en documentación.</x:v>
      </x:c>
    </x:row>
    <x:row r="19" ht="30" customHeight="1">
      <x:c r="A19" s="26" t="str">
        <x:v>091090c43855b0b26b09abe9335d18b978ac7eab</x:v>
      </x:c>
      <x:c r="B19" s="26"/>
      <x:c r="C19" s="26"/>
      <x:c r="D19" s="26"/>
      <x:c r="E19" s="26"/>
      <x:c r="F19" s="26" t="str">
        <x:v>Published</x:v>
      </x:c>
      <x:c r="G19" s="26" t="str">
        <x:v>Documentation/00_Official_Baseline/v0.6/00_Project_Governance/Enfoque_v0.8.md</x:v>
      </x:c>
      <x:c r="H19" s="26"/>
      <x:c r="I19" s="26"/>
      <x:c r="J19" s="26" t="str">
        <x:v>SHA citado en documentación.</x:v>
      </x:c>
    </x:row>
    <x:row r="20" ht="30" customHeight="1">
      <x:c r="A20" s="26" t="str">
        <x:v>d54316c771aab2143993e99b9fd58f2f88016568</x:v>
      </x:c>
      <x:c r="B20" s="26"/>
      <x:c r="C20" s="26"/>
      <x:c r="D20" s="26"/>
      <x:c r="E20" s="26"/>
      <x:c r="F20" s="26" t="str">
        <x:v>Published</x:v>
      </x:c>
      <x:c r="G20" s="26" t="str">
        <x:v>Documentation/00_Official_Baseline/v0.6/00_Project_Governance/Enfoque_v0.8.md</x:v>
      </x:c>
      <x:c r="H20" s="26"/>
      <x:c r="I20" s="26"/>
      <x:c r="J20" s="26" t="str">
        <x:v>SHA citado en documentación.</x:v>
      </x:c>
    </x:row>
    <x:row r="21" ht="30" customHeight="1">
      <x:c r="A21" s="26" t="str">
        <x:v>dad686c0ebefbba01afbcca994fdc769011e65a6</x:v>
      </x:c>
      <x:c r="B21" s="26"/>
      <x:c r="C21" s="26"/>
      <x:c r="D21" s="26"/>
      <x:c r="E21" s="26"/>
      <x:c r="F21" s="26" t="str">
        <x:v>Published</x:v>
      </x:c>
      <x:c r="G21" s="26" t="str">
        <x:v>Documentation/00_Official_Baseline/v0.6/06_Development_Records/Historical/Sprints_00_15_Consolidated_Closure_Ledger.md</x:v>
      </x:c>
      <x:c r="H21" s="26"/>
      <x:c r="I21" s="26"/>
      <x:c r="J21" s="26" t="str">
        <x:v>SHA citado en documentación.</x:v>
      </x:c>
    </x:row>
    <x:row r="22" ht="30" customHeight="1">
      <x:c r="A22" s="26" t="str">
        <x:v>b997377eae720e960c02ee5dce53da8b37f66b19</x:v>
      </x:c>
      <x:c r="B22" s="26"/>
      <x:c r="C22" s="26"/>
      <x:c r="D22" s="26"/>
      <x:c r="E22" s="26"/>
      <x:c r="F22" s="26" t="str">
        <x:v>Published</x:v>
      </x:c>
      <x:c r="G22" s="26" t="str">
        <x:v>Documentation/00_Official_Baseline/v0.6/06_Development_Records/Historical/Sprints_00_15_Consolidated_Closure_Ledger.md</x:v>
      </x:c>
      <x:c r="H22" s="26"/>
      <x:c r="I22" s="26"/>
      <x:c r="J22" s="26" t="str">
        <x:v>SHA citado en documentación.</x:v>
      </x:c>
    </x:row>
    <x:row r="23" ht="30" customHeight="1">
      <x:c r="A23" s="26" t="str">
        <x:v>409b7fe8653aa12ece7d484eb414172e1ed38f70</x:v>
      </x:c>
      <x:c r="B23" s="26"/>
      <x:c r="C23" s="26"/>
      <x:c r="D23" s="26"/>
      <x:c r="E23" s="26"/>
      <x:c r="F23" s="26" t="str">
        <x:v>Published</x:v>
      </x:c>
      <x:c r="G23" s="26" t="str">
        <x:v>Documentation/00_Official_Baseline/v0.6/06_Development_Records/Historical/Sprints_00_15_Consolidated_Closure_Ledger.md</x:v>
      </x:c>
      <x:c r="H23" s="26"/>
      <x:c r="I23" s="26"/>
      <x:c r="J23" s="26" t="str">
        <x:v>SHA citado en documentación.</x:v>
      </x:c>
    </x:row>
    <x:row r="24" ht="30" customHeight="1">
      <x:c r="A24" s="26" t="str">
        <x:v>b8ddf15356c73cd7d0c88a32805f0c6ee4058422</x:v>
      </x:c>
      <x:c r="B24" s="26"/>
      <x:c r="C24" s="26"/>
      <x:c r="D24" s="26"/>
      <x:c r="E24" s="26"/>
      <x:c r="F24" s="26" t="str">
        <x:v>Published</x:v>
      </x:c>
      <x:c r="G24" s="26" t="str">
        <x:v>Documentation/00_Official_Baseline/v0.6/06_Development_Records/Historical/Sprints_00_15_Consolidated_Closure_Ledger.md</x:v>
      </x:c>
      <x:c r="H24" s="26"/>
      <x:c r="I24" s="26"/>
      <x:c r="J24" s="26" t="str">
        <x:v>SHA citado en documentación.</x:v>
      </x:c>
    </x:row>
    <x:row r="25" ht="30" customHeight="1">
      <x:c r="A25" s="26" t="str">
        <x:v>f91c8fda6c1ff1ff9e811717b05fc8fa427707e6</x:v>
      </x:c>
      <x:c r="B25" s="26"/>
      <x:c r="C25" s="26"/>
      <x:c r="D25" s="26"/>
      <x:c r="E25" s="26"/>
      <x:c r="F25" s="26" t="str">
        <x:v>Published</x:v>
      </x:c>
      <x:c r="G25" s="26" t="str">
        <x:v>Documentation/00_Official_Baseline/v0.6/06_Development_Records/Historical/Sprints_00_15_Consolidated_Closure_Ledger.md</x:v>
      </x:c>
      <x:c r="H25" s="26"/>
      <x:c r="I25" s="26"/>
      <x:c r="J25" s="26" t="str">
        <x:v>SHA citado en documentación.</x:v>
      </x:c>
    </x:row>
    <x:row r="26" ht="30" customHeight="1">
      <x:c r="A26" s="26" t="str">
        <x:v>08ec92ba97f4070399f01023c32f49327a951712</x:v>
      </x:c>
      <x:c r="B26" s="26"/>
      <x:c r="C26" s="26"/>
      <x:c r="D26" s="26"/>
      <x:c r="E26" s="26"/>
      <x:c r="F26" s="26" t="str">
        <x:v>Published</x:v>
      </x:c>
      <x:c r="G26" s="26" t="str">
        <x:v>Documentation/00_Official_Baseline/v0.6/06_Development_Records/Historical/Sprints_00_15_Consolidated_Closure_Ledger.md</x:v>
      </x:c>
      <x:c r="H26" s="26"/>
      <x:c r="I26" s="26"/>
      <x:c r="J26" s="26" t="str">
        <x:v>SHA citado en documentación.</x:v>
      </x:c>
    </x:row>
    <x:row r="27" ht="30" customHeight="1">
      <x:c r="A27" s="26" t="str">
        <x:v>2d6b846120dc86536c19c12d07e5b515f7baa8fd</x:v>
      </x:c>
      <x:c r="B27" s="26"/>
      <x:c r="C27" s="26"/>
      <x:c r="D27" s="26"/>
      <x:c r="E27" s="26"/>
      <x:c r="F27" s="26" t="str">
        <x:v>Published</x:v>
      </x:c>
      <x:c r="G27" s="26" t="str">
        <x:v>Documentation/00_Official_Baseline/v0.6/06_Development_Records/Historical/Sprints_00_15_Consolidated_Closure_Ledger.md</x:v>
      </x:c>
      <x:c r="H27" s="26"/>
      <x:c r="I27" s="26"/>
      <x:c r="J27" s="26" t="str">
        <x:v>SHA citado en documentación.</x:v>
      </x:c>
    </x:row>
    <x:row r="28" ht="30" customHeight="1">
      <x:c r="A28" s="26" t="str">
        <x:v>5a9b80cdce3d6d619d64932838d0b0d7d77bb66d</x:v>
      </x:c>
      <x:c r="B28" s="26"/>
      <x:c r="C28" s="26"/>
      <x:c r="D28" s="26"/>
      <x:c r="E28" s="26"/>
      <x:c r="F28" s="26" t="str">
        <x:v>Published</x:v>
      </x:c>
      <x:c r="G28" s="26" t="str">
        <x:v>Documentation/00_Official_Baseline/v0.6/06_Development_Records/Historical/Sprints_00_15_Consolidated_Closure_Ledger.md</x:v>
      </x:c>
      <x:c r="H28" s="26"/>
      <x:c r="I28" s="26"/>
      <x:c r="J28" s="26" t="str">
        <x:v>SHA citado en documentación.</x:v>
      </x:c>
    </x:row>
    <x:row r="29" ht="30" customHeight="1">
      <x:c r="A29" s="26" t="str">
        <x:v>ebaf05d81a9ea18959413fd3bf25169a437c3435</x:v>
      </x:c>
      <x:c r="B29" s="26"/>
      <x:c r="C29" s="26"/>
      <x:c r="D29" s="26"/>
      <x:c r="E29" s="26"/>
      <x:c r="F29" s="26" t="str">
        <x:v>Published</x:v>
      </x:c>
      <x:c r="G29" s="26" t="str">
        <x:v>Documentation/00_Official_Baseline/v0.6/06_Development_Records/Historical/Sprints_00_15_Consolidated_Closure_Ledger.md</x:v>
      </x:c>
      <x:c r="H29" s="26"/>
      <x:c r="I29" s="26"/>
      <x:c r="J29" s="26" t="str">
        <x:v>SHA citado en documentación.</x:v>
      </x:c>
    </x:row>
    <x:row r="30" ht="30" customHeight="1">
      <x:c r="A30" s="26" t="str">
        <x:v>fb116945e359838c2175eed46ebb9c48aa6aecb3</x:v>
      </x:c>
      <x:c r="B30" s="26"/>
      <x:c r="C30" s="26"/>
      <x:c r="D30" s="26"/>
      <x:c r="E30" s="26"/>
      <x:c r="F30" s="26" t="str">
        <x:v>Published</x:v>
      </x:c>
      <x:c r="G30" s="26" t="str">
        <x:v>Documentation/00_Official_Baseline/v0.6/06_Development_Records/Historical/Sprints_00_15_Consolidated_Closure_Ledger.md</x:v>
      </x:c>
      <x:c r="H30" s="26"/>
      <x:c r="I30" s="26"/>
      <x:c r="J30" s="26" t="str">
        <x:v>SHA citado en documentación.</x:v>
      </x:c>
    </x:row>
    <x:row r="31" ht="30" customHeight="1">
      <x:c r="A31" s="26" t="str">
        <x:v>04264a362e33c6b823a51f82434b38d879c3dae1</x:v>
      </x:c>
      <x:c r="B31" s="26"/>
      <x:c r="C31" s="26"/>
      <x:c r="D31" s="26"/>
      <x:c r="E31" s="26"/>
      <x:c r="F31" s="26" t="str">
        <x:v>Published</x:v>
      </x:c>
      <x:c r="G31" s="26" t="str">
        <x:v>Documentation/10_Development_Records/Builds/S0.9_Windows_Development_Build_Record.md</x:v>
      </x:c>
      <x:c r="H31" s="26"/>
      <x:c r="I31" s="26"/>
      <x:c r="J31" s="26" t="str">
        <x:v>SHA citado en documentación.</x:v>
      </x:c>
    </x:row>
    <x:row r="32" ht="30" customHeight="1">
      <x:c r="A32" s="26" t="str">
        <x:v>e1998dffe52d0d4191abe3f8bda3b577d84bdb04</x:v>
      </x:c>
      <x:c r="B32" s="26"/>
      <x:c r="C32" s="26"/>
      <x:c r="D32" s="26"/>
      <x:c r="E32" s="26"/>
      <x:c r="F32" s="26" t="str">
        <x:v>Published</x:v>
      </x:c>
      <x:c r="G32" s="26" t="str">
        <x:v>Documentation/10_Development_Records/Builds/S0.9_Windows_Development_Build_Record.md</x:v>
      </x:c>
      <x:c r="H32" s="26"/>
      <x:c r="I32" s="26"/>
      <x:c r="J32" s="26" t="str">
        <x:v>SHA citado en documentación.</x:v>
      </x:c>
    </x:row>
    <x:row r="33" ht="30" customHeight="1">
      <x:c r="A33" s="26" t="str">
        <x:v>7f32381d94af98f283fa0cb26b4cbf5b0ba84fe9</x:v>
      </x:c>
      <x:c r="B33" s="26"/>
      <x:c r="C33" s="26"/>
      <x:c r="D33" s="26"/>
      <x:c r="E33" s="26"/>
      <x:c r="F33" s="26" t="str">
        <x:v>Published</x:v>
      </x:c>
      <x:c r="G33" s="26" t="str">
        <x:v>Documentation/10_Development_Records/Documentation_Audit_Sprint_00.md</x:v>
      </x:c>
      <x:c r="H33" s="26"/>
      <x:c r="I33" s="26"/>
      <x:c r="J33" s="26" t="str">
        <x:v>SHA citado en documentación.</x:v>
      </x:c>
    </x:row>
    <x:row r="34" ht="30" customHeight="1">
      <x:c r="A34" s="26" t="str">
        <x:v>1cc30ad69a2c093a8e1e0686451302689eb632bb</x:v>
      </x:c>
      <x:c r="B34" s="26"/>
      <x:c r="C34" s="26"/>
      <x:c r="D34" s="26"/>
      <x:c r="E34" s="26"/>
      <x:c r="F34" s="26" t="str">
        <x:v>Published</x:v>
      </x:c>
      <x:c r="G34" s="26" t="str">
        <x:v>Documentation/10_Development_Records/Sprints/Sprint_00/S0.5_Project_and_Documentation_Structure.md</x:v>
      </x:c>
      <x:c r="H34" s="26"/>
      <x:c r="I34" s="26"/>
      <x:c r="J34" s="26" t="str">
        <x:v>SHA citado en documentación.</x:v>
      </x:c>
    </x:row>
    <x:row r="35" ht="30" customHeight="1">
      <x:c r="A35" s="26" t="str">
        <x:v>31a77be358a3b8e9268cd69abb02a1f52d429fbd</x:v>
      </x:c>
      <x:c r="B35" s="26"/>
      <x:c r="C35" s="26"/>
      <x:c r="D35" s="26"/>
      <x:c r="E35" s="26"/>
      <x:c r="F35" s="26" t="str">
        <x:v>Published</x:v>
      </x:c>
      <x:c r="G35" s="26" t="str">
        <x:v>Documentation/10_Development_Records/Sprints/Sprint_00/S0.6D_Validation_Checklist.md</x:v>
      </x:c>
      <x:c r="H35" s="26"/>
      <x:c r="I35" s="26"/>
      <x:c r="J35" s="26" t="str">
        <x:v>SHA citado en documentación.</x:v>
      </x:c>
    </x:row>
    <x:row r="36" ht="30" customHeight="1">
      <x:c r="A36" s="26" t="str">
        <x:v>72af6f82cc4458c716d751f5846075bfe47aa093</x:v>
      </x:c>
      <x:c r="B36" s="26"/>
      <x:c r="C36" s="26"/>
      <x:c r="D36" s="26"/>
      <x:c r="E36" s="26"/>
      <x:c r="F36" s="26" t="str">
        <x:v>Published</x:v>
      </x:c>
      <x:c r="G36" s="26" t="str">
        <x:v>Documentation/10_Development_Records/Sprints/Sprint_00/S0.7_Closure_Record.md</x:v>
      </x:c>
      <x:c r="H36" s="26"/>
      <x:c r="I36" s="26"/>
      <x:c r="J36" s="26" t="str">
        <x:v>SHA citado en documentación.</x:v>
      </x:c>
    </x:row>
    <x:row r="37" ht="30" customHeight="1">
      <x:c r="A37" s="26" t="str">
        <x:v>6416ca107509dd81428575ff9400215022bc7610</x:v>
      </x:c>
      <x:c r="B37" s="26"/>
      <x:c r="C37" s="26"/>
      <x:c r="D37" s="26"/>
      <x:c r="E37" s="26"/>
      <x:c r="F37" s="26" t="str">
        <x:v>Published</x:v>
      </x:c>
      <x:c r="G37" s="26" t="str">
        <x:v>Documentation/10_Development_Records/Sprints/Sprint_00/S0.7_Closure_Record.md</x:v>
      </x:c>
      <x:c r="H37" s="26"/>
      <x:c r="I37" s="26"/>
      <x:c r="J37" s="26" t="str">
        <x:v>SHA citado en documentación.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64" hidden="0" customWidth="1"/>
    <x:col min="16" max="16" width="18" hidden="0" customWidth="1"/>
    <x:col min="17" max="17" width="54" hidden="0" customWidth="1"/>
  </x:cols>
  <x:sheetData>
    <x:row r="1" ht="28" customHeight="1">
      <x:c r="A1" s="47" t="str">
        <x:v>Builds y artefactos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</x:row>
    <x:row r="2" ht="32" customHeight="1">
      <x:c r="A2" s="51" t="str">
        <x:v>Registros históricos y candidatos de 31 con integridad, tests, logs, manifest y estado.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</x:row>
    <x:row r="4" ht="30" customHeight="1">
      <x:c r="A4" s="56" t="str">
        <x:v>Build ID</x:v>
      </x:c>
      <x:c r="B4" s="56" t="str">
        <x:v>Versión</x:v>
      </x:c>
      <x:c r="C4" s="56" t="str">
        <x:v>SHA/Commit</x:v>
      </x:c>
      <x:c r="D4" s="56" t="str">
        <x:v>Plataforma</x:v>
      </x:c>
      <x:c r="E4" s="56" t="str">
        <x:v>Tipo</x:v>
      </x:c>
      <x:c r="F4" s="56" t="str">
        <x:v>Sprint/Hito</x:v>
      </x:c>
      <x:c r="G4" s="56" t="str">
        <x:v>Estado</x:v>
      </x:c>
      <x:c r="H4" s="56" t="str">
        <x:v>Escenas</x:v>
      </x:c>
      <x:c r="I4" s="56" t="str">
        <x:v>Tests</x:v>
      </x:c>
      <x:c r="J4" s="56" t="str">
        <x:v>Golden Path</x:v>
      </x:c>
      <x:c r="K4" s="56" t="str">
        <x:v>Player.log</x:v>
      </x:c>
      <x:c r="L4" s="56" t="str">
        <x:v>Checksum</x:v>
      </x:c>
      <x:c r="M4" s="56" t="str">
        <x:v>Artefacto</x:v>
      </x:c>
      <x:c r="N4" s="56" t="str">
        <x:v>Fecha</x:v>
      </x:c>
      <x:c r="O4" s="56" t="str">
        <x:v>Known Issues</x:v>
      </x:c>
      <x:c r="P4" s="56" t="str">
        <x:v>Fuente</x:v>
      </x:c>
      <x:c r="Q4" s="56" t="str">
        <x:v>Notas</x:v>
      </x:c>
    </x:row>
    <x:row r="5" ht="30" customHeight="1">
      <x:c r="A5" s="26" t="str">
        <x:v>BLD-S00</x:v>
      </x:c>
      <x:c r="B5" s="26" t="str">
        <x:v>0.0.1</x:v>
      </x:c>
      <x:c r="C5" s="26"/>
      <x:c r="D5" s="26" t="str">
        <x:v>Windows x64</x:v>
      </x:c>
      <x:c r="E5" s="26" t="str">
        <x:v>Development</x:v>
      </x:c>
      <x:c r="F5" s="26" t="str">
        <x:v>Sprint 0</x:v>
      </x:c>
      <x:c r="G5" s="26" t="str">
        <x:v>PASS</x:v>
      </x:c>
      <x:c r="H5" s="26" t="str">
        <x:v>Bootstrap;MainMenu;Store;TestLab</x:v>
      </x:c>
      <x:c r="I5" s="26" t="str">
        <x:v>Historical PASS</x:v>
      </x:c>
      <x:c r="J5" s="26" t="str">
        <x:v>PASS/Applicable</x:v>
      </x:c>
      <x:c r="K5" s="26" t="str">
        <x:v>Reviewed/Recorded where gate required</x:v>
      </x:c>
      <x:c r="L5" s="26"/>
      <x:c r="M5" s="26" t="str">
        <x:v>Local or retained per phase policy</x:v>
      </x:c>
      <x:c r="N5" s="26"/>
      <x:c r="O5" s="26"/>
      <x:c r="P5" s="26" t="str">
        <x:v>12_Excel_Maestro_de_Produccion.xlsx</x:v>
      </x:c>
      <x:c r="Q5" s="26" t="str">
        <x:v>Historical accepted build/evidence.</x:v>
      </x:c>
    </x:row>
    <x:row r="6" ht="30" customHeight="1">
      <x:c r="A6" s="26" t="str">
        <x:v>BLD-S01</x:v>
      </x:c>
      <x:c r="B6" s="26" t="str">
        <x:v>0.0.2</x:v>
      </x:c>
      <x:c r="C6" s="26"/>
      <x:c r="D6" s="26" t="str">
        <x:v>Windows x64</x:v>
      </x:c>
      <x:c r="E6" s="26" t="str">
        <x:v>Development</x:v>
      </x:c>
      <x:c r="F6" s="26" t="str">
        <x:v>Sprint 1</x:v>
      </x:c>
      <x:c r="G6" s="26" t="str">
        <x:v>PASS</x:v>
      </x:c>
      <x:c r="H6" s="26" t="str">
        <x:v>Bootstrap;MainMenu;Store;TestLab</x:v>
      </x:c>
      <x:c r="I6" s="26" t="str">
        <x:v>Historical PASS</x:v>
      </x:c>
      <x:c r="J6" s="26" t="str">
        <x:v>PASS/Applicable</x:v>
      </x:c>
      <x:c r="K6" s="26" t="str">
        <x:v>Reviewed/Recorded where gate required</x:v>
      </x:c>
      <x:c r="L6" s="26"/>
      <x:c r="M6" s="26" t="str">
        <x:v>Local or retained per phase policy</x:v>
      </x:c>
      <x:c r="N6" s="26"/>
      <x:c r="O6" s="26"/>
      <x:c r="P6" s="26" t="str">
        <x:v>12_Excel_Maestro_de_Produccion.xlsx</x:v>
      </x:c>
      <x:c r="Q6" s="26" t="str">
        <x:v>Historical accepted build/evidence.</x:v>
      </x:c>
    </x:row>
    <x:row r="7" ht="30" customHeight="1">
      <x:c r="A7" s="26" t="str">
        <x:v>BLD-S02</x:v>
      </x:c>
      <x:c r="B7" s="26" t="str">
        <x:v>0.0.3</x:v>
      </x:c>
      <x:c r="C7" s="26"/>
      <x:c r="D7" s="26" t="str">
        <x:v>Windows x64</x:v>
      </x:c>
      <x:c r="E7" s="26" t="str">
        <x:v>Development</x:v>
      </x:c>
      <x:c r="F7" s="26" t="str">
        <x:v>Sprint 2</x:v>
      </x:c>
      <x:c r="G7" s="26" t="str">
        <x:v>PASS</x:v>
      </x:c>
      <x:c r="H7" s="26" t="str">
        <x:v>Bootstrap;MainMenu;Store;TestLab</x:v>
      </x:c>
      <x:c r="I7" s="26" t="str">
        <x:v>Historical PASS</x:v>
      </x:c>
      <x:c r="J7" s="26" t="str">
        <x:v>PASS/Applicable</x:v>
      </x:c>
      <x:c r="K7" s="26" t="str">
        <x:v>Reviewed/Recorded where gate required</x:v>
      </x:c>
      <x:c r="L7" s="26"/>
      <x:c r="M7" s="26" t="str">
        <x:v>Local or retained per phase policy</x:v>
      </x:c>
      <x:c r="N7" s="26"/>
      <x:c r="O7" s="26"/>
      <x:c r="P7" s="26" t="str">
        <x:v>12_Excel_Maestro_de_Produccion.xlsx</x:v>
      </x:c>
      <x:c r="Q7" s="26" t="str">
        <x:v>Historical accepted build/evidence.</x:v>
      </x:c>
    </x:row>
    <x:row r="8" ht="30" customHeight="1">
      <x:c r="A8" s="26" t="str">
        <x:v>BLD-S03</x:v>
      </x:c>
      <x:c r="B8" s="26" t="str">
        <x:v>0.0.4</x:v>
      </x:c>
      <x:c r="C8" s="26"/>
      <x:c r="D8" s="26" t="str">
        <x:v>Windows x64</x:v>
      </x:c>
      <x:c r="E8" s="26" t="str">
        <x:v>Development</x:v>
      </x:c>
      <x:c r="F8" s="26" t="str">
        <x:v>Sprint 3</x:v>
      </x:c>
      <x:c r="G8" s="26" t="str">
        <x:v>PASS</x:v>
      </x:c>
      <x:c r="H8" s="26" t="str">
        <x:v>Bootstrap;MainMenu;Store;TestLab</x:v>
      </x:c>
      <x:c r="I8" s="26" t="str">
        <x:v>Historical PASS</x:v>
      </x:c>
      <x:c r="J8" s="26" t="str">
        <x:v>PASS/Applicable</x:v>
      </x:c>
      <x:c r="K8" s="26" t="str">
        <x:v>Reviewed/Recorded where gate required</x:v>
      </x:c>
      <x:c r="L8" s="26"/>
      <x:c r="M8" s="26" t="str">
        <x:v>Local or retained per phase policy</x:v>
      </x:c>
      <x:c r="N8" s="26"/>
      <x:c r="O8" s="26"/>
      <x:c r="P8" s="26" t="str">
        <x:v>12_Excel_Maestro_de_Produccion.xlsx</x:v>
      </x:c>
      <x:c r="Q8" s="26" t="str">
        <x:v>Historical accepted build/evidence.</x:v>
      </x:c>
    </x:row>
    <x:row r="9" ht="30" customHeight="1">
      <x:c r="A9" s="26" t="str">
        <x:v>BLD-S04</x:v>
      </x:c>
      <x:c r="B9" s="26" t="str">
        <x:v>0.0.5</x:v>
      </x:c>
      <x:c r="C9" s="26"/>
      <x:c r="D9" s="26" t="str">
        <x:v>Windows x64</x:v>
      </x:c>
      <x:c r="E9" s="26" t="str">
        <x:v>Development</x:v>
      </x:c>
      <x:c r="F9" s="26" t="str">
        <x:v>Sprint 4</x:v>
      </x:c>
      <x:c r="G9" s="26" t="str">
        <x:v>PASS</x:v>
      </x:c>
      <x:c r="H9" s="26" t="str">
        <x:v>Bootstrap;MainMenu;Store;TestLab</x:v>
      </x:c>
      <x:c r="I9" s="26" t="str">
        <x:v>Historical PASS</x:v>
      </x:c>
      <x:c r="J9" s="26" t="str">
        <x:v>PASS/Applicable</x:v>
      </x:c>
      <x:c r="K9" s="26" t="str">
        <x:v>Reviewed/Recorded where gate required</x:v>
      </x:c>
      <x:c r="L9" s="26"/>
      <x:c r="M9" s="26" t="str">
        <x:v>Local or retained per phase policy</x:v>
      </x:c>
      <x:c r="N9" s="26"/>
      <x:c r="O9" s="26"/>
      <x:c r="P9" s="26" t="str">
        <x:v>12_Excel_Maestro_de_Produccion.xlsx</x:v>
      </x:c>
      <x:c r="Q9" s="26" t="str">
        <x:v>Historical accepted build/evidence.</x:v>
      </x:c>
    </x:row>
    <x:row r="10" ht="30" customHeight="1">
      <x:c r="A10" s="26" t="str">
        <x:v>BLD-S05</x:v>
      </x:c>
      <x:c r="B10" s="26" t="str">
        <x:v>0.0.6</x:v>
      </x:c>
      <x:c r="C10" s="26"/>
      <x:c r="D10" s="26" t="str">
        <x:v>Windows x64</x:v>
      </x:c>
      <x:c r="E10" s="26" t="str">
        <x:v>Development</x:v>
      </x:c>
      <x:c r="F10" s="26" t="str">
        <x:v>Sprint 5</x:v>
      </x:c>
      <x:c r="G10" s="26" t="str">
        <x:v>PASS</x:v>
      </x:c>
      <x:c r="H10" s="26" t="str">
        <x:v>Bootstrap;MainMenu;Store;TestLab</x:v>
      </x:c>
      <x:c r="I10" s="26" t="str">
        <x:v>Historical PASS</x:v>
      </x:c>
      <x:c r="J10" s="26" t="str">
        <x:v>PASS/Applicable</x:v>
      </x:c>
      <x:c r="K10" s="26" t="str">
        <x:v>Reviewed/Recorded where gate required</x:v>
      </x:c>
      <x:c r="L10" s="26"/>
      <x:c r="M10" s="26" t="str">
        <x:v>Local or retained per phase policy</x:v>
      </x:c>
      <x:c r="N10" s="26"/>
      <x:c r="O10" s="26"/>
      <x:c r="P10" s="26" t="str">
        <x:v>12_Excel_Maestro_de_Produccion.xlsx</x:v>
      </x:c>
      <x:c r="Q10" s="26" t="str">
        <x:v>Historical accepted build/evidence.</x:v>
      </x:c>
    </x:row>
    <x:row r="11" ht="30" customHeight="1">
      <x:c r="A11" s="26" t="str">
        <x:v>BLD-S06</x:v>
      </x:c>
      <x:c r="B11" s="26" t="str">
        <x:v>0.0.7</x:v>
      </x:c>
      <x:c r="C11" s="26"/>
      <x:c r="D11" s="26" t="str">
        <x:v>Windows x64</x:v>
      </x:c>
      <x:c r="E11" s="26" t="str">
        <x:v>Development</x:v>
      </x:c>
      <x:c r="F11" s="26" t="str">
        <x:v>Sprint 6</x:v>
      </x:c>
      <x:c r="G11" s="26" t="str">
        <x:v>PASS</x:v>
      </x:c>
      <x:c r="H11" s="26" t="str">
        <x:v>Bootstrap;MainMenu;Store;TestLab</x:v>
      </x:c>
      <x:c r="I11" s="26" t="str">
        <x:v>Historical PASS</x:v>
      </x:c>
      <x:c r="J11" s="26" t="str">
        <x:v>PASS/Applicable</x:v>
      </x:c>
      <x:c r="K11" s="26" t="str">
        <x:v>Reviewed/Recorded where gate required</x:v>
      </x:c>
      <x:c r="L11" s="26"/>
      <x:c r="M11" s="26" t="str">
        <x:v>Local or retained per phase policy</x:v>
      </x:c>
      <x:c r="N11" s="26"/>
      <x:c r="O11" s="26"/>
      <x:c r="P11" s="26" t="str">
        <x:v>12_Excel_Maestro_de_Produccion.xlsx</x:v>
      </x:c>
      <x:c r="Q11" s="26" t="str">
        <x:v>Historical accepted build/evidence.</x:v>
      </x:c>
    </x:row>
    <x:row r="12" ht="30" customHeight="1">
      <x:c r="A12" s="26" t="str">
        <x:v>BLD-S07</x:v>
      </x:c>
      <x:c r="B12" s="26" t="str">
        <x:v>0.0.8</x:v>
      </x:c>
      <x:c r="C12" s="26"/>
      <x:c r="D12" s="26" t="str">
        <x:v>Windows x64</x:v>
      </x:c>
      <x:c r="E12" s="26" t="str">
        <x:v>Development</x:v>
      </x:c>
      <x:c r="F12" s="26" t="str">
        <x:v>Sprint 7</x:v>
      </x:c>
      <x:c r="G12" s="26" t="str">
        <x:v>PASS</x:v>
      </x:c>
      <x:c r="H12" s="26" t="str">
        <x:v>Bootstrap;MainMenu;Store;TestLab</x:v>
      </x:c>
      <x:c r="I12" s="26" t="str">
        <x:v>Historical PASS</x:v>
      </x:c>
      <x:c r="J12" s="26" t="str">
        <x:v>PASS/Applicable</x:v>
      </x:c>
      <x:c r="K12" s="26" t="str">
        <x:v>Reviewed/Recorded where gate required</x:v>
      </x:c>
      <x:c r="L12" s="26"/>
      <x:c r="M12" s="26" t="str">
        <x:v>Local or retained per phase policy</x:v>
      </x:c>
      <x:c r="N12" s="26"/>
      <x:c r="O12" s="26"/>
      <x:c r="P12" s="26" t="str">
        <x:v>12_Excel_Maestro_de_Produccion.xlsx</x:v>
      </x:c>
      <x:c r="Q12" s="26" t="str">
        <x:v>Historical accepted build/evidence.</x:v>
      </x:c>
    </x:row>
    <x:row r="13" ht="30" customHeight="1">
      <x:c r="A13" s="26" t="str">
        <x:v>BLD-S08</x:v>
      </x:c>
      <x:c r="B13" s="26" t="str">
        <x:v>0.0.9</x:v>
      </x:c>
      <x:c r="C13" s="26"/>
      <x:c r="D13" s="26" t="str">
        <x:v>Windows x64</x:v>
      </x:c>
      <x:c r="E13" s="26" t="str">
        <x:v>Development</x:v>
      </x:c>
      <x:c r="F13" s="26" t="str">
        <x:v>Sprint 8</x:v>
      </x:c>
      <x:c r="G13" s="26" t="str">
        <x:v>PASS</x:v>
      </x:c>
      <x:c r="H13" s="26" t="str">
        <x:v>Bootstrap;MainMenu;Store;TestLab</x:v>
      </x:c>
      <x:c r="I13" s="26" t="str">
        <x:v>Historical PASS</x:v>
      </x:c>
      <x:c r="J13" s="26" t="str">
        <x:v>PASS/Applicable</x:v>
      </x:c>
      <x:c r="K13" s="26" t="str">
        <x:v>Reviewed/Recorded where gate required</x:v>
      </x:c>
      <x:c r="L13" s="26"/>
      <x:c r="M13" s="26" t="str">
        <x:v>Local or retained per phase policy</x:v>
      </x:c>
      <x:c r="N13" s="26"/>
      <x:c r="O13" s="26"/>
      <x:c r="P13" s="26" t="str">
        <x:v>12_Excel_Maestro_de_Produccion.xlsx</x:v>
      </x:c>
      <x:c r="Q13" s="26" t="str">
        <x:v>Historical accepted build/evidence.</x:v>
      </x:c>
    </x:row>
    <x:row r="14" ht="30" customHeight="1">
      <x:c r="A14" s="26" t="str">
        <x:v>BLD-S09</x:v>
      </x:c>
      <x:c r="B14" s="26" t="str">
        <x:v>0.0.10</x:v>
      </x:c>
      <x:c r="C14" s="26"/>
      <x:c r="D14" s="26" t="str">
        <x:v>Windows x64</x:v>
      </x:c>
      <x:c r="E14" s="26" t="str">
        <x:v>Development</x:v>
      </x:c>
      <x:c r="F14" s="26" t="str">
        <x:v>Sprint 9</x:v>
      </x:c>
      <x:c r="G14" s="26" t="str">
        <x:v>PASS</x:v>
      </x:c>
      <x:c r="H14" s="26" t="str">
        <x:v>Bootstrap;MainMenu;Store;TestLab</x:v>
      </x:c>
      <x:c r="I14" s="26" t="str">
        <x:v>Historical PASS</x:v>
      </x:c>
      <x:c r="J14" s="26" t="str">
        <x:v>PASS/Applicable</x:v>
      </x:c>
      <x:c r="K14" s="26" t="str">
        <x:v>Reviewed/Recorded where gate required</x:v>
      </x:c>
      <x:c r="L14" s="26"/>
      <x:c r="M14" s="26" t="str">
        <x:v>Local or retained per phase policy</x:v>
      </x:c>
      <x:c r="N14" s="26"/>
      <x:c r="O14" s="26"/>
      <x:c r="P14" s="26" t="str">
        <x:v>12_Excel_Maestro_de_Produccion.xlsx</x:v>
      </x:c>
      <x:c r="Q14" s="26" t="str">
        <x:v>Historical accepted build/evidence.</x:v>
      </x:c>
    </x:row>
    <x:row r="15" ht="30" customHeight="1">
      <x:c r="A15" s="26" t="str">
        <x:v>BLD-S10</x:v>
      </x:c>
      <x:c r="B15" s="26" t="str">
        <x:v>0.0.11</x:v>
      </x:c>
      <x:c r="C15" s="26"/>
      <x:c r="D15" s="26" t="str">
        <x:v>Windows x64</x:v>
      </x:c>
      <x:c r="E15" s="26" t="str">
        <x:v>Development</x:v>
      </x:c>
      <x:c r="F15" s="26" t="str">
        <x:v>Sprint 10</x:v>
      </x:c>
      <x:c r="G15" s="26" t="str">
        <x:v>PASS</x:v>
      </x:c>
      <x:c r="H15" s="26" t="str">
        <x:v>Bootstrap;MainMenu;Store;TestLab</x:v>
      </x:c>
      <x:c r="I15" s="26" t="str">
        <x:v>Historical PASS</x:v>
      </x:c>
      <x:c r="J15" s="26" t="str">
        <x:v>PASS/Applicable</x:v>
      </x:c>
      <x:c r="K15" s="26" t="str">
        <x:v>Reviewed/Recorded where gate required</x:v>
      </x:c>
      <x:c r="L15" s="26"/>
      <x:c r="M15" s="26" t="str">
        <x:v>Local or retained per phase policy</x:v>
      </x:c>
      <x:c r="N15" s="26"/>
      <x:c r="O15" s="26"/>
      <x:c r="P15" s="26" t="str">
        <x:v>12_Excel_Maestro_de_Produccion.xlsx</x:v>
      </x:c>
      <x:c r="Q15" s="26" t="str">
        <x:v>Historical accepted build/evidence.</x:v>
      </x:c>
    </x:row>
    <x:row r="16" ht="30" customHeight="1">
      <x:c r="A16" s="26" t="str">
        <x:v>BLD-S11</x:v>
      </x:c>
      <x:c r="B16" s="26" t="str">
        <x:v>0.0.12</x:v>
      </x:c>
      <x:c r="C16" s="26"/>
      <x:c r="D16" s="26" t="str">
        <x:v>Windows x64</x:v>
      </x:c>
      <x:c r="E16" s="26" t="str">
        <x:v>Development</x:v>
      </x:c>
      <x:c r="F16" s="26" t="str">
        <x:v>Sprint 11</x:v>
      </x:c>
      <x:c r="G16" s="26" t="str">
        <x:v>PASS</x:v>
      </x:c>
      <x:c r="H16" s="26" t="str">
        <x:v>Bootstrap;MainMenu;Store;TestLab</x:v>
      </x:c>
      <x:c r="I16" s="26" t="str">
        <x:v>Historical PASS</x:v>
      </x:c>
      <x:c r="J16" s="26" t="str">
        <x:v>PASS/Applicable</x:v>
      </x:c>
      <x:c r="K16" s="26" t="str">
        <x:v>Reviewed/Recorded where gate required</x:v>
      </x:c>
      <x:c r="L16" s="26"/>
      <x:c r="M16" s="26" t="str">
        <x:v>Local or retained per phase policy</x:v>
      </x:c>
      <x:c r="N16" s="26"/>
      <x:c r="O16" s="26"/>
      <x:c r="P16" s="26" t="str">
        <x:v>12_Excel_Maestro_de_Produccion.xlsx</x:v>
      </x:c>
      <x:c r="Q16" s="26" t="str">
        <x:v>Historical accepted build/evidence.</x:v>
      </x:c>
    </x:row>
    <x:row r="17" ht="30" customHeight="1">
      <x:c r="A17" s="26" t="str">
        <x:v>BLD-S12</x:v>
      </x:c>
      <x:c r="B17" s="26" t="str">
        <x:v>0.0.13</x:v>
      </x:c>
      <x:c r="C17" s="26"/>
      <x:c r="D17" s="26" t="str">
        <x:v>Windows x64</x:v>
      </x:c>
      <x:c r="E17" s="26" t="str">
        <x:v>Development</x:v>
      </x:c>
      <x:c r="F17" s="26" t="str">
        <x:v>Sprint 12</x:v>
      </x:c>
      <x:c r="G17" s="26" t="str">
        <x:v>PASS</x:v>
      </x:c>
      <x:c r="H17" s="26" t="str">
        <x:v>Bootstrap;MainMenu;Store;TestLab</x:v>
      </x:c>
      <x:c r="I17" s="26" t="str">
        <x:v>Historical PASS</x:v>
      </x:c>
      <x:c r="J17" s="26" t="str">
        <x:v>PASS/Applicable</x:v>
      </x:c>
      <x:c r="K17" s="26" t="str">
        <x:v>Reviewed/Recorded where gate required</x:v>
      </x:c>
      <x:c r="L17" s="26"/>
      <x:c r="M17" s="26" t="str">
        <x:v>Local or retained per phase policy</x:v>
      </x:c>
      <x:c r="N17" s="26"/>
      <x:c r="O17" s="26"/>
      <x:c r="P17" s="26" t="str">
        <x:v>12_Excel_Maestro_de_Produccion.xlsx</x:v>
      </x:c>
      <x:c r="Q17" s="26" t="str">
        <x:v>Historical accepted build/evidence.</x:v>
      </x:c>
    </x:row>
    <x:row r="18" ht="30" customHeight="1">
      <x:c r="A18" s="26" t="str">
        <x:v>BLD-S13</x:v>
      </x:c>
      <x:c r="B18" s="26" t="str">
        <x:v>0.0.14</x:v>
      </x:c>
      <x:c r="C18" s="26"/>
      <x:c r="D18" s="26" t="str">
        <x:v>Windows x64</x:v>
      </x:c>
      <x:c r="E18" s="26" t="str">
        <x:v>Development</x:v>
      </x:c>
      <x:c r="F18" s="26" t="str">
        <x:v>Sprint 13</x:v>
      </x:c>
      <x:c r="G18" s="26" t="str">
        <x:v>PASS</x:v>
      </x:c>
      <x:c r="H18" s="26" t="str">
        <x:v>Bootstrap;MainMenu;Store;TestLab</x:v>
      </x:c>
      <x:c r="I18" s="26" t="str">
        <x:v>Historical PASS</x:v>
      </x:c>
      <x:c r="J18" s="26" t="str">
        <x:v>PASS/Applicable</x:v>
      </x:c>
      <x:c r="K18" s="26" t="str">
        <x:v>Reviewed/Recorded where gate required</x:v>
      </x:c>
      <x:c r="L18" s="26"/>
      <x:c r="M18" s="26" t="str">
        <x:v>Local or retained per phase policy</x:v>
      </x:c>
      <x:c r="N18" s="26"/>
      <x:c r="O18" s="26"/>
      <x:c r="P18" s="26" t="str">
        <x:v>12_Excel_Maestro_de_Produccion.xlsx</x:v>
      </x:c>
      <x:c r="Q18" s="26" t="str">
        <x:v>Historical accepted build/evidence.</x:v>
      </x:c>
    </x:row>
    <x:row r="19" ht="30" customHeight="1">
      <x:c r="A19" s="26" t="str">
        <x:v>BLD-S14</x:v>
      </x:c>
      <x:c r="B19" s="26" t="str">
        <x:v>0.0.15</x:v>
      </x:c>
      <x:c r="C19" s="26"/>
      <x:c r="D19" s="26" t="str">
        <x:v>Windows x64</x:v>
      </x:c>
      <x:c r="E19" s="26" t="str">
        <x:v>Development</x:v>
      </x:c>
      <x:c r="F19" s="26" t="str">
        <x:v>Sprint 14</x:v>
      </x:c>
      <x:c r="G19" s="26" t="str">
        <x:v>PASS</x:v>
      </x:c>
      <x:c r="H19" s="26" t="str">
        <x:v>Bootstrap;MainMenu;Store;TestLab</x:v>
      </x:c>
      <x:c r="I19" s="26" t="str">
        <x:v>Historical PASS</x:v>
      </x:c>
      <x:c r="J19" s="26" t="str">
        <x:v>PASS/Applicable</x:v>
      </x:c>
      <x:c r="K19" s="26" t="str">
        <x:v>Reviewed/Recorded where gate required</x:v>
      </x:c>
      <x:c r="L19" s="26"/>
      <x:c r="M19" s="26" t="str">
        <x:v>Local or retained per phase policy</x:v>
      </x:c>
      <x:c r="N19" s="26"/>
      <x:c r="O19" s="26"/>
      <x:c r="P19" s="26" t="str">
        <x:v>12_Excel_Maestro_de_Produccion.xlsx</x:v>
      </x:c>
      <x:c r="Q19" s="26" t="str">
        <x:v>Historical accepted build/evidence.</x:v>
      </x:c>
    </x:row>
    <x:row r="20" ht="30" customHeight="1">
      <x:c r="A20" s="26" t="str">
        <x:v>BLD-S15</x:v>
      </x:c>
      <x:c r="B20" s="26" t="str">
        <x:v>0.0.16</x:v>
      </x:c>
      <x:c r="C20" s="26"/>
      <x:c r="D20" s="26" t="str">
        <x:v>Windows x64</x:v>
      </x:c>
      <x:c r="E20" s="26" t="str">
        <x:v>Development</x:v>
      </x:c>
      <x:c r="F20" s="26" t="str">
        <x:v>Sprint 15</x:v>
      </x:c>
      <x:c r="G20" s="26" t="str">
        <x:v>PASS</x:v>
      </x:c>
      <x:c r="H20" s="26" t="str">
        <x:v>Bootstrap;MainMenu;Store;TestLab</x:v>
      </x:c>
      <x:c r="I20" s="26" t="str">
        <x:v>Historical PASS</x:v>
      </x:c>
      <x:c r="J20" s="26" t="str">
        <x:v>PASS/Applicable</x:v>
      </x:c>
      <x:c r="K20" s="26" t="str">
        <x:v>Reviewed/Recorded where gate required</x:v>
      </x:c>
      <x:c r="L20" s="26"/>
      <x:c r="M20" s="26" t="str">
        <x:v>Local or retained per phase policy</x:v>
      </x:c>
      <x:c r="N20" s="26"/>
      <x:c r="O20" s="26"/>
      <x:c r="P20" s="26" t="str">
        <x:v>12_Excel_Maestro_de_Produccion.xlsx</x:v>
      </x:c>
      <x:c r="Q20" s="26" t="str">
        <x:v>Historical accepted build/evidence.</x:v>
      </x:c>
    </x:row>
    <x:row r="21" ht="30" customHeight="1">
      <x:c r="A21" s="26" t="str">
        <x:v>BLD-016-PRE</x:v>
      </x:c>
      <x:c r="B21" s="26" t="str">
        <x:v>0.0.17</x:v>
      </x:c>
      <x:c r="C21" s="26" t="str">
        <x:v>091090c43855b0b26b09abe9335d18b978ac7eab</x:v>
      </x:c>
      <x:c r="D21" s="26" t="str">
        <x:v>Windows x64</x:v>
      </x:c>
      <x:c r="E21" s="26" t="str">
        <x:v>Development</x:v>
      </x:c>
      <x:c r="F21" s="26" t="str">
        <x:v>Sprint 16 pre-integración</x:v>
      </x:c>
      <x:c r="G21" s="26" t="str">
        <x:v>PASS</x:v>
      </x:c>
      <x:c r="H21" s="26" t="str">
        <x:v>Bootstrap;MainMenu;Store</x:v>
      </x:c>
      <x:c r="I21" s="26" t="str">
        <x:v>1215 EditMode + 70 PlayMode</x:v>
      </x:c>
      <x:c r="J21" s="26" t="str">
        <x:v>PASS previo</x:v>
      </x:c>
      <x:c r="K21" s="26" t="str">
        <x:v>Reviewed</x:v>
      </x:c>
      <x:c r="L21" s="26"/>
      <x:c r="M21" s="26" t="str">
        <x:v>Baseline previa</x:v>
      </x:c>
      <x:c r="N21" s="26" t="n">
        <x:v>46204</x:v>
      </x:c>
      <x:c r="O21" s="26" t="str">
        <x:v>StoreInitial no aprobado</x:v>
      </x:c>
      <x:c r="P21" s="26" t="str">
        <x:v>12_Excel_Maestro_de_Produccion.xlsx</x:v>
      </x:c>
      <x:c r="Q21" s="26" t="str">
        <x:v>No cierra Sprint 16.</x:v>
      </x:c>
    </x:row>
    <x:row r="22" ht="30" customHeight="1">
      <x:c r="A22" s="26" t="str">
        <x:v>BLD-016-POST</x:v>
      </x:c>
      <x:c r="B22" s="26" t="str">
        <x:v>0.0.21</x:v>
      </x:c>
      <x:c r="C22" s="26"/>
      <x:c r="D22" s="26" t="str">
        <x:v>Windows x64</x:v>
      </x:c>
      <x:c r="E22" s="26" t="str">
        <x:v>Development</x:v>
      </x:c>
      <x:c r="F22" s="26" t="str">
        <x:v>Sprint 16 post-integración</x:v>
      </x:c>
      <x:c r="G22" s="26" t="str">
        <x:v>PASS</x:v>
      </x:c>
      <x:c r="H22" s="26" t="str">
        <x:v>Bootstrap;MainMenu;StoreInitial</x:v>
      </x:c>
      <x:c r="I22" s="26" t="str">
        <x:v>EditMode PASS + PlayMode PASS</x:v>
      </x:c>
      <x:c r="J22" s="26" t="str">
        <x:v>PASS</x:v>
      </x:c>
      <x:c r="K22" s="26" t="str">
        <x:v>Reviewed / PASS</x:v>
      </x:c>
      <x:c r="L22" s="26" t="str">
        <x:v>Registrado externamente</x:v>
      </x:c>
      <x:c r="M22" s="26" t="str">
        <x:v>Build local de cierre; no versionar binarios</x:v>
      </x:c>
      <x:c r="N22" s="26" t="str">
        <x:v>2026-07-06</x:v>
      </x:c>
      <x:c r="O22" s="26" t="str">
        <x:v>Sin S0/S1 conocidos</x:v>
      </x:c>
      <x:c r="P22" s="26" t="str">
        <x:v>12 / 31 / validación del owner</x:v>
      </x:c>
      <x:c r="Q22" s="26" t="str">
        <x:v>Cierre formal Sprint 16; SHA exacto a leer del repositorio activo.</x:v>
      </x:c>
    </x:row>
    <x:row r="23" ht="30" customHeight="1">
      <x:c r="A23" s="26" t="str">
        <x:v>BLD-017-QA</x:v>
      </x:c>
      <x:c r="B23" s="26" t="str">
        <x:v>TBD</x:v>
      </x:c>
      <x:c r="C23" s="26"/>
      <x:c r="D23" s="26" t="str">
        <x:v>Windows x64</x:v>
      </x:c>
      <x:c r="E23" s="26" t="str">
        <x:v>QA</x:v>
      </x:c>
      <x:c r="F23" s="26" t="str">
        <x:v>Sprint 17</x:v>
      </x:c>
      <x:c r="G23" s="26" t="str">
        <x:v>PENDING</x:v>
      </x:c>
      <x:c r="H23" s="26" t="str">
        <x:v>Bootstrap;MainMenu;StoreInitial</x:v>
      </x:c>
      <x:c r="I23" s="26" t="str">
        <x:v>Full regression</x:v>
      </x:c>
      <x:c r="J23" s="26" t="str">
        <x:v>Required</x:v>
      </x:c>
      <x:c r="K23" s="26" t="str">
        <x:v>Required</x:v>
      </x:c>
      <x:c r="L23" s="26"/>
      <x:c r="M23" s="26" t="str">
        <x:v>Retained</x:v>
      </x:c>
      <x:c r="N23" s="26"/>
      <x:c r="O23" s="26"/>
      <x:c r="P23" s="26" t="str">
        <x:v>12_Excel_Maestro_de_Produccion.xlsx</x:v>
      </x:c>
      <x:c r="Q23" s="26" t="str">
        <x:v>Profiling y estabilización.</x:v>
      </x:c>
    </x:row>
    <x:row r="24" ht="30" customHeight="1">
      <x:c r="A24" s="26" t="str">
        <x:v>BLD-H6</x:v>
      </x:c>
      <x:c r="B24" s="26" t="str">
        <x:v>TBD</x:v>
      </x:c>
      <x:c r="C24" s="26"/>
      <x:c r="D24" s="26" t="str">
        <x:v>Windows x64</x:v>
      </x:c>
      <x:c r="E24" s="26" t="str">
        <x:v>H6 Candidate</x:v>
      </x:c>
      <x:c r="F24" s="26" t="str">
        <x:v>H6</x:v>
      </x:c>
      <x:c r="G24" s="26" t="str">
        <x:v>PENDING</x:v>
      </x:c>
      <x:c r="H24" s="26" t="str">
        <x:v>Bootstrap;MainMenu;StoreInitial</x:v>
      </x:c>
      <x:c r="I24" s="26" t="str">
        <x:v>Full regression</x:v>
      </x:c>
      <x:c r="J24" s="26" t="str">
        <x:v>PASS required</x:v>
      </x:c>
      <x:c r="K24" s="26" t="str">
        <x:v>Clean required</x:v>
      </x:c>
      <x:c r="L24" s="26" t="str">
        <x:v>Required</x:v>
      </x:c>
      <x:c r="M24" s="26" t="str">
        <x:v>ZIP + manifest</x:v>
      </x:c>
      <x:c r="N24" s="26"/>
      <x:c r="O24" s="26" t="str">
        <x:v>Frozen per candidate</x:v>
      </x:c>
      <x:c r="P24" s="26" t="str">
        <x:v>12_Excel_Maestro_de_Produccion.xlsx</x:v>
      </x:c>
      <x:c r="Q24" s="26" t="str">
        <x:v>Baseline candidata.</x:v>
      </x:c>
    </x:row>
    <x:row r="25" ht="30" customHeight="1">
      <x:c r="A25" s="26" t="str">
        <x:v>BLD-016-POST</x:v>
      </x:c>
      <x:c r="B25" s="26" t="str">
        <x:v>0.0.21</x:v>
      </x:c>
      <x:c r="C25" s="26" t="str">
        <x:v>Sprint 16</x:v>
      </x:c>
      <x:c r="D25" s="26" t="str">
        <x:v>Windows x64</x:v>
      </x:c>
      <x:c r="E25" s="26" t="str">
        <x:v>Development</x:v>
      </x:c>
      <x:c r="F25" s="26" t="str">
        <x:v>Sprint 16 post-integración</x:v>
      </x:c>
      <x:c r="G25" s="26" t="str">
        <x:v>PASS</x:v>
      </x:c>
      <x:c r="H25" s="26" t="str">
        <x:v>Bootstrap;MainMenu;StoreInitial</x:v>
      </x:c>
      <x:c r="I25" s="26" t="str">
        <x:v>EditMode PASS + PlayMode PASS</x:v>
      </x:c>
      <x:c r="J25" s="26" t="str">
        <x:v>PASS</x:v>
      </x:c>
      <x:c r="K25" s="26" t="str">
        <x:v>Reviewed / PASS</x:v>
      </x:c>
      <x:c r="L25" s="26" t="str">
        <x:v>Registrado externamente</x:v>
      </x:c>
      <x:c r="M25" s="26" t="str">
        <x:v>Build local de cierre; no versionar binarios</x:v>
      </x:c>
      <x:c r="N25" s="26" t="str">
        <x:v>2026-07-06</x:v>
      </x:c>
      <x:c r="O25" s="26" t="str">
        <x:v>Sin S0/S1 conocidos</x:v>
      </x:c>
      <x:c r="P25" s="26" t="str">
        <x:v>12 / 31 / validación del owner</x:v>
      </x:c>
      <x:c r="Q25" s="26" t="str">
        <x:v>Cierre formal Sprint 16; SHA exacto a leer del repositorio activo.</x:v>
      </x:c>
    </x:row>
    <x:row r="26" ht="30" customHeight="1">
      <x:c r="A26" s="26" t="str">
        <x:v>BLD-017-QA</x:v>
      </x:c>
      <x:c r="B26" s="26" t="str">
        <x:v>0.x-qa</x:v>
      </x:c>
      <x:c r="C26" s="26" t="str">
        <x:v>Sprint 17</x:v>
      </x:c>
      <x:c r="D26" s="26" t="str">
        <x:v>Windows x64 QA</x:v>
      </x:c>
      <x:c r="E26" s="26"/>
      <x:c r="F26" s="26"/>
      <x:c r="G26" s="26" t="str">
        <x:v>Unity 6000.3.18f1</x:v>
      </x:c>
      <x:c r="H26" s="26" t="str">
        <x:v>Windows_QA</x:v>
      </x:c>
      <x:c r="I26" s="26" t="str">
        <x:v>Bootstrap; MainMenu; StoreInitial; TestLab optional</x:v>
      </x:c>
      <x:c r="J26" s="26"/>
      <x:c r="K26" s="26" t="str">
        <x:v>Build/Engineering</x:v>
      </x:c>
      <x:c r="L26" s="26" t="str">
        <x:v>NOT RUN</x:v>
      </x:c>
      <x:c r="M26" s="26" t="str">
        <x:v>NOT REVIEWED</x:v>
      </x:c>
      <x:c r="N26" s="26" t="str">
        <x:v>MISSING</x:v>
      </x:c>
      <x:c r="O26" s="26"/>
      <x:c r="P26" s="26" t="str">
        <x:v>INCOMPLETE</x:v>
      </x:c>
      <x:c r="Q26" s="26" t="str">
        <x:v>Clean checkout=No; path=None; approver=QA/Production</x:v>
      </x:c>
    </x:row>
    <x:row r="27" ht="30" customHeight="1">
      <x:c r="A27" s="26" t="str">
        <x:v>BLD-H6</x:v>
      </x:c>
      <x:c r="B27" s="26" t="str">
        <x:v>0.x-h6</x:v>
      </x:c>
      <x:c r="C27" s="26" t="str">
        <x:v>H6</x:v>
      </x:c>
      <x:c r="D27" s="26" t="str">
        <x:v>Windows x64 H6 Candidate</x:v>
      </x:c>
      <x:c r="E27" s="26"/>
      <x:c r="F27" s="26"/>
      <x:c r="G27" s="26" t="str">
        <x:v>Unity 6000.3.18f1</x:v>
      </x:c>
      <x:c r="H27" s="26" t="str">
        <x:v>Windows_H6_Candidate</x:v>
      </x:c>
      <x:c r="I27" s="26" t="str">
        <x:v>Bootstrap; MainMenu; StoreInitial</x:v>
      </x:c>
      <x:c r="J27" s="26"/>
      <x:c r="K27" s="26" t="str">
        <x:v>Build/Engineering</x:v>
      </x:c>
      <x:c r="L27" s="26" t="str">
        <x:v>NOT RUN</x:v>
      </x:c>
      <x:c r="M27" s="26" t="str">
        <x:v>NOT REVIEWED</x:v>
      </x:c>
      <x:c r="N27" s="26" t="str">
        <x:v>MISSING</x:v>
      </x:c>
      <x:c r="O27" s="26"/>
      <x:c r="P27" s="26" t="str">
        <x:v>INCOMPLETE</x:v>
      </x:c>
      <x:c r="Q27" s="26" t="str">
        <x:v>Clean checkout=No; path=None; approver=All Discipline Leads</x:v>
      </x:c>
    </x:row>
    <x:row r="28" ht="30" customHeight="1">
      <x:c r="A28" s="26" t="str">
        <x:v>BLD-STEAM-RC1</x:v>
      </x:c>
      <x:c r="B28" s="26" t="str">
        <x:v>1.0.0-rc1</x:v>
      </x:c>
      <x:c r="C28" s="26" t="str">
        <x:v>Steam RC</x:v>
      </x:c>
      <x:c r="D28" s="26" t="str">
        <x:v>Steam Windows x64 RC</x:v>
      </x:c>
      <x:c r="E28" s="26"/>
      <x:c r="F28" s="26"/>
      <x:c r="G28" s="26" t="str">
        <x:v>Unity 6000.3.18f1</x:v>
      </x:c>
      <x:c r="H28" s="26" t="str">
        <x:v>Windows_Steam_RC</x:v>
      </x:c>
      <x:c r="I28" s="26" t="str">
        <x:v>Bootstrap; MainMenu; StoreInitial</x:v>
      </x:c>
      <x:c r="J28" s="26"/>
      <x:c r="K28" s="26" t="str">
        <x:v>Build/Steam</x:v>
      </x:c>
      <x:c r="L28" s="26" t="str">
        <x:v>NOT RUN</x:v>
      </x:c>
      <x:c r="M28" s="26" t="str">
        <x:v>NOT REVIEWED</x:v>
      </x:c>
      <x:c r="N28" s="26" t="str">
        <x:v>MISSING</x:v>
      </x:c>
      <x:c r="O28" s="26"/>
      <x:c r="P28" s="26" t="str">
        <x:v>PLANNED</x:v>
      </x:c>
      <x:c r="Q28" s="26" t="str">
        <x:v>Clean checkout=No; path=None; approver=Release Board</x:v>
      </x:c>
    </x:row>
    <x:row r="29" ht="30" customHeight="1">
      <x:c r="A29" s="26" t="str">
        <x:v>BLD-STEAM-ROLLBACK</x:v>
      </x:c>
      <x:c r="B29" s="26" t="str">
        <x:v>1.0.0-rollback</x:v>
      </x:c>
      <x:c r="C29" s="26" t="str">
        <x:v>Rollback</x:v>
      </x:c>
      <x:c r="D29" s="26" t="str">
        <x:v>Steam Windows x64 Rollback</x:v>
      </x:c>
      <x:c r="E29" s="26"/>
      <x:c r="F29" s="26"/>
      <x:c r="G29" s="26" t="str">
        <x:v>Unity 6000.3.18f1</x:v>
      </x:c>
      <x:c r="H29" s="26" t="str">
        <x:v>Windows_Steam_RC</x:v>
      </x:c>
      <x:c r="I29" s="26" t="str">
        <x:v>Approved previous stable scenes</x:v>
      </x:c>
      <x:c r="J29" s="26"/>
      <x:c r="K29" s="26" t="str">
        <x:v>Build/Steam</x:v>
      </x:c>
      <x:c r="L29" s="26" t="str">
        <x:v>NOT RUN</x:v>
      </x:c>
      <x:c r="M29" s="26" t="str">
        <x:v>NOT REVIEWED</x:v>
      </x:c>
      <x:c r="N29" s="26" t="str">
        <x:v>MISSING</x:v>
      </x:c>
      <x:c r="O29" s="26"/>
      <x:c r="P29" s="26" t="str">
        <x:v>PLANNED</x:v>
      </x:c>
      <x:c r="Q29" s="26" t="str">
        <x:v>Clean checkout=No; path=None; approver=Release Board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58" hidden="0" customWidth="1"/>
    <x:col min="4" max="4" width="18" hidden="0" customWidth="1"/>
    <x:col min="5" max="5" width="18" hidden="0" customWidth="1"/>
    <x:col min="6" max="6" width="18" hidden="0" customWidth="1"/>
    <x:col min="7" max="7" width="58" hidden="0" customWidth="1"/>
    <x:col min="8" max="8" width="4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54" hidden="0" customWidth="1"/>
  </x:cols>
  <x:sheetData>
    <x:row r="1" ht="28" customHeight="1">
      <x:c r="A1" s="47" t="str">
        <x:v>Pruebas y evidencia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</x:row>
    <x:row r="2" ht="32" customHeight="1">
      <x:c r="A2" s="51" t="str">
        <x:v>Pruebas históricas y 71 escenarios operativos de H6/release.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</x:row>
    <x:row r="4" ht="30" customHeight="1">
      <x:c r="A4" s="56" t="str">
        <x:v>Test ID</x:v>
      </x:c>
      <x:c r="B4" s="56" t="str">
        <x:v>Requirement ID</x:v>
      </x:c>
      <x:c r="C4" s="56" t="str">
        <x:v>Título</x:v>
      </x:c>
      <x:c r="D4" s="56" t="str">
        <x:v>Nivel</x:v>
      </x:c>
      <x:c r="E4" s="56" t="str">
        <x:v>Prioridad</x:v>
      </x:c>
      <x:c r="F4" s="56" t="str">
        <x:v>Automatización</x:v>
      </x:c>
      <x:c r="G4" s="56" t="str">
        <x:v>Estado diseño</x:v>
      </x:c>
      <x:c r="H4" s="56" t="str">
        <x:v>Resultado último</x:v>
      </x:c>
      <x:c r="I4" s="56" t="str">
        <x:v>Build ID</x:v>
      </x:c>
      <x:c r="J4" s="56" t="str">
        <x:v>Evidencia</x:v>
      </x:c>
      <x:c r="K4" s="56" t="str">
        <x:v>Defecto</x:v>
      </x:c>
      <x:c r="L4" s="56" t="str">
        <x:v>Fuente</x:v>
      </x:c>
      <x:c r="M4" s="56" t="str">
        <x:v>Notas</x:v>
      </x:c>
    </x:row>
    <x:row r="5" ht="30" customHeight="1">
      <x:c r="A5" s="26" t="str">
        <x:v>TC-VS-APP-001</x:v>
      </x:c>
      <x:c r="B5" s="26" t="str">
        <x:v>VS-APP-001</x:v>
      </x:c>
      <x:c r="C5" s="26" t="str">
        <x:v>Bootstrap inicia y alcanza menú sin excepción bloqueante.</x:v>
      </x:c>
      <x:c r="D5" s="26" t="str">
        <x:v>Manual + Automatizada</x:v>
      </x:c>
      <x:c r="E5" s="26" t="str">
        <x:v>P0</x:v>
      </x:c>
      <x:c r="F5" s="26" t="str">
        <x:v>Parcial</x:v>
      </x:c>
      <x:c r="G5" s="26" t="str">
        <x:v>Ready</x:v>
      </x:c>
      <x:c r="H5" s="26" t="str">
        <x:v>Not Run</x:v>
      </x:c>
      <x:c r="I5" s="26"/>
      <x:c r="J5" s="26"/>
      <x:c r="K5" s="26"/>
      <x:c r="L5" s="26" t="str">
        <x:v>02_Vertical_Slice_Specification.md</x:v>
      </x:c>
      <x:c r="M5" s="26"/>
    </x:row>
    <x:row r="6" ht="30" customHeight="1">
      <x:c r="A6" s="26" t="str">
        <x:v>TC-VS-APP-002</x:v>
      </x:c>
      <x:c r="B6" s="26" t="str">
        <x:v>VS-APP-002</x:v>
      </x:c>
      <x:c r="C6" s="26" t="str">
        <x:v>Nueva partida crea un slot válido una sola vez.</x:v>
      </x:c>
      <x:c r="D6" s="26" t="str">
        <x:v>Manual + Automatizada</x:v>
      </x:c>
      <x:c r="E6" s="26" t="str">
        <x:v>P0</x:v>
      </x:c>
      <x:c r="F6" s="26" t="str">
        <x:v>Parcial</x:v>
      </x:c>
      <x:c r="G6" s="26" t="str">
        <x:v>Ready</x:v>
      </x:c>
      <x:c r="H6" s="26" t="str">
        <x:v>Not Run</x:v>
      </x:c>
      <x:c r="I6" s="26"/>
      <x:c r="J6" s="26"/>
      <x:c r="K6" s="26"/>
      <x:c r="L6" s="26" t="str">
        <x:v>02_Vertical_Slice_Specification.md</x:v>
      </x:c>
      <x:c r="M6" s="26"/>
    </x:row>
    <x:row r="7" ht="30" customHeight="1">
      <x:c r="A7" s="26" t="str">
        <x:v>TC-VS-APP-003</x:v>
      </x:c>
      <x:c r="B7" s="26" t="str">
        <x:v>VS-APP-003</x:v>
      </x:c>
      <x:c r="C7" s="26" t="str">
        <x:v>Carga de slot entra en la sesión correcta sin duplicar inicialización.</x:v>
      </x:c>
      <x:c r="D7" s="26" t="str">
        <x:v>Manual + Automatizada</x:v>
      </x:c>
      <x:c r="E7" s="26" t="str">
        <x:v>P0</x:v>
      </x:c>
      <x:c r="F7" s="26" t="str">
        <x:v>Parcial</x:v>
      </x:c>
      <x:c r="G7" s="26" t="str">
        <x:v>Ready</x:v>
      </x:c>
      <x:c r="H7" s="26" t="str">
        <x:v>Not Run</x:v>
      </x:c>
      <x:c r="I7" s="26"/>
      <x:c r="J7" s="26"/>
      <x:c r="K7" s="26"/>
      <x:c r="L7" s="26" t="str">
        <x:v>02_Vertical_Slice_Specification.md</x:v>
      </x:c>
      <x:c r="M7" s="26"/>
    </x:row>
    <x:row r="8" ht="30" customHeight="1">
      <x:c r="A8" s="26" t="str">
        <x:v>TC-VS-APP-004</x:v>
      </x:c>
      <x:c r="B8" s="26" t="str">
        <x:v>VS-APP-004</x:v>
      </x:c>
      <x:c r="C8" s="26" t="str">
        <x:v>Volver al menú o salir no pierde un guardado confirmado.</x:v>
      </x:c>
      <x:c r="D8" s="26" t="str">
        <x:v>Manual + Automatizada</x:v>
      </x:c>
      <x:c r="E8" s="26" t="str">
        <x:v>P0</x:v>
      </x:c>
      <x:c r="F8" s="26" t="str">
        <x:v>Parcial</x:v>
      </x:c>
      <x:c r="G8" s="26" t="str">
        <x:v>Ready</x:v>
      </x:c>
      <x:c r="H8" s="26" t="str">
        <x:v>Not Run</x:v>
      </x:c>
      <x:c r="I8" s="26"/>
      <x:c r="J8" s="26"/>
      <x:c r="K8" s="26"/>
      <x:c r="L8" s="26" t="str">
        <x:v>02_Vertical_Slice_Specification.md</x:v>
      </x:c>
      <x:c r="M8" s="26"/>
    </x:row>
    <x:row r="9" ht="30" customHeight="1">
      <x:c r="A9" s="26" t="str">
        <x:v>TC-VS-SCN-001</x:v>
      </x:c>
      <x:c r="B9" s="26" t="str">
        <x:v>VS-SCN-001</x:v>
      </x:c>
      <x:c r="C9" s="26" t="str">
        <x:v>`StoreInitial.unity` carga con referencias obligatorias válidas.</x:v>
      </x:c>
      <x:c r="D9" s="26" t="str">
        <x:v>Manual + Automatizada</x:v>
      </x:c>
      <x:c r="E9" s="26" t="str">
        <x:v>P0</x:v>
      </x:c>
      <x:c r="F9" s="26" t="str">
        <x:v>Parcial</x:v>
      </x:c>
      <x:c r="G9" s="26" t="str">
        <x:v>Ready</x:v>
      </x:c>
      <x:c r="H9" s="26" t="str">
        <x:v>Not Run</x:v>
      </x:c>
      <x:c r="I9" s="26"/>
      <x:c r="J9" s="26"/>
      <x:c r="K9" s="26"/>
      <x:c r="L9" s="26" t="str">
        <x:v>02_Vertical_Slice_Specification.md</x:v>
      </x:c>
      <x:c r="M9" s="26"/>
    </x:row>
    <x:row r="10" ht="30" customHeight="1">
      <x:c r="A10" s="26" t="str">
        <x:v>TC-VS-SCN-002</x:v>
      </x:c>
      <x:c r="B10" s="26" t="str">
        <x:v>VS-SCN-002</x:v>
      </x:c>
      <x:c r="C10" s="26" t="str">
        <x:v>Arquitectura, puerta, zonas y mobiliario están colocados conforme al layout aprobado.</x:v>
      </x:c>
      <x:c r="D10" s="26" t="str">
        <x:v>Manual + Automatizada</x:v>
      </x:c>
      <x:c r="E10" s="26" t="str">
        <x:v>P0</x:v>
      </x:c>
      <x:c r="F10" s="26" t="str">
        <x:v>Parcial</x:v>
      </x:c>
      <x:c r="G10" s="26" t="str">
        <x:v>Ready</x:v>
      </x:c>
      <x:c r="H10" s="26" t="str">
        <x:v>Not Run</x:v>
      </x:c>
      <x:c r="I10" s="26"/>
      <x:c r="J10" s="26"/>
      <x:c r="K10" s="26"/>
      <x:c r="L10" s="26" t="str">
        <x:v>02_Vertical_Slice_Specification.md</x:v>
      </x:c>
      <x:c r="M10" s="26"/>
    </x:row>
    <x:row r="11" ht="30" customHeight="1">
      <x:c r="A11" s="26" t="str">
        <x:v>TC-VS-SCN-003</x:v>
      </x:c>
      <x:c r="B11" s="26" t="str">
        <x:v>VS-SCN-003</x:v>
      </x:c>
      <x:c r="C11" s="26" t="str">
        <x:v>No existen placeholders visibles no exceptuados.</x:v>
      </x:c>
      <x:c r="D11" s="26" t="str">
        <x:v>Manual + Automatizada</x:v>
      </x:c>
      <x:c r="E11" s="26" t="str">
        <x:v>P0</x:v>
      </x:c>
      <x:c r="F11" s="26" t="str">
        <x:v>Parcial</x:v>
      </x:c>
      <x:c r="G11" s="26" t="str">
        <x:v>Ready</x:v>
      </x:c>
      <x:c r="H11" s="26" t="str">
        <x:v>Not Run</x:v>
      </x:c>
      <x:c r="I11" s="26"/>
      <x:c r="J11" s="26"/>
      <x:c r="K11" s="26"/>
      <x:c r="L11" s="26" t="str">
        <x:v>02_Vertical_Slice_Specification.md</x:v>
      </x:c>
      <x:c r="M11" s="26"/>
    </x:row>
    <x:row r="12" ht="30" customHeight="1">
      <x:c r="A12" s="26" t="str">
        <x:v>TC-VS-SCN-004</x:v>
      </x:c>
      <x:c r="B12" s="26" t="str">
        <x:v>VS-SCN-004</x:v>
      </x:c>
      <x:c r="C12" s="26" t="str">
        <x:v>Visuales, colliders, navegación y puntos funcionales no se contradicen.</x:v>
      </x:c>
      <x:c r="D12" s="26" t="str">
        <x:v>Manual + Automatizada</x:v>
      </x:c>
      <x:c r="E12" s="26" t="str">
        <x:v>P0</x:v>
      </x:c>
      <x:c r="F12" s="26" t="str">
        <x:v>Parcial</x:v>
      </x:c>
      <x:c r="G12" s="26" t="str">
        <x:v>Ready</x:v>
      </x:c>
      <x:c r="H12" s="26" t="str">
        <x:v>Not Run</x:v>
      </x:c>
      <x:c r="I12" s="26"/>
      <x:c r="J12" s="26"/>
      <x:c r="K12" s="26"/>
      <x:c r="L12" s="26" t="str">
        <x:v>02_Vertical_Slice_Specification.md</x:v>
      </x:c>
      <x:c r="M12" s="26"/>
    </x:row>
    <x:row r="13" ht="30" customHeight="1">
      <x:c r="A13" s="26" t="str">
        <x:v>TC-VS-INP-001</x:v>
      </x:c>
      <x:c r="B13" s="26" t="str">
        <x:v>VS-INP-001</x:v>
      </x:c>
      <x:c r="C13" s="26" t="str">
        <x:v>Un evento consumido por UI no dispara movimiento, colocación o interacción de mundo.</x:v>
      </x:c>
      <x:c r="D13" s="26" t="str">
        <x:v>Manual + Automatizada</x:v>
      </x:c>
      <x:c r="E13" s="26" t="str">
        <x:v>P1</x:v>
      </x:c>
      <x:c r="F13" s="26" t="str">
        <x:v>Parcial</x:v>
      </x:c>
      <x:c r="G13" s="26" t="str">
        <x:v>Ready</x:v>
      </x:c>
      <x:c r="H13" s="26" t="str">
        <x:v>Not Run</x:v>
      </x:c>
      <x:c r="I13" s="26"/>
      <x:c r="J13" s="26"/>
      <x:c r="K13" s="26"/>
      <x:c r="L13" s="26" t="str">
        <x:v>02_Vertical_Slice_Specification.md</x:v>
      </x:c>
      <x:c r="M13" s="26"/>
    </x:row>
    <x:row r="14" ht="30" customHeight="1">
      <x:c r="A14" s="26" t="str">
        <x:v>TC-VS-INP-002</x:v>
      </x:c>
      <x:c r="B14" s="26" t="str">
        <x:v>VS-INP-002</x:v>
      </x:c>
      <x:c r="C14" s="26" t="str">
        <x:v>Clic de mundo produce destino válido o feedback de rechazo.</x:v>
      </x:c>
      <x:c r="D14" s="26" t="str">
        <x:v>Manual + Automatizada</x:v>
      </x:c>
      <x:c r="E14" s="26" t="str">
        <x:v>P1</x:v>
      </x:c>
      <x:c r="F14" s="26" t="str">
        <x:v>Parcial</x:v>
      </x:c>
      <x:c r="G14" s="26" t="str">
        <x:v>Ready</x:v>
      </x:c>
      <x:c r="H14" s="26" t="str">
        <x:v>Not Run</x:v>
      </x:c>
      <x:c r="I14" s="26"/>
      <x:c r="J14" s="26"/>
      <x:c r="K14" s="26"/>
      <x:c r="L14" s="26" t="str">
        <x:v>02_Vertical_Slice_Specification.md</x:v>
      </x:c>
      <x:c r="M14" s="26"/>
    </x:row>
    <x:row r="15" ht="30" customHeight="1">
      <x:c r="A15" s="26" t="str">
        <x:v>TC-VS-CAM-001</x:v>
      </x:c>
      <x:c r="B15" s="26" t="str">
        <x:v>VS-CAM-001</x:v>
      </x:c>
      <x:c r="C15" s="26" t="str">
        <x:v>Órbita y zoom permanecen dentro de límites y no bloquean el flujo.</x:v>
      </x:c>
      <x:c r="D15" s="26" t="str">
        <x:v>Manual + Automatizada</x:v>
      </x:c>
      <x:c r="E15" s="26" t="str">
        <x:v>P1</x:v>
      </x:c>
      <x:c r="F15" s="26" t="str">
        <x:v>Parcial</x:v>
      </x:c>
      <x:c r="G15" s="26" t="str">
        <x:v>Ready</x:v>
      </x:c>
      <x:c r="H15" s="26" t="str">
        <x:v>Not Run</x:v>
      </x:c>
      <x:c r="I15" s="26"/>
      <x:c r="J15" s="26"/>
      <x:c r="K15" s="26"/>
      <x:c r="L15" s="26" t="str">
        <x:v>02_Vertical_Slice_Specification.md</x:v>
      </x:c>
      <x:c r="M15" s="26"/>
    </x:row>
    <x:row r="16" ht="30" customHeight="1">
      <x:c r="A16" s="26" t="str">
        <x:v>TC-VS-CAM-002</x:v>
      </x:c>
      <x:c r="B16" s="26" t="str">
        <x:v>VS-CAM-002</x:v>
      </x:c>
      <x:c r="C16" s="26" t="str">
        <x:v>La cámara mantiene legibles entrada, displays, cola y checkout.</x:v>
      </x:c>
      <x:c r="D16" s="26" t="str">
        <x:v>Manual + Automatizada</x:v>
      </x:c>
      <x:c r="E16" s="26" t="str">
        <x:v>P1</x:v>
      </x:c>
      <x:c r="F16" s="26" t="str">
        <x:v>Parcial</x:v>
      </x:c>
      <x:c r="G16" s="26" t="str">
        <x:v>Ready</x:v>
      </x:c>
      <x:c r="H16" s="26" t="str">
        <x:v>Not Run</x:v>
      </x:c>
      <x:c r="I16" s="26"/>
      <x:c r="J16" s="26"/>
      <x:c r="K16" s="26"/>
      <x:c r="L16" s="26" t="str">
        <x:v>02_Vertical_Slice_Specification.md</x:v>
      </x:c>
      <x:c r="M16" s="26"/>
    </x:row>
    <x:row r="17" ht="30" customHeight="1">
      <x:c r="A17" s="26" t="str">
        <x:v>TC-VS-MOV-001</x:v>
      </x:c>
      <x:c r="B17" s="26" t="str">
        <x:v>VS-MOV-001</x:v>
      </x:c>
      <x:c r="C17" s="26" t="str">
        <x:v>El jugador alcanza todos los puntos accesibles obligatorios.</x:v>
      </x:c>
      <x:c r="D17" s="26" t="str">
        <x:v>Manual + Automatizada</x:v>
      </x:c>
      <x:c r="E17" s="26" t="str">
        <x:v>P1</x:v>
      </x:c>
      <x:c r="F17" s="26" t="str">
        <x:v>Parcial</x:v>
      </x:c>
      <x:c r="G17" s="26" t="str">
        <x:v>Ready</x:v>
      </x:c>
      <x:c r="H17" s="26" t="str">
        <x:v>Not Run</x:v>
      </x:c>
      <x:c r="I17" s="26"/>
      <x:c r="J17" s="26"/>
      <x:c r="K17" s="26"/>
      <x:c r="L17" s="26" t="str">
        <x:v>02_Vertical_Slice_Specification.md</x:v>
      </x:c>
      <x:c r="M17" s="26"/>
    </x:row>
    <x:row r="18" ht="30" customHeight="1">
      <x:c r="A18" s="26" t="str">
        <x:v>TC-VS-MOV-002</x:v>
      </x:c>
      <x:c r="B18" s="26" t="str">
        <x:v>VS-MOV-002</x:v>
      </x:c>
      <x:c r="C18" s="26" t="str">
        <x:v>El jugador no atraviesa arquitectura ni mobiliario.</x:v>
      </x:c>
      <x:c r="D18" s="26" t="str">
        <x:v>Manual + Automatizada</x:v>
      </x:c>
      <x:c r="E18" s="26" t="str">
        <x:v>P1</x:v>
      </x:c>
      <x:c r="F18" s="26" t="str">
        <x:v>Parcial</x:v>
      </x:c>
      <x:c r="G18" s="26" t="str">
        <x:v>Ready</x:v>
      </x:c>
      <x:c r="H18" s="26" t="str">
        <x:v>Not Run</x:v>
      </x:c>
      <x:c r="I18" s="26"/>
      <x:c r="J18" s="26"/>
      <x:c r="K18" s="26"/>
      <x:c r="L18" s="26" t="str">
        <x:v>02_Vertical_Slice_Specification.md</x:v>
      </x:c>
      <x:c r="M18" s="26"/>
    </x:row>
    <x:row r="19" ht="30" customHeight="1">
      <x:c r="A19" s="26" t="str">
        <x:v>TC-VS-MOV-003</x:v>
      </x:c>
      <x:c r="B19" s="26" t="str">
        <x:v>VS-MOV-003</x:v>
      </x:c>
      <x:c r="C19" s="26" t="str">
        <x:v>Un destino inaccesible no deja al jugador en estado indefinido.</x:v>
      </x:c>
      <x:c r="D19" s="26" t="str">
        <x:v>Manual + Automatizada</x:v>
      </x:c>
      <x:c r="E19" s="26" t="str">
        <x:v>P1</x:v>
      </x:c>
      <x:c r="F19" s="26" t="str">
        <x:v>Parcial</x:v>
      </x:c>
      <x:c r="G19" s="26" t="str">
        <x:v>Ready</x:v>
      </x:c>
      <x:c r="H19" s="26" t="str">
        <x:v>Not Run</x:v>
      </x:c>
      <x:c r="I19" s="26"/>
      <x:c r="J19" s="26"/>
      <x:c r="K19" s="26"/>
      <x:c r="L19" s="26" t="str">
        <x:v>02_Vertical_Slice_Specification.md</x:v>
      </x:c>
      <x:c r="M19" s="26"/>
    </x:row>
    <x:row r="20" ht="30" customHeight="1">
      <x:c r="A20" s="26" t="str">
        <x:v>TC-VS-BLD-001</x:v>
      </x:c>
      <x:c r="B20" s="26" t="str">
        <x:v>VS-BLD-001</x:v>
      </x:c>
      <x:c r="C20" s="26" t="str">
        <x:v>Preview coincide con posición, rotación y huella final.</x:v>
      </x:c>
      <x:c r="D20" s="26" t="str">
        <x:v>Manual + Automatizada</x:v>
      </x:c>
      <x:c r="E20" s="26" t="str">
        <x:v>P1</x:v>
      </x:c>
      <x:c r="F20" s="26" t="str">
        <x:v>Parcial</x:v>
      </x:c>
      <x:c r="G20" s="26" t="str">
        <x:v>Ready</x:v>
      </x:c>
      <x:c r="H20" s="26" t="str">
        <x:v>Not Run</x:v>
      </x:c>
      <x:c r="I20" s="26"/>
      <x:c r="J20" s="26"/>
      <x:c r="K20" s="26"/>
      <x:c r="L20" s="26" t="str">
        <x:v>02_Vertical_Slice_Specification.md</x:v>
      </x:c>
      <x:c r="M20" s="26"/>
    </x:row>
    <x:row r="21" ht="30" customHeight="1">
      <x:c r="A21" s="26" t="str">
        <x:v>TC-VS-BLD-002</x:v>
      </x:c>
      <x:c r="B21" s="26" t="str">
        <x:v>VS-BLD-002</x:v>
      </x:c>
      <x:c r="C21" s="26" t="str">
        <x:v>No se confirma colocación fuera de límites o sobre celdas ocupadas.</x:v>
      </x:c>
      <x:c r="D21" s="26" t="str">
        <x:v>Manual + Automatizada</x:v>
      </x:c>
      <x:c r="E21" s="26" t="str">
        <x:v>P1</x:v>
      </x:c>
      <x:c r="F21" s="26" t="str">
        <x:v>Parcial</x:v>
      </x:c>
      <x:c r="G21" s="26" t="str">
        <x:v>Ready</x:v>
      </x:c>
      <x:c r="H21" s="26" t="str">
        <x:v>Not Run</x:v>
      </x:c>
      <x:c r="I21" s="26"/>
      <x:c r="J21" s="26"/>
      <x:c r="K21" s="26"/>
      <x:c r="L21" s="26" t="str">
        <x:v>02_Vertical_Slice_Specification.md</x:v>
      </x:c>
      <x:c r="M21" s="26"/>
    </x:row>
    <x:row r="22" ht="30" customHeight="1">
      <x:c r="A22" s="26" t="str">
        <x:v>TC-VS-BLD-003</x:v>
      </x:c>
      <x:c r="B22" s="26" t="str">
        <x:v>VS-BLD-003</x:v>
      </x:c>
      <x:c r="C22" s="26" t="str">
        <x:v>No se bloquean entrada, salida o puntos obligatorios.</x:v>
      </x:c>
      <x:c r="D22" s="26" t="str">
        <x:v>Manual + Automatizada</x:v>
      </x:c>
      <x:c r="E22" s="26" t="str">
        <x:v>P1</x:v>
      </x:c>
      <x:c r="F22" s="26" t="str">
        <x:v>Parcial</x:v>
      </x:c>
      <x:c r="G22" s="26" t="str">
        <x:v>Ready</x:v>
      </x:c>
      <x:c r="H22" s="26" t="str">
        <x:v>Not Run</x:v>
      </x:c>
      <x:c r="I22" s="26"/>
      <x:c r="J22" s="26"/>
      <x:c r="K22" s="26"/>
      <x:c r="L22" s="26" t="str">
        <x:v>02_Vertical_Slice_Specification.md</x:v>
      </x:c>
      <x:c r="M22" s="26"/>
    </x:row>
    <x:row r="23" ht="30" customHeight="1">
      <x:c r="A23" s="26" t="str">
        <x:v>TC-VS-BLD-004</x:v>
      </x:c>
      <x:c r="B23" s="26" t="str">
        <x:v>VS-BLD-004</x:v>
      </x:c>
      <x:c r="C23" s="26" t="str">
        <x:v>Fallo de validación no consume dinero ni altera ocupación.</x:v>
      </x:c>
      <x:c r="D23" s="26" t="str">
        <x:v>Manual + Automatizada</x:v>
      </x:c>
      <x:c r="E23" s="26" t="str">
        <x:v>P1</x:v>
      </x:c>
      <x:c r="F23" s="26" t="str">
        <x:v>Parcial</x:v>
      </x:c>
      <x:c r="G23" s="26" t="str">
        <x:v>Ready</x:v>
      </x:c>
      <x:c r="H23" s="26" t="str">
        <x:v>Not Run</x:v>
      </x:c>
      <x:c r="I23" s="26"/>
      <x:c r="J23" s="26"/>
      <x:c r="K23" s="26"/>
      <x:c r="L23" s="26" t="str">
        <x:v>02_Vertical_Slice_Specification.md</x:v>
      </x:c>
      <x:c r="M23" s="26"/>
    </x:row>
    <x:row r="24" ht="30" customHeight="1">
      <x:c r="A24" s="26" t="str">
        <x:v>TC-VS-BLD-005</x:v>
      </x:c>
      <x:c r="B24" s="26" t="str">
        <x:v>VS-BLD-005</x:v>
      </x:c>
      <x:c r="C24" s="26" t="str">
        <x:v>Mover o retirar libera exactamente las celdas ocupadas.</x:v>
      </x:c>
      <x:c r="D24" s="26" t="str">
        <x:v>Manual + Automatizada</x:v>
      </x:c>
      <x:c r="E24" s="26" t="str">
        <x:v>P1</x:v>
      </x:c>
      <x:c r="F24" s="26" t="str">
        <x:v>Parcial</x:v>
      </x:c>
      <x:c r="G24" s="26" t="str">
        <x:v>Ready</x:v>
      </x:c>
      <x:c r="H24" s="26" t="str">
        <x:v>Not Run</x:v>
      </x:c>
      <x:c r="I24" s="26"/>
      <x:c r="J24" s="26"/>
      <x:c r="K24" s="26"/>
      <x:c r="L24" s="26" t="str">
        <x:v>02_Vertical_Slice_Specification.md</x:v>
      </x:c>
      <x:c r="M24" s="26"/>
    </x:row>
    <x:row r="25" ht="30" customHeight="1">
      <x:c r="A25" s="26" t="str">
        <x:v>TC-VS-BLD-006</x:v>
      </x:c>
      <x:c r="B25" s="26" t="str">
        <x:v>VS-BLD-006</x:v>
      </x:c>
      <x:c r="C25" s="26" t="str">
        <x:v>Posición, rotación, tipo e ID persisten tras recarga.</x:v>
      </x:c>
      <x:c r="D25" s="26" t="str">
        <x:v>Manual + Automatizada</x:v>
      </x:c>
      <x:c r="E25" s="26" t="str">
        <x:v>P1</x:v>
      </x:c>
      <x:c r="F25" s="26" t="str">
        <x:v>Parcial</x:v>
      </x:c>
      <x:c r="G25" s="26" t="str">
        <x:v>Ready</x:v>
      </x:c>
      <x:c r="H25" s="26" t="str">
        <x:v>Not Run</x:v>
      </x:c>
      <x:c r="I25" s="26"/>
      <x:c r="J25" s="26"/>
      <x:c r="K25" s="26"/>
      <x:c r="L25" s="26" t="str">
        <x:v>02_Vertical_Slice_Specification.md</x:v>
      </x:c>
      <x:c r="M25" s="26"/>
    </x:row>
    <x:row r="26" ht="30" customHeight="1">
      <x:c r="A26" s="26" t="str">
        <x:v>TC-VS-INV-001</x:v>
      </x:c>
      <x:c r="B26" s="26" t="str">
        <x:v>VS-INV-001</x:v>
      </x:c>
      <x:c r="C26" s="26" t="str">
        <x:v>La suma de ubicaciones coincide con el stock registrado.</x:v>
      </x:c>
      <x:c r="D26" s="26" t="str">
        <x:v>Manual + Automatizada</x:v>
      </x:c>
      <x:c r="E26" s="26" t="str">
        <x:v>P0</x:v>
      </x:c>
      <x:c r="F26" s="26" t="str">
        <x:v>Parcial</x:v>
      </x:c>
      <x:c r="G26" s="26" t="str">
        <x:v>Ready</x:v>
      </x:c>
      <x:c r="H26" s="26" t="str">
        <x:v>Not Run</x:v>
      </x:c>
      <x:c r="I26" s="26"/>
      <x:c r="J26" s="26"/>
      <x:c r="K26" s="26"/>
      <x:c r="L26" s="26" t="str">
        <x:v>02_Vertical_Slice_Specification.md</x:v>
      </x:c>
      <x:c r="M26" s="26"/>
    </x:row>
    <x:row r="27" ht="30" customHeight="1">
      <x:c r="A27" s="26" t="str">
        <x:v>TC-VS-INV-002</x:v>
      </x:c>
      <x:c r="B27" s="26" t="str">
        <x:v>VS-INV-002</x:v>
      </x:c>
      <x:c r="C27" s="26" t="str">
        <x:v>Una unidad solo ocupa una ubicación lógica.</x:v>
      </x:c>
      <x:c r="D27" s="26" t="str">
        <x:v>Manual + Automatizada</x:v>
      </x:c>
      <x:c r="E27" s="26" t="str">
        <x:v>P0</x:v>
      </x:c>
      <x:c r="F27" s="26" t="str">
        <x:v>Parcial</x:v>
      </x:c>
      <x:c r="G27" s="26" t="str">
        <x:v>Ready</x:v>
      </x:c>
      <x:c r="H27" s="26" t="str">
        <x:v>Not Run</x:v>
      </x:c>
      <x:c r="I27" s="26"/>
      <x:c r="J27" s="26"/>
      <x:c r="K27" s="26"/>
      <x:c r="L27" s="26" t="str">
        <x:v>02_Vertical_Slice_Specification.md</x:v>
      </x:c>
      <x:c r="M27" s="26"/>
    </x:row>
    <x:row r="28" ht="30" customHeight="1">
      <x:c r="A28" s="26" t="str">
        <x:v>TC-VS-INV-003</x:v>
      </x:c>
      <x:c r="B28" s="26" t="str">
        <x:v>VS-INV-003</x:v>
      </x:c>
      <x:c r="C28" s="26" t="str">
        <x:v>Transferencia inválida no modifica origen ni destino.</x:v>
      </x:c>
      <x:c r="D28" s="26" t="str">
        <x:v>Manual + Automatizada</x:v>
      </x:c>
      <x:c r="E28" s="26" t="str">
        <x:v>P0</x:v>
      </x:c>
      <x:c r="F28" s="26" t="str">
        <x:v>Parcial</x:v>
      </x:c>
      <x:c r="G28" s="26" t="str">
        <x:v>Ready</x:v>
      </x:c>
      <x:c r="H28" s="26" t="str">
        <x:v>Not Run</x:v>
      </x:c>
      <x:c r="I28" s="26"/>
      <x:c r="J28" s="26"/>
      <x:c r="K28" s="26"/>
      <x:c r="L28" s="26" t="str">
        <x:v>02_Vertical_Slice_Specification.md</x:v>
      </x:c>
      <x:c r="M28" s="26"/>
    </x:row>
    <x:row r="29" ht="30" customHeight="1">
      <x:c r="A29" s="26" t="str">
        <x:v>TC-VS-INV-004</x:v>
      </x:c>
      <x:c r="B29" s="26" t="str">
        <x:v>VS-INV-004</x:v>
      </x:c>
      <x:c r="C29" s="26" t="str">
        <x:v>Transferencia válida conserva cantidad total.</x:v>
      </x:c>
      <x:c r="D29" s="26" t="str">
        <x:v>Manual + Automatizada</x:v>
      </x:c>
      <x:c r="E29" s="26" t="str">
        <x:v>P0</x:v>
      </x:c>
      <x:c r="F29" s="26" t="str">
        <x:v>Parcial</x:v>
      </x:c>
      <x:c r="G29" s="26" t="str">
        <x:v>Ready</x:v>
      </x:c>
      <x:c r="H29" s="26" t="str">
        <x:v>Not Run</x:v>
      </x:c>
      <x:c r="I29" s="26"/>
      <x:c r="J29" s="26"/>
      <x:c r="K29" s="26"/>
      <x:c r="L29" s="26" t="str">
        <x:v>02_Vertical_Slice_Specification.md</x:v>
      </x:c>
      <x:c r="M29" s="26"/>
    </x:row>
    <x:row r="30" ht="30" customHeight="1">
      <x:c r="A30" s="26" t="str">
        <x:v>TC-VS-INV-005</x:v>
      </x:c>
      <x:c r="B30" s="26" t="str">
        <x:v>VS-INV-005</x:v>
      </x:c>
      <x:c r="C30" s="26" t="str">
        <x:v>No existen pérdidas o duplicaciones tras siete días.</x:v>
      </x:c>
      <x:c r="D30" s="26" t="str">
        <x:v>Manual + Automatizada</x:v>
      </x:c>
      <x:c r="E30" s="26" t="str">
        <x:v>P0</x:v>
      </x:c>
      <x:c r="F30" s="26" t="str">
        <x:v>Parcial</x:v>
      </x:c>
      <x:c r="G30" s="26" t="str">
        <x:v>Ready</x:v>
      </x:c>
      <x:c r="H30" s="26" t="str">
        <x:v>Not Run</x:v>
      </x:c>
      <x:c r="I30" s="26"/>
      <x:c r="J30" s="26"/>
      <x:c r="K30" s="26"/>
      <x:c r="L30" s="26" t="str">
        <x:v>02_Vertical_Slice_Specification.md</x:v>
      </x:c>
      <x:c r="M30" s="26"/>
    </x:row>
    <x:row r="31" ht="30" customHeight="1">
      <x:c r="A31" s="26" t="str">
        <x:v>TC-VS-ORD-001</x:v>
      </x:c>
      <x:c r="B31" s="26" t="str">
        <x:v>VS-ORD-001</x:v>
      </x:c>
      <x:c r="C31" s="26" t="str">
        <x:v>Pedido inválido se rechaza sin coste.</x:v>
      </x:c>
      <x:c r="D31" s="26" t="str">
        <x:v>Manual + Automatizada</x:v>
      </x:c>
      <x:c r="E31" s="26" t="str">
        <x:v>P1</x:v>
      </x:c>
      <x:c r="F31" s="26" t="str">
        <x:v>Parcial</x:v>
      </x:c>
      <x:c r="G31" s="26" t="str">
        <x:v>Ready</x:v>
      </x:c>
      <x:c r="H31" s="26" t="str">
        <x:v>Not Run</x:v>
      </x:c>
      <x:c r="I31" s="26"/>
      <x:c r="J31" s="26"/>
      <x:c r="K31" s="26"/>
      <x:c r="L31" s="26" t="str">
        <x:v>02_Vertical_Slice_Specification.md</x:v>
      </x:c>
      <x:c r="M31" s="26"/>
    </x:row>
    <x:row r="32" ht="30" customHeight="1">
      <x:c r="A32" s="26" t="str">
        <x:v>TC-VS-ORD-002</x:v>
      </x:c>
      <x:c r="B32" s="26" t="str">
        <x:v>VS-ORD-002</x:v>
      </x:c>
      <x:c r="C32" s="26" t="str">
        <x:v>Pedido válido registra proveedor, producto, cantidad, coste e ID.</x:v>
      </x:c>
      <x:c r="D32" s="26" t="str">
        <x:v>Manual + Automatizada</x:v>
      </x:c>
      <x:c r="E32" s="26" t="str">
        <x:v>P1</x:v>
      </x:c>
      <x:c r="F32" s="26" t="str">
        <x:v>Parcial</x:v>
      </x:c>
      <x:c r="G32" s="26" t="str">
        <x:v>Ready</x:v>
      </x:c>
      <x:c r="H32" s="26" t="str">
        <x:v>Not Run</x:v>
      </x:c>
      <x:c r="I32" s="26"/>
      <x:c r="J32" s="26"/>
      <x:c r="K32" s="26"/>
      <x:c r="L32" s="26" t="str">
        <x:v>02_Vertical_Slice_Specification.md</x:v>
      </x:c>
      <x:c r="M32" s="26"/>
    </x:row>
    <x:row r="33" ht="30" customHeight="1">
      <x:c r="A33" s="26" t="str">
        <x:v>TC-VS-ORD-003</x:v>
      </x:c>
      <x:c r="B33" s="26" t="str">
        <x:v>VS-ORD-003</x:v>
      </x:c>
      <x:c r="C33" s="26" t="str">
        <x:v>Cada pedido se entrega una sola vez.</x:v>
      </x:c>
      <x:c r="D33" s="26" t="str">
        <x:v>Manual + Automatizada</x:v>
      </x:c>
      <x:c r="E33" s="26" t="str">
        <x:v>P1</x:v>
      </x:c>
      <x:c r="F33" s="26" t="str">
        <x:v>Parcial</x:v>
      </x:c>
      <x:c r="G33" s="26" t="str">
        <x:v>Ready</x:v>
      </x:c>
      <x:c r="H33" s="26" t="str">
        <x:v>Not Run</x:v>
      </x:c>
      <x:c r="I33" s="26"/>
      <x:c r="J33" s="26"/>
      <x:c r="K33" s="26"/>
      <x:c r="L33" s="26" t="str">
        <x:v>02_Vertical_Slice_Specification.md</x:v>
      </x:c>
      <x:c r="M33" s="26"/>
    </x:row>
    <x:row r="34" ht="30" customHeight="1">
      <x:c r="A34" s="26" t="str">
        <x:v>TC-VS-ORD-004</x:v>
      </x:c>
      <x:c r="B34" s="26" t="str">
        <x:v>VS-ORD-004</x:v>
      </x:c>
      <x:c r="C34" s="26" t="str">
        <x:v>La entrega contiene exactamente las cantidades confirmadas.</x:v>
      </x:c>
      <x:c r="D34" s="26" t="str">
        <x:v>Manual + Automatizada</x:v>
      </x:c>
      <x:c r="E34" s="26" t="str">
        <x:v>P1</x:v>
      </x:c>
      <x:c r="F34" s="26" t="str">
        <x:v>Parcial</x:v>
      </x:c>
      <x:c r="G34" s="26" t="str">
        <x:v>Ready</x:v>
      </x:c>
      <x:c r="H34" s="26" t="str">
        <x:v>Not Run</x:v>
      </x:c>
      <x:c r="I34" s="26"/>
      <x:c r="J34" s="26"/>
      <x:c r="K34" s="26"/>
      <x:c r="L34" s="26" t="str">
        <x:v>02_Vertical_Slice_Specification.md</x:v>
      </x:c>
      <x:c r="M34" s="26"/>
    </x:row>
    <x:row r="35" ht="30" customHeight="1">
      <x:c r="A35" s="26" t="str">
        <x:v>TC-VS-ORD-005</x:v>
      </x:c>
      <x:c r="B35" s="26" t="str">
        <x:v>VS-ORD-005</x:v>
      </x:c>
      <x:c r="C35" s="26" t="str">
        <x:v>Pedido pendiente persiste y reanuda correctamente.</x:v>
      </x:c>
      <x:c r="D35" s="26" t="str">
        <x:v>Manual + Automatizada</x:v>
      </x:c>
      <x:c r="E35" s="26" t="str">
        <x:v>P1</x:v>
      </x:c>
      <x:c r="F35" s="26" t="str">
        <x:v>Parcial</x:v>
      </x:c>
      <x:c r="G35" s="26" t="str">
        <x:v>Ready</x:v>
      </x:c>
      <x:c r="H35" s="26" t="str">
        <x:v>Not Run</x:v>
      </x:c>
      <x:c r="I35" s="26"/>
      <x:c r="J35" s="26"/>
      <x:c r="K35" s="26"/>
      <x:c r="L35" s="26" t="str">
        <x:v>02_Vertical_Slice_Specification.md</x:v>
      </x:c>
      <x:c r="M35" s="26"/>
    </x:row>
    <x:row r="36" ht="30" customHeight="1">
      <x:c r="A36" s="26" t="str">
        <x:v>TC-VS-DSP-001</x:v>
      </x:c>
      <x:c r="B36" s="26" t="str">
        <x:v>VS-DSP-001</x:v>
      </x:c>
      <x:c r="C36" s="26" t="str">
        <x:v>Asignación incompatible se rechaza con feedback.</x:v>
      </x:c>
      <x:c r="D36" s="26" t="str">
        <x:v>Manual + Automatizada</x:v>
      </x:c>
      <x:c r="E36" s="26" t="str">
        <x:v>P1</x:v>
      </x:c>
      <x:c r="F36" s="26" t="str">
        <x:v>Parcial</x:v>
      </x:c>
      <x:c r="G36" s="26" t="str">
        <x:v>Ready</x:v>
      </x:c>
      <x:c r="H36" s="26" t="str">
        <x:v>Not Run</x:v>
      </x:c>
      <x:c r="I36" s="26"/>
      <x:c r="J36" s="26"/>
      <x:c r="K36" s="26"/>
      <x:c r="L36" s="26" t="str">
        <x:v>02_Vertical_Slice_Specification.md</x:v>
      </x:c>
      <x:c r="M36" s="26"/>
    </x:row>
    <x:row r="37" ht="30" customHeight="1">
      <x:c r="A37" s="26" t="str">
        <x:v>TC-VS-DSP-002</x:v>
      </x:c>
      <x:c r="B37" s="26" t="str">
        <x:v>VS-DSP-002</x:v>
      </x:c>
      <x:c r="C37" s="26" t="str">
        <x:v>Capacidad impide sobrellenado.</x:v>
      </x:c>
      <x:c r="D37" s="26" t="str">
        <x:v>Manual + Automatizada</x:v>
      </x:c>
      <x:c r="E37" s="26" t="str">
        <x:v>P1</x:v>
      </x:c>
      <x:c r="F37" s="26" t="str">
        <x:v>Parcial</x:v>
      </x:c>
      <x:c r="G37" s="26" t="str">
        <x:v>Ready</x:v>
      </x:c>
      <x:c r="H37" s="26" t="str">
        <x:v>Not Run</x:v>
      </x:c>
      <x:c r="I37" s="26"/>
      <x:c r="J37" s="26"/>
      <x:c r="K37" s="26"/>
      <x:c r="L37" s="26" t="str">
        <x:v>02_Vertical_Slice_Specification.md</x:v>
      </x:c>
      <x:c r="M37" s="26"/>
    </x:row>
    <x:row r="38" ht="30" customHeight="1">
      <x:c r="A38" s="26" t="str">
        <x:v>TC-VS-DSP-003</x:v>
      </x:c>
      <x:c r="B38" s="26" t="str">
        <x:v>VS-DSP-003</x:v>
      </x:c>
      <x:c r="C38" s="26" t="str">
        <x:v>Reposición consume origen y aumenta destino de forma atómica.</x:v>
      </x:c>
      <x:c r="D38" s="26" t="str">
        <x:v>Manual + Automatizada</x:v>
      </x:c>
      <x:c r="E38" s="26" t="str">
        <x:v>P1</x:v>
      </x:c>
      <x:c r="F38" s="26" t="str">
        <x:v>Parcial</x:v>
      </x:c>
      <x:c r="G38" s="26" t="str">
        <x:v>Ready</x:v>
      </x:c>
      <x:c r="H38" s="26" t="str">
        <x:v>Not Run</x:v>
      </x:c>
      <x:c r="I38" s="26"/>
      <x:c r="J38" s="26"/>
      <x:c r="K38" s="26"/>
      <x:c r="L38" s="26" t="str">
        <x:v>02_Vertical_Slice_Specification.md</x:v>
      </x:c>
      <x:c r="M38" s="26"/>
    </x:row>
    <x:row r="39" ht="30" customHeight="1">
      <x:c r="A39" s="26" t="str">
        <x:v>TC-VS-DSP-004</x:v>
      </x:c>
      <x:c r="B39" s="26" t="str">
        <x:v>VS-DSP-004</x:v>
      </x:c>
      <x:c r="C39" s="26" t="str">
        <x:v>Visual de producto coincide con asignación y cantidad representada.</x:v>
      </x:c>
      <x:c r="D39" s="26" t="str">
        <x:v>Manual + Automatizada</x:v>
      </x:c>
      <x:c r="E39" s="26" t="str">
        <x:v>P1</x:v>
      </x:c>
      <x:c r="F39" s="26" t="str">
        <x:v>Parcial</x:v>
      </x:c>
      <x:c r="G39" s="26" t="str">
        <x:v>Ready</x:v>
      </x:c>
      <x:c r="H39" s="26" t="str">
        <x:v>Not Run</x:v>
      </x:c>
      <x:c r="I39" s="26"/>
      <x:c r="J39" s="26"/>
      <x:c r="K39" s="26"/>
      <x:c r="L39" s="26" t="str">
        <x:v>02_Vertical_Slice_Specification.md</x:v>
      </x:c>
      <x:c r="M39" s="26"/>
    </x:row>
    <x:row r="40" ht="30" customHeight="1">
      <x:c r="A40" s="26" t="str">
        <x:v>TC-VS-DSP-005</x:v>
      </x:c>
      <x:c r="B40" s="26" t="str">
        <x:v>VS-DSP-005</x:v>
      </x:c>
      <x:c r="C40" s="26" t="str">
        <x:v>Asignación y stock visible persisten.</x:v>
      </x:c>
      <x:c r="D40" s="26" t="str">
        <x:v>Manual + Automatizada</x:v>
      </x:c>
      <x:c r="E40" s="26" t="str">
        <x:v>P1</x:v>
      </x:c>
      <x:c r="F40" s="26" t="str">
        <x:v>Parcial</x:v>
      </x:c>
      <x:c r="G40" s="26" t="str">
        <x:v>Ready</x:v>
      </x:c>
      <x:c r="H40" s="26" t="str">
        <x:v>Not Run</x:v>
      </x:c>
      <x:c r="I40" s="26"/>
      <x:c r="J40" s="26"/>
      <x:c r="K40" s="26"/>
      <x:c r="L40" s="26" t="str">
        <x:v>02_Vertical_Slice_Specification.md</x:v>
      </x:c>
      <x:c r="M40" s="26"/>
    </x:row>
    <x:row r="41" ht="30" customHeight="1">
      <x:c r="A41" s="26" t="str">
        <x:v>TC-VS-PRC-001</x:v>
      </x:c>
      <x:c r="B41" s="26" t="str">
        <x:v>VS-PRC-001</x:v>
      </x:c>
      <x:c r="C41" s="26" t="str">
        <x:v>Precio inválido se rechaza.</x:v>
      </x:c>
      <x:c r="D41" s="26" t="str">
        <x:v>Manual + Automatizada</x:v>
      </x:c>
      <x:c r="E41" s="26" t="str">
        <x:v>P1</x:v>
      </x:c>
      <x:c r="F41" s="26" t="str">
        <x:v>Parcial</x:v>
      </x:c>
      <x:c r="G41" s="26" t="str">
        <x:v>Ready</x:v>
      </x:c>
      <x:c r="H41" s="26" t="str">
        <x:v>Not Run</x:v>
      </x:c>
      <x:c r="I41" s="26"/>
      <x:c r="J41" s="26"/>
      <x:c r="K41" s="26"/>
      <x:c r="L41" s="26" t="str">
        <x:v>02_Vertical_Slice_Specification.md</x:v>
      </x:c>
      <x:c r="M41" s="26"/>
    </x:row>
    <x:row r="42" ht="30" customHeight="1">
      <x:c r="A42" s="26" t="str">
        <x:v>TC-VS-PRC-002</x:v>
      </x:c>
      <x:c r="B42" s="26" t="str">
        <x:v>VS-PRC-002</x:v>
      </x:c>
      <x:c r="C42" s="26" t="str">
        <x:v>Precio confirmado persiste y se utiliza en la venta.</x:v>
      </x:c>
      <x:c r="D42" s="26" t="str">
        <x:v>Manual + Automatizada</x:v>
      </x:c>
      <x:c r="E42" s="26" t="str">
        <x:v>P1</x:v>
      </x:c>
      <x:c r="F42" s="26" t="str">
        <x:v>Parcial</x:v>
      </x:c>
      <x:c r="G42" s="26" t="str">
        <x:v>Ready</x:v>
      </x:c>
      <x:c r="H42" s="26" t="str">
        <x:v>Not Run</x:v>
      </x:c>
      <x:c r="I42" s="26"/>
      <x:c r="J42" s="26"/>
      <x:c r="K42" s="26"/>
      <x:c r="L42" s="26" t="str">
        <x:v>02_Vertical_Slice_Specification.md</x:v>
      </x:c>
      <x:c r="M42" s="26"/>
    </x:row>
    <x:row r="43" ht="30" customHeight="1">
      <x:c r="A43" s="26" t="str">
        <x:v>TC-VS-PRC-003</x:v>
      </x:c>
      <x:c r="B43" s="26" t="str">
        <x:v>VS-PRC-003</x:v>
      </x:c>
      <x:c r="C43" s="26" t="str">
        <x:v>Cambiar precio afecta interés según regla determinista/configurada.</x:v>
      </x:c>
      <x:c r="D43" s="26" t="str">
        <x:v>Manual + Automatizada</x:v>
      </x:c>
      <x:c r="E43" s="26" t="str">
        <x:v>P1</x:v>
      </x:c>
      <x:c r="F43" s="26" t="str">
        <x:v>Parcial</x:v>
      </x:c>
      <x:c r="G43" s="26" t="str">
        <x:v>Ready</x:v>
      </x:c>
      <x:c r="H43" s="26" t="str">
        <x:v>Not Run</x:v>
      </x:c>
      <x:c r="I43" s="26"/>
      <x:c r="J43" s="26"/>
      <x:c r="K43" s="26"/>
      <x:c r="L43" s="26" t="str">
        <x:v>02_Vertical_Slice_Specification.md</x:v>
      </x:c>
      <x:c r="M43" s="26"/>
    </x:row>
    <x:row r="44" ht="30" customHeight="1">
      <x:c r="A44" s="26" t="str">
        <x:v>TC-VS-CUS-001</x:v>
      </x:c>
      <x:c r="B44" s="26" t="str">
        <x:v>VS-CUS-001</x:v>
      </x:c>
      <x:c r="C44" s="26" t="str">
        <x:v>Clientes solo aparecen durante estados permitidos.</x:v>
      </x:c>
      <x:c r="D44" s="26" t="str">
        <x:v>Manual + Automatizada</x:v>
      </x:c>
      <x:c r="E44" s="26" t="str">
        <x:v>P1</x:v>
      </x:c>
      <x:c r="F44" s="26" t="str">
        <x:v>Parcial</x:v>
      </x:c>
      <x:c r="G44" s="26" t="str">
        <x:v>Ready</x:v>
      </x:c>
      <x:c r="H44" s="26" t="str">
        <x:v>Not Run</x:v>
      </x:c>
      <x:c r="I44" s="26"/>
      <x:c r="J44" s="26"/>
      <x:c r="K44" s="26"/>
      <x:c r="L44" s="26" t="str">
        <x:v>02_Vertical_Slice_Specification.md</x:v>
      </x:c>
      <x:c r="M44" s="26"/>
    </x:row>
    <x:row r="45" ht="30" customHeight="1">
      <x:c r="A45" s="26" t="str">
        <x:v>TC-VS-CUS-002</x:v>
      </x:c>
      <x:c r="B45" s="26" t="str">
        <x:v>VS-CUS-002</x:v>
      </x:c>
      <x:c r="C45" s="26" t="str">
        <x:v>Cliente selecciona objetivo compatible o abandona con causa.</x:v>
      </x:c>
      <x:c r="D45" s="26" t="str">
        <x:v>Manual + Automatizada</x:v>
      </x:c>
      <x:c r="E45" s="26" t="str">
        <x:v>P1</x:v>
      </x:c>
      <x:c r="F45" s="26" t="str">
        <x:v>Parcial</x:v>
      </x:c>
      <x:c r="G45" s="26" t="str">
        <x:v>Ready</x:v>
      </x:c>
      <x:c r="H45" s="26" t="str">
        <x:v>Not Run</x:v>
      </x:c>
      <x:c r="I45" s="26"/>
      <x:c r="J45" s="26"/>
      <x:c r="K45" s="26"/>
      <x:c r="L45" s="26" t="str">
        <x:v>02_Vertical_Slice_Specification.md</x:v>
      </x:c>
      <x:c r="M45" s="26"/>
    </x:row>
    <x:row r="46" ht="30" customHeight="1">
      <x:c r="A46" s="26" t="str">
        <x:v>TC-VS-CUS-003</x:v>
      </x:c>
      <x:c r="B46" s="26" t="str">
        <x:v>VS-CUS-003</x:v>
      </x:c>
      <x:c r="C46" s="26" t="str">
        <x:v>Cliente navega sin atravesar obstáculos ni quedar bloqueado indefinidamente.</x:v>
      </x:c>
      <x:c r="D46" s="26" t="str">
        <x:v>Manual + Automatizada</x:v>
      </x:c>
      <x:c r="E46" s="26" t="str">
        <x:v>P1</x:v>
      </x:c>
      <x:c r="F46" s="26" t="str">
        <x:v>Parcial</x:v>
      </x:c>
      <x:c r="G46" s="26" t="str">
        <x:v>Ready</x:v>
      </x:c>
      <x:c r="H46" s="26" t="str">
        <x:v>Not Run</x:v>
      </x:c>
      <x:c r="I46" s="26"/>
      <x:c r="J46" s="26"/>
      <x:c r="K46" s="26"/>
      <x:c r="L46" s="26" t="str">
        <x:v>02_Vertical_Slice_Specification.md</x:v>
      </x:c>
      <x:c r="M46" s="26"/>
    </x:row>
    <x:row r="47" ht="30" customHeight="1">
      <x:c r="A47" s="26" t="str">
        <x:v>TC-VS-CUS-004</x:v>
      </x:c>
      <x:c r="B47" s="26" t="str">
        <x:v>VS-CUS-004</x:v>
      </x:c>
      <x:c r="C47" s="26" t="str">
        <x:v>Falta de stock, precio o espera producen reacción legible.</x:v>
      </x:c>
      <x:c r="D47" s="26" t="str">
        <x:v>Manual + Automatizada</x:v>
      </x:c>
      <x:c r="E47" s="26" t="str">
        <x:v>P1</x:v>
      </x:c>
      <x:c r="F47" s="26" t="str">
        <x:v>Parcial</x:v>
      </x:c>
      <x:c r="G47" s="26" t="str">
        <x:v>Ready</x:v>
      </x:c>
      <x:c r="H47" s="26" t="str">
        <x:v>Not Run</x:v>
      </x:c>
      <x:c r="I47" s="26"/>
      <x:c r="J47" s="26"/>
      <x:c r="K47" s="26"/>
      <x:c r="L47" s="26" t="str">
        <x:v>02_Vertical_Slice_Specification.md</x:v>
      </x:c>
      <x:c r="M47" s="26"/>
    </x:row>
    <x:row r="48" ht="30" customHeight="1">
      <x:c r="A48" s="26" t="str">
        <x:v>TC-VS-RES-001</x:v>
      </x:c>
      <x:c r="B48" s="26" t="str">
        <x:v>VS-RES-001</x:v>
      </x:c>
      <x:c r="C48" s="26" t="str">
        <x:v>Una unidad no puede reservarse para dos clientes.</x:v>
      </x:c>
      <x:c r="D48" s="26" t="str">
        <x:v>Manual + Automatizada</x:v>
      </x:c>
      <x:c r="E48" s="26" t="str">
        <x:v>P1</x:v>
      </x:c>
      <x:c r="F48" s="26" t="str">
        <x:v>Parcial</x:v>
      </x:c>
      <x:c r="G48" s="26" t="str">
        <x:v>Ready</x:v>
      </x:c>
      <x:c r="H48" s="26" t="str">
        <x:v>Not Run</x:v>
      </x:c>
      <x:c r="I48" s="26"/>
      <x:c r="J48" s="26"/>
      <x:c r="K48" s="26"/>
      <x:c r="L48" s="26" t="str">
        <x:v>02_Vertical_Slice_Specification.md</x:v>
      </x:c>
      <x:c r="M48" s="26"/>
    </x:row>
    <x:row r="49" ht="30" customHeight="1">
      <x:c r="A49" s="26" t="str">
        <x:v>TC-VS-RES-002</x:v>
      </x:c>
      <x:c r="B49" s="26" t="str">
        <x:v>VS-RES-002</x:v>
      </x:c>
      <x:c r="C49" s="26" t="str">
        <x:v>Abandono, fallo o cierre liberan la reserva.</x:v>
      </x:c>
      <x:c r="D49" s="26" t="str">
        <x:v>Manual + Automatizada</x:v>
      </x:c>
      <x:c r="E49" s="26" t="str">
        <x:v>P1</x:v>
      </x:c>
      <x:c r="F49" s="26" t="str">
        <x:v>Parcial</x:v>
      </x:c>
      <x:c r="G49" s="26" t="str">
        <x:v>Ready</x:v>
      </x:c>
      <x:c r="H49" s="26" t="str">
        <x:v>Not Run</x:v>
      </x:c>
      <x:c r="I49" s="26"/>
      <x:c r="J49" s="26"/>
      <x:c r="K49" s="26"/>
      <x:c r="L49" s="26" t="str">
        <x:v>02_Vertical_Slice_Specification.md</x:v>
      </x:c>
      <x:c r="M49" s="26"/>
    </x:row>
    <x:row r="50" ht="30" customHeight="1">
      <x:c r="A50" s="26" t="str">
        <x:v>TC-VS-RES-003</x:v>
      </x:c>
      <x:c r="B50" s="26" t="str">
        <x:v>VS-RES-003</x:v>
      </x:c>
      <x:c r="C50" s="26" t="str">
        <x:v>Venta consume la reserva exactamente una vez.</x:v>
      </x:c>
      <x:c r="D50" s="26" t="str">
        <x:v>Manual + Automatizada</x:v>
      </x:c>
      <x:c r="E50" s="26" t="str">
        <x:v>P1</x:v>
      </x:c>
      <x:c r="F50" s="26" t="str">
        <x:v>Parcial</x:v>
      </x:c>
      <x:c r="G50" s="26" t="str">
        <x:v>Ready</x:v>
      </x:c>
      <x:c r="H50" s="26" t="str">
        <x:v>Not Run</x:v>
      </x:c>
      <x:c r="I50" s="26"/>
      <x:c r="J50" s="26"/>
      <x:c r="K50" s="26"/>
      <x:c r="L50" s="26" t="str">
        <x:v>02_Vertical_Slice_Specification.md</x:v>
      </x:c>
      <x:c r="M50" s="26"/>
    </x:row>
    <x:row r="51" ht="30" customHeight="1">
      <x:c r="A51" s="26" t="str">
        <x:v>TC-VS-QUE-001</x:v>
      </x:c>
      <x:c r="B51" s="26" t="str">
        <x:v>VS-QUE-001</x:v>
      </x:c>
      <x:c r="C51" s="26" t="str">
        <x:v>El orden de atención es determinista.</x:v>
      </x:c>
      <x:c r="D51" s="26" t="str">
        <x:v>Manual + Automatizada</x:v>
      </x:c>
      <x:c r="E51" s="26" t="str">
        <x:v>P1</x:v>
      </x:c>
      <x:c r="F51" s="26" t="str">
        <x:v>Parcial</x:v>
      </x:c>
      <x:c r="G51" s="26" t="str">
        <x:v>Ready</x:v>
      </x:c>
      <x:c r="H51" s="26" t="str">
        <x:v>Not Run</x:v>
      </x:c>
      <x:c r="I51" s="26"/>
      <x:c r="J51" s="26"/>
      <x:c r="K51" s="26"/>
      <x:c r="L51" s="26" t="str">
        <x:v>02_Vertical_Slice_Specification.md</x:v>
      </x:c>
      <x:c r="M51" s="26"/>
    </x:row>
    <x:row r="52" ht="30" customHeight="1">
      <x:c r="A52" s="26" t="str">
        <x:v>TC-VS-QUE-002</x:v>
      </x:c>
      <x:c r="B52" s="26" t="str">
        <x:v>VS-QUE-002</x:v>
      </x:c>
      <x:c r="C52" s="26" t="str">
        <x:v>Posiciones se liberan y avanzan correctamente.</x:v>
      </x:c>
      <x:c r="D52" s="26" t="str">
        <x:v>Manual + Automatizada</x:v>
      </x:c>
      <x:c r="E52" s="26" t="str">
        <x:v>P1</x:v>
      </x:c>
      <x:c r="F52" s="26" t="str">
        <x:v>Parcial</x:v>
      </x:c>
      <x:c r="G52" s="26" t="str">
        <x:v>Ready</x:v>
      </x:c>
      <x:c r="H52" s="26" t="str">
        <x:v>Not Run</x:v>
      </x:c>
      <x:c r="I52" s="26"/>
      <x:c r="J52" s="26"/>
      <x:c r="K52" s="26"/>
      <x:c r="L52" s="26" t="str">
        <x:v>02_Vertical_Slice_Specification.md</x:v>
      </x:c>
      <x:c r="M52" s="26"/>
    </x:row>
    <x:row r="53" ht="30" customHeight="1">
      <x:c r="A53" s="26" t="str">
        <x:v>TC-VS-QUE-003</x:v>
      </x:c>
      <x:c r="B53" s="26" t="str">
        <x:v>VS-QUE-003</x:v>
      </x:c>
      <x:c r="C53" s="26" t="str">
        <x:v>Saturación no produce bloqueo permanente.</x:v>
      </x:c>
      <x:c r="D53" s="26" t="str">
        <x:v>Manual + Automatizada</x:v>
      </x:c>
      <x:c r="E53" s="26" t="str">
        <x:v>P1</x:v>
      </x:c>
      <x:c r="F53" s="26" t="str">
        <x:v>Parcial</x:v>
      </x:c>
      <x:c r="G53" s="26" t="str">
        <x:v>Ready</x:v>
      </x:c>
      <x:c r="H53" s="26" t="str">
        <x:v>Not Run</x:v>
      </x:c>
      <x:c r="I53" s="26"/>
      <x:c r="J53" s="26"/>
      <x:c r="K53" s="26"/>
      <x:c r="L53" s="26" t="str">
        <x:v>02_Vertical_Slice_Specification.md</x:v>
      </x:c>
      <x:c r="M53" s="26"/>
    </x:row>
    <x:row r="54" ht="30" customHeight="1">
      <x:c r="A54" s="26" t="str">
        <x:v>TC-VS-CHK-001</x:v>
      </x:c>
      <x:c r="B54" s="26" t="str">
        <x:v>VS-CHK-001</x:v>
      </x:c>
      <x:c r="C54" s="26" t="str">
        <x:v>Preflight rechaza transacción inválida sin mutación.</x:v>
      </x:c>
      <x:c r="D54" s="26" t="str">
        <x:v>Manual + Automatizada</x:v>
      </x:c>
      <x:c r="E54" s="26" t="str">
        <x:v>P0</x:v>
      </x:c>
      <x:c r="F54" s="26" t="str">
        <x:v>Parcial</x:v>
      </x:c>
      <x:c r="G54" s="26" t="str">
        <x:v>Ready</x:v>
      </x:c>
      <x:c r="H54" s="26" t="str">
        <x:v>Not Run</x:v>
      </x:c>
      <x:c r="I54" s="26"/>
      <x:c r="J54" s="26"/>
      <x:c r="K54" s="26"/>
      <x:c r="L54" s="26" t="str">
        <x:v>02_Vertical_Slice_Specification.md</x:v>
      </x:c>
      <x:c r="M54" s="26"/>
    </x:row>
    <x:row r="55" ht="30" customHeight="1">
      <x:c r="A55" s="26" t="str">
        <x:v>TC-VS-CHK-002</x:v>
      </x:c>
      <x:c r="B55" s="26" t="str">
        <x:v>VS-CHK-002</x:v>
      </x:c>
      <x:c r="C55" s="26" t="str">
        <x:v>Venta válida consume una unidad y registra un ingreso.</x:v>
      </x:c>
      <x:c r="D55" s="26" t="str">
        <x:v>Manual + Automatizada</x:v>
      </x:c>
      <x:c r="E55" s="26" t="str">
        <x:v>P0</x:v>
      </x:c>
      <x:c r="F55" s="26" t="str">
        <x:v>Parcial</x:v>
      </x:c>
      <x:c r="G55" s="26" t="str">
        <x:v>Ready</x:v>
      </x:c>
      <x:c r="H55" s="26" t="str">
        <x:v>Not Run</x:v>
      </x:c>
      <x:c r="I55" s="26"/>
      <x:c r="J55" s="26"/>
      <x:c r="K55" s="26"/>
      <x:c r="L55" s="26" t="str">
        <x:v>02_Vertical_Slice_Specification.md</x:v>
      </x:c>
      <x:c r="M55" s="26"/>
    </x:row>
    <x:row r="56" ht="30" customHeight="1">
      <x:c r="A56" s="26" t="str">
        <x:v>TC-VS-CHK-003</x:v>
      </x:c>
      <x:c r="B56" s="26" t="str">
        <x:v>VS-CHK-003</x:v>
      </x:c>
      <x:c r="C56" s="26" t="str">
        <x:v>La misma venta no puede confirmarse dos veces.</x:v>
      </x:c>
      <x:c r="D56" s="26" t="str">
        <x:v>Manual + Automatizada</x:v>
      </x:c>
      <x:c r="E56" s="26" t="str">
        <x:v>P0</x:v>
      </x:c>
      <x:c r="F56" s="26" t="str">
        <x:v>Parcial</x:v>
      </x:c>
      <x:c r="G56" s="26" t="str">
        <x:v>Ready</x:v>
      </x:c>
      <x:c r="H56" s="26" t="str">
        <x:v>Not Run</x:v>
      </x:c>
      <x:c r="I56" s="26"/>
      <x:c r="J56" s="26"/>
      <x:c r="K56" s="26"/>
      <x:c r="L56" s="26" t="str">
        <x:v>02_Vertical_Slice_Specification.md</x:v>
      </x:c>
      <x:c r="M56" s="26"/>
    </x:row>
    <x:row r="57" ht="30" customHeight="1">
      <x:c r="A57" s="26" t="str">
        <x:v>TC-VS-CHK-004</x:v>
      </x:c>
      <x:c r="B57" s="26" t="str">
        <x:v>VS-CHK-004</x:v>
      </x:c>
      <x:c r="C57" s="26" t="str">
        <x:v>Cliente, reserva, cola y métricas quedan resueltos tras vender.</x:v>
      </x:c>
      <x:c r="D57" s="26" t="str">
        <x:v>Manual + Automatizada</x:v>
      </x:c>
      <x:c r="E57" s="26" t="str">
        <x:v>P0</x:v>
      </x:c>
      <x:c r="F57" s="26" t="str">
        <x:v>Parcial</x:v>
      </x:c>
      <x:c r="G57" s="26" t="str">
        <x:v>Ready</x:v>
      </x:c>
      <x:c r="H57" s="26" t="str">
        <x:v>Not Run</x:v>
      </x:c>
      <x:c r="I57" s="26"/>
      <x:c r="J57" s="26"/>
      <x:c r="K57" s="26"/>
      <x:c r="L57" s="26" t="str">
        <x:v>02_Vertical_Slice_Specification.md</x:v>
      </x:c>
      <x:c r="M57" s="26"/>
    </x:row>
    <x:row r="58" ht="30" customHeight="1">
      <x:c r="A58" s="26" t="str">
        <x:v>TC-VS-DAY-001</x:v>
      </x:c>
      <x:c r="B58" s="26" t="str">
        <x:v>VS-DAY-001</x:v>
      </x:c>
      <x:c r="C58" s="26" t="str">
        <x:v>Transiciones entre estados siguen el orden permitido.</x:v>
      </x:c>
      <x:c r="D58" s="26" t="str">
        <x:v>Manual + Automatizada</x:v>
      </x:c>
      <x:c r="E58" s="26" t="str">
        <x:v>P1</x:v>
      </x:c>
      <x:c r="F58" s="26" t="str">
        <x:v>Parcial</x:v>
      </x:c>
      <x:c r="G58" s="26" t="str">
        <x:v>Ready</x:v>
      </x:c>
      <x:c r="H58" s="26" t="str">
        <x:v>Not Run</x:v>
      </x:c>
      <x:c r="I58" s="26"/>
      <x:c r="J58" s="26"/>
      <x:c r="K58" s="26"/>
      <x:c r="L58" s="26" t="str">
        <x:v>02_Vertical_Slice_Specification.md</x:v>
      </x:c>
      <x:c r="M58" s="26"/>
    </x:row>
    <x:row r="59" ht="30" customHeight="1">
      <x:c r="A59" s="26" t="str">
        <x:v>TC-VS-DAY-002</x:v>
      </x:c>
      <x:c r="B59" s="26" t="str">
        <x:v>VS-DAY-002</x:v>
      </x:c>
      <x:c r="C59" s="26" t="str">
        <x:v>Abrir habilita clientes una sola vez.</x:v>
      </x:c>
      <x:c r="D59" s="26" t="str">
        <x:v>Manual + Automatizada</x:v>
      </x:c>
      <x:c r="E59" s="26" t="str">
        <x:v>P1</x:v>
      </x:c>
      <x:c r="F59" s="26" t="str">
        <x:v>Parcial</x:v>
      </x:c>
      <x:c r="G59" s="26" t="str">
        <x:v>Ready</x:v>
      </x:c>
      <x:c r="H59" s="26" t="str">
        <x:v>Not Run</x:v>
      </x:c>
      <x:c r="I59" s="26"/>
      <x:c r="J59" s="26"/>
      <x:c r="K59" s="26"/>
      <x:c r="L59" s="26" t="str">
        <x:v>02_Vertical_Slice_Specification.md</x:v>
      </x:c>
      <x:c r="M59" s="26"/>
    </x:row>
    <x:row r="60" ht="30" customHeight="1">
      <x:c r="A60" s="26" t="str">
        <x:v>TC-VS-DAY-003</x:v>
      </x:c>
      <x:c r="B60" s="26" t="str">
        <x:v>VS-DAY-003</x:v>
      </x:c>
      <x:c r="C60" s="26" t="str">
        <x:v>Cerrar impide nuevas entradas y resuelve activos.</x:v>
      </x:c>
      <x:c r="D60" s="26" t="str">
        <x:v>Manual + Automatizada</x:v>
      </x:c>
      <x:c r="E60" s="26" t="str">
        <x:v>P1</x:v>
      </x:c>
      <x:c r="F60" s="26" t="str">
        <x:v>Parcial</x:v>
      </x:c>
      <x:c r="G60" s="26" t="str">
        <x:v>Ready</x:v>
      </x:c>
      <x:c r="H60" s="26" t="str">
        <x:v>Not Run</x:v>
      </x:c>
      <x:c r="I60" s="26"/>
      <x:c r="J60" s="26"/>
      <x:c r="K60" s="26"/>
      <x:c r="L60" s="26" t="str">
        <x:v>02_Vertical_Slice_Specification.md</x:v>
      </x:c>
      <x:c r="M60" s="26"/>
    </x:row>
    <x:row r="61" ht="30" customHeight="1">
      <x:c r="A61" s="26" t="str">
        <x:v>TC-VS-DAY-004</x:v>
      </x:c>
      <x:c r="B61" s="26" t="str">
        <x:v>VS-DAY-004</x:v>
      </x:c>
      <x:c r="C61" s="26" t="str">
        <x:v>Resumen y avance se generan una sola vez.</x:v>
      </x:c>
      <x:c r="D61" s="26" t="str">
        <x:v>Manual + Automatizada</x:v>
      </x:c>
      <x:c r="E61" s="26" t="str">
        <x:v>P1</x:v>
      </x:c>
      <x:c r="F61" s="26" t="str">
        <x:v>Parcial</x:v>
      </x:c>
      <x:c r="G61" s="26" t="str">
        <x:v>Ready</x:v>
      </x:c>
      <x:c r="H61" s="26" t="str">
        <x:v>Not Run</x:v>
      </x:c>
      <x:c r="I61" s="26"/>
      <x:c r="J61" s="26"/>
      <x:c r="K61" s="26"/>
      <x:c r="L61" s="26" t="str">
        <x:v>02_Vertical_Slice_Specification.md</x:v>
      </x:c>
      <x:c r="M61" s="26"/>
    </x:row>
    <x:row r="62" ht="30" customHeight="1">
      <x:c r="A62" s="26" t="str">
        <x:v>TC-VS-ECO-001</x:v>
      </x:c>
      <x:c r="B62" s="26" t="str">
        <x:v>VS-ECO-001</x:v>
      </x:c>
      <x:c r="C62" s="26" t="str">
        <x:v>Todo cambio de saldo tiene movimiento registrado.</x:v>
      </x:c>
      <x:c r="D62" s="26" t="str">
        <x:v>Manual + Automatizada</x:v>
      </x:c>
      <x:c r="E62" s="26" t="str">
        <x:v>P1</x:v>
      </x:c>
      <x:c r="F62" s="26" t="str">
        <x:v>Parcial</x:v>
      </x:c>
      <x:c r="G62" s="26" t="str">
        <x:v>Ready</x:v>
      </x:c>
      <x:c r="H62" s="26" t="str">
        <x:v>Not Run</x:v>
      </x:c>
      <x:c r="I62" s="26"/>
      <x:c r="J62" s="26"/>
      <x:c r="K62" s="26"/>
      <x:c r="L62" s="26" t="str">
        <x:v>02_Vertical_Slice_Specification.md</x:v>
      </x:c>
      <x:c r="M62" s="26"/>
    </x:row>
    <x:row r="63" ht="30" customHeight="1">
      <x:c r="A63" s="26" t="str">
        <x:v>TC-VS-ECO-002</x:v>
      </x:c>
      <x:c r="B63" s="26" t="str">
        <x:v>VS-ECO-002</x:v>
      </x:c>
      <x:c r="C63" s="26" t="str">
        <x:v>Venta genera un único ingreso con precio correcto.</x:v>
      </x:c>
      <x:c r="D63" s="26" t="str">
        <x:v>Manual + Automatizada</x:v>
      </x:c>
      <x:c r="E63" s="26" t="str">
        <x:v>P1</x:v>
      </x:c>
      <x:c r="F63" s="26" t="str">
        <x:v>Parcial</x:v>
      </x:c>
      <x:c r="G63" s="26" t="str">
        <x:v>Ready</x:v>
      </x:c>
      <x:c r="H63" s="26" t="str">
        <x:v>Not Run</x:v>
      </x:c>
      <x:c r="I63" s="26"/>
      <x:c r="J63" s="26"/>
      <x:c r="K63" s="26"/>
      <x:c r="L63" s="26" t="str">
        <x:v>02_Vertical_Slice_Specification.md</x:v>
      </x:c>
      <x:c r="M63" s="26"/>
    </x:row>
    <x:row r="64" ht="30" customHeight="1">
      <x:c r="A64" s="26" t="str">
        <x:v>TC-VS-ECO-003</x:v>
      </x:c>
      <x:c r="B64" s="26" t="str">
        <x:v>VS-ECO-003</x:v>
      </x:c>
      <x:c r="C64" s="26" t="str">
        <x:v>Pedido rechazado no cambia saldo.</x:v>
      </x:c>
      <x:c r="D64" s="26" t="str">
        <x:v>Manual + Automatizada</x:v>
      </x:c>
      <x:c r="E64" s="26" t="str">
        <x:v>P1</x:v>
      </x:c>
      <x:c r="F64" s="26" t="str">
        <x:v>Parcial</x:v>
      </x:c>
      <x:c r="G64" s="26" t="str">
        <x:v>Ready</x:v>
      </x:c>
      <x:c r="H64" s="26" t="str">
        <x:v>Not Run</x:v>
      </x:c>
      <x:c r="I64" s="26"/>
      <x:c r="J64" s="26"/>
      <x:c r="K64" s="26"/>
      <x:c r="L64" s="26" t="str">
        <x:v>02_Vertical_Slice_Specification.md</x:v>
      </x:c>
      <x:c r="M64" s="26"/>
    </x:row>
    <x:row r="65" ht="30" customHeight="1">
      <x:c r="A65" s="26" t="str">
        <x:v>TC-VS-ECO-004</x:v>
      </x:c>
      <x:c r="B65" s="26" t="str">
        <x:v>VS-ECO-004</x:v>
      </x:c>
      <x:c r="C65" s="26" t="str">
        <x:v>Impuesto solo se aplica a beneficio semanal positivo.</x:v>
      </x:c>
      <x:c r="D65" s="26" t="str">
        <x:v>Manual + Automatizada</x:v>
      </x:c>
      <x:c r="E65" s="26" t="str">
        <x:v>P1</x:v>
      </x:c>
      <x:c r="F65" s="26" t="str">
        <x:v>Parcial</x:v>
      </x:c>
      <x:c r="G65" s="26" t="str">
        <x:v>Ready</x:v>
      </x:c>
      <x:c r="H65" s="26" t="str">
        <x:v>Not Run</x:v>
      </x:c>
      <x:c r="I65" s="26"/>
      <x:c r="J65" s="26"/>
      <x:c r="K65" s="26"/>
      <x:c r="L65" s="26" t="str">
        <x:v>02_Vertical_Slice_Specification.md</x:v>
      </x:c>
      <x:c r="M65" s="26"/>
    </x:row>
    <x:row r="66" ht="30" customHeight="1">
      <x:c r="A66" s="26" t="str">
        <x:v>TC-VS-ECO-005</x:v>
      </x:c>
      <x:c r="B66" s="26" t="str">
        <x:v>VS-ECO-005</x:v>
      </x:c>
      <x:c r="C66" s="26" t="str">
        <x:v>Resumen diario/semanal reconcilia movimientos.</x:v>
      </x:c>
      <x:c r="D66" s="26" t="str">
        <x:v>Manual + Automatizada</x:v>
      </x:c>
      <x:c r="E66" s="26" t="str">
        <x:v>P1</x:v>
      </x:c>
      <x:c r="F66" s="26" t="str">
        <x:v>Parcial</x:v>
      </x:c>
      <x:c r="G66" s="26" t="str">
        <x:v>Ready</x:v>
      </x:c>
      <x:c r="H66" s="26" t="str">
        <x:v>Not Run</x:v>
      </x:c>
      <x:c r="I66" s="26"/>
      <x:c r="J66" s="26"/>
      <x:c r="K66" s="26"/>
      <x:c r="L66" s="26" t="str">
        <x:v>02_Vertical_Slice_Specification.md</x:v>
      </x:c>
      <x:c r="M66" s="26"/>
    </x:row>
    <x:row r="67" ht="30" customHeight="1">
      <x:c r="A67" s="26" t="str">
        <x:v>TC-VS-SAV-001</x:v>
      </x:c>
      <x:c r="B67" s="26" t="str">
        <x:v>VS-SAV-001</x:v>
      </x:c>
      <x:c r="C67" s="26" t="str">
        <x:v>Guardado conserva todos los campos obligatorios.</x:v>
      </x:c>
      <x:c r="D67" s="26" t="str">
        <x:v>Manual + Automatizada</x:v>
      </x:c>
      <x:c r="E67" s="26" t="str">
        <x:v>P0</x:v>
      </x:c>
      <x:c r="F67" s="26" t="str">
        <x:v>Parcial</x:v>
      </x:c>
      <x:c r="G67" s="26" t="str">
        <x:v>Ready</x:v>
      </x:c>
      <x:c r="H67" s="26" t="str">
        <x:v>Not Run</x:v>
      </x:c>
      <x:c r="I67" s="26"/>
      <x:c r="J67" s="26"/>
      <x:c r="K67" s="26"/>
      <x:c r="L67" s="26" t="str">
        <x:v>02_Vertical_Slice_Specification.md</x:v>
      </x:c>
      <x:c r="M67" s="26"/>
    </x:row>
    <x:row r="68" ht="30" customHeight="1">
      <x:c r="A68" s="26" t="str">
        <x:v>TC-VS-SAV-002</x:v>
      </x:c>
      <x:c r="B68" s="26" t="str">
        <x:v>VS-SAV-002</x:v>
      </x:c>
      <x:c r="C68" s="26" t="str">
        <x:v>Carga reconstruye un estado equivalente.</x:v>
      </x:c>
      <x:c r="D68" s="26" t="str">
        <x:v>Manual + Automatizada</x:v>
      </x:c>
      <x:c r="E68" s="26" t="str">
        <x:v>P0</x:v>
      </x:c>
      <x:c r="F68" s="26" t="str">
        <x:v>Parcial</x:v>
      </x:c>
      <x:c r="G68" s="26" t="str">
        <x:v>Ready</x:v>
      </x:c>
      <x:c r="H68" s="26" t="str">
        <x:v>Not Run</x:v>
      </x:c>
      <x:c r="I68" s="26"/>
      <x:c r="J68" s="26"/>
      <x:c r="K68" s="26"/>
      <x:c r="L68" s="26" t="str">
        <x:v>02_Vertical_Slice_Specification.md</x:v>
      </x:c>
      <x:c r="M68" s="26"/>
    </x:row>
    <x:row r="69" ht="30" customHeight="1">
      <x:c r="A69" s="26" t="str">
        <x:v>TC-VS-SAV-003</x:v>
      </x:c>
      <x:c r="B69" s="26" t="str">
        <x:v>VS-SAV-003</x:v>
      </x:c>
      <x:c r="C69" s="26" t="str">
        <x:v>Cargar no duplica pedidos, muebles, stock, clientes o ingresos.</x:v>
      </x:c>
      <x:c r="D69" s="26" t="str">
        <x:v>Manual + Automatizada</x:v>
      </x:c>
      <x:c r="E69" s="26" t="str">
        <x:v>P0</x:v>
      </x:c>
      <x:c r="F69" s="26" t="str">
        <x:v>Parcial</x:v>
      </x:c>
      <x:c r="G69" s="26" t="str">
        <x:v>Ready</x:v>
      </x:c>
      <x:c r="H69" s="26" t="str">
        <x:v>Not Run</x:v>
      </x:c>
      <x:c r="I69" s="26"/>
      <x:c r="J69" s="26"/>
      <x:c r="K69" s="26"/>
      <x:c r="L69" s="26" t="str">
        <x:v>02_Vertical_Slice_Specification.md</x:v>
      </x:c>
      <x:c r="M69" s="26"/>
    </x:row>
    <x:row r="70" ht="30" customHeight="1">
      <x:c r="A70" s="26" t="str">
        <x:v>TC-VS-SAV-004</x:v>
      </x:c>
      <x:c r="B70" s="26" t="str">
        <x:v>VS-SAV-004</x:v>
      </x:c>
      <x:c r="C70" s="26" t="str">
        <x:v>Archivo ausente o corrupto se maneja de forma controlada.</x:v>
      </x:c>
      <x:c r="D70" s="26" t="str">
        <x:v>Manual + Automatizada</x:v>
      </x:c>
      <x:c r="E70" s="26" t="str">
        <x:v>P0</x:v>
      </x:c>
      <x:c r="F70" s="26" t="str">
        <x:v>Parcial</x:v>
      </x:c>
      <x:c r="G70" s="26" t="str">
        <x:v>Ready</x:v>
      </x:c>
      <x:c r="H70" s="26" t="str">
        <x:v>Not Run</x:v>
      </x:c>
      <x:c r="I70" s="26"/>
      <x:c r="J70" s="26"/>
      <x:c r="K70" s="26"/>
      <x:c r="L70" s="26" t="str">
        <x:v>02_Vertical_Slice_Specification.md</x:v>
      </x:c>
      <x:c r="M70" s="26"/>
    </x:row>
    <x:row r="71" ht="30" customHeight="1">
      <x:c r="A71" s="26" t="str">
        <x:v>TC-VS-SAV-005</x:v>
      </x:c>
      <x:c r="B71" s="26" t="str">
        <x:v>VS-SAV-005</x:v>
      </x:c>
      <x:c r="C71" s="26" t="str">
        <x:v>Tres slots son independientes.</x:v>
      </x:c>
      <x:c r="D71" s="26" t="str">
        <x:v>Manual + Automatizada</x:v>
      </x:c>
      <x:c r="E71" s="26" t="str">
        <x:v>P0</x:v>
      </x:c>
      <x:c r="F71" s="26" t="str">
        <x:v>Parcial</x:v>
      </x:c>
      <x:c r="G71" s="26" t="str">
        <x:v>Ready</x:v>
      </x:c>
      <x:c r="H71" s="26" t="str">
        <x:v>Not Run</x:v>
      </x:c>
      <x:c r="I71" s="26"/>
      <x:c r="J71" s="26"/>
      <x:c r="K71" s="26"/>
      <x:c r="L71" s="26" t="str">
        <x:v>02_Vertical_Slice_Specification.md</x:v>
      </x:c>
      <x:c r="M71" s="26"/>
    </x:row>
    <x:row r="72" ht="30" customHeight="1">
      <x:c r="A72" s="26" t="str">
        <x:v>TC-VS-UI-001</x:v>
      </x:c>
      <x:c r="B72" s="26" t="str">
        <x:v>VS-UI-001</x:v>
      </x:c>
      <x:c r="C72" s="26" t="str">
        <x:v>Golden Path puede completarse sin herramientas de debug.</x:v>
      </x:c>
      <x:c r="D72" s="26" t="str">
        <x:v>Manual + Automatizada</x:v>
      </x:c>
      <x:c r="E72" s="26" t="str">
        <x:v>P1</x:v>
      </x:c>
      <x:c r="F72" s="26" t="str">
        <x:v>Parcial</x:v>
      </x:c>
      <x:c r="G72" s="26" t="str">
        <x:v>Ready</x:v>
      </x:c>
      <x:c r="H72" s="26" t="str">
        <x:v>Not Run</x:v>
      </x:c>
      <x:c r="I72" s="26"/>
      <x:c r="J72" s="26"/>
      <x:c r="K72" s="26"/>
      <x:c r="L72" s="26" t="str">
        <x:v>02_Vertical_Slice_Specification.md</x:v>
      </x:c>
      <x:c r="M72" s="26"/>
    </x:row>
    <x:row r="73" ht="30" customHeight="1">
      <x:c r="A73" s="26" t="str">
        <x:v>TC-VS-UI-002</x:v>
      </x:c>
      <x:c r="B73" s="26" t="str">
        <x:v>VS-UI-002</x:v>
      </x:c>
      <x:c r="C73" s="26" t="str">
        <x:v>Errores y estados inválidos muestran causa comprensible.</x:v>
      </x:c>
      <x:c r="D73" s="26" t="str">
        <x:v>Manual + Automatizada</x:v>
      </x:c>
      <x:c r="E73" s="26" t="str">
        <x:v>P1</x:v>
      </x:c>
      <x:c r="F73" s="26" t="str">
        <x:v>Parcial</x:v>
      </x:c>
      <x:c r="G73" s="26" t="str">
        <x:v>Ready</x:v>
      </x:c>
      <x:c r="H73" s="26" t="str">
        <x:v>Not Run</x:v>
      </x:c>
      <x:c r="I73" s="26"/>
      <x:c r="J73" s="26"/>
      <x:c r="K73" s="26"/>
      <x:c r="L73" s="26" t="str">
        <x:v>02_Vertical_Slice_Specification.md</x:v>
      </x:c>
      <x:c r="M73" s="26"/>
    </x:row>
    <x:row r="74" ht="30" customHeight="1">
      <x:c r="A74" s="26" t="str">
        <x:v>TC-VS-UI-003</x:v>
      </x:c>
      <x:c r="B74" s="26" t="str">
        <x:v>VS-UI-003</x:v>
      </x:c>
      <x:c r="C74" s="26" t="str">
        <x:v>Controles críticos no dependen solo del color.</x:v>
      </x:c>
      <x:c r="D74" s="26" t="str">
        <x:v>Manual + Automatizada</x:v>
      </x:c>
      <x:c r="E74" s="26" t="str">
        <x:v>P1</x:v>
      </x:c>
      <x:c r="F74" s="26" t="str">
        <x:v>Parcial</x:v>
      </x:c>
      <x:c r="G74" s="26" t="str">
        <x:v>Ready</x:v>
      </x:c>
      <x:c r="H74" s="26" t="str">
        <x:v>Not Run</x:v>
      </x:c>
      <x:c r="I74" s="26"/>
      <x:c r="J74" s="26"/>
      <x:c r="K74" s="26"/>
      <x:c r="L74" s="26" t="str">
        <x:v>02_Vertical_Slice_Specification.md</x:v>
      </x:c>
      <x:c r="M74" s="26"/>
    </x:row>
    <x:row r="75" ht="30" customHeight="1">
      <x:c r="A75" s="26" t="str">
        <x:v>TC-VS-UI-004</x:v>
      </x:c>
      <x:c r="B75" s="26" t="str">
        <x:v>VS-UI-004</x:v>
      </x:c>
      <x:c r="C75" s="26" t="str">
        <x:v>Textos incluidos están preparados para ES/EN sin desbordes bloqueantes.</x:v>
      </x:c>
      <x:c r="D75" s="26" t="str">
        <x:v>Manual + Automatizada</x:v>
      </x:c>
      <x:c r="E75" s="26" t="str">
        <x:v>P1</x:v>
      </x:c>
      <x:c r="F75" s="26" t="str">
        <x:v>Parcial</x:v>
      </x:c>
      <x:c r="G75" s="26" t="str">
        <x:v>Ready</x:v>
      </x:c>
      <x:c r="H75" s="26" t="str">
        <x:v>Not Run</x:v>
      </x:c>
      <x:c r="I75" s="26"/>
      <x:c r="J75" s="26"/>
      <x:c r="K75" s="26"/>
      <x:c r="L75" s="26" t="str">
        <x:v>02_Vertical_Slice_Specification.md</x:v>
      </x:c>
      <x:c r="M75" s="26"/>
    </x:row>
    <x:row r="76" ht="30" customHeight="1">
      <x:c r="A76" s="26" t="str">
        <x:v>TC-VS-ART-001</x:v>
      </x:c>
      <x:c r="B76" s="26" t="str">
        <x:v>VS-ART-001</x:v>
      </x:c>
      <x:c r="C76" s="26" t="str">
        <x:v>Escena cumple layout, escala y silueta aprobados.</x:v>
      </x:c>
      <x:c r="D76" s="26" t="str">
        <x:v>Manual + Automatizada</x:v>
      </x:c>
      <x:c r="E76" s="26" t="str">
        <x:v>P1</x:v>
      </x:c>
      <x:c r="F76" s="26" t="str">
        <x:v>Parcial</x:v>
      </x:c>
      <x:c r="G76" s="26" t="str">
        <x:v>Ready</x:v>
      </x:c>
      <x:c r="H76" s="26" t="str">
        <x:v>Not Run</x:v>
      </x:c>
      <x:c r="I76" s="26"/>
      <x:c r="J76" s="26"/>
      <x:c r="K76" s="26"/>
      <x:c r="L76" s="26" t="str">
        <x:v>02_Vertical_Slice_Specification.md</x:v>
      </x:c>
      <x:c r="M76" s="26"/>
    </x:row>
    <x:row r="77" ht="30" customHeight="1">
      <x:c r="A77" s="26" t="str">
        <x:v>TC-VS-ART-002</x:v>
      </x:c>
      <x:c r="B77" s="26" t="str">
        <x:v>VS-ART-002</x:v>
      </x:c>
      <x:c r="C77" s="26" t="str">
        <x:v>Iluminación permite leer zonas, productos, clientes y cola.</x:v>
      </x:c>
      <x:c r="D77" s="26" t="str">
        <x:v>Manual + Automatizada</x:v>
      </x:c>
      <x:c r="E77" s="26" t="str">
        <x:v>P1</x:v>
      </x:c>
      <x:c r="F77" s="26" t="str">
        <x:v>Parcial</x:v>
      </x:c>
      <x:c r="G77" s="26" t="str">
        <x:v>Ready</x:v>
      </x:c>
      <x:c r="H77" s="26" t="str">
        <x:v>Not Run</x:v>
      </x:c>
      <x:c r="I77" s="26"/>
      <x:c r="J77" s="26"/>
      <x:c r="K77" s="26"/>
      <x:c r="L77" s="26" t="str">
        <x:v>02_Vertical_Slice_Specification.md</x:v>
      </x:c>
      <x:c r="M77" s="26"/>
    </x:row>
    <x:row r="78" ht="30" customHeight="1">
      <x:c r="A78" s="26" t="str">
        <x:v>TC-VS-AUD-001</x:v>
      </x:c>
      <x:c r="B78" s="26" t="str">
        <x:v>VS-AUD-001</x:v>
      </x:c>
      <x:c r="C78" s="26" t="str">
        <x:v>Acciones críticas incluidas tienen feedback sonoro o alternativa aprobada.</x:v>
      </x:c>
      <x:c r="D78" s="26" t="str">
        <x:v>Manual + Automatizada</x:v>
      </x:c>
      <x:c r="E78" s="26" t="str">
        <x:v>P1</x:v>
      </x:c>
      <x:c r="F78" s="26" t="str">
        <x:v>Parcial</x:v>
      </x:c>
      <x:c r="G78" s="26" t="str">
        <x:v>Ready</x:v>
      </x:c>
      <x:c r="H78" s="26" t="str">
        <x:v>Not Run</x:v>
      </x:c>
      <x:c r="I78" s="26"/>
      <x:c r="J78" s="26"/>
      <x:c r="K78" s="26"/>
      <x:c r="L78" s="26" t="str">
        <x:v>02_Vertical_Slice_Specification.md</x:v>
      </x:c>
      <x:c r="M78" s="26"/>
    </x:row>
    <x:row r="79" ht="30" customHeight="1">
      <x:c r="A79" s="26" t="str">
        <x:v>TC-VS-PER-001</x:v>
      </x:c>
      <x:c r="B79" s="26" t="str">
        <x:v>VS-PER-001</x:v>
      </x:c>
      <x:c r="C79" s="26" t="str">
        <x:v>Prueba objetivo registra 60 FPS/1080p o desviación justificada en perfil documentado.</x:v>
      </x:c>
      <x:c r="D79" s="26" t="str">
        <x:v>Manual + Automatizada</x:v>
      </x:c>
      <x:c r="E79" s="26" t="str">
        <x:v>P1</x:v>
      </x:c>
      <x:c r="F79" s="26" t="str">
        <x:v>Parcial</x:v>
      </x:c>
      <x:c r="G79" s="26" t="str">
        <x:v>Ready</x:v>
      </x:c>
      <x:c r="H79" s="26" t="str">
        <x:v>Not Run</x:v>
      </x:c>
      <x:c r="I79" s="26"/>
      <x:c r="J79" s="26"/>
      <x:c r="K79" s="26"/>
      <x:c r="L79" s="26" t="str">
        <x:v>02_Vertical_Slice_Specification.md</x:v>
      </x:c>
      <x:c r="M79" s="26"/>
    </x:row>
    <x:row r="80" ht="30" customHeight="1">
      <x:c r="A80" s="26" t="str">
        <x:v>TC-VS-PER-002</x:v>
      </x:c>
      <x:c r="B80" s="26" t="str">
        <x:v>VS-PER-002</x:v>
      </x:c>
      <x:c r="C80" s="26" t="str">
        <x:v>No existe degradación acumulativa grave durante la sesión extensa.</x:v>
      </x:c>
      <x:c r="D80" s="26" t="str">
        <x:v>Manual + Automatizada</x:v>
      </x:c>
      <x:c r="E80" s="26" t="str">
        <x:v>P1</x:v>
      </x:c>
      <x:c r="F80" s="26" t="str">
        <x:v>Parcial</x:v>
      </x:c>
      <x:c r="G80" s="26" t="str">
        <x:v>Ready</x:v>
      </x:c>
      <x:c r="H80" s="26" t="str">
        <x:v>Not Run</x:v>
      </x:c>
      <x:c r="I80" s="26"/>
      <x:c r="J80" s="26"/>
      <x:c r="K80" s="26"/>
      <x:c r="L80" s="26" t="str">
        <x:v>02_Vertical_Slice_Specification.md</x:v>
      </x:c>
      <x:c r="M80" s="26"/>
    </x:row>
    <x:row r="81" ht="30" customHeight="1">
      <x:c r="A81" s="26" t="str">
        <x:v>TC-VS-QA-001</x:v>
      </x:c>
      <x:c r="B81" s="26" t="str">
        <x:v>VS-QA-001</x:v>
      </x:c>
      <x:c r="C81" s="26" t="str">
        <x:v>Suite automatizada completa permanece verde.</x:v>
      </x:c>
      <x:c r="D81" s="26" t="str">
        <x:v>Manual + Automatizada</x:v>
      </x:c>
      <x:c r="E81" s="26" t="str">
        <x:v>P1</x:v>
      </x:c>
      <x:c r="F81" s="26" t="str">
        <x:v>Parcial</x:v>
      </x:c>
      <x:c r="G81" s="26" t="str">
        <x:v>Ready</x:v>
      </x:c>
      <x:c r="H81" s="26" t="str">
        <x:v>Not Run</x:v>
      </x:c>
      <x:c r="I81" s="26"/>
      <x:c r="J81" s="26"/>
      <x:c r="K81" s="26"/>
      <x:c r="L81" s="26" t="str">
        <x:v>02_Vertical_Slice_Specification.md</x:v>
      </x:c>
      <x:c r="M81" s="26"/>
    </x:row>
    <x:row r="82" ht="30" customHeight="1">
      <x:c r="A82" s="26" t="str">
        <x:v>TC-VS-QA-002</x:v>
      </x:c>
      <x:c r="B82" s="26" t="str">
        <x:v>VS-QA-002</x:v>
      </x:c>
      <x:c r="C82" s="26" t="str">
        <x:v>Golden Path manual obtiene PASS reproducible.</x:v>
      </x:c>
      <x:c r="D82" s="26" t="str">
        <x:v>Manual + Automatizada</x:v>
      </x:c>
      <x:c r="E82" s="26" t="str">
        <x:v>P1</x:v>
      </x:c>
      <x:c r="F82" s="26" t="str">
        <x:v>Parcial</x:v>
      </x:c>
      <x:c r="G82" s="26" t="str">
        <x:v>Ready</x:v>
      </x:c>
      <x:c r="H82" s="26" t="str">
        <x:v>Not Run</x:v>
      </x:c>
      <x:c r="I82" s="26"/>
      <x:c r="J82" s="26"/>
      <x:c r="K82" s="26"/>
      <x:c r="L82" s="26" t="str">
        <x:v>02_Vertical_Slice_Specification.md</x:v>
      </x:c>
      <x:c r="M82" s="26"/>
    </x:row>
    <x:row r="83" ht="30" customHeight="1">
      <x:c r="A83" s="26" t="str">
        <x:v>TC-VS-BUILD-001</x:v>
      </x:c>
      <x:c r="B83" s="26" t="str">
        <x:v>VS-BUILD-001</x:v>
      </x:c>
      <x:c r="C83" s="26" t="str">
        <x:v>Windows x64 Development Build se genera sin error.</x:v>
      </x:c>
      <x:c r="D83" s="26" t="str">
        <x:v>Manual + Automatizada</x:v>
      </x:c>
      <x:c r="E83" s="26" t="str">
        <x:v>P0</x:v>
      </x:c>
      <x:c r="F83" s="26" t="str">
        <x:v>Parcial</x:v>
      </x:c>
      <x:c r="G83" s="26" t="str">
        <x:v>Ready</x:v>
      </x:c>
      <x:c r="H83" s="26" t="str">
        <x:v>Not Run</x:v>
      </x:c>
      <x:c r="I83" s="26"/>
      <x:c r="J83" s="26"/>
      <x:c r="K83" s="26"/>
      <x:c r="L83" s="26" t="str">
        <x:v>02_Vertical_Slice_Specification.md</x:v>
      </x:c>
      <x:c r="M83" s="26"/>
    </x:row>
    <x:row r="84" ht="30" customHeight="1">
      <x:c r="A84" s="26" t="str">
        <x:v>TC-VS-BUILD-002</x:v>
      </x:c>
      <x:c r="B84" s="26" t="str">
        <x:v>VS-BUILD-002</x:v>
      </x:c>
      <x:c r="C84" s="26" t="str">
        <x:v>Ejecutable arranca y completa Golden Path fuera del Editor.</x:v>
      </x:c>
      <x:c r="D84" s="26" t="str">
        <x:v>Manual + Automatizada</x:v>
      </x:c>
      <x:c r="E84" s="26" t="str">
        <x:v>P0</x:v>
      </x:c>
      <x:c r="F84" s="26" t="str">
        <x:v>Parcial</x:v>
      </x:c>
      <x:c r="G84" s="26" t="str">
        <x:v>Ready</x:v>
      </x:c>
      <x:c r="H84" s="26" t="str">
        <x:v>Not Run</x:v>
      </x:c>
      <x:c r="I84" s="26"/>
      <x:c r="J84" s="26"/>
      <x:c r="K84" s="26"/>
      <x:c r="L84" s="26" t="str">
        <x:v>02_Vertical_Slice_Specification.md</x:v>
      </x:c>
      <x:c r="M84" s="26"/>
    </x:row>
    <x:row r="85" ht="30" customHeight="1">
      <x:c r="A85" s="26" t="str">
        <x:v>TC-VS-BUILD-003</x:v>
      </x:c>
      <x:c r="B85" s="26" t="str">
        <x:v>VS-BUILD-003</x:v>
      </x:c>
      <x:c r="C85" s="26" t="str">
        <x:v>`Player.log` no contiene errores bloqueantes o recurrentes.</x:v>
      </x:c>
      <x:c r="D85" s="26" t="str">
        <x:v>Manual + Automatizada</x:v>
      </x:c>
      <x:c r="E85" s="26" t="str">
        <x:v>P0</x:v>
      </x:c>
      <x:c r="F85" s="26" t="str">
        <x:v>Parcial</x:v>
      </x:c>
      <x:c r="G85" s="26" t="str">
        <x:v>Ready</x:v>
      </x:c>
      <x:c r="H85" s="26" t="str">
        <x:v>Not Run</x:v>
      </x:c>
      <x:c r="I85" s="26"/>
      <x:c r="J85" s="26"/>
      <x:c r="K85" s="26"/>
      <x:c r="L85" s="26" t="str">
        <x:v>02_Vertical_Slice_Specification.md</x:v>
      </x:c>
      <x:c r="M85" s="26"/>
    </x:row>
    <x:row r="86" ht="30" customHeight="1">
      <x:c r="A86" s="26" t="str">
        <x:v>TC-VS-DOC-001</x:v>
      </x:c>
      <x:c r="B86" s="26" t="str">
        <x:v>VS-DOC-001</x:v>
      </x:c>
      <x:c r="C86" s="26" t="str">
        <x:v>Resultados, defectos, excepciones y decisiones están trazados.</x:v>
      </x:c>
      <x:c r="D86" s="26" t="str">
        <x:v>Manual + Automatizada</x:v>
      </x:c>
      <x:c r="E86" s="26" t="str">
        <x:v>P1</x:v>
      </x:c>
      <x:c r="F86" s="26" t="str">
        <x:v>Parcial</x:v>
      </x:c>
      <x:c r="G86" s="26" t="str">
        <x:v>Ready</x:v>
      </x:c>
      <x:c r="H86" s="26" t="str">
        <x:v>Not Run</x:v>
      </x:c>
      <x:c r="I86" s="26"/>
      <x:c r="J86" s="26"/>
      <x:c r="K86" s="26"/>
      <x:c r="L86" s="26" t="str">
        <x:v>02_Vertical_Slice_Specification.md</x:v>
      </x:c>
      <x:c r="M86" s="26"/>
    </x:row>
    <x:row r="87" ht="30" customHeight="1">
      <x:c r="A87" s="26" t="str">
        <x:v>TC-VS-TST-001</x:v>
      </x:c>
      <x:c r="B87" s="26" t="str">
        <x:v>VS-TST-001</x:v>
      </x:c>
      <x:c r="C87" s="26" t="str">
        <x:v>D</x:v>
      </x:c>
      <x:c r="D87" s="26" t="str">
        <x:v>Manual + Automatizada</x:v>
      </x:c>
      <x:c r="E87" s="26" t="str">
        <x:v>P1</x:v>
      </x:c>
      <x:c r="F87" s="26" t="str">
        <x:v>Parcial</x:v>
      </x:c>
      <x:c r="G87" s="26" t="str">
        <x:v>Ready</x:v>
      </x:c>
      <x:c r="H87" s="26" t="str">
        <x:v>Not Run</x:v>
      </x:c>
      <x:c r="I87" s="26"/>
      <x:c r="J87" s="26"/>
      <x:c r="K87" s="26"/>
      <x:c r="L87" s="26" t="str">
        <x:v>02_Vertical_Slice_Specification.md</x:v>
      </x:c>
      <x:c r="M87" s="26"/>
    </x:row>
    <x:row r="88" ht="30" customHeight="1">
      <x:c r="A88" s="26" t="str">
        <x:v>TC-VS-TST-002</x:v>
      </x:c>
      <x:c r="B88" s="26" t="str">
        <x:v>VS-TST-002</x:v>
      </x:c>
      <x:c r="C88" s="26" t="str">
        <x:v>D</x:v>
      </x:c>
      <x:c r="D88" s="26" t="str">
        <x:v>Manual + Automatizada</x:v>
      </x:c>
      <x:c r="E88" s="26" t="str">
        <x:v>P1</x:v>
      </x:c>
      <x:c r="F88" s="26" t="str">
        <x:v>Parcial</x:v>
      </x:c>
      <x:c r="G88" s="26" t="str">
        <x:v>Ready</x:v>
      </x:c>
      <x:c r="H88" s="26" t="str">
        <x:v>Not Run</x:v>
      </x:c>
      <x:c r="I88" s="26"/>
      <x:c r="J88" s="26"/>
      <x:c r="K88" s="26"/>
      <x:c r="L88" s="26" t="str">
        <x:v>02_Vertical_Slice_Specification.md</x:v>
      </x:c>
      <x:c r="M88" s="26"/>
    </x:row>
    <x:row r="89" ht="30" customHeight="1">
      <x:c r="A89" s="26" t="str">
        <x:v>TC-VS-TST-003</x:v>
      </x:c>
      <x:c r="B89" s="26" t="str">
        <x:v>VS-TST-003</x:v>
      </x:c>
      <x:c r="C89" s="26" t="str">
        <x:v>D/E</x:v>
      </x:c>
      <x:c r="D89" s="26" t="str">
        <x:v>Manual + Automatizada</x:v>
      </x:c>
      <x:c r="E89" s="26" t="str">
        <x:v>P1</x:v>
      </x:c>
      <x:c r="F89" s="26" t="str">
        <x:v>Parcial</x:v>
      </x:c>
      <x:c r="G89" s="26" t="str">
        <x:v>Ready</x:v>
      </x:c>
      <x:c r="H89" s="26" t="str">
        <x:v>Not Run</x:v>
      </x:c>
      <x:c r="I89" s="26"/>
      <x:c r="J89" s="26"/>
      <x:c r="K89" s="26"/>
      <x:c r="L89" s="26" t="str">
        <x:v>02_Vertical_Slice_Specification.md</x:v>
      </x:c>
      <x:c r="M89" s="26"/>
    </x:row>
    <x:row r="90" ht="30" customHeight="1">
      <x:c r="A90" s="26" t="str">
        <x:v>TC-VS-TST-004</x:v>
      </x:c>
      <x:c r="B90" s="26" t="str">
        <x:v>VS-TST-004</x:v>
      </x:c>
      <x:c r="C90" s="26" t="str">
        <x:v>F</x:v>
      </x:c>
      <x:c r="D90" s="26" t="str">
        <x:v>Manual + Automatizada</x:v>
      </x:c>
      <x:c r="E90" s="26" t="str">
        <x:v>P1</x:v>
      </x:c>
      <x:c r="F90" s="26" t="str">
        <x:v>Parcial</x:v>
      </x:c>
      <x:c r="G90" s="26" t="str">
        <x:v>Ready</x:v>
      </x:c>
      <x:c r="H90" s="26" t="str">
        <x:v>Not Run</x:v>
      </x:c>
      <x:c r="I90" s="26"/>
      <x:c r="J90" s="26"/>
      <x:c r="K90" s="26"/>
      <x:c r="L90" s="26" t="str">
        <x:v>02_Vertical_Slice_Specification.md</x:v>
      </x:c>
      <x:c r="M90" s="26"/>
    </x:row>
    <x:row r="91" ht="30" customHeight="1">
      <x:c r="A91" s="26" t="str">
        <x:v>TC-VS-TST-005</x:v>
      </x:c>
      <x:c r="B91" s="26" t="str">
        <x:v>VS-TST-005</x:v>
      </x:c>
      <x:c r="C91" s="26" t="str">
        <x:v>C/D</x:v>
      </x:c>
      <x:c r="D91" s="26" t="str">
        <x:v>Manual + Automatizada</x:v>
      </x:c>
      <x:c r="E91" s="26" t="str">
        <x:v>P1</x:v>
      </x:c>
      <x:c r="F91" s="26" t="str">
        <x:v>Parcial</x:v>
      </x:c>
      <x:c r="G91" s="26" t="str">
        <x:v>Ready</x:v>
      </x:c>
      <x:c r="H91" s="26" t="str">
        <x:v>Not Run</x:v>
      </x:c>
      <x:c r="I91" s="26"/>
      <x:c r="J91" s="26"/>
      <x:c r="K91" s="26"/>
      <x:c r="L91" s="26" t="str">
        <x:v>02_Vertical_Slice_Specification.md</x:v>
      </x:c>
      <x:c r="M91" s="26"/>
    </x:row>
    <x:row r="92" ht="30" customHeight="1">
      <x:c r="A92" s="26" t="str">
        <x:v>TC-VS-TST-006</x:v>
      </x:c>
      <x:c r="B92" s="26" t="str">
        <x:v>VS-TST-006</x:v>
      </x:c>
      <x:c r="C92" s="26" t="str">
        <x:v>C/D</x:v>
      </x:c>
      <x:c r="D92" s="26" t="str">
        <x:v>Manual + Automatizada</x:v>
      </x:c>
      <x:c r="E92" s="26" t="str">
        <x:v>P1</x:v>
      </x:c>
      <x:c r="F92" s="26" t="str">
        <x:v>Parcial</x:v>
      </x:c>
      <x:c r="G92" s="26" t="str">
        <x:v>Ready</x:v>
      </x:c>
      <x:c r="H92" s="26" t="str">
        <x:v>Not Run</x:v>
      </x:c>
      <x:c r="I92" s="26"/>
      <x:c r="J92" s="26"/>
      <x:c r="K92" s="26"/>
      <x:c r="L92" s="26" t="str">
        <x:v>02_Vertical_Slice_Specification.md</x:v>
      </x:c>
      <x:c r="M92" s="26"/>
    </x:row>
    <x:row r="93" ht="30" customHeight="1">
      <x:c r="A93" s="26" t="str">
        <x:v>TC-VS-TST-007</x:v>
      </x:c>
      <x:c r="B93" s="26" t="str">
        <x:v>VS-TST-007</x:v>
      </x:c>
      <x:c r="C93" s="26" t="str">
        <x:v>B/C</x:v>
      </x:c>
      <x:c r="D93" s="26" t="str">
        <x:v>Manual + Automatizada</x:v>
      </x:c>
      <x:c r="E93" s="26" t="str">
        <x:v>P1</x:v>
      </x:c>
      <x:c r="F93" s="26" t="str">
        <x:v>Parcial</x:v>
      </x:c>
      <x:c r="G93" s="26" t="str">
        <x:v>Ready</x:v>
      </x:c>
      <x:c r="H93" s="26" t="str">
        <x:v>Not Run</x:v>
      </x:c>
      <x:c r="I93" s="26"/>
      <x:c r="J93" s="26"/>
      <x:c r="K93" s="26"/>
      <x:c r="L93" s="26" t="str">
        <x:v>02_Vertical_Slice_Specification.md</x:v>
      </x:c>
      <x:c r="M93" s="26"/>
    </x:row>
    <x:row r="94" ht="30" customHeight="1">
      <x:c r="A94" s="26" t="str">
        <x:v>TC-VS-TST-008</x:v>
      </x:c>
      <x:c r="B94" s="26" t="str">
        <x:v>VS-TST-008</x:v>
      </x:c>
      <x:c r="C94" s="26" t="str">
        <x:v>B/C</x:v>
      </x:c>
      <x:c r="D94" s="26" t="str">
        <x:v>Manual + Automatizada</x:v>
      </x:c>
      <x:c r="E94" s="26" t="str">
        <x:v>P1</x:v>
      </x:c>
      <x:c r="F94" s="26" t="str">
        <x:v>Parcial</x:v>
      </x:c>
      <x:c r="G94" s="26" t="str">
        <x:v>Ready</x:v>
      </x:c>
      <x:c r="H94" s="26" t="str">
        <x:v>Not Run</x:v>
      </x:c>
      <x:c r="I94" s="26"/>
      <x:c r="J94" s="26"/>
      <x:c r="K94" s="26"/>
      <x:c r="L94" s="26" t="str">
        <x:v>02_Vertical_Slice_Specification.md</x:v>
      </x:c>
      <x:c r="M94" s="26"/>
    </x:row>
    <x:row r="95" ht="30" customHeight="1">
      <x:c r="A95" s="26" t="str">
        <x:v>TC-VS-TST-009</x:v>
      </x:c>
      <x:c r="B95" s="26" t="str">
        <x:v>VS-TST-009</x:v>
      </x:c>
      <x:c r="C95" s="26" t="str">
        <x:v>B/C</x:v>
      </x:c>
      <x:c r="D95" s="26" t="str">
        <x:v>Manual + Automatizada</x:v>
      </x:c>
      <x:c r="E95" s="26" t="str">
        <x:v>P1</x:v>
      </x:c>
      <x:c r="F95" s="26" t="str">
        <x:v>Parcial</x:v>
      </x:c>
      <x:c r="G95" s="26" t="str">
        <x:v>Ready</x:v>
      </x:c>
      <x:c r="H95" s="26" t="str">
        <x:v>Not Run</x:v>
      </x:c>
      <x:c r="I95" s="26"/>
      <x:c r="J95" s="26"/>
      <x:c r="K95" s="26"/>
      <x:c r="L95" s="26" t="str">
        <x:v>02_Vertical_Slice_Specification.md</x:v>
      </x:c>
      <x:c r="M95" s="26"/>
    </x:row>
    <x:row r="96" ht="30" customHeight="1">
      <x:c r="A96" s="26" t="str">
        <x:v>TC-VS-TST-010</x:v>
      </x:c>
      <x:c r="B96" s="26" t="str">
        <x:v>VS-TST-010</x:v>
      </x:c>
      <x:c r="C96" s="26" t="str">
        <x:v>B/C</x:v>
      </x:c>
      <x:c r="D96" s="26" t="str">
        <x:v>Manual + Automatizada</x:v>
      </x:c>
      <x:c r="E96" s="26" t="str">
        <x:v>P1</x:v>
      </x:c>
      <x:c r="F96" s="26" t="str">
        <x:v>Parcial</x:v>
      </x:c>
      <x:c r="G96" s="26" t="str">
        <x:v>Ready</x:v>
      </x:c>
      <x:c r="H96" s="26" t="str">
        <x:v>Not Run</x:v>
      </x:c>
      <x:c r="I96" s="26"/>
      <x:c r="J96" s="26"/>
      <x:c r="K96" s="26"/>
      <x:c r="L96" s="26" t="str">
        <x:v>02_Vertical_Slice_Specification.md</x:v>
      </x:c>
      <x:c r="M96" s="26"/>
    </x:row>
    <x:row r="97" ht="30" customHeight="1">
      <x:c r="A97" s="26" t="str">
        <x:v>TC-VS-TST-011</x:v>
      </x:c>
      <x:c r="B97" s="26" t="str">
        <x:v>VS-TST-011</x:v>
      </x:c>
      <x:c r="C97" s="26" t="str">
        <x:v>A/C</x:v>
      </x:c>
      <x:c r="D97" s="26" t="str">
        <x:v>Manual + Automatizada</x:v>
      </x:c>
      <x:c r="E97" s="26" t="str">
        <x:v>P1</x:v>
      </x:c>
      <x:c r="F97" s="26" t="str">
        <x:v>Parcial</x:v>
      </x:c>
      <x:c r="G97" s="26" t="str">
        <x:v>Ready</x:v>
      </x:c>
      <x:c r="H97" s="26" t="str">
        <x:v>Not Run</x:v>
      </x:c>
      <x:c r="I97" s="26"/>
      <x:c r="J97" s="26"/>
      <x:c r="K97" s="26"/>
      <x:c r="L97" s="26" t="str">
        <x:v>02_Vertical_Slice_Specification.md</x:v>
      </x:c>
      <x:c r="M97" s="26"/>
    </x:row>
    <x:row r="98" ht="30" customHeight="1">
      <x:c r="A98" s="26" t="str">
        <x:v>TC-VS-TST-012</x:v>
      </x:c>
      <x:c r="B98" s="26" t="str">
        <x:v>VS-TST-012</x:v>
      </x:c>
      <x:c r="C98" s="26" t="str">
        <x:v>A/C</x:v>
      </x:c>
      <x:c r="D98" s="26" t="str">
        <x:v>Manual + Automatizada</x:v>
      </x:c>
      <x:c r="E98" s="26" t="str">
        <x:v>P1</x:v>
      </x:c>
      <x:c r="F98" s="26" t="str">
        <x:v>Parcial</x:v>
      </x:c>
      <x:c r="G98" s="26" t="str">
        <x:v>Ready</x:v>
      </x:c>
      <x:c r="H98" s="26" t="str">
        <x:v>Not Run</x:v>
      </x:c>
      <x:c r="I98" s="26"/>
      <x:c r="J98" s="26"/>
      <x:c r="K98" s="26"/>
      <x:c r="L98" s="26" t="str">
        <x:v>02_Vertical_Slice_Specification.md</x:v>
      </x:c>
      <x:c r="M98" s="26"/>
    </x:row>
    <x:row r="99" ht="30" customHeight="1">
      <x:c r="A99" s="26" t="str">
        <x:v>TC-VS-TST-013</x:v>
      </x:c>
      <x:c r="B99" s="26" t="str">
        <x:v>VS-TST-013</x:v>
      </x:c>
      <x:c r="C99" s="26" t="str">
        <x:v>A/C</x:v>
      </x:c>
      <x:c r="D99" s="26" t="str">
        <x:v>Manual + Automatizada</x:v>
      </x:c>
      <x:c r="E99" s="26" t="str">
        <x:v>P1</x:v>
      </x:c>
      <x:c r="F99" s="26" t="str">
        <x:v>Parcial</x:v>
      </x:c>
      <x:c r="G99" s="26" t="str">
        <x:v>Ready</x:v>
      </x:c>
      <x:c r="H99" s="26" t="str">
        <x:v>Not Run</x:v>
      </x:c>
      <x:c r="I99" s="26"/>
      <x:c r="J99" s="26"/>
      <x:c r="K99" s="26"/>
      <x:c r="L99" s="26" t="str">
        <x:v>02_Vertical_Slice_Specification.md</x:v>
      </x:c>
      <x:c r="M99" s="26"/>
    </x:row>
    <x:row r="100" ht="30" customHeight="1">
      <x:c r="A100" s="26" t="str">
        <x:v>TC-VS-TST-014</x:v>
      </x:c>
      <x:c r="B100" s="26" t="str">
        <x:v>VS-TST-014</x:v>
      </x:c>
      <x:c r="C100" s="26" t="str">
        <x:v>A/C</x:v>
      </x:c>
      <x:c r="D100" s="26" t="str">
        <x:v>Manual + Automatizada</x:v>
      </x:c>
      <x:c r="E100" s="26" t="str">
        <x:v>P1</x:v>
      </x:c>
      <x:c r="F100" s="26" t="str">
        <x:v>Parcial</x:v>
      </x:c>
      <x:c r="G100" s="26" t="str">
        <x:v>Ready</x:v>
      </x:c>
      <x:c r="H100" s="26" t="str">
        <x:v>Not Run</x:v>
      </x:c>
      <x:c r="I100" s="26"/>
      <x:c r="J100" s="26"/>
      <x:c r="K100" s="26"/>
      <x:c r="L100" s="26" t="str">
        <x:v>02_Vertical_Slice_Specification.md</x:v>
      </x:c>
      <x:c r="M100" s="26"/>
    </x:row>
    <x:row r="101" ht="30" customHeight="1">
      <x:c r="A101" s="26" t="str">
        <x:v>TC-VS-TST-015</x:v>
      </x:c>
      <x:c r="B101" s="26" t="str">
        <x:v>VS-TST-015</x:v>
      </x:c>
      <x:c r="C101" s="26" t="str">
        <x:v>A/C</x:v>
      </x:c>
      <x:c r="D101" s="26" t="str">
        <x:v>Manual + Automatizada</x:v>
      </x:c>
      <x:c r="E101" s="26" t="str">
        <x:v>P1</x:v>
      </x:c>
      <x:c r="F101" s="26" t="str">
        <x:v>Parcial</x:v>
      </x:c>
      <x:c r="G101" s="26" t="str">
        <x:v>Ready</x:v>
      </x:c>
      <x:c r="H101" s="26" t="str">
        <x:v>Not Run</x:v>
      </x:c>
      <x:c r="I101" s="26"/>
      <x:c r="J101" s="26"/>
      <x:c r="K101" s="26"/>
      <x:c r="L101" s="26" t="str">
        <x:v>02_Vertical_Slice_Specification.md</x:v>
      </x:c>
      <x:c r="M101" s="26"/>
    </x:row>
    <x:row r="102" ht="30" customHeight="1">
      <x:c r="A102" s="26" t="str">
        <x:v>TC-VS-TST-016</x:v>
      </x:c>
      <x:c r="B102" s="26" t="str">
        <x:v>VS-TST-016</x:v>
      </x:c>
      <x:c r="C102" s="26" t="str">
        <x:v>A/C</x:v>
      </x:c>
      <x:c r="D102" s="26" t="str">
        <x:v>Manual + Automatizada</x:v>
      </x:c>
      <x:c r="E102" s="26" t="str">
        <x:v>P1</x:v>
      </x:c>
      <x:c r="F102" s="26" t="str">
        <x:v>Parcial</x:v>
      </x:c>
      <x:c r="G102" s="26" t="str">
        <x:v>Ready</x:v>
      </x:c>
      <x:c r="H102" s="26" t="str">
        <x:v>Not Run</x:v>
      </x:c>
      <x:c r="I102" s="26"/>
      <x:c r="J102" s="26"/>
      <x:c r="K102" s="26"/>
      <x:c r="L102" s="26" t="str">
        <x:v>02_Vertical_Slice_Specification.md</x:v>
      </x:c>
      <x:c r="M102" s="26"/>
    </x:row>
    <x:row r="103" ht="30" customHeight="1">
      <x:c r="A103" s="26" t="str">
        <x:v>TC-VS-TST-017</x:v>
      </x:c>
      <x:c r="B103" s="26" t="str">
        <x:v>VS-TST-017</x:v>
      </x:c>
      <x:c r="C103" s="26" t="str">
        <x:v>A/C</x:v>
      </x:c>
      <x:c r="D103" s="26" t="str">
        <x:v>Manual + Automatizada</x:v>
      </x:c>
      <x:c r="E103" s="26" t="str">
        <x:v>P1</x:v>
      </x:c>
      <x:c r="F103" s="26" t="str">
        <x:v>Parcial</x:v>
      </x:c>
      <x:c r="G103" s="26" t="str">
        <x:v>Ready</x:v>
      </x:c>
      <x:c r="H103" s="26" t="str">
        <x:v>Not Run</x:v>
      </x:c>
      <x:c r="I103" s="26"/>
      <x:c r="J103" s="26"/>
      <x:c r="K103" s="26"/>
      <x:c r="L103" s="26" t="str">
        <x:v>02_Vertical_Slice_Specification.md</x:v>
      </x:c>
      <x:c r="M103" s="26"/>
    </x:row>
    <x:row r="104" ht="30" customHeight="1">
      <x:c r="A104" s="26" t="str">
        <x:v>TC-VS-TST-018</x:v>
      </x:c>
      <x:c r="B104" s="26" t="str">
        <x:v>VS-TST-018</x:v>
      </x:c>
      <x:c r="C104" s="26" t="str">
        <x:v>A/C</x:v>
      </x:c>
      <x:c r="D104" s="26" t="str">
        <x:v>Manual + Automatizada</x:v>
      </x:c>
      <x:c r="E104" s="26" t="str">
        <x:v>P1</x:v>
      </x:c>
      <x:c r="F104" s="26" t="str">
        <x:v>Parcial</x:v>
      </x:c>
      <x:c r="G104" s="26" t="str">
        <x:v>Ready</x:v>
      </x:c>
      <x:c r="H104" s="26" t="str">
        <x:v>Not Run</x:v>
      </x:c>
      <x:c r="I104" s="26"/>
      <x:c r="J104" s="26"/>
      <x:c r="K104" s="26"/>
      <x:c r="L104" s="26" t="str">
        <x:v>02_Vertical_Slice_Specification.md</x:v>
      </x:c>
      <x:c r="M104" s="26"/>
    </x:row>
    <x:row r="105" ht="30" customHeight="1">
      <x:c r="A105" s="26" t="str">
        <x:v>TC-VS-TST-019</x:v>
      </x:c>
      <x:c r="B105" s="26" t="str">
        <x:v>VS-TST-019</x:v>
      </x:c>
      <x:c r="C105" s="26" t="str">
        <x:v>C/F</x:v>
      </x:c>
      <x:c r="D105" s="26" t="str">
        <x:v>Manual + Automatizada</x:v>
      </x:c>
      <x:c r="E105" s="26" t="str">
        <x:v>P1</x:v>
      </x:c>
      <x:c r="F105" s="26" t="str">
        <x:v>Parcial</x:v>
      </x:c>
      <x:c r="G105" s="26" t="str">
        <x:v>Ready</x:v>
      </x:c>
      <x:c r="H105" s="26" t="str">
        <x:v>Not Run</x:v>
      </x:c>
      <x:c r="I105" s="26"/>
      <x:c r="J105" s="26"/>
      <x:c r="K105" s="26"/>
      <x:c r="L105" s="26" t="str">
        <x:v>02_Vertical_Slice_Specification.md</x:v>
      </x:c>
      <x:c r="M105" s="26"/>
    </x:row>
    <x:row r="106" ht="30" customHeight="1">
      <x:c r="A106" s="26" t="str">
        <x:v>TC-VS-TST-020</x:v>
      </x:c>
      <x:c r="B106" s="26" t="str">
        <x:v>VS-TST-020</x:v>
      </x:c>
      <x:c r="C106" s="26" t="str">
        <x:v>C/D</x:v>
      </x:c>
      <x:c r="D106" s="26" t="str">
        <x:v>Manual + Automatizada</x:v>
      </x:c>
      <x:c r="E106" s="26" t="str">
        <x:v>P1</x:v>
      </x:c>
      <x:c r="F106" s="26" t="str">
        <x:v>Parcial</x:v>
      </x:c>
      <x:c r="G106" s="26" t="str">
        <x:v>Ready</x:v>
      </x:c>
      <x:c r="H106" s="26" t="str">
        <x:v>Not Run</x:v>
      </x:c>
      <x:c r="I106" s="26"/>
      <x:c r="J106" s="26"/>
      <x:c r="K106" s="26"/>
      <x:c r="L106" s="26" t="str">
        <x:v>02_Vertical_Slice_Specification.md</x:v>
      </x:c>
      <x:c r="M106" s="26"/>
    </x:row>
    <x:row r="107" ht="30" customHeight="1">
      <x:c r="A107" s="26" t="str">
        <x:v>TC-VS-TST-021</x:v>
      </x:c>
      <x:c r="B107" s="26" t="str">
        <x:v>VS-TST-021</x:v>
      </x:c>
      <x:c r="C107" s="26" t="str">
        <x:v>A/C</x:v>
      </x:c>
      <x:c r="D107" s="26" t="str">
        <x:v>Manual + Automatizada</x:v>
      </x:c>
      <x:c r="E107" s="26" t="str">
        <x:v>P1</x:v>
      </x:c>
      <x:c r="F107" s="26" t="str">
        <x:v>Parcial</x:v>
      </x:c>
      <x:c r="G107" s="26" t="str">
        <x:v>Ready</x:v>
      </x:c>
      <x:c r="H107" s="26" t="str">
        <x:v>Not Run</x:v>
      </x:c>
      <x:c r="I107" s="26"/>
      <x:c r="J107" s="26"/>
      <x:c r="K107" s="26"/>
      <x:c r="L107" s="26" t="str">
        <x:v>02_Vertical_Slice_Specification.md</x:v>
      </x:c>
      <x:c r="M107" s="26"/>
    </x:row>
    <x:row r="108" ht="30" customHeight="1">
      <x:c r="A108" s="26" t="str">
        <x:v>TC-VS-TST-022</x:v>
      </x:c>
      <x:c r="B108" s="26" t="str">
        <x:v>VS-TST-022</x:v>
      </x:c>
      <x:c r="C108" s="26" t="str">
        <x:v>A/C</x:v>
      </x:c>
      <x:c r="D108" s="26" t="str">
        <x:v>Manual + Automatizada</x:v>
      </x:c>
      <x:c r="E108" s="26" t="str">
        <x:v>P1</x:v>
      </x:c>
      <x:c r="F108" s="26" t="str">
        <x:v>Parcial</x:v>
      </x:c>
      <x:c r="G108" s="26" t="str">
        <x:v>Ready</x:v>
      </x:c>
      <x:c r="H108" s="26" t="str">
        <x:v>Not Run</x:v>
      </x:c>
      <x:c r="I108" s="26"/>
      <x:c r="J108" s="26"/>
      <x:c r="K108" s="26"/>
      <x:c r="L108" s="26" t="str">
        <x:v>02_Vertical_Slice_Specification.md</x:v>
      </x:c>
      <x:c r="M108" s="26"/>
    </x:row>
    <x:row r="109" ht="30" customHeight="1">
      <x:c r="A109" s="26" t="str">
        <x:v>TC-VS-TST-023</x:v>
      </x:c>
      <x:c r="B109" s="26" t="str">
        <x:v>VS-TST-023</x:v>
      </x:c>
      <x:c r="C109" s="26" t="str">
        <x:v>C/F</x:v>
      </x:c>
      <x:c r="D109" s="26" t="str">
        <x:v>Manual + Automatizada</x:v>
      </x:c>
      <x:c r="E109" s="26" t="str">
        <x:v>P1</x:v>
      </x:c>
      <x:c r="F109" s="26" t="str">
        <x:v>Parcial</x:v>
      </x:c>
      <x:c r="G109" s="26" t="str">
        <x:v>Ready</x:v>
      </x:c>
      <x:c r="H109" s="26" t="str">
        <x:v>Not Run</x:v>
      </x:c>
      <x:c r="I109" s="26"/>
      <x:c r="J109" s="26"/>
      <x:c r="K109" s="26"/>
      <x:c r="L109" s="26" t="str">
        <x:v>02_Vertical_Slice_Specification.md</x:v>
      </x:c>
      <x:c r="M109" s="26"/>
    </x:row>
    <x:row r="110" ht="30" customHeight="1">
      <x:c r="A110" s="26" t="str">
        <x:v>TC-VS-TST-024</x:v>
      </x:c>
      <x:c r="B110" s="26" t="str">
        <x:v>VS-TST-024</x:v>
      </x:c>
      <x:c r="C110" s="26" t="str">
        <x:v>A/C</x:v>
      </x:c>
      <x:c r="D110" s="26" t="str">
        <x:v>Manual + Automatizada</x:v>
      </x:c>
      <x:c r="E110" s="26" t="str">
        <x:v>P1</x:v>
      </x:c>
      <x:c r="F110" s="26" t="str">
        <x:v>Parcial</x:v>
      </x:c>
      <x:c r="G110" s="26" t="str">
        <x:v>Ready</x:v>
      </x:c>
      <x:c r="H110" s="26" t="str">
        <x:v>Not Run</x:v>
      </x:c>
      <x:c r="I110" s="26"/>
      <x:c r="J110" s="26"/>
      <x:c r="K110" s="26"/>
      <x:c r="L110" s="26" t="str">
        <x:v>02_Vertical_Slice_Specification.md</x:v>
      </x:c>
      <x:c r="M110" s="26"/>
    </x:row>
    <x:row r="111" ht="30" customHeight="1">
      <x:c r="A111" s="26" t="str">
        <x:v>TC-VS-TST-025</x:v>
      </x:c>
      <x:c r="B111" s="26" t="str">
        <x:v>VS-TST-025</x:v>
      </x:c>
      <x:c r="C111" s="26" t="str">
        <x:v>A/C</x:v>
      </x:c>
      <x:c r="D111" s="26" t="str">
        <x:v>Manual + Automatizada</x:v>
      </x:c>
      <x:c r="E111" s="26" t="str">
        <x:v>P1</x:v>
      </x:c>
      <x:c r="F111" s="26" t="str">
        <x:v>Parcial</x:v>
      </x:c>
      <x:c r="G111" s="26" t="str">
        <x:v>Ready</x:v>
      </x:c>
      <x:c r="H111" s="26" t="str">
        <x:v>Not Run</x:v>
      </x:c>
      <x:c r="I111" s="26"/>
      <x:c r="J111" s="26"/>
      <x:c r="K111" s="26"/>
      <x:c r="L111" s="26" t="str">
        <x:v>02_Vertical_Slice_Specification.md</x:v>
      </x:c>
      <x:c r="M111" s="26"/>
    </x:row>
    <x:row r="112" ht="30" customHeight="1">
      <x:c r="A112" s="26" t="str">
        <x:v>TC-VS-TST-026</x:v>
      </x:c>
      <x:c r="B112" s="26" t="str">
        <x:v>VS-TST-026</x:v>
      </x:c>
      <x:c r="C112" s="26" t="str">
        <x:v>A/F</x:v>
      </x:c>
      <x:c r="D112" s="26" t="str">
        <x:v>Manual + Automatizada</x:v>
      </x:c>
      <x:c r="E112" s="26" t="str">
        <x:v>P1</x:v>
      </x:c>
      <x:c r="F112" s="26" t="str">
        <x:v>Parcial</x:v>
      </x:c>
      <x:c r="G112" s="26" t="str">
        <x:v>Ready</x:v>
      </x:c>
      <x:c r="H112" s="26" t="str">
        <x:v>Not Run</x:v>
      </x:c>
      <x:c r="I112" s="26"/>
      <x:c r="J112" s="26"/>
      <x:c r="K112" s="26"/>
      <x:c r="L112" s="26" t="str">
        <x:v>02_Vertical_Slice_Specification.md</x:v>
      </x:c>
      <x:c r="M112" s="26"/>
    </x:row>
    <x:row r="113" ht="30" customHeight="1">
      <x:c r="A113" s="26" t="str">
        <x:v>TC-VS-TST-027</x:v>
      </x:c>
      <x:c r="B113" s="26" t="str">
        <x:v>VS-TST-027</x:v>
      </x:c>
      <x:c r="C113" s="26" t="str">
        <x:v>A/F</x:v>
      </x:c>
      <x:c r="D113" s="26" t="str">
        <x:v>Manual + Automatizada</x:v>
      </x:c>
      <x:c r="E113" s="26" t="str">
        <x:v>P1</x:v>
      </x:c>
      <x:c r="F113" s="26" t="str">
        <x:v>Parcial</x:v>
      </x:c>
      <x:c r="G113" s="26" t="str">
        <x:v>Ready</x:v>
      </x:c>
      <x:c r="H113" s="26" t="str">
        <x:v>Not Run</x:v>
      </x:c>
      <x:c r="I113" s="26"/>
      <x:c r="J113" s="26"/>
      <x:c r="K113" s="26"/>
      <x:c r="L113" s="26" t="str">
        <x:v>02_Vertical_Slice_Specification.md</x:v>
      </x:c>
      <x:c r="M113" s="26"/>
    </x:row>
    <x:row r="114" ht="30" customHeight="1">
      <x:c r="A114" s="26" t="str">
        <x:v>TC-VS-TST-028</x:v>
      </x:c>
      <x:c r="B114" s="26" t="str">
        <x:v>VS-TST-028</x:v>
      </x:c>
      <x:c r="C114" s="26" t="str">
        <x:v>C/D</x:v>
      </x:c>
      <x:c r="D114" s="26" t="str">
        <x:v>Manual + Automatizada</x:v>
      </x:c>
      <x:c r="E114" s="26" t="str">
        <x:v>P1</x:v>
      </x:c>
      <x:c r="F114" s="26" t="str">
        <x:v>Parcial</x:v>
      </x:c>
      <x:c r="G114" s="26" t="str">
        <x:v>Ready</x:v>
      </x:c>
      <x:c r="H114" s="26" t="str">
        <x:v>Not Run</x:v>
      </x:c>
      <x:c r="I114" s="26"/>
      <x:c r="J114" s="26"/>
      <x:c r="K114" s="26"/>
      <x:c r="L114" s="26" t="str">
        <x:v>02_Vertical_Slice_Specification.md</x:v>
      </x:c>
      <x:c r="M114" s="26"/>
    </x:row>
    <x:row r="115" ht="30" customHeight="1">
      <x:c r="A115" s="26" t="str">
        <x:v>TC-VS-TST-029</x:v>
      </x:c>
      <x:c r="B115" s="26" t="str">
        <x:v>VS-TST-029</x:v>
      </x:c>
      <x:c r="C115" s="26" t="str">
        <x:v>C/D</x:v>
      </x:c>
      <x:c r="D115" s="26" t="str">
        <x:v>Manual + Automatizada</x:v>
      </x:c>
      <x:c r="E115" s="26" t="str">
        <x:v>P1</x:v>
      </x:c>
      <x:c r="F115" s="26" t="str">
        <x:v>Parcial</x:v>
      </x:c>
      <x:c r="G115" s="26" t="str">
        <x:v>Ready</x:v>
      </x:c>
      <x:c r="H115" s="26" t="str">
        <x:v>Not Run</x:v>
      </x:c>
      <x:c r="I115" s="26"/>
      <x:c r="J115" s="26"/>
      <x:c r="K115" s="26"/>
      <x:c r="L115" s="26" t="str">
        <x:v>02_Vertical_Slice_Specification.md</x:v>
      </x:c>
      <x:c r="M115" s="26"/>
    </x:row>
    <x:row r="116" ht="30" customHeight="1">
      <x:c r="A116" s="26" t="str">
        <x:v>TC-VS-TST-030</x:v>
      </x:c>
      <x:c r="B116" s="26" t="str">
        <x:v>VS-TST-030</x:v>
      </x:c>
      <x:c r="C116" s="26" t="str">
        <x:v>A/D</x:v>
      </x:c>
      <x:c r="D116" s="26" t="str">
        <x:v>Manual + Automatizada</x:v>
      </x:c>
      <x:c r="E116" s="26" t="str">
        <x:v>P1</x:v>
      </x:c>
      <x:c r="F116" s="26" t="str">
        <x:v>Parcial</x:v>
      </x:c>
      <x:c r="G116" s="26" t="str">
        <x:v>Ready</x:v>
      </x:c>
      <x:c r="H116" s="26" t="str">
        <x:v>Not Run</x:v>
      </x:c>
      <x:c r="I116" s="26"/>
      <x:c r="J116" s="26"/>
      <x:c r="K116" s="26"/>
      <x:c r="L116" s="26" t="str">
        <x:v>02_Vertical_Slice_Specification.md</x:v>
      </x:c>
      <x:c r="M116" s="26"/>
    </x:row>
    <x:row r="117" ht="30" customHeight="1">
      <x:c r="A117" s="26" t="str">
        <x:v>TC-VS-TST-031</x:v>
      </x:c>
      <x:c r="B117" s="26" t="str">
        <x:v>VS-TST-031</x:v>
      </x:c>
      <x:c r="C117" s="26" t="str">
        <x:v>B/E</x:v>
      </x:c>
      <x:c r="D117" s="26" t="str">
        <x:v>Manual + Automatizada</x:v>
      </x:c>
      <x:c r="E117" s="26" t="str">
        <x:v>P1</x:v>
      </x:c>
      <x:c r="F117" s="26" t="str">
        <x:v>Parcial</x:v>
      </x:c>
      <x:c r="G117" s="26" t="str">
        <x:v>Ready</x:v>
      </x:c>
      <x:c r="H117" s="26" t="str">
        <x:v>Not Run</x:v>
      </x:c>
      <x:c r="I117" s="26"/>
      <x:c r="J117" s="26"/>
      <x:c r="K117" s="26"/>
      <x:c r="L117" s="26" t="str">
        <x:v>02_Vertical_Slice_Specification.md</x:v>
      </x:c>
      <x:c r="M117" s="26"/>
    </x:row>
    <x:row r="118" ht="30" customHeight="1">
      <x:c r="A118" s="26" t="str">
        <x:v>TC-VS-TST-032</x:v>
      </x:c>
      <x:c r="B118" s="26" t="str">
        <x:v>VS-TST-032</x:v>
      </x:c>
      <x:c r="C118" s="26" t="str">
        <x:v>C/D</x:v>
      </x:c>
      <x:c r="D118" s="26" t="str">
        <x:v>Manual + Automatizada</x:v>
      </x:c>
      <x:c r="E118" s="26" t="str">
        <x:v>P1</x:v>
      </x:c>
      <x:c r="F118" s="26" t="str">
        <x:v>Parcial</x:v>
      </x:c>
      <x:c r="G118" s="26" t="str">
        <x:v>Ready</x:v>
      </x:c>
      <x:c r="H118" s="26" t="str">
        <x:v>Not Run</x:v>
      </x:c>
      <x:c r="I118" s="26"/>
      <x:c r="J118" s="26"/>
      <x:c r="K118" s="26"/>
      <x:c r="L118" s="26" t="str">
        <x:v>02_Vertical_Slice_Specification.md</x:v>
      </x:c>
      <x:c r="M118" s="26"/>
    </x:row>
    <x:row r="119" ht="30" customHeight="1">
      <x:c r="A119" s="26" t="str">
        <x:v>TC-VS-TST-033</x:v>
      </x:c>
      <x:c r="B119" s="26" t="str">
        <x:v>VS-TST-033</x:v>
      </x:c>
      <x:c r="C119" s="26" t="str">
        <x:v>C/E</x:v>
      </x:c>
      <x:c r="D119" s="26" t="str">
        <x:v>Manual + Automatizada</x:v>
      </x:c>
      <x:c r="E119" s="26" t="str">
        <x:v>P1</x:v>
      </x:c>
      <x:c r="F119" s="26" t="str">
        <x:v>Parcial</x:v>
      </x:c>
      <x:c r="G119" s="26" t="str">
        <x:v>Ready</x:v>
      </x:c>
      <x:c r="H119" s="26" t="str">
        <x:v>Not Run</x:v>
      </x:c>
      <x:c r="I119" s="26"/>
      <x:c r="J119" s="26"/>
      <x:c r="K119" s="26"/>
      <x:c r="L119" s="26" t="str">
        <x:v>02_Vertical_Slice_Specification.md</x:v>
      </x:c>
      <x:c r="M119" s="26"/>
    </x:row>
    <x:row r="120" ht="30" customHeight="1">
      <x:c r="A120" s="26" t="str">
        <x:v>TC-VS-TST-034</x:v>
      </x:c>
      <x:c r="B120" s="26" t="str">
        <x:v>VS-TST-034</x:v>
      </x:c>
      <x:c r="C120" s="26" t="str">
        <x:v>C/E</x:v>
      </x:c>
      <x:c r="D120" s="26" t="str">
        <x:v>Manual + Automatizada</x:v>
      </x:c>
      <x:c r="E120" s="26" t="str">
        <x:v>P1</x:v>
      </x:c>
      <x:c r="F120" s="26" t="str">
        <x:v>Parcial</x:v>
      </x:c>
      <x:c r="G120" s="26" t="str">
        <x:v>Ready</x:v>
      </x:c>
      <x:c r="H120" s="26" t="str">
        <x:v>Not Run</x:v>
      </x:c>
      <x:c r="I120" s="26"/>
      <x:c r="J120" s="26"/>
      <x:c r="K120" s="26"/>
      <x:c r="L120" s="26" t="str">
        <x:v>02_Vertical_Slice_Specification.md</x:v>
      </x:c>
      <x:c r="M120" s="26"/>
    </x:row>
    <x:row r="121" ht="30" customHeight="1">
      <x:c r="A121" s="26" t="str">
        <x:v>TC-VS-TST-035</x:v>
      </x:c>
      <x:c r="B121" s="26" t="str">
        <x:v>VS-TST-035</x:v>
      </x:c>
      <x:c r="C121" s="26" t="str">
        <x:v>C/E</x:v>
      </x:c>
      <x:c r="D121" s="26" t="str">
        <x:v>Manual + Automatizada</x:v>
      </x:c>
      <x:c r="E121" s="26" t="str">
        <x:v>P1</x:v>
      </x:c>
      <x:c r="F121" s="26" t="str">
        <x:v>Parcial</x:v>
      </x:c>
      <x:c r="G121" s="26" t="str">
        <x:v>Ready</x:v>
      </x:c>
      <x:c r="H121" s="26" t="str">
        <x:v>Not Run</x:v>
      </x:c>
      <x:c r="I121" s="26"/>
      <x:c r="J121" s="26"/>
      <x:c r="K121" s="26"/>
      <x:c r="L121" s="26" t="str">
        <x:v>02_Vertical_Slice_Specification.md</x:v>
      </x:c>
      <x:c r="M121" s="26"/>
    </x:row>
    <x:row r="122" ht="30" customHeight="1">
      <x:c r="A122" s="26" t="str">
        <x:v>TC-VS-TST-036</x:v>
      </x:c>
      <x:c r="B122" s="26" t="str">
        <x:v>VS-TST-036</x:v>
      </x:c>
      <x:c r="C122" s="26" t="str">
        <x:v>C/E</x:v>
      </x:c>
      <x:c r="D122" s="26" t="str">
        <x:v>Manual + Automatizada</x:v>
      </x:c>
      <x:c r="E122" s="26" t="str">
        <x:v>P1</x:v>
      </x:c>
      <x:c r="F122" s="26" t="str">
        <x:v>Parcial</x:v>
      </x:c>
      <x:c r="G122" s="26" t="str">
        <x:v>Ready</x:v>
      </x:c>
      <x:c r="H122" s="26" t="str">
        <x:v>Not Run</x:v>
      </x:c>
      <x:c r="I122" s="26"/>
      <x:c r="J122" s="26"/>
      <x:c r="K122" s="26"/>
      <x:c r="L122" s="26" t="str">
        <x:v>02_Vertical_Slice_Specification.md</x:v>
      </x:c>
      <x:c r="M122" s="26"/>
    </x:row>
    <x:row r="123" ht="30" customHeight="1">
      <x:c r="A123" s="26" t="str">
        <x:v>TC-VS-TST-037</x:v>
      </x:c>
      <x:c r="B123" s="26" t="str">
        <x:v>VS-TST-037</x:v>
      </x:c>
      <x:c r="C123" s="26" t="str">
        <x:v>E/F</x:v>
      </x:c>
      <x:c r="D123" s="26" t="str">
        <x:v>Manual + Automatizada</x:v>
      </x:c>
      <x:c r="E123" s="26" t="str">
        <x:v>P1</x:v>
      </x:c>
      <x:c r="F123" s="26" t="str">
        <x:v>Parcial</x:v>
      </x:c>
      <x:c r="G123" s="26" t="str">
        <x:v>Ready</x:v>
      </x:c>
      <x:c r="H123" s="26" t="str">
        <x:v>Not Run</x:v>
      </x:c>
      <x:c r="I123" s="26"/>
      <x:c r="J123" s="26"/>
      <x:c r="K123" s="26"/>
      <x:c r="L123" s="26" t="str">
        <x:v>02_Vertical_Slice_Specification.md</x:v>
      </x:c>
      <x:c r="M123" s="26"/>
    </x:row>
    <x:row r="124" ht="30" customHeight="1">
      <x:c r="A124" s="26" t="str">
        <x:v>TC-VS-TST-038</x:v>
      </x:c>
      <x:c r="B124" s="26" t="str">
        <x:v>VS-TST-038</x:v>
      </x:c>
      <x:c r="C124" s="26" t="str">
        <x:v>E/F</x:v>
      </x:c>
      <x:c r="D124" s="26" t="str">
        <x:v>Manual + Automatizada</x:v>
      </x:c>
      <x:c r="E124" s="26" t="str">
        <x:v>P1</x:v>
      </x:c>
      <x:c r="F124" s="26" t="str">
        <x:v>Parcial</x:v>
      </x:c>
      <x:c r="G124" s="26" t="str">
        <x:v>Ready</x:v>
      </x:c>
      <x:c r="H124" s="26" t="str">
        <x:v>Not Run</x:v>
      </x:c>
      <x:c r="I124" s="26"/>
      <x:c r="J124" s="26"/>
      <x:c r="K124" s="26"/>
      <x:c r="L124" s="26" t="str">
        <x:v>02_Vertical_Slice_Specification.md</x:v>
      </x:c>
      <x:c r="M124" s="26"/>
    </x:row>
    <x:row r="125" ht="30" customHeight="1">
      <x:c r="A125" s="26" t="str">
        <x:v>TC-VS-TST-039</x:v>
      </x:c>
      <x:c r="B125" s="26" t="str">
        <x:v>VS-TST-039</x:v>
      </x:c>
      <x:c r="C125" s="26" t="str">
        <x:v>E</x:v>
      </x:c>
      <x:c r="D125" s="26" t="str">
        <x:v>Manual + Automatizada</x:v>
      </x:c>
      <x:c r="E125" s="26" t="str">
        <x:v>P1</x:v>
      </x:c>
      <x:c r="F125" s="26" t="str">
        <x:v>Parcial</x:v>
      </x:c>
      <x:c r="G125" s="26" t="str">
        <x:v>Ready</x:v>
      </x:c>
      <x:c r="H125" s="26" t="str">
        <x:v>Not Run</x:v>
      </x:c>
      <x:c r="I125" s="26"/>
      <x:c r="J125" s="26"/>
      <x:c r="K125" s="26"/>
      <x:c r="L125" s="26" t="str">
        <x:v>02_Vertical_Slice_Specification.md</x:v>
      </x:c>
      <x:c r="M125" s="26"/>
    </x:row>
    <x:row r="126" ht="30" customHeight="1">
      <x:c r="A126" s="26" t="str">
        <x:v>TC-VS-TST-040</x:v>
      </x:c>
      <x:c r="B126" s="26" t="str">
        <x:v>VS-TST-040</x:v>
      </x:c>
      <x:c r="C126" s="26" t="str">
        <x:v>A/B/C</x:v>
      </x:c>
      <x:c r="D126" s="26" t="str">
        <x:v>Manual + Automatizada</x:v>
      </x:c>
      <x:c r="E126" s="26" t="str">
        <x:v>P1</x:v>
      </x:c>
      <x:c r="F126" s="26" t="str">
        <x:v>Parcial</x:v>
      </x:c>
      <x:c r="G126" s="26" t="str">
        <x:v>Ready</x:v>
      </x:c>
      <x:c r="H126" s="26" t="str">
        <x:v>Not Run</x:v>
      </x:c>
      <x:c r="I126" s="26"/>
      <x:c r="J126" s="26"/>
      <x:c r="K126" s="26"/>
      <x:c r="L126" s="26" t="str">
        <x:v>02_Vertical_Slice_Specification.md</x:v>
      </x:c>
      <x:c r="M126" s="26"/>
    </x:row>
    <x:row r="127" ht="30" customHeight="1">
      <x:c r="A127" s="26" t="str">
        <x:v>TC-UX-BOOT-001</x:v>
      </x:c>
      <x:c r="B127" s="26" t="str">
        <x:v>UX-BOOT-001</x:v>
      </x:c>
      <x:c r="C127" s="26" t="str">
        <x:v>La aplicación entra por Bootstrap.</x:v>
      </x:c>
      <x:c r="D127" s="26" t="str">
        <x:v>Manual/Review</x:v>
      </x:c>
      <x:c r="E127" s="26" t="str">
        <x:v>P1</x:v>
      </x:c>
      <x:c r="F127" s="26" t="str">
        <x:v>Parcial</x:v>
      </x:c>
      <x:c r="G127" s="26" t="str">
        <x:v>Ready</x:v>
      </x:c>
      <x:c r="H127" s="26" t="str">
        <x:v>Not Run</x:v>
      </x:c>
      <x:c r="I127" s="26"/>
      <x:c r="J127" s="26"/>
      <x:c r="K127" s="26"/>
      <x:c r="L127" s="26" t="str">
        <x:v>05_UX_Flow.md</x:v>
      </x:c>
      <x:c r="M127" s="26"/>
    </x:row>
    <x:row r="128" ht="30" customHeight="1">
      <x:c r="A128" s="26" t="str">
        <x:v>TC-UX-BOOT-002</x:v>
      </x:c>
      <x:c r="B128" s="26" t="str">
        <x:v>UX-BOOT-002</x:v>
      </x:c>
      <x:c r="C128" s="26" t="str">
        <x:v>MainMenu se carga mediante transición controlada.</x:v>
      </x:c>
      <x:c r="D128" s="26" t="str">
        <x:v>Manual/Review</x:v>
      </x:c>
      <x:c r="E128" s="26" t="str">
        <x:v>P1</x:v>
      </x:c>
      <x:c r="F128" s="26" t="str">
        <x:v>Parcial</x:v>
      </x:c>
      <x:c r="G128" s="26" t="str">
        <x:v>Ready</x:v>
      </x:c>
      <x:c r="H128" s="26" t="str">
        <x:v>Not Run</x:v>
      </x:c>
      <x:c r="I128" s="26"/>
      <x:c r="J128" s="26"/>
      <x:c r="K128" s="26"/>
      <x:c r="L128" s="26" t="str">
        <x:v>05_UX_Flow.md</x:v>
      </x:c>
      <x:c r="M128" s="26"/>
    </x:row>
    <x:row r="129" ht="30" customHeight="1">
      <x:c r="A129" s="26" t="str">
        <x:v>TC-UX-BOOT-003</x:v>
      </x:c>
      <x:c r="B129" s="26" t="str">
        <x:v>UX-BOOT-003</x:v>
      </x:c>
      <x:c r="C129" s="26" t="str">
        <x:v>No existen solicitudes concurrentes de escena.</x:v>
      </x:c>
      <x:c r="D129" s="26" t="str">
        <x:v>Manual/Review</x:v>
      </x:c>
      <x:c r="E129" s="26" t="str">
        <x:v>P1</x:v>
      </x:c>
      <x:c r="F129" s="26" t="str">
        <x:v>Parcial</x:v>
      </x:c>
      <x:c r="G129" s="26" t="str">
        <x:v>Ready</x:v>
      </x:c>
      <x:c r="H129" s="26" t="str">
        <x:v>Not Run</x:v>
      </x:c>
      <x:c r="I129" s="26"/>
      <x:c r="J129" s="26"/>
      <x:c r="K129" s="26"/>
      <x:c r="L129" s="26" t="str">
        <x:v>05_UX_Flow.md</x:v>
      </x:c>
      <x:c r="M129" s="26"/>
    </x:row>
    <x:row r="130" ht="30" customHeight="1">
      <x:c r="A130" s="26" t="str">
        <x:v>TC-UX-BOOT-004</x:v>
      </x:c>
      <x:c r="B130" s="26" t="str">
        <x:v>UX-BOOT-004</x:v>
      </x:c>
      <x:c r="C130" s="26" t="str">
        <x:v>TestLab no aparece en producción.</x:v>
      </x:c>
      <x:c r="D130" s="26" t="str">
        <x:v>Manual/Review</x:v>
      </x:c>
      <x:c r="E130" s="26" t="str">
        <x:v>P1</x:v>
      </x:c>
      <x:c r="F130" s="26" t="str">
        <x:v>Parcial</x:v>
      </x:c>
      <x:c r="G130" s="26" t="str">
        <x:v>Ready</x:v>
      </x:c>
      <x:c r="H130" s="26" t="str">
        <x:v>Not Run</x:v>
      </x:c>
      <x:c r="I130" s="26"/>
      <x:c r="J130" s="26"/>
      <x:c r="K130" s="26"/>
      <x:c r="L130" s="26" t="str">
        <x:v>05_UX_Flow.md</x:v>
      </x:c>
      <x:c r="M130" s="26"/>
    </x:row>
    <x:row r="131" ht="30" customHeight="1">
      <x:c r="A131" s="26" t="str">
        <x:v>TC-UX-BOOT-005</x:v>
      </x:c>
      <x:c r="B131" s="26" t="str">
        <x:v>UX-BOOT-005</x:v>
      </x:c>
      <x:c r="C131" s="26" t="str">
        <x:v>Un fallo de carga ofrece recuperación segura.</x:v>
      </x:c>
      <x:c r="D131" s="26" t="str">
        <x:v>Manual/Review</x:v>
      </x:c>
      <x:c r="E131" s="26" t="str">
        <x:v>P1</x:v>
      </x:c>
      <x:c r="F131" s="26" t="str">
        <x:v>Parcial</x:v>
      </x:c>
      <x:c r="G131" s="26" t="str">
        <x:v>Ready</x:v>
      </x:c>
      <x:c r="H131" s="26" t="str">
        <x:v>Not Run</x:v>
      </x:c>
      <x:c r="I131" s="26"/>
      <x:c r="J131" s="26"/>
      <x:c r="K131" s="26"/>
      <x:c r="L131" s="26" t="str">
        <x:v>05_UX_Flow.md</x:v>
      </x:c>
      <x:c r="M131" s="26"/>
    </x:row>
    <x:row r="132" ht="30" customHeight="1">
      <x:c r="A132" s="26" t="str">
        <x:v>TC-UX-BOOT-006</x:v>
      </x:c>
      <x:c r="B132" s="26" t="str">
        <x:v>UX-BOOT-006</x:v>
      </x:c>
      <x:c r="C132" s="26" t="str">
        <x:v>El clic de cierre de loading no mueve al jugador.</x:v>
      </x:c>
      <x:c r="D132" s="26" t="str">
        <x:v>Manual/Review</x:v>
      </x:c>
      <x:c r="E132" s="26" t="str">
        <x:v>P1</x:v>
      </x:c>
      <x:c r="F132" s="26" t="str">
        <x:v>Parcial</x:v>
      </x:c>
      <x:c r="G132" s="26" t="str">
        <x:v>Ready</x:v>
      </x:c>
      <x:c r="H132" s="26" t="str">
        <x:v>Not Run</x:v>
      </x:c>
      <x:c r="I132" s="26"/>
      <x:c r="J132" s="26"/>
      <x:c r="K132" s="26"/>
      <x:c r="L132" s="26" t="str">
        <x:v>05_UX_Flow.md</x:v>
      </x:c>
      <x:c r="M132" s="26"/>
    </x:row>
    <x:row r="133" ht="30" customHeight="1">
      <x:c r="A133" s="26" t="str">
        <x:v>TC-UX-SLOT-001</x:v>
      </x:c>
      <x:c r="B133" s="26" t="str">
        <x:v>UX-SLOT-001</x:v>
      </x:c>
      <x:c r="C133" s="26" t="str">
        <x:v>Un slot vacío ofrece nueva partida.</x:v>
      </x:c>
      <x:c r="D133" s="26" t="str">
        <x:v>Manual/Review</x:v>
      </x:c>
      <x:c r="E133" s="26" t="str">
        <x:v>P1</x:v>
      </x:c>
      <x:c r="F133" s="26" t="str">
        <x:v>Parcial</x:v>
      </x:c>
      <x:c r="G133" s="26" t="str">
        <x:v>Ready</x:v>
      </x:c>
      <x:c r="H133" s="26" t="str">
        <x:v>Not Run</x:v>
      </x:c>
      <x:c r="I133" s="26"/>
      <x:c r="J133" s="26"/>
      <x:c r="K133" s="26"/>
      <x:c r="L133" s="26" t="str">
        <x:v>05_UX_Flow.md</x:v>
      </x:c>
      <x:c r="M133" s="26"/>
    </x:row>
    <x:row r="134" ht="30" customHeight="1">
      <x:c r="A134" s="26" t="str">
        <x:v>TC-UX-SLOT-002</x:v>
      </x:c>
      <x:c r="B134" s="26" t="str">
        <x:v>UX-SLOT-002</x:v>
      </x:c>
      <x:c r="C134" s="26" t="str">
        <x:v>Un slot válido muestra información suficiente.</x:v>
      </x:c>
      <x:c r="D134" s="26" t="str">
        <x:v>Manual/Review</x:v>
      </x:c>
      <x:c r="E134" s="26" t="str">
        <x:v>P1</x:v>
      </x:c>
      <x:c r="F134" s="26" t="str">
        <x:v>Parcial</x:v>
      </x:c>
      <x:c r="G134" s="26" t="str">
        <x:v>Ready</x:v>
      </x:c>
      <x:c r="H134" s="26" t="str">
        <x:v>Not Run</x:v>
      </x:c>
      <x:c r="I134" s="26"/>
      <x:c r="J134" s="26"/>
      <x:c r="K134" s="26"/>
      <x:c r="L134" s="26" t="str">
        <x:v>05_UX_Flow.md</x:v>
      </x:c>
      <x:c r="M134" s="26"/>
    </x:row>
    <x:row r="135" ht="30" customHeight="1">
      <x:c r="A135" s="26" t="str">
        <x:v>TC-UX-SLOT-003</x:v>
      </x:c>
      <x:c r="B135" s="26" t="str">
        <x:v>UX-SLOT-003</x:v>
      </x:c>
      <x:c r="C135" s="26" t="str">
        <x:v>Reemplazar exige confirmación inequívoca.</x:v>
      </x:c>
      <x:c r="D135" s="26" t="str">
        <x:v>Manual/Review</x:v>
      </x:c>
      <x:c r="E135" s="26" t="str">
        <x:v>P1</x:v>
      </x:c>
      <x:c r="F135" s="26" t="str">
        <x:v>Parcial</x:v>
      </x:c>
      <x:c r="G135" s="26" t="str">
        <x:v>Ready</x:v>
      </x:c>
      <x:c r="H135" s="26" t="str">
        <x:v>Not Run</x:v>
      </x:c>
      <x:c r="I135" s="26"/>
      <x:c r="J135" s="26"/>
      <x:c r="K135" s="26"/>
      <x:c r="L135" s="26" t="str">
        <x:v>05_UX_Flow.md</x:v>
      </x:c>
      <x:c r="M135" s="26"/>
    </x:row>
    <x:row r="136" ht="30" customHeight="1">
      <x:c r="A136" s="26" t="str">
        <x:v>TC-UX-SLOT-004</x:v>
      </x:c>
      <x:c r="B136" s="26" t="str">
        <x:v>UX-SLOT-004</x:v>
      </x:c>
      <x:c r="C136" s="26" t="str">
        <x:v>Borrar exige confirmación.</x:v>
      </x:c>
      <x:c r="D136" s="26" t="str">
        <x:v>Manual/Review</x:v>
      </x:c>
      <x:c r="E136" s="26" t="str">
        <x:v>P1</x:v>
      </x:c>
      <x:c r="F136" s="26" t="str">
        <x:v>Parcial</x:v>
      </x:c>
      <x:c r="G136" s="26" t="str">
        <x:v>Ready</x:v>
      </x:c>
      <x:c r="H136" s="26" t="str">
        <x:v>Not Run</x:v>
      </x:c>
      <x:c r="I136" s="26"/>
      <x:c r="J136" s="26"/>
      <x:c r="K136" s="26"/>
      <x:c r="L136" s="26" t="str">
        <x:v>05_UX_Flow.md</x:v>
      </x:c>
      <x:c r="M136" s="26"/>
    </x:row>
    <x:row r="137" ht="30" customHeight="1">
      <x:c r="A137" s="26" t="str">
        <x:v>TC-UX-SLOT-005</x:v>
      </x:c>
      <x:c r="B137" s="26" t="str">
        <x:v>UX-SLOT-005</x:v>
      </x:c>
      <x:c r="C137" s="26" t="str">
        <x:v>El backup se ofrece cuando el primario falla.</x:v>
      </x:c>
      <x:c r="D137" s="26" t="str">
        <x:v>Manual/Review</x:v>
      </x:c>
      <x:c r="E137" s="26" t="str">
        <x:v>P1</x:v>
      </x:c>
      <x:c r="F137" s="26" t="str">
        <x:v>Parcial</x:v>
      </x:c>
      <x:c r="G137" s="26" t="str">
        <x:v>Ready</x:v>
      </x:c>
      <x:c r="H137" s="26" t="str">
        <x:v>Not Run</x:v>
      </x:c>
      <x:c r="I137" s="26"/>
      <x:c r="J137" s="26"/>
      <x:c r="K137" s="26"/>
      <x:c r="L137" s="26" t="str">
        <x:v>05_UX_Flow.md</x:v>
      </x:c>
      <x:c r="M137" s="26"/>
    </x:row>
    <x:row r="138" ht="30" customHeight="1">
      <x:c r="A138" s="26" t="str">
        <x:v>TC-UX-SLOT-006</x:v>
      </x:c>
      <x:c r="B138" s="26" t="str">
        <x:v>UX-SLOT-006</x:v>
      </x:c>
      <x:c r="C138" s="26" t="str">
        <x:v>Un error no sobrescribe el guardado existente.</x:v>
      </x:c>
      <x:c r="D138" s="26" t="str">
        <x:v>Manual/Review</x:v>
      </x:c>
      <x:c r="E138" s="26" t="str">
        <x:v>P1</x:v>
      </x:c>
      <x:c r="F138" s="26" t="str">
        <x:v>Parcial</x:v>
      </x:c>
      <x:c r="G138" s="26" t="str">
        <x:v>Ready</x:v>
      </x:c>
      <x:c r="H138" s="26" t="str">
        <x:v>Not Run</x:v>
      </x:c>
      <x:c r="I138" s="26"/>
      <x:c r="J138" s="26"/>
      <x:c r="K138" s="26"/>
      <x:c r="L138" s="26" t="str">
        <x:v>05_UX_Flow.md</x:v>
      </x:c>
      <x:c r="M138" s="26"/>
    </x:row>
    <x:row r="139" ht="30" customHeight="1">
      <x:c r="A139" s="26" t="str">
        <x:v>TC-UX-SLOT-007</x:v>
      </x:c>
      <x:c r="B139" s="26" t="str">
        <x:v>UX-SLOT-007</x:v>
      </x:c>
      <x:c r="C139" s="26" t="str">
        <x:v>La carga no finaliza antes de restaurar escena y estado.</x:v>
      </x:c>
      <x:c r="D139" s="26" t="str">
        <x:v>Manual/Review</x:v>
      </x:c>
      <x:c r="E139" s="26" t="str">
        <x:v>P1</x:v>
      </x:c>
      <x:c r="F139" s="26" t="str">
        <x:v>Parcial</x:v>
      </x:c>
      <x:c r="G139" s="26" t="str">
        <x:v>Ready</x:v>
      </x:c>
      <x:c r="H139" s="26" t="str">
        <x:v>Not Run</x:v>
      </x:c>
      <x:c r="I139" s="26"/>
      <x:c r="J139" s="26"/>
      <x:c r="K139" s="26"/>
      <x:c r="L139" s="26" t="str">
        <x:v>05_UX_Flow.md</x:v>
      </x:c>
      <x:c r="M139" s="26"/>
    </x:row>
    <x:row r="140" ht="30" customHeight="1">
      <x:c r="A140" s="26" t="str">
        <x:v>TC-UX-INP-001</x:v>
      </x:c>
      <x:c r="B140" s="26" t="str">
        <x:v>UX-INP-001</x:v>
      </x:c>
      <x:c r="C140" s="26" t="str">
        <x:v>UI y mundo no procesan el mismo clic.</x:v>
      </x:c>
      <x:c r="D140" s="26" t="str">
        <x:v>Manual/Review</x:v>
      </x:c>
      <x:c r="E140" s="26" t="str">
        <x:v>P1</x:v>
      </x:c>
      <x:c r="F140" s="26" t="str">
        <x:v>Parcial</x:v>
      </x:c>
      <x:c r="G140" s="26" t="str">
        <x:v>Ready</x:v>
      </x:c>
      <x:c r="H140" s="26" t="str">
        <x:v>Not Run</x:v>
      </x:c>
      <x:c r="I140" s="26"/>
      <x:c r="J140" s="26"/>
      <x:c r="K140" s="26"/>
      <x:c r="L140" s="26" t="str">
        <x:v>05_UX_Flow.md</x:v>
      </x:c>
      <x:c r="M140" s="26"/>
    </x:row>
    <x:row r="141" ht="30" customHeight="1">
      <x:c r="A141" s="26" t="str">
        <x:v>TC-UX-INP-002</x:v>
      </x:c>
      <x:c r="B141" s="26" t="str">
        <x:v>UX-INP-002</x:v>
      </x:c>
      <x:c r="C141" s="26" t="str">
        <x:v>Solo un contexto captura input principal.</x:v>
      </x:c>
      <x:c r="D141" s="26" t="str">
        <x:v>Manual/Review</x:v>
      </x:c>
      <x:c r="E141" s="26" t="str">
        <x:v>P1</x:v>
      </x:c>
      <x:c r="F141" s="26" t="str">
        <x:v>Parcial</x:v>
      </x:c>
      <x:c r="G141" s="26" t="str">
        <x:v>Ready</x:v>
      </x:c>
      <x:c r="H141" s="26" t="str">
        <x:v>Not Run</x:v>
      </x:c>
      <x:c r="I141" s="26"/>
      <x:c r="J141" s="26"/>
      <x:c r="K141" s="26"/>
      <x:c r="L141" s="26" t="str">
        <x:v>05_UX_Flow.md</x:v>
      </x:c>
      <x:c r="M141" s="26"/>
    </x:row>
    <x:row r="142" ht="30" customHeight="1">
      <x:c r="A142" s="26" t="str">
        <x:v>TC-UX-INP-003</x:v>
      </x:c>
      <x:c r="B142" s="26" t="str">
        <x:v>UX-INP-003</x:v>
      </x:c>
      <x:c r="C142" s="26" t="str">
        <x:v>Escape resuelve primero el contexto más profundo.</x:v>
      </x:c>
      <x:c r="D142" s="26" t="str">
        <x:v>Manual/Review</x:v>
      </x:c>
      <x:c r="E142" s="26" t="str">
        <x:v>P1</x:v>
      </x:c>
      <x:c r="F142" s="26" t="str">
        <x:v>Parcial</x:v>
      </x:c>
      <x:c r="G142" s="26" t="str">
        <x:v>Ready</x:v>
      </x:c>
      <x:c r="H142" s="26" t="str">
        <x:v>Not Run</x:v>
      </x:c>
      <x:c r="I142" s="26"/>
      <x:c r="J142" s="26"/>
      <x:c r="K142" s="26"/>
      <x:c r="L142" s="26" t="str">
        <x:v>05_UX_Flow.md</x:v>
      </x:c>
      <x:c r="M142" s="26"/>
    </x:row>
    <x:row r="143" ht="30" customHeight="1">
      <x:c r="A143" s="26" t="str">
        <x:v>TC-UX-INP-004</x:v>
      </x:c>
      <x:c r="B143" s="26" t="str">
        <x:v>UX-INP-004</x:v>
      </x:c>
      <x:c r="C143" s="26" t="str">
        <x:v>Pausa impide mutaciones de gameplay.</x:v>
      </x:c>
      <x:c r="D143" s="26" t="str">
        <x:v>Manual/Review</x:v>
      </x:c>
      <x:c r="E143" s="26" t="str">
        <x:v>P1</x:v>
      </x:c>
      <x:c r="F143" s="26" t="str">
        <x:v>Parcial</x:v>
      </x:c>
      <x:c r="G143" s="26" t="str">
        <x:v>Ready</x:v>
      </x:c>
      <x:c r="H143" s="26" t="str">
        <x:v>Not Run</x:v>
      </x:c>
      <x:c r="I143" s="26"/>
      <x:c r="J143" s="26"/>
      <x:c r="K143" s="26"/>
      <x:c r="L143" s="26" t="str">
        <x:v>05_UX_Flow.md</x:v>
      </x:c>
      <x:c r="M143" s="26"/>
    </x:row>
    <x:row r="144" ht="30" customHeight="1">
      <x:c r="A144" s="26" t="str">
        <x:v>TC-UX-INP-005</x:v>
      </x:c>
      <x:c r="B144" s="26" t="str">
        <x:v>UX-INP-005</x:v>
      </x:c>
      <x:c r="C144" s="26" t="str">
        <x:v>Las instrucciones muestran bindings vigentes.</x:v>
      </x:c>
      <x:c r="D144" s="26" t="str">
        <x:v>Manual/Review</x:v>
      </x:c>
      <x:c r="E144" s="26" t="str">
        <x:v>P1</x:v>
      </x:c>
      <x:c r="F144" s="26" t="str">
        <x:v>Parcial</x:v>
      </x:c>
      <x:c r="G144" s="26" t="str">
        <x:v>Ready</x:v>
      </x:c>
      <x:c r="H144" s="26" t="str">
        <x:v>Not Run</x:v>
      </x:c>
      <x:c r="I144" s="26"/>
      <x:c r="J144" s="26"/>
      <x:c r="K144" s="26"/>
      <x:c r="L144" s="26" t="str">
        <x:v>05_UX_Flow.md</x:v>
      </x:c>
      <x:c r="M144" s="26"/>
    </x:row>
    <x:row r="145" ht="30" customHeight="1">
      <x:c r="A145" s="26" t="str">
        <x:v>TC-UX-INP-006</x:v>
      </x:c>
      <x:c r="B145" s="26" t="str">
        <x:v>UX-INP-006</x:v>
      </x:c>
      <x:c r="C145" s="26" t="str">
        <x:v>La cámara no activa interacciones.</x:v>
      </x:c>
      <x:c r="D145" s="26" t="str">
        <x:v>Manual/Review</x:v>
      </x:c>
      <x:c r="E145" s="26" t="str">
        <x:v>P1</x:v>
      </x:c>
      <x:c r="F145" s="26" t="str">
        <x:v>Parcial</x:v>
      </x:c>
      <x:c r="G145" s="26" t="str">
        <x:v>Ready</x:v>
      </x:c>
      <x:c r="H145" s="26" t="str">
        <x:v>Not Run</x:v>
      </x:c>
      <x:c r="I145" s="26"/>
      <x:c r="J145" s="26"/>
      <x:c r="K145" s="26"/>
      <x:c r="L145" s="26" t="str">
        <x:v>05_UX_Flow.md</x:v>
      </x:c>
      <x:c r="M145" s="26"/>
    </x:row>
    <x:row r="146" ht="30" customHeight="1">
      <x:c r="A146" s="26" t="str">
        <x:v>TC-UX-BLD-001</x:v>
      </x:c>
      <x:c r="B146" s="26" t="str">
        <x:v>UX-BLD-001</x:v>
      </x:c>
      <x:c r="C146" s="26" t="str">
        <x:v>Entrar en BuildMode suprime movimiento.</x:v>
      </x:c>
      <x:c r="D146" s="26" t="str">
        <x:v>Manual/Review</x:v>
      </x:c>
      <x:c r="E146" s="26" t="str">
        <x:v>P1</x:v>
      </x:c>
      <x:c r="F146" s="26" t="str">
        <x:v>Parcial</x:v>
      </x:c>
      <x:c r="G146" s="26" t="str">
        <x:v>Ready</x:v>
      </x:c>
      <x:c r="H146" s="26" t="str">
        <x:v>Not Run</x:v>
      </x:c>
      <x:c r="I146" s="26"/>
      <x:c r="J146" s="26"/>
      <x:c r="K146" s="26"/>
      <x:c r="L146" s="26" t="str">
        <x:v>05_UX_Flow.md</x:v>
      </x:c>
      <x:c r="M146" s="26"/>
    </x:row>
    <x:row r="147" ht="30" customHeight="1">
      <x:c r="A147" s="26" t="str">
        <x:v>TC-UX-BLD-002</x:v>
      </x:c>
      <x:c r="B147" s="26" t="str">
        <x:v>UX-BLD-002</x:v>
      </x:c>
      <x:c r="C147" s="26" t="str">
        <x:v>Preview coincide con grid y huella.</x:v>
      </x:c>
      <x:c r="D147" s="26" t="str">
        <x:v>Manual/Review</x:v>
      </x:c>
      <x:c r="E147" s="26" t="str">
        <x:v>P1</x:v>
      </x:c>
      <x:c r="F147" s="26" t="str">
        <x:v>Parcial</x:v>
      </x:c>
      <x:c r="G147" s="26" t="str">
        <x:v>Ready</x:v>
      </x:c>
      <x:c r="H147" s="26" t="str">
        <x:v>Not Run</x:v>
      </x:c>
      <x:c r="I147" s="26"/>
      <x:c r="J147" s="26"/>
      <x:c r="K147" s="26"/>
      <x:c r="L147" s="26" t="str">
        <x:v>05_UX_Flow.md</x:v>
      </x:c>
      <x:c r="M147" s="26"/>
    </x:row>
    <x:row r="148" ht="30" customHeight="1">
      <x:c r="A148" s="26" t="str">
        <x:v>TC-UX-BLD-003</x:v>
      </x:c>
      <x:c r="B148" s="26" t="str">
        <x:v>UX-BLD-003</x:v>
      </x:c>
      <x:c r="C148" s="26" t="str">
        <x:v>Q/E rota y revalida.</x:v>
      </x:c>
      <x:c r="D148" s="26" t="str">
        <x:v>Manual/Review</x:v>
      </x:c>
      <x:c r="E148" s="26" t="str">
        <x:v>P1</x:v>
      </x:c>
      <x:c r="F148" s="26" t="str">
        <x:v>Parcial</x:v>
      </x:c>
      <x:c r="G148" s="26" t="str">
        <x:v>Ready</x:v>
      </x:c>
      <x:c r="H148" s="26" t="str">
        <x:v>Not Run</x:v>
      </x:c>
      <x:c r="I148" s="26"/>
      <x:c r="J148" s="26"/>
      <x:c r="K148" s="26"/>
      <x:c r="L148" s="26" t="str">
        <x:v>05_UX_Flow.md</x:v>
      </x:c>
      <x:c r="M148" s="26"/>
    </x:row>
    <x:row r="149" ht="30" customHeight="1">
      <x:c r="A149" s="26" t="str">
        <x:v>TC-UX-BLD-004</x:v>
      </x:c>
      <x:c r="B149" s="26" t="str">
        <x:v>UX-BLD-004</x:v>
      </x:c>
      <x:c r="C149" s="26" t="str">
        <x:v>Un placement inválido explica causa.</x:v>
      </x:c>
      <x:c r="D149" s="26" t="str">
        <x:v>Manual/Review</x:v>
      </x:c>
      <x:c r="E149" s="26" t="str">
        <x:v>P1</x:v>
      </x:c>
      <x:c r="F149" s="26" t="str">
        <x:v>Parcial</x:v>
      </x:c>
      <x:c r="G149" s="26" t="str">
        <x:v>Ready</x:v>
      </x:c>
      <x:c r="H149" s="26" t="str">
        <x:v>Not Run</x:v>
      </x:c>
      <x:c r="I149" s="26"/>
      <x:c r="J149" s="26"/>
      <x:c r="K149" s="26"/>
      <x:c r="L149" s="26" t="str">
        <x:v>05_UX_Flow.md</x:v>
      </x:c>
      <x:c r="M149" s="26"/>
    </x:row>
    <x:row r="150" ht="30" customHeight="1">
      <x:c r="A150" s="26" t="str">
        <x:v>TC-UX-BLD-005</x:v>
      </x:c>
      <x:c r="B150" s="26" t="str">
        <x:v>UX-BLD-005</x:v>
      </x:c>
      <x:c r="C150" s="26" t="str">
        <x:v>Un placement inválido no cobra ni ocupa.</x:v>
      </x:c>
      <x:c r="D150" s="26" t="str">
        <x:v>Manual/Review</x:v>
      </x:c>
      <x:c r="E150" s="26" t="str">
        <x:v>P1</x:v>
      </x:c>
      <x:c r="F150" s="26" t="str">
        <x:v>Parcial</x:v>
      </x:c>
      <x:c r="G150" s="26" t="str">
        <x:v>Ready</x:v>
      </x:c>
      <x:c r="H150" s="26" t="str">
        <x:v>Not Run</x:v>
      </x:c>
      <x:c r="I150" s="26"/>
      <x:c r="J150" s="26"/>
      <x:c r="K150" s="26"/>
      <x:c r="L150" s="26" t="str">
        <x:v>05_UX_Flow.md</x:v>
      </x:c>
      <x:c r="M150" s="26"/>
    </x:row>
    <x:row r="151" ht="30" customHeight="1">
      <x:c r="A151" s="26" t="str">
        <x:v>TC-UX-BLD-006</x:v>
      </x:c>
      <x:c r="B151" s="26" t="str">
        <x:v>UX-BLD-006</x:v>
      </x:c>
      <x:c r="C151" s="26" t="str">
        <x:v>Cancelar movimiento restaura estado anterior.</x:v>
      </x:c>
      <x:c r="D151" s="26" t="str">
        <x:v>Manual/Review</x:v>
      </x:c>
      <x:c r="E151" s="26" t="str">
        <x:v>P1</x:v>
      </x:c>
      <x:c r="F151" s="26" t="str">
        <x:v>Parcial</x:v>
      </x:c>
      <x:c r="G151" s="26" t="str">
        <x:v>Ready</x:v>
      </x:c>
      <x:c r="H151" s="26" t="str">
        <x:v>Not Run</x:v>
      </x:c>
      <x:c r="I151" s="26"/>
      <x:c r="J151" s="26"/>
      <x:c r="K151" s="26"/>
      <x:c r="L151" s="26" t="str">
        <x:v>05_UX_Flow.md</x:v>
      </x:c>
      <x:c r="M151" s="26"/>
    </x:row>
    <x:row r="152" ht="30" customHeight="1">
      <x:c r="A152" s="26" t="str">
        <x:v>TC-UX-BLD-007</x:v>
      </x:c>
      <x:c r="B152" s="26" t="str">
        <x:v>UX-BLD-007</x:v>
      </x:c>
      <x:c r="C152" s="26" t="str">
        <x:v>Retirar no destruye stock silenciosamente.</x:v>
      </x:c>
      <x:c r="D152" s="26" t="str">
        <x:v>Manual/Review</x:v>
      </x:c>
      <x:c r="E152" s="26" t="str">
        <x:v>P1</x:v>
      </x:c>
      <x:c r="F152" s="26" t="str">
        <x:v>Parcial</x:v>
      </x:c>
      <x:c r="G152" s="26" t="str">
        <x:v>Ready</x:v>
      </x:c>
      <x:c r="H152" s="26" t="str">
        <x:v>Not Run</x:v>
      </x:c>
      <x:c r="I152" s="26"/>
      <x:c r="J152" s="26"/>
      <x:c r="K152" s="26"/>
      <x:c r="L152" s="26" t="str">
        <x:v>05_UX_Flow.md</x:v>
      </x:c>
      <x:c r="M152" s="26"/>
    </x:row>
    <x:row r="153" ht="30" customHeight="1">
      <x:c r="A153" s="26" t="str">
        <x:v>TC-UX-BLD-008</x:v>
      </x:c>
      <x:c r="B153" s="26" t="str">
        <x:v>UX-BLD-008</x:v>
      </x:c>
      <x:c r="C153" s="26" t="str">
        <x:v>El feedback no depende solo del color.</x:v>
      </x:c>
      <x:c r="D153" s="26" t="str">
        <x:v>Manual/Review</x:v>
      </x:c>
      <x:c r="E153" s="26" t="str">
        <x:v>P1</x:v>
      </x:c>
      <x:c r="F153" s="26" t="str">
        <x:v>Parcial</x:v>
      </x:c>
      <x:c r="G153" s="26" t="str">
        <x:v>Ready</x:v>
      </x:c>
      <x:c r="H153" s="26" t="str">
        <x:v>Not Run</x:v>
      </x:c>
      <x:c r="I153" s="26"/>
      <x:c r="J153" s="26"/>
      <x:c r="K153" s="26"/>
      <x:c r="L153" s="26" t="str">
        <x:v>05_UX_Flow.md</x:v>
      </x:c>
      <x:c r="M153" s="26"/>
    </x:row>
    <x:row r="154" ht="30" customHeight="1">
      <x:c r="A154" s="26" t="str">
        <x:v>TC-UX-BLD-009</x:v>
      </x:c>
      <x:c r="B154" s="26" t="str">
        <x:v>UX-BLD-009</x:v>
      </x:c>
      <x:c r="C154" s="26" t="str">
        <x:v>Cerrar BuildMode no produce clic de mundo.</x:v>
      </x:c>
      <x:c r="D154" s="26" t="str">
        <x:v>Manual/Review</x:v>
      </x:c>
      <x:c r="E154" s="26" t="str">
        <x:v>P1</x:v>
      </x:c>
      <x:c r="F154" s="26" t="str">
        <x:v>Parcial</x:v>
      </x:c>
      <x:c r="G154" s="26" t="str">
        <x:v>Ready</x:v>
      </x:c>
      <x:c r="H154" s="26" t="str">
        <x:v>Not Run</x:v>
      </x:c>
      <x:c r="I154" s="26"/>
      <x:c r="J154" s="26"/>
      <x:c r="K154" s="26"/>
      <x:c r="L154" s="26" t="str">
        <x:v>05_UX_Flow.md</x:v>
      </x:c>
      <x:c r="M154" s="26"/>
    </x:row>
    <x:row r="155" ht="30" customHeight="1">
      <x:c r="A155" s="26" t="str">
        <x:v>TC-UX-ORD-001</x:v>
      </x:c>
      <x:c r="B155" s="26" t="str">
        <x:v>UX-ORD-001</x:v>
      </x:c>
      <x:c r="C155" s="26" t="str">
        <x:v>El pedido muestra total antes de confirmar.</x:v>
      </x:c>
      <x:c r="D155" s="26" t="str">
        <x:v>Manual/Review</x:v>
      </x:c>
      <x:c r="E155" s="26" t="str">
        <x:v>P1</x:v>
      </x:c>
      <x:c r="F155" s="26" t="str">
        <x:v>Parcial</x:v>
      </x:c>
      <x:c r="G155" s="26" t="str">
        <x:v>Ready</x:v>
      </x:c>
      <x:c r="H155" s="26" t="str">
        <x:v>Not Run</x:v>
      </x:c>
      <x:c r="I155" s="26"/>
      <x:c r="J155" s="26"/>
      <x:c r="K155" s="26"/>
      <x:c r="L155" s="26" t="str">
        <x:v>05_UX_Flow.md</x:v>
      </x:c>
      <x:c r="M155" s="26"/>
    </x:row>
    <x:row r="156" ht="30" customHeight="1">
      <x:c r="A156" s="26" t="str">
        <x:v>TC-UX-ORD-002</x:v>
      </x:c>
      <x:c r="B156" s="26" t="str">
        <x:v>UX-ORD-002</x:v>
      </x:c>
      <x:c r="C156" s="26" t="str">
        <x:v>Saldo insuficiente se explica.</x:v>
      </x:c>
      <x:c r="D156" s="26" t="str">
        <x:v>Manual/Review</x:v>
      </x:c>
      <x:c r="E156" s="26" t="str">
        <x:v>P1</x:v>
      </x:c>
      <x:c r="F156" s="26" t="str">
        <x:v>Parcial</x:v>
      </x:c>
      <x:c r="G156" s="26" t="str">
        <x:v>Ready</x:v>
      </x:c>
      <x:c r="H156" s="26" t="str">
        <x:v>Not Run</x:v>
      </x:c>
      <x:c r="I156" s="26"/>
      <x:c r="J156" s="26"/>
      <x:c r="K156" s="26"/>
      <x:c r="L156" s="26" t="str">
        <x:v>05_UX_Flow.md</x:v>
      </x:c>
      <x:c r="M156" s="26"/>
    </x:row>
    <x:row r="157" ht="30" customHeight="1">
      <x:c r="A157" s="26" t="str">
        <x:v>TC-UX-ORD-003</x:v>
      </x:c>
      <x:c r="B157" s="26" t="str">
        <x:v>UX-ORD-003</x:v>
      </x:c>
      <x:c r="C157" s="26" t="str">
        <x:v>La recepción no puede repetirse.</x:v>
      </x:c>
      <x:c r="D157" s="26" t="str">
        <x:v>Manual/Review</x:v>
      </x:c>
      <x:c r="E157" s="26" t="str">
        <x:v>P1</x:v>
      </x:c>
      <x:c r="F157" s="26" t="str">
        <x:v>Parcial</x:v>
      </x:c>
      <x:c r="G157" s="26" t="str">
        <x:v>Ready</x:v>
      </x:c>
      <x:c r="H157" s="26" t="str">
        <x:v>Not Run</x:v>
      </x:c>
      <x:c r="I157" s="26"/>
      <x:c r="J157" s="26"/>
      <x:c r="K157" s="26"/>
      <x:c r="L157" s="26" t="str">
        <x:v>05_UX_Flow.md</x:v>
      </x:c>
      <x:c r="M157" s="26"/>
    </x:row>
    <x:row r="158" ht="30" customHeight="1">
      <x:c r="A158" s="26" t="str">
        <x:v>TC-UX-INV-001</x:v>
      </x:c>
      <x:c r="B158" s="26" t="str">
        <x:v>UX-INV-001</x:v>
      </x:c>
      <x:c r="C158" s="26" t="str">
        <x:v>La UI distingue ubicaciones de stock.</x:v>
      </x:c>
      <x:c r="D158" s="26" t="str">
        <x:v>Manual/Review</x:v>
      </x:c>
      <x:c r="E158" s="26" t="str">
        <x:v>P0</x:v>
      </x:c>
      <x:c r="F158" s="26" t="str">
        <x:v>Parcial</x:v>
      </x:c>
      <x:c r="G158" s="26" t="str">
        <x:v>Ready</x:v>
      </x:c>
      <x:c r="H158" s="26" t="str">
        <x:v>Not Run</x:v>
      </x:c>
      <x:c r="I158" s="26"/>
      <x:c r="J158" s="26"/>
      <x:c r="K158" s="26"/>
      <x:c r="L158" s="26" t="str">
        <x:v>05_UX_Flow.md</x:v>
      </x:c>
      <x:c r="M158" s="26"/>
    </x:row>
    <x:row r="159" ht="30" customHeight="1">
      <x:c r="A159" s="26" t="str">
        <x:v>TC-UX-INV-002</x:v>
      </x:c>
      <x:c r="B159" s="26" t="str">
        <x:v>UX-INV-002</x:v>
      </x:c>
      <x:c r="C159" s="26" t="str">
        <x:v>Transferir valida origen, destino y cantidad.</x:v>
      </x:c>
      <x:c r="D159" s="26" t="str">
        <x:v>Manual/Review</x:v>
      </x:c>
      <x:c r="E159" s="26" t="str">
        <x:v>P0</x:v>
      </x:c>
      <x:c r="F159" s="26" t="str">
        <x:v>Parcial</x:v>
      </x:c>
      <x:c r="G159" s="26" t="str">
        <x:v>Ready</x:v>
      </x:c>
      <x:c r="H159" s="26" t="str">
        <x:v>Not Run</x:v>
      </x:c>
      <x:c r="I159" s="26"/>
      <x:c r="J159" s="26"/>
      <x:c r="K159" s="26"/>
      <x:c r="L159" s="26" t="str">
        <x:v>05_UX_Flow.md</x:v>
      </x:c>
      <x:c r="M159" s="26"/>
    </x:row>
    <x:row r="160" ht="30" customHeight="1">
      <x:c r="A160" s="26" t="str">
        <x:v>TC-UX-INV-003</x:v>
      </x:c>
      <x:c r="B160" s="26" t="str">
        <x:v>UX-INV-003</x:v>
      </x:c>
      <x:c r="C160" s="26" t="str">
        <x:v>Una transferencia falla sin estado parcial.</x:v>
      </x:c>
      <x:c r="D160" s="26" t="str">
        <x:v>Manual/Review</x:v>
      </x:c>
      <x:c r="E160" s="26" t="str">
        <x:v>P0</x:v>
      </x:c>
      <x:c r="F160" s="26" t="str">
        <x:v>Parcial</x:v>
      </x:c>
      <x:c r="G160" s="26" t="str">
        <x:v>Ready</x:v>
      </x:c>
      <x:c r="H160" s="26" t="str">
        <x:v>Not Run</x:v>
      </x:c>
      <x:c r="I160" s="26"/>
      <x:c r="J160" s="26"/>
      <x:c r="K160" s="26"/>
      <x:c r="L160" s="26" t="str">
        <x:v>05_UX_Flow.md</x:v>
      </x:c>
      <x:c r="M160" s="26"/>
    </x:row>
    <x:row r="161" ht="30" customHeight="1">
      <x:c r="A161" s="26" t="str">
        <x:v>TC-UX-INV-004</x:v>
      </x:c>
      <x:c r="B161" s="26" t="str">
        <x:v>UX-INV-004</x:v>
      </x:c>
      <x:c r="C161" s="26" t="str">
        <x:v>Los estados vacíos sugieren siguiente acción.</x:v>
      </x:c>
      <x:c r="D161" s="26" t="str">
        <x:v>Manual/Review</x:v>
      </x:c>
      <x:c r="E161" s="26" t="str">
        <x:v>P0</x:v>
      </x:c>
      <x:c r="F161" s="26" t="str">
        <x:v>Parcial</x:v>
      </x:c>
      <x:c r="G161" s="26" t="str">
        <x:v>Ready</x:v>
      </x:c>
      <x:c r="H161" s="26" t="str">
        <x:v>Not Run</x:v>
      </x:c>
      <x:c r="I161" s="26"/>
      <x:c r="J161" s="26"/>
      <x:c r="K161" s="26"/>
      <x:c r="L161" s="26" t="str">
        <x:v>05_UX_Flow.md</x:v>
      </x:c>
      <x:c r="M161" s="26"/>
    </x:row>
    <x:row r="162" ht="30" customHeight="1">
      <x:c r="A162" s="26" t="str">
        <x:v>TC-UX-DSP-001</x:v>
      </x:c>
      <x:c r="B162" s="26" t="str">
        <x:v>UX-DSP-001</x:v>
      </x:c>
      <x:c r="C162" s="26" t="str">
        <x:v>Asignar producto no crea stock.</x:v>
      </x:c>
      <x:c r="D162" s="26" t="str">
        <x:v>Manual/Review</x:v>
      </x:c>
      <x:c r="E162" s="26" t="str">
        <x:v>P1</x:v>
      </x:c>
      <x:c r="F162" s="26" t="str">
        <x:v>Parcial</x:v>
      </x:c>
      <x:c r="G162" s="26" t="str">
        <x:v>Ready</x:v>
      </x:c>
      <x:c r="H162" s="26" t="str">
        <x:v>Not Run</x:v>
      </x:c>
      <x:c r="I162" s="26"/>
      <x:c r="J162" s="26"/>
      <x:c r="K162" s="26"/>
      <x:c r="L162" s="26" t="str">
        <x:v>05_UX_Flow.md</x:v>
      </x:c>
      <x:c r="M162" s="26"/>
    </x:row>
    <x:row r="163" ht="30" customHeight="1">
      <x:c r="A163" s="26" t="str">
        <x:v>TC-UX-DSP-002</x:v>
      </x:c>
      <x:c r="B163" s="26" t="str">
        <x:v>UX-DSP-002</x:v>
      </x:c>
      <x:c r="C163" s="26" t="str">
        <x:v>Reasignar preserva unidades.</x:v>
      </x:c>
      <x:c r="D163" s="26" t="str">
        <x:v>Manual/Review</x:v>
      </x:c>
      <x:c r="E163" s="26" t="str">
        <x:v>P1</x:v>
      </x:c>
      <x:c r="F163" s="26" t="str">
        <x:v>Parcial</x:v>
      </x:c>
      <x:c r="G163" s="26" t="str">
        <x:v>Ready</x:v>
      </x:c>
      <x:c r="H163" s="26" t="str">
        <x:v>Not Run</x:v>
      </x:c>
      <x:c r="I163" s="26"/>
      <x:c r="J163" s="26"/>
      <x:c r="K163" s="26"/>
      <x:c r="L163" s="26" t="str">
        <x:v>05_UX_Flow.md</x:v>
      </x:c>
      <x:c r="M163" s="26"/>
    </x:row>
    <x:row r="164" ht="30" customHeight="1">
      <x:c r="A164" s="26" t="str">
        <x:v>TC-UX-DSP-003</x:v>
      </x:c>
      <x:c r="B164" s="26" t="str">
        <x:v>UX-DSP-003</x:v>
      </x:c>
      <x:c r="C164" s="26" t="str">
        <x:v>Reponer actualiza lógica y visual.</x:v>
      </x:c>
      <x:c r="D164" s="26" t="str">
        <x:v>Manual/Review</x:v>
      </x:c>
      <x:c r="E164" s="26" t="str">
        <x:v>P1</x:v>
      </x:c>
      <x:c r="F164" s="26" t="str">
        <x:v>Parcial</x:v>
      </x:c>
      <x:c r="G164" s="26" t="str">
        <x:v>Ready</x:v>
      </x:c>
      <x:c r="H164" s="26" t="str">
        <x:v>Not Run</x:v>
      </x:c>
      <x:c r="I164" s="26"/>
      <x:c r="J164" s="26"/>
      <x:c r="K164" s="26"/>
      <x:c r="L164" s="26" t="str">
        <x:v>05_UX_Flow.md</x:v>
      </x:c>
      <x:c r="M164" s="26"/>
    </x:row>
    <x:row r="165" ht="30" customHeight="1">
      <x:c r="A165" s="26" t="str">
        <x:v>TC-UX-DAY-001</x:v>
      </x:c>
      <x:c r="B165" s="26" t="str">
        <x:v>UX-DAY-001</x:v>
      </x:c>
      <x:c r="C165" s="26" t="str">
        <x:v>El estado de jornada siempre es visible.</x:v>
      </x:c>
      <x:c r="D165" s="26" t="str">
        <x:v>Manual/Review</x:v>
      </x:c>
      <x:c r="E165" s="26" t="str">
        <x:v>P1</x:v>
      </x:c>
      <x:c r="F165" s="26" t="str">
        <x:v>Parcial</x:v>
      </x:c>
      <x:c r="G165" s="26" t="str">
        <x:v>Ready</x:v>
      </x:c>
      <x:c r="H165" s="26" t="str">
        <x:v>Not Run</x:v>
      </x:c>
      <x:c r="I165" s="26"/>
      <x:c r="J165" s="26"/>
      <x:c r="K165" s="26"/>
      <x:c r="L165" s="26" t="str">
        <x:v>05_UX_Flow.md</x:v>
      </x:c>
      <x:c r="M165" s="26"/>
    </x:row>
    <x:row r="166" ht="30" customHeight="1">
      <x:c r="A166" s="26" t="str">
        <x:v>TC-UX-DAY-002</x:v>
      </x:c>
      <x:c r="B166" s="26" t="str">
        <x:v>UX-DAY-002</x:v>
      </x:c>
      <x:c r="C166" s="26" t="str">
        <x:v>Abrir valida bloqueos críticos.</x:v>
      </x:c>
      <x:c r="D166" s="26" t="str">
        <x:v>Manual/Review</x:v>
      </x:c>
      <x:c r="E166" s="26" t="str">
        <x:v>P1</x:v>
      </x:c>
      <x:c r="F166" s="26" t="str">
        <x:v>Parcial</x:v>
      </x:c>
      <x:c r="G166" s="26" t="str">
        <x:v>Ready</x:v>
      </x:c>
      <x:c r="H166" s="26" t="str">
        <x:v>Not Run</x:v>
      </x:c>
      <x:c r="I166" s="26"/>
      <x:c r="J166" s="26"/>
      <x:c r="K166" s="26"/>
      <x:c r="L166" s="26" t="str">
        <x:v>05_UX_Flow.md</x:v>
      </x:c>
      <x:c r="M166" s="26"/>
    </x:row>
    <x:row r="167" ht="30" customHeight="1">
      <x:c r="A167" s="26" t="str">
        <x:v>TC-UX-DAY-003</x:v>
      </x:c>
      <x:c r="B167" s="26" t="str">
        <x:v>UX-DAY-003</x:v>
      </x:c>
      <x:c r="C167" s="26" t="str">
        <x:v>Closing bloquea nuevos clientes.</x:v>
      </x:c>
      <x:c r="D167" s="26" t="str">
        <x:v>Manual/Review</x:v>
      </x:c>
      <x:c r="E167" s="26" t="str">
        <x:v>P1</x:v>
      </x:c>
      <x:c r="F167" s="26" t="str">
        <x:v>Parcial</x:v>
      </x:c>
      <x:c r="G167" s="26" t="str">
        <x:v>Ready</x:v>
      </x:c>
      <x:c r="H167" s="26" t="str">
        <x:v>Not Run</x:v>
      </x:c>
      <x:c r="I167" s="26"/>
      <x:c r="J167" s="26"/>
      <x:c r="K167" s="26"/>
      <x:c r="L167" s="26" t="str">
        <x:v>05_UX_Flow.md</x:v>
      </x:c>
      <x:c r="M167" s="26"/>
    </x:row>
    <x:row r="168" ht="30" customHeight="1">
      <x:c r="A168" s="26" t="str">
        <x:v>TC-UX-DAY-004</x:v>
      </x:c>
      <x:c r="B168" s="26" t="str">
        <x:v>UX-DAY-004</x:v>
      </x:c>
      <x:c r="C168" s="26" t="str">
        <x:v>Results espera resolución segura.</x:v>
      </x:c>
      <x:c r="D168" s="26" t="str">
        <x:v>Manual/Review</x:v>
      </x:c>
      <x:c r="E168" s="26" t="str">
        <x:v>P1</x:v>
      </x:c>
      <x:c r="F168" s="26" t="str">
        <x:v>Parcial</x:v>
      </x:c>
      <x:c r="G168" s="26" t="str">
        <x:v>Ready</x:v>
      </x:c>
      <x:c r="H168" s="26" t="str">
        <x:v>Not Run</x:v>
      </x:c>
      <x:c r="I168" s="26"/>
      <x:c r="J168" s="26"/>
      <x:c r="K168" s="26"/>
      <x:c r="L168" s="26" t="str">
        <x:v>05_UX_Flow.md</x:v>
      </x:c>
      <x:c r="M168" s="26"/>
    </x:row>
    <x:row r="169" ht="30" customHeight="1">
      <x:c r="A169" s="26" t="str">
        <x:v>TC-UX-CUS-001</x:v>
      </x:c>
      <x:c r="B169" s="26" t="str">
        <x:v>UX-CUS-001</x:v>
      </x:c>
      <x:c r="C169" s="26" t="str">
        <x:v>El cliente comunica intención o problema.</x:v>
      </x:c>
      <x:c r="D169" s="26" t="str">
        <x:v>Manual/Review</x:v>
      </x:c>
      <x:c r="E169" s="26" t="str">
        <x:v>P1</x:v>
      </x:c>
      <x:c r="F169" s="26" t="str">
        <x:v>Parcial</x:v>
      </x:c>
      <x:c r="G169" s="26" t="str">
        <x:v>Ready</x:v>
      </x:c>
      <x:c r="H169" s="26" t="str">
        <x:v>Not Run</x:v>
      </x:c>
      <x:c r="I169" s="26"/>
      <x:c r="J169" s="26"/>
      <x:c r="K169" s="26"/>
      <x:c r="L169" s="26" t="str">
        <x:v>05_UX_Flow.md</x:v>
      </x:c>
      <x:c r="M169" s="26"/>
    </x:row>
    <x:row r="170" ht="30" customHeight="1">
      <x:c r="A170" s="26" t="str">
        <x:v>TC-UX-CUS-002</x:v>
      </x:c>
      <x:c r="B170" s="26" t="str">
        <x:v>UX-CUS-002</x:v>
      </x:c>
      <x:c r="C170" s="26" t="str">
        <x:v>La paciencia se anticipa cuando es accionable.</x:v>
      </x:c>
      <x:c r="D170" s="26" t="str">
        <x:v>Manual/Review</x:v>
      </x:c>
      <x:c r="E170" s="26" t="str">
        <x:v>P1</x:v>
      </x:c>
      <x:c r="F170" s="26" t="str">
        <x:v>Parcial</x:v>
      </x:c>
      <x:c r="G170" s="26" t="str">
        <x:v>Ready</x:v>
      </x:c>
      <x:c r="H170" s="26" t="str">
        <x:v>Not Run</x:v>
      </x:c>
      <x:c r="I170" s="26"/>
      <x:c r="J170" s="26"/>
      <x:c r="K170" s="26"/>
      <x:c r="L170" s="26" t="str">
        <x:v>05_UX_Flow.md</x:v>
      </x:c>
      <x:c r="M170" s="26"/>
    </x:row>
    <x:row r="171" ht="30" customHeight="1">
      <x:c r="A171" s="26" t="str">
        <x:v>TC-UX-CUS-003</x:v>
      </x:c>
      <x:c r="B171" s="26" t="str">
        <x:v>UX-CUS-003</x:v>
      </x:c>
      <x:c r="C171" s="26" t="str">
        <x:v>Abandono registra causa.</x:v>
      </x:c>
      <x:c r="D171" s="26" t="str">
        <x:v>Manual/Review</x:v>
      </x:c>
      <x:c r="E171" s="26" t="str">
        <x:v>P1</x:v>
      </x:c>
      <x:c r="F171" s="26" t="str">
        <x:v>Parcial</x:v>
      </x:c>
      <x:c r="G171" s="26" t="str">
        <x:v>Ready</x:v>
      </x:c>
      <x:c r="H171" s="26" t="str">
        <x:v>Not Run</x:v>
      </x:c>
      <x:c r="I171" s="26"/>
      <x:c r="J171" s="26"/>
      <x:c r="K171" s="26"/>
      <x:c r="L171" s="26" t="str">
        <x:v>05_UX_Flow.md</x:v>
      </x:c>
      <x:c r="M171" s="26"/>
    </x:row>
    <x:row r="172" ht="30" customHeight="1">
      <x:c r="A172" s="26" t="str">
        <x:v>TC-UX-CUS-004</x:v>
      </x:c>
      <x:c r="B172" s="26" t="str">
        <x:v>UX-CUS-004</x:v>
      </x:c>
      <x:c r="C172" s="26" t="str">
        <x:v>Cierre libera reservas.</x:v>
      </x:c>
      <x:c r="D172" s="26" t="str">
        <x:v>Manual/Review</x:v>
      </x:c>
      <x:c r="E172" s="26" t="str">
        <x:v>P1</x:v>
      </x:c>
      <x:c r="F172" s="26" t="str">
        <x:v>Parcial</x:v>
      </x:c>
      <x:c r="G172" s="26" t="str">
        <x:v>Ready</x:v>
      </x:c>
      <x:c r="H172" s="26" t="str">
        <x:v>Not Run</x:v>
      </x:c>
      <x:c r="I172" s="26"/>
      <x:c r="J172" s="26"/>
      <x:c r="K172" s="26"/>
      <x:c r="L172" s="26" t="str">
        <x:v>05_UX_Flow.md</x:v>
      </x:c>
      <x:c r="M172" s="26"/>
    </x:row>
    <x:row r="173" ht="30" customHeight="1">
      <x:c r="A173" s="26" t="str">
        <x:v>TC-UX-CUS-005</x:v>
      </x:c>
      <x:c r="B173" s="26" t="str">
        <x:v>UX-CUS-005</x:v>
      </x:c>
      <x:c r="C173" s="26" t="str">
        <x:v>Un cliente bloqueado no impide terminar jornada.</x:v>
      </x:c>
      <x:c r="D173" s="26" t="str">
        <x:v>Manual/Review</x:v>
      </x:c>
      <x:c r="E173" s="26" t="str">
        <x:v>P1</x:v>
      </x:c>
      <x:c r="F173" s="26" t="str">
        <x:v>Parcial</x:v>
      </x:c>
      <x:c r="G173" s="26" t="str">
        <x:v>Ready</x:v>
      </x:c>
      <x:c r="H173" s="26" t="str">
        <x:v>Not Run</x:v>
      </x:c>
      <x:c r="I173" s="26"/>
      <x:c r="J173" s="26"/>
      <x:c r="K173" s="26"/>
      <x:c r="L173" s="26" t="str">
        <x:v>05_UX_Flow.md</x:v>
      </x:c>
      <x:c r="M173" s="26"/>
    </x:row>
    <x:row r="174" ht="30" customHeight="1">
      <x:c r="A174" s="26" t="str">
        <x:v>TC-UX-CHK-001</x:v>
      </x:c>
      <x:c r="B174" s="26" t="str">
        <x:v>UX-CHK-001</x:v>
      </x:c>
      <x:c r="C174" s="26" t="str">
        <x:v>Checkout muestra carrito y total.</x:v>
      </x:c>
      <x:c r="D174" s="26" t="str">
        <x:v>Manual/Review</x:v>
      </x:c>
      <x:c r="E174" s="26" t="str">
        <x:v>P0</x:v>
      </x:c>
      <x:c r="F174" s="26" t="str">
        <x:v>Parcial</x:v>
      </x:c>
      <x:c r="G174" s="26" t="str">
        <x:v>Ready</x:v>
      </x:c>
      <x:c r="H174" s="26" t="str">
        <x:v>Not Run</x:v>
      </x:c>
      <x:c r="I174" s="26"/>
      <x:c r="J174" s="26"/>
      <x:c r="K174" s="26"/>
      <x:c r="L174" s="26" t="str">
        <x:v>05_UX_Flow.md</x:v>
      </x:c>
      <x:c r="M174" s="26"/>
    </x:row>
    <x:row r="175" ht="30" customHeight="1">
      <x:c r="A175" s="26" t="str">
        <x:v>TC-UX-CHK-002</x:v>
      </x:c>
      <x:c r="B175" s="26" t="str">
        <x:v>UX-CHK-002</x:v>
      </x:c>
      <x:c r="C175" s="26" t="str">
        <x:v>Preflight ocurre antes de mutar.</x:v>
      </x:c>
      <x:c r="D175" s="26" t="str">
        <x:v>Manual/Review</x:v>
      </x:c>
      <x:c r="E175" s="26" t="str">
        <x:v>P0</x:v>
      </x:c>
      <x:c r="F175" s="26" t="str">
        <x:v>Parcial</x:v>
      </x:c>
      <x:c r="G175" s="26" t="str">
        <x:v>Ready</x:v>
      </x:c>
      <x:c r="H175" s="26" t="str">
        <x:v>Not Run</x:v>
      </x:c>
      <x:c r="I175" s="26"/>
      <x:c r="J175" s="26"/>
      <x:c r="K175" s="26"/>
      <x:c r="L175" s="26" t="str">
        <x:v>05_UX_Flow.md</x:v>
      </x:c>
      <x:c r="M175" s="26"/>
    </x:row>
    <x:row r="176" ht="30" customHeight="1">
      <x:c r="A176" s="26" t="str">
        <x:v>TC-UX-CHK-003</x:v>
      </x:c>
      <x:c r="B176" s="26" t="str">
        <x:v>UX-CHK-003</x:v>
      </x:c>
      <x:c r="C176" s="26" t="str">
        <x:v>Una venta se confirma una sola vez.</x:v>
      </x:c>
      <x:c r="D176" s="26" t="str">
        <x:v>Manual/Review</x:v>
      </x:c>
      <x:c r="E176" s="26" t="str">
        <x:v>P0</x:v>
      </x:c>
      <x:c r="F176" s="26" t="str">
        <x:v>Parcial</x:v>
      </x:c>
      <x:c r="G176" s="26" t="str">
        <x:v>Ready</x:v>
      </x:c>
      <x:c r="H176" s="26" t="str">
        <x:v>Not Run</x:v>
      </x:c>
      <x:c r="I176" s="26"/>
      <x:c r="J176" s="26"/>
      <x:c r="K176" s="26"/>
      <x:c r="L176" s="26" t="str">
        <x:v>05_UX_Flow.md</x:v>
      </x:c>
      <x:c r="M176" s="26"/>
    </x:row>
    <x:row r="177" ht="30" customHeight="1">
      <x:c r="A177" s="26" t="str">
        <x:v>TC-UX-CHK-004</x:v>
      </x:c>
      <x:c r="B177" s="26" t="str">
        <x:v>UX-CHK-004</x:v>
      </x:c>
      <x:c r="C177" s="26" t="str">
        <x:v>Un fallo no mueve dinero ni stock.</x:v>
      </x:c>
      <x:c r="D177" s="26" t="str">
        <x:v>Manual/Review</x:v>
      </x:c>
      <x:c r="E177" s="26" t="str">
        <x:v>P0</x:v>
      </x:c>
      <x:c r="F177" s="26" t="str">
        <x:v>Parcial</x:v>
      </x:c>
      <x:c r="G177" s="26" t="str">
        <x:v>Ready</x:v>
      </x:c>
      <x:c r="H177" s="26" t="str">
        <x:v>Not Run</x:v>
      </x:c>
      <x:c r="I177" s="26"/>
      <x:c r="J177" s="26"/>
      <x:c r="K177" s="26"/>
      <x:c r="L177" s="26" t="str">
        <x:v>05_UX_Flow.md</x:v>
      </x:c>
      <x:c r="M177" s="26"/>
    </x:row>
    <x:row r="178" ht="30" customHeight="1">
      <x:c r="A178" s="26" t="str">
        <x:v>TC-UX-CHK-005</x:v>
      </x:c>
      <x:c r="B178" s="26" t="str">
        <x:v>UX-CHK-005</x:v>
      </x:c>
      <x:c r="C178" s="26" t="str">
        <x:v>La cola avanza después de la venta.</x:v>
      </x:c>
      <x:c r="D178" s="26" t="str">
        <x:v>Manual/Review</x:v>
      </x:c>
      <x:c r="E178" s="26" t="str">
        <x:v>P0</x:v>
      </x:c>
      <x:c r="F178" s="26" t="str">
        <x:v>Parcial</x:v>
      </x:c>
      <x:c r="G178" s="26" t="str">
        <x:v>Ready</x:v>
      </x:c>
      <x:c r="H178" s="26" t="str">
        <x:v>Not Run</x:v>
      </x:c>
      <x:c r="I178" s="26"/>
      <x:c r="J178" s="26"/>
      <x:c r="K178" s="26"/>
      <x:c r="L178" s="26" t="str">
        <x:v>05_UX_Flow.md</x:v>
      </x:c>
      <x:c r="M178" s="26"/>
    </x:row>
    <x:row r="179" ht="30" customHeight="1">
      <x:c r="A179" s="26" t="str">
        <x:v>TC-UX-ECO-001</x:v>
      </x:c>
      <x:c r="B179" s="26" t="str">
        <x:v>UX-ECO-001</x:v>
      </x:c>
      <x:c r="C179" s="26" t="str">
        <x:v>El saldo se actualiza de forma comprensible.</x:v>
      </x:c>
      <x:c r="D179" s="26" t="str">
        <x:v>Manual/Review</x:v>
      </x:c>
      <x:c r="E179" s="26" t="str">
        <x:v>P1</x:v>
      </x:c>
      <x:c r="F179" s="26" t="str">
        <x:v>Parcial</x:v>
      </x:c>
      <x:c r="G179" s="26" t="str">
        <x:v>Ready</x:v>
      </x:c>
      <x:c r="H179" s="26" t="str">
        <x:v>Not Run</x:v>
      </x:c>
      <x:c r="I179" s="26"/>
      <x:c r="J179" s="26"/>
      <x:c r="K179" s="26"/>
      <x:c r="L179" s="26" t="str">
        <x:v>05_UX_Flow.md</x:v>
      </x:c>
      <x:c r="M179" s="26"/>
    </x:row>
    <x:row r="180" ht="30" customHeight="1">
      <x:c r="A180" s="26" t="str">
        <x:v>TC-UX-ECO-002</x:v>
      </x:c>
      <x:c r="B180" s="26" t="str">
        <x:v>UX-ECO-002</x:v>
      </x:c>
      <x:c r="C180" s="26" t="str">
        <x:v>Cada movimiento tiene causa consultable.</x:v>
      </x:c>
      <x:c r="D180" s="26" t="str">
        <x:v>Manual/Review</x:v>
      </x:c>
      <x:c r="E180" s="26" t="str">
        <x:v>P1</x:v>
      </x:c>
      <x:c r="F180" s="26" t="str">
        <x:v>Parcial</x:v>
      </x:c>
      <x:c r="G180" s="26" t="str">
        <x:v>Ready</x:v>
      </x:c>
      <x:c r="H180" s="26" t="str">
        <x:v>Not Run</x:v>
      </x:c>
      <x:c r="I180" s="26"/>
      <x:c r="J180" s="26"/>
      <x:c r="K180" s="26"/>
      <x:c r="L180" s="26" t="str">
        <x:v>05_UX_Flow.md</x:v>
      </x:c>
      <x:c r="M180" s="26"/>
    </x:row>
    <x:row r="181" ht="30" customHeight="1">
      <x:c r="A181" s="26" t="str">
        <x:v>TC-UX-ECO-003</x:v>
      </x:c>
      <x:c r="B181" s="26" t="str">
        <x:v>UX-ECO-003</x:v>
      </x:c>
      <x:c r="C181" s="26" t="str">
        <x:v>Results separa ingresos, costes y beneficio.</x:v>
      </x:c>
      <x:c r="D181" s="26" t="str">
        <x:v>Manual/Review</x:v>
      </x:c>
      <x:c r="E181" s="26" t="str">
        <x:v>P1</x:v>
      </x:c>
      <x:c r="F181" s="26" t="str">
        <x:v>Parcial</x:v>
      </x:c>
      <x:c r="G181" s="26" t="str">
        <x:v>Ready</x:v>
      </x:c>
      <x:c r="H181" s="26" t="str">
        <x:v>Not Run</x:v>
      </x:c>
      <x:c r="I181" s="26"/>
      <x:c r="J181" s="26"/>
      <x:c r="K181" s="26"/>
      <x:c r="L181" s="26" t="str">
        <x:v>05_UX_Flow.md</x:v>
      </x:c>
      <x:c r="M181" s="26"/>
    </x:row>
    <x:row r="182" ht="30" customHeight="1">
      <x:c r="A182" s="26" t="str">
        <x:v>TC-UX-SAV-001</x:v>
      </x:c>
      <x:c r="B182" s="26" t="str">
        <x:v>UX-SAV-001</x:v>
      </x:c>
      <x:c r="C182" s="26" t="str">
        <x:v>Guardar muestra progreso y resultado real.</x:v>
      </x:c>
      <x:c r="D182" s="26" t="str">
        <x:v>Manual/Review</x:v>
      </x:c>
      <x:c r="E182" s="26" t="str">
        <x:v>P0</x:v>
      </x:c>
      <x:c r="F182" s="26" t="str">
        <x:v>Parcial</x:v>
      </x:c>
      <x:c r="G182" s="26" t="str">
        <x:v>Ready</x:v>
      </x:c>
      <x:c r="H182" s="26" t="str">
        <x:v>Not Run</x:v>
      </x:c>
      <x:c r="I182" s="26"/>
      <x:c r="J182" s="26"/>
      <x:c r="K182" s="26"/>
      <x:c r="L182" s="26" t="str">
        <x:v>05_UX_Flow.md</x:v>
      </x:c>
      <x:c r="M182" s="26"/>
    </x:row>
    <x:row r="183" ht="30" customHeight="1">
      <x:c r="A183" s="26" t="str">
        <x:v>TC-UX-SAV-002</x:v>
      </x:c>
      <x:c r="B183" s="26" t="str">
        <x:v>UX-SAV-002</x:v>
      </x:c>
      <x:c r="C183" s="26" t="str">
        <x:v>Un error de guardado permanece visible.</x:v>
      </x:c>
      <x:c r="D183" s="26" t="str">
        <x:v>Manual/Review</x:v>
      </x:c>
      <x:c r="E183" s="26" t="str">
        <x:v>P0</x:v>
      </x:c>
      <x:c r="F183" s="26" t="str">
        <x:v>Parcial</x:v>
      </x:c>
      <x:c r="G183" s="26" t="str">
        <x:v>Ready</x:v>
      </x:c>
      <x:c r="H183" s="26" t="str">
        <x:v>Not Run</x:v>
      </x:c>
      <x:c r="I183" s="26"/>
      <x:c r="J183" s="26"/>
      <x:c r="K183" s="26"/>
      <x:c r="L183" s="26" t="str">
        <x:v>05_UX_Flow.md</x:v>
      </x:c>
      <x:c r="M183" s="26"/>
    </x:row>
    <x:row r="184" ht="30" customHeight="1">
      <x:c r="A184" s="26" t="str">
        <x:v>TC-UX-SAV-003</x:v>
      </x:c>
      <x:c r="B184" s="26" t="str">
        <x:v>UX-SAV-003</x:v>
      </x:c>
      <x:c r="C184" s="26" t="str">
        <x:v>Cargar conserva estado relevante.</x:v>
      </x:c>
      <x:c r="D184" s="26" t="str">
        <x:v>Manual/Review</x:v>
      </x:c>
      <x:c r="E184" s="26" t="str">
        <x:v>P0</x:v>
      </x:c>
      <x:c r="F184" s="26" t="str">
        <x:v>Parcial</x:v>
      </x:c>
      <x:c r="G184" s="26" t="str">
        <x:v>Ready</x:v>
      </x:c>
      <x:c r="H184" s="26" t="str">
        <x:v>Not Run</x:v>
      </x:c>
      <x:c r="I184" s="26"/>
      <x:c r="J184" s="26"/>
      <x:c r="K184" s="26"/>
      <x:c r="L184" s="26" t="str">
        <x:v>05_UX_Flow.md</x:v>
      </x:c>
      <x:c r="M184" s="26"/>
    </x:row>
    <x:row r="185" ht="30" customHeight="1">
      <x:c r="A185" s="26" t="str">
        <x:v>TC-UX-SAV-004</x:v>
      </x:c>
      <x:c r="B185" s="26" t="str">
        <x:v>UX-SAV-004</x:v>
      </x:c>
      <x:c r="C185" s="26" t="str">
        <x:v>Salir con cambios ofrece opciones claras.</x:v>
      </x:c>
      <x:c r="D185" s="26" t="str">
        <x:v>Manual/Review</x:v>
      </x:c>
      <x:c r="E185" s="26" t="str">
        <x:v>P0</x:v>
      </x:c>
      <x:c r="F185" s="26" t="str">
        <x:v>Parcial</x:v>
      </x:c>
      <x:c r="G185" s="26" t="str">
        <x:v>Ready</x:v>
      </x:c>
      <x:c r="H185" s="26" t="str">
        <x:v>Not Run</x:v>
      </x:c>
      <x:c r="I185" s="26"/>
      <x:c r="J185" s="26"/>
      <x:c r="K185" s="26"/>
      <x:c r="L185" s="26" t="str">
        <x:v>05_UX_Flow.md</x:v>
      </x:c>
      <x:c r="M185" s="26"/>
    </x:row>
    <x:row r="186" ht="30" customHeight="1">
      <x:c r="A186" s="26" t="str">
        <x:v>TC-UX-ACC-001</x:v>
      </x:c>
      <x:c r="B186" s="26" t="str">
        <x:v>UX-ACC-001</x:v>
      </x:c>
      <x:c r="C186" s="26" t="str">
        <x:v>Los estados críticos no dependen solo del color.</x:v>
      </x:c>
      <x:c r="D186" s="26" t="str">
        <x:v>Manual/Review</x:v>
      </x:c>
      <x:c r="E186" s="26" t="str">
        <x:v>P1</x:v>
      </x:c>
      <x:c r="F186" s="26" t="str">
        <x:v>Parcial</x:v>
      </x:c>
      <x:c r="G186" s="26" t="str">
        <x:v>Ready</x:v>
      </x:c>
      <x:c r="H186" s="26" t="str">
        <x:v>Not Run</x:v>
      </x:c>
      <x:c r="I186" s="26"/>
      <x:c r="J186" s="26"/>
      <x:c r="K186" s="26"/>
      <x:c r="L186" s="26" t="str">
        <x:v>05_UX_Flow.md</x:v>
      </x:c>
      <x:c r="M186" s="26"/>
    </x:row>
    <x:row r="187" ht="30" customHeight="1">
      <x:c r="A187" s="26" t="str">
        <x:v>TC-UX-ACC-002</x:v>
      </x:c>
      <x:c r="B187" s="26" t="str">
        <x:v>UX-ACC-002</x:v>
      </x:c>
      <x:c r="C187" s="26" t="str">
        <x:v>La escala de UI es configurable.</x:v>
      </x:c>
      <x:c r="D187" s="26" t="str">
        <x:v>Manual/Review</x:v>
      </x:c>
      <x:c r="E187" s="26" t="str">
        <x:v>P1</x:v>
      </x:c>
      <x:c r="F187" s="26" t="str">
        <x:v>Parcial</x:v>
      </x:c>
      <x:c r="G187" s="26" t="str">
        <x:v>Ready</x:v>
      </x:c>
      <x:c r="H187" s="26" t="str">
        <x:v>Not Run</x:v>
      </x:c>
      <x:c r="I187" s="26"/>
      <x:c r="J187" s="26"/>
      <x:c r="K187" s="26"/>
      <x:c r="L187" s="26" t="str">
        <x:v>05_UX_Flow.md</x:v>
      </x:c>
      <x:c r="M187" s="26"/>
    </x:row>
    <x:row r="188" ht="30" customHeight="1">
      <x:c r="A188" s="26" t="str">
        <x:v>TC-UX-ACC-003</x:v>
      </x:c>
      <x:c r="B188" s="26" t="str">
        <x:v>UX-ACC-003</x:v>
      </x:c>
      <x:c r="C188" s="26" t="str">
        <x:v>La velocidad de cámara es configurable.</x:v>
      </x:c>
      <x:c r="D188" s="26" t="str">
        <x:v>Manual/Review</x:v>
      </x:c>
      <x:c r="E188" s="26" t="str">
        <x:v>P1</x:v>
      </x:c>
      <x:c r="F188" s="26" t="str">
        <x:v>Parcial</x:v>
      </x:c>
      <x:c r="G188" s="26" t="str">
        <x:v>Ready</x:v>
      </x:c>
      <x:c r="H188" s="26" t="str">
        <x:v>Not Run</x:v>
      </x:c>
      <x:c r="I188" s="26"/>
      <x:c r="J188" s="26"/>
      <x:c r="K188" s="26"/>
      <x:c r="L188" s="26" t="str">
        <x:v>05_UX_Flow.md</x:v>
      </x:c>
      <x:c r="M188" s="26"/>
    </x:row>
    <x:row r="189" ht="30" customHeight="1">
      <x:c r="A189" s="26" t="str">
        <x:v>TC-UX-ACC-004</x:v>
      </x:c>
      <x:c r="B189" s="26" t="str">
        <x:v>UX-ACC-004</x:v>
      </x:c>
      <x:c r="C189" s="26" t="str">
        <x:v>Los avisos importantes tienen alternativa visual.</x:v>
      </x:c>
      <x:c r="D189" s="26" t="str">
        <x:v>Manual/Review</x:v>
      </x:c>
      <x:c r="E189" s="26" t="str">
        <x:v>P1</x:v>
      </x:c>
      <x:c r="F189" s="26" t="str">
        <x:v>Parcial</x:v>
      </x:c>
      <x:c r="G189" s="26" t="str">
        <x:v>Ready</x:v>
      </x:c>
      <x:c r="H189" s="26" t="str">
        <x:v>Not Run</x:v>
      </x:c>
      <x:c r="I189" s="26"/>
      <x:c r="J189" s="26"/>
      <x:c r="K189" s="26"/>
      <x:c r="L189" s="26" t="str">
        <x:v>05_UX_Flow.md</x:v>
      </x:c>
      <x:c r="M189" s="26"/>
    </x:row>
    <x:row r="190" ht="30" customHeight="1">
      <x:c r="A190" s="26" t="str">
        <x:v>TC-UX-ACC-005</x:v>
      </x:c>
      <x:c r="B190" s="26" t="str">
        <x:v>UX-ACC-005</x:v>
      </x:c>
      <x:c r="C190" s="26" t="str">
        <x:v>La lectura puede realizarse con simulación pausada.</x:v>
      </x:c>
      <x:c r="D190" s="26" t="str">
        <x:v>Manual/Review</x:v>
      </x:c>
      <x:c r="E190" s="26" t="str">
        <x:v>P1</x:v>
      </x:c>
      <x:c r="F190" s="26" t="str">
        <x:v>Parcial</x:v>
      </x:c>
      <x:c r="G190" s="26" t="str">
        <x:v>Ready</x:v>
      </x:c>
      <x:c r="H190" s="26" t="str">
        <x:v>Not Run</x:v>
      </x:c>
      <x:c r="I190" s="26"/>
      <x:c r="J190" s="26"/>
      <x:c r="K190" s="26"/>
      <x:c r="L190" s="26" t="str">
        <x:v>05_UX_Flow.md</x:v>
      </x:c>
      <x:c r="M190" s="26"/>
    </x:row>
    <x:row r="191" ht="30" customHeight="1">
      <x:c r="A191" s="26" t="str">
        <x:v>TC-UX-LOC-001</x:v>
      </x:c>
      <x:c r="B191" s="26" t="str">
        <x:v>UX-LOC-001</x:v>
      </x:c>
      <x:c r="C191" s="26" t="str">
        <x:v>ES y EN no presentan truncamientos críticos.</x:v>
      </x:c>
      <x:c r="D191" s="26" t="str">
        <x:v>Manual/Review</x:v>
      </x:c>
      <x:c r="E191" s="26" t="str">
        <x:v>P1</x:v>
      </x:c>
      <x:c r="F191" s="26" t="str">
        <x:v>Parcial</x:v>
      </x:c>
      <x:c r="G191" s="26" t="str">
        <x:v>Ready</x:v>
      </x:c>
      <x:c r="H191" s="26" t="str">
        <x:v>Not Run</x:v>
      </x:c>
      <x:c r="I191" s="26"/>
      <x:c r="J191" s="26"/>
      <x:c r="K191" s="26"/>
      <x:c r="L191" s="26" t="str">
        <x:v>05_UX_Flow.md</x:v>
      </x:c>
      <x:c r="M191" s="26"/>
    </x:row>
    <x:row r="192" ht="30" customHeight="1">
      <x:c r="A192" s="26" t="str">
        <x:v>TC-UX-GP-001</x:v>
      </x:c>
      <x:c r="B192" s="26" t="str">
        <x:v>UX-GP-001</x:v>
      </x:c>
      <x:c r="C192" s="26" t="str">
        <x:v>El Golden Path se completa sin herramientas de Editor.</x:v>
      </x:c>
      <x:c r="D192" s="26" t="str">
        <x:v>Manual/Review</x:v>
      </x:c>
      <x:c r="E192" s="26" t="str">
        <x:v>P1</x:v>
      </x:c>
      <x:c r="F192" s="26" t="str">
        <x:v>Parcial</x:v>
      </x:c>
      <x:c r="G192" s="26" t="str">
        <x:v>Ready</x:v>
      </x:c>
      <x:c r="H192" s="26" t="str">
        <x:v>Not Run</x:v>
      </x:c>
      <x:c r="I192" s="26"/>
      <x:c r="J192" s="26"/>
      <x:c r="K192" s="26"/>
      <x:c r="L192" s="26" t="str">
        <x:v>05_UX_Flow.md</x:v>
      </x:c>
      <x:c r="M192" s="26"/>
    </x:row>
    <x:row r="193" ht="30" customHeight="1">
      <x:c r="A193" s="26" t="str">
        <x:v>TC-UX-GP-002</x:v>
      </x:c>
      <x:c r="B193" s="26" t="str">
        <x:v>UX-GP-002</x:v>
      </x:c>
      <x:c r="C193" s="26" t="str">
        <x:v>El recorrido se completa en StoreInitial.</x:v>
      </x:c>
      <x:c r="D193" s="26" t="str">
        <x:v>Manual/Review</x:v>
      </x:c>
      <x:c r="E193" s="26" t="str">
        <x:v>P1</x:v>
      </x:c>
      <x:c r="F193" s="26" t="str">
        <x:v>Parcial</x:v>
      </x:c>
      <x:c r="G193" s="26" t="str">
        <x:v>Ready</x:v>
      </x:c>
      <x:c r="H193" s="26" t="str">
        <x:v>Not Run</x:v>
      </x:c>
      <x:c r="I193" s="26"/>
      <x:c r="J193" s="26"/>
      <x:c r="K193" s="26"/>
      <x:c r="L193" s="26" t="str">
        <x:v>05_UX_Flow.md</x:v>
      </x:c>
      <x:c r="M193" s="26"/>
    </x:row>
    <x:row r="194" ht="30" customHeight="1">
      <x:c r="A194" s="26" t="str">
        <x:v>TC-UX-GP-003</x:v>
      </x:c>
      <x:c r="B194" s="26" t="str">
        <x:v>UX-GP-003</x:v>
      </x:c>
      <x:c r="C194" s="26" t="str">
        <x:v>Guardar y cargar conserva equivalencia observable.</x:v>
      </x:c>
      <x:c r="D194" s="26" t="str">
        <x:v>Manual/Review</x:v>
      </x:c>
      <x:c r="E194" s="26" t="str">
        <x:v>P1</x:v>
      </x:c>
      <x:c r="F194" s="26" t="str">
        <x:v>Parcial</x:v>
      </x:c>
      <x:c r="G194" s="26" t="str">
        <x:v>Ready</x:v>
      </x:c>
      <x:c r="H194" s="26" t="str">
        <x:v>Not Run</x:v>
      </x:c>
      <x:c r="I194" s="26"/>
      <x:c r="J194" s="26"/>
      <x:c r="K194" s="26"/>
      <x:c r="L194" s="26" t="str">
        <x:v>05_UX_Flow.md</x:v>
      </x:c>
      <x:c r="M194" s="26"/>
    </x:row>
    <x:row r="195" ht="30" customHeight="1">
      <x:c r="A195" s="26" t="str">
        <x:v>TC-UX-GP-004</x:v>
      </x:c>
      <x:c r="B195" s="26" t="str">
        <x:v>UX-GP-004</x:v>
      </x:c>
      <x:c r="C195" s="26" t="str">
        <x:v>La build Windows x64 reproduce el recorrido.</x:v>
      </x:c>
      <x:c r="D195" s="26" t="str">
        <x:v>Manual/Review</x:v>
      </x:c>
      <x:c r="E195" s="26" t="str">
        <x:v>P1</x:v>
      </x:c>
      <x:c r="F195" s="26" t="str">
        <x:v>Parcial</x:v>
      </x:c>
      <x:c r="G195" s="26" t="str">
        <x:v>Ready</x:v>
      </x:c>
      <x:c r="H195" s="26" t="str">
        <x:v>Not Run</x:v>
      </x:c>
      <x:c r="I195" s="26"/>
      <x:c r="J195" s="26"/>
      <x:c r="K195" s="26"/>
      <x:c r="L195" s="26" t="str">
        <x:v>05_UX_Flow.md</x:v>
      </x:c>
      <x:c r="M195" s="26"/>
    </x:row>
    <x:row r="196" ht="30" customHeight="1">
      <x:c r="A196" s="26" t="str">
        <x:v>TC-UX-GP-005</x:v>
      </x:c>
      <x:c r="B196" s="26" t="str">
        <x:v>UX-GP-005</x:v>
      </x:c>
      <x:c r="C196" s="26" t="str">
        <x:v>Player.log no contiene errores UX bloqueantes.</x:v>
      </x:c>
      <x:c r="D196" s="26" t="str">
        <x:v>Manual/Review</x:v>
      </x:c>
      <x:c r="E196" s="26" t="str">
        <x:v>P1</x:v>
      </x:c>
      <x:c r="F196" s="26" t="str">
        <x:v>Parcial</x:v>
      </x:c>
      <x:c r="G196" s="26" t="str">
        <x:v>Ready</x:v>
      </x:c>
      <x:c r="H196" s="26" t="str">
        <x:v>Not Run</x:v>
      </x:c>
      <x:c r="I196" s="26"/>
      <x:c r="J196" s="26"/>
      <x:c r="K196" s="26"/>
      <x:c r="L196" s="26" t="str">
        <x:v>05_UX_Flow.md</x:v>
      </x:c>
      <x:c r="M196" s="26"/>
    </x:row>
    <x:row r="197" ht="30" customHeight="1">
      <x:c r="A197" s="26" t="str">
        <x:v>TC-UX-GP-006</x:v>
      </x:c>
      <x:c r="B197" s="26" t="str">
        <x:v>UX-GP-006</x:v>
      </x:c>
      <x:c r="C197" s="26" t="str">
        <x:v>No existen defectos S0 o S1 abiertos.</x:v>
      </x:c>
      <x:c r="D197" s="26" t="str">
        <x:v>Manual/Review</x:v>
      </x:c>
      <x:c r="E197" s="26" t="str">
        <x:v>P1</x:v>
      </x:c>
      <x:c r="F197" s="26" t="str">
        <x:v>Parcial</x:v>
      </x:c>
      <x:c r="G197" s="26" t="str">
        <x:v>Ready</x:v>
      </x:c>
      <x:c r="H197" s="26" t="str">
        <x:v>Not Run</x:v>
      </x:c>
      <x:c r="I197" s="26"/>
      <x:c r="J197" s="26"/>
      <x:c r="K197" s="26"/>
      <x:c r="L197" s="26" t="str">
        <x:v>05_UX_Flow.md</x:v>
      </x:c>
      <x:c r="M197" s="26"/>
    </x:row>
    <x:row r="198" ht="30" customHeight="1">
      <x:c r="A198" s="26" t="str">
        <x:v>TC-GOV-001</x:v>
      </x:c>
      <x:c r="B198" s="26" t="str">
        <x:v>GOV-001</x:v>
      </x:c>
      <x:c r="C198" s="26" t="str">
        <x:v>No abrir Sprint 17 antes del cierre de Sprint 16.</x:v>
      </x:c>
      <x:c r="D198" s="26" t="str">
        <x:v>Manual/Review</x:v>
      </x:c>
      <x:c r="E198" s="26" t="str">
        <x:v>P1</x:v>
      </x:c>
      <x:c r="F198" s="26" t="str">
        <x:v>Parcial</x:v>
      </x:c>
      <x:c r="G198" s="26" t="str">
        <x:v>Ready</x:v>
      </x:c>
      <x:c r="H198" s="26" t="str">
        <x:v>Pending</x:v>
      </x:c>
      <x:c r="I198" s="26"/>
      <x:c r="J198" s="26"/>
      <x:c r="K198" s="26"/>
      <x:c r="L198" s="26" t="str">
        <x:v>06_Production_Roadmap_y_Sprint_Plan.md</x:v>
      </x:c>
      <x:c r="M198" s="26"/>
    </x:row>
    <x:row r="199" ht="30" customHeight="1">
      <x:c r="A199" s="26" t="str">
        <x:v>TC-GOV-002</x:v>
      </x:c>
      <x:c r="B199" s="26" t="str">
        <x:v>GOV-002</x:v>
      </x:c>
      <x:c r="C199" s="26" t="str">
        <x:v>No aprobar H6 con S0/S1 abiertos.</x:v>
      </x:c>
      <x:c r="D199" s="26" t="str">
        <x:v>Manual/Review</x:v>
      </x:c>
      <x:c r="E199" s="26" t="str">
        <x:v>P1</x:v>
      </x:c>
      <x:c r="F199" s="26" t="str">
        <x:v>Parcial</x:v>
      </x:c>
      <x:c r="G199" s="26" t="str">
        <x:v>Ready</x:v>
      </x:c>
      <x:c r="H199" s="26" t="str">
        <x:v>Pending</x:v>
      </x:c>
      <x:c r="I199" s="26"/>
      <x:c r="J199" s="26"/>
      <x:c r="K199" s="26"/>
      <x:c r="L199" s="26" t="str">
        <x:v>06_Production_Roadmap_y_Sprint_Plan.md</x:v>
      </x:c>
      <x:c r="M199" s="26"/>
    </x:row>
    <x:row r="200" ht="30" customHeight="1">
      <x:c r="A200" s="26" t="str">
        <x:v>TC-GOV-003</x:v>
      </x:c>
      <x:c r="B200" s="26" t="str">
        <x:v>GOV-003</x:v>
      </x:c>
      <x:c r="C200" s="26" t="str">
        <x:v>Todo PASS debe asociarse a versión, entorno y evidencia.</x:v>
      </x:c>
      <x:c r="D200" s="26" t="str">
        <x:v>Manual/Review</x:v>
      </x:c>
      <x:c r="E200" s="26" t="str">
        <x:v>P1</x:v>
      </x:c>
      <x:c r="F200" s="26" t="str">
        <x:v>Parcial</x:v>
      </x:c>
      <x:c r="G200" s="26" t="str">
        <x:v>Ready</x:v>
      </x:c>
      <x:c r="H200" s="26" t="str">
        <x:v>Pending</x:v>
      </x:c>
      <x:c r="I200" s="26"/>
      <x:c r="J200" s="26"/>
      <x:c r="K200" s="26"/>
      <x:c r="L200" s="26" t="str">
        <x:v>07_QA_Testing_Plan.md</x:v>
      </x:c>
      <x:c r="M200" s="26"/>
    </x:row>
    <x:row r="201" ht="30" customHeight="1">
      <x:c r="A201" s="26" t="str">
        <x:v>TC-GOV-004</x:v>
      </x:c>
      <x:c r="B201" s="26" t="str">
        <x:v>GOV-004</x:v>
      </x:c>
      <x:c r="C201" s="26" t="str">
        <x:v>La build externa debe revisarse mediante Player.log.</x:v>
      </x:c>
      <x:c r="D201" s="26" t="str">
        <x:v>Manual/Review</x:v>
      </x:c>
      <x:c r="E201" s="26" t="str">
        <x:v>P1</x:v>
      </x:c>
      <x:c r="F201" s="26" t="str">
        <x:v>Parcial</x:v>
      </x:c>
      <x:c r="G201" s="26" t="str">
        <x:v>Ready</x:v>
      </x:c>
      <x:c r="H201" s="26" t="str">
        <x:v>Pending</x:v>
      </x:c>
      <x:c r="I201" s="26"/>
      <x:c r="J201" s="26"/>
      <x:c r="K201" s="26"/>
      <x:c r="L201" s="26" t="str">
        <x:v>07_QA_Testing_Plan.md</x:v>
      </x:c>
      <x:c r="M201" s="26"/>
    </x:row>
    <x:row r="202" ht="30" customHeight="1">
      <x:c r="A202" s="26" t="str">
        <x:v>TC-GOV-005</x:v>
      </x:c>
      <x:c r="B202" s="26" t="str">
        <x:v>GOV-005</x:v>
      </x:c>
      <x:c r="C202" s="26" t="str">
        <x:v>Las transferencias de inventario conservan unidades y son atómicas.</x:v>
      </x:c>
      <x:c r="D202" s="26" t="str">
        <x:v>Manual/Review</x:v>
      </x:c>
      <x:c r="E202" s="26" t="str">
        <x:v>P1</x:v>
      </x:c>
      <x:c r="F202" s="26" t="str">
        <x:v>Parcial</x:v>
      </x:c>
      <x:c r="G202" s="26" t="str">
        <x:v>Ready</x:v>
      </x:c>
      <x:c r="H202" s="26" t="str">
        <x:v>Pending</x:v>
      </x:c>
      <x:c r="I202" s="26"/>
      <x:c r="J202" s="26"/>
      <x:c r="K202" s="26"/>
      <x:c r="L202" s="26" t="str">
        <x:v>04_Modelo_de_Datos.md</x:v>
      </x:c>
      <x:c r="M202" s="26"/>
    </x:row>
    <x:row r="203" ht="30" customHeight="1">
      <x:c r="A203" s="26" t="str">
        <x:v>TC-GOV-006</x:v>
      </x:c>
      <x:c r="B203" s="26" t="str">
        <x:v>GOV-006</x:v>
      </x:c>
      <x:c r="C203" s="26" t="str">
        <x:v>El primario corrupto no destruye un backup válido.</x:v>
      </x:c>
      <x:c r="D203" s="26" t="str">
        <x:v>Manual/Review</x:v>
      </x:c>
      <x:c r="E203" s="26" t="str">
        <x:v>P1</x:v>
      </x:c>
      <x:c r="F203" s="26" t="str">
        <x:v>Parcial</x:v>
      </x:c>
      <x:c r="G203" s="26" t="str">
        <x:v>Ready</x:v>
      </x:c>
      <x:c r="H203" s="26" t="str">
        <x:v>Pending</x:v>
      </x:c>
      <x:c r="I203" s="26"/>
      <x:c r="J203" s="26"/>
      <x:c r="K203" s="26"/>
      <x:c r="L203" s="26" t="str">
        <x:v>04_Modelo_de_Datos.md</x:v>
      </x:c>
      <x:c r="M203" s="26"/>
    </x:row>
    <x:row r="204" ht="30" customHeight="1">
      <x:c r="A204" s="26" t="str">
        <x:v>TC-GOV-007</x:v>
      </x:c>
      <x:c r="B204" s="26" t="str">
        <x:v>GOV-007</x:v>
      </x:c>
      <x:c r="C204" s="26" t="str">
        <x:v>La UI consume input antes del mundo.</x:v>
      </x:c>
      <x:c r="D204" s="26" t="str">
        <x:v>Manual/Review</x:v>
      </x:c>
      <x:c r="E204" s="26" t="str">
        <x:v>P1</x:v>
      </x:c>
      <x:c r="F204" s="26" t="str">
        <x:v>Parcial</x:v>
      </x:c>
      <x:c r="G204" s="26" t="str">
        <x:v>Ready</x:v>
      </x:c>
      <x:c r="H204" s="26" t="str">
        <x:v>Pending</x:v>
      </x:c>
      <x:c r="I204" s="26"/>
      <x:c r="J204" s="26"/>
      <x:c r="K204" s="26"/>
      <x:c r="L204" s="26" t="str">
        <x:v>03_Technical_Design_Document.md</x:v>
      </x:c>
      <x:c r="M204" s="26"/>
    </x:row>
    <x:row r="205" ht="30" customHeight="1">
      <x:c r="A205" s="26" t="str">
        <x:v>TC-GOV-008</x:v>
      </x:c>
      <x:c r="B205" s="26" t="str">
        <x:v>GOV-008</x:v>
      </x:c>
      <x:c r="C205" s="26" t="str">
        <x:v>StoreInitialSceneContext usa referencias explícitas.</x:v>
      </x:c>
      <x:c r="D205" s="26" t="str">
        <x:v>Manual/Review</x:v>
      </x:c>
      <x:c r="E205" s="26" t="str">
        <x:v>P1</x:v>
      </x:c>
      <x:c r="F205" s="26" t="str">
        <x:v>Parcial</x:v>
      </x:c>
      <x:c r="G205" s="26" t="str">
        <x:v>Ready</x:v>
      </x:c>
      <x:c r="H205" s="26" t="str">
        <x:v>Pending</x:v>
      </x:c>
      <x:c r="I205" s="26"/>
      <x:c r="J205" s="26"/>
      <x:c r="K205" s="26"/>
      <x:c r="L205" s="26" t="str">
        <x:v>03_Technical_Design_Document.md</x:v>
      </x:c>
      <x:c r="M205" s="26"/>
    </x:row>
    <x:row r="206" ht="30" customHeight="1">
      <x:c r="A206" s="26" t="str">
        <x:v>TC-GOV-009</x:v>
      </x:c>
      <x:c r="B206" s="26" t="str">
        <x:v>GOV-009</x:v>
      </x:c>
      <x:c r="C206" s="26" t="str">
        <x:v>Cada candidata de hito registra versión, SHA y checksum.</x:v>
      </x:c>
      <x:c r="D206" s="26" t="str">
        <x:v>Manual/Review</x:v>
      </x:c>
      <x:c r="E206" s="26" t="str">
        <x:v>P1</x:v>
      </x:c>
      <x:c r="F206" s="26" t="str">
        <x:v>Parcial</x:v>
      </x:c>
      <x:c r="G206" s="26" t="str">
        <x:v>Ready</x:v>
      </x:c>
      <x:c r="H206" s="26" t="str">
        <x:v>Pending</x:v>
      </x:c>
      <x:c r="I206" s="26"/>
      <x:c r="J206" s="26"/>
      <x:c r="K206" s="26"/>
      <x:c r="L206" s="26" t="str">
        <x:v>11_Build_y_Versioning_Guide.md</x:v>
      </x:c>
      <x:c r="M206" s="26"/>
    </x:row>
    <x:row r="207" ht="30" customHeight="1">
      <x:c r="A207" s="26" t="str">
        <x:v>TC-GOV-010</x:v>
      </x:c>
      <x:c r="B207" s="26" t="str">
        <x:v>GOV-010</x:v>
      </x:c>
      <x:c r="C207" s="26" t="str">
        <x:v>Implementación y validación se registran por separado.</x:v>
      </x:c>
      <x:c r="D207" s="26" t="str">
        <x:v>Manual/Review</x:v>
      </x:c>
      <x:c r="E207" s="26" t="str">
        <x:v>P1</x:v>
      </x:c>
      <x:c r="F207" s="26" t="str">
        <x:v>Parcial</x:v>
      </x:c>
      <x:c r="G207" s="26" t="str">
        <x:v>Ready</x:v>
      </x:c>
      <x:c r="H207" s="26" t="str">
        <x:v>Pending</x:v>
      </x:c>
      <x:c r="I207" s="26"/>
      <x:c r="J207" s="26"/>
      <x:c r="K207" s="26"/>
      <x:c r="L207" s="26" t="str">
        <x:v>12_Excel_Maestro_de_Produccion.xlsx</x:v>
      </x:c>
      <x:c r="M207" s="26"/>
    </x:row>
    <x:row r="208" ht="30" customHeight="1">
      <x:c r="A208" s="26" t="str">
        <x:v>SUITE-EDITMODE</x:v>
      </x:c>
      <x:c r="B208" s="26" t="str">
        <x:v>VS-QA-001</x:v>
      </x:c>
      <x:c r="C208" s="26" t="str">
        <x:v>Full EditMode</x:v>
      </x:c>
      <x:c r="D208" s="26" t="str">
        <x:v>EditMode</x:v>
      </x:c>
      <x:c r="E208" s="26" t="str">
        <x:v>P0</x:v>
      </x:c>
      <x:c r="F208" s="26" t="str">
        <x:v>Sí</x:v>
      </x:c>
      <x:c r="G208" s="26" t="str">
        <x:v>Ready</x:v>
      </x:c>
      <x:c r="H208" s="26" t="str">
        <x:v>PASS</x:v>
      </x:c>
      <x:c r="I208" s="26" t="str">
        <x:v>BLD-016-PRE</x:v>
      </x:c>
      <x:c r="J208" s="26" t="str">
        <x:v>1215/1215 PASS</x:v>
      </x:c>
      <x:c r="K208" s="26"/>
      <x:c r="L208" s="26" t="str">
        <x:v>Baseline v0.6</x:v>
      </x:c>
      <x:c r="M208" s="26"/>
    </x:row>
    <x:row r="209" ht="30" customHeight="1">
      <x:c r="A209" s="26" t="str">
        <x:v>SUITE-PLAYMODE</x:v>
      </x:c>
      <x:c r="B209" s="26" t="str">
        <x:v>VS-QA-001</x:v>
      </x:c>
      <x:c r="C209" s="26" t="str">
        <x:v>Full PlayMode</x:v>
      </x:c>
      <x:c r="D209" s="26" t="str">
        <x:v>PlayMode</x:v>
      </x:c>
      <x:c r="E209" s="26" t="str">
        <x:v>P0</x:v>
      </x:c>
      <x:c r="F209" s="26" t="str">
        <x:v>Sí</x:v>
      </x:c>
      <x:c r="G209" s="26" t="str">
        <x:v>Ready</x:v>
      </x:c>
      <x:c r="H209" s="26" t="str">
        <x:v>PASS</x:v>
      </x:c>
      <x:c r="I209" s="26" t="str">
        <x:v>BLD-016-PRE</x:v>
      </x:c>
      <x:c r="J209" s="26" t="str">
        <x:v>70/70 PASS</x:v>
      </x:c>
      <x:c r="K209" s="26"/>
      <x:c r="L209" s="26" t="str">
        <x:v>Baseline v0.6</x:v>
      </x:c>
      <x:c r="M209" s="26"/>
    </x:row>
    <x:row r="210" ht="30" customHeight="1">
      <x:c r="A210" s="26" t="str">
        <x:v>AUD-CS-STD-001</x:v>
      </x:c>
      <x:c r="B210" s="26" t="str">
        <x:v>CS-STD-001</x:v>
      </x:c>
      <x:c r="C210" s="26" t="str">
        <x:v>Todo tipo nuevo usa namespace raíz correcto.</x:v>
      </x:c>
      <x:c r="D210" s="26" t="str">
        <x:v>Review/Audit</x:v>
      </x:c>
      <x:c r="E210" s="26" t="str">
        <x:v>P1</x:v>
      </x:c>
      <x:c r="F210" s="26" t="str">
        <x:v>Manual/Parcial</x:v>
      </x:c>
      <x:c r="G210" s="26" t="str">
        <x:v>Ready</x:v>
      </x:c>
      <x:c r="H210" s="26" t="str">
        <x:v>Not Run</x:v>
      </x:c>
      <x:c r="I210" s="26"/>
      <x:c r="J210" s="26"/>
      <x:c r="K210" s="26"/>
      <x:c r="L210" s="26" t="str">
        <x:v>09_CSharp_Coding_Standards.md</x:v>
      </x:c>
      <x:c r="M210" s="26" t="str">
        <x:v>Control de cumplimiento normativo.</x:v>
      </x:c>
    </x:row>
    <x:row r="211" ht="30" customHeight="1">
      <x:c r="A211" s="26" t="str">
        <x:v>AUD-CS-STD-002</x:v>
      </x:c>
      <x:c r="B211" s="26" t="str">
        <x:v>CS-STD-002</x:v>
      </x:c>
      <x:c r="C211" s="26" t="str">
        <x:v>Domain no referencia Unity.</x:v>
      </x:c>
      <x:c r="D211" s="26" t="str">
        <x:v>Review/Audit</x:v>
      </x:c>
      <x:c r="E211" s="26" t="str">
        <x:v>P1</x:v>
      </x:c>
      <x:c r="F211" s="26" t="str">
        <x:v>Manual/Parcial</x:v>
      </x:c>
      <x:c r="G211" s="26" t="str">
        <x:v>Ready</x:v>
      </x:c>
      <x:c r="H211" s="26" t="str">
        <x:v>Not Run</x:v>
      </x:c>
      <x:c r="I211" s="26"/>
      <x:c r="J211" s="26"/>
      <x:c r="K211" s="26"/>
      <x:c r="L211" s="26" t="str">
        <x:v>09_CSharp_Coding_Standards.md</x:v>
      </x:c>
      <x:c r="M211" s="26" t="str">
        <x:v>Control de cumplimiento normativo.</x:v>
      </x:c>
    </x:row>
    <x:row r="212" ht="30" customHeight="1">
      <x:c r="A212" s="26" t="str">
        <x:v>AUD-CS-STD-003</x:v>
      </x:c>
      <x:c r="B212" s="26" t="str">
        <x:v>CS-STD-003</x:v>
      </x:c>
      <x:c r="C212" s="26" t="str">
        <x:v>Application no contiene `MonoBehaviour`.</x:v>
      </x:c>
      <x:c r="D212" s="26" t="str">
        <x:v>Review/Audit</x:v>
      </x:c>
      <x:c r="E212" s="26" t="str">
        <x:v>P1</x:v>
      </x:c>
      <x:c r="F212" s="26" t="str">
        <x:v>Manual/Parcial</x:v>
      </x:c>
      <x:c r="G212" s="26" t="str">
        <x:v>Ready</x:v>
      </x:c>
      <x:c r="H212" s="26" t="str">
        <x:v>Not Run</x:v>
      </x:c>
      <x:c r="I212" s="26"/>
      <x:c r="J212" s="26"/>
      <x:c r="K212" s="26"/>
      <x:c r="L212" s="26" t="str">
        <x:v>09_CSharp_Coding_Standards.md</x:v>
      </x:c>
      <x:c r="M212" s="26" t="str">
        <x:v>Control de cumplimiento normativo.</x:v>
      </x:c>
    </x:row>
    <x:row r="213" ht="30" customHeight="1">
      <x:c r="A213" s="26" t="str">
        <x:v>AUD-CS-STD-004</x:v>
      </x:c>
      <x:c r="B213" s="26" t="str">
        <x:v>CS-STD-004</x:v>
      </x:c>
      <x:c r="C213" s="26" t="str">
        <x:v>Presentation no es autoridad de estado de negocio.</x:v>
      </x:c>
      <x:c r="D213" s="26" t="str">
        <x:v>Review/Audit</x:v>
      </x:c>
      <x:c r="E213" s="26" t="str">
        <x:v>P1</x:v>
      </x:c>
      <x:c r="F213" s="26" t="str">
        <x:v>Manual/Parcial</x:v>
      </x:c>
      <x:c r="G213" s="26" t="str">
        <x:v>Ready</x:v>
      </x:c>
      <x:c r="H213" s="26" t="str">
        <x:v>Not Run</x:v>
      </x:c>
      <x:c r="I213" s="26"/>
      <x:c r="J213" s="26"/>
      <x:c r="K213" s="26"/>
      <x:c r="L213" s="26" t="str">
        <x:v>09_CSharp_Coding_Standards.md</x:v>
      </x:c>
      <x:c r="M213" s="26" t="str">
        <x:v>Control de cumplimiento normativo.</x:v>
      </x:c>
    </x:row>
    <x:row r="214" ht="30" customHeight="1">
      <x:c r="A214" s="26" t="str">
        <x:v>AUD-CS-STD-005</x:v>
      </x:c>
      <x:c r="B214" s="26" t="str">
        <x:v>CS-STD-005</x:v>
      </x:c>
      <x:c r="C214" s="26" t="str">
        <x:v>Toda dependencia estructural es explícita.</x:v>
      </x:c>
      <x:c r="D214" s="26" t="str">
        <x:v>Review/Audit</x:v>
      </x:c>
      <x:c r="E214" s="26" t="str">
        <x:v>P1</x:v>
      </x:c>
      <x:c r="F214" s="26" t="str">
        <x:v>Manual/Parcial</x:v>
      </x:c>
      <x:c r="G214" s="26" t="str">
        <x:v>Ready</x:v>
      </x:c>
      <x:c r="H214" s="26" t="str">
        <x:v>Not Run</x:v>
      </x:c>
      <x:c r="I214" s="26"/>
      <x:c r="J214" s="26"/>
      <x:c r="K214" s="26"/>
      <x:c r="L214" s="26" t="str">
        <x:v>09_CSharp_Coding_Standards.md</x:v>
      </x:c>
      <x:c r="M214" s="26" t="str">
        <x:v>Control de cumplimiento normativo.</x:v>
      </x:c>
    </x:row>
    <x:row r="215" ht="30" customHeight="1">
      <x:c r="A215" s="26" t="str">
        <x:v>AUD-CS-STD-006</x:v>
      </x:c>
      <x:c r="B215" s="26" t="str">
        <x:v>CS-STD-006</x:v>
      </x:c>
      <x:c r="C215" s="26" t="str">
        <x:v>IDs persistentes son estables y no dependen de nombres de escena.</x:v>
      </x:c>
      <x:c r="D215" s="26" t="str">
        <x:v>Review/Audit</x:v>
      </x:c>
      <x:c r="E215" s="26" t="str">
        <x:v>P1</x:v>
      </x:c>
      <x:c r="F215" s="26" t="str">
        <x:v>Manual/Parcial</x:v>
      </x:c>
      <x:c r="G215" s="26" t="str">
        <x:v>Ready</x:v>
      </x:c>
      <x:c r="H215" s="26" t="str">
        <x:v>Not Run</x:v>
      </x:c>
      <x:c r="I215" s="26"/>
      <x:c r="J215" s="26"/>
      <x:c r="K215" s="26"/>
      <x:c r="L215" s="26" t="str">
        <x:v>09_CSharp_Coding_Standards.md</x:v>
      </x:c>
      <x:c r="M215" s="26" t="str">
        <x:v>Control de cumplimiento normativo.</x:v>
      </x:c>
    </x:row>
    <x:row r="216" ht="30" customHeight="1">
      <x:c r="A216" s="26" t="str">
        <x:v>AUD-CS-STD-007</x:v>
      </x:c>
      <x:c r="B216" s="26" t="str">
        <x:v>CS-STD-007</x:v>
      </x:c>
      <x:c r="C216" s="26" t="str">
        <x:v>Operaciones compuestas validan antes de mutar.</x:v>
      </x:c>
      <x:c r="D216" s="26" t="str">
        <x:v>Review/Audit</x:v>
      </x:c>
      <x:c r="E216" s="26" t="str">
        <x:v>P1</x:v>
      </x:c>
      <x:c r="F216" s="26" t="str">
        <x:v>Manual/Parcial</x:v>
      </x:c>
      <x:c r="G216" s="26" t="str">
        <x:v>Ready</x:v>
      </x:c>
      <x:c r="H216" s="26" t="str">
        <x:v>Not Run</x:v>
      </x:c>
      <x:c r="I216" s="26"/>
      <x:c r="J216" s="26"/>
      <x:c r="K216" s="26"/>
      <x:c r="L216" s="26" t="str">
        <x:v>09_CSharp_Coding_Standards.md</x:v>
      </x:c>
      <x:c r="M216" s="26" t="str">
        <x:v>Control de cumplimiento normativo.</x:v>
      </x:c>
    </x:row>
    <x:row r="217" ht="30" customHeight="1">
      <x:c r="A217" s="26" t="str">
        <x:v>AUD-CS-STD-008</x:v>
      </x:c>
      <x:c r="B217" s="26" t="str">
        <x:v>CS-STD-008</x:v>
      </x:c>
      <x:c r="C217" s="26" t="str">
        <x:v>Fallos esperables usan razones tipadas.</x:v>
      </x:c>
      <x:c r="D217" s="26" t="str">
        <x:v>Review/Audit</x:v>
      </x:c>
      <x:c r="E217" s="26" t="str">
        <x:v>P1</x:v>
      </x:c>
      <x:c r="F217" s="26" t="str">
        <x:v>Manual/Parcial</x:v>
      </x:c>
      <x:c r="G217" s="26" t="str">
        <x:v>Ready</x:v>
      </x:c>
      <x:c r="H217" s="26" t="str">
        <x:v>Not Run</x:v>
      </x:c>
      <x:c r="I217" s="26"/>
      <x:c r="J217" s="26"/>
      <x:c r="K217" s="26"/>
      <x:c r="L217" s="26" t="str">
        <x:v>09_CSharp_Coding_Standards.md</x:v>
      </x:c>
      <x:c r="M217" s="26" t="str">
        <x:v>Control de cumplimiento normativo.</x:v>
      </x:c>
    </x:row>
    <x:row r="218" ht="30" customHeight="1">
      <x:c r="A218" s="26" t="str">
        <x:v>AUD-CS-STD-009</x:v>
      </x:c>
      <x:c r="B218" s="26" t="str">
        <x:v>CS-STD-009</x:v>
      </x:c>
      <x:c r="C218" s="26" t="str">
        <x:v>Dinero no usa float/double.</x:v>
      </x:c>
      <x:c r="D218" s="26" t="str">
        <x:v>Review/Audit</x:v>
      </x:c>
      <x:c r="E218" s="26" t="str">
        <x:v>P1</x:v>
      </x:c>
      <x:c r="F218" s="26" t="str">
        <x:v>Manual/Parcial</x:v>
      </x:c>
      <x:c r="G218" s="26" t="str">
        <x:v>Ready</x:v>
      </x:c>
      <x:c r="H218" s="26" t="str">
        <x:v>Not Run</x:v>
      </x:c>
      <x:c r="I218" s="26"/>
      <x:c r="J218" s="26"/>
      <x:c r="K218" s="26"/>
      <x:c r="L218" s="26" t="str">
        <x:v>09_CSharp_Coding_Standards.md</x:v>
      </x:c>
      <x:c r="M218" s="26" t="str">
        <x:v>Control de cumplimiento normativo.</x:v>
      </x:c>
    </x:row>
    <x:row r="219" ht="30" customHeight="1">
      <x:c r="A219" s="26" t="str">
        <x:v>AUD-CS-STD-010</x:v>
      </x:c>
      <x:c r="B219" s="26" t="str">
        <x:v>CS-STD-010</x:v>
      </x:c>
      <x:c r="C219" s="26" t="str">
        <x:v>Colecciones internas no se exponen mutables.</x:v>
      </x:c>
      <x:c r="D219" s="26" t="str">
        <x:v>Review/Audit</x:v>
      </x:c>
      <x:c r="E219" s="26" t="str">
        <x:v>P1</x:v>
      </x:c>
      <x:c r="F219" s="26" t="str">
        <x:v>Manual/Parcial</x:v>
      </x:c>
      <x:c r="G219" s="26" t="str">
        <x:v>Ready</x:v>
      </x:c>
      <x:c r="H219" s="26" t="str">
        <x:v>Not Run</x:v>
      </x:c>
      <x:c r="I219" s="26"/>
      <x:c r="J219" s="26"/>
      <x:c r="K219" s="26"/>
      <x:c r="L219" s="26" t="str">
        <x:v>09_CSharp_Coding_Standards.md</x:v>
      </x:c>
      <x:c r="M219" s="26" t="str">
        <x:v>Control de cumplimiento normativo.</x:v>
      </x:c>
    </x:row>
    <x:row r="220" ht="30" customHeight="1">
      <x:c r="A220" s="26" t="str">
        <x:v>AUD-CS-STD-011</x:v>
      </x:c>
      <x:c r="B220" s="26" t="str">
        <x:v>CS-STD-011</x:v>
      </x:c>
      <x:c r="C220" s="26" t="str">
        <x:v>Suscripciones tienen desuscripción simétrica.</x:v>
      </x:c>
      <x:c r="D220" s="26" t="str">
        <x:v>Review/Audit</x:v>
      </x:c>
      <x:c r="E220" s="26" t="str">
        <x:v>P1</x:v>
      </x:c>
      <x:c r="F220" s="26" t="str">
        <x:v>Manual/Parcial</x:v>
      </x:c>
      <x:c r="G220" s="26" t="str">
        <x:v>Ready</x:v>
      </x:c>
      <x:c r="H220" s="26" t="str">
        <x:v>Not Run</x:v>
      </x:c>
      <x:c r="I220" s="26"/>
      <x:c r="J220" s="26"/>
      <x:c r="K220" s="26"/>
      <x:c r="L220" s="26" t="str">
        <x:v>09_CSharp_Coding_Standards.md</x:v>
      </x:c>
      <x:c r="M220" s="26" t="str">
        <x:v>Control de cumplimiento normativo.</x:v>
      </x:c>
    </x:row>
    <x:row r="221" ht="30" customHeight="1">
      <x:c r="A221" s="26" t="str">
        <x:v>AUD-CS-STD-012</x:v>
      </x:c>
      <x:c r="B221" s="26" t="str">
        <x:v>CS-STD-012</x:v>
      </x:c>
      <x:c r="C221" s="26" t="str">
        <x:v>No hay búsqueda global por frame.</x:v>
      </x:c>
      <x:c r="D221" s="26" t="str">
        <x:v>Review/Audit</x:v>
      </x:c>
      <x:c r="E221" s="26" t="str">
        <x:v>P1</x:v>
      </x:c>
      <x:c r="F221" s="26" t="str">
        <x:v>Manual/Parcial</x:v>
      </x:c>
      <x:c r="G221" s="26" t="str">
        <x:v>Ready</x:v>
      </x:c>
      <x:c r="H221" s="26" t="str">
        <x:v>Not Run</x:v>
      </x:c>
      <x:c r="I221" s="26"/>
      <x:c r="J221" s="26"/>
      <x:c r="K221" s="26"/>
      <x:c r="L221" s="26" t="str">
        <x:v>09_CSharp_Coding_Standards.md</x:v>
      </x:c>
      <x:c r="M221" s="26" t="str">
        <x:v>Control de cumplimiento normativo.</x:v>
      </x:c>
    </x:row>
    <x:row r="222" ht="30" customHeight="1">
      <x:c r="A222" s="26" t="str">
        <x:v>AUD-CS-STD-013</x:v>
      </x:c>
      <x:c r="B222" s="26" t="str">
        <x:v>CS-STD-013</x:v>
      </x:c>
      <x:c r="C222" s="26" t="str">
        <x:v>`ScriptableObject` no almacena progreso autoritativo.</x:v>
      </x:c>
      <x:c r="D222" s="26" t="str">
        <x:v>Review/Audit</x:v>
      </x:c>
      <x:c r="E222" s="26" t="str">
        <x:v>P1</x:v>
      </x:c>
      <x:c r="F222" s="26" t="str">
        <x:v>Manual/Parcial</x:v>
      </x:c>
      <x:c r="G222" s="26" t="str">
        <x:v>Ready</x:v>
      </x:c>
      <x:c r="H222" s="26" t="str">
        <x:v>Not Run</x:v>
      </x:c>
      <x:c r="I222" s="26"/>
      <x:c r="J222" s="26"/>
      <x:c r="K222" s="26"/>
      <x:c r="L222" s="26" t="str">
        <x:v>09_CSharp_Coding_Standards.md</x:v>
      </x:c>
      <x:c r="M222" s="26" t="str">
        <x:v>Control de cumplimiento normativo.</x:v>
      </x:c>
    </x:row>
    <x:row r="223" ht="30" customHeight="1">
      <x:c r="A223" s="26" t="str">
        <x:v>AUD-CS-STD-014</x:v>
      </x:c>
      <x:c r="B223" s="26" t="str">
        <x:v>CS-STD-014</x:v>
      </x:c>
      <x:c r="C223" s="26" t="str">
        <x:v>Campos persistentes nuevos tienen round trip y migración/default.</x:v>
      </x:c>
      <x:c r="D223" s="26" t="str">
        <x:v>Review/Audit</x:v>
      </x:c>
      <x:c r="E223" s="26" t="str">
        <x:v>P1</x:v>
      </x:c>
      <x:c r="F223" s="26" t="str">
        <x:v>Manual/Parcial</x:v>
      </x:c>
      <x:c r="G223" s="26" t="str">
        <x:v>Ready</x:v>
      </x:c>
      <x:c r="H223" s="26" t="str">
        <x:v>Not Run</x:v>
      </x:c>
      <x:c r="I223" s="26"/>
      <x:c r="J223" s="26"/>
      <x:c r="K223" s="26"/>
      <x:c r="L223" s="26" t="str">
        <x:v>09_CSharp_Coding_Standards.md</x:v>
      </x:c>
      <x:c r="M223" s="26" t="str">
        <x:v>Control de cumplimiento normativo.</x:v>
      </x:c>
    </x:row>
    <x:row r="224" ht="30" customHeight="1">
      <x:c r="A224" s="26" t="str">
        <x:v>AUD-CS-STD-015</x:v>
      </x:c>
      <x:c r="B224" s="26" t="str">
        <x:v>CS-STD-015</x:v>
      </x:c>
      <x:c r="C224" s="26" t="str">
        <x:v>Guardado escribe de forma atómica.</x:v>
      </x:c>
      <x:c r="D224" s="26" t="str">
        <x:v>Review/Audit</x:v>
      </x:c>
      <x:c r="E224" s="26" t="str">
        <x:v>P1</x:v>
      </x:c>
      <x:c r="F224" s="26" t="str">
        <x:v>Manual/Parcial</x:v>
      </x:c>
      <x:c r="G224" s="26" t="str">
        <x:v>Ready</x:v>
      </x:c>
      <x:c r="H224" s="26" t="str">
        <x:v>Not Run</x:v>
      </x:c>
      <x:c r="I224" s="26"/>
      <x:c r="J224" s="26"/>
      <x:c r="K224" s="26"/>
      <x:c r="L224" s="26" t="str">
        <x:v>09_CSharp_Coding_Standards.md</x:v>
      </x:c>
      <x:c r="M224" s="26" t="str">
        <x:v>Control de cumplimiento normativo.</x:v>
      </x:c>
    </x:row>
    <x:row r="225" ht="30" customHeight="1">
      <x:c r="A225" s="26" t="str">
        <x:v>AUD-CS-STD-016</x:v>
      </x:c>
      <x:c r="B225" s="26" t="str">
        <x:v>CS-STD-016</x:v>
      </x:c>
      <x:c r="C225" s="26" t="str">
        <x:v>Tests verifican no mutación en fallo crítico.</x:v>
      </x:c>
      <x:c r="D225" s="26" t="str">
        <x:v>Review/Audit</x:v>
      </x:c>
      <x:c r="E225" s="26" t="str">
        <x:v>P1</x:v>
      </x:c>
      <x:c r="F225" s="26" t="str">
        <x:v>Manual/Parcial</x:v>
      </x:c>
      <x:c r="G225" s="26" t="str">
        <x:v>Ready</x:v>
      </x:c>
      <x:c r="H225" s="26" t="str">
        <x:v>Not Run</x:v>
      </x:c>
      <x:c r="I225" s="26"/>
      <x:c r="J225" s="26"/>
      <x:c r="K225" s="26"/>
      <x:c r="L225" s="26" t="str">
        <x:v>09_CSharp_Coding_Standards.md</x:v>
      </x:c>
      <x:c r="M225" s="26" t="str">
        <x:v>Control de cumplimiento normativo.</x:v>
      </x:c>
    </x:row>
    <x:row r="226" ht="30" customHeight="1">
      <x:c r="A226" s="26" t="str">
        <x:v>AUD-CS-STD-017</x:v>
      </x:c>
      <x:c r="B226" s="26" t="str">
        <x:v>CS-STD-017</x:v>
      </x:c>
      <x:c r="C226" s="26" t="str">
        <x:v>Herramientas de Editor son idempotentes.</x:v>
      </x:c>
      <x:c r="D226" s="26" t="str">
        <x:v>Review/Audit</x:v>
      </x:c>
      <x:c r="E226" s="26" t="str">
        <x:v>P1</x:v>
      </x:c>
      <x:c r="F226" s="26" t="str">
        <x:v>Manual/Parcial</x:v>
      </x:c>
      <x:c r="G226" s="26" t="str">
        <x:v>Ready</x:v>
      </x:c>
      <x:c r="H226" s="26" t="str">
        <x:v>Not Run</x:v>
      </x:c>
      <x:c r="I226" s="26"/>
      <x:c r="J226" s="26"/>
      <x:c r="K226" s="26"/>
      <x:c r="L226" s="26" t="str">
        <x:v>09_CSharp_Coding_Standards.md</x:v>
      </x:c>
      <x:c r="M226" s="26" t="str">
        <x:v>Control de cumplimiento normativo.</x:v>
      </x:c>
    </x:row>
    <x:row r="227" ht="30" customHeight="1">
      <x:c r="A227" s="26" t="str">
        <x:v>AUD-CS-STD-018</x:v>
      </x:c>
      <x:c r="B227" s="26" t="str">
        <x:v>CS-STD-018</x:v>
      </x:c>
      <x:c r="C227" s="26" t="str">
        <x:v>No se introducen warnings nuevos.</x:v>
      </x:c>
      <x:c r="D227" s="26" t="str">
        <x:v>Review/Audit</x:v>
      </x:c>
      <x:c r="E227" s="26" t="str">
        <x:v>P1</x:v>
      </x:c>
      <x:c r="F227" s="26" t="str">
        <x:v>Manual/Parcial</x:v>
      </x:c>
      <x:c r="G227" s="26" t="str">
        <x:v>Ready</x:v>
      </x:c>
      <x:c r="H227" s="26" t="str">
        <x:v>Not Run</x:v>
      </x:c>
      <x:c r="I227" s="26"/>
      <x:c r="J227" s="26"/>
      <x:c r="K227" s="26"/>
      <x:c r="L227" s="26" t="str">
        <x:v>09_CSharp_Coding_Standards.md</x:v>
      </x:c>
      <x:c r="M227" s="26" t="str">
        <x:v>Control de cumplimiento normativo.</x:v>
      </x:c>
    </x:row>
    <x:row r="228" ht="30" customHeight="1">
      <x:c r="A228" s="26" t="str">
        <x:v>AUD-CS-STD-019</x:v>
      </x:c>
      <x:c r="B228" s="26" t="str">
        <x:v>CS-STD-019</x:v>
      </x:c>
      <x:c r="C228" s="26" t="str">
        <x:v>No existe catch vacío.</x:v>
      </x:c>
      <x:c r="D228" s="26" t="str">
        <x:v>Review/Audit</x:v>
      </x:c>
      <x:c r="E228" s="26" t="str">
        <x:v>P1</x:v>
      </x:c>
      <x:c r="F228" s="26" t="str">
        <x:v>Manual/Parcial</x:v>
      </x:c>
      <x:c r="G228" s="26" t="str">
        <x:v>Ready</x:v>
      </x:c>
      <x:c r="H228" s="26" t="str">
        <x:v>Not Run</x:v>
      </x:c>
      <x:c r="I228" s="26"/>
      <x:c r="J228" s="26"/>
      <x:c r="K228" s="26"/>
      <x:c r="L228" s="26" t="str">
        <x:v>09_CSharp_Coding_Standards.md</x:v>
      </x:c>
      <x:c r="M228" s="26" t="str">
        <x:v>Control de cumplimiento normativo.</x:v>
      </x:c>
    </x:row>
    <x:row r="229" ht="30" customHeight="1">
      <x:c r="A229" s="26" t="str">
        <x:v>AUD-CS-STD-020</x:v>
      </x:c>
      <x:c r="B229" s="26" t="str">
        <x:v>CS-STD-020</x:v>
      </x:c>
      <x:c r="C229" s="26" t="str">
        <x:v>Una contribución cumple Definition of Done C#.</x:v>
      </x:c>
      <x:c r="D229" s="26" t="str">
        <x:v>Review/Audit</x:v>
      </x:c>
      <x:c r="E229" s="26" t="str">
        <x:v>P1</x:v>
      </x:c>
      <x:c r="F229" s="26" t="str">
        <x:v>Manual/Parcial</x:v>
      </x:c>
      <x:c r="G229" s="26" t="str">
        <x:v>Ready</x:v>
      </x:c>
      <x:c r="H229" s="26" t="str">
        <x:v>Not Run</x:v>
      </x:c>
      <x:c r="I229" s="26"/>
      <x:c r="J229" s="26"/>
      <x:c r="K229" s="26"/>
      <x:c r="L229" s="26" t="str">
        <x:v>09_CSharp_Coding_Standards.md</x:v>
      </x:c>
      <x:c r="M229" s="26" t="str">
        <x:v>Control de cumplimiento normativo.</x:v>
      </x:c>
    </x:row>
    <x:row r="230" ht="30" customHeight="1">
      <x:c r="A230" s="26" t="str">
        <x:v>AUD-SETUP-DEBT-001</x:v>
      </x:c>
      <x:c r="B230" s="26" t="str">
        <x:v>SETUP-DEBT-001</x:v>
      </x:c>
      <x:c r="C230" s="26" t="str">
        <x:v>StoreInitial no está en build</x:v>
      </x:c>
      <x:c r="D230" s="26" t="str">
        <x:v>Review/Audit</x:v>
      </x:c>
      <x:c r="E230" s="26" t="str">
        <x:v>P1</x:v>
      </x:c>
      <x:c r="F230" s="26" t="str">
        <x:v>Manual/Parcial</x:v>
      </x:c>
      <x:c r="G230" s="26" t="str">
        <x:v>Ready</x:v>
      </x:c>
      <x:c r="H230" s="26" t="str">
        <x:v>Not Run</x:v>
      </x:c>
      <x:c r="I230" s="26"/>
      <x:c r="J230" s="26" t="str">
        <x:v>cerrar Sprint 16 antes de sustituir</x:v>
      </x:c>
      <x:c r="K230" s="26"/>
      <x:c r="L230" s="26" t="str">
        <x:v>10_Unity_Project_Setup_Guide.md</x:v>
      </x:c>
      <x:c r="M230" s="26" t="str">
        <x:v>Control de cumplimiento normativo.</x:v>
      </x:c>
    </x:row>
    <x:row r="231" ht="30" customHeight="1">
      <x:c r="A231" s="26" t="str">
        <x:v>AUD-SETUP-DEBT-002</x:v>
      </x:c>
      <x:c r="B231" s="26" t="str">
        <x:v>SETUP-DEBT-002</x:v>
      </x:c>
      <x:c r="C231" s="26" t="str">
        <x:v>doble shell o escena equivocada</x:v>
      </x:c>
      <x:c r="D231" s="26" t="str">
        <x:v>Review/Audit</x:v>
      </x:c>
      <x:c r="E231" s="26" t="str">
        <x:v>P1</x:v>
      </x:c>
      <x:c r="F231" s="26" t="str">
        <x:v>Manual/Parcial</x:v>
      </x:c>
      <x:c r="G231" s="26" t="str">
        <x:v>Ready</x:v>
      </x:c>
      <x:c r="H231" s="26" t="str">
        <x:v>Not Run</x:v>
      </x:c>
      <x:c r="I231" s="26"/>
      <x:c r="J231" s="26" t="str">
        <x:v>migración controlada</x:v>
      </x:c>
      <x:c r="K231" s="26"/>
      <x:c r="L231" s="26" t="str">
        <x:v>10_Unity_Project_Setup_Guide.md</x:v>
      </x:c>
      <x:c r="M231" s="26" t="str">
        <x:v>Control de cumplimiento normativo.</x:v>
      </x:c>
    </x:row>
    <x:row r="232" ht="30" customHeight="1">
      <x:c r="A232" s="26" t="str">
        <x:v>AUD-SETUP-DEBT-003</x:v>
      </x:c>
      <x:c r="B232" s="26" t="str">
        <x:v>SETUP-DEBT-003</x:v>
      </x:c>
      <x:c r="C232" s="26" t="str">
        <x:v>no representa objetivo de validación</x:v>
      </x:c>
      <x:c r="D232" s="26" t="str">
        <x:v>Review/Audit</x:v>
      </x:c>
      <x:c r="E232" s="26" t="str">
        <x:v>P1</x:v>
      </x:c>
      <x:c r="F232" s="26" t="str">
        <x:v>Manual/Parcial</x:v>
      </x:c>
      <x:c r="G232" s="26" t="str">
        <x:v>Ready</x:v>
      </x:c>
      <x:c r="H232" s="26" t="str">
        <x:v>Not Run</x:v>
      </x:c>
      <x:c r="I232" s="26"/>
      <x:c r="J232" s="26" t="str">
        <x:v>decidir antes de H6</x:v>
      </x:c>
      <x:c r="K232" s="26"/>
      <x:c r="L232" s="26" t="str">
        <x:v>10_Unity_Project_Setup_Guide.md</x:v>
      </x:c>
      <x:c r="M232" s="26" t="str">
        <x:v>Control de cumplimiento normativo.</x:v>
      </x:c>
    </x:row>
    <x:row r="233" ht="30" customHeight="1">
      <x:c r="A233" s="26" t="str">
        <x:v>AUD-SETUP-DEBT-004</x:v>
      </x:c>
      <x:c r="B233" s="26" t="str">
        <x:v>SETUP-DEBT-004</x:v>
      </x:c>
      <x:c r="C233" s="26" t="str">
        <x:v>posible fricción PC</x:v>
      </x:c>
      <x:c r="D233" s="26" t="str">
        <x:v>Review/Audit</x:v>
      </x:c>
      <x:c r="E233" s="26" t="str">
        <x:v>P1</x:v>
      </x:c>
      <x:c r="F233" s="26" t="str">
        <x:v>Manual/Parcial</x:v>
      </x:c>
      <x:c r="G233" s="26" t="str">
        <x:v>Ready</x:v>
      </x:c>
      <x:c r="H233" s="26" t="str">
        <x:v>Not Run</x:v>
      </x:c>
      <x:c r="I233" s="26"/>
      <x:c r="J233" s="26" t="str">
        <x:v>validar UX</x:v>
      </x:c>
      <x:c r="K233" s="26"/>
      <x:c r="L233" s="26" t="str">
        <x:v>10_Unity_Project_Setup_Guide.md</x:v>
      </x:c>
      <x:c r="M233" s="26" t="str">
        <x:v>Control de cumplimiento normativo.</x:v>
      </x:c>
    </x:row>
    <x:row r="234" ht="30" customHeight="1">
      <x:c r="A234" s="26" t="str">
        <x:v>AUD-SETUP-DEBT-005</x:v>
      </x:c>
      <x:c r="B234" s="26" t="str">
        <x:v>SETUP-DEBT-005</x:v>
      </x:c>
      <x:c r="C234" s="26" t="str">
        <x:v>ES/EN no queda demostrado</x:v>
      </x:c>
      <x:c r="D234" s="26" t="str">
        <x:v>Review/Audit</x:v>
      </x:c>
      <x:c r="E234" s="26" t="str">
        <x:v>P1</x:v>
      </x:c>
      <x:c r="F234" s="26" t="str">
        <x:v>Manual/Parcial</x:v>
      </x:c>
      <x:c r="G234" s="26" t="str">
        <x:v>Ready</x:v>
      </x:c>
      <x:c r="H234" s="26" t="str">
        <x:v>Not Run</x:v>
      </x:c>
      <x:c r="I234" s="26"/>
      <x:c r="J234" s="26" t="str">
        <x:v>completar en Sprint 17/H6</x:v>
      </x:c>
      <x:c r="K234" s="26"/>
      <x:c r="L234" s="26" t="str">
        <x:v>10_Unity_Project_Setup_Guide.md</x:v>
      </x:c>
      <x:c r="M234" s="26" t="str">
        <x:v>Control de cumplimiento normativo.</x:v>
      </x:c>
    </x:row>
    <x:row r="235" ht="30" customHeight="1">
      <x:c r="A235" s="26" t="str">
        <x:v>AUD-SETUP-DEBT-006</x:v>
      </x:c>
      <x:c r="B235" s="26" t="str">
        <x:v>SETUP-DEBT-006</x:v>
      </x:c>
      <x:c r="C235" s="26" t="str">
        <x:v>no es defecto; limita máscaras nominales</x:v>
      </x:c>
      <x:c r="D235" s="26" t="str">
        <x:v>Review/Audit</x:v>
      </x:c>
      <x:c r="E235" s="26" t="str">
        <x:v>P1</x:v>
      </x:c>
      <x:c r="F235" s="26" t="str">
        <x:v>Manual/Parcial</x:v>
      </x:c>
      <x:c r="G235" s="26" t="str">
        <x:v>Ready</x:v>
      </x:c>
      <x:c r="H235" s="26" t="str">
        <x:v>Not Run</x:v>
      </x:c>
      <x:c r="I235" s="26"/>
      <x:c r="J235" s="26" t="str">
        <x:v>añadir solo con caso real</x:v>
      </x:c>
      <x:c r="K235" s="26"/>
      <x:c r="L235" s="26" t="str">
        <x:v>10_Unity_Project_Setup_Guide.md</x:v>
      </x:c>
      <x:c r="M235" s="26" t="str">
        <x:v>Control de cumplimiento normativo.</x:v>
      </x:c>
    </x:row>
    <x:row r="236" ht="30" customHeight="1">
      <x:c r="A236" s="26" t="str">
        <x:v>AUD-SETUP-DEBT-007</x:v>
      </x:c>
      <x:c r="B236" s="26" t="str">
        <x:v>SETUP-DEBT-007</x:v>
      </x:c>
      <x:c r="C236" s="26" t="str">
        <x:v>estilo no automatizado</x:v>
      </x:c>
      <x:c r="D236" s="26" t="str">
        <x:v>Review/Audit</x:v>
      </x:c>
      <x:c r="E236" s="26" t="str">
        <x:v>P1</x:v>
      </x:c>
      <x:c r="F236" s="26" t="str">
        <x:v>Manual/Parcial</x:v>
      </x:c>
      <x:c r="G236" s="26" t="str">
        <x:v>Ready</x:v>
      </x:c>
      <x:c r="H236" s="26" t="str">
        <x:v>Not Run</x:v>
      </x:c>
      <x:c r="I236" s="26"/>
      <x:c r="J236" s="26" t="str">
        <x:v>plan gradual de Coding Standards</x:v>
      </x:c>
      <x:c r="K236" s="26"/>
      <x:c r="L236" s="26" t="str">
        <x:v>10_Unity_Project_Setup_Guide.md</x:v>
      </x:c>
      <x:c r="M236" s="26" t="str">
        <x:v>Control de cumplimiento normativo.</x:v>
      </x:c>
    </x:row>
    <x:row r="237" ht="30" customHeight="1">
      <x:c r="A237" s="26" t="str">
        <x:v>AUD-SETUP-DEBT-008</x:v>
      </x:c>
      <x:c r="B237" s="26" t="str">
        <x:v>SETUP-DEBT-008</x:v>
      </x:c>
      <x:c r="C237" s="26" t="str">
        <x:v>crecimiento de binarios</x:v>
      </x:c>
      <x:c r="D237" s="26" t="str">
        <x:v>Review/Audit</x:v>
      </x:c>
      <x:c r="E237" s="26" t="str">
        <x:v>P1</x:v>
      </x:c>
      <x:c r="F237" s="26" t="str">
        <x:v>Manual/Parcial</x:v>
      </x:c>
      <x:c r="G237" s="26" t="str">
        <x:v>Ready</x:v>
      </x:c>
      <x:c r="H237" s="26" t="str">
        <x:v>Not Run</x:v>
      </x:c>
      <x:c r="I237" s="26"/>
      <x:c r="J237" s="26" t="str">
        <x:v>medir y decidir</x:v>
      </x:c>
      <x:c r="K237" s="26"/>
      <x:c r="L237" s="26" t="str">
        <x:v>10_Unity_Project_Setup_Guide.md</x:v>
      </x:c>
      <x:c r="M237" s="26" t="str">
        <x:v>Control de cumplimiento normativo.</x:v>
      </x:c>
    </x:row>
    <x:row r="238" ht="30" customHeight="1">
      <x:c r="A238" s="26" t="str">
        <x:v>AUD-SETUP-DEBT-009</x:v>
      </x:c>
      <x:c r="B238" s="26" t="str">
        <x:v>SETUP-DEBT-009</x:v>
      </x:c>
      <x:c r="C238" s="26" t="str">
        <x:v>contrato confuso</x:v>
      </x:c>
      <x:c r="D238" s="26" t="str">
        <x:v>Review/Audit</x:v>
      </x:c>
      <x:c r="E238" s="26" t="str">
        <x:v>P1</x:v>
      </x:c>
      <x:c r="F238" s="26" t="str">
        <x:v>Manual/Parcial</x:v>
      </x:c>
      <x:c r="G238" s="26" t="str">
        <x:v>Ready</x:v>
      </x:c>
      <x:c r="H238" s="26" t="str">
        <x:v>Not Run</x:v>
      </x:c>
      <x:c r="I238" s="26"/>
      <x:c r="J238" s="26" t="str">
        <x:v>limpiar sin romper IDs usados</x:v>
      </x:c>
      <x:c r="K238" s="26"/>
      <x:c r="L238" s="26" t="str">
        <x:v>10_Unity_Project_Setup_Guide.md</x:v>
      </x:c>
      <x:c r="M238" s="26" t="str">
        <x:v>Control de cumplimiento normativo.</x:v>
      </x:c>
    </x:row>
    <x:row r="239" ht="30" customHeight="1">
      <x:c r="A239" s="26" t="str">
        <x:v>AUD-SETUP-DEBT-010</x:v>
      </x:c>
      <x:c r="B239" s="26" t="str">
        <x:v>SETUP-DEBT-010</x:v>
      </x:c>
      <x:c r="C239" s="26" t="str">
        <x:v>no apto para release</x:v>
      </x:c>
      <x:c r="D239" s="26" t="str">
        <x:v>Review/Audit</x:v>
      </x:c>
      <x:c r="E239" s="26" t="str">
        <x:v>P1</x:v>
      </x:c>
      <x:c r="F239" s="26" t="str">
        <x:v>Manual/Parcial</x:v>
      </x:c>
      <x:c r="G239" s="26" t="str">
        <x:v>Ready</x:v>
      </x:c>
      <x:c r="H239" s="26" t="str">
        <x:v>Not Run</x:v>
      </x:c>
      <x:c r="I239" s="26"/>
      <x:c r="J239" s="26" t="str">
        <x:v>profile de candidato separado</x:v>
      </x:c>
      <x:c r="K239" s="26"/>
      <x:c r="L239" s="26" t="str">
        <x:v>10_Unity_Project_Setup_Guide.md</x:v>
      </x:c>
      <x:c r="M239" s="26" t="str">
        <x:v>Control de cumplimiento normativo.</x:v>
      </x:c>
    </x:row>
    <x:row r="240" ht="30" customHeight="1">
      <x:c r="A240" s="26" t="str">
        <x:v>AUD-SETUP-001</x:v>
      </x:c>
      <x:c r="B240" s="26" t="str">
        <x:v>SETUP-001</x:v>
      </x:c>
      <x:c r="C240" s="26" t="str">
        <x:v>`ProjectVersion.txt` declara `6000.3.18f1`.</x:v>
      </x:c>
      <x:c r="D240" s="26" t="str">
        <x:v>Review/Audit</x:v>
      </x:c>
      <x:c r="E240" s="26" t="str">
        <x:v>P1</x:v>
      </x:c>
      <x:c r="F240" s="26" t="str">
        <x:v>Manual/Parcial</x:v>
      </x:c>
      <x:c r="G240" s="26" t="str">
        <x:v>Ready</x:v>
      </x:c>
      <x:c r="H240" s="26" t="str">
        <x:v>Baseline PASS</x:v>
      </x:c>
      <x:c r="I240" s="26"/>
      <x:c r="J240" s="26" t="str">
        <x:v>archivo y About Unity</x:v>
      </x:c>
      <x:c r="K240" s="26"/>
      <x:c r="L240" s="26" t="str">
        <x:v>10_Unity_Project_Setup_Guide.md</x:v>
      </x:c>
      <x:c r="M240" s="26" t="str">
        <x:v>Control de cumplimiento normativo.</x:v>
      </x:c>
    </x:row>
    <x:row r="241" ht="30" customHeight="1">
      <x:c r="A241" s="26" t="str">
        <x:v>AUD-SETUP-002</x:v>
      </x:c>
      <x:c r="B241" s="26" t="str">
        <x:v>SETUP-002</x:v>
      </x:c>
      <x:c r="C241" s="26" t="str">
        <x:v>Windows Build Support está disponible.</x:v>
      </x:c>
      <x:c r="D241" s="26" t="str">
        <x:v>Review/Audit</x:v>
      </x:c>
      <x:c r="E241" s="26" t="str">
        <x:v>P1</x:v>
      </x:c>
      <x:c r="F241" s="26" t="str">
        <x:v>Manual/Parcial</x:v>
      </x:c>
      <x:c r="G241" s="26" t="str">
        <x:v>Ready</x:v>
      </x:c>
      <x:c r="H241" s="26" t="str">
        <x:v>Baseline PASS</x:v>
      </x:c>
      <x:c r="I241" s="26"/>
      <x:c r="J241" s="26" t="str">
        <x:v>build externa</x:v>
      </x:c>
      <x:c r="K241" s="26"/>
      <x:c r="L241" s="26" t="str">
        <x:v>10_Unity_Project_Setup_Guide.md</x:v>
      </x:c>
      <x:c r="M241" s="26" t="str">
        <x:v>Control de cumplimiento normativo.</x:v>
      </x:c>
    </x:row>
    <x:row r="242" ht="30" customHeight="1">
      <x:c r="A242" s="26" t="str">
        <x:v>AUD-SETUP-003</x:v>
      </x:c>
      <x:c r="B242" s="26" t="str">
        <x:v>SETUP-003</x:v>
      </x:c>
      <x:c r="C242" s="26" t="str">
        <x:v>`manifest.json` contiene las siete dependencias directas aprobadas.</x:v>
      </x:c>
      <x:c r="D242" s="26" t="str">
        <x:v>Review/Audit</x:v>
      </x:c>
      <x:c r="E242" s="26" t="str">
        <x:v>P1</x:v>
      </x:c>
      <x:c r="F242" s="26" t="str">
        <x:v>Manual/Parcial</x:v>
      </x:c>
      <x:c r="G242" s="26" t="str">
        <x:v>Ready</x:v>
      </x:c>
      <x:c r="H242" s="26" t="str">
        <x:v>Baseline PASS</x:v>
      </x:c>
      <x:c r="I242" s="26"/>
      <x:c r="J242" s="26" t="str">
        <x:v>diff/revisión</x:v>
      </x:c>
      <x:c r="K242" s="26"/>
      <x:c r="L242" s="26" t="str">
        <x:v>10_Unity_Project_Setup_Guide.md</x:v>
      </x:c>
      <x:c r="M242" s="26" t="str">
        <x:v>Control de cumplimiento normativo.</x:v>
      </x:c>
    </x:row>
    <x:row r="243" ht="30" customHeight="1">
      <x:c r="A243" s="26" t="str">
        <x:v>AUD-SETUP-004</x:v>
      </x:c>
      <x:c r="B243" s="26" t="str">
        <x:v>SETUP-004</x:v>
      </x:c>
      <x:c r="C243" s="26" t="str">
        <x:v>`packages-lock.json` resuelve sin Preview.</x:v>
      </x:c>
      <x:c r="D243" s="26" t="str">
        <x:v>Review/Audit</x:v>
      </x:c>
      <x:c r="E243" s="26" t="str">
        <x:v>P1</x:v>
      </x:c>
      <x:c r="F243" s="26" t="str">
        <x:v>Manual/Parcial</x:v>
      </x:c>
      <x:c r="G243" s="26" t="str">
        <x:v>Ready</x:v>
      </x:c>
      <x:c r="H243" s="26" t="str">
        <x:v>Baseline PASS</x:v>
      </x:c>
      <x:c r="I243" s="26"/>
      <x:c r="J243" s="26" t="str">
        <x:v>Package Manager</x:v>
      </x:c>
      <x:c r="K243" s="26"/>
      <x:c r="L243" s="26" t="str">
        <x:v>10_Unity_Project_Setup_Guide.md</x:v>
      </x:c>
      <x:c r="M243" s="26" t="str">
        <x:v>Control de cumplimiento normativo.</x:v>
      </x:c>
    </x:row>
    <x:row r="244" ht="30" customHeight="1">
      <x:c r="A244" s="26" t="str">
        <x:v>AUD-SETUP-005</x:v>
      </x:c>
      <x:c r="B244" s="26" t="str">
        <x:v>SETUP-005</x:v>
      </x:c>
      <x:c r="C244" s="26" t="str">
        <x:v>Company, Product, Identifier y Version son correctos.</x:v>
      </x:c>
      <x:c r="D244" s="26" t="str">
        <x:v>Review/Audit</x:v>
      </x:c>
      <x:c r="E244" s="26" t="str">
        <x:v>P1</x:v>
      </x:c>
      <x:c r="F244" s="26" t="str">
        <x:v>Manual/Parcial</x:v>
      </x:c>
      <x:c r="G244" s="26" t="str">
        <x:v>Ready</x:v>
      </x:c>
      <x:c r="H244" s="26" t="str">
        <x:v>Baseline PASS</x:v>
      </x:c>
      <x:c r="I244" s="26"/>
      <x:c r="J244" s="26" t="str">
        <x:v>Player Settings</x:v>
      </x:c>
      <x:c r="K244" s="26"/>
      <x:c r="L244" s="26" t="str">
        <x:v>10_Unity_Project_Setup_Guide.md</x:v>
      </x:c>
      <x:c r="M244" s="26" t="str">
        <x:v>Control de cumplimiento normativo.</x:v>
      </x:c>
    </x:row>
    <x:row r="245" ht="30" customHeight="1">
      <x:c r="A245" s="26" t="str">
        <x:v>AUD-SETUP-006</x:v>
      </x:c>
      <x:c r="B245" s="26" t="str">
        <x:v>SETUP-006</x:v>
      </x:c>
      <x:c r="C245" s="26" t="str">
        <x:v>Color Space es Linear.</x:v>
      </x:c>
      <x:c r="D245" s="26" t="str">
        <x:v>Review/Audit</x:v>
      </x:c>
      <x:c r="E245" s="26" t="str">
        <x:v>P1</x:v>
      </x:c>
      <x:c r="F245" s="26" t="str">
        <x:v>Manual/Parcial</x:v>
      </x:c>
      <x:c r="G245" s="26" t="str">
        <x:v>Ready</x:v>
      </x:c>
      <x:c r="H245" s="26" t="str">
        <x:v>Baseline PASS</x:v>
      </x:c>
      <x:c r="I245" s="26"/>
      <x:c r="J245" s="26" t="str">
        <x:v>Project Settings</x:v>
      </x:c>
      <x:c r="K245" s="26"/>
      <x:c r="L245" s="26" t="str">
        <x:v>10_Unity_Project_Setup_Guide.md</x:v>
      </x:c>
      <x:c r="M245" s="26" t="str">
        <x:v>Control de cumplimiento normativo.</x:v>
      </x:c>
    </x:row>
    <x:row r="246" ht="30" customHeight="1">
      <x:c r="A246" s="26" t="str">
        <x:v>AUD-SETUP-007</x:v>
      </x:c>
      <x:c r="B246" s="26" t="str">
        <x:v>SETUP-007</x:v>
      </x:c>
      <x:c r="C246" s="26" t="str">
        <x:v>Visible Meta Files está activo.</x:v>
      </x:c>
      <x:c r="D246" s="26" t="str">
        <x:v>Review/Audit</x:v>
      </x:c>
      <x:c r="E246" s="26" t="str">
        <x:v>P1</x:v>
      </x:c>
      <x:c r="F246" s="26" t="str">
        <x:v>Manual/Parcial</x:v>
      </x:c>
      <x:c r="G246" s="26" t="str">
        <x:v>Ready</x:v>
      </x:c>
      <x:c r="H246" s="26" t="str">
        <x:v>Baseline PASS</x:v>
      </x:c>
      <x:c r="I246" s="26"/>
      <x:c r="J246" s="26" t="str">
        <x:v>Version Control Settings</x:v>
      </x:c>
      <x:c r="K246" s="26"/>
      <x:c r="L246" s="26" t="str">
        <x:v>10_Unity_Project_Setup_Guide.md</x:v>
      </x:c>
      <x:c r="M246" s="26" t="str">
        <x:v>Control de cumplimiento normativo.</x:v>
      </x:c>
    </x:row>
    <x:row r="247" ht="30" customHeight="1">
      <x:c r="A247" s="26" t="str">
        <x:v>AUD-SETUP-008</x:v>
      </x:c>
      <x:c r="B247" s="26" t="str">
        <x:v>SETUP-008</x:v>
      </x:c>
      <x:c r="C247" s="26" t="str">
        <x:v>Force Text está activo.</x:v>
      </x:c>
      <x:c r="D247" s="26" t="str">
        <x:v>Review/Audit</x:v>
      </x:c>
      <x:c r="E247" s="26" t="str">
        <x:v>P1</x:v>
      </x:c>
      <x:c r="F247" s="26" t="str">
        <x:v>Manual/Parcial</x:v>
      </x:c>
      <x:c r="G247" s="26" t="str">
        <x:v>Ready</x:v>
      </x:c>
      <x:c r="H247" s="26" t="str">
        <x:v>Baseline PASS</x:v>
      </x:c>
      <x:c r="I247" s="26"/>
      <x:c r="J247" s="26" t="str">
        <x:v>Editor Settings</x:v>
      </x:c>
      <x:c r="K247" s="26"/>
      <x:c r="L247" s="26" t="str">
        <x:v>10_Unity_Project_Setup_Guide.md</x:v>
      </x:c>
      <x:c r="M247" s="26" t="str">
        <x:v>Control de cumplimiento normativo.</x:v>
      </x:c>
    </x:row>
    <x:row r="248" ht="30" customHeight="1">
      <x:c r="A248" s="26" t="str">
        <x:v>AUD-SETUP-009</x:v>
      </x:c>
      <x:c r="B248" s="26" t="str">
        <x:v>SETUP-009</x:v>
      </x:c>
      <x:c r="C248" s="26" t="str">
        <x:v>Git ignora carpetas generadas.</x:v>
      </x:c>
      <x:c r="D248" s="26" t="str">
        <x:v>Review/Audit</x:v>
      </x:c>
      <x:c r="E248" s="26" t="str">
        <x:v>P1</x:v>
      </x:c>
      <x:c r="F248" s="26" t="str">
        <x:v>Manual/Parcial</x:v>
      </x:c>
      <x:c r="G248" s="26" t="str">
        <x:v>Ready</x:v>
      </x:c>
      <x:c r="H248" s="26" t="str">
        <x:v>Baseline PASS</x:v>
      </x:c>
      <x:c r="I248" s="26"/>
      <x:c r="J248" s="26" t="str">
        <x:v>status limpio</x:v>
      </x:c>
      <x:c r="K248" s="26"/>
      <x:c r="L248" s="26" t="str">
        <x:v>10_Unity_Project_Setup_Guide.md</x:v>
      </x:c>
      <x:c r="M248" s="26" t="str">
        <x:v>Control de cumplimiento normativo.</x:v>
      </x:c>
    </x:row>
    <x:row r="249" ht="30" customHeight="1">
      <x:c r="A249" s="26" t="str">
        <x:v>AUD-SETUP-010</x:v>
      </x:c>
      <x:c r="B249" s="26" t="str">
        <x:v>SETUP-010</x:v>
      </x:c>
      <x:c r="C249" s="26" t="str">
        <x:v>`.gitattributes` normaliza texto y clasifica binarios.</x:v>
      </x:c>
      <x:c r="D249" s="26" t="str">
        <x:v>Review/Audit</x:v>
      </x:c>
      <x:c r="E249" s="26" t="str">
        <x:v>P1</x:v>
      </x:c>
      <x:c r="F249" s="26" t="str">
        <x:v>Manual/Parcial</x:v>
      </x:c>
      <x:c r="G249" s="26" t="str">
        <x:v>Ready</x:v>
      </x:c>
      <x:c r="H249" s="26" t="str">
        <x:v>Baseline PASS</x:v>
      </x:c>
      <x:c r="I249" s="26"/>
      <x:c r="J249" s="26" t="str">
        <x:v>revisión</x:v>
      </x:c>
      <x:c r="K249" s="26"/>
      <x:c r="L249" s="26" t="str">
        <x:v>10_Unity_Project_Setup_Guide.md</x:v>
      </x:c>
      <x:c r="M249" s="26" t="str">
        <x:v>Control de cumplimiento normativo.</x:v>
      </x:c>
    </x:row>
    <x:row r="250" ht="30" customHeight="1">
      <x:c r="A250" s="26" t="str">
        <x:v>AUD-SETUP-011</x:v>
      </x:c>
      <x:c r="B250" s="26" t="str">
        <x:v>SETUP-011</x:v>
      </x:c>
      <x:c r="C250" s="26" t="str">
        <x:v>los doce asmdefs se descubren.</x:v>
      </x:c>
      <x:c r="D250" s="26" t="str">
        <x:v>Review/Audit</x:v>
      </x:c>
      <x:c r="E250" s="26" t="str">
        <x:v>P1</x:v>
      </x:c>
      <x:c r="F250" s="26" t="str">
        <x:v>Manual/Parcial</x:v>
      </x:c>
      <x:c r="G250" s="26" t="str">
        <x:v>Ready</x:v>
      </x:c>
      <x:c r="H250" s="26" t="str">
        <x:v>Baseline PASS</x:v>
      </x:c>
      <x:c r="I250" s="26"/>
      <x:c r="J250" s="26" t="str">
        <x:v>Inspector/compilación</x:v>
      </x:c>
      <x:c r="K250" s="26"/>
      <x:c r="L250" s="26" t="str">
        <x:v>10_Unity_Project_Setup_Guide.md</x:v>
      </x:c>
      <x:c r="M250" s="26" t="str">
        <x:v>Control de cumplimiento normativo.</x:v>
      </x:c>
    </x:row>
    <x:row r="251" ht="30" customHeight="1">
      <x:c r="A251" s="26" t="str">
        <x:v>AUD-SETUP-012</x:v>
      </x:c>
      <x:c r="B251" s="26" t="str">
        <x:v>SETUP-012</x:v>
      </x:c>
      <x:c r="C251" s="26" t="str">
        <x:v>Domain y Application usan No Engine References.</x:v>
      </x:c>
      <x:c r="D251" s="26" t="str">
        <x:v>Review/Audit</x:v>
      </x:c>
      <x:c r="E251" s="26" t="str">
        <x:v>P1</x:v>
      </x:c>
      <x:c r="F251" s="26" t="str">
        <x:v>Manual/Parcial</x:v>
      </x:c>
      <x:c r="G251" s="26" t="str">
        <x:v>Ready</x:v>
      </x:c>
      <x:c r="H251" s="26" t="str">
        <x:v>Baseline PASS</x:v>
      </x:c>
      <x:c r="I251" s="26"/>
      <x:c r="J251" s="26" t="str">
        <x:v>asmdefs</x:v>
      </x:c>
      <x:c r="K251" s="26"/>
      <x:c r="L251" s="26" t="str">
        <x:v>10_Unity_Project_Setup_Guide.md</x:v>
      </x:c>
      <x:c r="M251" s="26" t="str">
        <x:v>Control de cumplimiento normativo.</x:v>
      </x:c>
    </x:row>
    <x:row r="252" ht="30" customHeight="1">
      <x:c r="A252" s="26" t="str">
        <x:v>AUD-SETUP-013</x:v>
      </x:c>
      <x:c r="B252" s="26" t="str">
        <x:v>SETUP-013</x:v>
      </x:c>
      <x:c r="C252" s="26" t="str">
        <x:v>Bootstrap es primera escena del profile.</x:v>
      </x:c>
      <x:c r="D252" s="26" t="str">
        <x:v>Review/Audit</x:v>
      </x:c>
      <x:c r="E252" s="26" t="str">
        <x:v>P1</x:v>
      </x:c>
      <x:c r="F252" s="26" t="str">
        <x:v>Manual/Parcial</x:v>
      </x:c>
      <x:c r="G252" s="26" t="str">
        <x:v>Ready</x:v>
      </x:c>
      <x:c r="H252" s="26" t="str">
        <x:v>Baseline PASS</x:v>
      </x:c>
      <x:c r="I252" s="26"/>
      <x:c r="J252" s="26" t="str">
        <x:v>Build Profile</x:v>
      </x:c>
      <x:c r="K252" s="26"/>
      <x:c r="L252" s="26" t="str">
        <x:v>10_Unity_Project_Setup_Guide.md</x:v>
      </x:c>
      <x:c r="M252" s="26" t="str">
        <x:v>Control de cumplimiento normativo.</x:v>
      </x:c>
    </x:row>
    <x:row r="253" ht="30" customHeight="1">
      <x:c r="A253" s="26" t="str">
        <x:v>AUD-SETUP-014</x:v>
      </x:c>
      <x:c r="B253" s="26" t="str">
        <x:v>SETUP-014</x:v>
      </x:c>
      <x:c r="C253" s="26" t="str">
        <x:v>StoreInitial conserva GUID propio.</x:v>
      </x:c>
      <x:c r="D253" s="26" t="str">
        <x:v>Review/Audit</x:v>
      </x:c>
      <x:c r="E253" s="26" t="str">
        <x:v>P1</x:v>
      </x:c>
      <x:c r="F253" s="26" t="str">
        <x:v>Manual/Parcial</x:v>
      </x:c>
      <x:c r="G253" s="26" t="str">
        <x:v>Ready</x:v>
      </x:c>
      <x:c r="H253" s="26" t="str">
        <x:v>Baseline PASS</x:v>
      </x:c>
      <x:c r="I253" s="26"/>
      <x:c r="J253" s="26" t="str">
        <x:v>`.meta`</x:v>
      </x:c>
      <x:c r="K253" s="26"/>
      <x:c r="L253" s="26" t="str">
        <x:v>10_Unity_Project_Setup_Guide.md</x:v>
      </x:c>
      <x:c r="M253" s="26" t="str">
        <x:v>Control de cumplimiento normativo.</x:v>
      </x:c>
    </x:row>
    <x:row r="254" ht="30" customHeight="1">
      <x:c r="A254" s="26" t="str">
        <x:v>AUD-SETUP-015</x:v>
      </x:c>
      <x:c r="B254" s="26" t="str">
        <x:v>SETUP-015</x:v>
      </x:c>
      <x:c r="C254" s="26" t="str">
        <x:v>RuntimeAssetRegistry y Input Actions se resuelven.</x:v>
      </x:c>
      <x:c r="D254" s="26" t="str">
        <x:v>Review/Audit</x:v>
      </x:c>
      <x:c r="E254" s="26" t="str">
        <x:v>P1</x:v>
      </x:c>
      <x:c r="F254" s="26" t="str">
        <x:v>Manual/Parcial</x:v>
      </x:c>
      <x:c r="G254" s="26" t="str">
        <x:v>Ready</x:v>
      </x:c>
      <x:c r="H254" s="26" t="str">
        <x:v>Baseline PASS</x:v>
      </x:c>
      <x:c r="I254" s="26"/>
      <x:c r="J254" s="26" t="str">
        <x:v>arranque/tests</x:v>
      </x:c>
      <x:c r="K254" s="26"/>
      <x:c r="L254" s="26" t="str">
        <x:v>10_Unity_Project_Setup_Guide.md</x:v>
      </x:c>
      <x:c r="M254" s="26" t="str">
        <x:v>Control de cumplimiento normativo.</x:v>
      </x:c>
    </x:row>
    <x:row r="255" ht="30" customHeight="1">
      <x:c r="A255" s="26" t="str">
        <x:v>AUD-SETUP-016</x:v>
      </x:c>
      <x:c r="B255" s="26" t="str">
        <x:v>SETUP-016</x:v>
      </x:c>
      <x:c r="C255" s="26" t="str">
        <x:v>PC_RPAsset está asignado a Standalone.</x:v>
      </x:c>
      <x:c r="D255" s="26" t="str">
        <x:v>Review/Audit</x:v>
      </x:c>
      <x:c r="E255" s="26" t="str">
        <x:v>P1</x:v>
      </x:c>
      <x:c r="F255" s="26" t="str">
        <x:v>Manual/Parcial</x:v>
      </x:c>
      <x:c r="G255" s="26" t="str">
        <x:v>Ready</x:v>
      </x:c>
      <x:c r="H255" s="26" t="str">
        <x:v>Baseline PASS</x:v>
      </x:c>
      <x:c r="I255" s="26"/>
      <x:c r="J255" s="26" t="str">
        <x:v>Graphics/Quality</x:v>
      </x:c>
      <x:c r="K255" s="26"/>
      <x:c r="L255" s="26" t="str">
        <x:v>10_Unity_Project_Setup_Guide.md</x:v>
      </x:c>
      <x:c r="M255" s="26" t="str">
        <x:v>Control de cumplimiento normativo.</x:v>
      </x:c>
    </x:row>
    <x:row r="256" ht="30" customHeight="1">
      <x:c r="A256" s="26" t="str">
        <x:v>AUD-SETUP-017</x:v>
      </x:c>
      <x:c r="B256" s="26" t="str">
        <x:v>SETUP-017</x:v>
      </x:c>
      <x:c r="C256" s="26" t="str">
        <x:v>Input System funciona sin propagación UI→mundo.</x:v>
      </x:c>
      <x:c r="D256" s="26" t="str">
        <x:v>Review/Audit</x:v>
      </x:c>
      <x:c r="E256" s="26" t="str">
        <x:v>P1</x:v>
      </x:c>
      <x:c r="F256" s="26" t="str">
        <x:v>Manual/Parcial</x:v>
      </x:c>
      <x:c r="G256" s="26" t="str">
        <x:v>Ready</x:v>
      </x:c>
      <x:c r="H256" s="26" t="str">
        <x:v>Baseline PASS</x:v>
      </x:c>
      <x:c r="I256" s="26"/>
      <x:c r="J256" s="26" t="str">
        <x:v>PlayMode/manual</x:v>
      </x:c>
      <x:c r="K256" s="26"/>
      <x:c r="L256" s="26" t="str">
        <x:v>10_Unity_Project_Setup_Guide.md</x:v>
      </x:c>
      <x:c r="M256" s="26" t="str">
        <x:v>Control de cumplimiento normativo.</x:v>
      </x:c>
    </x:row>
    <x:row r="257" ht="30" customHeight="1">
      <x:c r="A257" s="26" t="str">
        <x:v>AUD-SETUP-018</x:v>
      </x:c>
      <x:c r="B257" s="26" t="str">
        <x:v>SETUP-018</x:v>
      </x:c>
      <x:c r="C257" s="26" t="str">
        <x:v>AI Navigation alcanza puntos críticos.</x:v>
      </x:c>
      <x:c r="D257" s="26" t="str">
        <x:v>Review/Audit</x:v>
      </x:c>
      <x:c r="E257" s="26" t="str">
        <x:v>P1</x:v>
      </x:c>
      <x:c r="F257" s="26" t="str">
        <x:v>Manual/Parcial</x:v>
      </x:c>
      <x:c r="G257" s="26" t="str">
        <x:v>Ready</x:v>
      </x:c>
      <x:c r="H257" s="26" t="str">
        <x:v>Baseline PASS</x:v>
      </x:c>
      <x:c r="I257" s="26"/>
      <x:c r="J257" s="26" t="str">
        <x:v>recorrido</x:v>
      </x:c>
      <x:c r="K257" s="26"/>
      <x:c r="L257" s="26" t="str">
        <x:v>10_Unity_Project_Setup_Guide.md</x:v>
      </x:c>
      <x:c r="M257" s="26" t="str">
        <x:v>Control de cumplimiento normativo.</x:v>
      </x:c>
    </x:row>
    <x:row r="258" ht="30" customHeight="1">
      <x:c r="A258" s="26" t="str">
        <x:v>AUD-SETUP-019</x:v>
      </x:c>
      <x:c r="B258" s="26" t="str">
        <x:v>SETUP-019</x:v>
      </x:c>
      <x:c r="C258" s="26" t="str">
        <x:v>no hay missing scripts ni materiales rosas.</x:v>
      </x:c>
      <x:c r="D258" s="26" t="str">
        <x:v>Review/Audit</x:v>
      </x:c>
      <x:c r="E258" s="26" t="str">
        <x:v>P1</x:v>
      </x:c>
      <x:c r="F258" s="26" t="str">
        <x:v>Manual/Parcial</x:v>
      </x:c>
      <x:c r="G258" s="26" t="str">
        <x:v>Ready</x:v>
      </x:c>
      <x:c r="H258" s="26" t="str">
        <x:v>Baseline PASS</x:v>
      </x:c>
      <x:c r="I258" s="26"/>
      <x:c r="J258" s="26" t="str">
        <x:v>revisión escena</x:v>
      </x:c>
      <x:c r="K258" s="26"/>
      <x:c r="L258" s="26" t="str">
        <x:v>10_Unity_Project_Setup_Guide.md</x:v>
      </x:c>
      <x:c r="M258" s="26" t="str">
        <x:v>Control de cumplimiento normativo.</x:v>
      </x:c>
    </x:row>
    <x:row r="259" ht="30" customHeight="1">
      <x:c r="A259" s="26" t="str">
        <x:v>AUD-SETUP-020</x:v>
      </x:c>
      <x:c r="B259" s="26" t="str">
        <x:v>SETUP-020</x:v>
      </x:c>
      <x:c r="C259" s="26" t="str">
        <x:v>EditMode vigente pasa.</x:v>
      </x:c>
      <x:c r="D259" s="26" t="str">
        <x:v>Review/Audit</x:v>
      </x:c>
      <x:c r="E259" s="26" t="str">
        <x:v>P1</x:v>
      </x:c>
      <x:c r="F259" s="26" t="str">
        <x:v>Manual/Parcial</x:v>
      </x:c>
      <x:c r="G259" s="26" t="str">
        <x:v>Ready</x:v>
      </x:c>
      <x:c r="H259" s="26" t="str">
        <x:v>Baseline PASS</x:v>
      </x:c>
      <x:c r="I259" s="26"/>
      <x:c r="J259" s="26" t="str">
        <x:v>reporte</x:v>
      </x:c>
      <x:c r="K259" s="26"/>
      <x:c r="L259" s="26" t="str">
        <x:v>10_Unity_Project_Setup_Guide.md</x:v>
      </x:c>
      <x:c r="M259" s="26" t="str">
        <x:v>Control de cumplimiento normativo.</x:v>
      </x:c>
    </x:row>
    <x:row r="260" ht="30" customHeight="1">
      <x:c r="A260" s="26" t="str">
        <x:v>AUD-SETUP-021</x:v>
      </x:c>
      <x:c r="B260" s="26" t="str">
        <x:v>SETUP-021</x:v>
      </x:c>
      <x:c r="C260" s="26" t="str">
        <x:v>PlayMode vigente pasa.</x:v>
      </x:c>
      <x:c r="D260" s="26" t="str">
        <x:v>Review/Audit</x:v>
      </x:c>
      <x:c r="E260" s="26" t="str">
        <x:v>P1</x:v>
      </x:c>
      <x:c r="F260" s="26" t="str">
        <x:v>Manual/Parcial</x:v>
      </x:c>
      <x:c r="G260" s="26" t="str">
        <x:v>Ready</x:v>
      </x:c>
      <x:c r="H260" s="26" t="str">
        <x:v>Baseline PASS</x:v>
      </x:c>
      <x:c r="I260" s="26"/>
      <x:c r="J260" s="26" t="str">
        <x:v>reporte</x:v>
      </x:c>
      <x:c r="K260" s="26"/>
      <x:c r="L260" s="26" t="str">
        <x:v>10_Unity_Project_Setup_Guide.md</x:v>
      </x:c>
      <x:c r="M260" s="26" t="str">
        <x:v>Control de cumplimiento normativo.</x:v>
      </x:c>
    </x:row>
    <x:row r="261" ht="30" customHeight="1">
      <x:c r="A261" s="26" t="str">
        <x:v>AUD-SETUP-022</x:v>
      </x:c>
      <x:c r="B261" s="26" t="str">
        <x:v>SETUP-022</x:v>
      </x:c>
      <x:c r="C261" s="26" t="str">
        <x:v>EXE Windows x64 arranca desde Bootstrap.</x:v>
      </x:c>
      <x:c r="D261" s="26" t="str">
        <x:v>Review/Audit</x:v>
      </x:c>
      <x:c r="E261" s="26" t="str">
        <x:v>P1</x:v>
      </x:c>
      <x:c r="F261" s="26" t="str">
        <x:v>Manual/Parcial</x:v>
      </x:c>
      <x:c r="G261" s="26" t="str">
        <x:v>Ready</x:v>
      </x:c>
      <x:c r="H261" s="26" t="str">
        <x:v>Baseline PASS</x:v>
      </x:c>
      <x:c r="I261" s="26"/>
      <x:c r="J261" s="26" t="str">
        <x:v>build record</x:v>
      </x:c>
      <x:c r="K261" s="26"/>
      <x:c r="L261" s="26" t="str">
        <x:v>10_Unity_Project_Setup_Guide.md</x:v>
      </x:c>
      <x:c r="M261" s="26" t="str">
        <x:v>Control de cumplimiento normativo.</x:v>
      </x:c>
    </x:row>
    <x:row r="262" ht="30" customHeight="1">
      <x:c r="A262" s="26" t="str">
        <x:v>AUD-SETUP-023</x:v>
      </x:c>
      <x:c r="B262" s="26" t="str">
        <x:v>SETUP-023</x:v>
      </x:c>
      <x:c r="C262" s="26" t="str">
        <x:v>Player.log no tiene errores bloqueantes.</x:v>
      </x:c>
      <x:c r="D262" s="26" t="str">
        <x:v>Review/Audit</x:v>
      </x:c>
      <x:c r="E262" s="26" t="str">
        <x:v>P1</x:v>
      </x:c>
      <x:c r="F262" s="26" t="str">
        <x:v>Manual/Parcial</x:v>
      </x:c>
      <x:c r="G262" s="26" t="str">
        <x:v>Ready</x:v>
      </x:c>
      <x:c r="H262" s="26" t="str">
        <x:v>Baseline PASS</x:v>
      </x:c>
      <x:c r="I262" s="26"/>
      <x:c r="J262" s="26" t="str">
        <x:v>log</x:v>
      </x:c>
      <x:c r="K262" s="26"/>
      <x:c r="L262" s="26" t="str">
        <x:v>10_Unity_Project_Setup_Guide.md</x:v>
      </x:c>
      <x:c r="M262" s="26" t="str">
        <x:v>Control de cumplimiento normativo.</x:v>
      </x:c>
    </x:row>
    <x:row r="263" ht="30" customHeight="1">
      <x:c r="A263" s="26" t="str">
        <x:v>AUD-SETUP-024</x:v>
      </x:c>
      <x:c r="B263" s="26" t="str">
        <x:v>SETUP-024</x:v>
      </x:c>
      <x:c r="C263" s="26" t="str">
        <x:v>Git permanece limpio tras abrir, probar y cerrar.</x:v>
      </x:c>
      <x:c r="D263" s="26" t="str">
        <x:v>Review/Audit</x:v>
      </x:c>
      <x:c r="E263" s="26" t="str">
        <x:v>P1</x:v>
      </x:c>
      <x:c r="F263" s="26" t="str">
        <x:v>Manual/Parcial</x:v>
      </x:c>
      <x:c r="G263" s="26" t="str">
        <x:v>Ready</x:v>
      </x:c>
      <x:c r="H263" s="26" t="str">
        <x:v>Baseline PASS</x:v>
      </x:c>
      <x:c r="I263" s="26"/>
      <x:c r="J263" s="26" t="str">
        <x:v>status</x:v>
      </x:c>
      <x:c r="K263" s="26"/>
      <x:c r="L263" s="26" t="str">
        <x:v>10_Unity_Project_Setup_Guide.md</x:v>
      </x:c>
      <x:c r="M263" s="26" t="str">
        <x:v>Control de cumplimiento normativo.</x:v>
      </x:c>
    </x:row>
    <x:row r="264" ht="30" customHeight="1">
      <x:c r="A264" s="26" t="str">
        <x:v>AUD-SETUP-025</x:v>
      </x:c>
      <x:c r="B264" s="26" t="str">
        <x:v>SETUP-025</x:v>
      </x:c>
      <x:c r="C264" s="26" t="str">
        <x:v>el registro de entorno no contiene secretos.</x:v>
      </x:c>
      <x:c r="D264" s="26" t="str">
        <x:v>Review/Audit</x:v>
      </x:c>
      <x:c r="E264" s="26" t="str">
        <x:v>P1</x:v>
      </x:c>
      <x:c r="F264" s="26" t="str">
        <x:v>Manual/Parcial</x:v>
      </x:c>
      <x:c r="G264" s="26" t="str">
        <x:v>Ready</x:v>
      </x:c>
      <x:c r="H264" s="26" t="str">
        <x:v>Baseline PASS</x:v>
      </x:c>
      <x:c r="I264" s="26"/>
      <x:c r="J264" s="26" t="str">
        <x:v>revisión</x:v>
      </x:c>
      <x:c r="K264" s="26"/>
      <x:c r="L264" s="26" t="str">
        <x:v>10_Unity_Project_Setup_Guide.md</x:v>
      </x:c>
      <x:c r="M264" s="26" t="str">
        <x:v>Control de cumplimiento normativo.</x:v>
      </x:c>
    </x:row>
    <x:row r="265" ht="30" customHeight="1">
      <x:c r="A265" s="26" t="str">
        <x:v>AUD-SETUP-026</x:v>
      </x:c>
      <x:c r="B265" s="26" t="str">
        <x:v>SETUP-026</x:v>
      </x:c>
      <x:c r="C265" s="26" t="str">
        <x:v>cambios de Unity/paquetes disponen de ADR o registro.</x:v>
      </x:c>
      <x:c r="D265" s="26" t="str">
        <x:v>Review/Audit</x:v>
      </x:c>
      <x:c r="E265" s="26" t="str">
        <x:v>P1</x:v>
      </x:c>
      <x:c r="F265" s="26" t="str">
        <x:v>Manual/Parcial</x:v>
      </x:c>
      <x:c r="G265" s="26" t="str">
        <x:v>Ready</x:v>
      </x:c>
      <x:c r="H265" s="26" t="str">
        <x:v>Baseline PASS</x:v>
      </x:c>
      <x:c r="I265" s="26"/>
      <x:c r="J265" s="26" t="str">
        <x:v>documentación</x:v>
      </x:c>
      <x:c r="K265" s="26"/>
      <x:c r="L265" s="26" t="str">
        <x:v>10_Unity_Project_Setup_Guide.md</x:v>
      </x:c>
      <x:c r="M265" s="26" t="str">
        <x:v>Control de cumplimiento normativo.</x:v>
      </x:c>
    </x:row>
    <x:row r="266" ht="30" customHeight="1">
      <x:c r="A266" s="26" t="str">
        <x:v>AUD-SETUP-027</x:v>
      </x:c>
      <x:c r="B266" s="26" t="str">
        <x:v>SETUP-027</x:v>
      </x:c>
      <x:c r="C266" s="26" t="str">
        <x:v>Store no se sustituye antes de validar StoreInitial.</x:v>
      </x:c>
      <x:c r="D266" s="26" t="str">
        <x:v>Review/Audit</x:v>
      </x:c>
      <x:c r="E266" s="26" t="str">
        <x:v>P1</x:v>
      </x:c>
      <x:c r="F266" s="26" t="str">
        <x:v>Manual/Parcial</x:v>
      </x:c>
      <x:c r="G266" s="26" t="str">
        <x:v>Ready</x:v>
      </x:c>
      <x:c r="H266" s="26" t="str">
        <x:v>Baseline PASS</x:v>
      </x:c>
      <x:c r="I266" s="26"/>
      <x:c r="J266" s="26" t="str">
        <x:v>gate Sprint 16</x:v>
      </x:c>
      <x:c r="K266" s="26"/>
      <x:c r="L266" s="26" t="str">
        <x:v>10_Unity_Project_Setup_Guide.md</x:v>
      </x:c>
      <x:c r="M266" s="26" t="str">
        <x:v>Control de cumplimiento normativo.</x:v>
      </x:c>
    </x:row>
    <x:row r="267" ht="30" customHeight="1">
      <x:c r="A267" s="26" t="str">
        <x:v>AUD-SETUP-028</x:v>
      </x:c>
      <x:c r="B267" s="26" t="str">
        <x:v>SETUP-028</x:v>
      </x:c>
      <x:c r="C267" s="26" t="str">
        <x:v>Localization ES/EN se valida antes de H6.</x:v>
      </x:c>
      <x:c r="D267" s="26" t="str">
        <x:v>Review/Audit</x:v>
      </x:c>
      <x:c r="E267" s="26" t="str">
        <x:v>P1</x:v>
      </x:c>
      <x:c r="F267" s="26" t="str">
        <x:v>Manual/Parcial</x:v>
      </x:c>
      <x:c r="G267" s="26" t="str">
        <x:v>Ready</x:v>
      </x:c>
      <x:c r="H267" s="26" t="str">
        <x:v>Baseline PASS</x:v>
      </x:c>
      <x:c r="I267" s="26"/>
      <x:c r="J267" s="26" t="str">
        <x:v>QA matrix</x:v>
      </x:c>
      <x:c r="K267" s="26"/>
      <x:c r="L267" s="26" t="str">
        <x:v>10_Unity_Project_Setup_Guide.md</x:v>
      </x:c>
      <x:c r="M267" s="26" t="str">
        <x:v>Control de cumplimiento normativo.</x:v>
      </x:c>
    </x:row>
    <x:row r="268" ht="30" customHeight="1">
      <x:c r="A268" s="26" t="str">
        <x:v>AUD-SETUP-029</x:v>
      </x:c>
      <x:c r="B268" s="26" t="str">
        <x:v>SETUP-029</x:v>
      </x:c>
      <x:c r="C268" s="26" t="str">
        <x:v>resolución objetivo y ventana se deciden antes de candidato.</x:v>
      </x:c>
      <x:c r="D268" s="26" t="str">
        <x:v>Review/Audit</x:v>
      </x:c>
      <x:c r="E268" s="26" t="str">
        <x:v>P1</x:v>
      </x:c>
      <x:c r="F268" s="26" t="str">
        <x:v>Manual/Parcial</x:v>
      </x:c>
      <x:c r="G268" s="26" t="str">
        <x:v>Ready</x:v>
      </x:c>
      <x:c r="H268" s="26" t="str">
        <x:v>Baseline PASS</x:v>
      </x:c>
      <x:c r="I268" s="26"/>
      <x:c r="J268" s="26" t="str">
        <x:v>Player Settings/build</x:v>
      </x:c>
      <x:c r="K268" s="26"/>
      <x:c r="L268" s="26" t="str">
        <x:v>10_Unity_Project_Setup_Guide.md</x:v>
      </x:c>
      <x:c r="M268" s="26" t="str">
        <x:v>Control de cumplimiento normativo.</x:v>
      </x:c>
    </x:row>
    <x:row r="269" ht="30" customHeight="1">
      <x:c r="A269" s="26" t="str">
        <x:v>AUD-SETUP-030</x:v>
      </x:c>
      <x:c r="B269" s="26" t="str">
        <x:v>SETUP-030</x:v>
      </x:c>
      <x:c r="C269" s="26" t="str">
        <x:v>la guía y baseline reflejan la configuración real.</x:v>
      </x:c>
      <x:c r="D269" s="26" t="str">
        <x:v>Review/Audit</x:v>
      </x:c>
      <x:c r="E269" s="26" t="str">
        <x:v>P1</x:v>
      </x:c>
      <x:c r="F269" s="26" t="str">
        <x:v>Manual/Parcial</x:v>
      </x:c>
      <x:c r="G269" s="26" t="str">
        <x:v>Ready</x:v>
      </x:c>
      <x:c r="H269" s="26" t="str">
        <x:v>Baseline PASS</x:v>
      </x:c>
      <x:c r="I269" s="26"/>
      <x:c r="J269" s="26" t="str">
        <x:v>trazabilidad</x:v>
      </x:c>
      <x:c r="K269" s="26"/>
      <x:c r="L269" s="26" t="str">
        <x:v>10_Unity_Project_Setup_Guide.md</x:v>
      </x:c>
      <x:c r="M269" s="26" t="str">
        <x:v>Control de cumplimiento normativo.</x:v>
      </x:c>
    </x:row>
    <x:row r="270" ht="30" customHeight="1">
      <x:c r="A270" s="26" t="str">
        <x:v>AUD-BUILD-STD-001</x:v>
      </x:c>
      <x:c r="B270" s="26" t="str">
        <x:v>BUILD-STD-001</x:v>
      </x:c>
      <x:c r="C270" s="26" t="str">
        <x:v>Toda build retenida tiene Build ID único.</x:v>
      </x:c>
      <x:c r="D270" s="26" t="str">
        <x:v>Review/Audit</x:v>
      </x:c>
      <x:c r="E270" s="26" t="str">
        <x:v>P1</x:v>
      </x:c>
      <x:c r="F270" s="26" t="str">
        <x:v>Manual/Parcial</x:v>
      </x:c>
      <x:c r="G270" s="26" t="str">
        <x:v>Ready</x:v>
      </x:c>
      <x:c r="H270" s="26" t="str">
        <x:v>Not Run</x:v>
      </x:c>
      <x:c r="I270" s="26"/>
      <x:c r="J270" s="26" t="str">
        <x:v>Registro, manifest, test o artefacto aplicable</x:v>
      </x:c>
      <x:c r="K270" s="26"/>
      <x:c r="L270" s="26" t="str">
        <x:v>11_Build_y_Versioning_Guide.md</x:v>
      </x:c>
      <x:c r="M270" s="26" t="str">
        <x:v>Control de cumplimiento normativo.</x:v>
      </x:c>
    </x:row>
    <x:row r="271" ht="30" customHeight="1">
      <x:c r="A271" s="26" t="str">
        <x:v>AUD-BUILD-STD-002</x:v>
      </x:c>
      <x:c r="B271" s="26" t="str">
        <x:v>BUILD-STD-002</x:v>
      </x:c>
      <x:c r="C271" s="26" t="str">
        <x:v>Toda build retenida registra versión de aplicación y SHA completo.</x:v>
      </x:c>
      <x:c r="D271" s="26" t="str">
        <x:v>Review/Audit</x:v>
      </x:c>
      <x:c r="E271" s="26" t="str">
        <x:v>P1</x:v>
      </x:c>
      <x:c r="F271" s="26" t="str">
        <x:v>Manual/Parcial</x:v>
      </x:c>
      <x:c r="G271" s="26" t="str">
        <x:v>Ready</x:v>
      </x:c>
      <x:c r="H271" s="26" t="str">
        <x:v>Not Run</x:v>
      </x:c>
      <x:c r="I271" s="26"/>
      <x:c r="J271" s="26" t="str">
        <x:v>Registro, manifest, test o artefacto aplicable</x:v>
      </x:c>
      <x:c r="K271" s="26"/>
      <x:c r="L271" s="26" t="str">
        <x:v>11_Build_y_Versioning_Guide.md</x:v>
      </x:c>
      <x:c r="M271" s="26" t="str">
        <x:v>Control de cumplimiento normativo.</x:v>
      </x:c>
    </x:row>
    <x:row r="272" ht="30" customHeight="1">
      <x:c r="A272" s="26" t="str">
        <x:v>AUD-BUILD-STD-003</x:v>
      </x:c>
      <x:c r="B272" s="26" t="str">
        <x:v>BUILD-STD-003</x:v>
      </x:c>
      <x:c r="C272" s="26" t="str">
        <x:v>Bootstrap ocupa el índice 0 en toda build jugable.</x:v>
      </x:c>
      <x:c r="D272" s="26" t="str">
        <x:v>Review/Audit</x:v>
      </x:c>
      <x:c r="E272" s="26" t="str">
        <x:v>P1</x:v>
      </x:c>
      <x:c r="F272" s="26" t="str">
        <x:v>Manual/Parcial</x:v>
      </x:c>
      <x:c r="G272" s="26" t="str">
        <x:v>Ready</x:v>
      </x:c>
      <x:c r="H272" s="26" t="str">
        <x:v>Not Run</x:v>
      </x:c>
      <x:c r="I272" s="26"/>
      <x:c r="J272" s="26" t="str">
        <x:v>Registro, manifest, test o artefacto aplicable</x:v>
      </x:c>
      <x:c r="K272" s="26"/>
      <x:c r="L272" s="26" t="str">
        <x:v>11_Build_y_Versioning_Guide.md</x:v>
      </x:c>
      <x:c r="M272" s="26" t="str">
        <x:v>Control de cumplimiento normativo.</x:v>
      </x:c>
    </x:row>
    <x:row r="273" ht="30" customHeight="1">
      <x:c r="A273" s="26" t="str">
        <x:v>AUD-BUILD-STD-004</x:v>
      </x:c>
      <x:c r="B273" s="26" t="str">
        <x:v>BUILD-STD-004</x:v>
      </x:c>
      <x:c r="C273" s="26" t="str">
        <x:v>Una build distribuida excluye TestLab salvo excepción aprobada.</x:v>
      </x:c>
      <x:c r="D273" s="26" t="str">
        <x:v>Review/Audit</x:v>
      </x:c>
      <x:c r="E273" s="26" t="str">
        <x:v>P1</x:v>
      </x:c>
      <x:c r="F273" s="26" t="str">
        <x:v>Manual/Parcial</x:v>
      </x:c>
      <x:c r="G273" s="26" t="str">
        <x:v>Ready</x:v>
      </x:c>
      <x:c r="H273" s="26" t="str">
        <x:v>Not Run</x:v>
      </x:c>
      <x:c r="I273" s="26"/>
      <x:c r="J273" s="26" t="str">
        <x:v>Registro, manifest, test o artefacto aplicable</x:v>
      </x:c>
      <x:c r="K273" s="26"/>
      <x:c r="L273" s="26" t="str">
        <x:v>11_Build_y_Versioning_Guide.md</x:v>
      </x:c>
      <x:c r="M273" s="26" t="str">
        <x:v>Control de cumplimiento normativo.</x:v>
      </x:c>
    </x:row>
    <x:row r="274" ht="30" customHeight="1">
      <x:c r="A274" s="26" t="str">
        <x:v>AUD-BUILD-STD-005</x:v>
      </x:c>
      <x:c r="B274" s="26" t="str">
        <x:v>BUILD-STD-005</x:v>
      </x:c>
      <x:c r="C274" s="26" t="str">
        <x:v>StoreInitial sustituye a Store solo después de integración validada.</x:v>
      </x:c>
      <x:c r="D274" s="26" t="str">
        <x:v>Review/Audit</x:v>
      </x:c>
      <x:c r="E274" s="26" t="str">
        <x:v>P1</x:v>
      </x:c>
      <x:c r="F274" s="26" t="str">
        <x:v>Manual/Parcial</x:v>
      </x:c>
      <x:c r="G274" s="26" t="str">
        <x:v>Ready</x:v>
      </x:c>
      <x:c r="H274" s="26" t="str">
        <x:v>Not Run</x:v>
      </x:c>
      <x:c r="I274" s="26"/>
      <x:c r="J274" s="26" t="str">
        <x:v>Registro, manifest, test o artefacto aplicable</x:v>
      </x:c>
      <x:c r="K274" s="26"/>
      <x:c r="L274" s="26" t="str">
        <x:v>11_Build_y_Versioning_Guide.md</x:v>
      </x:c>
      <x:c r="M274" s="26" t="str">
        <x:v>Control de cumplimiento normativo.</x:v>
      </x:c>
    </x:row>
    <x:row r="275" ht="30" customHeight="1">
      <x:c r="A275" s="26" t="str">
        <x:v>AUD-BUILD-STD-006</x:v>
      </x:c>
      <x:c r="B275" s="26" t="str">
        <x:v>BUILD-STD-006</x:v>
      </x:c>
      <x:c r="C275" s="26" t="str">
        <x:v>No se aprueba candidato con S0 o S1 abierto.</x:v>
      </x:c>
      <x:c r="D275" s="26" t="str">
        <x:v>Review/Audit</x:v>
      </x:c>
      <x:c r="E275" s="26" t="str">
        <x:v>P1</x:v>
      </x:c>
      <x:c r="F275" s="26" t="str">
        <x:v>Manual/Parcial</x:v>
      </x:c>
      <x:c r="G275" s="26" t="str">
        <x:v>Ready</x:v>
      </x:c>
      <x:c r="H275" s="26" t="str">
        <x:v>Not Run</x:v>
      </x:c>
      <x:c r="I275" s="26"/>
      <x:c r="J275" s="26" t="str">
        <x:v>Registro, manifest, test o artefacto aplicable</x:v>
      </x:c>
      <x:c r="K275" s="26"/>
      <x:c r="L275" s="26" t="str">
        <x:v>11_Build_y_Versioning_Guide.md</x:v>
      </x:c>
      <x:c r="M275" s="26" t="str">
        <x:v>Control de cumplimiento normativo.</x:v>
      </x:c>
    </x:row>
    <x:row r="276" ht="30" customHeight="1">
      <x:c r="A276" s="26" t="str">
        <x:v>AUD-BUILD-STD-007</x:v>
      </x:c>
      <x:c r="B276" s="26" t="str">
        <x:v>BUILD-STD-007</x:v>
      </x:c>
      <x:c r="C276" s="26" t="str">
        <x:v>Todo candidato de hito incluye Player.log revisado.</x:v>
      </x:c>
      <x:c r="D276" s="26" t="str">
        <x:v>Review/Audit</x:v>
      </x:c>
      <x:c r="E276" s="26" t="str">
        <x:v>P1</x:v>
      </x:c>
      <x:c r="F276" s="26" t="str">
        <x:v>Manual/Parcial</x:v>
      </x:c>
      <x:c r="G276" s="26" t="str">
        <x:v>Ready</x:v>
      </x:c>
      <x:c r="H276" s="26" t="str">
        <x:v>Not Run</x:v>
      </x:c>
      <x:c r="I276" s="26"/>
      <x:c r="J276" s="26" t="str">
        <x:v>Registro, manifest, test o artefacto aplicable</x:v>
      </x:c>
      <x:c r="K276" s="26"/>
      <x:c r="L276" s="26" t="str">
        <x:v>11_Build_y_Versioning_Guide.md</x:v>
      </x:c>
      <x:c r="M276" s="26" t="str">
        <x:v>Control de cumplimiento normativo.</x:v>
      </x:c>
    </x:row>
    <x:row r="277" ht="30" customHeight="1">
      <x:c r="A277" s="26" t="str">
        <x:v>AUD-BUILD-STD-008</x:v>
      </x:c>
      <x:c r="B277" s="26" t="str">
        <x:v>BUILD-STD-008</x:v>
      </x:c>
      <x:c r="C277" s="26" t="str">
        <x:v>Todo candidato de hito incluye paquete y SHA-256.</x:v>
      </x:c>
      <x:c r="D277" s="26" t="str">
        <x:v>Review/Audit</x:v>
      </x:c>
      <x:c r="E277" s="26" t="str">
        <x:v>P1</x:v>
      </x:c>
      <x:c r="F277" s="26" t="str">
        <x:v>Manual/Parcial</x:v>
      </x:c>
      <x:c r="G277" s="26" t="str">
        <x:v>Ready</x:v>
      </x:c>
      <x:c r="H277" s="26" t="str">
        <x:v>Not Run</x:v>
      </x:c>
      <x:c r="I277" s="26"/>
      <x:c r="J277" s="26" t="str">
        <x:v>Registro, manifest, test o artefacto aplicable</x:v>
      </x:c>
      <x:c r="K277" s="26"/>
      <x:c r="L277" s="26" t="str">
        <x:v>11_Build_y_Versioning_Guide.md</x:v>
      </x:c>
      <x:c r="M277" s="26" t="str">
        <x:v>Control de cumplimiento normativo.</x:v>
      </x:c>
    </x:row>
    <x:row r="278" ht="30" customHeight="1">
      <x:c r="A278" s="26" t="str">
        <x:v>AUD-BUILD-STD-009</x:v>
      </x:c>
      <x:c r="B278" s="26" t="str">
        <x:v>BUILD-STD-009</x:v>
      </x:c>
      <x:c r="C278" s="26" t="str">
        <x:v>Todo cambio de schema incluye compatibilidad, migración o rechazo explícito.</x:v>
      </x:c>
      <x:c r="D278" s="26" t="str">
        <x:v>Review/Audit</x:v>
      </x:c>
      <x:c r="E278" s="26" t="str">
        <x:v>P1</x:v>
      </x:c>
      <x:c r="F278" s="26" t="str">
        <x:v>Manual/Parcial</x:v>
      </x:c>
      <x:c r="G278" s="26" t="str">
        <x:v>Ready</x:v>
      </x:c>
      <x:c r="H278" s="26" t="str">
        <x:v>Not Run</x:v>
      </x:c>
      <x:c r="I278" s="26"/>
      <x:c r="J278" s="26" t="str">
        <x:v>Registro, manifest, test o artefacto aplicable</x:v>
      </x:c>
      <x:c r="K278" s="26"/>
      <x:c r="L278" s="26" t="str">
        <x:v>11_Build_y_Versioning_Guide.md</x:v>
      </x:c>
      <x:c r="M278" s="26" t="str">
        <x:v>Control de cumplimiento normativo.</x:v>
      </x:c>
    </x:row>
    <x:row r="279" ht="30" customHeight="1">
      <x:c r="A279" s="26" t="str">
        <x:v>AUD-BUILD-STD-010</x:v>
      </x:c>
      <x:c r="B279" s="26" t="str">
        <x:v>BUILD-STD-010</x:v>
      </x:c>
      <x:c r="C279" s="26" t="str">
        <x:v>Una carga de save se valida por equivalencia observable.</x:v>
      </x:c>
      <x:c r="D279" s="26" t="str">
        <x:v>Review/Audit</x:v>
      </x:c>
      <x:c r="E279" s="26" t="str">
        <x:v>P1</x:v>
      </x:c>
      <x:c r="F279" s="26" t="str">
        <x:v>Manual/Parcial</x:v>
      </x:c>
      <x:c r="G279" s="26" t="str">
        <x:v>Ready</x:v>
      </x:c>
      <x:c r="H279" s="26" t="str">
        <x:v>Not Run</x:v>
      </x:c>
      <x:c r="I279" s="26"/>
      <x:c r="J279" s="26" t="str">
        <x:v>Registro, manifest, test o artefacto aplicable</x:v>
      </x:c>
      <x:c r="K279" s="26"/>
      <x:c r="L279" s="26" t="str">
        <x:v>11_Build_y_Versioning_Guide.md</x:v>
      </x:c>
      <x:c r="M279" s="26" t="str">
        <x:v>Control de cumplimiento normativo.</x:v>
      </x:c>
    </x:row>
    <x:row r="280" ht="30" customHeight="1">
      <x:c r="A280" s="26" t="str">
        <x:v>AUD-BUILD-STD-011</x:v>
      </x:c>
      <x:c r="B280" s="26" t="str">
        <x:v>BUILD-STD-011</x:v>
      </x:c>
      <x:c r="C280" s="26" t="str">
        <x:v>Los IDs de contenido persistido no se reutilizan.</x:v>
      </x:c>
      <x:c r="D280" s="26" t="str">
        <x:v>Review/Audit</x:v>
      </x:c>
      <x:c r="E280" s="26" t="str">
        <x:v>P1</x:v>
      </x:c>
      <x:c r="F280" s="26" t="str">
        <x:v>Manual/Parcial</x:v>
      </x:c>
      <x:c r="G280" s="26" t="str">
        <x:v>Ready</x:v>
      </x:c>
      <x:c r="H280" s="26" t="str">
        <x:v>Not Run</x:v>
      </x:c>
      <x:c r="I280" s="26"/>
      <x:c r="J280" s="26" t="str">
        <x:v>Registro, manifest, test o artefacto aplicable</x:v>
      </x:c>
      <x:c r="K280" s="26"/>
      <x:c r="L280" s="26" t="str">
        <x:v>11_Build_y_Versioning_Guide.md</x:v>
      </x:c>
      <x:c r="M280" s="26" t="str">
        <x:v>Control de cumplimiento normativo.</x:v>
      </x:c>
    </x:row>
    <x:row r="281" ht="30" customHeight="1">
      <x:c r="A281" s="26" t="str">
        <x:v>AUD-BUILD-STD-012</x:v>
      </x:c>
      <x:c r="B281" s="26" t="str">
        <x:v>BUILD-STD-012</x:v>
      </x:c>
      <x:c r="C281" s="26" t="str">
        <x:v>La versión documental se distingue de la versión de aplicación.</x:v>
      </x:c>
      <x:c r="D281" s="26" t="str">
        <x:v>Review/Audit</x:v>
      </x:c>
      <x:c r="E281" s="26" t="str">
        <x:v>P1</x:v>
      </x:c>
      <x:c r="F281" s="26" t="str">
        <x:v>Manual/Parcial</x:v>
      </x:c>
      <x:c r="G281" s="26" t="str">
        <x:v>Ready</x:v>
      </x:c>
      <x:c r="H281" s="26" t="str">
        <x:v>Not Run</x:v>
      </x:c>
      <x:c r="I281" s="26"/>
      <x:c r="J281" s="26" t="str">
        <x:v>Registro, manifest, test o artefacto aplicable</x:v>
      </x:c>
      <x:c r="K281" s="26"/>
      <x:c r="L281" s="26" t="str">
        <x:v>11_Build_y_Versioning_Guide.md</x:v>
      </x:c>
      <x:c r="M281" s="26" t="str">
        <x:v>Control de cumplimiento normativo.</x:v>
      </x:c>
    </x:row>
    <x:row r="282" ht="30" customHeight="1">
      <x:c r="A282" s="26" t="str">
        <x:v>AUD-BUILD-STD-013</x:v>
      </x:c>
      <x:c r="B282" s="26" t="str">
        <x:v>BUILD-STD-013</x:v>
      </x:c>
      <x:c r="C282" s="26" t="str">
        <x:v>Un tag representa un gate aprobado, no un intento.</x:v>
      </x:c>
      <x:c r="D282" s="26" t="str">
        <x:v>Review/Audit</x:v>
      </x:c>
      <x:c r="E282" s="26" t="str">
        <x:v>P1</x:v>
      </x:c>
      <x:c r="F282" s="26" t="str">
        <x:v>Manual/Parcial</x:v>
      </x:c>
      <x:c r="G282" s="26" t="str">
        <x:v>Ready</x:v>
      </x:c>
      <x:c r="H282" s="26" t="str">
        <x:v>Not Run</x:v>
      </x:c>
      <x:c r="I282" s="26"/>
      <x:c r="J282" s="26" t="str">
        <x:v>Registro, manifest, test o artefacto aplicable</x:v>
      </x:c>
      <x:c r="K282" s="26"/>
      <x:c r="L282" s="26" t="str">
        <x:v>11_Build_y_Versioning_Guide.md</x:v>
      </x:c>
      <x:c r="M282" s="26" t="str">
        <x:v>Control de cumplimiento normativo.</x:v>
      </x:c>
    </x:row>
    <x:row r="283" ht="30" customHeight="1">
      <x:c r="A283" s="26" t="str">
        <x:v>AUD-BUILD-STD-014</x:v>
      </x:c>
      <x:c r="B283" s="26" t="str">
        <x:v>BUILD-STD-014</x:v>
      </x:c>
      <x:c r="C283" s="26" t="str">
        <x:v>Una release publicada no se sobrescribe ni mueve.</x:v>
      </x:c>
      <x:c r="D283" s="26" t="str">
        <x:v>Review/Audit</x:v>
      </x:c>
      <x:c r="E283" s="26" t="str">
        <x:v>P1</x:v>
      </x:c>
      <x:c r="F283" s="26" t="str">
        <x:v>Manual/Parcial</x:v>
      </x:c>
      <x:c r="G283" s="26" t="str">
        <x:v>Ready</x:v>
      </x:c>
      <x:c r="H283" s="26" t="str">
        <x:v>Not Run</x:v>
      </x:c>
      <x:c r="I283" s="26"/>
      <x:c r="J283" s="26" t="str">
        <x:v>Registro, manifest, test o artefacto aplicable</x:v>
      </x:c>
      <x:c r="K283" s="26"/>
      <x:c r="L283" s="26" t="str">
        <x:v>11_Build_y_Versioning_Guide.md</x:v>
      </x:c>
      <x:c r="M283" s="26" t="str">
        <x:v>Control de cumplimiento normativo.</x:v>
      </x:c>
    </x:row>
    <x:row r="284" ht="30" customHeight="1">
      <x:c r="A284" s="26" t="str">
        <x:v>AUD-BUILD-STD-015</x:v>
      </x:c>
      <x:c r="B284" s="26" t="str">
        <x:v>BUILD-STD-015</x:v>
      </x:c>
      <x:c r="C284" s="26" t="str">
        <x:v>Los datos no registrados se declaran como no registrados.</x:v>
      </x:c>
      <x:c r="D284" s="26" t="str">
        <x:v>Review/Audit</x:v>
      </x:c>
      <x:c r="E284" s="26" t="str">
        <x:v>P1</x:v>
      </x:c>
      <x:c r="F284" s="26" t="str">
        <x:v>Manual/Parcial</x:v>
      </x:c>
      <x:c r="G284" s="26" t="str">
        <x:v>Ready</x:v>
      </x:c>
      <x:c r="H284" s="26" t="str">
        <x:v>Not Run</x:v>
      </x:c>
      <x:c r="I284" s="26"/>
      <x:c r="J284" s="26" t="str">
        <x:v>Registro, manifest, test o artefacto aplicable</x:v>
      </x:c>
      <x:c r="K284" s="26"/>
      <x:c r="L284" s="26" t="str">
        <x:v>11_Build_y_Versioning_Guide.md</x:v>
      </x:c>
      <x:c r="M284" s="26" t="str">
        <x:v>Control de cumplimiento normativo.</x:v>
      </x:c>
    </x:row>
    <x:row r="285" ht="30" customHeight="1">
      <x:c r="A285" s="26" t="str">
        <x:v>AUD-BUILD-STD-016</x:v>
      </x:c>
      <x:c r="B285" s="26" t="str">
        <x:v>BUILD-STD-016</x:v>
      </x:c>
      <x:c r="C285" s="26" t="str">
        <x:v>El artefacto se ejecuta fuera del Editor.</x:v>
      </x:c>
      <x:c r="D285" s="26" t="str">
        <x:v>Review/Audit</x:v>
      </x:c>
      <x:c r="E285" s="26" t="str">
        <x:v>P1</x:v>
      </x:c>
      <x:c r="F285" s="26" t="str">
        <x:v>Manual/Parcial</x:v>
      </x:c>
      <x:c r="G285" s="26" t="str">
        <x:v>Ready</x:v>
      </x:c>
      <x:c r="H285" s="26" t="str">
        <x:v>Not Run</x:v>
      </x:c>
      <x:c r="I285" s="26"/>
      <x:c r="J285" s="26" t="str">
        <x:v>Registro, manifest, test o artefacto aplicable</x:v>
      </x:c>
      <x:c r="K285" s="26"/>
      <x:c r="L285" s="26" t="str">
        <x:v>11_Build_y_Versioning_Guide.md</x:v>
      </x:c>
      <x:c r="M285" s="26" t="str">
        <x:v>Control de cumplimiento normativo.</x:v>
      </x:c>
    </x:row>
    <x:row r="286" ht="30" customHeight="1">
      <x:c r="A286" s="26" t="str">
        <x:v>AUD-BUILD-STD-017</x:v>
      </x:c>
      <x:c r="B286" s="26" t="str">
        <x:v>BUILD-STD-017</x:v>
      </x:c>
      <x:c r="C286" s="26" t="str">
        <x:v>La lista de escenas se verifica antes de construir.</x:v>
      </x:c>
      <x:c r="D286" s="26" t="str">
        <x:v>Review/Audit</x:v>
      </x:c>
      <x:c r="E286" s="26" t="str">
        <x:v>P1</x:v>
      </x:c>
      <x:c r="F286" s="26" t="str">
        <x:v>Manual/Parcial</x:v>
      </x:c>
      <x:c r="G286" s="26" t="str">
        <x:v>Ready</x:v>
      </x:c>
      <x:c r="H286" s="26" t="str">
        <x:v>Not Run</x:v>
      </x:c>
      <x:c r="I286" s="26"/>
      <x:c r="J286" s="26" t="str">
        <x:v>Registro, manifest, test o artefacto aplicable</x:v>
      </x:c>
      <x:c r="K286" s="26"/>
      <x:c r="L286" s="26" t="str">
        <x:v>11_Build_y_Versioning_Guide.md</x:v>
      </x:c>
      <x:c r="M286" s="26" t="str">
        <x:v>Control de cumplimiento normativo.</x:v>
      </x:c>
    </x:row>
    <x:row r="287" ht="30" customHeight="1">
      <x:c r="A287" s="26" t="str">
        <x:v>AUD-BUILD-STD-018</x:v>
      </x:c>
      <x:c r="B287" s="26" t="str">
        <x:v>BUILD-STD-018</x:v>
      </x:c>
      <x:c r="C287" s="26" t="str">
        <x:v>La build usa la versión exacta de Unity aprobada.</x:v>
      </x:c>
      <x:c r="D287" s="26" t="str">
        <x:v>Review/Audit</x:v>
      </x:c>
      <x:c r="E287" s="26" t="str">
        <x:v>P1</x:v>
      </x:c>
      <x:c r="F287" s="26" t="str">
        <x:v>Manual/Parcial</x:v>
      </x:c>
      <x:c r="G287" s="26" t="str">
        <x:v>Ready</x:v>
      </x:c>
      <x:c r="H287" s="26" t="str">
        <x:v>Not Run</x:v>
      </x:c>
      <x:c r="I287" s="26"/>
      <x:c r="J287" s="26" t="str">
        <x:v>Registro, manifest, test o artefacto aplicable</x:v>
      </x:c>
      <x:c r="K287" s="26"/>
      <x:c r="L287" s="26" t="str">
        <x:v>11_Build_y_Versioning_Guide.md</x:v>
      </x:c>
      <x:c r="M287" s="26" t="str">
        <x:v>Control de cumplimiento normativo.</x:v>
      </x:c>
    </x:row>
    <x:row r="288" ht="30" customHeight="1">
      <x:c r="A288" s="26" t="str">
        <x:v>AUD-BUILD-STD-019</x:v>
      </x:c>
      <x:c r="B288" s="26" t="str">
        <x:v>BUILD-STD-019</x:v>
      </x:c>
      <x:c r="C288" s="26" t="str">
        <x:v>Los paquetes se resuelven desde manifest y lock versionados.</x:v>
      </x:c>
      <x:c r="D288" s="26" t="str">
        <x:v>Review/Audit</x:v>
      </x:c>
      <x:c r="E288" s="26" t="str">
        <x:v>P1</x:v>
      </x:c>
      <x:c r="F288" s="26" t="str">
        <x:v>Manual/Parcial</x:v>
      </x:c>
      <x:c r="G288" s="26" t="str">
        <x:v>Ready</x:v>
      </x:c>
      <x:c r="H288" s="26" t="str">
        <x:v>Not Run</x:v>
      </x:c>
      <x:c r="I288" s="26"/>
      <x:c r="J288" s="26" t="str">
        <x:v>Registro, manifest, test o artefacto aplicable</x:v>
      </x:c>
      <x:c r="K288" s="26"/>
      <x:c r="L288" s="26" t="str">
        <x:v>11_Build_y_Versioning_Guide.md</x:v>
      </x:c>
      <x:c r="M288" s="26" t="str">
        <x:v>Control de cumplimiento normativo.</x:v>
      </x:c>
    </x:row>
    <x:row r="289" ht="30" customHeight="1">
      <x:c r="A289" s="26" t="str">
        <x:v>AUD-BUILD-STD-020</x:v>
      </x:c>
      <x:c r="B289" s="26" t="str">
        <x:v>BUILD-STD-020</x:v>
      </x:c>
      <x:c r="C289" s="26" t="str">
        <x:v>Una build de profiling se identifica y no sustituye una medición final.</x:v>
      </x:c>
      <x:c r="D289" s="26" t="str">
        <x:v>Review/Audit</x:v>
      </x:c>
      <x:c r="E289" s="26" t="str">
        <x:v>P1</x:v>
      </x:c>
      <x:c r="F289" s="26" t="str">
        <x:v>Manual/Parcial</x:v>
      </x:c>
      <x:c r="G289" s="26" t="str">
        <x:v>Ready</x:v>
      </x:c>
      <x:c r="H289" s="26" t="str">
        <x:v>Not Run</x:v>
      </x:c>
      <x:c r="I289" s="26"/>
      <x:c r="J289" s="26" t="str">
        <x:v>Registro, manifest, test o artefacto aplicable</x:v>
      </x:c>
      <x:c r="K289" s="26"/>
      <x:c r="L289" s="26" t="str">
        <x:v>11_Build_y_Versioning_Guide.md</x:v>
      </x:c>
      <x:c r="M289" s="26" t="str">
        <x:v>Control de cumplimiento normativo.</x:v>
      </x:c>
    </x:row>
    <x:row r="290" ht="30" customHeight="1">
      <x:c r="A290" s="26" t="str">
        <x:v>AUD-BUILD-STD-021</x:v>
      </x:c>
      <x:c r="B290" s="26" t="str">
        <x:v>BUILD-STD-021</x:v>
      </x:c>
      <x:c r="C290" s="26" t="str">
        <x:v>Los secretos no entran en Player, logs, scripts o repositorio.</x:v>
      </x:c>
      <x:c r="D290" s="26" t="str">
        <x:v>Review/Audit</x:v>
      </x:c>
      <x:c r="E290" s="26" t="str">
        <x:v>P1</x:v>
      </x:c>
      <x:c r="F290" s="26" t="str">
        <x:v>Manual/Parcial</x:v>
      </x:c>
      <x:c r="G290" s="26" t="str">
        <x:v>Ready</x:v>
      </x:c>
      <x:c r="H290" s="26" t="str">
        <x:v>Not Run</x:v>
      </x:c>
      <x:c r="I290" s="26"/>
      <x:c r="J290" s="26" t="str">
        <x:v>Registro, manifest, test o artefacto aplicable</x:v>
      </x:c>
      <x:c r="K290" s="26"/>
      <x:c r="L290" s="26" t="str">
        <x:v>11_Build_y_Versioning_Guide.md</x:v>
      </x:c>
      <x:c r="M290" s="26" t="str">
        <x:v>Control de cumplimiento normativo.</x:v>
      </x:c>
    </x:row>
    <x:row r="291" ht="30" customHeight="1">
      <x:c r="A291" s="26" t="str">
        <x:v>AUD-BUILD-STD-022</x:v>
      </x:c>
      <x:c r="B291" s="26" t="str">
        <x:v>BUILD-STD-022</x:v>
      </x:c>
      <x:c r="C291" s="26" t="str">
        <x:v>El cambio de backend requiere ADR y regresión completa.</x:v>
      </x:c>
      <x:c r="D291" s="26" t="str">
        <x:v>Review/Audit</x:v>
      </x:c>
      <x:c r="E291" s="26" t="str">
        <x:v>P1</x:v>
      </x:c>
      <x:c r="F291" s="26" t="str">
        <x:v>Manual/Parcial</x:v>
      </x:c>
      <x:c r="G291" s="26" t="str">
        <x:v>Ready</x:v>
      </x:c>
      <x:c r="H291" s="26" t="str">
        <x:v>Not Run</x:v>
      </x:c>
      <x:c r="I291" s="26"/>
      <x:c r="J291" s="26" t="str">
        <x:v>Registro, manifest, test o artefacto aplicable</x:v>
      </x:c>
      <x:c r="K291" s="26"/>
      <x:c r="L291" s="26" t="str">
        <x:v>11_Build_y_Versioning_Guide.md</x:v>
      </x:c>
      <x:c r="M291" s="26" t="str">
        <x:v>Control de cumplimiento normativo.</x:v>
      </x:c>
    </x:row>
    <x:row r="292" ht="30" customHeight="1">
      <x:c r="A292" s="26" t="str">
        <x:v>AUD-BUILD-STD-023</x:v>
      </x:c>
      <x:c r="B292" s="26" t="str">
        <x:v>BUILD-STD-023</x:v>
      </x:c>
      <x:c r="C292" s="26" t="str">
        <x:v>El cambio de Application Identifier requiere plan de saves.</x:v>
      </x:c>
      <x:c r="D292" s="26" t="str">
        <x:v>Review/Audit</x:v>
      </x:c>
      <x:c r="E292" s="26" t="str">
        <x:v>P1</x:v>
      </x:c>
      <x:c r="F292" s="26" t="str">
        <x:v>Manual/Parcial</x:v>
      </x:c>
      <x:c r="G292" s="26" t="str">
        <x:v>Ready</x:v>
      </x:c>
      <x:c r="H292" s="26" t="str">
        <x:v>Not Run</x:v>
      </x:c>
      <x:c r="I292" s="26"/>
      <x:c r="J292" s="26" t="str">
        <x:v>Registro, manifest, test o artefacto aplicable</x:v>
      </x:c>
      <x:c r="K292" s="26"/>
      <x:c r="L292" s="26" t="str">
        <x:v>11_Build_y_Versioning_Guide.md</x:v>
      </x:c>
      <x:c r="M292" s="26" t="str">
        <x:v>Control de cumplimiento normativo.</x:v>
      </x:c>
    </x:row>
    <x:row r="293" ht="30" customHeight="1">
      <x:c r="A293" s="26" t="str">
        <x:v>AUD-BUILD-STD-024</x:v>
      </x:c>
      <x:c r="B293" s="26" t="str">
        <x:v>BUILD-STD-024</x:v>
      </x:c>
      <x:c r="C293" s="26" t="str">
        <x:v>Un hotfix incluye reproducción y regresión dirigida.</x:v>
      </x:c>
      <x:c r="D293" s="26" t="str">
        <x:v>Review/Audit</x:v>
      </x:c>
      <x:c r="E293" s="26" t="str">
        <x:v>P1</x:v>
      </x:c>
      <x:c r="F293" s="26" t="str">
        <x:v>Manual/Parcial</x:v>
      </x:c>
      <x:c r="G293" s="26" t="str">
        <x:v>Ready</x:v>
      </x:c>
      <x:c r="H293" s="26" t="str">
        <x:v>Not Run</x:v>
      </x:c>
      <x:c r="I293" s="26"/>
      <x:c r="J293" s="26" t="str">
        <x:v>Registro, manifest, test o artefacto aplicable</x:v>
      </x:c>
      <x:c r="K293" s="26"/>
      <x:c r="L293" s="26" t="str">
        <x:v>11_Build_y_Versioning_Guide.md</x:v>
      </x:c>
      <x:c r="M293" s="26" t="str">
        <x:v>Control de cumplimiento normativo.</x:v>
      </x:c>
    </x:row>
    <x:row r="294" ht="30" customHeight="1">
      <x:c r="A294" s="26" t="str">
        <x:v>AUD-BUILD-STD-025</x:v>
      </x:c>
      <x:c r="B294" s="26" t="str">
        <x:v>BUILD-STD-025</x:v>
      </x:c>
      <x:c r="C294" s="26" t="str">
        <x:v>Un rollback evalúa saves migrados antes de ejecutarse.</x:v>
      </x:c>
      <x:c r="D294" s="26" t="str">
        <x:v>Review/Audit</x:v>
      </x:c>
      <x:c r="E294" s="26" t="str">
        <x:v>P1</x:v>
      </x:c>
      <x:c r="F294" s="26" t="str">
        <x:v>Manual/Parcial</x:v>
      </x:c>
      <x:c r="G294" s="26" t="str">
        <x:v>Ready</x:v>
      </x:c>
      <x:c r="H294" s="26" t="str">
        <x:v>Not Run</x:v>
      </x:c>
      <x:c r="I294" s="26"/>
      <x:c r="J294" s="26" t="str">
        <x:v>Registro, manifest, test o artefacto aplicable</x:v>
      </x:c>
      <x:c r="K294" s="26"/>
      <x:c r="L294" s="26" t="str">
        <x:v>11_Build_y_Versioning_Guide.md</x:v>
      </x:c>
      <x:c r="M294" s="26" t="str">
        <x:v>Control de cumplimiento normativo.</x:v>
      </x:c>
    </x:row>
    <x:row r="295" ht="30" customHeight="1">
      <x:c r="A295" s="26" t="str">
        <x:v>AUD-BUILD-STD-026</x:v>
      </x:c>
      <x:c r="B295" s="26" t="str">
        <x:v>BUILD-STD-026</x:v>
      </x:c>
      <x:c r="C295" s="26" t="str">
        <x:v>Todo gate H6 incluye Golden Path y campaña persistente.</x:v>
      </x:c>
      <x:c r="D295" s="26" t="str">
        <x:v>Review/Audit</x:v>
      </x:c>
      <x:c r="E295" s="26" t="str">
        <x:v>P1</x:v>
      </x:c>
      <x:c r="F295" s="26" t="str">
        <x:v>Manual/Parcial</x:v>
      </x:c>
      <x:c r="G295" s="26" t="str">
        <x:v>Ready</x:v>
      </x:c>
      <x:c r="H295" s="26" t="str">
        <x:v>Not Run</x:v>
      </x:c>
      <x:c r="I295" s="26"/>
      <x:c r="J295" s="26" t="str">
        <x:v>Registro, manifest, test o artefacto aplicable</x:v>
      </x:c>
      <x:c r="K295" s="26"/>
      <x:c r="L295" s="26" t="str">
        <x:v>11_Build_y_Versioning_Guide.md</x:v>
      </x:c>
      <x:c r="M295" s="26" t="str">
        <x:v>Control de cumplimiento normativo.</x:v>
      </x:c>
    </x:row>
    <x:row r="296" ht="30" customHeight="1">
      <x:c r="A296" s="26" t="str">
        <x:v>AUD-BUILD-STD-027</x:v>
      </x:c>
      <x:c r="B296" s="26" t="str">
        <x:v>BUILD-STD-027</x:v>
      </x:c>
      <x:c r="C296" s="26" t="str">
        <x:v>El checksum se calcula sobre el paquete definitivo.</x:v>
      </x:c>
      <x:c r="D296" s="26" t="str">
        <x:v>Review/Audit</x:v>
      </x:c>
      <x:c r="E296" s="26" t="str">
        <x:v>P1</x:v>
      </x:c>
      <x:c r="F296" s="26" t="str">
        <x:v>Manual/Parcial</x:v>
      </x:c>
      <x:c r="G296" s="26" t="str">
        <x:v>Ready</x:v>
      </x:c>
      <x:c r="H296" s="26" t="str">
        <x:v>Not Run</x:v>
      </x:c>
      <x:c r="I296" s="26"/>
      <x:c r="J296" s="26" t="str">
        <x:v>Registro, manifest, test o artefacto aplicable</x:v>
      </x:c>
      <x:c r="K296" s="26"/>
      <x:c r="L296" s="26" t="str">
        <x:v>11_Build_y_Versioning_Guide.md</x:v>
      </x:c>
      <x:c r="M296" s="26" t="str">
        <x:v>Control de cumplimiento normativo.</x:v>
      </x:c>
    </x:row>
    <x:row r="297" ht="30" customHeight="1">
      <x:c r="A297" s="26" t="str">
        <x:v>AUD-BUILD-STD-028</x:v>
      </x:c>
      <x:c r="B297" s="26" t="str">
        <x:v>BUILD-STD-028</x:v>
      </x:c>
      <x:c r="C297" s="26" t="str">
        <x:v>Los known issues se congelan por candidato.</x:v>
      </x:c>
      <x:c r="D297" s="26" t="str">
        <x:v>Review/Audit</x:v>
      </x:c>
      <x:c r="E297" s="26" t="str">
        <x:v>P1</x:v>
      </x:c>
      <x:c r="F297" s="26" t="str">
        <x:v>Manual/Parcial</x:v>
      </x:c>
      <x:c r="G297" s="26" t="str">
        <x:v>Ready</x:v>
      </x:c>
      <x:c r="H297" s="26" t="str">
        <x:v>Not Run</x:v>
      </x:c>
      <x:c r="I297" s="26"/>
      <x:c r="J297" s="26" t="str">
        <x:v>Registro, manifest, test o artefacto aplicable</x:v>
      </x:c>
      <x:c r="K297" s="26"/>
      <x:c r="L297" s="26" t="str">
        <x:v>11_Build_y_Versioning_Guide.md</x:v>
      </x:c>
      <x:c r="M297" s="26" t="str">
        <x:v>Control de cumplimiento normativo.</x:v>
      </x:c>
    </x:row>
    <x:row r="298" ht="30" customHeight="1">
      <x:c r="A298" s="26" t="str">
        <x:v>AUD-BUILD-STD-029</x:v>
      </x:c>
      <x:c r="B298" s="26" t="str">
        <x:v>BUILD-STD-029</x:v>
      </x:c>
      <x:c r="C298" s="26" t="str">
        <x:v>Un CI futuro falla ante tests o build fallidos.</x:v>
      </x:c>
      <x:c r="D298" s="26" t="str">
        <x:v>Review/Audit</x:v>
      </x:c>
      <x:c r="E298" s="26" t="str">
        <x:v>P1</x:v>
      </x:c>
      <x:c r="F298" s="26" t="str">
        <x:v>Manual/Parcial</x:v>
      </x:c>
      <x:c r="G298" s="26" t="str">
        <x:v>Ready</x:v>
      </x:c>
      <x:c r="H298" s="26" t="str">
        <x:v>Not Run</x:v>
      </x:c>
      <x:c r="I298" s="26"/>
      <x:c r="J298" s="26" t="str">
        <x:v>Registro, manifest, test o artefacto aplicable</x:v>
      </x:c>
      <x:c r="K298" s="26"/>
      <x:c r="L298" s="26" t="str">
        <x:v>11_Build_y_Versioning_Guide.md</x:v>
      </x:c>
      <x:c r="M298" s="26" t="str">
        <x:v>Control de cumplimiento normativo.</x:v>
      </x:c>
    </x:row>
    <x:row r="299" ht="30" customHeight="1">
      <x:c r="A299" s="26" t="str">
        <x:v>AUD-BUILD-STD-030</x:v>
      </x:c>
      <x:c r="B299" s="26" t="str">
        <x:v>BUILD-STD-030</x:v>
      </x:c>
      <x:c r="C299" s="26" t="str">
        <x:v>La automatización no reemplaza la aprobación visual/manual.</x:v>
      </x:c>
      <x:c r="D299" s="26" t="str">
        <x:v>Review/Audit</x:v>
      </x:c>
      <x:c r="E299" s="26" t="str">
        <x:v>P1</x:v>
      </x:c>
      <x:c r="F299" s="26" t="str">
        <x:v>Manual/Parcial</x:v>
      </x:c>
      <x:c r="G299" s="26" t="str">
        <x:v>Ready</x:v>
      </x:c>
      <x:c r="H299" s="26" t="str">
        <x:v>Not Run</x:v>
      </x:c>
      <x:c r="I299" s="26"/>
      <x:c r="J299" s="26" t="str">
        <x:v>Registro, manifest, test o artefacto aplicable</x:v>
      </x:c>
      <x:c r="K299" s="26"/>
      <x:c r="L299" s="26" t="str">
        <x:v>11_Build_y_Versioning_Guide.md</x:v>
      </x:c>
      <x:c r="M299" s="26" t="str">
        <x:v>Control de cumplimiento normativo.</x:v>
      </x:c>
    </x:row>
    <x:row r="300" ht="3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</x:row>
    <x:row r="301" ht="3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</x:row>
    <x:row r="302" ht="30" customHeight="1">
      <x:c r="A302" s="26" t="str">
        <x:v>Registro de ejecuciones</x:v>
      </x:c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</x:row>
    <x:row r="303" ht="30" customHeight="1">
      <x:c r="A303" s="26" t="str">
        <x:v>Execution ID</x:v>
      </x:c>
      <x:c r="B303" s="26" t="str">
        <x:v>Fecha</x:v>
      </x:c>
      <x:c r="C303" s="26" t="str">
        <x:v>Build ID</x:v>
      </x:c>
      <x:c r="D303" s="26" t="str">
        <x:v>Test ID</x:v>
      </x:c>
      <x:c r="E303" s="26" t="str">
        <x:v>Requirement ID</x:v>
      </x:c>
      <x:c r="F303" s="26" t="str">
        <x:v>Resultado</x:v>
      </x:c>
      <x:c r="G303" s="26" t="str">
        <x:v>Evidencia</x:v>
      </x:c>
      <x:c r="H303" s="26" t="str">
        <x:v>Defecto</x:v>
      </x:c>
      <x:c r="I303" s="26" t="str">
        <x:v>Responsable</x:v>
      </x:c>
      <x:c r="J303" s="26" t="str">
        <x:v>Entorno</x:v>
      </x:c>
      <x:c r="K303" s="26" t="str">
        <x:v>Fuente</x:v>
      </x:c>
      <x:c r="L303" s="26" t="str">
        <x:v>Notas</x:v>
      </x:c>
      <x:c r="M303" s="26"/>
    </x:row>
    <x:row r="304" ht="30" customHeight="1">
      <x:c r="A304" s="26" t="str">
        <x:v>EXE-0001</x:v>
      </x:c>
      <x:c r="B304" s="26"/>
      <x:c r="C304" s="26"/>
      <x:c r="D304" s="26" t="str">
        <x:v>TC-VS-APP-001</x:v>
      </x:c>
      <x:c r="E304" s="26" t="str">
        <x:v>VS-APP-001</x:v>
      </x:c>
      <x:c r="F304" s="26" t="str">
        <x:v>Not Run</x:v>
      </x:c>
      <x:c r="G304" s="26"/>
      <x:c r="H304" s="26"/>
      <x:c r="I304" s="26" t="str">
        <x:v>VRM Games</x:v>
      </x:c>
      <x:c r="J304" s="26" t="str">
        <x:v>Unity 6000.3.18f1 / Windows x64</x:v>
      </x:c>
      <x:c r="K304" s="26" t="str">
        <x:v>02_Vertical_Slice_Specification.md</x:v>
      </x:c>
      <x:c r="L304" s="26"/>
      <x:c r="M304" s="26"/>
    </x:row>
    <x:row r="305" ht="30" customHeight="1">
      <x:c r="A305" s="26" t="str">
        <x:v>EXE-0002</x:v>
      </x:c>
      <x:c r="B305" s="26"/>
      <x:c r="C305" s="26"/>
      <x:c r="D305" s="26" t="str">
        <x:v>TC-VS-APP-002</x:v>
      </x:c>
      <x:c r="E305" s="26" t="str">
        <x:v>VS-APP-002</x:v>
      </x:c>
      <x:c r="F305" s="26" t="str">
        <x:v>Not Run</x:v>
      </x:c>
      <x:c r="G305" s="26"/>
      <x:c r="H305" s="26"/>
      <x:c r="I305" s="26" t="str">
        <x:v>VRM Games</x:v>
      </x:c>
      <x:c r="J305" s="26" t="str">
        <x:v>Unity 6000.3.18f1 / Windows x64</x:v>
      </x:c>
      <x:c r="K305" s="26" t="str">
        <x:v>02_Vertical_Slice_Specification.md</x:v>
      </x:c>
      <x:c r="L305" s="26"/>
      <x:c r="M305" s="26"/>
    </x:row>
    <x:row r="306" ht="30" customHeight="1">
      <x:c r="A306" s="26" t="str">
        <x:v>EXE-0003</x:v>
      </x:c>
      <x:c r="B306" s="26"/>
      <x:c r="C306" s="26"/>
      <x:c r="D306" s="26" t="str">
        <x:v>TC-VS-APP-003</x:v>
      </x:c>
      <x:c r="E306" s="26" t="str">
        <x:v>VS-APP-003</x:v>
      </x:c>
      <x:c r="F306" s="26" t="str">
        <x:v>Not Run</x:v>
      </x:c>
      <x:c r="G306" s="26"/>
      <x:c r="H306" s="26"/>
      <x:c r="I306" s="26" t="str">
        <x:v>VRM Games</x:v>
      </x:c>
      <x:c r="J306" s="26" t="str">
        <x:v>Unity 6000.3.18f1 / Windows x64</x:v>
      </x:c>
      <x:c r="K306" s="26" t="str">
        <x:v>02_Vertical_Slice_Specification.md</x:v>
      </x:c>
      <x:c r="L306" s="26"/>
      <x:c r="M306" s="26"/>
    </x:row>
    <x:row r="307" ht="30" customHeight="1">
      <x:c r="A307" s="26" t="str">
        <x:v>EXE-0004</x:v>
      </x:c>
      <x:c r="B307" s="26"/>
      <x:c r="C307" s="26"/>
      <x:c r="D307" s="26" t="str">
        <x:v>TC-VS-APP-004</x:v>
      </x:c>
      <x:c r="E307" s="26" t="str">
        <x:v>VS-APP-004</x:v>
      </x:c>
      <x:c r="F307" s="26" t="str">
        <x:v>Not Run</x:v>
      </x:c>
      <x:c r="G307" s="26"/>
      <x:c r="H307" s="26"/>
      <x:c r="I307" s="26" t="str">
        <x:v>VRM Games</x:v>
      </x:c>
      <x:c r="J307" s="26" t="str">
        <x:v>Unity 6000.3.18f1 / Windows x64</x:v>
      </x:c>
      <x:c r="K307" s="26" t="str">
        <x:v>02_Vertical_Slice_Specification.md</x:v>
      </x:c>
      <x:c r="L307" s="26"/>
      <x:c r="M307" s="26"/>
    </x:row>
    <x:row r="308" ht="30" customHeight="1">
      <x:c r="A308" s="26" t="str">
        <x:v>EXE-0005</x:v>
      </x:c>
      <x:c r="B308" s="26"/>
      <x:c r="C308" s="26"/>
      <x:c r="D308" s="26" t="str">
        <x:v>TC-VS-SCN-001</x:v>
      </x:c>
      <x:c r="E308" s="26" t="str">
        <x:v>VS-SCN-001</x:v>
      </x:c>
      <x:c r="F308" s="26" t="str">
        <x:v>Not Run</x:v>
      </x:c>
      <x:c r="G308" s="26"/>
      <x:c r="H308" s="26"/>
      <x:c r="I308" s="26" t="str">
        <x:v>VRM Games</x:v>
      </x:c>
      <x:c r="J308" s="26" t="str">
        <x:v>Unity 6000.3.18f1 / Windows x64</x:v>
      </x:c>
      <x:c r="K308" s="26" t="str">
        <x:v>02_Vertical_Slice_Specification.md</x:v>
      </x:c>
      <x:c r="L308" s="26"/>
      <x:c r="M308" s="26"/>
    </x:row>
    <x:row r="309" ht="30" customHeight="1">
      <x:c r="A309" s="26" t="str">
        <x:v>EXE-0006</x:v>
      </x:c>
      <x:c r="B309" s="26"/>
      <x:c r="C309" s="26"/>
      <x:c r="D309" s="26" t="str">
        <x:v>TC-VS-SCN-002</x:v>
      </x:c>
      <x:c r="E309" s="26" t="str">
        <x:v>VS-SCN-002</x:v>
      </x:c>
      <x:c r="F309" s="26" t="str">
        <x:v>Not Run</x:v>
      </x:c>
      <x:c r="G309" s="26"/>
      <x:c r="H309" s="26"/>
      <x:c r="I309" s="26" t="str">
        <x:v>VRM Games</x:v>
      </x:c>
      <x:c r="J309" s="26" t="str">
        <x:v>Unity 6000.3.18f1 / Windows x64</x:v>
      </x:c>
      <x:c r="K309" s="26" t="str">
        <x:v>02_Vertical_Slice_Specification.md</x:v>
      </x:c>
      <x:c r="L309" s="26"/>
      <x:c r="M309" s="26"/>
    </x:row>
    <x:row r="310" ht="30" customHeight="1">
      <x:c r="A310" s="26" t="str">
        <x:v>EXE-0007</x:v>
      </x:c>
      <x:c r="B310" s="26"/>
      <x:c r="C310" s="26"/>
      <x:c r="D310" s="26" t="str">
        <x:v>TC-VS-SCN-003</x:v>
      </x:c>
      <x:c r="E310" s="26" t="str">
        <x:v>VS-SCN-003</x:v>
      </x:c>
      <x:c r="F310" s="26" t="str">
        <x:v>Not Run</x:v>
      </x:c>
      <x:c r="G310" s="26"/>
      <x:c r="H310" s="26"/>
      <x:c r="I310" s="26" t="str">
        <x:v>VRM Games</x:v>
      </x:c>
      <x:c r="J310" s="26" t="str">
        <x:v>Unity 6000.3.18f1 / Windows x64</x:v>
      </x:c>
      <x:c r="K310" s="26" t="str">
        <x:v>02_Vertical_Slice_Specification.md</x:v>
      </x:c>
      <x:c r="L310" s="26"/>
      <x:c r="M310" s="26"/>
    </x:row>
    <x:row r="311" ht="30" customHeight="1">
      <x:c r="A311" s="26" t="str">
        <x:v>EXE-0008</x:v>
      </x:c>
      <x:c r="B311" s="26"/>
      <x:c r="C311" s="26"/>
      <x:c r="D311" s="26" t="str">
        <x:v>TC-VS-SCN-004</x:v>
      </x:c>
      <x:c r="E311" s="26" t="str">
        <x:v>VS-SCN-004</x:v>
      </x:c>
      <x:c r="F311" s="26" t="str">
        <x:v>Not Run</x:v>
      </x:c>
      <x:c r="G311" s="26"/>
      <x:c r="H311" s="26"/>
      <x:c r="I311" s="26" t="str">
        <x:v>VRM Games</x:v>
      </x:c>
      <x:c r="J311" s="26" t="str">
        <x:v>Unity 6000.3.18f1 / Windows x64</x:v>
      </x:c>
      <x:c r="K311" s="26" t="str">
        <x:v>02_Vertical_Slice_Specification.md</x:v>
      </x:c>
      <x:c r="L311" s="26"/>
      <x:c r="M311" s="26"/>
    </x:row>
    <x:row r="312" ht="30" customHeight="1">
      <x:c r="A312" s="26" t="str">
        <x:v>EXE-0009</x:v>
      </x:c>
      <x:c r="B312" s="26"/>
      <x:c r="C312" s="26"/>
      <x:c r="D312" s="26" t="str">
        <x:v>TC-VS-INP-001</x:v>
      </x:c>
      <x:c r="E312" s="26" t="str">
        <x:v>VS-INP-001</x:v>
      </x:c>
      <x:c r="F312" s="26" t="str">
        <x:v>Not Run</x:v>
      </x:c>
      <x:c r="G312" s="26"/>
      <x:c r="H312" s="26"/>
      <x:c r="I312" s="26" t="str">
        <x:v>VRM Games</x:v>
      </x:c>
      <x:c r="J312" s="26" t="str">
        <x:v>Unity 6000.3.18f1 / Windows x64</x:v>
      </x:c>
      <x:c r="K312" s="26" t="str">
        <x:v>02_Vertical_Slice_Specification.md</x:v>
      </x:c>
      <x:c r="L312" s="26"/>
      <x:c r="M312" s="26"/>
    </x:row>
    <x:row r="313" ht="30" customHeight="1">
      <x:c r="A313" s="26" t="str">
        <x:v>EXE-0010</x:v>
      </x:c>
      <x:c r="B313" s="26"/>
      <x:c r="C313" s="26"/>
      <x:c r="D313" s="26" t="str">
        <x:v>TC-VS-INP-002</x:v>
      </x:c>
      <x:c r="E313" s="26" t="str">
        <x:v>VS-INP-002</x:v>
      </x:c>
      <x:c r="F313" s="26" t="str">
        <x:v>Not Run</x:v>
      </x:c>
      <x:c r="G313" s="26"/>
      <x:c r="H313" s="26"/>
      <x:c r="I313" s="26" t="str">
        <x:v>VRM Games</x:v>
      </x:c>
      <x:c r="J313" s="26" t="str">
        <x:v>Unity 6000.3.18f1 / Windows x64</x:v>
      </x:c>
      <x:c r="K313" s="26" t="str">
        <x:v>02_Vertical_Slice_Specification.md</x:v>
      </x:c>
      <x:c r="L313" s="26"/>
      <x:c r="M313" s="26"/>
    </x:row>
    <x:row r="314" ht="30" customHeight="1">
      <x:c r="A314" s="26" t="str">
        <x:v>EXE-0011</x:v>
      </x:c>
      <x:c r="B314" s="26"/>
      <x:c r="C314" s="26"/>
      <x:c r="D314" s="26" t="str">
        <x:v>TC-VS-CAM-001</x:v>
      </x:c>
      <x:c r="E314" s="26" t="str">
        <x:v>VS-CAM-001</x:v>
      </x:c>
      <x:c r="F314" s="26" t="str">
        <x:v>Not Run</x:v>
      </x:c>
      <x:c r="G314" s="26"/>
      <x:c r="H314" s="26"/>
      <x:c r="I314" s="26" t="str">
        <x:v>VRM Games</x:v>
      </x:c>
      <x:c r="J314" s="26" t="str">
        <x:v>Unity 6000.3.18f1 / Windows x64</x:v>
      </x:c>
      <x:c r="K314" s="26" t="str">
        <x:v>02_Vertical_Slice_Specification.md</x:v>
      </x:c>
      <x:c r="L314" s="26"/>
      <x:c r="M314" s="26"/>
    </x:row>
    <x:row r="315" ht="30" customHeight="1">
      <x:c r="A315" s="26" t="str">
        <x:v>EXE-0012</x:v>
      </x:c>
      <x:c r="B315" s="26"/>
      <x:c r="C315" s="26"/>
      <x:c r="D315" s="26" t="str">
        <x:v>TC-VS-CAM-002</x:v>
      </x:c>
      <x:c r="E315" s="26" t="str">
        <x:v>VS-CAM-002</x:v>
      </x:c>
      <x:c r="F315" s="26" t="str">
        <x:v>Not Run</x:v>
      </x:c>
      <x:c r="G315" s="26"/>
      <x:c r="H315" s="26"/>
      <x:c r="I315" s="26" t="str">
        <x:v>VRM Games</x:v>
      </x:c>
      <x:c r="J315" s="26" t="str">
        <x:v>Unity 6000.3.18f1 / Windows x64</x:v>
      </x:c>
      <x:c r="K315" s="26" t="str">
        <x:v>02_Vertical_Slice_Specification.md</x:v>
      </x:c>
      <x:c r="L315" s="26"/>
      <x:c r="M315" s="26"/>
    </x:row>
    <x:row r="316" ht="30" customHeight="1">
      <x:c r="A316" s="26" t="str">
        <x:v>EXE-0013</x:v>
      </x:c>
      <x:c r="B316" s="26"/>
      <x:c r="C316" s="26"/>
      <x:c r="D316" s="26" t="str">
        <x:v>TC-VS-MOV-001</x:v>
      </x:c>
      <x:c r="E316" s="26" t="str">
        <x:v>VS-MOV-001</x:v>
      </x:c>
      <x:c r="F316" s="26" t="str">
        <x:v>Not Run</x:v>
      </x:c>
      <x:c r="G316" s="26"/>
      <x:c r="H316" s="26"/>
      <x:c r="I316" s="26" t="str">
        <x:v>VRM Games</x:v>
      </x:c>
      <x:c r="J316" s="26" t="str">
        <x:v>Unity 6000.3.18f1 / Windows x64</x:v>
      </x:c>
      <x:c r="K316" s="26" t="str">
        <x:v>02_Vertical_Slice_Specification.md</x:v>
      </x:c>
      <x:c r="L316" s="26"/>
      <x:c r="M316" s="26"/>
    </x:row>
    <x:row r="317" ht="30" customHeight="1">
      <x:c r="A317" s="26" t="str">
        <x:v>EXE-0014</x:v>
      </x:c>
      <x:c r="B317" s="26"/>
      <x:c r="C317" s="26"/>
      <x:c r="D317" s="26" t="str">
        <x:v>TC-VS-MOV-002</x:v>
      </x:c>
      <x:c r="E317" s="26" t="str">
        <x:v>VS-MOV-002</x:v>
      </x:c>
      <x:c r="F317" s="26" t="str">
        <x:v>Not Run</x:v>
      </x:c>
      <x:c r="G317" s="26"/>
      <x:c r="H317" s="26"/>
      <x:c r="I317" s="26" t="str">
        <x:v>VRM Games</x:v>
      </x:c>
      <x:c r="J317" s="26" t="str">
        <x:v>Unity 6000.3.18f1 / Windows x64</x:v>
      </x:c>
      <x:c r="K317" s="26" t="str">
        <x:v>02_Vertical_Slice_Specification.md</x:v>
      </x:c>
      <x:c r="L317" s="26"/>
      <x:c r="M317" s="26"/>
    </x:row>
    <x:row r="318" ht="30" customHeight="1">
      <x:c r="A318" s="26" t="str">
        <x:v>EXE-0015</x:v>
      </x:c>
      <x:c r="B318" s="26"/>
      <x:c r="C318" s="26"/>
      <x:c r="D318" s="26" t="str">
        <x:v>TC-VS-MOV-003</x:v>
      </x:c>
      <x:c r="E318" s="26" t="str">
        <x:v>VS-MOV-003</x:v>
      </x:c>
      <x:c r="F318" s="26" t="str">
        <x:v>Not Run</x:v>
      </x:c>
      <x:c r="G318" s="26"/>
      <x:c r="H318" s="26"/>
      <x:c r="I318" s="26" t="str">
        <x:v>VRM Games</x:v>
      </x:c>
      <x:c r="J318" s="26" t="str">
        <x:v>Unity 6000.3.18f1 / Windows x64</x:v>
      </x:c>
      <x:c r="K318" s="26" t="str">
        <x:v>02_Vertical_Slice_Specification.md</x:v>
      </x:c>
      <x:c r="L318" s="26"/>
      <x:c r="M318" s="26"/>
    </x:row>
    <x:row r="319" ht="30" customHeight="1">
      <x:c r="A319" s="26" t="str">
        <x:v>EXE-0016</x:v>
      </x:c>
      <x:c r="B319" s="26"/>
      <x:c r="C319" s="26"/>
      <x:c r="D319" s="26" t="str">
        <x:v>TC-VS-BLD-001</x:v>
      </x:c>
      <x:c r="E319" s="26" t="str">
        <x:v>VS-BLD-001</x:v>
      </x:c>
      <x:c r="F319" s="26" t="str">
        <x:v>Not Run</x:v>
      </x:c>
      <x:c r="G319" s="26"/>
      <x:c r="H319" s="26"/>
      <x:c r="I319" s="26" t="str">
        <x:v>VRM Games</x:v>
      </x:c>
      <x:c r="J319" s="26" t="str">
        <x:v>Unity 6000.3.18f1 / Windows x64</x:v>
      </x:c>
      <x:c r="K319" s="26" t="str">
        <x:v>02_Vertical_Slice_Specification.md</x:v>
      </x:c>
      <x:c r="L319" s="26"/>
      <x:c r="M319" s="26"/>
    </x:row>
    <x:row r="320" ht="30" customHeight="1">
      <x:c r="A320" s="26" t="str">
        <x:v>EXE-0017</x:v>
      </x:c>
      <x:c r="B320" s="26"/>
      <x:c r="C320" s="26"/>
      <x:c r="D320" s="26" t="str">
        <x:v>TC-VS-BLD-002</x:v>
      </x:c>
      <x:c r="E320" s="26" t="str">
        <x:v>VS-BLD-002</x:v>
      </x:c>
      <x:c r="F320" s="26" t="str">
        <x:v>Not Run</x:v>
      </x:c>
      <x:c r="G320" s="26"/>
      <x:c r="H320" s="26"/>
      <x:c r="I320" s="26" t="str">
        <x:v>VRM Games</x:v>
      </x:c>
      <x:c r="J320" s="26" t="str">
        <x:v>Unity 6000.3.18f1 / Windows x64</x:v>
      </x:c>
      <x:c r="K320" s="26" t="str">
        <x:v>02_Vertical_Slice_Specification.md</x:v>
      </x:c>
      <x:c r="L320" s="26"/>
      <x:c r="M320" s="26"/>
    </x:row>
    <x:row r="321" ht="30" customHeight="1">
      <x:c r="A321" s="26" t="str">
        <x:v>EXE-0018</x:v>
      </x:c>
      <x:c r="B321" s="26"/>
      <x:c r="C321" s="26"/>
      <x:c r="D321" s="26" t="str">
        <x:v>TC-VS-BLD-003</x:v>
      </x:c>
      <x:c r="E321" s="26" t="str">
        <x:v>VS-BLD-003</x:v>
      </x:c>
      <x:c r="F321" s="26" t="str">
        <x:v>Not Run</x:v>
      </x:c>
      <x:c r="G321" s="26"/>
      <x:c r="H321" s="26"/>
      <x:c r="I321" s="26" t="str">
        <x:v>VRM Games</x:v>
      </x:c>
      <x:c r="J321" s="26" t="str">
        <x:v>Unity 6000.3.18f1 / Windows x64</x:v>
      </x:c>
      <x:c r="K321" s="26" t="str">
        <x:v>02_Vertical_Slice_Specification.md</x:v>
      </x:c>
      <x:c r="L321" s="26"/>
      <x:c r="M321" s="26"/>
    </x:row>
    <x:row r="322" ht="30" customHeight="1">
      <x:c r="A322" s="26" t="str">
        <x:v>EXE-0019</x:v>
      </x:c>
      <x:c r="B322" s="26"/>
      <x:c r="C322" s="26"/>
      <x:c r="D322" s="26" t="str">
        <x:v>TC-VS-BLD-004</x:v>
      </x:c>
      <x:c r="E322" s="26" t="str">
        <x:v>VS-BLD-004</x:v>
      </x:c>
      <x:c r="F322" s="26" t="str">
        <x:v>Not Run</x:v>
      </x:c>
      <x:c r="G322" s="26"/>
      <x:c r="H322" s="26"/>
      <x:c r="I322" s="26" t="str">
        <x:v>VRM Games</x:v>
      </x:c>
      <x:c r="J322" s="26" t="str">
        <x:v>Unity 6000.3.18f1 / Windows x64</x:v>
      </x:c>
      <x:c r="K322" s="26" t="str">
        <x:v>02_Vertical_Slice_Specification.md</x:v>
      </x:c>
      <x:c r="L322" s="26"/>
      <x:c r="M322" s="26"/>
    </x:row>
    <x:row r="323" ht="30" customHeight="1">
      <x:c r="A323" s="26" t="str">
        <x:v>EXE-0020</x:v>
      </x:c>
      <x:c r="B323" s="26"/>
      <x:c r="C323" s="26"/>
      <x:c r="D323" s="26" t="str">
        <x:v>TC-VS-BLD-005</x:v>
      </x:c>
      <x:c r="E323" s="26" t="str">
        <x:v>VS-BLD-005</x:v>
      </x:c>
      <x:c r="F323" s="26" t="str">
        <x:v>Not Run</x:v>
      </x:c>
      <x:c r="G323" s="26"/>
      <x:c r="H323" s="26"/>
      <x:c r="I323" s="26" t="str">
        <x:v>VRM Games</x:v>
      </x:c>
      <x:c r="J323" s="26" t="str">
        <x:v>Unity 6000.3.18f1 / Windows x64</x:v>
      </x:c>
      <x:c r="K323" s="26" t="str">
        <x:v>02_Vertical_Slice_Specification.md</x:v>
      </x:c>
      <x:c r="L323" s="26"/>
      <x:c r="M323" s="26"/>
    </x:row>
    <x:row r="324" ht="30" customHeight="1">
      <x:c r="A324" s="26" t="str">
        <x:v>EXE-0021</x:v>
      </x:c>
      <x:c r="B324" s="26"/>
      <x:c r="C324" s="26"/>
      <x:c r="D324" s="26" t="str">
        <x:v>TC-VS-BLD-006</x:v>
      </x:c>
      <x:c r="E324" s="26" t="str">
        <x:v>VS-BLD-006</x:v>
      </x:c>
      <x:c r="F324" s="26" t="str">
        <x:v>Not Run</x:v>
      </x:c>
      <x:c r="G324" s="26"/>
      <x:c r="H324" s="26"/>
      <x:c r="I324" s="26" t="str">
        <x:v>VRM Games</x:v>
      </x:c>
      <x:c r="J324" s="26" t="str">
        <x:v>Unity 6000.3.18f1 / Windows x64</x:v>
      </x:c>
      <x:c r="K324" s="26" t="str">
        <x:v>02_Vertical_Slice_Specification.md</x:v>
      </x:c>
      <x:c r="L324" s="26"/>
      <x:c r="M324" s="26"/>
    </x:row>
    <x:row r="325" ht="30" customHeight="1">
      <x:c r="A325" s="26" t="str">
        <x:v>EXE-0022</x:v>
      </x:c>
      <x:c r="B325" s="26"/>
      <x:c r="C325" s="26"/>
      <x:c r="D325" s="26" t="str">
        <x:v>TC-VS-INV-001</x:v>
      </x:c>
      <x:c r="E325" s="26" t="str">
        <x:v>VS-INV-001</x:v>
      </x:c>
      <x:c r="F325" s="26" t="str">
        <x:v>Not Run</x:v>
      </x:c>
      <x:c r="G325" s="26"/>
      <x:c r="H325" s="26"/>
      <x:c r="I325" s="26" t="str">
        <x:v>VRM Games</x:v>
      </x:c>
      <x:c r="J325" s="26" t="str">
        <x:v>Unity 6000.3.18f1 / Windows x64</x:v>
      </x:c>
      <x:c r="K325" s="26" t="str">
        <x:v>02_Vertical_Slice_Specification.md</x:v>
      </x:c>
      <x:c r="L325" s="26"/>
      <x:c r="M325" s="26"/>
    </x:row>
    <x:row r="326" ht="30" customHeight="1">
      <x:c r="A326" s="26" t="str">
        <x:v>EXE-0023</x:v>
      </x:c>
      <x:c r="B326" s="26"/>
      <x:c r="C326" s="26"/>
      <x:c r="D326" s="26" t="str">
        <x:v>TC-VS-INV-002</x:v>
      </x:c>
      <x:c r="E326" s="26" t="str">
        <x:v>VS-INV-002</x:v>
      </x:c>
      <x:c r="F326" s="26" t="str">
        <x:v>Not Run</x:v>
      </x:c>
      <x:c r="G326" s="26"/>
      <x:c r="H326" s="26"/>
      <x:c r="I326" s="26" t="str">
        <x:v>VRM Games</x:v>
      </x:c>
      <x:c r="J326" s="26" t="str">
        <x:v>Unity 6000.3.18f1 / Windows x64</x:v>
      </x:c>
      <x:c r="K326" s="26" t="str">
        <x:v>02_Vertical_Slice_Specification.md</x:v>
      </x:c>
      <x:c r="L326" s="26"/>
      <x:c r="M326" s="26"/>
    </x:row>
    <x:row r="327" ht="30" customHeight="1">
      <x:c r="A327" s="26" t="str">
        <x:v>EXE-0024</x:v>
      </x:c>
      <x:c r="B327" s="26"/>
      <x:c r="C327" s="26"/>
      <x:c r="D327" s="26" t="str">
        <x:v>TC-VS-INV-003</x:v>
      </x:c>
      <x:c r="E327" s="26" t="str">
        <x:v>VS-INV-003</x:v>
      </x:c>
      <x:c r="F327" s="26" t="str">
        <x:v>Not Run</x:v>
      </x:c>
      <x:c r="G327" s="26"/>
      <x:c r="H327" s="26"/>
      <x:c r="I327" s="26" t="str">
        <x:v>VRM Games</x:v>
      </x:c>
      <x:c r="J327" s="26" t="str">
        <x:v>Unity 6000.3.18f1 / Windows x64</x:v>
      </x:c>
      <x:c r="K327" s="26" t="str">
        <x:v>02_Vertical_Slice_Specification.md</x:v>
      </x:c>
      <x:c r="L327" s="26"/>
      <x:c r="M327" s="26"/>
    </x:row>
    <x:row r="328" ht="30" customHeight="1">
      <x:c r="A328" s="26" t="str">
        <x:v>EXE-0025</x:v>
      </x:c>
      <x:c r="B328" s="26"/>
      <x:c r="C328" s="26"/>
      <x:c r="D328" s="26" t="str">
        <x:v>TC-VS-INV-004</x:v>
      </x:c>
      <x:c r="E328" s="26" t="str">
        <x:v>VS-INV-004</x:v>
      </x:c>
      <x:c r="F328" s="26" t="str">
        <x:v>Not Run</x:v>
      </x:c>
      <x:c r="G328" s="26"/>
      <x:c r="H328" s="26"/>
      <x:c r="I328" s="26" t="str">
        <x:v>VRM Games</x:v>
      </x:c>
      <x:c r="J328" s="26" t="str">
        <x:v>Unity 6000.3.18f1 / Windows x64</x:v>
      </x:c>
      <x:c r="K328" s="26" t="str">
        <x:v>02_Vertical_Slice_Specification.md</x:v>
      </x:c>
      <x:c r="L328" s="26"/>
      <x:c r="M328" s="26"/>
    </x:row>
    <x:row r="329" ht="30" customHeight="1">
      <x:c r="A329" s="26" t="str">
        <x:v>EXE-0026</x:v>
      </x:c>
      <x:c r="B329" s="26"/>
      <x:c r="C329" s="26"/>
      <x:c r="D329" s="26" t="str">
        <x:v>TC-VS-INV-005</x:v>
      </x:c>
      <x:c r="E329" s="26" t="str">
        <x:v>VS-INV-005</x:v>
      </x:c>
      <x:c r="F329" s="26" t="str">
        <x:v>Not Run</x:v>
      </x:c>
      <x:c r="G329" s="26"/>
      <x:c r="H329" s="26"/>
      <x:c r="I329" s="26" t="str">
        <x:v>VRM Games</x:v>
      </x:c>
      <x:c r="J329" s="26" t="str">
        <x:v>Unity 6000.3.18f1 / Windows x64</x:v>
      </x:c>
      <x:c r="K329" s="26" t="str">
        <x:v>02_Vertical_Slice_Specification.md</x:v>
      </x:c>
      <x:c r="L329" s="26"/>
      <x:c r="M329" s="26"/>
    </x:row>
    <x:row r="330" ht="30" customHeight="1">
      <x:c r="A330" s="26" t="str">
        <x:v>EXE-0027</x:v>
      </x:c>
      <x:c r="B330" s="26"/>
      <x:c r="C330" s="26"/>
      <x:c r="D330" s="26" t="str">
        <x:v>TC-VS-ORD-001</x:v>
      </x:c>
      <x:c r="E330" s="26" t="str">
        <x:v>VS-ORD-001</x:v>
      </x:c>
      <x:c r="F330" s="26" t="str">
        <x:v>Not Run</x:v>
      </x:c>
      <x:c r="G330" s="26"/>
      <x:c r="H330" s="26"/>
      <x:c r="I330" s="26" t="str">
        <x:v>VRM Games</x:v>
      </x:c>
      <x:c r="J330" s="26" t="str">
        <x:v>Unity 6000.3.18f1 / Windows x64</x:v>
      </x:c>
      <x:c r="K330" s="26" t="str">
        <x:v>02_Vertical_Slice_Specification.md</x:v>
      </x:c>
      <x:c r="L330" s="26"/>
      <x:c r="M330" s="26"/>
    </x:row>
    <x:row r="331" ht="30" customHeight="1">
      <x:c r="A331" s="26" t="str">
        <x:v>EXE-0028</x:v>
      </x:c>
      <x:c r="B331" s="26"/>
      <x:c r="C331" s="26"/>
      <x:c r="D331" s="26" t="str">
        <x:v>TC-VS-ORD-002</x:v>
      </x:c>
      <x:c r="E331" s="26" t="str">
        <x:v>VS-ORD-002</x:v>
      </x:c>
      <x:c r="F331" s="26" t="str">
        <x:v>Not Run</x:v>
      </x:c>
      <x:c r="G331" s="26"/>
      <x:c r="H331" s="26"/>
      <x:c r="I331" s="26" t="str">
        <x:v>VRM Games</x:v>
      </x:c>
      <x:c r="J331" s="26" t="str">
        <x:v>Unity 6000.3.18f1 / Windows x64</x:v>
      </x:c>
      <x:c r="K331" s="26" t="str">
        <x:v>02_Vertical_Slice_Specification.md</x:v>
      </x:c>
      <x:c r="L331" s="26"/>
      <x:c r="M331" s="26"/>
    </x:row>
    <x:row r="332" ht="30" customHeight="1">
      <x:c r="A332" s="26" t="str">
        <x:v>EXE-0029</x:v>
      </x:c>
      <x:c r="B332" s="26"/>
      <x:c r="C332" s="26"/>
      <x:c r="D332" s="26" t="str">
        <x:v>TC-VS-ORD-003</x:v>
      </x:c>
      <x:c r="E332" s="26" t="str">
        <x:v>VS-ORD-003</x:v>
      </x:c>
      <x:c r="F332" s="26" t="str">
        <x:v>Not Run</x:v>
      </x:c>
      <x:c r="G332" s="26"/>
      <x:c r="H332" s="26"/>
      <x:c r="I332" s="26" t="str">
        <x:v>VRM Games</x:v>
      </x:c>
      <x:c r="J332" s="26" t="str">
        <x:v>Unity 6000.3.18f1 / Windows x64</x:v>
      </x:c>
      <x:c r="K332" s="26" t="str">
        <x:v>02_Vertical_Slice_Specification.md</x:v>
      </x:c>
      <x:c r="L332" s="26"/>
      <x:c r="M332" s="26"/>
    </x:row>
    <x:row r="333" ht="30" customHeight="1">
      <x:c r="A333" s="26" t="str">
        <x:v>EXE-0030</x:v>
      </x:c>
      <x:c r="B333" s="26"/>
      <x:c r="C333" s="26"/>
      <x:c r="D333" s="26" t="str">
        <x:v>TC-VS-ORD-004</x:v>
      </x:c>
      <x:c r="E333" s="26" t="str">
        <x:v>VS-ORD-004</x:v>
      </x:c>
      <x:c r="F333" s="26" t="str">
        <x:v>Not Run</x:v>
      </x:c>
      <x:c r="G333" s="26"/>
      <x:c r="H333" s="26"/>
      <x:c r="I333" s="26" t="str">
        <x:v>VRM Games</x:v>
      </x:c>
      <x:c r="J333" s="26" t="str">
        <x:v>Unity 6000.3.18f1 / Windows x64</x:v>
      </x:c>
      <x:c r="K333" s="26" t="str">
        <x:v>02_Vertical_Slice_Specification.md</x:v>
      </x:c>
      <x:c r="L333" s="26"/>
      <x:c r="M333" s="26"/>
    </x:row>
    <x:row r="334" ht="30" customHeight="1">
      <x:c r="A334" s="26" t="str">
        <x:v>EXE-0031</x:v>
      </x:c>
      <x:c r="B334" s="26"/>
      <x:c r="C334" s="26"/>
      <x:c r="D334" s="26" t="str">
        <x:v>TC-VS-ORD-005</x:v>
      </x:c>
      <x:c r="E334" s="26" t="str">
        <x:v>VS-ORD-005</x:v>
      </x:c>
      <x:c r="F334" s="26" t="str">
        <x:v>Not Run</x:v>
      </x:c>
      <x:c r="G334" s="26"/>
      <x:c r="H334" s="26"/>
      <x:c r="I334" s="26" t="str">
        <x:v>VRM Games</x:v>
      </x:c>
      <x:c r="J334" s="26" t="str">
        <x:v>Unity 6000.3.18f1 / Windows x64</x:v>
      </x:c>
      <x:c r="K334" s="26" t="str">
        <x:v>02_Vertical_Slice_Specification.md</x:v>
      </x:c>
      <x:c r="L334" s="26"/>
      <x:c r="M334" s="26"/>
    </x:row>
    <x:row r="335" ht="30" customHeight="1">
      <x:c r="A335" s="26" t="str">
        <x:v>EXE-0032</x:v>
      </x:c>
      <x:c r="B335" s="26"/>
      <x:c r="C335" s="26"/>
      <x:c r="D335" s="26" t="str">
        <x:v>TC-VS-DSP-001</x:v>
      </x:c>
      <x:c r="E335" s="26" t="str">
        <x:v>VS-DSP-001</x:v>
      </x:c>
      <x:c r="F335" s="26" t="str">
        <x:v>Not Run</x:v>
      </x:c>
      <x:c r="G335" s="26"/>
      <x:c r="H335" s="26"/>
      <x:c r="I335" s="26" t="str">
        <x:v>VRM Games</x:v>
      </x:c>
      <x:c r="J335" s="26" t="str">
        <x:v>Unity 6000.3.18f1 / Windows x64</x:v>
      </x:c>
      <x:c r="K335" s="26" t="str">
        <x:v>02_Vertical_Slice_Specification.md</x:v>
      </x:c>
      <x:c r="L335" s="26"/>
      <x:c r="M335" s="26"/>
    </x:row>
    <x:row r="336" ht="30" customHeight="1">
      <x:c r="A336" s="26" t="str">
        <x:v>EXE-0033</x:v>
      </x:c>
      <x:c r="B336" s="26"/>
      <x:c r="C336" s="26"/>
      <x:c r="D336" s="26" t="str">
        <x:v>TC-VS-DSP-002</x:v>
      </x:c>
      <x:c r="E336" s="26" t="str">
        <x:v>VS-DSP-002</x:v>
      </x:c>
      <x:c r="F336" s="26" t="str">
        <x:v>Not Run</x:v>
      </x:c>
      <x:c r="G336" s="26"/>
      <x:c r="H336" s="26"/>
      <x:c r="I336" s="26" t="str">
        <x:v>VRM Games</x:v>
      </x:c>
      <x:c r="J336" s="26" t="str">
        <x:v>Unity 6000.3.18f1 / Windows x64</x:v>
      </x:c>
      <x:c r="K336" s="26" t="str">
        <x:v>02_Vertical_Slice_Specification.md</x:v>
      </x:c>
      <x:c r="L336" s="26"/>
      <x:c r="M336" s="26"/>
    </x:row>
    <x:row r="337" ht="30" customHeight="1">
      <x:c r="A337" s="26" t="str">
        <x:v>EXE-0034</x:v>
      </x:c>
      <x:c r="B337" s="26"/>
      <x:c r="C337" s="26"/>
      <x:c r="D337" s="26" t="str">
        <x:v>TC-VS-DSP-003</x:v>
      </x:c>
      <x:c r="E337" s="26" t="str">
        <x:v>VS-DSP-003</x:v>
      </x:c>
      <x:c r="F337" s="26" t="str">
        <x:v>Not Run</x:v>
      </x:c>
      <x:c r="G337" s="26"/>
      <x:c r="H337" s="26"/>
      <x:c r="I337" s="26" t="str">
        <x:v>VRM Games</x:v>
      </x:c>
      <x:c r="J337" s="26" t="str">
        <x:v>Unity 6000.3.18f1 / Windows x64</x:v>
      </x:c>
      <x:c r="K337" s="26" t="str">
        <x:v>02_Vertical_Slice_Specification.md</x:v>
      </x:c>
      <x:c r="L337" s="26"/>
      <x:c r="M337" s="26"/>
    </x:row>
    <x:row r="338" ht="30" customHeight="1">
      <x:c r="A338" s="26" t="str">
        <x:v>EXE-0035</x:v>
      </x:c>
      <x:c r="B338" s="26"/>
      <x:c r="C338" s="26"/>
      <x:c r="D338" s="26" t="str">
        <x:v>TC-VS-DSP-004</x:v>
      </x:c>
      <x:c r="E338" s="26" t="str">
        <x:v>VS-DSP-004</x:v>
      </x:c>
      <x:c r="F338" s="26" t="str">
        <x:v>Not Run</x:v>
      </x:c>
      <x:c r="G338" s="26"/>
      <x:c r="H338" s="26"/>
      <x:c r="I338" s="26" t="str">
        <x:v>VRM Games</x:v>
      </x:c>
      <x:c r="J338" s="26" t="str">
        <x:v>Unity 6000.3.18f1 / Windows x64</x:v>
      </x:c>
      <x:c r="K338" s="26" t="str">
        <x:v>02_Vertical_Slice_Specification.md</x:v>
      </x:c>
      <x:c r="L338" s="26"/>
      <x:c r="M338" s="26"/>
    </x:row>
    <x:row r="339" ht="30" customHeight="1">
      <x:c r="A339" s="26" t="str">
        <x:v>EXE-0036</x:v>
      </x:c>
      <x:c r="B339" s="26"/>
      <x:c r="C339" s="26"/>
      <x:c r="D339" s="26" t="str">
        <x:v>TC-VS-DSP-005</x:v>
      </x:c>
      <x:c r="E339" s="26" t="str">
        <x:v>VS-DSP-005</x:v>
      </x:c>
      <x:c r="F339" s="26" t="str">
        <x:v>Not Run</x:v>
      </x:c>
      <x:c r="G339" s="26"/>
      <x:c r="H339" s="26"/>
      <x:c r="I339" s="26" t="str">
        <x:v>VRM Games</x:v>
      </x:c>
      <x:c r="J339" s="26" t="str">
        <x:v>Unity 6000.3.18f1 / Windows x64</x:v>
      </x:c>
      <x:c r="K339" s="26" t="str">
        <x:v>02_Vertical_Slice_Specification.md</x:v>
      </x:c>
      <x:c r="L339" s="26"/>
      <x:c r="M339" s="26"/>
    </x:row>
    <x:row r="340" ht="30" customHeight="1">
      <x:c r="A340" s="26" t="str">
        <x:v>EXE-0037</x:v>
      </x:c>
      <x:c r="B340" s="26"/>
      <x:c r="C340" s="26"/>
      <x:c r="D340" s="26" t="str">
        <x:v>TC-VS-PRC-001</x:v>
      </x:c>
      <x:c r="E340" s="26" t="str">
        <x:v>VS-PRC-001</x:v>
      </x:c>
      <x:c r="F340" s="26" t="str">
        <x:v>Not Run</x:v>
      </x:c>
      <x:c r="G340" s="26"/>
      <x:c r="H340" s="26"/>
      <x:c r="I340" s="26" t="str">
        <x:v>VRM Games</x:v>
      </x:c>
      <x:c r="J340" s="26" t="str">
        <x:v>Unity 6000.3.18f1 / Windows x64</x:v>
      </x:c>
      <x:c r="K340" s="26" t="str">
        <x:v>02_Vertical_Slice_Specification.md</x:v>
      </x:c>
      <x:c r="L340" s="26"/>
      <x:c r="M340" s="26"/>
    </x:row>
    <x:row r="341" ht="30" customHeight="1">
      <x:c r="A341" s="26" t="str">
        <x:v>EXE-0038</x:v>
      </x:c>
      <x:c r="B341" s="26"/>
      <x:c r="C341" s="26"/>
      <x:c r="D341" s="26" t="str">
        <x:v>TC-VS-PRC-002</x:v>
      </x:c>
      <x:c r="E341" s="26" t="str">
        <x:v>VS-PRC-002</x:v>
      </x:c>
      <x:c r="F341" s="26" t="str">
        <x:v>Not Run</x:v>
      </x:c>
      <x:c r="G341" s="26"/>
      <x:c r="H341" s="26"/>
      <x:c r="I341" s="26" t="str">
        <x:v>VRM Games</x:v>
      </x:c>
      <x:c r="J341" s="26" t="str">
        <x:v>Unity 6000.3.18f1 / Windows x64</x:v>
      </x:c>
      <x:c r="K341" s="26" t="str">
        <x:v>02_Vertical_Slice_Specification.md</x:v>
      </x:c>
      <x:c r="L341" s="26"/>
      <x:c r="M341" s="26"/>
    </x:row>
    <x:row r="342" ht="30" customHeight="1">
      <x:c r="A342" s="26" t="str">
        <x:v>EXE-0039</x:v>
      </x:c>
      <x:c r="B342" s="26"/>
      <x:c r="C342" s="26"/>
      <x:c r="D342" s="26" t="str">
        <x:v>TC-VS-PRC-003</x:v>
      </x:c>
      <x:c r="E342" s="26" t="str">
        <x:v>VS-PRC-003</x:v>
      </x:c>
      <x:c r="F342" s="26" t="str">
        <x:v>Not Run</x:v>
      </x:c>
      <x:c r="G342" s="26"/>
      <x:c r="H342" s="26"/>
      <x:c r="I342" s="26" t="str">
        <x:v>VRM Games</x:v>
      </x:c>
      <x:c r="J342" s="26" t="str">
        <x:v>Unity 6000.3.18f1 / Windows x64</x:v>
      </x:c>
      <x:c r="K342" s="26" t="str">
        <x:v>02_Vertical_Slice_Specification.md</x:v>
      </x:c>
      <x:c r="L342" s="26"/>
      <x:c r="M342" s="26"/>
    </x:row>
    <x:row r="343" ht="30" customHeight="1">
      <x:c r="A343" s="26" t="str">
        <x:v>EXE-0040</x:v>
      </x:c>
      <x:c r="B343" s="26"/>
      <x:c r="C343" s="26"/>
      <x:c r="D343" s="26" t="str">
        <x:v>TC-VS-CUS-001</x:v>
      </x:c>
      <x:c r="E343" s="26" t="str">
        <x:v>VS-CUS-001</x:v>
      </x:c>
      <x:c r="F343" s="26" t="str">
        <x:v>Not Run</x:v>
      </x:c>
      <x:c r="G343" s="26"/>
      <x:c r="H343" s="26"/>
      <x:c r="I343" s="26" t="str">
        <x:v>VRM Games</x:v>
      </x:c>
      <x:c r="J343" s="26" t="str">
        <x:v>Unity 6000.3.18f1 / Windows x64</x:v>
      </x:c>
      <x:c r="K343" s="26" t="str">
        <x:v>02_Vertical_Slice_Specification.md</x:v>
      </x:c>
      <x:c r="L343" s="26"/>
      <x:c r="M343" s="26"/>
    </x:row>
    <x:row r="344" ht="30" customHeight="1">
      <x:c r="A344" s="26" t="str">
        <x:v>EXE-0041</x:v>
      </x:c>
      <x:c r="B344" s="26"/>
      <x:c r="C344" s="26"/>
      <x:c r="D344" s="26" t="str">
        <x:v>TC-VS-CUS-002</x:v>
      </x:c>
      <x:c r="E344" s="26" t="str">
        <x:v>VS-CUS-002</x:v>
      </x:c>
      <x:c r="F344" s="26" t="str">
        <x:v>Not Run</x:v>
      </x:c>
      <x:c r="G344" s="26"/>
      <x:c r="H344" s="26"/>
      <x:c r="I344" s="26" t="str">
        <x:v>VRM Games</x:v>
      </x:c>
      <x:c r="J344" s="26" t="str">
        <x:v>Unity 6000.3.18f1 / Windows x64</x:v>
      </x:c>
      <x:c r="K344" s="26" t="str">
        <x:v>02_Vertical_Slice_Specification.md</x:v>
      </x:c>
      <x:c r="L344" s="26"/>
      <x:c r="M344" s="26"/>
    </x:row>
    <x:row r="345" ht="30" customHeight="1">
      <x:c r="A345" s="26" t="str">
        <x:v>EXE-0042</x:v>
      </x:c>
      <x:c r="B345" s="26"/>
      <x:c r="C345" s="26"/>
      <x:c r="D345" s="26" t="str">
        <x:v>TC-VS-CUS-003</x:v>
      </x:c>
      <x:c r="E345" s="26" t="str">
        <x:v>VS-CUS-003</x:v>
      </x:c>
      <x:c r="F345" s="26" t="str">
        <x:v>Not Run</x:v>
      </x:c>
      <x:c r="G345" s="26"/>
      <x:c r="H345" s="26"/>
      <x:c r="I345" s="26" t="str">
        <x:v>VRM Games</x:v>
      </x:c>
      <x:c r="J345" s="26" t="str">
        <x:v>Unity 6000.3.18f1 / Windows x64</x:v>
      </x:c>
      <x:c r="K345" s="26" t="str">
        <x:v>02_Vertical_Slice_Specification.md</x:v>
      </x:c>
      <x:c r="L345" s="26"/>
      <x:c r="M345" s="26"/>
    </x:row>
    <x:row r="346" ht="30" customHeight="1">
      <x:c r="A346" s="26" t="str">
        <x:v>EXE-0043</x:v>
      </x:c>
      <x:c r="B346" s="26"/>
      <x:c r="C346" s="26"/>
      <x:c r="D346" s="26" t="str">
        <x:v>TC-VS-CUS-004</x:v>
      </x:c>
      <x:c r="E346" s="26" t="str">
        <x:v>VS-CUS-004</x:v>
      </x:c>
      <x:c r="F346" s="26" t="str">
        <x:v>Not Run</x:v>
      </x:c>
      <x:c r="G346" s="26"/>
      <x:c r="H346" s="26"/>
      <x:c r="I346" s="26" t="str">
        <x:v>VRM Games</x:v>
      </x:c>
      <x:c r="J346" s="26" t="str">
        <x:v>Unity 6000.3.18f1 / Windows x64</x:v>
      </x:c>
      <x:c r="K346" s="26" t="str">
        <x:v>02_Vertical_Slice_Specification.md</x:v>
      </x:c>
      <x:c r="L346" s="26"/>
      <x:c r="M346" s="26"/>
    </x:row>
    <x:row r="347" ht="30" customHeight="1">
      <x:c r="A347" s="26" t="str">
        <x:v>EXE-0044</x:v>
      </x:c>
      <x:c r="B347" s="26"/>
      <x:c r="C347" s="26"/>
      <x:c r="D347" s="26" t="str">
        <x:v>TC-VS-RES-001</x:v>
      </x:c>
      <x:c r="E347" s="26" t="str">
        <x:v>VS-RES-001</x:v>
      </x:c>
      <x:c r="F347" s="26" t="str">
        <x:v>Not Run</x:v>
      </x:c>
      <x:c r="G347" s="26"/>
      <x:c r="H347" s="26"/>
      <x:c r="I347" s="26" t="str">
        <x:v>VRM Games</x:v>
      </x:c>
      <x:c r="J347" s="26" t="str">
        <x:v>Unity 6000.3.18f1 / Windows x64</x:v>
      </x:c>
      <x:c r="K347" s="26" t="str">
        <x:v>02_Vertical_Slice_Specification.md</x:v>
      </x:c>
      <x:c r="L347" s="26"/>
      <x:c r="M347" s="26"/>
    </x:row>
    <x:row r="348" ht="30" customHeight="1">
      <x:c r="A348" s="26" t="str">
        <x:v>EXE-0045</x:v>
      </x:c>
      <x:c r="B348" s="26"/>
      <x:c r="C348" s="26"/>
      <x:c r="D348" s="26" t="str">
        <x:v>TC-VS-RES-002</x:v>
      </x:c>
      <x:c r="E348" s="26" t="str">
        <x:v>VS-RES-002</x:v>
      </x:c>
      <x:c r="F348" s="26" t="str">
        <x:v>Not Run</x:v>
      </x:c>
      <x:c r="G348" s="26"/>
      <x:c r="H348" s="26"/>
      <x:c r="I348" s="26" t="str">
        <x:v>VRM Games</x:v>
      </x:c>
      <x:c r="J348" s="26" t="str">
        <x:v>Unity 6000.3.18f1 / Windows x64</x:v>
      </x:c>
      <x:c r="K348" s="26" t="str">
        <x:v>02_Vertical_Slice_Specification.md</x:v>
      </x:c>
      <x:c r="L348" s="26"/>
      <x:c r="M348" s="26"/>
    </x:row>
    <x:row r="349" ht="30" customHeight="1">
      <x:c r="A349" s="26" t="str">
        <x:v>EXE-0046</x:v>
      </x:c>
      <x:c r="B349" s="26"/>
      <x:c r="C349" s="26"/>
      <x:c r="D349" s="26" t="str">
        <x:v>TC-VS-RES-003</x:v>
      </x:c>
      <x:c r="E349" s="26" t="str">
        <x:v>VS-RES-003</x:v>
      </x:c>
      <x:c r="F349" s="26" t="str">
        <x:v>Not Run</x:v>
      </x:c>
      <x:c r="G349" s="26"/>
      <x:c r="H349" s="26"/>
      <x:c r="I349" s="26" t="str">
        <x:v>VRM Games</x:v>
      </x:c>
      <x:c r="J349" s="26" t="str">
        <x:v>Unity 6000.3.18f1 / Windows x64</x:v>
      </x:c>
      <x:c r="K349" s="26" t="str">
        <x:v>02_Vertical_Slice_Specification.md</x:v>
      </x:c>
      <x:c r="L349" s="26"/>
      <x:c r="M349" s="26"/>
    </x:row>
    <x:row r="350" ht="30" customHeight="1">
      <x:c r="A350" s="26" t="str">
        <x:v>EXE-0047</x:v>
      </x:c>
      <x:c r="B350" s="26"/>
      <x:c r="C350" s="26"/>
      <x:c r="D350" s="26" t="str">
        <x:v>TC-VS-QUE-001</x:v>
      </x:c>
      <x:c r="E350" s="26" t="str">
        <x:v>VS-QUE-001</x:v>
      </x:c>
      <x:c r="F350" s="26" t="str">
        <x:v>Not Run</x:v>
      </x:c>
      <x:c r="G350" s="26"/>
      <x:c r="H350" s="26"/>
      <x:c r="I350" s="26" t="str">
        <x:v>VRM Games</x:v>
      </x:c>
      <x:c r="J350" s="26" t="str">
        <x:v>Unity 6000.3.18f1 / Windows x64</x:v>
      </x:c>
      <x:c r="K350" s="26" t="str">
        <x:v>02_Vertical_Slice_Specification.md</x:v>
      </x:c>
      <x:c r="L350" s="26"/>
      <x:c r="M350" s="26"/>
    </x:row>
    <x:row r="351" ht="30" customHeight="1">
      <x:c r="A351" s="26" t="str">
        <x:v>EXE-0048</x:v>
      </x:c>
      <x:c r="B351" s="26"/>
      <x:c r="C351" s="26"/>
      <x:c r="D351" s="26" t="str">
        <x:v>TC-VS-QUE-002</x:v>
      </x:c>
      <x:c r="E351" s="26" t="str">
        <x:v>VS-QUE-002</x:v>
      </x:c>
      <x:c r="F351" s="26" t="str">
        <x:v>Not Run</x:v>
      </x:c>
      <x:c r="G351" s="26"/>
      <x:c r="H351" s="26"/>
      <x:c r="I351" s="26" t="str">
        <x:v>VRM Games</x:v>
      </x:c>
      <x:c r="J351" s="26" t="str">
        <x:v>Unity 6000.3.18f1 / Windows x64</x:v>
      </x:c>
      <x:c r="K351" s="26" t="str">
        <x:v>02_Vertical_Slice_Specification.md</x:v>
      </x:c>
      <x:c r="L351" s="26"/>
      <x:c r="M351" s="26"/>
    </x:row>
    <x:row r="352" ht="30" customHeight="1">
      <x:c r="A352" s="26" t="str">
        <x:v>EXE-0049</x:v>
      </x:c>
      <x:c r="B352" s="26"/>
      <x:c r="C352" s="26"/>
      <x:c r="D352" s="26" t="str">
        <x:v>TC-VS-QUE-003</x:v>
      </x:c>
      <x:c r="E352" s="26" t="str">
        <x:v>VS-QUE-003</x:v>
      </x:c>
      <x:c r="F352" s="26" t="str">
        <x:v>Not Run</x:v>
      </x:c>
      <x:c r="G352" s="26"/>
      <x:c r="H352" s="26"/>
      <x:c r="I352" s="26" t="str">
        <x:v>VRM Games</x:v>
      </x:c>
      <x:c r="J352" s="26" t="str">
        <x:v>Unity 6000.3.18f1 / Windows x64</x:v>
      </x:c>
      <x:c r="K352" s="26" t="str">
        <x:v>02_Vertical_Slice_Specification.md</x:v>
      </x:c>
      <x:c r="L352" s="26"/>
      <x:c r="M352" s="26"/>
    </x:row>
    <x:row r="353" ht="30" customHeight="1">
      <x:c r="A353" s="26" t="str">
        <x:v>EXE-0050</x:v>
      </x:c>
      <x:c r="B353" s="26"/>
      <x:c r="C353" s="26"/>
      <x:c r="D353" s="26" t="str">
        <x:v>TC-VS-CHK-001</x:v>
      </x:c>
      <x:c r="E353" s="26" t="str">
        <x:v>VS-CHK-001</x:v>
      </x:c>
      <x:c r="F353" s="26" t="str">
        <x:v>Not Run</x:v>
      </x:c>
      <x:c r="G353" s="26"/>
      <x:c r="H353" s="26"/>
      <x:c r="I353" s="26" t="str">
        <x:v>VRM Games</x:v>
      </x:c>
      <x:c r="J353" s="26" t="str">
        <x:v>Unity 6000.3.18f1 / Windows x64</x:v>
      </x:c>
      <x:c r="K353" s="26" t="str">
        <x:v>02_Vertical_Slice_Specification.md</x:v>
      </x:c>
      <x:c r="L353" s="26"/>
      <x:c r="M353" s="26"/>
    </x:row>
    <x:row r="354" ht="30" customHeight="1">
      <x:c r="A354" s="26" t="str">
        <x:v>EXE-0051</x:v>
      </x:c>
      <x:c r="B354" s="26"/>
      <x:c r="C354" s="26"/>
      <x:c r="D354" s="26" t="str">
        <x:v>TC-VS-CHK-002</x:v>
      </x:c>
      <x:c r="E354" s="26" t="str">
        <x:v>VS-CHK-002</x:v>
      </x:c>
      <x:c r="F354" s="26" t="str">
        <x:v>Not Run</x:v>
      </x:c>
      <x:c r="G354" s="26"/>
      <x:c r="H354" s="26"/>
      <x:c r="I354" s="26" t="str">
        <x:v>VRM Games</x:v>
      </x:c>
      <x:c r="J354" s="26" t="str">
        <x:v>Unity 6000.3.18f1 / Windows x64</x:v>
      </x:c>
      <x:c r="K354" s="26" t="str">
        <x:v>02_Vertical_Slice_Specification.md</x:v>
      </x:c>
      <x:c r="L354" s="26"/>
      <x:c r="M354" s="26"/>
    </x:row>
    <x:row r="355" ht="30" customHeight="1">
      <x:c r="A355" s="26" t="str">
        <x:v>EXE-0052</x:v>
      </x:c>
      <x:c r="B355" s="26"/>
      <x:c r="C355" s="26"/>
      <x:c r="D355" s="26" t="str">
        <x:v>TC-VS-CHK-003</x:v>
      </x:c>
      <x:c r="E355" s="26" t="str">
        <x:v>VS-CHK-003</x:v>
      </x:c>
      <x:c r="F355" s="26" t="str">
        <x:v>Not Run</x:v>
      </x:c>
      <x:c r="G355" s="26"/>
      <x:c r="H355" s="26"/>
      <x:c r="I355" s="26" t="str">
        <x:v>VRM Games</x:v>
      </x:c>
      <x:c r="J355" s="26" t="str">
        <x:v>Unity 6000.3.18f1 / Windows x64</x:v>
      </x:c>
      <x:c r="K355" s="26" t="str">
        <x:v>02_Vertical_Slice_Specification.md</x:v>
      </x:c>
      <x:c r="L355" s="26"/>
      <x:c r="M355" s="26"/>
    </x:row>
    <x:row r="356" ht="30" customHeight="1">
      <x:c r="A356" s="26" t="str">
        <x:v>EXE-0053</x:v>
      </x:c>
      <x:c r="B356" s="26"/>
      <x:c r="C356" s="26"/>
      <x:c r="D356" s="26" t="str">
        <x:v>TC-VS-CHK-004</x:v>
      </x:c>
      <x:c r="E356" s="26" t="str">
        <x:v>VS-CHK-004</x:v>
      </x:c>
      <x:c r="F356" s="26" t="str">
        <x:v>Not Run</x:v>
      </x:c>
      <x:c r="G356" s="26"/>
      <x:c r="H356" s="26"/>
      <x:c r="I356" s="26" t="str">
        <x:v>VRM Games</x:v>
      </x:c>
      <x:c r="J356" s="26" t="str">
        <x:v>Unity 6000.3.18f1 / Windows x64</x:v>
      </x:c>
      <x:c r="K356" s="26" t="str">
        <x:v>02_Vertical_Slice_Specification.md</x:v>
      </x:c>
      <x:c r="L356" s="26"/>
      <x:c r="M356" s="26"/>
    </x:row>
    <x:row r="357" ht="30" customHeight="1">
      <x:c r="A357" s="26" t="str">
        <x:v>EXE-0054</x:v>
      </x:c>
      <x:c r="B357" s="26"/>
      <x:c r="C357" s="26"/>
      <x:c r="D357" s="26" t="str">
        <x:v>TC-VS-DAY-001</x:v>
      </x:c>
      <x:c r="E357" s="26" t="str">
        <x:v>VS-DAY-001</x:v>
      </x:c>
      <x:c r="F357" s="26" t="str">
        <x:v>Not Run</x:v>
      </x:c>
      <x:c r="G357" s="26"/>
      <x:c r="H357" s="26"/>
      <x:c r="I357" s="26" t="str">
        <x:v>VRM Games</x:v>
      </x:c>
      <x:c r="J357" s="26" t="str">
        <x:v>Unity 6000.3.18f1 / Windows x64</x:v>
      </x:c>
      <x:c r="K357" s="26" t="str">
        <x:v>02_Vertical_Slice_Specification.md</x:v>
      </x:c>
      <x:c r="L357" s="26"/>
      <x:c r="M357" s="26"/>
    </x:row>
    <x:row r="358" ht="30" customHeight="1">
      <x:c r="A358" s="26" t="str">
        <x:v>EXE-0055</x:v>
      </x:c>
      <x:c r="B358" s="26"/>
      <x:c r="C358" s="26"/>
      <x:c r="D358" s="26" t="str">
        <x:v>TC-VS-DAY-002</x:v>
      </x:c>
      <x:c r="E358" s="26" t="str">
        <x:v>VS-DAY-002</x:v>
      </x:c>
      <x:c r="F358" s="26" t="str">
        <x:v>Not Run</x:v>
      </x:c>
      <x:c r="G358" s="26"/>
      <x:c r="H358" s="26"/>
      <x:c r="I358" s="26" t="str">
        <x:v>VRM Games</x:v>
      </x:c>
      <x:c r="J358" s="26" t="str">
        <x:v>Unity 6000.3.18f1 / Windows x64</x:v>
      </x:c>
      <x:c r="K358" s="26" t="str">
        <x:v>02_Vertical_Slice_Specification.md</x:v>
      </x:c>
      <x:c r="L358" s="26"/>
      <x:c r="M358" s="26"/>
    </x:row>
    <x:row r="359" ht="30" customHeight="1">
      <x:c r="A359" s="26" t="str">
        <x:v>EXE-0056</x:v>
      </x:c>
      <x:c r="B359" s="26"/>
      <x:c r="C359" s="26"/>
      <x:c r="D359" s="26" t="str">
        <x:v>TC-VS-DAY-003</x:v>
      </x:c>
      <x:c r="E359" s="26" t="str">
        <x:v>VS-DAY-003</x:v>
      </x:c>
      <x:c r="F359" s="26" t="str">
        <x:v>Not Run</x:v>
      </x:c>
      <x:c r="G359" s="26"/>
      <x:c r="H359" s="26"/>
      <x:c r="I359" s="26" t="str">
        <x:v>VRM Games</x:v>
      </x:c>
      <x:c r="J359" s="26" t="str">
        <x:v>Unity 6000.3.18f1 / Windows x64</x:v>
      </x:c>
      <x:c r="K359" s="26" t="str">
        <x:v>02_Vertical_Slice_Specification.md</x:v>
      </x:c>
      <x:c r="L359" s="26"/>
      <x:c r="M359" s="26"/>
    </x:row>
    <x:row r="360" ht="30" customHeight="1">
      <x:c r="A360" s="26" t="str">
        <x:v>EXE-0057</x:v>
      </x:c>
      <x:c r="B360" s="26"/>
      <x:c r="C360" s="26"/>
      <x:c r="D360" s="26" t="str">
        <x:v>TC-VS-DAY-004</x:v>
      </x:c>
      <x:c r="E360" s="26" t="str">
        <x:v>VS-DAY-004</x:v>
      </x:c>
      <x:c r="F360" s="26" t="str">
        <x:v>Not Run</x:v>
      </x:c>
      <x:c r="G360" s="26"/>
      <x:c r="H360" s="26"/>
      <x:c r="I360" s="26" t="str">
        <x:v>VRM Games</x:v>
      </x:c>
      <x:c r="J360" s="26" t="str">
        <x:v>Unity 6000.3.18f1 / Windows x64</x:v>
      </x:c>
      <x:c r="K360" s="26" t="str">
        <x:v>02_Vertical_Slice_Specification.md</x:v>
      </x:c>
      <x:c r="L360" s="26"/>
      <x:c r="M360" s="26"/>
    </x:row>
    <x:row r="361" ht="30" customHeight="1">
      <x:c r="A361" s="26" t="str">
        <x:v>EXE-0058</x:v>
      </x:c>
      <x:c r="B361" s="26"/>
      <x:c r="C361" s="26"/>
      <x:c r="D361" s="26" t="str">
        <x:v>TC-VS-ECO-001</x:v>
      </x:c>
      <x:c r="E361" s="26" t="str">
        <x:v>VS-ECO-001</x:v>
      </x:c>
      <x:c r="F361" s="26" t="str">
        <x:v>Not Run</x:v>
      </x:c>
      <x:c r="G361" s="26"/>
      <x:c r="H361" s="26"/>
      <x:c r="I361" s="26" t="str">
        <x:v>VRM Games</x:v>
      </x:c>
      <x:c r="J361" s="26" t="str">
        <x:v>Unity 6000.3.18f1 / Windows x64</x:v>
      </x:c>
      <x:c r="K361" s="26" t="str">
        <x:v>02_Vertical_Slice_Specification.md</x:v>
      </x:c>
      <x:c r="L361" s="26"/>
      <x:c r="M361" s="26"/>
    </x:row>
    <x:row r="362" ht="30" customHeight="1">
      <x:c r="A362" s="26" t="str">
        <x:v>EXE-0059</x:v>
      </x:c>
      <x:c r="B362" s="26"/>
      <x:c r="C362" s="26"/>
      <x:c r="D362" s="26" t="str">
        <x:v>TC-VS-ECO-002</x:v>
      </x:c>
      <x:c r="E362" s="26" t="str">
        <x:v>VS-ECO-002</x:v>
      </x:c>
      <x:c r="F362" s="26" t="str">
        <x:v>Not Run</x:v>
      </x:c>
      <x:c r="G362" s="26"/>
      <x:c r="H362" s="26"/>
      <x:c r="I362" s="26" t="str">
        <x:v>VRM Games</x:v>
      </x:c>
      <x:c r="J362" s="26" t="str">
        <x:v>Unity 6000.3.18f1 / Windows x64</x:v>
      </x:c>
      <x:c r="K362" s="26" t="str">
        <x:v>02_Vertical_Slice_Specification.md</x:v>
      </x:c>
      <x:c r="L362" s="26"/>
      <x:c r="M362" s="26"/>
    </x:row>
    <x:row r="363" ht="30" customHeight="1">
      <x:c r="A363" s="26" t="str">
        <x:v>EXE-0060</x:v>
      </x:c>
      <x:c r="B363" s="26"/>
      <x:c r="C363" s="26"/>
      <x:c r="D363" s="26" t="str">
        <x:v>TC-VS-ECO-003</x:v>
      </x:c>
      <x:c r="E363" s="26" t="str">
        <x:v>VS-ECO-003</x:v>
      </x:c>
      <x:c r="F363" s="26" t="str">
        <x:v>Not Run</x:v>
      </x:c>
      <x:c r="G363" s="26"/>
      <x:c r="H363" s="26"/>
      <x:c r="I363" s="26" t="str">
        <x:v>VRM Games</x:v>
      </x:c>
      <x:c r="J363" s="26" t="str">
        <x:v>Unity 6000.3.18f1 / Windows x64</x:v>
      </x:c>
      <x:c r="K363" s="26" t="str">
        <x:v>02_Vertical_Slice_Specification.md</x:v>
      </x:c>
      <x:c r="L363" s="26"/>
      <x:c r="M363" s="26"/>
    </x:row>
    <x:row r="364" ht="30" customHeight="1">
      <x:c r="A364" s="26" t="str">
        <x:v>EXE-0061</x:v>
      </x:c>
      <x:c r="B364" s="26"/>
      <x:c r="C364" s="26"/>
      <x:c r="D364" s="26" t="str">
        <x:v>TC-VS-ECO-004</x:v>
      </x:c>
      <x:c r="E364" s="26" t="str">
        <x:v>VS-ECO-004</x:v>
      </x:c>
      <x:c r="F364" s="26" t="str">
        <x:v>Not Run</x:v>
      </x:c>
      <x:c r="G364" s="26"/>
      <x:c r="H364" s="26"/>
      <x:c r="I364" s="26" t="str">
        <x:v>VRM Games</x:v>
      </x:c>
      <x:c r="J364" s="26" t="str">
        <x:v>Unity 6000.3.18f1 / Windows x64</x:v>
      </x:c>
      <x:c r="K364" s="26" t="str">
        <x:v>02_Vertical_Slice_Specification.md</x:v>
      </x:c>
      <x:c r="L364" s="26"/>
      <x:c r="M364" s="26"/>
    </x:row>
    <x:row r="365" ht="30" customHeight="1">
      <x:c r="A365" s="26" t="str">
        <x:v>EXE-0062</x:v>
      </x:c>
      <x:c r="B365" s="26"/>
      <x:c r="C365" s="26"/>
      <x:c r="D365" s="26" t="str">
        <x:v>TC-VS-ECO-005</x:v>
      </x:c>
      <x:c r="E365" s="26" t="str">
        <x:v>VS-ECO-005</x:v>
      </x:c>
      <x:c r="F365" s="26" t="str">
        <x:v>Not Run</x:v>
      </x:c>
      <x:c r="G365" s="26"/>
      <x:c r="H365" s="26"/>
      <x:c r="I365" s="26" t="str">
        <x:v>VRM Games</x:v>
      </x:c>
      <x:c r="J365" s="26" t="str">
        <x:v>Unity 6000.3.18f1 / Windows x64</x:v>
      </x:c>
      <x:c r="K365" s="26" t="str">
        <x:v>02_Vertical_Slice_Specification.md</x:v>
      </x:c>
      <x:c r="L365" s="26"/>
      <x:c r="M365" s="26"/>
    </x:row>
    <x:row r="366" ht="30" customHeight="1">
      <x:c r="A366" s="26" t="str">
        <x:v>EXE-0063</x:v>
      </x:c>
      <x:c r="B366" s="26"/>
      <x:c r="C366" s="26"/>
      <x:c r="D366" s="26" t="str">
        <x:v>TC-VS-SAV-001</x:v>
      </x:c>
      <x:c r="E366" s="26" t="str">
        <x:v>VS-SAV-001</x:v>
      </x:c>
      <x:c r="F366" s="26" t="str">
        <x:v>Not Run</x:v>
      </x:c>
      <x:c r="G366" s="26"/>
      <x:c r="H366" s="26"/>
      <x:c r="I366" s="26" t="str">
        <x:v>VRM Games</x:v>
      </x:c>
      <x:c r="J366" s="26" t="str">
        <x:v>Unity 6000.3.18f1 / Windows x64</x:v>
      </x:c>
      <x:c r="K366" s="26" t="str">
        <x:v>02_Vertical_Slice_Specification.md</x:v>
      </x:c>
      <x:c r="L366" s="26"/>
      <x:c r="M366" s="26"/>
    </x:row>
    <x:row r="367" ht="30" customHeight="1">
      <x:c r="A367" s="26" t="str">
        <x:v>EXE-0064</x:v>
      </x:c>
      <x:c r="B367" s="26"/>
      <x:c r="C367" s="26"/>
      <x:c r="D367" s="26" t="str">
        <x:v>TC-VS-SAV-002</x:v>
      </x:c>
      <x:c r="E367" s="26" t="str">
        <x:v>VS-SAV-002</x:v>
      </x:c>
      <x:c r="F367" s="26" t="str">
        <x:v>Not Run</x:v>
      </x:c>
      <x:c r="G367" s="26"/>
      <x:c r="H367" s="26"/>
      <x:c r="I367" s="26" t="str">
        <x:v>VRM Games</x:v>
      </x:c>
      <x:c r="J367" s="26" t="str">
        <x:v>Unity 6000.3.18f1 / Windows x64</x:v>
      </x:c>
      <x:c r="K367" s="26" t="str">
        <x:v>02_Vertical_Slice_Specification.md</x:v>
      </x:c>
      <x:c r="L367" s="26"/>
      <x:c r="M367" s="26"/>
    </x:row>
    <x:row r="368" ht="30" customHeight="1">
      <x:c r="A368" s="26" t="str">
        <x:v>EXE-0065</x:v>
      </x:c>
      <x:c r="B368" s="26"/>
      <x:c r="C368" s="26"/>
      <x:c r="D368" s="26" t="str">
        <x:v>TC-VS-SAV-003</x:v>
      </x:c>
      <x:c r="E368" s="26" t="str">
        <x:v>VS-SAV-003</x:v>
      </x:c>
      <x:c r="F368" s="26" t="str">
        <x:v>Not Run</x:v>
      </x:c>
      <x:c r="G368" s="26"/>
      <x:c r="H368" s="26"/>
      <x:c r="I368" s="26" t="str">
        <x:v>VRM Games</x:v>
      </x:c>
      <x:c r="J368" s="26" t="str">
        <x:v>Unity 6000.3.18f1 / Windows x64</x:v>
      </x:c>
      <x:c r="K368" s="26" t="str">
        <x:v>02_Vertical_Slice_Specification.md</x:v>
      </x:c>
      <x:c r="L368" s="26"/>
      <x:c r="M368" s="26"/>
    </x:row>
    <x:row r="369" ht="30" customHeight="1">
      <x:c r="A369" s="26" t="str">
        <x:v>EXE-0066</x:v>
      </x:c>
      <x:c r="B369" s="26"/>
      <x:c r="C369" s="26"/>
      <x:c r="D369" s="26" t="str">
        <x:v>TC-VS-SAV-004</x:v>
      </x:c>
      <x:c r="E369" s="26" t="str">
        <x:v>VS-SAV-004</x:v>
      </x:c>
      <x:c r="F369" s="26" t="str">
        <x:v>Not Run</x:v>
      </x:c>
      <x:c r="G369" s="26"/>
      <x:c r="H369" s="26"/>
      <x:c r="I369" s="26" t="str">
        <x:v>VRM Games</x:v>
      </x:c>
      <x:c r="J369" s="26" t="str">
        <x:v>Unity 6000.3.18f1 / Windows x64</x:v>
      </x:c>
      <x:c r="K369" s="26" t="str">
        <x:v>02_Vertical_Slice_Specification.md</x:v>
      </x:c>
      <x:c r="L369" s="26"/>
      <x:c r="M369" s="26"/>
    </x:row>
    <x:row r="370" ht="30" customHeight="1">
      <x:c r="A370" s="26" t="str">
        <x:v>EXE-0067</x:v>
      </x:c>
      <x:c r="B370" s="26"/>
      <x:c r="C370" s="26"/>
      <x:c r="D370" s="26" t="str">
        <x:v>TC-VS-SAV-005</x:v>
      </x:c>
      <x:c r="E370" s="26" t="str">
        <x:v>VS-SAV-005</x:v>
      </x:c>
      <x:c r="F370" s="26" t="str">
        <x:v>Not Run</x:v>
      </x:c>
      <x:c r="G370" s="26"/>
      <x:c r="H370" s="26"/>
      <x:c r="I370" s="26" t="str">
        <x:v>VRM Games</x:v>
      </x:c>
      <x:c r="J370" s="26" t="str">
        <x:v>Unity 6000.3.18f1 / Windows x64</x:v>
      </x:c>
      <x:c r="K370" s="26" t="str">
        <x:v>02_Vertical_Slice_Specification.md</x:v>
      </x:c>
      <x:c r="L370" s="26"/>
      <x:c r="M370" s="26"/>
    </x:row>
    <x:row r="371" ht="30" customHeight="1">
      <x:c r="A371" s="26" t="str">
        <x:v>EXE-0068</x:v>
      </x:c>
      <x:c r="B371" s="26"/>
      <x:c r="C371" s="26"/>
      <x:c r="D371" s="26" t="str">
        <x:v>TC-VS-UI-001</x:v>
      </x:c>
      <x:c r="E371" s="26" t="str">
        <x:v>VS-UI-001</x:v>
      </x:c>
      <x:c r="F371" s="26" t="str">
        <x:v>Not Run</x:v>
      </x:c>
      <x:c r="G371" s="26"/>
      <x:c r="H371" s="26"/>
      <x:c r="I371" s="26" t="str">
        <x:v>VRM Games</x:v>
      </x:c>
      <x:c r="J371" s="26" t="str">
        <x:v>Unity 6000.3.18f1 / Windows x64</x:v>
      </x:c>
      <x:c r="K371" s="26" t="str">
        <x:v>02_Vertical_Slice_Specification.md</x:v>
      </x:c>
      <x:c r="L371" s="26"/>
      <x:c r="M371" s="26"/>
    </x:row>
    <x:row r="372" ht="30" customHeight="1">
      <x:c r="A372" s="26" t="str">
        <x:v>EXE-0069</x:v>
      </x:c>
      <x:c r="B372" s="26"/>
      <x:c r="C372" s="26"/>
      <x:c r="D372" s="26" t="str">
        <x:v>TC-VS-UI-002</x:v>
      </x:c>
      <x:c r="E372" s="26" t="str">
        <x:v>VS-UI-002</x:v>
      </x:c>
      <x:c r="F372" s="26" t="str">
        <x:v>Not Run</x:v>
      </x:c>
      <x:c r="G372" s="26"/>
      <x:c r="H372" s="26"/>
      <x:c r="I372" s="26" t="str">
        <x:v>VRM Games</x:v>
      </x:c>
      <x:c r="J372" s="26" t="str">
        <x:v>Unity 6000.3.18f1 / Windows x64</x:v>
      </x:c>
      <x:c r="K372" s="26" t="str">
        <x:v>02_Vertical_Slice_Specification.md</x:v>
      </x:c>
      <x:c r="L372" s="26"/>
      <x:c r="M372" s="26"/>
    </x:row>
    <x:row r="373" ht="30" customHeight="1">
      <x:c r="A373" s="26" t="str">
        <x:v>EXE-0070</x:v>
      </x:c>
      <x:c r="B373" s="26"/>
      <x:c r="C373" s="26"/>
      <x:c r="D373" s="26" t="str">
        <x:v>TC-VS-UI-003</x:v>
      </x:c>
      <x:c r="E373" s="26" t="str">
        <x:v>VS-UI-003</x:v>
      </x:c>
      <x:c r="F373" s="26" t="str">
        <x:v>Not Run</x:v>
      </x:c>
      <x:c r="G373" s="26"/>
      <x:c r="H373" s="26"/>
      <x:c r="I373" s="26" t="str">
        <x:v>VRM Games</x:v>
      </x:c>
      <x:c r="J373" s="26" t="str">
        <x:v>Unity 6000.3.18f1 / Windows x64</x:v>
      </x:c>
      <x:c r="K373" s="26" t="str">
        <x:v>02_Vertical_Slice_Specification.md</x:v>
      </x:c>
      <x:c r="L373" s="26"/>
      <x:c r="M373" s="26"/>
    </x:row>
    <x:row r="374" ht="30" customHeight="1">
      <x:c r="A374" s="26" t="str">
        <x:v>EXE-0071</x:v>
      </x:c>
      <x:c r="B374" s="26"/>
      <x:c r="C374" s="26"/>
      <x:c r="D374" s="26" t="str">
        <x:v>TC-VS-UI-004</x:v>
      </x:c>
      <x:c r="E374" s="26" t="str">
        <x:v>VS-UI-004</x:v>
      </x:c>
      <x:c r="F374" s="26" t="str">
        <x:v>Not Run</x:v>
      </x:c>
      <x:c r="G374" s="26"/>
      <x:c r="H374" s="26"/>
      <x:c r="I374" s="26" t="str">
        <x:v>VRM Games</x:v>
      </x:c>
      <x:c r="J374" s="26" t="str">
        <x:v>Unity 6000.3.18f1 / Windows x64</x:v>
      </x:c>
      <x:c r="K374" s="26" t="str">
        <x:v>02_Vertical_Slice_Specification.md</x:v>
      </x:c>
      <x:c r="L374" s="26"/>
      <x:c r="M374" s="26"/>
    </x:row>
    <x:row r="375" ht="30" customHeight="1">
      <x:c r="A375" s="26" t="str">
        <x:v>EXE-0072</x:v>
      </x:c>
      <x:c r="B375" s="26"/>
      <x:c r="C375" s="26"/>
      <x:c r="D375" s="26" t="str">
        <x:v>TC-VS-ART-001</x:v>
      </x:c>
      <x:c r="E375" s="26" t="str">
        <x:v>VS-ART-001</x:v>
      </x:c>
      <x:c r="F375" s="26" t="str">
        <x:v>Not Run</x:v>
      </x:c>
      <x:c r="G375" s="26"/>
      <x:c r="H375" s="26"/>
      <x:c r="I375" s="26" t="str">
        <x:v>VRM Games</x:v>
      </x:c>
      <x:c r="J375" s="26" t="str">
        <x:v>Unity 6000.3.18f1 / Windows x64</x:v>
      </x:c>
      <x:c r="K375" s="26" t="str">
        <x:v>02_Vertical_Slice_Specification.md</x:v>
      </x:c>
      <x:c r="L375" s="26"/>
      <x:c r="M375" s="26"/>
    </x:row>
    <x:row r="376" ht="30" customHeight="1">
      <x:c r="A376" s="26" t="str">
        <x:v>EXE-0073</x:v>
      </x:c>
      <x:c r="B376" s="26"/>
      <x:c r="C376" s="26"/>
      <x:c r="D376" s="26" t="str">
        <x:v>TC-VS-ART-002</x:v>
      </x:c>
      <x:c r="E376" s="26" t="str">
        <x:v>VS-ART-002</x:v>
      </x:c>
      <x:c r="F376" s="26" t="str">
        <x:v>Not Run</x:v>
      </x:c>
      <x:c r="G376" s="26"/>
      <x:c r="H376" s="26"/>
      <x:c r="I376" s="26" t="str">
        <x:v>VRM Games</x:v>
      </x:c>
      <x:c r="J376" s="26" t="str">
        <x:v>Unity 6000.3.18f1 / Windows x64</x:v>
      </x:c>
      <x:c r="K376" s="26" t="str">
        <x:v>02_Vertical_Slice_Specification.md</x:v>
      </x:c>
      <x:c r="L376" s="26"/>
      <x:c r="M376" s="26"/>
    </x:row>
    <x:row r="377" ht="30" customHeight="1">
      <x:c r="A377" s="26" t="str">
        <x:v>EXE-0074</x:v>
      </x:c>
      <x:c r="B377" s="26"/>
      <x:c r="C377" s="26"/>
      <x:c r="D377" s="26" t="str">
        <x:v>TC-VS-AUD-001</x:v>
      </x:c>
      <x:c r="E377" s="26" t="str">
        <x:v>VS-AUD-001</x:v>
      </x:c>
      <x:c r="F377" s="26" t="str">
        <x:v>Not Run</x:v>
      </x:c>
      <x:c r="G377" s="26"/>
      <x:c r="H377" s="26"/>
      <x:c r="I377" s="26" t="str">
        <x:v>VRM Games</x:v>
      </x:c>
      <x:c r="J377" s="26" t="str">
        <x:v>Unity 6000.3.18f1 / Windows x64</x:v>
      </x:c>
      <x:c r="K377" s="26" t="str">
        <x:v>02_Vertical_Slice_Specification.md</x:v>
      </x:c>
      <x:c r="L377" s="26"/>
      <x:c r="M377" s="26"/>
    </x:row>
    <x:row r="378" ht="30" customHeight="1">
      <x:c r="A378" s="26" t="str">
        <x:v>EXE-0075</x:v>
      </x:c>
      <x:c r="B378" s="26"/>
      <x:c r="C378" s="26"/>
      <x:c r="D378" s="26" t="str">
        <x:v>TC-VS-PER-001</x:v>
      </x:c>
      <x:c r="E378" s="26" t="str">
        <x:v>VS-PER-001</x:v>
      </x:c>
      <x:c r="F378" s="26" t="str">
        <x:v>Not Run</x:v>
      </x:c>
      <x:c r="G378" s="26"/>
      <x:c r="H378" s="26"/>
      <x:c r="I378" s="26" t="str">
        <x:v>VRM Games</x:v>
      </x:c>
      <x:c r="J378" s="26" t="str">
        <x:v>Unity 6000.3.18f1 / Windows x64</x:v>
      </x:c>
      <x:c r="K378" s="26" t="str">
        <x:v>02_Vertical_Slice_Specification.md</x:v>
      </x:c>
      <x:c r="L378" s="26"/>
      <x:c r="M378" s="26"/>
    </x:row>
    <x:row r="379" ht="30" customHeight="1">
      <x:c r="A379" s="26" t="str">
        <x:v>EXE-0076</x:v>
      </x:c>
      <x:c r="B379" s="26"/>
      <x:c r="C379" s="26"/>
      <x:c r="D379" s="26" t="str">
        <x:v>TC-VS-PER-002</x:v>
      </x:c>
      <x:c r="E379" s="26" t="str">
        <x:v>VS-PER-002</x:v>
      </x:c>
      <x:c r="F379" s="26" t="str">
        <x:v>Not Run</x:v>
      </x:c>
      <x:c r="G379" s="26"/>
      <x:c r="H379" s="26"/>
      <x:c r="I379" s="26" t="str">
        <x:v>VRM Games</x:v>
      </x:c>
      <x:c r="J379" s="26" t="str">
        <x:v>Unity 6000.3.18f1 / Windows x64</x:v>
      </x:c>
      <x:c r="K379" s="26" t="str">
        <x:v>02_Vertical_Slice_Specification.md</x:v>
      </x:c>
      <x:c r="L379" s="26"/>
      <x:c r="M379" s="26"/>
    </x:row>
    <x:row r="380" ht="30" customHeight="1">
      <x:c r="A380" s="26" t="str">
        <x:v>EXE-0077</x:v>
      </x:c>
      <x:c r="B380" s="26"/>
      <x:c r="C380" s="26"/>
      <x:c r="D380" s="26" t="str">
        <x:v>TC-VS-QA-001</x:v>
      </x:c>
      <x:c r="E380" s="26" t="str">
        <x:v>VS-QA-001</x:v>
      </x:c>
      <x:c r="F380" s="26" t="str">
        <x:v>Not Run</x:v>
      </x:c>
      <x:c r="G380" s="26"/>
      <x:c r="H380" s="26"/>
      <x:c r="I380" s="26" t="str">
        <x:v>VRM Games</x:v>
      </x:c>
      <x:c r="J380" s="26" t="str">
        <x:v>Unity 6000.3.18f1 / Windows x64</x:v>
      </x:c>
      <x:c r="K380" s="26" t="str">
        <x:v>02_Vertical_Slice_Specification.md</x:v>
      </x:c>
      <x:c r="L380" s="26"/>
      <x:c r="M380" s="26"/>
    </x:row>
    <x:row r="381" ht="30" customHeight="1">
      <x:c r="A381" s="26" t="str">
        <x:v>EXE-0078</x:v>
      </x:c>
      <x:c r="B381" s="26"/>
      <x:c r="C381" s="26"/>
      <x:c r="D381" s="26" t="str">
        <x:v>TC-VS-QA-002</x:v>
      </x:c>
      <x:c r="E381" s="26" t="str">
        <x:v>VS-QA-002</x:v>
      </x:c>
      <x:c r="F381" s="26" t="str">
        <x:v>Not Run</x:v>
      </x:c>
      <x:c r="G381" s="26"/>
      <x:c r="H381" s="26"/>
      <x:c r="I381" s="26" t="str">
        <x:v>VRM Games</x:v>
      </x:c>
      <x:c r="J381" s="26" t="str">
        <x:v>Unity 6000.3.18f1 / Windows x64</x:v>
      </x:c>
      <x:c r="K381" s="26" t="str">
        <x:v>02_Vertical_Slice_Specification.md</x:v>
      </x:c>
      <x:c r="L381" s="26"/>
      <x:c r="M381" s="26"/>
    </x:row>
    <x:row r="382" ht="30" customHeight="1">
      <x:c r="A382" s="26" t="str">
        <x:v>EXE-0079</x:v>
      </x:c>
      <x:c r="B382" s="26"/>
      <x:c r="C382" s="26"/>
      <x:c r="D382" s="26" t="str">
        <x:v>TC-VS-BUILD-001</x:v>
      </x:c>
      <x:c r="E382" s="26" t="str">
        <x:v>VS-BUILD-001</x:v>
      </x:c>
      <x:c r="F382" s="26" t="str">
        <x:v>Not Run</x:v>
      </x:c>
      <x:c r="G382" s="26"/>
      <x:c r="H382" s="26"/>
      <x:c r="I382" s="26" t="str">
        <x:v>VRM Games</x:v>
      </x:c>
      <x:c r="J382" s="26" t="str">
        <x:v>Unity 6000.3.18f1 / Windows x64</x:v>
      </x:c>
      <x:c r="K382" s="26" t="str">
        <x:v>02_Vertical_Slice_Specification.md</x:v>
      </x:c>
      <x:c r="L382" s="26"/>
      <x:c r="M382" s="26"/>
    </x:row>
    <x:row r="383" ht="30" customHeight="1">
      <x:c r="A383" s="26" t="str">
        <x:v>EXE-0080</x:v>
      </x:c>
      <x:c r="B383" s="26"/>
      <x:c r="C383" s="26"/>
      <x:c r="D383" s="26" t="str">
        <x:v>TC-VS-BUILD-002</x:v>
      </x:c>
      <x:c r="E383" s="26" t="str">
        <x:v>VS-BUILD-002</x:v>
      </x:c>
      <x:c r="F383" s="26" t="str">
        <x:v>Not Run</x:v>
      </x:c>
      <x:c r="G383" s="26"/>
      <x:c r="H383" s="26"/>
      <x:c r="I383" s="26" t="str">
        <x:v>VRM Games</x:v>
      </x:c>
      <x:c r="J383" s="26" t="str">
        <x:v>Unity 6000.3.18f1 / Windows x64</x:v>
      </x:c>
      <x:c r="K383" s="26" t="str">
        <x:v>02_Vertical_Slice_Specification.md</x:v>
      </x:c>
      <x:c r="L383" s="26"/>
      <x:c r="M383" s="26"/>
    </x:row>
    <x:row r="384" ht="30" customHeight="1">
      <x:c r="A384" s="26" t="str">
        <x:v>EXE-0081</x:v>
      </x:c>
      <x:c r="B384" s="26"/>
      <x:c r="C384" s="26"/>
      <x:c r="D384" s="26" t="str">
        <x:v>TC-VS-BUILD-003</x:v>
      </x:c>
      <x:c r="E384" s="26" t="str">
        <x:v>VS-BUILD-003</x:v>
      </x:c>
      <x:c r="F384" s="26" t="str">
        <x:v>Not Run</x:v>
      </x:c>
      <x:c r="G384" s="26"/>
      <x:c r="H384" s="26"/>
      <x:c r="I384" s="26" t="str">
        <x:v>VRM Games</x:v>
      </x:c>
      <x:c r="J384" s="26" t="str">
        <x:v>Unity 6000.3.18f1 / Windows x64</x:v>
      </x:c>
      <x:c r="K384" s="26" t="str">
        <x:v>02_Vertical_Slice_Specification.md</x:v>
      </x:c>
      <x:c r="L384" s="26"/>
      <x:c r="M384" s="26"/>
    </x:row>
    <x:row r="385" ht="30" customHeight="1">
      <x:c r="A385" s="26" t="str">
        <x:v>EXE-0082</x:v>
      </x:c>
      <x:c r="B385" s="26"/>
      <x:c r="C385" s="26"/>
      <x:c r="D385" s="26" t="str">
        <x:v>TC-VS-DOC-001</x:v>
      </x:c>
      <x:c r="E385" s="26" t="str">
        <x:v>VS-DOC-001</x:v>
      </x:c>
      <x:c r="F385" s="26" t="str">
        <x:v>Not Run</x:v>
      </x:c>
      <x:c r="G385" s="26"/>
      <x:c r="H385" s="26"/>
      <x:c r="I385" s="26" t="str">
        <x:v>VRM Games</x:v>
      </x:c>
      <x:c r="J385" s="26" t="str">
        <x:v>Unity 6000.3.18f1 / Windows x64</x:v>
      </x:c>
      <x:c r="K385" s="26" t="str">
        <x:v>02_Vertical_Slice_Specification.md</x:v>
      </x:c>
      <x:c r="L385" s="26"/>
      <x:c r="M385" s="26"/>
    </x:row>
    <x:row r="386" ht="30" customHeight="1">
      <x:c r="A386" s="26" t="str">
        <x:v>EXE-0083</x:v>
      </x:c>
      <x:c r="B386" s="26"/>
      <x:c r="C386" s="26"/>
      <x:c r="D386" s="26" t="str">
        <x:v>TC-VS-TST-001</x:v>
      </x:c>
      <x:c r="E386" s="26" t="str">
        <x:v>VS-TST-001</x:v>
      </x:c>
      <x:c r="F386" s="26" t="str">
        <x:v>Not Run</x:v>
      </x:c>
      <x:c r="G386" s="26"/>
      <x:c r="H386" s="26"/>
      <x:c r="I386" s="26" t="str">
        <x:v>VRM Games</x:v>
      </x:c>
      <x:c r="J386" s="26" t="str">
        <x:v>Unity 6000.3.18f1 / Windows x64</x:v>
      </x:c>
      <x:c r="K386" s="26" t="str">
        <x:v>02_Vertical_Slice_Specification.md</x:v>
      </x:c>
      <x:c r="L386" s="26"/>
      <x:c r="M386" s="26"/>
    </x:row>
    <x:row r="387" ht="30" customHeight="1">
      <x:c r="A387" s="26" t="str">
        <x:v>EXE-0084</x:v>
      </x:c>
      <x:c r="B387" s="26"/>
      <x:c r="C387" s="26"/>
      <x:c r="D387" s="26" t="str">
        <x:v>TC-VS-TST-002</x:v>
      </x:c>
      <x:c r="E387" s="26" t="str">
        <x:v>VS-TST-002</x:v>
      </x:c>
      <x:c r="F387" s="26" t="str">
        <x:v>Not Run</x:v>
      </x:c>
      <x:c r="G387" s="26"/>
      <x:c r="H387" s="26"/>
      <x:c r="I387" s="26" t="str">
        <x:v>VRM Games</x:v>
      </x:c>
      <x:c r="J387" s="26" t="str">
        <x:v>Unity 6000.3.18f1 / Windows x64</x:v>
      </x:c>
      <x:c r="K387" s="26" t="str">
        <x:v>02_Vertical_Slice_Specification.md</x:v>
      </x:c>
      <x:c r="L387" s="26"/>
      <x:c r="M387" s="26"/>
    </x:row>
    <x:row r="388" ht="30" customHeight="1">
      <x:c r="A388" s="26" t="str">
        <x:v>EXE-0085</x:v>
      </x:c>
      <x:c r="B388" s="26"/>
      <x:c r="C388" s="26"/>
      <x:c r="D388" s="26" t="str">
        <x:v>TC-VS-TST-003</x:v>
      </x:c>
      <x:c r="E388" s="26" t="str">
        <x:v>VS-TST-003</x:v>
      </x:c>
      <x:c r="F388" s="26" t="str">
        <x:v>Not Run</x:v>
      </x:c>
      <x:c r="G388" s="26"/>
      <x:c r="H388" s="26"/>
      <x:c r="I388" s="26" t="str">
        <x:v>VRM Games</x:v>
      </x:c>
      <x:c r="J388" s="26" t="str">
        <x:v>Unity 6000.3.18f1 / Windows x64</x:v>
      </x:c>
      <x:c r="K388" s="26" t="str">
        <x:v>02_Vertical_Slice_Specification.md</x:v>
      </x:c>
      <x:c r="L388" s="26"/>
      <x:c r="M388" s="26"/>
    </x:row>
    <x:row r="389" ht="30" customHeight="1">
      <x:c r="A389" s="26" t="str">
        <x:v>EXE-0086</x:v>
      </x:c>
      <x:c r="B389" s="26"/>
      <x:c r="C389" s="26"/>
      <x:c r="D389" s="26" t="str">
        <x:v>TC-VS-TST-004</x:v>
      </x:c>
      <x:c r="E389" s="26" t="str">
        <x:v>VS-TST-004</x:v>
      </x:c>
      <x:c r="F389" s="26" t="str">
        <x:v>Not Run</x:v>
      </x:c>
      <x:c r="G389" s="26"/>
      <x:c r="H389" s="26"/>
      <x:c r="I389" s="26" t="str">
        <x:v>VRM Games</x:v>
      </x:c>
      <x:c r="J389" s="26" t="str">
        <x:v>Unity 6000.3.18f1 / Windows x64</x:v>
      </x:c>
      <x:c r="K389" s="26" t="str">
        <x:v>02_Vertical_Slice_Specification.md</x:v>
      </x:c>
      <x:c r="L389" s="26"/>
      <x:c r="M389" s="26"/>
    </x:row>
    <x:row r="390" ht="30" customHeight="1">
      <x:c r="A390" s="26" t="str">
        <x:v>EXE-0087</x:v>
      </x:c>
      <x:c r="B390" s="26"/>
      <x:c r="C390" s="26"/>
      <x:c r="D390" s="26" t="str">
        <x:v>TC-VS-TST-005</x:v>
      </x:c>
      <x:c r="E390" s="26" t="str">
        <x:v>VS-TST-005</x:v>
      </x:c>
      <x:c r="F390" s="26" t="str">
        <x:v>Not Run</x:v>
      </x:c>
      <x:c r="G390" s="26"/>
      <x:c r="H390" s="26"/>
      <x:c r="I390" s="26" t="str">
        <x:v>VRM Games</x:v>
      </x:c>
      <x:c r="J390" s="26" t="str">
        <x:v>Unity 6000.3.18f1 / Windows x64</x:v>
      </x:c>
      <x:c r="K390" s="26" t="str">
        <x:v>02_Vertical_Slice_Specification.md</x:v>
      </x:c>
      <x:c r="L390" s="26"/>
      <x:c r="M390" s="26"/>
    </x:row>
    <x:row r="391" ht="30" customHeight="1">
      <x:c r="A391" s="26" t="str">
        <x:v>EXE-0088</x:v>
      </x:c>
      <x:c r="B391" s="26"/>
      <x:c r="C391" s="26"/>
      <x:c r="D391" s="26" t="str">
        <x:v>TC-VS-TST-006</x:v>
      </x:c>
      <x:c r="E391" s="26" t="str">
        <x:v>VS-TST-006</x:v>
      </x:c>
      <x:c r="F391" s="26" t="str">
        <x:v>Not Run</x:v>
      </x:c>
      <x:c r="G391" s="26"/>
      <x:c r="H391" s="26"/>
      <x:c r="I391" s="26" t="str">
        <x:v>VRM Games</x:v>
      </x:c>
      <x:c r="J391" s="26" t="str">
        <x:v>Unity 6000.3.18f1 / Windows x64</x:v>
      </x:c>
      <x:c r="K391" s="26" t="str">
        <x:v>02_Vertical_Slice_Specification.md</x:v>
      </x:c>
      <x:c r="L391" s="26"/>
      <x:c r="M391" s="26"/>
    </x:row>
    <x:row r="392" ht="30" customHeight="1">
      <x:c r="A392" s="26" t="str">
        <x:v>EXE-0089</x:v>
      </x:c>
      <x:c r="B392" s="26"/>
      <x:c r="C392" s="26"/>
      <x:c r="D392" s="26" t="str">
        <x:v>TC-VS-TST-007</x:v>
      </x:c>
      <x:c r="E392" s="26" t="str">
        <x:v>VS-TST-007</x:v>
      </x:c>
      <x:c r="F392" s="26" t="str">
        <x:v>Not Run</x:v>
      </x:c>
      <x:c r="G392" s="26"/>
      <x:c r="H392" s="26"/>
      <x:c r="I392" s="26" t="str">
        <x:v>VRM Games</x:v>
      </x:c>
      <x:c r="J392" s="26" t="str">
        <x:v>Unity 6000.3.18f1 / Windows x64</x:v>
      </x:c>
      <x:c r="K392" s="26" t="str">
        <x:v>02_Vertical_Slice_Specification.md</x:v>
      </x:c>
      <x:c r="L392" s="26"/>
      <x:c r="M392" s="26"/>
    </x:row>
    <x:row r="393" ht="30" customHeight="1">
      <x:c r="A393" s="26" t="str">
        <x:v>EXE-0090</x:v>
      </x:c>
      <x:c r="B393" s="26"/>
      <x:c r="C393" s="26"/>
      <x:c r="D393" s="26" t="str">
        <x:v>TC-VS-TST-008</x:v>
      </x:c>
      <x:c r="E393" s="26" t="str">
        <x:v>VS-TST-008</x:v>
      </x:c>
      <x:c r="F393" s="26" t="str">
        <x:v>Not Run</x:v>
      </x:c>
      <x:c r="G393" s="26"/>
      <x:c r="H393" s="26"/>
      <x:c r="I393" s="26" t="str">
        <x:v>VRM Games</x:v>
      </x:c>
      <x:c r="J393" s="26" t="str">
        <x:v>Unity 6000.3.18f1 / Windows x64</x:v>
      </x:c>
      <x:c r="K393" s="26" t="str">
        <x:v>02_Vertical_Slice_Specification.md</x:v>
      </x:c>
      <x:c r="L393" s="26"/>
      <x:c r="M393" s="26"/>
    </x:row>
    <x:row r="394" ht="30" customHeight="1">
      <x:c r="A394" s="26" t="str">
        <x:v>EXE-0091</x:v>
      </x:c>
      <x:c r="B394" s="26"/>
      <x:c r="C394" s="26"/>
      <x:c r="D394" s="26" t="str">
        <x:v>TC-VS-TST-009</x:v>
      </x:c>
      <x:c r="E394" s="26" t="str">
        <x:v>VS-TST-009</x:v>
      </x:c>
      <x:c r="F394" s="26" t="str">
        <x:v>Not Run</x:v>
      </x:c>
      <x:c r="G394" s="26"/>
      <x:c r="H394" s="26"/>
      <x:c r="I394" s="26" t="str">
        <x:v>VRM Games</x:v>
      </x:c>
      <x:c r="J394" s="26" t="str">
        <x:v>Unity 6000.3.18f1 / Windows x64</x:v>
      </x:c>
      <x:c r="K394" s="26" t="str">
        <x:v>02_Vertical_Slice_Specification.md</x:v>
      </x:c>
      <x:c r="L394" s="26"/>
      <x:c r="M394" s="26"/>
    </x:row>
    <x:row r="395" ht="30" customHeight="1">
      <x:c r="A395" s="26" t="str">
        <x:v>EXE-0092</x:v>
      </x:c>
      <x:c r="B395" s="26"/>
      <x:c r="C395" s="26"/>
      <x:c r="D395" s="26" t="str">
        <x:v>TC-VS-TST-010</x:v>
      </x:c>
      <x:c r="E395" s="26" t="str">
        <x:v>VS-TST-010</x:v>
      </x:c>
      <x:c r="F395" s="26" t="str">
        <x:v>Not Run</x:v>
      </x:c>
      <x:c r="G395" s="26"/>
      <x:c r="H395" s="26"/>
      <x:c r="I395" s="26" t="str">
        <x:v>VRM Games</x:v>
      </x:c>
      <x:c r="J395" s="26" t="str">
        <x:v>Unity 6000.3.18f1 / Windows x64</x:v>
      </x:c>
      <x:c r="K395" s="26" t="str">
        <x:v>02_Vertical_Slice_Specification.md</x:v>
      </x:c>
      <x:c r="L395" s="26"/>
      <x:c r="M395" s="26"/>
    </x:row>
    <x:row r="396" ht="30" customHeight="1">
      <x:c r="A396" s="26" t="str">
        <x:v>EXE-0093</x:v>
      </x:c>
      <x:c r="B396" s="26"/>
      <x:c r="C396" s="26"/>
      <x:c r="D396" s="26" t="str">
        <x:v>TC-VS-TST-011</x:v>
      </x:c>
      <x:c r="E396" s="26" t="str">
        <x:v>VS-TST-011</x:v>
      </x:c>
      <x:c r="F396" s="26" t="str">
        <x:v>Not Run</x:v>
      </x:c>
      <x:c r="G396" s="26"/>
      <x:c r="H396" s="26"/>
      <x:c r="I396" s="26" t="str">
        <x:v>VRM Games</x:v>
      </x:c>
      <x:c r="J396" s="26" t="str">
        <x:v>Unity 6000.3.18f1 / Windows x64</x:v>
      </x:c>
      <x:c r="K396" s="26" t="str">
        <x:v>02_Vertical_Slice_Specification.md</x:v>
      </x:c>
      <x:c r="L396" s="26"/>
      <x:c r="M396" s="26"/>
    </x:row>
    <x:row r="397" ht="30" customHeight="1">
      <x:c r="A397" s="26" t="str">
        <x:v>EXE-0094</x:v>
      </x:c>
      <x:c r="B397" s="26"/>
      <x:c r="C397" s="26"/>
      <x:c r="D397" s="26" t="str">
        <x:v>TC-VS-TST-012</x:v>
      </x:c>
      <x:c r="E397" s="26" t="str">
        <x:v>VS-TST-012</x:v>
      </x:c>
      <x:c r="F397" s="26" t="str">
        <x:v>Not Run</x:v>
      </x:c>
      <x:c r="G397" s="26"/>
      <x:c r="H397" s="26"/>
      <x:c r="I397" s="26" t="str">
        <x:v>VRM Games</x:v>
      </x:c>
      <x:c r="J397" s="26" t="str">
        <x:v>Unity 6000.3.18f1 / Windows x64</x:v>
      </x:c>
      <x:c r="K397" s="26" t="str">
        <x:v>02_Vertical_Slice_Specification.md</x:v>
      </x:c>
      <x:c r="L397" s="26"/>
      <x:c r="M397" s="26"/>
    </x:row>
    <x:row r="398" ht="30" customHeight="1">
      <x:c r="A398" s="26" t="str">
        <x:v>EXE-0095</x:v>
      </x:c>
      <x:c r="B398" s="26"/>
      <x:c r="C398" s="26"/>
      <x:c r="D398" s="26" t="str">
        <x:v>TC-VS-TST-013</x:v>
      </x:c>
      <x:c r="E398" s="26" t="str">
        <x:v>VS-TST-013</x:v>
      </x:c>
      <x:c r="F398" s="26" t="str">
        <x:v>Not Run</x:v>
      </x:c>
      <x:c r="G398" s="26"/>
      <x:c r="H398" s="26"/>
      <x:c r="I398" s="26" t="str">
        <x:v>VRM Games</x:v>
      </x:c>
      <x:c r="J398" s="26" t="str">
        <x:v>Unity 6000.3.18f1 / Windows x64</x:v>
      </x:c>
      <x:c r="K398" s="26" t="str">
        <x:v>02_Vertical_Slice_Specification.md</x:v>
      </x:c>
      <x:c r="L398" s="26"/>
      <x:c r="M398" s="26"/>
    </x:row>
    <x:row r="399" ht="30" customHeight="1">
      <x:c r="A399" s="26" t="str">
        <x:v>EXE-0096</x:v>
      </x:c>
      <x:c r="B399" s="26"/>
      <x:c r="C399" s="26"/>
      <x:c r="D399" s="26" t="str">
        <x:v>TC-VS-TST-014</x:v>
      </x:c>
      <x:c r="E399" s="26" t="str">
        <x:v>VS-TST-014</x:v>
      </x:c>
      <x:c r="F399" s="26" t="str">
        <x:v>Not Run</x:v>
      </x:c>
      <x:c r="G399" s="26"/>
      <x:c r="H399" s="26"/>
      <x:c r="I399" s="26" t="str">
        <x:v>VRM Games</x:v>
      </x:c>
      <x:c r="J399" s="26" t="str">
        <x:v>Unity 6000.3.18f1 / Windows x64</x:v>
      </x:c>
      <x:c r="K399" s="26" t="str">
        <x:v>02_Vertical_Slice_Specification.md</x:v>
      </x:c>
      <x:c r="L399" s="26"/>
      <x:c r="M399" s="26"/>
    </x:row>
    <x:row r="400" ht="30" customHeight="1">
      <x:c r="A400" s="26" t="str">
        <x:v>EXE-0097</x:v>
      </x:c>
      <x:c r="B400" s="26"/>
      <x:c r="C400" s="26"/>
      <x:c r="D400" s="26" t="str">
        <x:v>TC-VS-TST-015</x:v>
      </x:c>
      <x:c r="E400" s="26" t="str">
        <x:v>VS-TST-015</x:v>
      </x:c>
      <x:c r="F400" s="26" t="str">
        <x:v>Not Run</x:v>
      </x:c>
      <x:c r="G400" s="26"/>
      <x:c r="H400" s="26"/>
      <x:c r="I400" s="26" t="str">
        <x:v>VRM Games</x:v>
      </x:c>
      <x:c r="J400" s="26" t="str">
        <x:v>Unity 6000.3.18f1 / Windows x64</x:v>
      </x:c>
      <x:c r="K400" s="26" t="str">
        <x:v>02_Vertical_Slice_Specification.md</x:v>
      </x:c>
      <x:c r="L400" s="26"/>
      <x:c r="M400" s="26"/>
    </x:row>
    <x:row r="401" ht="30" customHeight="1">
      <x:c r="A401" s="26" t="str">
        <x:v>EXE-0098</x:v>
      </x:c>
      <x:c r="B401" s="26"/>
      <x:c r="C401" s="26"/>
      <x:c r="D401" s="26" t="str">
        <x:v>TC-VS-TST-016</x:v>
      </x:c>
      <x:c r="E401" s="26" t="str">
        <x:v>VS-TST-016</x:v>
      </x:c>
      <x:c r="F401" s="26" t="str">
        <x:v>Not Run</x:v>
      </x:c>
      <x:c r="G401" s="26"/>
      <x:c r="H401" s="26"/>
      <x:c r="I401" s="26" t="str">
        <x:v>VRM Games</x:v>
      </x:c>
      <x:c r="J401" s="26" t="str">
        <x:v>Unity 6000.3.18f1 / Windows x64</x:v>
      </x:c>
      <x:c r="K401" s="26" t="str">
        <x:v>02_Vertical_Slice_Specification.md</x:v>
      </x:c>
      <x:c r="L401" s="26"/>
      <x:c r="M401" s="26"/>
    </x:row>
    <x:row r="402" ht="30" customHeight="1">
      <x:c r="A402" s="26" t="str">
        <x:v>EXE-0099</x:v>
      </x:c>
      <x:c r="B402" s="26"/>
      <x:c r="C402" s="26"/>
      <x:c r="D402" s="26" t="str">
        <x:v>TC-VS-TST-017</x:v>
      </x:c>
      <x:c r="E402" s="26" t="str">
        <x:v>VS-TST-017</x:v>
      </x:c>
      <x:c r="F402" s="26" t="str">
        <x:v>Not Run</x:v>
      </x:c>
      <x:c r="G402" s="26"/>
      <x:c r="H402" s="26"/>
      <x:c r="I402" s="26" t="str">
        <x:v>VRM Games</x:v>
      </x:c>
      <x:c r="J402" s="26" t="str">
        <x:v>Unity 6000.3.18f1 / Windows x64</x:v>
      </x:c>
      <x:c r="K402" s="26" t="str">
        <x:v>02_Vertical_Slice_Specification.md</x:v>
      </x:c>
      <x:c r="L402" s="26"/>
      <x:c r="M402" s="26"/>
    </x:row>
    <x:row r="403" ht="30" customHeight="1">
      <x:c r="A403" s="26" t="str">
        <x:v>EXE-0100</x:v>
      </x:c>
      <x:c r="B403" s="26"/>
      <x:c r="C403" s="26"/>
      <x:c r="D403" s="26" t="str">
        <x:v>TC-VS-TST-018</x:v>
      </x:c>
      <x:c r="E403" s="26" t="str">
        <x:v>VS-TST-018</x:v>
      </x:c>
      <x:c r="F403" s="26" t="str">
        <x:v>Not Run</x:v>
      </x:c>
      <x:c r="G403" s="26"/>
      <x:c r="H403" s="26"/>
      <x:c r="I403" s="26" t="str">
        <x:v>VRM Games</x:v>
      </x:c>
      <x:c r="J403" s="26" t="str">
        <x:v>Unity 6000.3.18f1 / Windows x64</x:v>
      </x:c>
      <x:c r="K403" s="26" t="str">
        <x:v>02_Vertical_Slice_Specification.md</x:v>
      </x:c>
      <x:c r="L403" s="26"/>
      <x:c r="M403" s="26"/>
    </x:row>
    <x:row r="404" ht="30" customHeight="1">
      <x:c r="A404" s="26" t="str">
        <x:v>EXE-0101</x:v>
      </x:c>
      <x:c r="B404" s="26"/>
      <x:c r="C404" s="26"/>
      <x:c r="D404" s="26" t="str">
        <x:v>TC-VS-TST-019</x:v>
      </x:c>
      <x:c r="E404" s="26" t="str">
        <x:v>VS-TST-019</x:v>
      </x:c>
      <x:c r="F404" s="26" t="str">
        <x:v>Not Run</x:v>
      </x:c>
      <x:c r="G404" s="26"/>
      <x:c r="H404" s="26"/>
      <x:c r="I404" s="26" t="str">
        <x:v>VRM Games</x:v>
      </x:c>
      <x:c r="J404" s="26" t="str">
        <x:v>Unity 6000.3.18f1 / Windows x64</x:v>
      </x:c>
      <x:c r="K404" s="26" t="str">
        <x:v>02_Vertical_Slice_Specification.md</x:v>
      </x:c>
      <x:c r="L404" s="26"/>
      <x:c r="M404" s="26"/>
    </x:row>
    <x:row r="405" ht="30" customHeight="1">
      <x:c r="A405" s="26" t="str">
        <x:v>EXE-0102</x:v>
      </x:c>
      <x:c r="B405" s="26"/>
      <x:c r="C405" s="26"/>
      <x:c r="D405" s="26" t="str">
        <x:v>TC-VS-TST-020</x:v>
      </x:c>
      <x:c r="E405" s="26" t="str">
        <x:v>VS-TST-020</x:v>
      </x:c>
      <x:c r="F405" s="26" t="str">
        <x:v>Not Run</x:v>
      </x:c>
      <x:c r="G405" s="26"/>
      <x:c r="H405" s="26"/>
      <x:c r="I405" s="26" t="str">
        <x:v>VRM Games</x:v>
      </x:c>
      <x:c r="J405" s="26" t="str">
        <x:v>Unity 6000.3.18f1 / Windows x64</x:v>
      </x:c>
      <x:c r="K405" s="26" t="str">
        <x:v>02_Vertical_Slice_Specification.md</x:v>
      </x:c>
      <x:c r="L405" s="26"/>
      <x:c r="M405" s="26"/>
    </x:row>
    <x:row r="406" ht="30" customHeight="1">
      <x:c r="A406" s="26" t="str">
        <x:v>EXE-0103</x:v>
      </x:c>
      <x:c r="B406" s="26"/>
      <x:c r="C406" s="26"/>
      <x:c r="D406" s="26" t="str">
        <x:v>TC-VS-TST-021</x:v>
      </x:c>
      <x:c r="E406" s="26" t="str">
        <x:v>VS-TST-021</x:v>
      </x:c>
      <x:c r="F406" s="26" t="str">
        <x:v>Not Run</x:v>
      </x:c>
      <x:c r="G406" s="26"/>
      <x:c r="H406" s="26"/>
      <x:c r="I406" s="26" t="str">
        <x:v>VRM Games</x:v>
      </x:c>
      <x:c r="J406" s="26" t="str">
        <x:v>Unity 6000.3.18f1 / Windows x64</x:v>
      </x:c>
      <x:c r="K406" s="26" t="str">
        <x:v>02_Vertical_Slice_Specification.md</x:v>
      </x:c>
      <x:c r="L406" s="26"/>
      <x:c r="M406" s="26"/>
    </x:row>
    <x:row r="407" ht="30" customHeight="1">
      <x:c r="A407" s="26" t="str">
        <x:v>EXE-0104</x:v>
      </x:c>
      <x:c r="B407" s="26"/>
      <x:c r="C407" s="26"/>
      <x:c r="D407" s="26" t="str">
        <x:v>TC-VS-TST-022</x:v>
      </x:c>
      <x:c r="E407" s="26" t="str">
        <x:v>VS-TST-022</x:v>
      </x:c>
      <x:c r="F407" s="26" t="str">
        <x:v>Not Run</x:v>
      </x:c>
      <x:c r="G407" s="26"/>
      <x:c r="H407" s="26"/>
      <x:c r="I407" s="26" t="str">
        <x:v>VRM Games</x:v>
      </x:c>
      <x:c r="J407" s="26" t="str">
        <x:v>Unity 6000.3.18f1 / Windows x64</x:v>
      </x:c>
      <x:c r="K407" s="26" t="str">
        <x:v>02_Vertical_Slice_Specification.md</x:v>
      </x:c>
      <x:c r="L407" s="26"/>
      <x:c r="M407" s="26"/>
    </x:row>
    <x:row r="408" ht="30" customHeight="1">
      <x:c r="A408" s="26" t="str">
        <x:v>EXE-0105</x:v>
      </x:c>
      <x:c r="B408" s="26"/>
      <x:c r="C408" s="26"/>
      <x:c r="D408" s="26" t="str">
        <x:v>TC-VS-TST-023</x:v>
      </x:c>
      <x:c r="E408" s="26" t="str">
        <x:v>VS-TST-023</x:v>
      </x:c>
      <x:c r="F408" s="26" t="str">
        <x:v>Not Run</x:v>
      </x:c>
      <x:c r="G408" s="26"/>
      <x:c r="H408" s="26"/>
      <x:c r="I408" s="26" t="str">
        <x:v>VRM Games</x:v>
      </x:c>
      <x:c r="J408" s="26" t="str">
        <x:v>Unity 6000.3.18f1 / Windows x64</x:v>
      </x:c>
      <x:c r="K408" s="26" t="str">
        <x:v>02_Vertical_Slice_Specification.md</x:v>
      </x:c>
      <x:c r="L408" s="26"/>
      <x:c r="M408" s="26"/>
    </x:row>
    <x:row r="409" ht="30" customHeight="1">
      <x:c r="A409" s="26" t="str">
        <x:v>EXE-0106</x:v>
      </x:c>
      <x:c r="B409" s="26"/>
      <x:c r="C409" s="26"/>
      <x:c r="D409" s="26" t="str">
        <x:v>TC-VS-TST-024</x:v>
      </x:c>
      <x:c r="E409" s="26" t="str">
        <x:v>VS-TST-024</x:v>
      </x:c>
      <x:c r="F409" s="26" t="str">
        <x:v>Not Run</x:v>
      </x:c>
      <x:c r="G409" s="26"/>
      <x:c r="H409" s="26"/>
      <x:c r="I409" s="26" t="str">
        <x:v>VRM Games</x:v>
      </x:c>
      <x:c r="J409" s="26" t="str">
        <x:v>Unity 6000.3.18f1 / Windows x64</x:v>
      </x:c>
      <x:c r="K409" s="26" t="str">
        <x:v>02_Vertical_Slice_Specification.md</x:v>
      </x:c>
      <x:c r="L409" s="26"/>
      <x:c r="M409" s="26"/>
    </x:row>
    <x:row r="410" ht="30" customHeight="1">
      <x:c r="A410" s="26" t="str">
        <x:v>EXE-0107</x:v>
      </x:c>
      <x:c r="B410" s="26"/>
      <x:c r="C410" s="26"/>
      <x:c r="D410" s="26" t="str">
        <x:v>TC-VS-TST-025</x:v>
      </x:c>
      <x:c r="E410" s="26" t="str">
        <x:v>VS-TST-025</x:v>
      </x:c>
      <x:c r="F410" s="26" t="str">
        <x:v>Not Run</x:v>
      </x:c>
      <x:c r="G410" s="26"/>
      <x:c r="H410" s="26"/>
      <x:c r="I410" s="26" t="str">
        <x:v>VRM Games</x:v>
      </x:c>
      <x:c r="J410" s="26" t="str">
        <x:v>Unity 6000.3.18f1 / Windows x64</x:v>
      </x:c>
      <x:c r="K410" s="26" t="str">
        <x:v>02_Vertical_Slice_Specification.md</x:v>
      </x:c>
      <x:c r="L410" s="26"/>
      <x:c r="M410" s="26"/>
    </x:row>
    <x:row r="411" ht="30" customHeight="1">
      <x:c r="A411" s="26" t="str">
        <x:v>EXE-0108</x:v>
      </x:c>
      <x:c r="B411" s="26"/>
      <x:c r="C411" s="26"/>
      <x:c r="D411" s="26" t="str">
        <x:v>TC-VS-TST-026</x:v>
      </x:c>
      <x:c r="E411" s="26" t="str">
        <x:v>VS-TST-026</x:v>
      </x:c>
      <x:c r="F411" s="26" t="str">
        <x:v>Not Run</x:v>
      </x:c>
      <x:c r="G411" s="26"/>
      <x:c r="H411" s="26"/>
      <x:c r="I411" s="26" t="str">
        <x:v>VRM Games</x:v>
      </x:c>
      <x:c r="J411" s="26" t="str">
        <x:v>Unity 6000.3.18f1 / Windows x64</x:v>
      </x:c>
      <x:c r="K411" s="26" t="str">
        <x:v>02_Vertical_Slice_Specification.md</x:v>
      </x:c>
      <x:c r="L411" s="26"/>
      <x:c r="M411" s="26"/>
    </x:row>
    <x:row r="412" ht="30" customHeight="1">
      <x:c r="A412" s="26" t="str">
        <x:v>EXE-0109</x:v>
      </x:c>
      <x:c r="B412" s="26"/>
      <x:c r="C412" s="26"/>
      <x:c r="D412" s="26" t="str">
        <x:v>TC-VS-TST-027</x:v>
      </x:c>
      <x:c r="E412" s="26" t="str">
        <x:v>VS-TST-027</x:v>
      </x:c>
      <x:c r="F412" s="26" t="str">
        <x:v>Not Run</x:v>
      </x:c>
      <x:c r="G412" s="26"/>
      <x:c r="H412" s="26"/>
      <x:c r="I412" s="26" t="str">
        <x:v>VRM Games</x:v>
      </x:c>
      <x:c r="J412" s="26" t="str">
        <x:v>Unity 6000.3.18f1 / Windows x64</x:v>
      </x:c>
      <x:c r="K412" s="26" t="str">
        <x:v>02_Vertical_Slice_Specification.md</x:v>
      </x:c>
      <x:c r="L412" s="26"/>
      <x:c r="M412" s="26"/>
    </x:row>
    <x:row r="413" ht="30" customHeight="1">
      <x:c r="A413" s="26" t="str">
        <x:v>EXE-0110</x:v>
      </x:c>
      <x:c r="B413" s="26"/>
      <x:c r="C413" s="26"/>
      <x:c r="D413" s="26" t="str">
        <x:v>TC-VS-TST-028</x:v>
      </x:c>
      <x:c r="E413" s="26" t="str">
        <x:v>VS-TST-028</x:v>
      </x:c>
      <x:c r="F413" s="26" t="str">
        <x:v>Not Run</x:v>
      </x:c>
      <x:c r="G413" s="26"/>
      <x:c r="H413" s="26"/>
      <x:c r="I413" s="26" t="str">
        <x:v>VRM Games</x:v>
      </x:c>
      <x:c r="J413" s="26" t="str">
        <x:v>Unity 6000.3.18f1 / Windows x64</x:v>
      </x:c>
      <x:c r="K413" s="26" t="str">
        <x:v>02_Vertical_Slice_Specification.md</x:v>
      </x:c>
      <x:c r="L413" s="26"/>
      <x:c r="M413" s="26"/>
    </x:row>
    <x:row r="414" ht="30" customHeight="1">
      <x:c r="A414" s="26" t="str">
        <x:v>EXE-0111</x:v>
      </x:c>
      <x:c r="B414" s="26"/>
      <x:c r="C414" s="26"/>
      <x:c r="D414" s="26" t="str">
        <x:v>TC-VS-TST-029</x:v>
      </x:c>
      <x:c r="E414" s="26" t="str">
        <x:v>VS-TST-029</x:v>
      </x:c>
      <x:c r="F414" s="26" t="str">
        <x:v>Not Run</x:v>
      </x:c>
      <x:c r="G414" s="26"/>
      <x:c r="H414" s="26"/>
      <x:c r="I414" s="26" t="str">
        <x:v>VRM Games</x:v>
      </x:c>
      <x:c r="J414" s="26" t="str">
        <x:v>Unity 6000.3.18f1 / Windows x64</x:v>
      </x:c>
      <x:c r="K414" s="26" t="str">
        <x:v>02_Vertical_Slice_Specification.md</x:v>
      </x:c>
      <x:c r="L414" s="26"/>
      <x:c r="M414" s="26"/>
    </x:row>
    <x:row r="415" ht="30" customHeight="1">
      <x:c r="A415" s="26" t="str">
        <x:v>EXE-0112</x:v>
      </x:c>
      <x:c r="B415" s="26"/>
      <x:c r="C415" s="26"/>
      <x:c r="D415" s="26" t="str">
        <x:v>TC-VS-TST-030</x:v>
      </x:c>
      <x:c r="E415" s="26" t="str">
        <x:v>VS-TST-030</x:v>
      </x:c>
      <x:c r="F415" s="26" t="str">
        <x:v>Not Run</x:v>
      </x:c>
      <x:c r="G415" s="26"/>
      <x:c r="H415" s="26"/>
      <x:c r="I415" s="26" t="str">
        <x:v>VRM Games</x:v>
      </x:c>
      <x:c r="J415" s="26" t="str">
        <x:v>Unity 6000.3.18f1 / Windows x64</x:v>
      </x:c>
      <x:c r="K415" s="26" t="str">
        <x:v>02_Vertical_Slice_Specification.md</x:v>
      </x:c>
      <x:c r="L415" s="26"/>
      <x:c r="M415" s="26"/>
    </x:row>
    <x:row r="416" ht="30" customHeight="1">
      <x:c r="A416" s="26" t="str">
        <x:v>EXE-0113</x:v>
      </x:c>
      <x:c r="B416" s="26"/>
      <x:c r="C416" s="26"/>
      <x:c r="D416" s="26" t="str">
        <x:v>TC-VS-TST-031</x:v>
      </x:c>
      <x:c r="E416" s="26" t="str">
        <x:v>VS-TST-031</x:v>
      </x:c>
      <x:c r="F416" s="26" t="str">
        <x:v>Not Run</x:v>
      </x:c>
      <x:c r="G416" s="26"/>
      <x:c r="H416" s="26"/>
      <x:c r="I416" s="26" t="str">
        <x:v>VRM Games</x:v>
      </x:c>
      <x:c r="J416" s="26" t="str">
        <x:v>Unity 6000.3.18f1 / Windows x64</x:v>
      </x:c>
      <x:c r="K416" s="26" t="str">
        <x:v>02_Vertical_Slice_Specification.md</x:v>
      </x:c>
      <x:c r="L416" s="26"/>
      <x:c r="M416" s="26"/>
    </x:row>
    <x:row r="417" ht="30" customHeight="1">
      <x:c r="A417" s="26" t="str">
        <x:v>EXE-0114</x:v>
      </x:c>
      <x:c r="B417" s="26"/>
      <x:c r="C417" s="26"/>
      <x:c r="D417" s="26" t="str">
        <x:v>TC-VS-TST-032</x:v>
      </x:c>
      <x:c r="E417" s="26" t="str">
        <x:v>VS-TST-032</x:v>
      </x:c>
      <x:c r="F417" s="26" t="str">
        <x:v>Not Run</x:v>
      </x:c>
      <x:c r="G417" s="26"/>
      <x:c r="H417" s="26"/>
      <x:c r="I417" s="26" t="str">
        <x:v>VRM Games</x:v>
      </x:c>
      <x:c r="J417" s="26" t="str">
        <x:v>Unity 6000.3.18f1 / Windows x64</x:v>
      </x:c>
      <x:c r="K417" s="26" t="str">
        <x:v>02_Vertical_Slice_Specification.md</x:v>
      </x:c>
      <x:c r="L417" s="26"/>
      <x:c r="M417" s="26"/>
    </x:row>
    <x:row r="418" ht="30" customHeight="1">
      <x:c r="A418" s="26" t="str">
        <x:v>EXE-0115</x:v>
      </x:c>
      <x:c r="B418" s="26"/>
      <x:c r="C418" s="26"/>
      <x:c r="D418" s="26" t="str">
        <x:v>TC-VS-TST-033</x:v>
      </x:c>
      <x:c r="E418" s="26" t="str">
        <x:v>VS-TST-033</x:v>
      </x:c>
      <x:c r="F418" s="26" t="str">
        <x:v>Not Run</x:v>
      </x:c>
      <x:c r="G418" s="26"/>
      <x:c r="H418" s="26"/>
      <x:c r="I418" s="26" t="str">
        <x:v>VRM Games</x:v>
      </x:c>
      <x:c r="J418" s="26" t="str">
        <x:v>Unity 6000.3.18f1 / Windows x64</x:v>
      </x:c>
      <x:c r="K418" s="26" t="str">
        <x:v>02_Vertical_Slice_Specification.md</x:v>
      </x:c>
      <x:c r="L418" s="26"/>
      <x:c r="M418" s="26"/>
    </x:row>
    <x:row r="419" ht="30" customHeight="1">
      <x:c r="A419" s="26" t="str">
        <x:v>EXE-0116</x:v>
      </x:c>
      <x:c r="B419" s="26"/>
      <x:c r="C419" s="26"/>
      <x:c r="D419" s="26" t="str">
        <x:v>TC-VS-TST-034</x:v>
      </x:c>
      <x:c r="E419" s="26" t="str">
        <x:v>VS-TST-034</x:v>
      </x:c>
      <x:c r="F419" s="26" t="str">
        <x:v>Not Run</x:v>
      </x:c>
      <x:c r="G419" s="26"/>
      <x:c r="H419" s="26"/>
      <x:c r="I419" s="26" t="str">
        <x:v>VRM Games</x:v>
      </x:c>
      <x:c r="J419" s="26" t="str">
        <x:v>Unity 6000.3.18f1 / Windows x64</x:v>
      </x:c>
      <x:c r="K419" s="26" t="str">
        <x:v>02_Vertical_Slice_Specification.md</x:v>
      </x:c>
      <x:c r="L419" s="26"/>
      <x:c r="M419" s="26"/>
    </x:row>
    <x:row r="420" ht="30" customHeight="1">
      <x:c r="A420" s="26" t="str">
        <x:v>EXE-0117</x:v>
      </x:c>
      <x:c r="B420" s="26"/>
      <x:c r="C420" s="26"/>
      <x:c r="D420" s="26" t="str">
        <x:v>TC-VS-TST-035</x:v>
      </x:c>
      <x:c r="E420" s="26" t="str">
        <x:v>VS-TST-035</x:v>
      </x:c>
      <x:c r="F420" s="26" t="str">
        <x:v>Not Run</x:v>
      </x:c>
      <x:c r="G420" s="26"/>
      <x:c r="H420" s="26"/>
      <x:c r="I420" s="26" t="str">
        <x:v>VRM Games</x:v>
      </x:c>
      <x:c r="J420" s="26" t="str">
        <x:v>Unity 6000.3.18f1 / Windows x64</x:v>
      </x:c>
      <x:c r="K420" s="26" t="str">
        <x:v>02_Vertical_Slice_Specification.md</x:v>
      </x:c>
      <x:c r="L420" s="26"/>
      <x:c r="M420" s="26"/>
    </x:row>
    <x:row r="421" ht="30" customHeight="1">
      <x:c r="A421" s="26" t="str">
        <x:v>EXE-0118</x:v>
      </x:c>
      <x:c r="B421" s="26"/>
      <x:c r="C421" s="26"/>
      <x:c r="D421" s="26" t="str">
        <x:v>TC-VS-TST-036</x:v>
      </x:c>
      <x:c r="E421" s="26" t="str">
        <x:v>VS-TST-036</x:v>
      </x:c>
      <x:c r="F421" s="26" t="str">
        <x:v>Not Run</x:v>
      </x:c>
      <x:c r="G421" s="26"/>
      <x:c r="H421" s="26"/>
      <x:c r="I421" s="26" t="str">
        <x:v>VRM Games</x:v>
      </x:c>
      <x:c r="J421" s="26" t="str">
        <x:v>Unity 6000.3.18f1 / Windows x64</x:v>
      </x:c>
      <x:c r="K421" s="26" t="str">
        <x:v>02_Vertical_Slice_Specification.md</x:v>
      </x:c>
      <x:c r="L421" s="26"/>
      <x:c r="M421" s="26"/>
    </x:row>
    <x:row r="422" ht="30" customHeight="1">
      <x:c r="A422" s="26" t="str">
        <x:v>EXE-0119</x:v>
      </x:c>
      <x:c r="B422" s="26"/>
      <x:c r="C422" s="26"/>
      <x:c r="D422" s="26" t="str">
        <x:v>TC-VS-TST-037</x:v>
      </x:c>
      <x:c r="E422" s="26" t="str">
        <x:v>VS-TST-037</x:v>
      </x:c>
      <x:c r="F422" s="26" t="str">
        <x:v>Not Run</x:v>
      </x:c>
      <x:c r="G422" s="26"/>
      <x:c r="H422" s="26"/>
      <x:c r="I422" s="26" t="str">
        <x:v>VRM Games</x:v>
      </x:c>
      <x:c r="J422" s="26" t="str">
        <x:v>Unity 6000.3.18f1 / Windows x64</x:v>
      </x:c>
      <x:c r="K422" s="26" t="str">
        <x:v>02_Vertical_Slice_Specification.md</x:v>
      </x:c>
      <x:c r="L422" s="26"/>
      <x:c r="M422" s="26"/>
    </x:row>
    <x:row r="423" ht="30" customHeight="1">
      <x:c r="A423" s="26" t="str">
        <x:v>EXE-0120</x:v>
      </x:c>
      <x:c r="B423" s="26"/>
      <x:c r="C423" s="26"/>
      <x:c r="D423" s="26" t="str">
        <x:v>TC-VS-TST-038</x:v>
      </x:c>
      <x:c r="E423" s="26" t="str">
        <x:v>VS-TST-038</x:v>
      </x:c>
      <x:c r="F423" s="26" t="str">
        <x:v>Not Run</x:v>
      </x:c>
      <x:c r="G423" s="26"/>
      <x:c r="H423" s="26"/>
      <x:c r="I423" s="26" t="str">
        <x:v>VRM Games</x:v>
      </x:c>
      <x:c r="J423" s="26" t="str">
        <x:v>Unity 6000.3.18f1 / Windows x64</x:v>
      </x:c>
      <x:c r="K423" s="26" t="str">
        <x:v>02_Vertical_Slice_Specification.md</x:v>
      </x:c>
      <x:c r="L423" s="26"/>
      <x:c r="M423" s="26"/>
    </x:row>
    <x:row r="424" ht="30" customHeight="1">
      <x:c r="A424" s="26" t="str">
        <x:v>EXE-0121</x:v>
      </x:c>
      <x:c r="B424" s="26"/>
      <x:c r="C424" s="26"/>
      <x:c r="D424" s="26" t="str">
        <x:v>TC-VS-TST-039</x:v>
      </x:c>
      <x:c r="E424" s="26" t="str">
        <x:v>VS-TST-039</x:v>
      </x:c>
      <x:c r="F424" s="26" t="str">
        <x:v>Not Run</x:v>
      </x:c>
      <x:c r="G424" s="26"/>
      <x:c r="H424" s="26"/>
      <x:c r="I424" s="26" t="str">
        <x:v>VRM Games</x:v>
      </x:c>
      <x:c r="J424" s="26" t="str">
        <x:v>Unity 6000.3.18f1 / Windows x64</x:v>
      </x:c>
      <x:c r="K424" s="26" t="str">
        <x:v>02_Vertical_Slice_Specification.md</x:v>
      </x:c>
      <x:c r="L424" s="26"/>
      <x:c r="M424" s="26"/>
    </x:row>
    <x:row r="425" ht="30" customHeight="1">
      <x:c r="A425" s="26" t="str">
        <x:v>EXE-0122</x:v>
      </x:c>
      <x:c r="B425" s="26"/>
      <x:c r="C425" s="26"/>
      <x:c r="D425" s="26" t="str">
        <x:v>TC-VS-TST-040</x:v>
      </x:c>
      <x:c r="E425" s="26" t="str">
        <x:v>VS-TST-040</x:v>
      </x:c>
      <x:c r="F425" s="26" t="str">
        <x:v>Not Run</x:v>
      </x:c>
      <x:c r="G425" s="26"/>
      <x:c r="H425" s="26"/>
      <x:c r="I425" s="26" t="str">
        <x:v>VRM Games</x:v>
      </x:c>
      <x:c r="J425" s="26" t="str">
        <x:v>Unity 6000.3.18f1 / Windows x64</x:v>
      </x:c>
      <x:c r="K425" s="26" t="str">
        <x:v>02_Vertical_Slice_Specification.md</x:v>
      </x:c>
      <x:c r="L425" s="26"/>
      <x:c r="M425" s="26"/>
    </x:row>
    <x:row r="426" ht="30" customHeight="1">
      <x:c r="A426" s="26" t="str">
        <x:v>EXE-0123</x:v>
      </x:c>
      <x:c r="B426" s="26"/>
      <x:c r="C426" s="26"/>
      <x:c r="D426" s="26" t="str">
        <x:v>TC-UX-BOOT-001</x:v>
      </x:c>
      <x:c r="E426" s="26" t="str">
        <x:v>UX-BOOT-001</x:v>
      </x:c>
      <x:c r="F426" s="26" t="str">
        <x:v>Not Run</x:v>
      </x:c>
      <x:c r="G426" s="26"/>
      <x:c r="H426" s="26"/>
      <x:c r="I426" s="26" t="str">
        <x:v>VRM Games</x:v>
      </x:c>
      <x:c r="J426" s="26" t="str">
        <x:v>Unity 6000.3.18f1 / Windows x64</x:v>
      </x:c>
      <x:c r="K426" s="26" t="str">
        <x:v>05_UX_Flow.md</x:v>
      </x:c>
      <x:c r="L426" s="26"/>
      <x:c r="M426" s="26"/>
    </x:row>
    <x:row r="427" ht="30" customHeight="1">
      <x:c r="A427" s="26" t="str">
        <x:v>EXE-0124</x:v>
      </x:c>
      <x:c r="B427" s="26"/>
      <x:c r="C427" s="26"/>
      <x:c r="D427" s="26" t="str">
        <x:v>TC-UX-BOOT-002</x:v>
      </x:c>
      <x:c r="E427" s="26" t="str">
        <x:v>UX-BOOT-002</x:v>
      </x:c>
      <x:c r="F427" s="26" t="str">
        <x:v>Not Run</x:v>
      </x:c>
      <x:c r="G427" s="26"/>
      <x:c r="H427" s="26"/>
      <x:c r="I427" s="26" t="str">
        <x:v>VRM Games</x:v>
      </x:c>
      <x:c r="J427" s="26" t="str">
        <x:v>Unity 6000.3.18f1 / Windows x64</x:v>
      </x:c>
      <x:c r="K427" s="26" t="str">
        <x:v>05_UX_Flow.md</x:v>
      </x:c>
      <x:c r="L427" s="26"/>
      <x:c r="M427" s="26"/>
    </x:row>
    <x:row r="428" ht="30" customHeight="1">
      <x:c r="A428" s="26" t="str">
        <x:v>EXE-0125</x:v>
      </x:c>
      <x:c r="B428" s="26"/>
      <x:c r="C428" s="26"/>
      <x:c r="D428" s="26" t="str">
        <x:v>TC-UX-BOOT-003</x:v>
      </x:c>
      <x:c r="E428" s="26" t="str">
        <x:v>UX-BOOT-003</x:v>
      </x:c>
      <x:c r="F428" s="26" t="str">
        <x:v>Not Run</x:v>
      </x:c>
      <x:c r="G428" s="26"/>
      <x:c r="H428" s="26"/>
      <x:c r="I428" s="26" t="str">
        <x:v>VRM Games</x:v>
      </x:c>
      <x:c r="J428" s="26" t="str">
        <x:v>Unity 6000.3.18f1 / Windows x64</x:v>
      </x:c>
      <x:c r="K428" s="26" t="str">
        <x:v>05_UX_Flow.md</x:v>
      </x:c>
      <x:c r="L428" s="26"/>
      <x:c r="M428" s="26"/>
    </x:row>
    <x:row r="429" ht="30" customHeight="1">
      <x:c r="A429" s="26" t="str">
        <x:v>EXE-0126</x:v>
      </x:c>
      <x:c r="B429" s="26"/>
      <x:c r="C429" s="26"/>
      <x:c r="D429" s="26" t="str">
        <x:v>TC-UX-BOOT-004</x:v>
      </x:c>
      <x:c r="E429" s="26" t="str">
        <x:v>UX-BOOT-004</x:v>
      </x:c>
      <x:c r="F429" s="26" t="str">
        <x:v>Not Run</x:v>
      </x:c>
      <x:c r="G429" s="26"/>
      <x:c r="H429" s="26"/>
      <x:c r="I429" s="26" t="str">
        <x:v>VRM Games</x:v>
      </x:c>
      <x:c r="J429" s="26" t="str">
        <x:v>Unity 6000.3.18f1 / Windows x64</x:v>
      </x:c>
      <x:c r="K429" s="26" t="str">
        <x:v>05_UX_Flow.md</x:v>
      </x:c>
      <x:c r="L429" s="26"/>
      <x:c r="M429" s="26"/>
    </x:row>
    <x:row r="430" ht="30" customHeight="1">
      <x:c r="A430" s="26" t="str">
        <x:v>EXE-0127</x:v>
      </x:c>
      <x:c r="B430" s="26"/>
      <x:c r="C430" s="26"/>
      <x:c r="D430" s="26" t="str">
        <x:v>TC-UX-BOOT-005</x:v>
      </x:c>
      <x:c r="E430" s="26" t="str">
        <x:v>UX-BOOT-005</x:v>
      </x:c>
      <x:c r="F430" s="26" t="str">
        <x:v>Not Run</x:v>
      </x:c>
      <x:c r="G430" s="26"/>
      <x:c r="H430" s="26"/>
      <x:c r="I430" s="26" t="str">
        <x:v>VRM Games</x:v>
      </x:c>
      <x:c r="J430" s="26" t="str">
        <x:v>Unity 6000.3.18f1 / Windows x64</x:v>
      </x:c>
      <x:c r="K430" s="26" t="str">
        <x:v>05_UX_Flow.md</x:v>
      </x:c>
      <x:c r="L430" s="26"/>
      <x:c r="M430" s="26"/>
    </x:row>
    <x:row r="431" ht="30" customHeight="1">
      <x:c r="A431" s="26" t="str">
        <x:v>EXE-0128</x:v>
      </x:c>
      <x:c r="B431" s="26"/>
      <x:c r="C431" s="26"/>
      <x:c r="D431" s="26" t="str">
        <x:v>TC-UX-BOOT-006</x:v>
      </x:c>
      <x:c r="E431" s="26" t="str">
        <x:v>UX-BOOT-006</x:v>
      </x:c>
      <x:c r="F431" s="26" t="str">
        <x:v>Not Run</x:v>
      </x:c>
      <x:c r="G431" s="26"/>
      <x:c r="H431" s="26"/>
      <x:c r="I431" s="26" t="str">
        <x:v>VRM Games</x:v>
      </x:c>
      <x:c r="J431" s="26" t="str">
        <x:v>Unity 6000.3.18f1 / Windows x64</x:v>
      </x:c>
      <x:c r="K431" s="26" t="str">
        <x:v>05_UX_Flow.md</x:v>
      </x:c>
      <x:c r="L431" s="26"/>
      <x:c r="M431" s="26"/>
    </x:row>
    <x:row r="432" ht="30" customHeight="1">
      <x:c r="A432" s="26" t="str">
        <x:v>EXE-0129</x:v>
      </x:c>
      <x:c r="B432" s="26"/>
      <x:c r="C432" s="26"/>
      <x:c r="D432" s="26" t="str">
        <x:v>TC-UX-SLOT-001</x:v>
      </x:c>
      <x:c r="E432" s="26" t="str">
        <x:v>UX-SLOT-001</x:v>
      </x:c>
      <x:c r="F432" s="26" t="str">
        <x:v>Not Run</x:v>
      </x:c>
      <x:c r="G432" s="26"/>
      <x:c r="H432" s="26"/>
      <x:c r="I432" s="26" t="str">
        <x:v>VRM Games</x:v>
      </x:c>
      <x:c r="J432" s="26" t="str">
        <x:v>Unity 6000.3.18f1 / Windows x64</x:v>
      </x:c>
      <x:c r="K432" s="26" t="str">
        <x:v>05_UX_Flow.md</x:v>
      </x:c>
      <x:c r="L432" s="26"/>
      <x:c r="M432" s="26"/>
    </x:row>
    <x:row r="433" ht="30" customHeight="1">
      <x:c r="A433" s="26" t="str">
        <x:v>EXE-0130</x:v>
      </x:c>
      <x:c r="B433" s="26"/>
      <x:c r="C433" s="26"/>
      <x:c r="D433" s="26" t="str">
        <x:v>TC-UX-SLOT-002</x:v>
      </x:c>
      <x:c r="E433" s="26" t="str">
        <x:v>UX-SLOT-002</x:v>
      </x:c>
      <x:c r="F433" s="26" t="str">
        <x:v>Not Run</x:v>
      </x:c>
      <x:c r="G433" s="26"/>
      <x:c r="H433" s="26"/>
      <x:c r="I433" s="26" t="str">
        <x:v>VRM Games</x:v>
      </x:c>
      <x:c r="J433" s="26" t="str">
        <x:v>Unity 6000.3.18f1 / Windows x64</x:v>
      </x:c>
      <x:c r="K433" s="26" t="str">
        <x:v>05_UX_Flow.md</x:v>
      </x:c>
      <x:c r="L433" s="26"/>
      <x:c r="M433" s="26"/>
    </x:row>
    <x:row r="434" ht="30" customHeight="1">
      <x:c r="A434" s="26" t="str">
        <x:v>EXE-0131</x:v>
      </x:c>
      <x:c r="B434" s="26"/>
      <x:c r="C434" s="26"/>
      <x:c r="D434" s="26" t="str">
        <x:v>TC-UX-SLOT-003</x:v>
      </x:c>
      <x:c r="E434" s="26" t="str">
        <x:v>UX-SLOT-003</x:v>
      </x:c>
      <x:c r="F434" s="26" t="str">
        <x:v>Not Run</x:v>
      </x:c>
      <x:c r="G434" s="26"/>
      <x:c r="H434" s="26"/>
      <x:c r="I434" s="26" t="str">
        <x:v>VRM Games</x:v>
      </x:c>
      <x:c r="J434" s="26" t="str">
        <x:v>Unity 6000.3.18f1 / Windows x64</x:v>
      </x:c>
      <x:c r="K434" s="26" t="str">
        <x:v>05_UX_Flow.md</x:v>
      </x:c>
      <x:c r="L434" s="26"/>
      <x:c r="M434" s="26"/>
    </x:row>
    <x:row r="435" ht="30" customHeight="1">
      <x:c r="A435" s="26" t="str">
        <x:v>EXE-0132</x:v>
      </x:c>
      <x:c r="B435" s="26"/>
      <x:c r="C435" s="26"/>
      <x:c r="D435" s="26" t="str">
        <x:v>TC-UX-SLOT-004</x:v>
      </x:c>
      <x:c r="E435" s="26" t="str">
        <x:v>UX-SLOT-004</x:v>
      </x:c>
      <x:c r="F435" s="26" t="str">
        <x:v>Not Run</x:v>
      </x:c>
      <x:c r="G435" s="26"/>
      <x:c r="H435" s="26"/>
      <x:c r="I435" s="26" t="str">
        <x:v>VRM Games</x:v>
      </x:c>
      <x:c r="J435" s="26" t="str">
        <x:v>Unity 6000.3.18f1 / Windows x64</x:v>
      </x:c>
      <x:c r="K435" s="26" t="str">
        <x:v>05_UX_Flow.md</x:v>
      </x:c>
      <x:c r="L435" s="26"/>
      <x:c r="M435" s="26"/>
    </x:row>
    <x:row r="436" ht="30" customHeight="1">
      <x:c r="A436" s="26" t="str">
        <x:v>EXE-0133</x:v>
      </x:c>
      <x:c r="B436" s="26"/>
      <x:c r="C436" s="26"/>
      <x:c r="D436" s="26" t="str">
        <x:v>TC-UX-SLOT-005</x:v>
      </x:c>
      <x:c r="E436" s="26" t="str">
        <x:v>UX-SLOT-005</x:v>
      </x:c>
      <x:c r="F436" s="26" t="str">
        <x:v>Not Run</x:v>
      </x:c>
      <x:c r="G436" s="26"/>
      <x:c r="H436" s="26"/>
      <x:c r="I436" s="26" t="str">
        <x:v>VRM Games</x:v>
      </x:c>
      <x:c r="J436" s="26" t="str">
        <x:v>Unity 6000.3.18f1 / Windows x64</x:v>
      </x:c>
      <x:c r="K436" s="26" t="str">
        <x:v>05_UX_Flow.md</x:v>
      </x:c>
      <x:c r="L436" s="26"/>
      <x:c r="M436" s="26"/>
    </x:row>
    <x:row r="437" ht="30" customHeight="1">
      <x:c r="A437" s="26" t="str">
        <x:v>EXE-0134</x:v>
      </x:c>
      <x:c r="B437" s="26"/>
      <x:c r="C437" s="26"/>
      <x:c r="D437" s="26" t="str">
        <x:v>TC-UX-SLOT-006</x:v>
      </x:c>
      <x:c r="E437" s="26" t="str">
        <x:v>UX-SLOT-006</x:v>
      </x:c>
      <x:c r="F437" s="26" t="str">
        <x:v>Not Run</x:v>
      </x:c>
      <x:c r="G437" s="26"/>
      <x:c r="H437" s="26"/>
      <x:c r="I437" s="26" t="str">
        <x:v>VRM Games</x:v>
      </x:c>
      <x:c r="J437" s="26" t="str">
        <x:v>Unity 6000.3.18f1 / Windows x64</x:v>
      </x:c>
      <x:c r="K437" s="26" t="str">
        <x:v>05_UX_Flow.md</x:v>
      </x:c>
      <x:c r="L437" s="26"/>
      <x:c r="M437" s="26"/>
    </x:row>
    <x:row r="438" ht="30" customHeight="1">
      <x:c r="A438" s="26" t="str">
        <x:v>EXE-0135</x:v>
      </x:c>
      <x:c r="B438" s="26"/>
      <x:c r="C438" s="26"/>
      <x:c r="D438" s="26" t="str">
        <x:v>TC-UX-SLOT-007</x:v>
      </x:c>
      <x:c r="E438" s="26" t="str">
        <x:v>UX-SLOT-007</x:v>
      </x:c>
      <x:c r="F438" s="26" t="str">
        <x:v>Not Run</x:v>
      </x:c>
      <x:c r="G438" s="26"/>
      <x:c r="H438" s="26"/>
      <x:c r="I438" s="26" t="str">
        <x:v>VRM Games</x:v>
      </x:c>
      <x:c r="J438" s="26" t="str">
        <x:v>Unity 6000.3.18f1 / Windows x64</x:v>
      </x:c>
      <x:c r="K438" s="26" t="str">
        <x:v>05_UX_Flow.md</x:v>
      </x:c>
      <x:c r="L438" s="26"/>
      <x:c r="M438" s="26"/>
    </x:row>
    <x:row r="439" ht="30" customHeight="1">
      <x:c r="A439" s="26" t="str">
        <x:v>EXE-0136</x:v>
      </x:c>
      <x:c r="B439" s="26"/>
      <x:c r="C439" s="26"/>
      <x:c r="D439" s="26" t="str">
        <x:v>TC-UX-INP-001</x:v>
      </x:c>
      <x:c r="E439" s="26" t="str">
        <x:v>UX-INP-001</x:v>
      </x:c>
      <x:c r="F439" s="26" t="str">
        <x:v>Not Run</x:v>
      </x:c>
      <x:c r="G439" s="26"/>
      <x:c r="H439" s="26"/>
      <x:c r="I439" s="26" t="str">
        <x:v>VRM Games</x:v>
      </x:c>
      <x:c r="J439" s="26" t="str">
        <x:v>Unity 6000.3.18f1 / Windows x64</x:v>
      </x:c>
      <x:c r="K439" s="26" t="str">
        <x:v>05_UX_Flow.md</x:v>
      </x:c>
      <x:c r="L439" s="26"/>
      <x:c r="M439" s="26"/>
    </x:row>
    <x:row r="440" ht="30" customHeight="1">
      <x:c r="A440" s="26" t="str">
        <x:v>EXE-0137</x:v>
      </x:c>
      <x:c r="B440" s="26"/>
      <x:c r="C440" s="26"/>
      <x:c r="D440" s="26" t="str">
        <x:v>TC-UX-INP-002</x:v>
      </x:c>
      <x:c r="E440" s="26" t="str">
        <x:v>UX-INP-002</x:v>
      </x:c>
      <x:c r="F440" s="26" t="str">
        <x:v>Not Run</x:v>
      </x:c>
      <x:c r="G440" s="26"/>
      <x:c r="H440" s="26"/>
      <x:c r="I440" s="26" t="str">
        <x:v>VRM Games</x:v>
      </x:c>
      <x:c r="J440" s="26" t="str">
        <x:v>Unity 6000.3.18f1 / Windows x64</x:v>
      </x:c>
      <x:c r="K440" s="26" t="str">
        <x:v>05_UX_Flow.md</x:v>
      </x:c>
      <x:c r="L440" s="26"/>
      <x:c r="M440" s="26"/>
    </x:row>
    <x:row r="441" ht="30" customHeight="1">
      <x:c r="A441" s="26" t="str">
        <x:v>EXE-0138</x:v>
      </x:c>
      <x:c r="B441" s="26"/>
      <x:c r="C441" s="26"/>
      <x:c r="D441" s="26" t="str">
        <x:v>TC-UX-INP-003</x:v>
      </x:c>
      <x:c r="E441" s="26" t="str">
        <x:v>UX-INP-003</x:v>
      </x:c>
      <x:c r="F441" s="26" t="str">
        <x:v>Not Run</x:v>
      </x:c>
      <x:c r="G441" s="26"/>
      <x:c r="H441" s="26"/>
      <x:c r="I441" s="26" t="str">
        <x:v>VRM Games</x:v>
      </x:c>
      <x:c r="J441" s="26" t="str">
        <x:v>Unity 6000.3.18f1 / Windows x64</x:v>
      </x:c>
      <x:c r="K441" s="26" t="str">
        <x:v>05_UX_Flow.md</x:v>
      </x:c>
      <x:c r="L441" s="26"/>
      <x:c r="M441" s="26"/>
    </x:row>
    <x:row r="442" ht="30" customHeight="1">
      <x:c r="A442" s="26" t="str">
        <x:v>EXE-0139</x:v>
      </x:c>
      <x:c r="B442" s="26"/>
      <x:c r="C442" s="26"/>
      <x:c r="D442" s="26" t="str">
        <x:v>TC-UX-INP-004</x:v>
      </x:c>
      <x:c r="E442" s="26" t="str">
        <x:v>UX-INP-004</x:v>
      </x:c>
      <x:c r="F442" s="26" t="str">
        <x:v>Not Run</x:v>
      </x:c>
      <x:c r="G442" s="26"/>
      <x:c r="H442" s="26"/>
      <x:c r="I442" s="26" t="str">
        <x:v>VRM Games</x:v>
      </x:c>
      <x:c r="J442" s="26" t="str">
        <x:v>Unity 6000.3.18f1 / Windows x64</x:v>
      </x:c>
      <x:c r="K442" s="26" t="str">
        <x:v>05_UX_Flow.md</x:v>
      </x:c>
      <x:c r="L442" s="26"/>
      <x:c r="M442" s="26"/>
    </x:row>
    <x:row r="443" ht="30" customHeight="1">
      <x:c r="A443" s="26" t="str">
        <x:v>EXE-0140</x:v>
      </x:c>
      <x:c r="B443" s="26"/>
      <x:c r="C443" s="26"/>
      <x:c r="D443" s="26" t="str">
        <x:v>TC-UX-INP-005</x:v>
      </x:c>
      <x:c r="E443" s="26" t="str">
        <x:v>UX-INP-005</x:v>
      </x:c>
      <x:c r="F443" s="26" t="str">
        <x:v>Not Run</x:v>
      </x:c>
      <x:c r="G443" s="26"/>
      <x:c r="H443" s="26"/>
      <x:c r="I443" s="26" t="str">
        <x:v>VRM Games</x:v>
      </x:c>
      <x:c r="J443" s="26" t="str">
        <x:v>Unity 6000.3.18f1 / Windows x64</x:v>
      </x:c>
      <x:c r="K443" s="26" t="str">
        <x:v>05_UX_Flow.md</x:v>
      </x:c>
      <x:c r="L443" s="26"/>
      <x:c r="M443" s="26"/>
    </x:row>
    <x:row r="444" ht="30" customHeight="1">
      <x:c r="A444" s="26" t="str">
        <x:v>EXE-0141</x:v>
      </x:c>
      <x:c r="B444" s="26"/>
      <x:c r="C444" s="26"/>
      <x:c r="D444" s="26" t="str">
        <x:v>TC-UX-INP-006</x:v>
      </x:c>
      <x:c r="E444" s="26" t="str">
        <x:v>UX-INP-006</x:v>
      </x:c>
      <x:c r="F444" s="26" t="str">
        <x:v>Not Run</x:v>
      </x:c>
      <x:c r="G444" s="26"/>
      <x:c r="H444" s="26"/>
      <x:c r="I444" s="26" t="str">
        <x:v>VRM Games</x:v>
      </x:c>
      <x:c r="J444" s="26" t="str">
        <x:v>Unity 6000.3.18f1 / Windows x64</x:v>
      </x:c>
      <x:c r="K444" s="26" t="str">
        <x:v>05_UX_Flow.md</x:v>
      </x:c>
      <x:c r="L444" s="26"/>
      <x:c r="M444" s="26"/>
    </x:row>
    <x:row r="445" ht="30" customHeight="1">
      <x:c r="A445" s="26" t="str">
        <x:v>EXE-0142</x:v>
      </x:c>
      <x:c r="B445" s="26"/>
      <x:c r="C445" s="26"/>
      <x:c r="D445" s="26" t="str">
        <x:v>TC-UX-BLD-001</x:v>
      </x:c>
      <x:c r="E445" s="26" t="str">
        <x:v>UX-BLD-001</x:v>
      </x:c>
      <x:c r="F445" s="26" t="str">
        <x:v>Not Run</x:v>
      </x:c>
      <x:c r="G445" s="26"/>
      <x:c r="H445" s="26"/>
      <x:c r="I445" s="26" t="str">
        <x:v>VRM Games</x:v>
      </x:c>
      <x:c r="J445" s="26" t="str">
        <x:v>Unity 6000.3.18f1 / Windows x64</x:v>
      </x:c>
      <x:c r="K445" s="26" t="str">
        <x:v>05_UX_Flow.md</x:v>
      </x:c>
      <x:c r="L445" s="26"/>
      <x:c r="M445" s="26"/>
    </x:row>
    <x:row r="446" ht="30" customHeight="1">
      <x:c r="A446" s="26" t="str">
        <x:v>EXE-0143</x:v>
      </x:c>
      <x:c r="B446" s="26"/>
      <x:c r="C446" s="26"/>
      <x:c r="D446" s="26" t="str">
        <x:v>TC-UX-BLD-002</x:v>
      </x:c>
      <x:c r="E446" s="26" t="str">
        <x:v>UX-BLD-002</x:v>
      </x:c>
      <x:c r="F446" s="26" t="str">
        <x:v>Not Run</x:v>
      </x:c>
      <x:c r="G446" s="26"/>
      <x:c r="H446" s="26"/>
      <x:c r="I446" s="26" t="str">
        <x:v>VRM Games</x:v>
      </x:c>
      <x:c r="J446" s="26" t="str">
        <x:v>Unity 6000.3.18f1 / Windows x64</x:v>
      </x:c>
      <x:c r="K446" s="26" t="str">
        <x:v>05_UX_Flow.md</x:v>
      </x:c>
      <x:c r="L446" s="26"/>
      <x:c r="M446" s="26"/>
    </x:row>
    <x:row r="447" ht="30" customHeight="1">
      <x:c r="A447" s="26" t="str">
        <x:v>EXE-0144</x:v>
      </x:c>
      <x:c r="B447" s="26"/>
      <x:c r="C447" s="26"/>
      <x:c r="D447" s="26" t="str">
        <x:v>TC-UX-BLD-003</x:v>
      </x:c>
      <x:c r="E447" s="26" t="str">
        <x:v>UX-BLD-003</x:v>
      </x:c>
      <x:c r="F447" s="26" t="str">
        <x:v>Not Run</x:v>
      </x:c>
      <x:c r="G447" s="26"/>
      <x:c r="H447" s="26"/>
      <x:c r="I447" s="26" t="str">
        <x:v>VRM Games</x:v>
      </x:c>
      <x:c r="J447" s="26" t="str">
        <x:v>Unity 6000.3.18f1 / Windows x64</x:v>
      </x:c>
      <x:c r="K447" s="26" t="str">
        <x:v>05_UX_Flow.md</x:v>
      </x:c>
      <x:c r="L447" s="26"/>
      <x:c r="M447" s="26"/>
    </x:row>
    <x:row r="448" ht="30" customHeight="1">
      <x:c r="A448" s="26" t="str">
        <x:v>EXE-0145</x:v>
      </x:c>
      <x:c r="B448" s="26"/>
      <x:c r="C448" s="26"/>
      <x:c r="D448" s="26" t="str">
        <x:v>TC-UX-BLD-004</x:v>
      </x:c>
      <x:c r="E448" s="26" t="str">
        <x:v>UX-BLD-004</x:v>
      </x:c>
      <x:c r="F448" s="26" t="str">
        <x:v>Not Run</x:v>
      </x:c>
      <x:c r="G448" s="26"/>
      <x:c r="H448" s="26"/>
      <x:c r="I448" s="26" t="str">
        <x:v>VRM Games</x:v>
      </x:c>
      <x:c r="J448" s="26" t="str">
        <x:v>Unity 6000.3.18f1 / Windows x64</x:v>
      </x:c>
      <x:c r="K448" s="26" t="str">
        <x:v>05_UX_Flow.md</x:v>
      </x:c>
      <x:c r="L448" s="26"/>
      <x:c r="M448" s="26"/>
    </x:row>
    <x:row r="449" ht="30" customHeight="1">
      <x:c r="A449" s="26" t="str">
        <x:v>EXE-0146</x:v>
      </x:c>
      <x:c r="B449" s="26"/>
      <x:c r="C449" s="26"/>
      <x:c r="D449" s="26" t="str">
        <x:v>TC-UX-BLD-005</x:v>
      </x:c>
      <x:c r="E449" s="26" t="str">
        <x:v>UX-BLD-005</x:v>
      </x:c>
      <x:c r="F449" s="26" t="str">
        <x:v>Not Run</x:v>
      </x:c>
      <x:c r="G449" s="26"/>
      <x:c r="H449" s="26"/>
      <x:c r="I449" s="26" t="str">
        <x:v>VRM Games</x:v>
      </x:c>
      <x:c r="J449" s="26" t="str">
        <x:v>Unity 6000.3.18f1 / Windows x64</x:v>
      </x:c>
      <x:c r="K449" s="26" t="str">
        <x:v>05_UX_Flow.md</x:v>
      </x:c>
      <x:c r="L449" s="26"/>
      <x:c r="M449" s="26"/>
    </x:row>
    <x:row r="450" ht="30" customHeight="1">
      <x:c r="A450" s="26" t="str">
        <x:v>EXE-0147</x:v>
      </x:c>
      <x:c r="B450" s="26"/>
      <x:c r="C450" s="26"/>
      <x:c r="D450" s="26" t="str">
        <x:v>TC-UX-BLD-006</x:v>
      </x:c>
      <x:c r="E450" s="26" t="str">
        <x:v>UX-BLD-006</x:v>
      </x:c>
      <x:c r="F450" s="26" t="str">
        <x:v>Not Run</x:v>
      </x:c>
      <x:c r="G450" s="26"/>
      <x:c r="H450" s="26"/>
      <x:c r="I450" s="26" t="str">
        <x:v>VRM Games</x:v>
      </x:c>
      <x:c r="J450" s="26" t="str">
        <x:v>Unity 6000.3.18f1 / Windows x64</x:v>
      </x:c>
      <x:c r="K450" s="26" t="str">
        <x:v>05_UX_Flow.md</x:v>
      </x:c>
      <x:c r="L450" s="26"/>
      <x:c r="M450" s="26"/>
    </x:row>
    <x:row r="451" ht="30" customHeight="1">
      <x:c r="A451" s="26" t="str">
        <x:v>EXE-0148</x:v>
      </x:c>
      <x:c r="B451" s="26"/>
      <x:c r="C451" s="26"/>
      <x:c r="D451" s="26" t="str">
        <x:v>TC-UX-BLD-007</x:v>
      </x:c>
      <x:c r="E451" s="26" t="str">
        <x:v>UX-BLD-007</x:v>
      </x:c>
      <x:c r="F451" s="26" t="str">
        <x:v>Not Run</x:v>
      </x:c>
      <x:c r="G451" s="26"/>
      <x:c r="H451" s="26"/>
      <x:c r="I451" s="26" t="str">
        <x:v>VRM Games</x:v>
      </x:c>
      <x:c r="J451" s="26" t="str">
        <x:v>Unity 6000.3.18f1 / Windows x64</x:v>
      </x:c>
      <x:c r="K451" s="26" t="str">
        <x:v>05_UX_Flow.md</x:v>
      </x:c>
      <x:c r="L451" s="26"/>
      <x:c r="M451" s="26"/>
    </x:row>
    <x:row r="452" ht="30" customHeight="1">
      <x:c r="A452" s="26" t="str">
        <x:v>EXE-0149</x:v>
      </x:c>
      <x:c r="B452" s="26"/>
      <x:c r="C452" s="26"/>
      <x:c r="D452" s="26" t="str">
        <x:v>TC-UX-BLD-008</x:v>
      </x:c>
      <x:c r="E452" s="26" t="str">
        <x:v>UX-BLD-008</x:v>
      </x:c>
      <x:c r="F452" s="26" t="str">
        <x:v>Not Run</x:v>
      </x:c>
      <x:c r="G452" s="26"/>
      <x:c r="H452" s="26"/>
      <x:c r="I452" s="26" t="str">
        <x:v>VRM Games</x:v>
      </x:c>
      <x:c r="J452" s="26" t="str">
        <x:v>Unity 6000.3.18f1 / Windows x64</x:v>
      </x:c>
      <x:c r="K452" s="26" t="str">
        <x:v>05_UX_Flow.md</x:v>
      </x:c>
      <x:c r="L452" s="26"/>
      <x:c r="M452" s="26"/>
    </x:row>
    <x:row r="453" ht="30" customHeight="1">
      <x:c r="A453" s="26" t="str">
        <x:v>EXE-0150</x:v>
      </x:c>
      <x:c r="B453" s="26"/>
      <x:c r="C453" s="26"/>
      <x:c r="D453" s="26" t="str">
        <x:v>TC-UX-BLD-009</x:v>
      </x:c>
      <x:c r="E453" s="26" t="str">
        <x:v>UX-BLD-009</x:v>
      </x:c>
      <x:c r="F453" s="26" t="str">
        <x:v>Not Run</x:v>
      </x:c>
      <x:c r="G453" s="26"/>
      <x:c r="H453" s="26"/>
      <x:c r="I453" s="26" t="str">
        <x:v>VRM Games</x:v>
      </x:c>
      <x:c r="J453" s="26" t="str">
        <x:v>Unity 6000.3.18f1 / Windows x64</x:v>
      </x:c>
      <x:c r="K453" s="26" t="str">
        <x:v>05_UX_Flow.md</x:v>
      </x:c>
      <x:c r="L453" s="26"/>
      <x:c r="M453" s="26"/>
    </x:row>
    <x:row r="454" ht="30" customHeight="1">
      <x:c r="A454" s="26" t="str">
        <x:v>EXE-0151</x:v>
      </x:c>
      <x:c r="B454" s="26"/>
      <x:c r="C454" s="26"/>
      <x:c r="D454" s="26" t="str">
        <x:v>TC-UX-ORD-001</x:v>
      </x:c>
      <x:c r="E454" s="26" t="str">
        <x:v>UX-ORD-001</x:v>
      </x:c>
      <x:c r="F454" s="26" t="str">
        <x:v>Not Run</x:v>
      </x:c>
      <x:c r="G454" s="26"/>
      <x:c r="H454" s="26"/>
      <x:c r="I454" s="26" t="str">
        <x:v>VRM Games</x:v>
      </x:c>
      <x:c r="J454" s="26" t="str">
        <x:v>Unity 6000.3.18f1 / Windows x64</x:v>
      </x:c>
      <x:c r="K454" s="26" t="str">
        <x:v>05_UX_Flow.md</x:v>
      </x:c>
      <x:c r="L454" s="26"/>
      <x:c r="M454" s="26"/>
    </x:row>
    <x:row r="455" ht="30" customHeight="1">
      <x:c r="A455" s="26" t="str">
        <x:v>EXE-0152</x:v>
      </x:c>
      <x:c r="B455" s="26"/>
      <x:c r="C455" s="26"/>
      <x:c r="D455" s="26" t="str">
        <x:v>TC-UX-ORD-002</x:v>
      </x:c>
      <x:c r="E455" s="26" t="str">
        <x:v>UX-ORD-002</x:v>
      </x:c>
      <x:c r="F455" s="26" t="str">
        <x:v>Not Run</x:v>
      </x:c>
      <x:c r="G455" s="26"/>
      <x:c r="H455" s="26"/>
      <x:c r="I455" s="26" t="str">
        <x:v>VRM Games</x:v>
      </x:c>
      <x:c r="J455" s="26" t="str">
        <x:v>Unity 6000.3.18f1 / Windows x64</x:v>
      </x:c>
      <x:c r="K455" s="26" t="str">
        <x:v>05_UX_Flow.md</x:v>
      </x:c>
      <x:c r="L455" s="26"/>
      <x:c r="M455" s="26"/>
    </x:row>
    <x:row r="456" ht="30" customHeight="1">
      <x:c r="A456" s="26" t="str">
        <x:v>EXE-0153</x:v>
      </x:c>
      <x:c r="B456" s="26"/>
      <x:c r="C456" s="26"/>
      <x:c r="D456" s="26" t="str">
        <x:v>TC-UX-ORD-003</x:v>
      </x:c>
      <x:c r="E456" s="26" t="str">
        <x:v>UX-ORD-003</x:v>
      </x:c>
      <x:c r="F456" s="26" t="str">
        <x:v>Not Run</x:v>
      </x:c>
      <x:c r="G456" s="26"/>
      <x:c r="H456" s="26"/>
      <x:c r="I456" s="26" t="str">
        <x:v>VRM Games</x:v>
      </x:c>
      <x:c r="J456" s="26" t="str">
        <x:v>Unity 6000.3.18f1 / Windows x64</x:v>
      </x:c>
      <x:c r="K456" s="26" t="str">
        <x:v>05_UX_Flow.md</x:v>
      </x:c>
      <x:c r="L456" s="26"/>
      <x:c r="M456" s="26"/>
    </x:row>
    <x:row r="457" ht="30" customHeight="1">
      <x:c r="A457" s="26" t="str">
        <x:v>EXE-0154</x:v>
      </x:c>
      <x:c r="B457" s="26"/>
      <x:c r="C457" s="26"/>
      <x:c r="D457" s="26" t="str">
        <x:v>TC-UX-INV-001</x:v>
      </x:c>
      <x:c r="E457" s="26" t="str">
        <x:v>UX-INV-001</x:v>
      </x:c>
      <x:c r="F457" s="26" t="str">
        <x:v>Not Run</x:v>
      </x:c>
      <x:c r="G457" s="26"/>
      <x:c r="H457" s="26"/>
      <x:c r="I457" s="26" t="str">
        <x:v>VRM Games</x:v>
      </x:c>
      <x:c r="J457" s="26" t="str">
        <x:v>Unity 6000.3.18f1 / Windows x64</x:v>
      </x:c>
      <x:c r="K457" s="26" t="str">
        <x:v>05_UX_Flow.md</x:v>
      </x:c>
      <x:c r="L457" s="26"/>
      <x:c r="M457" s="26"/>
    </x:row>
    <x:row r="458" ht="30" customHeight="1">
      <x:c r="A458" s="26" t="str">
        <x:v>EXE-0155</x:v>
      </x:c>
      <x:c r="B458" s="26"/>
      <x:c r="C458" s="26"/>
      <x:c r="D458" s="26" t="str">
        <x:v>TC-UX-INV-002</x:v>
      </x:c>
      <x:c r="E458" s="26" t="str">
        <x:v>UX-INV-002</x:v>
      </x:c>
      <x:c r="F458" s="26" t="str">
        <x:v>Not Run</x:v>
      </x:c>
      <x:c r="G458" s="26"/>
      <x:c r="H458" s="26"/>
      <x:c r="I458" s="26" t="str">
        <x:v>VRM Games</x:v>
      </x:c>
      <x:c r="J458" s="26" t="str">
        <x:v>Unity 6000.3.18f1 / Windows x64</x:v>
      </x:c>
      <x:c r="K458" s="26" t="str">
        <x:v>05_UX_Flow.md</x:v>
      </x:c>
      <x:c r="L458" s="26"/>
      <x:c r="M458" s="26"/>
    </x:row>
    <x:row r="459" ht="30" customHeight="1">
      <x:c r="A459" s="26" t="str">
        <x:v>EXE-0156</x:v>
      </x:c>
      <x:c r="B459" s="26"/>
      <x:c r="C459" s="26"/>
      <x:c r="D459" s="26" t="str">
        <x:v>TC-UX-INV-003</x:v>
      </x:c>
      <x:c r="E459" s="26" t="str">
        <x:v>UX-INV-003</x:v>
      </x:c>
      <x:c r="F459" s="26" t="str">
        <x:v>Not Run</x:v>
      </x:c>
      <x:c r="G459" s="26"/>
      <x:c r="H459" s="26"/>
      <x:c r="I459" s="26" t="str">
        <x:v>VRM Games</x:v>
      </x:c>
      <x:c r="J459" s="26" t="str">
        <x:v>Unity 6000.3.18f1 / Windows x64</x:v>
      </x:c>
      <x:c r="K459" s="26" t="str">
        <x:v>05_UX_Flow.md</x:v>
      </x:c>
      <x:c r="L459" s="26"/>
      <x:c r="M459" s="26"/>
    </x:row>
    <x:row r="460" ht="30" customHeight="1">
      <x:c r="A460" s="26" t="str">
        <x:v>EXE-0157</x:v>
      </x:c>
      <x:c r="B460" s="26"/>
      <x:c r="C460" s="26"/>
      <x:c r="D460" s="26" t="str">
        <x:v>TC-UX-INV-004</x:v>
      </x:c>
      <x:c r="E460" s="26" t="str">
        <x:v>UX-INV-004</x:v>
      </x:c>
      <x:c r="F460" s="26" t="str">
        <x:v>Not Run</x:v>
      </x:c>
      <x:c r="G460" s="26"/>
      <x:c r="H460" s="26"/>
      <x:c r="I460" s="26" t="str">
        <x:v>VRM Games</x:v>
      </x:c>
      <x:c r="J460" s="26" t="str">
        <x:v>Unity 6000.3.18f1 / Windows x64</x:v>
      </x:c>
      <x:c r="K460" s="26" t="str">
        <x:v>05_UX_Flow.md</x:v>
      </x:c>
      <x:c r="L460" s="26"/>
      <x:c r="M460" s="26"/>
    </x:row>
    <x:row r="461" ht="30" customHeight="1">
      <x:c r="A461" s="26" t="str">
        <x:v>EXE-0158</x:v>
      </x:c>
      <x:c r="B461" s="26"/>
      <x:c r="C461" s="26"/>
      <x:c r="D461" s="26" t="str">
        <x:v>TC-UX-DSP-001</x:v>
      </x:c>
      <x:c r="E461" s="26" t="str">
        <x:v>UX-DSP-001</x:v>
      </x:c>
      <x:c r="F461" s="26" t="str">
        <x:v>Not Run</x:v>
      </x:c>
      <x:c r="G461" s="26"/>
      <x:c r="H461" s="26"/>
      <x:c r="I461" s="26" t="str">
        <x:v>VRM Games</x:v>
      </x:c>
      <x:c r="J461" s="26" t="str">
        <x:v>Unity 6000.3.18f1 / Windows x64</x:v>
      </x:c>
      <x:c r="K461" s="26" t="str">
        <x:v>05_UX_Flow.md</x:v>
      </x:c>
      <x:c r="L461" s="26"/>
      <x:c r="M461" s="26"/>
    </x:row>
    <x:row r="462" ht="30" customHeight="1">
      <x:c r="A462" s="26" t="str">
        <x:v>EXE-0159</x:v>
      </x:c>
      <x:c r="B462" s="26"/>
      <x:c r="C462" s="26"/>
      <x:c r="D462" s="26" t="str">
        <x:v>TC-UX-DSP-002</x:v>
      </x:c>
      <x:c r="E462" s="26" t="str">
        <x:v>UX-DSP-002</x:v>
      </x:c>
      <x:c r="F462" s="26" t="str">
        <x:v>Not Run</x:v>
      </x:c>
      <x:c r="G462" s="26"/>
      <x:c r="H462" s="26"/>
      <x:c r="I462" s="26" t="str">
        <x:v>VRM Games</x:v>
      </x:c>
      <x:c r="J462" s="26" t="str">
        <x:v>Unity 6000.3.18f1 / Windows x64</x:v>
      </x:c>
      <x:c r="K462" s="26" t="str">
        <x:v>05_UX_Flow.md</x:v>
      </x:c>
      <x:c r="L462" s="26"/>
      <x:c r="M462" s="26"/>
    </x:row>
    <x:row r="463" ht="30" customHeight="1">
      <x:c r="A463" s="26" t="str">
        <x:v>EXE-0160</x:v>
      </x:c>
      <x:c r="B463" s="26"/>
      <x:c r="C463" s="26"/>
      <x:c r="D463" s="26" t="str">
        <x:v>TC-UX-DSP-003</x:v>
      </x:c>
      <x:c r="E463" s="26" t="str">
        <x:v>UX-DSP-003</x:v>
      </x:c>
      <x:c r="F463" s="26" t="str">
        <x:v>Not Run</x:v>
      </x:c>
      <x:c r="G463" s="26"/>
      <x:c r="H463" s="26"/>
      <x:c r="I463" s="26" t="str">
        <x:v>VRM Games</x:v>
      </x:c>
      <x:c r="J463" s="26" t="str">
        <x:v>Unity 6000.3.18f1 / Windows x64</x:v>
      </x:c>
      <x:c r="K463" s="26" t="str">
        <x:v>05_UX_Flow.md</x:v>
      </x:c>
      <x:c r="L463" s="26"/>
      <x:c r="M463" s="26"/>
    </x:row>
    <x:row r="464" ht="30" customHeight="1">
      <x:c r="A464" s="26" t="str">
        <x:v>EXE-0161</x:v>
      </x:c>
      <x:c r="B464" s="26"/>
      <x:c r="C464" s="26"/>
      <x:c r="D464" s="26" t="str">
        <x:v>TC-UX-DAY-001</x:v>
      </x:c>
      <x:c r="E464" s="26" t="str">
        <x:v>UX-DAY-001</x:v>
      </x:c>
      <x:c r="F464" s="26" t="str">
        <x:v>Not Run</x:v>
      </x:c>
      <x:c r="G464" s="26"/>
      <x:c r="H464" s="26"/>
      <x:c r="I464" s="26" t="str">
        <x:v>VRM Games</x:v>
      </x:c>
      <x:c r="J464" s="26" t="str">
        <x:v>Unity 6000.3.18f1 / Windows x64</x:v>
      </x:c>
      <x:c r="K464" s="26" t="str">
        <x:v>05_UX_Flow.md</x:v>
      </x:c>
      <x:c r="L464" s="26"/>
      <x:c r="M464" s="26"/>
    </x:row>
    <x:row r="465" ht="30" customHeight="1">
      <x:c r="A465" s="26" t="str">
        <x:v>EXE-0162</x:v>
      </x:c>
      <x:c r="B465" s="26"/>
      <x:c r="C465" s="26"/>
      <x:c r="D465" s="26" t="str">
        <x:v>TC-UX-DAY-002</x:v>
      </x:c>
      <x:c r="E465" s="26" t="str">
        <x:v>UX-DAY-002</x:v>
      </x:c>
      <x:c r="F465" s="26" t="str">
        <x:v>Not Run</x:v>
      </x:c>
      <x:c r="G465" s="26"/>
      <x:c r="H465" s="26"/>
      <x:c r="I465" s="26" t="str">
        <x:v>VRM Games</x:v>
      </x:c>
      <x:c r="J465" s="26" t="str">
        <x:v>Unity 6000.3.18f1 / Windows x64</x:v>
      </x:c>
      <x:c r="K465" s="26" t="str">
        <x:v>05_UX_Flow.md</x:v>
      </x:c>
      <x:c r="L465" s="26"/>
      <x:c r="M465" s="26"/>
    </x:row>
    <x:row r="466" ht="30" customHeight="1">
      <x:c r="A466" s="26" t="str">
        <x:v>EXE-0163</x:v>
      </x:c>
      <x:c r="B466" s="26"/>
      <x:c r="C466" s="26"/>
      <x:c r="D466" s="26" t="str">
        <x:v>TC-UX-DAY-003</x:v>
      </x:c>
      <x:c r="E466" s="26" t="str">
        <x:v>UX-DAY-003</x:v>
      </x:c>
      <x:c r="F466" s="26" t="str">
        <x:v>Not Run</x:v>
      </x:c>
      <x:c r="G466" s="26"/>
      <x:c r="H466" s="26"/>
      <x:c r="I466" s="26" t="str">
        <x:v>VRM Games</x:v>
      </x:c>
      <x:c r="J466" s="26" t="str">
        <x:v>Unity 6000.3.18f1 / Windows x64</x:v>
      </x:c>
      <x:c r="K466" s="26" t="str">
        <x:v>05_UX_Flow.md</x:v>
      </x:c>
      <x:c r="L466" s="26"/>
      <x:c r="M466" s="26"/>
    </x:row>
    <x:row r="467" ht="30" customHeight="1">
      <x:c r="A467" s="26" t="str">
        <x:v>EXE-0164</x:v>
      </x:c>
      <x:c r="B467" s="26"/>
      <x:c r="C467" s="26"/>
      <x:c r="D467" s="26" t="str">
        <x:v>TC-UX-DAY-004</x:v>
      </x:c>
      <x:c r="E467" s="26" t="str">
        <x:v>UX-DAY-004</x:v>
      </x:c>
      <x:c r="F467" s="26" t="str">
        <x:v>Not Run</x:v>
      </x:c>
      <x:c r="G467" s="26"/>
      <x:c r="H467" s="26"/>
      <x:c r="I467" s="26" t="str">
        <x:v>VRM Games</x:v>
      </x:c>
      <x:c r="J467" s="26" t="str">
        <x:v>Unity 6000.3.18f1 / Windows x64</x:v>
      </x:c>
      <x:c r="K467" s="26" t="str">
        <x:v>05_UX_Flow.md</x:v>
      </x:c>
      <x:c r="L467" s="26"/>
      <x:c r="M467" s="26"/>
    </x:row>
    <x:row r="468" ht="30" customHeight="1">
      <x:c r="A468" s="26" t="str">
        <x:v>EXE-0165</x:v>
      </x:c>
      <x:c r="B468" s="26"/>
      <x:c r="C468" s="26"/>
      <x:c r="D468" s="26" t="str">
        <x:v>TC-UX-CUS-001</x:v>
      </x:c>
      <x:c r="E468" s="26" t="str">
        <x:v>UX-CUS-001</x:v>
      </x:c>
      <x:c r="F468" s="26" t="str">
        <x:v>Not Run</x:v>
      </x:c>
      <x:c r="G468" s="26"/>
      <x:c r="H468" s="26"/>
      <x:c r="I468" s="26" t="str">
        <x:v>VRM Games</x:v>
      </x:c>
      <x:c r="J468" s="26" t="str">
        <x:v>Unity 6000.3.18f1 / Windows x64</x:v>
      </x:c>
      <x:c r="K468" s="26" t="str">
        <x:v>05_UX_Flow.md</x:v>
      </x:c>
      <x:c r="L468" s="26"/>
      <x:c r="M468" s="26"/>
    </x:row>
    <x:row r="469" ht="30" customHeight="1">
      <x:c r="A469" s="26" t="str">
        <x:v>EXE-0166</x:v>
      </x:c>
      <x:c r="B469" s="26"/>
      <x:c r="C469" s="26"/>
      <x:c r="D469" s="26" t="str">
        <x:v>TC-UX-CUS-002</x:v>
      </x:c>
      <x:c r="E469" s="26" t="str">
        <x:v>UX-CUS-002</x:v>
      </x:c>
      <x:c r="F469" s="26" t="str">
        <x:v>Not Run</x:v>
      </x:c>
      <x:c r="G469" s="26"/>
      <x:c r="H469" s="26"/>
      <x:c r="I469" s="26" t="str">
        <x:v>VRM Games</x:v>
      </x:c>
      <x:c r="J469" s="26" t="str">
        <x:v>Unity 6000.3.18f1 / Windows x64</x:v>
      </x:c>
      <x:c r="K469" s="26" t="str">
        <x:v>05_UX_Flow.md</x:v>
      </x:c>
      <x:c r="L469" s="26"/>
      <x:c r="M469" s="26"/>
    </x:row>
    <x:row r="470" ht="30" customHeight="1">
      <x:c r="A470" s="26" t="str">
        <x:v>EXE-0167</x:v>
      </x:c>
      <x:c r="B470" s="26"/>
      <x:c r="C470" s="26"/>
      <x:c r="D470" s="26" t="str">
        <x:v>TC-UX-CUS-003</x:v>
      </x:c>
      <x:c r="E470" s="26" t="str">
        <x:v>UX-CUS-003</x:v>
      </x:c>
      <x:c r="F470" s="26" t="str">
        <x:v>Not Run</x:v>
      </x:c>
      <x:c r="G470" s="26"/>
      <x:c r="H470" s="26"/>
      <x:c r="I470" s="26" t="str">
        <x:v>VRM Games</x:v>
      </x:c>
      <x:c r="J470" s="26" t="str">
        <x:v>Unity 6000.3.18f1 / Windows x64</x:v>
      </x:c>
      <x:c r="K470" s="26" t="str">
        <x:v>05_UX_Flow.md</x:v>
      </x:c>
      <x:c r="L470" s="26"/>
      <x:c r="M470" s="26"/>
    </x:row>
    <x:row r="471" ht="30" customHeight="1">
      <x:c r="A471" s="26" t="str">
        <x:v>EXE-0168</x:v>
      </x:c>
      <x:c r="B471" s="26"/>
      <x:c r="C471" s="26"/>
      <x:c r="D471" s="26" t="str">
        <x:v>TC-UX-CUS-004</x:v>
      </x:c>
      <x:c r="E471" s="26" t="str">
        <x:v>UX-CUS-004</x:v>
      </x:c>
      <x:c r="F471" s="26" t="str">
        <x:v>Not Run</x:v>
      </x:c>
      <x:c r="G471" s="26"/>
      <x:c r="H471" s="26"/>
      <x:c r="I471" s="26" t="str">
        <x:v>VRM Games</x:v>
      </x:c>
      <x:c r="J471" s="26" t="str">
        <x:v>Unity 6000.3.18f1 / Windows x64</x:v>
      </x:c>
      <x:c r="K471" s="26" t="str">
        <x:v>05_UX_Flow.md</x:v>
      </x:c>
      <x:c r="L471" s="26"/>
      <x:c r="M471" s="26"/>
    </x:row>
    <x:row r="472" ht="30" customHeight="1">
      <x:c r="A472" s="26" t="str">
        <x:v>EXE-0169</x:v>
      </x:c>
      <x:c r="B472" s="26"/>
      <x:c r="C472" s="26"/>
      <x:c r="D472" s="26" t="str">
        <x:v>TC-UX-CUS-005</x:v>
      </x:c>
      <x:c r="E472" s="26" t="str">
        <x:v>UX-CUS-005</x:v>
      </x:c>
      <x:c r="F472" s="26" t="str">
        <x:v>Not Run</x:v>
      </x:c>
      <x:c r="G472" s="26"/>
      <x:c r="H472" s="26"/>
      <x:c r="I472" s="26" t="str">
        <x:v>VRM Games</x:v>
      </x:c>
      <x:c r="J472" s="26" t="str">
        <x:v>Unity 6000.3.18f1 / Windows x64</x:v>
      </x:c>
      <x:c r="K472" s="26" t="str">
        <x:v>05_UX_Flow.md</x:v>
      </x:c>
      <x:c r="L472" s="26"/>
      <x:c r="M472" s="26"/>
    </x:row>
    <x:row r="473" ht="30" customHeight="1">
      <x:c r="A473" s="26" t="str">
        <x:v>EXE-0170</x:v>
      </x:c>
      <x:c r="B473" s="26"/>
      <x:c r="C473" s="26"/>
      <x:c r="D473" s="26" t="str">
        <x:v>TC-UX-CHK-001</x:v>
      </x:c>
      <x:c r="E473" s="26" t="str">
        <x:v>UX-CHK-001</x:v>
      </x:c>
      <x:c r="F473" s="26" t="str">
        <x:v>Not Run</x:v>
      </x:c>
      <x:c r="G473" s="26"/>
      <x:c r="H473" s="26"/>
      <x:c r="I473" s="26" t="str">
        <x:v>VRM Games</x:v>
      </x:c>
      <x:c r="J473" s="26" t="str">
        <x:v>Unity 6000.3.18f1 / Windows x64</x:v>
      </x:c>
      <x:c r="K473" s="26" t="str">
        <x:v>05_UX_Flow.md</x:v>
      </x:c>
      <x:c r="L473" s="26"/>
      <x:c r="M473" s="26"/>
    </x:row>
    <x:row r="474" ht="30" customHeight="1">
      <x:c r="A474" s="26" t="str">
        <x:v>EXE-0171</x:v>
      </x:c>
      <x:c r="B474" s="26"/>
      <x:c r="C474" s="26"/>
      <x:c r="D474" s="26" t="str">
        <x:v>TC-UX-CHK-002</x:v>
      </x:c>
      <x:c r="E474" s="26" t="str">
        <x:v>UX-CHK-002</x:v>
      </x:c>
      <x:c r="F474" s="26" t="str">
        <x:v>Not Run</x:v>
      </x:c>
      <x:c r="G474" s="26"/>
      <x:c r="H474" s="26"/>
      <x:c r="I474" s="26" t="str">
        <x:v>VRM Games</x:v>
      </x:c>
      <x:c r="J474" s="26" t="str">
        <x:v>Unity 6000.3.18f1 / Windows x64</x:v>
      </x:c>
      <x:c r="K474" s="26" t="str">
        <x:v>05_UX_Flow.md</x:v>
      </x:c>
      <x:c r="L474" s="26"/>
      <x:c r="M474" s="26"/>
    </x:row>
    <x:row r="475" ht="30" customHeight="1">
      <x:c r="A475" s="26" t="str">
        <x:v>EXE-0172</x:v>
      </x:c>
      <x:c r="B475" s="26"/>
      <x:c r="C475" s="26"/>
      <x:c r="D475" s="26" t="str">
        <x:v>TC-UX-CHK-003</x:v>
      </x:c>
      <x:c r="E475" s="26" t="str">
        <x:v>UX-CHK-003</x:v>
      </x:c>
      <x:c r="F475" s="26" t="str">
        <x:v>Not Run</x:v>
      </x:c>
      <x:c r="G475" s="26"/>
      <x:c r="H475" s="26"/>
      <x:c r="I475" s="26" t="str">
        <x:v>VRM Games</x:v>
      </x:c>
      <x:c r="J475" s="26" t="str">
        <x:v>Unity 6000.3.18f1 / Windows x64</x:v>
      </x:c>
      <x:c r="K475" s="26" t="str">
        <x:v>05_UX_Flow.md</x:v>
      </x:c>
      <x:c r="L475" s="26"/>
      <x:c r="M475" s="26"/>
    </x:row>
    <x:row r="476" ht="30" customHeight="1">
      <x:c r="A476" s="26" t="str">
        <x:v>EXE-0173</x:v>
      </x:c>
      <x:c r="B476" s="26"/>
      <x:c r="C476" s="26"/>
      <x:c r="D476" s="26" t="str">
        <x:v>TC-UX-CHK-004</x:v>
      </x:c>
      <x:c r="E476" s="26" t="str">
        <x:v>UX-CHK-004</x:v>
      </x:c>
      <x:c r="F476" s="26" t="str">
        <x:v>Not Run</x:v>
      </x:c>
      <x:c r="G476" s="26"/>
      <x:c r="H476" s="26"/>
      <x:c r="I476" s="26" t="str">
        <x:v>VRM Games</x:v>
      </x:c>
      <x:c r="J476" s="26" t="str">
        <x:v>Unity 6000.3.18f1 / Windows x64</x:v>
      </x:c>
      <x:c r="K476" s="26" t="str">
        <x:v>05_UX_Flow.md</x:v>
      </x:c>
      <x:c r="L476" s="26"/>
      <x:c r="M476" s="26"/>
    </x:row>
    <x:row r="477" ht="30" customHeight="1">
      <x:c r="A477" s="26" t="str">
        <x:v>EXE-0174</x:v>
      </x:c>
      <x:c r="B477" s="26"/>
      <x:c r="C477" s="26"/>
      <x:c r="D477" s="26" t="str">
        <x:v>TC-UX-CHK-005</x:v>
      </x:c>
      <x:c r="E477" s="26" t="str">
        <x:v>UX-CHK-005</x:v>
      </x:c>
      <x:c r="F477" s="26" t="str">
        <x:v>Not Run</x:v>
      </x:c>
      <x:c r="G477" s="26"/>
      <x:c r="H477" s="26"/>
      <x:c r="I477" s="26" t="str">
        <x:v>VRM Games</x:v>
      </x:c>
      <x:c r="J477" s="26" t="str">
        <x:v>Unity 6000.3.18f1 / Windows x64</x:v>
      </x:c>
      <x:c r="K477" s="26" t="str">
        <x:v>05_UX_Flow.md</x:v>
      </x:c>
      <x:c r="L477" s="26"/>
      <x:c r="M477" s="26"/>
    </x:row>
    <x:row r="478" ht="30" customHeight="1">
      <x:c r="A478" s="26" t="str">
        <x:v>EXE-0175</x:v>
      </x:c>
      <x:c r="B478" s="26"/>
      <x:c r="C478" s="26"/>
      <x:c r="D478" s="26" t="str">
        <x:v>TC-UX-ECO-001</x:v>
      </x:c>
      <x:c r="E478" s="26" t="str">
        <x:v>UX-ECO-001</x:v>
      </x:c>
      <x:c r="F478" s="26" t="str">
        <x:v>Not Run</x:v>
      </x:c>
      <x:c r="G478" s="26"/>
      <x:c r="H478" s="26"/>
      <x:c r="I478" s="26" t="str">
        <x:v>VRM Games</x:v>
      </x:c>
      <x:c r="J478" s="26" t="str">
        <x:v>Unity 6000.3.18f1 / Windows x64</x:v>
      </x:c>
      <x:c r="K478" s="26" t="str">
        <x:v>05_UX_Flow.md</x:v>
      </x:c>
      <x:c r="L478" s="26"/>
      <x:c r="M478" s="26"/>
    </x:row>
    <x:row r="479" ht="30" customHeight="1">
      <x:c r="A479" s="26" t="str">
        <x:v>EXE-0176</x:v>
      </x:c>
      <x:c r="B479" s="26"/>
      <x:c r="C479" s="26"/>
      <x:c r="D479" s="26" t="str">
        <x:v>TC-UX-ECO-002</x:v>
      </x:c>
      <x:c r="E479" s="26" t="str">
        <x:v>UX-ECO-002</x:v>
      </x:c>
      <x:c r="F479" s="26" t="str">
        <x:v>Not Run</x:v>
      </x:c>
      <x:c r="G479" s="26"/>
      <x:c r="H479" s="26"/>
      <x:c r="I479" s="26" t="str">
        <x:v>VRM Games</x:v>
      </x:c>
      <x:c r="J479" s="26" t="str">
        <x:v>Unity 6000.3.18f1 / Windows x64</x:v>
      </x:c>
      <x:c r="K479" s="26" t="str">
        <x:v>05_UX_Flow.md</x:v>
      </x:c>
      <x:c r="L479" s="26"/>
      <x:c r="M479" s="26"/>
    </x:row>
    <x:row r="480" ht="30" customHeight="1">
      <x:c r="A480" s="26" t="str">
        <x:v>EXE-0177</x:v>
      </x:c>
      <x:c r="B480" s="26"/>
      <x:c r="C480" s="26"/>
      <x:c r="D480" s="26" t="str">
        <x:v>TC-UX-ECO-003</x:v>
      </x:c>
      <x:c r="E480" s="26" t="str">
        <x:v>UX-ECO-003</x:v>
      </x:c>
      <x:c r="F480" s="26" t="str">
        <x:v>Not Run</x:v>
      </x:c>
      <x:c r="G480" s="26"/>
      <x:c r="H480" s="26"/>
      <x:c r="I480" s="26" t="str">
        <x:v>VRM Games</x:v>
      </x:c>
      <x:c r="J480" s="26" t="str">
        <x:v>Unity 6000.3.18f1 / Windows x64</x:v>
      </x:c>
      <x:c r="K480" s="26" t="str">
        <x:v>05_UX_Flow.md</x:v>
      </x:c>
      <x:c r="L480" s="26"/>
      <x:c r="M480" s="26"/>
    </x:row>
    <x:row r="481" ht="30" customHeight="1">
      <x:c r="A481" s="26" t="str">
        <x:v>EXE-0178</x:v>
      </x:c>
      <x:c r="B481" s="26"/>
      <x:c r="C481" s="26"/>
      <x:c r="D481" s="26" t="str">
        <x:v>TC-UX-SAV-001</x:v>
      </x:c>
      <x:c r="E481" s="26" t="str">
        <x:v>UX-SAV-001</x:v>
      </x:c>
      <x:c r="F481" s="26" t="str">
        <x:v>Not Run</x:v>
      </x:c>
      <x:c r="G481" s="26"/>
      <x:c r="H481" s="26"/>
      <x:c r="I481" s="26" t="str">
        <x:v>VRM Games</x:v>
      </x:c>
      <x:c r="J481" s="26" t="str">
        <x:v>Unity 6000.3.18f1 / Windows x64</x:v>
      </x:c>
      <x:c r="K481" s="26" t="str">
        <x:v>05_UX_Flow.md</x:v>
      </x:c>
      <x:c r="L481" s="26"/>
      <x:c r="M481" s="26"/>
    </x:row>
    <x:row r="482" ht="30" customHeight="1">
      <x:c r="A482" s="26" t="str">
        <x:v>EXE-0179</x:v>
      </x:c>
      <x:c r="B482" s="26"/>
      <x:c r="C482" s="26"/>
      <x:c r="D482" s="26" t="str">
        <x:v>TC-UX-SAV-002</x:v>
      </x:c>
      <x:c r="E482" s="26" t="str">
        <x:v>UX-SAV-002</x:v>
      </x:c>
      <x:c r="F482" s="26" t="str">
        <x:v>Not Run</x:v>
      </x:c>
      <x:c r="G482" s="26"/>
      <x:c r="H482" s="26"/>
      <x:c r="I482" s="26" t="str">
        <x:v>VRM Games</x:v>
      </x:c>
      <x:c r="J482" s="26" t="str">
        <x:v>Unity 6000.3.18f1 / Windows x64</x:v>
      </x:c>
      <x:c r="K482" s="26" t="str">
        <x:v>05_UX_Flow.md</x:v>
      </x:c>
      <x:c r="L482" s="26"/>
      <x:c r="M482" s="26"/>
    </x:row>
    <x:row r="483" ht="30" customHeight="1">
      <x:c r="A483" s="26" t="str">
        <x:v>EXE-0180</x:v>
      </x:c>
      <x:c r="B483" s="26"/>
      <x:c r="C483" s="26"/>
      <x:c r="D483" s="26" t="str">
        <x:v>TC-UX-SAV-003</x:v>
      </x:c>
      <x:c r="E483" s="26" t="str">
        <x:v>UX-SAV-003</x:v>
      </x:c>
      <x:c r="F483" s="26" t="str">
        <x:v>Not Run</x:v>
      </x:c>
      <x:c r="G483" s="26"/>
      <x:c r="H483" s="26"/>
      <x:c r="I483" s="26" t="str">
        <x:v>VRM Games</x:v>
      </x:c>
      <x:c r="J483" s="26" t="str">
        <x:v>Unity 6000.3.18f1 / Windows x64</x:v>
      </x:c>
      <x:c r="K483" s="26" t="str">
        <x:v>05_UX_Flow.md</x:v>
      </x:c>
      <x:c r="L483" s="26"/>
      <x:c r="M483" s="26"/>
    </x:row>
    <x:row r="484" ht="30" customHeight="1">
      <x:c r="A484" s="26" t="str">
        <x:v>EXE-0181</x:v>
      </x:c>
      <x:c r="B484" s="26"/>
      <x:c r="C484" s="26"/>
      <x:c r="D484" s="26" t="str">
        <x:v>TC-UX-SAV-004</x:v>
      </x:c>
      <x:c r="E484" s="26" t="str">
        <x:v>UX-SAV-004</x:v>
      </x:c>
      <x:c r="F484" s="26" t="str">
        <x:v>Not Run</x:v>
      </x:c>
      <x:c r="G484" s="26"/>
      <x:c r="H484" s="26"/>
      <x:c r="I484" s="26" t="str">
        <x:v>VRM Games</x:v>
      </x:c>
      <x:c r="J484" s="26" t="str">
        <x:v>Unity 6000.3.18f1 / Windows x64</x:v>
      </x:c>
      <x:c r="K484" s="26" t="str">
        <x:v>05_UX_Flow.md</x:v>
      </x:c>
      <x:c r="L484" s="26"/>
      <x:c r="M484" s="26"/>
    </x:row>
    <x:row r="485" ht="30" customHeight="1">
      <x:c r="A485" s="26" t="str">
        <x:v>EXE-0182</x:v>
      </x:c>
      <x:c r="B485" s="26"/>
      <x:c r="C485" s="26"/>
      <x:c r="D485" s="26" t="str">
        <x:v>TC-UX-ACC-001</x:v>
      </x:c>
      <x:c r="E485" s="26" t="str">
        <x:v>UX-ACC-001</x:v>
      </x:c>
      <x:c r="F485" s="26" t="str">
        <x:v>Not Run</x:v>
      </x:c>
      <x:c r="G485" s="26"/>
      <x:c r="H485" s="26"/>
      <x:c r="I485" s="26" t="str">
        <x:v>VRM Games</x:v>
      </x:c>
      <x:c r="J485" s="26" t="str">
        <x:v>Unity 6000.3.18f1 / Windows x64</x:v>
      </x:c>
      <x:c r="K485" s="26" t="str">
        <x:v>05_UX_Flow.md</x:v>
      </x:c>
      <x:c r="L485" s="26"/>
      <x:c r="M485" s="26"/>
    </x:row>
    <x:row r="486" ht="30" customHeight="1">
      <x:c r="A486" s="26" t="str">
        <x:v>EXE-0183</x:v>
      </x:c>
      <x:c r="B486" s="26"/>
      <x:c r="C486" s="26"/>
      <x:c r="D486" s="26" t="str">
        <x:v>TC-UX-ACC-002</x:v>
      </x:c>
      <x:c r="E486" s="26" t="str">
        <x:v>UX-ACC-002</x:v>
      </x:c>
      <x:c r="F486" s="26" t="str">
        <x:v>Not Run</x:v>
      </x:c>
      <x:c r="G486" s="26"/>
      <x:c r="H486" s="26"/>
      <x:c r="I486" s="26" t="str">
        <x:v>VRM Games</x:v>
      </x:c>
      <x:c r="J486" s="26" t="str">
        <x:v>Unity 6000.3.18f1 / Windows x64</x:v>
      </x:c>
      <x:c r="K486" s="26" t="str">
        <x:v>05_UX_Flow.md</x:v>
      </x:c>
      <x:c r="L486" s="26"/>
      <x:c r="M486" s="26"/>
    </x:row>
    <x:row r="487" ht="30" customHeight="1">
      <x:c r="A487" s="26" t="str">
        <x:v>EXE-0184</x:v>
      </x:c>
      <x:c r="B487" s="26"/>
      <x:c r="C487" s="26"/>
      <x:c r="D487" s="26" t="str">
        <x:v>TC-UX-ACC-003</x:v>
      </x:c>
      <x:c r="E487" s="26" t="str">
        <x:v>UX-ACC-003</x:v>
      </x:c>
      <x:c r="F487" s="26" t="str">
        <x:v>Not Run</x:v>
      </x:c>
      <x:c r="G487" s="26"/>
      <x:c r="H487" s="26"/>
      <x:c r="I487" s="26" t="str">
        <x:v>VRM Games</x:v>
      </x:c>
      <x:c r="J487" s="26" t="str">
        <x:v>Unity 6000.3.18f1 / Windows x64</x:v>
      </x:c>
      <x:c r="K487" s="26" t="str">
        <x:v>05_UX_Flow.md</x:v>
      </x:c>
      <x:c r="L487" s="26"/>
      <x:c r="M487" s="26"/>
    </x:row>
    <x:row r="488" ht="30" customHeight="1">
      <x:c r="A488" s="26" t="str">
        <x:v>EXE-0185</x:v>
      </x:c>
      <x:c r="B488" s="26"/>
      <x:c r="C488" s="26"/>
      <x:c r="D488" s="26" t="str">
        <x:v>TC-UX-ACC-004</x:v>
      </x:c>
      <x:c r="E488" s="26" t="str">
        <x:v>UX-ACC-004</x:v>
      </x:c>
      <x:c r="F488" s="26" t="str">
        <x:v>Not Run</x:v>
      </x:c>
      <x:c r="G488" s="26"/>
      <x:c r="H488" s="26"/>
      <x:c r="I488" s="26" t="str">
        <x:v>VRM Games</x:v>
      </x:c>
      <x:c r="J488" s="26" t="str">
        <x:v>Unity 6000.3.18f1 / Windows x64</x:v>
      </x:c>
      <x:c r="K488" s="26" t="str">
        <x:v>05_UX_Flow.md</x:v>
      </x:c>
      <x:c r="L488" s="26"/>
      <x:c r="M488" s="26"/>
    </x:row>
    <x:row r="489" ht="30" customHeight="1">
      <x:c r="A489" s="26" t="str">
        <x:v>EXE-0186</x:v>
      </x:c>
      <x:c r="B489" s="26"/>
      <x:c r="C489" s="26"/>
      <x:c r="D489" s="26" t="str">
        <x:v>TC-UX-ACC-005</x:v>
      </x:c>
      <x:c r="E489" s="26" t="str">
        <x:v>UX-ACC-005</x:v>
      </x:c>
      <x:c r="F489" s="26" t="str">
        <x:v>Not Run</x:v>
      </x:c>
      <x:c r="G489" s="26"/>
      <x:c r="H489" s="26"/>
      <x:c r="I489" s="26" t="str">
        <x:v>VRM Games</x:v>
      </x:c>
      <x:c r="J489" s="26" t="str">
        <x:v>Unity 6000.3.18f1 / Windows x64</x:v>
      </x:c>
      <x:c r="K489" s="26" t="str">
        <x:v>05_UX_Flow.md</x:v>
      </x:c>
      <x:c r="L489" s="26"/>
      <x:c r="M489" s="26"/>
    </x:row>
    <x:row r="490" ht="30" customHeight="1">
      <x:c r="A490" s="26" t="str">
        <x:v>EXE-0187</x:v>
      </x:c>
      <x:c r="B490" s="26"/>
      <x:c r="C490" s="26"/>
      <x:c r="D490" s="26" t="str">
        <x:v>TC-UX-LOC-001</x:v>
      </x:c>
      <x:c r="E490" s="26" t="str">
        <x:v>UX-LOC-001</x:v>
      </x:c>
      <x:c r="F490" s="26" t="str">
        <x:v>Not Run</x:v>
      </x:c>
      <x:c r="G490" s="26"/>
      <x:c r="H490" s="26"/>
      <x:c r="I490" s="26" t="str">
        <x:v>VRM Games</x:v>
      </x:c>
      <x:c r="J490" s="26" t="str">
        <x:v>Unity 6000.3.18f1 / Windows x64</x:v>
      </x:c>
      <x:c r="K490" s="26" t="str">
        <x:v>05_UX_Flow.md</x:v>
      </x:c>
      <x:c r="L490" s="26"/>
      <x:c r="M490" s="26"/>
    </x:row>
    <x:row r="491" ht="30" customHeight="1">
      <x:c r="A491" s="26" t="str">
        <x:v>EXE-0188</x:v>
      </x:c>
      <x:c r="B491" s="26"/>
      <x:c r="C491" s="26"/>
      <x:c r="D491" s="26" t="str">
        <x:v>TC-UX-GP-001</x:v>
      </x:c>
      <x:c r="E491" s="26" t="str">
        <x:v>UX-GP-001</x:v>
      </x:c>
      <x:c r="F491" s="26" t="str">
        <x:v>Not Run</x:v>
      </x:c>
      <x:c r="G491" s="26"/>
      <x:c r="H491" s="26"/>
      <x:c r="I491" s="26" t="str">
        <x:v>VRM Games</x:v>
      </x:c>
      <x:c r="J491" s="26" t="str">
        <x:v>Unity 6000.3.18f1 / Windows x64</x:v>
      </x:c>
      <x:c r="K491" s="26" t="str">
        <x:v>05_UX_Flow.md</x:v>
      </x:c>
      <x:c r="L491" s="26"/>
      <x:c r="M491" s="26"/>
    </x:row>
    <x:row r="492" ht="30" customHeight="1">
      <x:c r="A492" s="26" t="str">
        <x:v>EXE-0189</x:v>
      </x:c>
      <x:c r="B492" s="26"/>
      <x:c r="C492" s="26"/>
      <x:c r="D492" s="26" t="str">
        <x:v>TC-UX-GP-002</x:v>
      </x:c>
      <x:c r="E492" s="26" t="str">
        <x:v>UX-GP-002</x:v>
      </x:c>
      <x:c r="F492" s="26" t="str">
        <x:v>Not Run</x:v>
      </x:c>
      <x:c r="G492" s="26"/>
      <x:c r="H492" s="26"/>
      <x:c r="I492" s="26" t="str">
        <x:v>VRM Games</x:v>
      </x:c>
      <x:c r="J492" s="26" t="str">
        <x:v>Unity 6000.3.18f1 / Windows x64</x:v>
      </x:c>
      <x:c r="K492" s="26" t="str">
        <x:v>05_UX_Flow.md</x:v>
      </x:c>
      <x:c r="L492" s="26"/>
      <x:c r="M492" s="26"/>
    </x:row>
    <x:row r="493" ht="30" customHeight="1">
      <x:c r="A493" s="26" t="str">
        <x:v>EXE-0190</x:v>
      </x:c>
      <x:c r="B493" s="26"/>
      <x:c r="C493" s="26"/>
      <x:c r="D493" s="26" t="str">
        <x:v>TC-UX-GP-003</x:v>
      </x:c>
      <x:c r="E493" s="26" t="str">
        <x:v>UX-GP-003</x:v>
      </x:c>
      <x:c r="F493" s="26" t="str">
        <x:v>Not Run</x:v>
      </x:c>
      <x:c r="G493" s="26"/>
      <x:c r="H493" s="26"/>
      <x:c r="I493" s="26" t="str">
        <x:v>VRM Games</x:v>
      </x:c>
      <x:c r="J493" s="26" t="str">
        <x:v>Unity 6000.3.18f1 / Windows x64</x:v>
      </x:c>
      <x:c r="K493" s="26" t="str">
        <x:v>05_UX_Flow.md</x:v>
      </x:c>
      <x:c r="L493" s="26"/>
      <x:c r="M493" s="26"/>
    </x:row>
    <x:row r="494" ht="30" customHeight="1">
      <x:c r="A494" s="26" t="str">
        <x:v>EXE-0191</x:v>
      </x:c>
      <x:c r="B494" s="26"/>
      <x:c r="C494" s="26"/>
      <x:c r="D494" s="26" t="str">
        <x:v>TC-UX-GP-004</x:v>
      </x:c>
      <x:c r="E494" s="26" t="str">
        <x:v>UX-GP-004</x:v>
      </x:c>
      <x:c r="F494" s="26" t="str">
        <x:v>Not Run</x:v>
      </x:c>
      <x:c r="G494" s="26"/>
      <x:c r="H494" s="26"/>
      <x:c r="I494" s="26" t="str">
        <x:v>VRM Games</x:v>
      </x:c>
      <x:c r="J494" s="26" t="str">
        <x:v>Unity 6000.3.18f1 / Windows x64</x:v>
      </x:c>
      <x:c r="K494" s="26" t="str">
        <x:v>05_UX_Flow.md</x:v>
      </x:c>
      <x:c r="L494" s="26"/>
      <x:c r="M494" s="26"/>
    </x:row>
    <x:row r="495" ht="30" customHeight="1">
      <x:c r="A495" s="26" t="str">
        <x:v>EXE-0192</x:v>
      </x:c>
      <x:c r="B495" s="26"/>
      <x:c r="C495" s="26"/>
      <x:c r="D495" s="26" t="str">
        <x:v>TC-UX-GP-005</x:v>
      </x:c>
      <x:c r="E495" s="26" t="str">
        <x:v>UX-GP-005</x:v>
      </x:c>
      <x:c r="F495" s="26" t="str">
        <x:v>Not Run</x:v>
      </x:c>
      <x:c r="G495" s="26"/>
      <x:c r="H495" s="26"/>
      <x:c r="I495" s="26" t="str">
        <x:v>VRM Games</x:v>
      </x:c>
      <x:c r="J495" s="26" t="str">
        <x:v>Unity 6000.3.18f1 / Windows x64</x:v>
      </x:c>
      <x:c r="K495" s="26" t="str">
        <x:v>05_UX_Flow.md</x:v>
      </x:c>
      <x:c r="L495" s="26"/>
      <x:c r="M495" s="26"/>
    </x:row>
    <x:row r="496" ht="30" customHeight="1">
      <x:c r="A496" s="26" t="str">
        <x:v>EXE-0193</x:v>
      </x:c>
      <x:c r="B496" s="26"/>
      <x:c r="C496" s="26"/>
      <x:c r="D496" s="26" t="str">
        <x:v>TC-UX-GP-006</x:v>
      </x:c>
      <x:c r="E496" s="26" t="str">
        <x:v>UX-GP-006</x:v>
      </x:c>
      <x:c r="F496" s="26" t="str">
        <x:v>Not Run</x:v>
      </x:c>
      <x:c r="G496" s="26"/>
      <x:c r="H496" s="26"/>
      <x:c r="I496" s="26" t="str">
        <x:v>VRM Games</x:v>
      </x:c>
      <x:c r="J496" s="26" t="str">
        <x:v>Unity 6000.3.18f1 / Windows x64</x:v>
      </x:c>
      <x:c r="K496" s="26" t="str">
        <x:v>05_UX_Flow.md</x:v>
      </x:c>
      <x:c r="L496" s="26"/>
      <x:c r="M496" s="26"/>
    </x:row>
    <x:row r="497" ht="30" customHeight="1">
      <x:c r="A497" s="26" t="str">
        <x:v>EXE-0194</x:v>
      </x:c>
      <x:c r="B497" s="26"/>
      <x:c r="C497" s="26"/>
      <x:c r="D497" s="26" t="str">
        <x:v>TC-GOV-001</x:v>
      </x:c>
      <x:c r="E497" s="26" t="str">
        <x:v>GOV-001</x:v>
      </x:c>
      <x:c r="F497" s="26" t="str">
        <x:v>Pending</x:v>
      </x:c>
      <x:c r="G497" s="26"/>
      <x:c r="H497" s="26"/>
      <x:c r="I497" s="26" t="str">
        <x:v>VRM Games</x:v>
      </x:c>
      <x:c r="J497" s="26" t="str">
        <x:v>Unity 6000.3.18f1 / Windows x64</x:v>
      </x:c>
      <x:c r="K497" s="26" t="str">
        <x:v>06_Production_Roadmap_y_Sprint_Plan.md</x:v>
      </x:c>
      <x:c r="L497" s="26"/>
      <x:c r="M497" s="26"/>
    </x:row>
    <x:row r="498" ht="30" customHeight="1">
      <x:c r="A498" s="26" t="str">
        <x:v>EXE-0195</x:v>
      </x:c>
      <x:c r="B498" s="26"/>
      <x:c r="C498" s="26"/>
      <x:c r="D498" s="26" t="str">
        <x:v>TC-GOV-002</x:v>
      </x:c>
      <x:c r="E498" s="26" t="str">
        <x:v>GOV-002</x:v>
      </x:c>
      <x:c r="F498" s="26" t="str">
        <x:v>Pending</x:v>
      </x:c>
      <x:c r="G498" s="26"/>
      <x:c r="H498" s="26"/>
      <x:c r="I498" s="26" t="str">
        <x:v>VRM Games</x:v>
      </x:c>
      <x:c r="J498" s="26" t="str">
        <x:v>Unity 6000.3.18f1 / Windows x64</x:v>
      </x:c>
      <x:c r="K498" s="26" t="str">
        <x:v>06_Production_Roadmap_y_Sprint_Plan.md</x:v>
      </x:c>
      <x:c r="L498" s="26"/>
      <x:c r="M498" s="26"/>
    </x:row>
    <x:row r="499" ht="30" customHeight="1">
      <x:c r="A499" s="26" t="str">
        <x:v>EXE-0196</x:v>
      </x:c>
      <x:c r="B499" s="26"/>
      <x:c r="C499" s="26"/>
      <x:c r="D499" s="26" t="str">
        <x:v>TC-GOV-003</x:v>
      </x:c>
      <x:c r="E499" s="26" t="str">
        <x:v>GOV-003</x:v>
      </x:c>
      <x:c r="F499" s="26" t="str">
        <x:v>Pending</x:v>
      </x:c>
      <x:c r="G499" s="26"/>
      <x:c r="H499" s="26"/>
      <x:c r="I499" s="26" t="str">
        <x:v>VRM Games</x:v>
      </x:c>
      <x:c r="J499" s="26" t="str">
        <x:v>Unity 6000.3.18f1 / Windows x64</x:v>
      </x:c>
      <x:c r="K499" s="26" t="str">
        <x:v>07_QA_Testing_Plan.md</x:v>
      </x:c>
      <x:c r="L499" s="26"/>
      <x:c r="M499" s="26"/>
    </x:row>
    <x:row r="500" ht="30" customHeight="1">
      <x:c r="A500" s="26" t="str">
        <x:v>EXE-0197</x:v>
      </x:c>
      <x:c r="B500" s="26"/>
      <x:c r="C500" s="26"/>
      <x:c r="D500" s="26" t="str">
        <x:v>TC-GOV-004</x:v>
      </x:c>
      <x:c r="E500" s="26" t="str">
        <x:v>GOV-004</x:v>
      </x:c>
      <x:c r="F500" s="26" t="str">
        <x:v>Pending</x:v>
      </x:c>
      <x:c r="G500" s="26"/>
      <x:c r="H500" s="26"/>
      <x:c r="I500" s="26" t="str">
        <x:v>VRM Games</x:v>
      </x:c>
      <x:c r="J500" s="26" t="str">
        <x:v>Unity 6000.3.18f1 / Windows x64</x:v>
      </x:c>
      <x:c r="K500" s="26" t="str">
        <x:v>07_QA_Testing_Plan.md</x:v>
      </x:c>
      <x:c r="L500" s="26"/>
      <x:c r="M500" s="26"/>
    </x:row>
    <x:row r="501" ht="30" customHeight="1">
      <x:c r="A501" s="26" t="str">
        <x:v>EXE-0198</x:v>
      </x:c>
      <x:c r="B501" s="26"/>
      <x:c r="C501" s="26"/>
      <x:c r="D501" s="26" t="str">
        <x:v>TC-GOV-005</x:v>
      </x:c>
      <x:c r="E501" s="26" t="str">
        <x:v>GOV-005</x:v>
      </x:c>
      <x:c r="F501" s="26" t="str">
        <x:v>Pending</x:v>
      </x:c>
      <x:c r="G501" s="26"/>
      <x:c r="H501" s="26"/>
      <x:c r="I501" s="26" t="str">
        <x:v>VRM Games</x:v>
      </x:c>
      <x:c r="J501" s="26" t="str">
        <x:v>Unity 6000.3.18f1 / Windows x64</x:v>
      </x:c>
      <x:c r="K501" s="26" t="str">
        <x:v>04_Modelo_de_Datos.md</x:v>
      </x:c>
      <x:c r="L501" s="26"/>
      <x:c r="M501" s="26"/>
    </x:row>
    <x:row r="502" ht="30" customHeight="1">
      <x:c r="A502" s="26" t="str">
        <x:v>EXE-0199</x:v>
      </x:c>
      <x:c r="B502" s="26"/>
      <x:c r="C502" s="26"/>
      <x:c r="D502" s="26" t="str">
        <x:v>TC-GOV-006</x:v>
      </x:c>
      <x:c r="E502" s="26" t="str">
        <x:v>GOV-006</x:v>
      </x:c>
      <x:c r="F502" s="26" t="str">
        <x:v>Pending</x:v>
      </x:c>
      <x:c r="G502" s="26"/>
      <x:c r="H502" s="26"/>
      <x:c r="I502" s="26" t="str">
        <x:v>VRM Games</x:v>
      </x:c>
      <x:c r="J502" s="26" t="str">
        <x:v>Unity 6000.3.18f1 / Windows x64</x:v>
      </x:c>
      <x:c r="K502" s="26" t="str">
        <x:v>04_Modelo_de_Datos.md</x:v>
      </x:c>
      <x:c r="L502" s="26"/>
      <x:c r="M502" s="26"/>
    </x:row>
    <x:row r="503" ht="30" customHeight="1">
      <x:c r="A503" s="26" t="str">
        <x:v>EXE-0200</x:v>
      </x:c>
      <x:c r="B503" s="26"/>
      <x:c r="C503" s="26"/>
      <x:c r="D503" s="26" t="str">
        <x:v>TC-GOV-007</x:v>
      </x:c>
      <x:c r="E503" s="26" t="str">
        <x:v>GOV-007</x:v>
      </x:c>
      <x:c r="F503" s="26" t="str">
        <x:v>Pending</x:v>
      </x:c>
      <x:c r="G503" s="26"/>
      <x:c r="H503" s="26"/>
      <x:c r="I503" s="26" t="str">
        <x:v>VRM Games</x:v>
      </x:c>
      <x:c r="J503" s="26" t="str">
        <x:v>Unity 6000.3.18f1 / Windows x64</x:v>
      </x:c>
      <x:c r="K503" s="26" t="str">
        <x:v>03_Technical_Design_Document.md</x:v>
      </x:c>
      <x:c r="L503" s="26"/>
      <x:c r="M503" s="26"/>
    </x:row>
    <x:row r="504" ht="30" customHeight="1">
      <x:c r="A504" s="26" t="str">
        <x:v>EXE-0201</x:v>
      </x:c>
      <x:c r="B504" s="26"/>
      <x:c r="C504" s="26"/>
      <x:c r="D504" s="26" t="str">
        <x:v>TC-GOV-008</x:v>
      </x:c>
      <x:c r="E504" s="26" t="str">
        <x:v>GOV-008</x:v>
      </x:c>
      <x:c r="F504" s="26" t="str">
        <x:v>Pending</x:v>
      </x:c>
      <x:c r="G504" s="26"/>
      <x:c r="H504" s="26"/>
      <x:c r="I504" s="26" t="str">
        <x:v>VRM Games</x:v>
      </x:c>
      <x:c r="J504" s="26" t="str">
        <x:v>Unity 6000.3.18f1 / Windows x64</x:v>
      </x:c>
      <x:c r="K504" s="26" t="str">
        <x:v>03_Technical_Design_Document.md</x:v>
      </x:c>
      <x:c r="L504" s="26"/>
      <x:c r="M504" s="26"/>
    </x:row>
    <x:row r="505" ht="30" customHeight="1">
      <x:c r="A505" s="26" t="str">
        <x:v>EXE-0202</x:v>
      </x:c>
      <x:c r="B505" s="26"/>
      <x:c r="C505" s="26"/>
      <x:c r="D505" s="26" t="str">
        <x:v>TC-GOV-009</x:v>
      </x:c>
      <x:c r="E505" s="26" t="str">
        <x:v>GOV-009</x:v>
      </x:c>
      <x:c r="F505" s="26" t="str">
        <x:v>Pending</x:v>
      </x:c>
      <x:c r="G505" s="26"/>
      <x:c r="H505" s="26"/>
      <x:c r="I505" s="26" t="str">
        <x:v>VRM Games</x:v>
      </x:c>
      <x:c r="J505" s="26" t="str">
        <x:v>Unity 6000.3.18f1 / Windows x64</x:v>
      </x:c>
      <x:c r="K505" s="26" t="str">
        <x:v>11_Build_y_Versioning_Guide.md</x:v>
      </x:c>
      <x:c r="L505" s="26"/>
      <x:c r="M505" s="26"/>
    </x:row>
    <x:row r="506" ht="30" customHeight="1">
      <x:c r="A506" s="26" t="str">
        <x:v>EXE-0203</x:v>
      </x:c>
      <x:c r="B506" s="26"/>
      <x:c r="C506" s="26"/>
      <x:c r="D506" s="26" t="str">
        <x:v>TC-GOV-010</x:v>
      </x:c>
      <x:c r="E506" s="26" t="str">
        <x:v>GOV-010</x:v>
      </x:c>
      <x:c r="F506" s="26" t="str">
        <x:v>Pending</x:v>
      </x:c>
      <x:c r="G506" s="26"/>
      <x:c r="H506" s="26"/>
      <x:c r="I506" s="26" t="str">
        <x:v>VRM Games</x:v>
      </x:c>
      <x:c r="J506" s="26" t="str">
        <x:v>Unity 6000.3.18f1 / Windows x64</x:v>
      </x:c>
      <x:c r="K506" s="26" t="str">
        <x:v>12_Excel_Maestro_de_Produccion.xlsx</x:v>
      </x:c>
      <x:c r="L506" s="26"/>
      <x:c r="M506" s="26"/>
    </x:row>
    <x:row r="507" ht="30" customHeight="1">
      <x:c r="A507" s="26" t="str">
        <x:v>EXE-0204</x:v>
      </x:c>
      <x:c r="B507" s="26"/>
      <x:c r="C507" s="26" t="str">
        <x:v>BLD-016-PRE</x:v>
      </x:c>
      <x:c r="D507" s="26" t="str">
        <x:v>SUITE-EDITMODE</x:v>
      </x:c>
      <x:c r="E507" s="26" t="str">
        <x:v>VS-QA-001</x:v>
      </x:c>
      <x:c r="F507" s="26" t="str">
        <x:v>PASS</x:v>
      </x:c>
      <x:c r="G507" s="26" t="str">
        <x:v>1215/1215 PASS</x:v>
      </x:c>
      <x:c r="H507" s="26"/>
      <x:c r="I507" s="26" t="str">
        <x:v>VRM Games</x:v>
      </x:c>
      <x:c r="J507" s="26" t="str">
        <x:v>Unity 6000.3.18f1 / Windows x64</x:v>
      </x:c>
      <x:c r="K507" s="26" t="str">
        <x:v>Baseline v0.6</x:v>
      </x:c>
      <x:c r="L507" s="26"/>
      <x:c r="M507" s="26"/>
    </x:row>
    <x:row r="508" ht="30" customHeight="1">
      <x:c r="A508" s="26" t="str">
        <x:v>EXE-0205</x:v>
      </x:c>
      <x:c r="B508" s="26"/>
      <x:c r="C508" s="26" t="str">
        <x:v>BLD-016-PRE</x:v>
      </x:c>
      <x:c r="D508" s="26" t="str">
        <x:v>SUITE-PLAYMODE</x:v>
      </x:c>
      <x:c r="E508" s="26" t="str">
        <x:v>VS-QA-001</x:v>
      </x:c>
      <x:c r="F508" s="26" t="str">
        <x:v>PASS</x:v>
      </x:c>
      <x:c r="G508" s="26" t="str">
        <x:v>70/70 PASS</x:v>
      </x:c>
      <x:c r="H508" s="26"/>
      <x:c r="I508" s="26" t="str">
        <x:v>VRM Games</x:v>
      </x:c>
      <x:c r="J508" s="26" t="str">
        <x:v>Unity 6000.3.18f1 / Windows x64</x:v>
      </x:c>
      <x:c r="K508" s="26" t="str">
        <x:v>Baseline v0.6</x:v>
      </x:c>
      <x:c r="L508" s="26"/>
      <x:c r="M508" s="26"/>
    </x:row>
    <x:row r="509" ht="30" customHeight="1">
      <x:c r="A509" s="26" t="str">
        <x:v>EXE-0206</x:v>
      </x:c>
      <x:c r="B509" s="26"/>
      <x:c r="C509" s="26"/>
      <x:c r="D509" s="26" t="str">
        <x:v>AUD-CS-STD-001</x:v>
      </x:c>
      <x:c r="E509" s="26" t="str">
        <x:v>CS-STD-001</x:v>
      </x:c>
      <x:c r="F509" s="26" t="str">
        <x:v>Not Run</x:v>
      </x:c>
      <x:c r="G509" s="26"/>
      <x:c r="H509" s="26"/>
      <x:c r="I509" s="26" t="str">
        <x:v>VRM Games</x:v>
      </x:c>
      <x:c r="J509" s="26" t="str">
        <x:v>Unity 6000.3.18f1 / Windows x64</x:v>
      </x:c>
      <x:c r="K509" s="26" t="str">
        <x:v>09_CSharp_Coding_Standards.md</x:v>
      </x:c>
      <x:c r="L509" s="26" t="str">
        <x:v>Control de cumplimiento normativo.</x:v>
      </x:c>
      <x:c r="M509" s="26"/>
    </x:row>
    <x:row r="510" ht="30" customHeight="1">
      <x:c r="A510" s="26" t="str">
        <x:v>EXE-0207</x:v>
      </x:c>
      <x:c r="B510" s="26"/>
      <x:c r="C510" s="26"/>
      <x:c r="D510" s="26" t="str">
        <x:v>AUD-CS-STD-002</x:v>
      </x:c>
      <x:c r="E510" s="26" t="str">
        <x:v>CS-STD-002</x:v>
      </x:c>
      <x:c r="F510" s="26" t="str">
        <x:v>Not Run</x:v>
      </x:c>
      <x:c r="G510" s="26"/>
      <x:c r="H510" s="26"/>
      <x:c r="I510" s="26" t="str">
        <x:v>VRM Games</x:v>
      </x:c>
      <x:c r="J510" s="26" t="str">
        <x:v>Unity 6000.3.18f1 / Windows x64</x:v>
      </x:c>
      <x:c r="K510" s="26" t="str">
        <x:v>09_CSharp_Coding_Standards.md</x:v>
      </x:c>
      <x:c r="L510" s="26" t="str">
        <x:v>Control de cumplimiento normativo.</x:v>
      </x:c>
      <x:c r="M510" s="26"/>
    </x:row>
    <x:row r="511" ht="30" customHeight="1">
      <x:c r="A511" s="26" t="str">
        <x:v>EXE-0208</x:v>
      </x:c>
      <x:c r="B511" s="26"/>
      <x:c r="C511" s="26"/>
      <x:c r="D511" s="26" t="str">
        <x:v>AUD-CS-STD-003</x:v>
      </x:c>
      <x:c r="E511" s="26" t="str">
        <x:v>CS-STD-003</x:v>
      </x:c>
      <x:c r="F511" s="26" t="str">
        <x:v>Not Run</x:v>
      </x:c>
      <x:c r="G511" s="26"/>
      <x:c r="H511" s="26"/>
      <x:c r="I511" s="26" t="str">
        <x:v>VRM Games</x:v>
      </x:c>
      <x:c r="J511" s="26" t="str">
        <x:v>Unity 6000.3.18f1 / Windows x64</x:v>
      </x:c>
      <x:c r="K511" s="26" t="str">
        <x:v>09_CSharp_Coding_Standards.md</x:v>
      </x:c>
      <x:c r="L511" s="26" t="str">
        <x:v>Control de cumplimiento normativo.</x:v>
      </x:c>
      <x:c r="M511" s="26"/>
    </x:row>
    <x:row r="512" ht="30" customHeight="1">
      <x:c r="A512" s="26" t="str">
        <x:v>EXE-0209</x:v>
      </x:c>
      <x:c r="B512" s="26"/>
      <x:c r="C512" s="26"/>
      <x:c r="D512" s="26" t="str">
        <x:v>AUD-CS-STD-004</x:v>
      </x:c>
      <x:c r="E512" s="26" t="str">
        <x:v>CS-STD-004</x:v>
      </x:c>
      <x:c r="F512" s="26" t="str">
        <x:v>Not Run</x:v>
      </x:c>
      <x:c r="G512" s="26"/>
      <x:c r="H512" s="26"/>
      <x:c r="I512" s="26" t="str">
        <x:v>VRM Games</x:v>
      </x:c>
      <x:c r="J512" s="26" t="str">
        <x:v>Unity 6000.3.18f1 / Windows x64</x:v>
      </x:c>
      <x:c r="K512" s="26" t="str">
        <x:v>09_CSharp_Coding_Standards.md</x:v>
      </x:c>
      <x:c r="L512" s="26" t="str">
        <x:v>Control de cumplimiento normativo.</x:v>
      </x:c>
      <x:c r="M512" s="26"/>
    </x:row>
    <x:row r="513" ht="30" customHeight="1">
      <x:c r="A513" s="26" t="str">
        <x:v>EXE-0210</x:v>
      </x:c>
      <x:c r="B513" s="26"/>
      <x:c r="C513" s="26"/>
      <x:c r="D513" s="26" t="str">
        <x:v>AUD-CS-STD-005</x:v>
      </x:c>
      <x:c r="E513" s="26" t="str">
        <x:v>CS-STD-005</x:v>
      </x:c>
      <x:c r="F513" s="26" t="str">
        <x:v>Not Run</x:v>
      </x:c>
      <x:c r="G513" s="26"/>
      <x:c r="H513" s="26"/>
      <x:c r="I513" s="26" t="str">
        <x:v>VRM Games</x:v>
      </x:c>
      <x:c r="J513" s="26" t="str">
        <x:v>Unity 6000.3.18f1 / Windows x64</x:v>
      </x:c>
      <x:c r="K513" s="26" t="str">
        <x:v>09_CSharp_Coding_Standards.md</x:v>
      </x:c>
      <x:c r="L513" s="26" t="str">
        <x:v>Control de cumplimiento normativo.</x:v>
      </x:c>
      <x:c r="M513" s="26"/>
    </x:row>
    <x:row r="514" ht="30" customHeight="1">
      <x:c r="A514" s="26" t="str">
        <x:v>EXE-0211</x:v>
      </x:c>
      <x:c r="B514" s="26"/>
      <x:c r="C514" s="26"/>
      <x:c r="D514" s="26" t="str">
        <x:v>AUD-CS-STD-006</x:v>
      </x:c>
      <x:c r="E514" s="26" t="str">
        <x:v>CS-STD-006</x:v>
      </x:c>
      <x:c r="F514" s="26" t="str">
        <x:v>Not Run</x:v>
      </x:c>
      <x:c r="G514" s="26"/>
      <x:c r="H514" s="26"/>
      <x:c r="I514" s="26" t="str">
        <x:v>VRM Games</x:v>
      </x:c>
      <x:c r="J514" s="26" t="str">
        <x:v>Unity 6000.3.18f1 / Windows x64</x:v>
      </x:c>
      <x:c r="K514" s="26" t="str">
        <x:v>09_CSharp_Coding_Standards.md</x:v>
      </x:c>
      <x:c r="L514" s="26" t="str">
        <x:v>Control de cumplimiento normativo.</x:v>
      </x:c>
      <x:c r="M514" s="26"/>
    </x:row>
    <x:row r="515" ht="30" customHeight="1">
      <x:c r="A515" s="26" t="str">
        <x:v>EXE-0212</x:v>
      </x:c>
      <x:c r="B515" s="26"/>
      <x:c r="C515" s="26"/>
      <x:c r="D515" s="26" t="str">
        <x:v>AUD-CS-STD-007</x:v>
      </x:c>
      <x:c r="E515" s="26" t="str">
        <x:v>CS-STD-007</x:v>
      </x:c>
      <x:c r="F515" s="26" t="str">
        <x:v>Not Run</x:v>
      </x:c>
      <x:c r="G515" s="26"/>
      <x:c r="H515" s="26"/>
      <x:c r="I515" s="26" t="str">
        <x:v>VRM Games</x:v>
      </x:c>
      <x:c r="J515" s="26" t="str">
        <x:v>Unity 6000.3.18f1 / Windows x64</x:v>
      </x:c>
      <x:c r="K515" s="26" t="str">
        <x:v>09_CSharp_Coding_Standards.md</x:v>
      </x:c>
      <x:c r="L515" s="26" t="str">
        <x:v>Control de cumplimiento normativo.</x:v>
      </x:c>
      <x:c r="M515" s="26"/>
    </x:row>
    <x:row r="516" ht="30" customHeight="1">
      <x:c r="A516" s="26" t="str">
        <x:v>EXE-0213</x:v>
      </x:c>
      <x:c r="B516" s="26"/>
      <x:c r="C516" s="26"/>
      <x:c r="D516" s="26" t="str">
        <x:v>AUD-CS-STD-008</x:v>
      </x:c>
      <x:c r="E516" s="26" t="str">
        <x:v>CS-STD-008</x:v>
      </x:c>
      <x:c r="F516" s="26" t="str">
        <x:v>Not Run</x:v>
      </x:c>
      <x:c r="G516" s="26"/>
      <x:c r="H516" s="26"/>
      <x:c r="I516" s="26" t="str">
        <x:v>VRM Games</x:v>
      </x:c>
      <x:c r="J516" s="26" t="str">
        <x:v>Unity 6000.3.18f1 / Windows x64</x:v>
      </x:c>
      <x:c r="K516" s="26" t="str">
        <x:v>09_CSharp_Coding_Standards.md</x:v>
      </x:c>
      <x:c r="L516" s="26" t="str">
        <x:v>Control de cumplimiento normativo.</x:v>
      </x:c>
      <x:c r="M516" s="26"/>
    </x:row>
    <x:row r="517" ht="30" customHeight="1">
      <x:c r="A517" s="26" t="str">
        <x:v>EXE-0214</x:v>
      </x:c>
      <x:c r="B517" s="26"/>
      <x:c r="C517" s="26"/>
      <x:c r="D517" s="26" t="str">
        <x:v>AUD-CS-STD-009</x:v>
      </x:c>
      <x:c r="E517" s="26" t="str">
        <x:v>CS-STD-009</x:v>
      </x:c>
      <x:c r="F517" s="26" t="str">
        <x:v>Not Run</x:v>
      </x:c>
      <x:c r="G517" s="26"/>
      <x:c r="H517" s="26"/>
      <x:c r="I517" s="26" t="str">
        <x:v>VRM Games</x:v>
      </x:c>
      <x:c r="J517" s="26" t="str">
        <x:v>Unity 6000.3.18f1 / Windows x64</x:v>
      </x:c>
      <x:c r="K517" s="26" t="str">
        <x:v>09_CSharp_Coding_Standards.md</x:v>
      </x:c>
      <x:c r="L517" s="26" t="str">
        <x:v>Control de cumplimiento normativo.</x:v>
      </x:c>
      <x:c r="M517" s="26"/>
    </x:row>
    <x:row r="518" ht="30" customHeight="1">
      <x:c r="A518" s="26" t="str">
        <x:v>EXE-0215</x:v>
      </x:c>
      <x:c r="B518" s="26"/>
      <x:c r="C518" s="26"/>
      <x:c r="D518" s="26" t="str">
        <x:v>AUD-CS-STD-010</x:v>
      </x:c>
      <x:c r="E518" s="26" t="str">
        <x:v>CS-STD-010</x:v>
      </x:c>
      <x:c r="F518" s="26" t="str">
        <x:v>Not Run</x:v>
      </x:c>
      <x:c r="G518" s="26"/>
      <x:c r="H518" s="26"/>
      <x:c r="I518" s="26" t="str">
        <x:v>VRM Games</x:v>
      </x:c>
      <x:c r="J518" s="26" t="str">
        <x:v>Unity 6000.3.18f1 / Windows x64</x:v>
      </x:c>
      <x:c r="K518" s="26" t="str">
        <x:v>09_CSharp_Coding_Standards.md</x:v>
      </x:c>
      <x:c r="L518" s="26" t="str">
        <x:v>Control de cumplimiento normativo.</x:v>
      </x:c>
      <x:c r="M518" s="26"/>
    </x:row>
    <x:row r="519" ht="30" customHeight="1">
      <x:c r="A519" s="26" t="str">
        <x:v>EXE-0216</x:v>
      </x:c>
      <x:c r="B519" s="26"/>
      <x:c r="C519" s="26"/>
      <x:c r="D519" s="26" t="str">
        <x:v>AUD-CS-STD-011</x:v>
      </x:c>
      <x:c r="E519" s="26" t="str">
        <x:v>CS-STD-011</x:v>
      </x:c>
      <x:c r="F519" s="26" t="str">
        <x:v>Not Run</x:v>
      </x:c>
      <x:c r="G519" s="26"/>
      <x:c r="H519" s="26"/>
      <x:c r="I519" s="26" t="str">
        <x:v>VRM Games</x:v>
      </x:c>
      <x:c r="J519" s="26" t="str">
        <x:v>Unity 6000.3.18f1 / Windows x64</x:v>
      </x:c>
      <x:c r="K519" s="26" t="str">
        <x:v>09_CSharp_Coding_Standards.md</x:v>
      </x:c>
      <x:c r="L519" s="26" t="str">
        <x:v>Control de cumplimiento normativo.</x:v>
      </x:c>
      <x:c r="M519" s="26"/>
    </x:row>
    <x:row r="520" ht="30" customHeight="1">
      <x:c r="A520" s="26" t="str">
        <x:v>EXE-0217</x:v>
      </x:c>
      <x:c r="B520" s="26"/>
      <x:c r="C520" s="26"/>
      <x:c r="D520" s="26" t="str">
        <x:v>AUD-CS-STD-012</x:v>
      </x:c>
      <x:c r="E520" s="26" t="str">
        <x:v>CS-STD-012</x:v>
      </x:c>
      <x:c r="F520" s="26" t="str">
        <x:v>Not Run</x:v>
      </x:c>
      <x:c r="G520" s="26"/>
      <x:c r="H520" s="26"/>
      <x:c r="I520" s="26" t="str">
        <x:v>VRM Games</x:v>
      </x:c>
      <x:c r="J520" s="26" t="str">
        <x:v>Unity 6000.3.18f1 / Windows x64</x:v>
      </x:c>
      <x:c r="K520" s="26" t="str">
        <x:v>09_CSharp_Coding_Standards.md</x:v>
      </x:c>
      <x:c r="L520" s="26" t="str">
        <x:v>Control de cumplimiento normativo.</x:v>
      </x:c>
      <x:c r="M520" s="26"/>
    </x:row>
    <x:row r="521" ht="30" customHeight="1">
      <x:c r="A521" s="26" t="str">
        <x:v>EXE-0218</x:v>
      </x:c>
      <x:c r="B521" s="26"/>
      <x:c r="C521" s="26"/>
      <x:c r="D521" s="26" t="str">
        <x:v>AUD-CS-STD-013</x:v>
      </x:c>
      <x:c r="E521" s="26" t="str">
        <x:v>CS-STD-013</x:v>
      </x:c>
      <x:c r="F521" s="26" t="str">
        <x:v>Not Run</x:v>
      </x:c>
      <x:c r="G521" s="26"/>
      <x:c r="H521" s="26"/>
      <x:c r="I521" s="26" t="str">
        <x:v>VRM Games</x:v>
      </x:c>
      <x:c r="J521" s="26" t="str">
        <x:v>Unity 6000.3.18f1 / Windows x64</x:v>
      </x:c>
      <x:c r="K521" s="26" t="str">
        <x:v>09_CSharp_Coding_Standards.md</x:v>
      </x:c>
      <x:c r="L521" s="26" t="str">
        <x:v>Control de cumplimiento normativo.</x:v>
      </x:c>
      <x:c r="M521" s="26"/>
    </x:row>
    <x:row r="522" ht="30" customHeight="1">
      <x:c r="A522" s="26" t="str">
        <x:v>EXE-0219</x:v>
      </x:c>
      <x:c r="B522" s="26"/>
      <x:c r="C522" s="26"/>
      <x:c r="D522" s="26" t="str">
        <x:v>AUD-CS-STD-014</x:v>
      </x:c>
      <x:c r="E522" s="26" t="str">
        <x:v>CS-STD-014</x:v>
      </x:c>
      <x:c r="F522" s="26" t="str">
        <x:v>Not Run</x:v>
      </x:c>
      <x:c r="G522" s="26"/>
      <x:c r="H522" s="26"/>
      <x:c r="I522" s="26" t="str">
        <x:v>VRM Games</x:v>
      </x:c>
      <x:c r="J522" s="26" t="str">
        <x:v>Unity 6000.3.18f1 / Windows x64</x:v>
      </x:c>
      <x:c r="K522" s="26" t="str">
        <x:v>09_CSharp_Coding_Standards.md</x:v>
      </x:c>
      <x:c r="L522" s="26" t="str">
        <x:v>Control de cumplimiento normativo.</x:v>
      </x:c>
      <x:c r="M522" s="26"/>
    </x:row>
    <x:row r="523" ht="30" customHeight="1">
      <x:c r="A523" s="26" t="str">
        <x:v>EXE-0220</x:v>
      </x:c>
      <x:c r="B523" s="26"/>
      <x:c r="C523" s="26"/>
      <x:c r="D523" s="26" t="str">
        <x:v>AUD-CS-STD-015</x:v>
      </x:c>
      <x:c r="E523" s="26" t="str">
        <x:v>CS-STD-015</x:v>
      </x:c>
      <x:c r="F523" s="26" t="str">
        <x:v>Not Run</x:v>
      </x:c>
      <x:c r="G523" s="26"/>
      <x:c r="H523" s="26"/>
      <x:c r="I523" s="26" t="str">
        <x:v>VRM Games</x:v>
      </x:c>
      <x:c r="J523" s="26" t="str">
        <x:v>Unity 6000.3.18f1 / Windows x64</x:v>
      </x:c>
      <x:c r="K523" s="26" t="str">
        <x:v>09_CSharp_Coding_Standards.md</x:v>
      </x:c>
      <x:c r="L523" s="26" t="str">
        <x:v>Control de cumplimiento normativo.</x:v>
      </x:c>
      <x:c r="M523" s="26"/>
    </x:row>
    <x:row r="524" ht="30" customHeight="1">
      <x:c r="A524" s="26" t="str">
        <x:v>EXE-0221</x:v>
      </x:c>
      <x:c r="B524" s="26"/>
      <x:c r="C524" s="26"/>
      <x:c r="D524" s="26" t="str">
        <x:v>AUD-CS-STD-016</x:v>
      </x:c>
      <x:c r="E524" s="26" t="str">
        <x:v>CS-STD-016</x:v>
      </x:c>
      <x:c r="F524" s="26" t="str">
        <x:v>Not Run</x:v>
      </x:c>
      <x:c r="G524" s="26"/>
      <x:c r="H524" s="26"/>
      <x:c r="I524" s="26" t="str">
        <x:v>VRM Games</x:v>
      </x:c>
      <x:c r="J524" s="26" t="str">
        <x:v>Unity 6000.3.18f1 / Windows x64</x:v>
      </x:c>
      <x:c r="K524" s="26" t="str">
        <x:v>09_CSharp_Coding_Standards.md</x:v>
      </x:c>
      <x:c r="L524" s="26" t="str">
        <x:v>Control de cumplimiento normativo.</x:v>
      </x:c>
      <x:c r="M524" s="26"/>
    </x:row>
    <x:row r="525" ht="30" customHeight="1">
      <x:c r="A525" s="26" t="str">
        <x:v>EXE-0222</x:v>
      </x:c>
      <x:c r="B525" s="26"/>
      <x:c r="C525" s="26"/>
      <x:c r="D525" s="26" t="str">
        <x:v>AUD-CS-STD-017</x:v>
      </x:c>
      <x:c r="E525" s="26" t="str">
        <x:v>CS-STD-017</x:v>
      </x:c>
      <x:c r="F525" s="26" t="str">
        <x:v>Not Run</x:v>
      </x:c>
      <x:c r="G525" s="26"/>
      <x:c r="H525" s="26"/>
      <x:c r="I525" s="26" t="str">
        <x:v>VRM Games</x:v>
      </x:c>
      <x:c r="J525" s="26" t="str">
        <x:v>Unity 6000.3.18f1 / Windows x64</x:v>
      </x:c>
      <x:c r="K525" s="26" t="str">
        <x:v>09_CSharp_Coding_Standards.md</x:v>
      </x:c>
      <x:c r="L525" s="26" t="str">
        <x:v>Control de cumplimiento normativo.</x:v>
      </x:c>
      <x:c r="M525" s="26"/>
    </x:row>
    <x:row r="526" ht="30" customHeight="1">
      <x:c r="A526" s="26" t="str">
        <x:v>EXE-0223</x:v>
      </x:c>
      <x:c r="B526" s="26"/>
      <x:c r="C526" s="26"/>
      <x:c r="D526" s="26" t="str">
        <x:v>AUD-CS-STD-018</x:v>
      </x:c>
      <x:c r="E526" s="26" t="str">
        <x:v>CS-STD-018</x:v>
      </x:c>
      <x:c r="F526" s="26" t="str">
        <x:v>Not Run</x:v>
      </x:c>
      <x:c r="G526" s="26"/>
      <x:c r="H526" s="26"/>
      <x:c r="I526" s="26" t="str">
        <x:v>VRM Games</x:v>
      </x:c>
      <x:c r="J526" s="26" t="str">
        <x:v>Unity 6000.3.18f1 / Windows x64</x:v>
      </x:c>
      <x:c r="K526" s="26" t="str">
        <x:v>09_CSharp_Coding_Standards.md</x:v>
      </x:c>
      <x:c r="L526" s="26" t="str">
        <x:v>Control de cumplimiento normativo.</x:v>
      </x:c>
      <x:c r="M526" s="26"/>
    </x:row>
    <x:row r="527" ht="30" customHeight="1">
      <x:c r="A527" s="26" t="str">
        <x:v>EXE-0224</x:v>
      </x:c>
      <x:c r="B527" s="26"/>
      <x:c r="C527" s="26"/>
      <x:c r="D527" s="26" t="str">
        <x:v>AUD-CS-STD-019</x:v>
      </x:c>
      <x:c r="E527" s="26" t="str">
        <x:v>CS-STD-019</x:v>
      </x:c>
      <x:c r="F527" s="26" t="str">
        <x:v>Not Run</x:v>
      </x:c>
      <x:c r="G527" s="26"/>
      <x:c r="H527" s="26"/>
      <x:c r="I527" s="26" t="str">
        <x:v>VRM Games</x:v>
      </x:c>
      <x:c r="J527" s="26" t="str">
        <x:v>Unity 6000.3.18f1 / Windows x64</x:v>
      </x:c>
      <x:c r="K527" s="26" t="str">
        <x:v>09_CSharp_Coding_Standards.md</x:v>
      </x:c>
      <x:c r="L527" s="26" t="str">
        <x:v>Control de cumplimiento normativo.</x:v>
      </x:c>
      <x:c r="M527" s="26"/>
    </x:row>
    <x:row r="528" ht="30" customHeight="1">
      <x:c r="A528" s="26" t="str">
        <x:v>EXE-0225</x:v>
      </x:c>
      <x:c r="B528" s="26"/>
      <x:c r="C528" s="26"/>
      <x:c r="D528" s="26" t="str">
        <x:v>AUD-CS-STD-020</x:v>
      </x:c>
      <x:c r="E528" s="26" t="str">
        <x:v>CS-STD-020</x:v>
      </x:c>
      <x:c r="F528" s="26" t="str">
        <x:v>Not Run</x:v>
      </x:c>
      <x:c r="G528" s="26"/>
      <x:c r="H528" s="26"/>
      <x:c r="I528" s="26" t="str">
        <x:v>VRM Games</x:v>
      </x:c>
      <x:c r="J528" s="26" t="str">
        <x:v>Unity 6000.3.18f1 / Windows x64</x:v>
      </x:c>
      <x:c r="K528" s="26" t="str">
        <x:v>09_CSharp_Coding_Standards.md</x:v>
      </x:c>
      <x:c r="L528" s="26" t="str">
        <x:v>Control de cumplimiento normativo.</x:v>
      </x:c>
      <x:c r="M528" s="26"/>
    </x:row>
    <x:row r="529" ht="30" customHeight="1">
      <x:c r="A529" s="26" t="str">
        <x:v>EXE-0226</x:v>
      </x:c>
      <x:c r="B529" s="26"/>
      <x:c r="C529" s="26"/>
      <x:c r="D529" s="26" t="str">
        <x:v>AUD-SETUP-DEBT-001</x:v>
      </x:c>
      <x:c r="E529" s="26" t="str">
        <x:v>SETUP-DEBT-001</x:v>
      </x:c>
      <x:c r="F529" s="26" t="str">
        <x:v>Not Run</x:v>
      </x:c>
      <x:c r="G529" s="26" t="str">
        <x:v>cerrar Sprint 16 antes de sustituir</x:v>
      </x:c>
      <x:c r="H529" s="26"/>
      <x:c r="I529" s="26" t="str">
        <x:v>VRM Games</x:v>
      </x:c>
      <x:c r="J529" s="26" t="str">
        <x:v>Unity 6000.3.18f1 / Windows x64</x:v>
      </x:c>
      <x:c r="K529" s="26" t="str">
        <x:v>10_Unity_Project_Setup_Guide.md</x:v>
      </x:c>
      <x:c r="L529" s="26" t="str">
        <x:v>Control de cumplimiento normativo.</x:v>
      </x:c>
      <x:c r="M529" s="26"/>
    </x:row>
    <x:row r="530" ht="30" customHeight="1">
      <x:c r="A530" s="26" t="str">
        <x:v>EXE-0227</x:v>
      </x:c>
      <x:c r="B530" s="26"/>
      <x:c r="C530" s="26"/>
      <x:c r="D530" s="26" t="str">
        <x:v>AUD-SETUP-DEBT-002</x:v>
      </x:c>
      <x:c r="E530" s="26" t="str">
        <x:v>SETUP-DEBT-002</x:v>
      </x:c>
      <x:c r="F530" s="26" t="str">
        <x:v>Not Run</x:v>
      </x:c>
      <x:c r="G530" s="26" t="str">
        <x:v>migración controlada</x:v>
      </x:c>
      <x:c r="H530" s="26"/>
      <x:c r="I530" s="26" t="str">
        <x:v>VRM Games</x:v>
      </x:c>
      <x:c r="J530" s="26" t="str">
        <x:v>Unity 6000.3.18f1 / Windows x64</x:v>
      </x:c>
      <x:c r="K530" s="26" t="str">
        <x:v>10_Unity_Project_Setup_Guide.md</x:v>
      </x:c>
      <x:c r="L530" s="26" t="str">
        <x:v>Control de cumplimiento normativo.</x:v>
      </x:c>
      <x:c r="M530" s="26"/>
    </x:row>
    <x:row r="531" ht="30" customHeight="1">
      <x:c r="A531" s="26" t="str">
        <x:v>EXE-0228</x:v>
      </x:c>
      <x:c r="B531" s="26"/>
      <x:c r="C531" s="26"/>
      <x:c r="D531" s="26" t="str">
        <x:v>AUD-SETUP-DEBT-003</x:v>
      </x:c>
      <x:c r="E531" s="26" t="str">
        <x:v>SETUP-DEBT-003</x:v>
      </x:c>
      <x:c r="F531" s="26" t="str">
        <x:v>Not Run</x:v>
      </x:c>
      <x:c r="G531" s="26" t="str">
        <x:v>decidir antes de H6</x:v>
      </x:c>
      <x:c r="H531" s="26"/>
      <x:c r="I531" s="26" t="str">
        <x:v>VRM Games</x:v>
      </x:c>
      <x:c r="J531" s="26" t="str">
        <x:v>Unity 6000.3.18f1 / Windows x64</x:v>
      </x:c>
      <x:c r="K531" s="26" t="str">
        <x:v>10_Unity_Project_Setup_Guide.md</x:v>
      </x:c>
      <x:c r="L531" s="26" t="str">
        <x:v>Control de cumplimiento normativo.</x:v>
      </x:c>
      <x:c r="M531" s="26"/>
    </x:row>
    <x:row r="532" ht="30" customHeight="1">
      <x:c r="A532" s="26" t="str">
        <x:v>EXE-0229</x:v>
      </x:c>
      <x:c r="B532" s="26"/>
      <x:c r="C532" s="26"/>
      <x:c r="D532" s="26" t="str">
        <x:v>AUD-SETUP-DEBT-004</x:v>
      </x:c>
      <x:c r="E532" s="26" t="str">
        <x:v>SETUP-DEBT-004</x:v>
      </x:c>
      <x:c r="F532" s="26" t="str">
        <x:v>Not Run</x:v>
      </x:c>
      <x:c r="G532" s="26" t="str">
        <x:v>validar UX</x:v>
      </x:c>
      <x:c r="H532" s="26"/>
      <x:c r="I532" s="26" t="str">
        <x:v>VRM Games</x:v>
      </x:c>
      <x:c r="J532" s="26" t="str">
        <x:v>Unity 6000.3.18f1 / Windows x64</x:v>
      </x:c>
      <x:c r="K532" s="26" t="str">
        <x:v>10_Unity_Project_Setup_Guide.md</x:v>
      </x:c>
      <x:c r="L532" s="26" t="str">
        <x:v>Control de cumplimiento normativo.</x:v>
      </x:c>
      <x:c r="M532" s="26"/>
    </x:row>
    <x:row r="533" ht="30" customHeight="1">
      <x:c r="A533" s="26" t="str">
        <x:v>EXE-0230</x:v>
      </x:c>
      <x:c r="B533" s="26"/>
      <x:c r="C533" s="26"/>
      <x:c r="D533" s="26" t="str">
        <x:v>AUD-SETUP-DEBT-005</x:v>
      </x:c>
      <x:c r="E533" s="26" t="str">
        <x:v>SETUP-DEBT-005</x:v>
      </x:c>
      <x:c r="F533" s="26" t="str">
        <x:v>Not Run</x:v>
      </x:c>
      <x:c r="G533" s="26" t="str">
        <x:v>completar en Sprint 17/H6</x:v>
      </x:c>
      <x:c r="H533" s="26"/>
      <x:c r="I533" s="26" t="str">
        <x:v>VRM Games</x:v>
      </x:c>
      <x:c r="J533" s="26" t="str">
        <x:v>Unity 6000.3.18f1 / Windows x64</x:v>
      </x:c>
      <x:c r="K533" s="26" t="str">
        <x:v>10_Unity_Project_Setup_Guide.md</x:v>
      </x:c>
      <x:c r="L533" s="26" t="str">
        <x:v>Control de cumplimiento normativo.</x:v>
      </x:c>
      <x:c r="M533" s="26"/>
    </x:row>
    <x:row r="534" ht="30" customHeight="1">
      <x:c r="A534" s="26" t="str">
        <x:v>EXE-0231</x:v>
      </x:c>
      <x:c r="B534" s="26"/>
      <x:c r="C534" s="26"/>
      <x:c r="D534" s="26" t="str">
        <x:v>AUD-SETUP-DEBT-006</x:v>
      </x:c>
      <x:c r="E534" s="26" t="str">
        <x:v>SETUP-DEBT-006</x:v>
      </x:c>
      <x:c r="F534" s="26" t="str">
        <x:v>Not Run</x:v>
      </x:c>
      <x:c r="G534" s="26" t="str">
        <x:v>añadir solo con caso real</x:v>
      </x:c>
      <x:c r="H534" s="26"/>
      <x:c r="I534" s="26" t="str">
        <x:v>VRM Games</x:v>
      </x:c>
      <x:c r="J534" s="26" t="str">
        <x:v>Unity 6000.3.18f1 / Windows x64</x:v>
      </x:c>
      <x:c r="K534" s="26" t="str">
        <x:v>10_Unity_Project_Setup_Guide.md</x:v>
      </x:c>
      <x:c r="L534" s="26" t="str">
        <x:v>Control de cumplimiento normativo.</x:v>
      </x:c>
      <x:c r="M534" s="26"/>
    </x:row>
    <x:row r="535" ht="30" customHeight="1">
      <x:c r="A535" s="26" t="str">
        <x:v>EXE-0232</x:v>
      </x:c>
      <x:c r="B535" s="26"/>
      <x:c r="C535" s="26"/>
      <x:c r="D535" s="26" t="str">
        <x:v>AUD-SETUP-DEBT-007</x:v>
      </x:c>
      <x:c r="E535" s="26" t="str">
        <x:v>SETUP-DEBT-007</x:v>
      </x:c>
      <x:c r="F535" s="26" t="str">
        <x:v>Not Run</x:v>
      </x:c>
      <x:c r="G535" s="26" t="str">
        <x:v>plan gradual de Coding Standards</x:v>
      </x:c>
      <x:c r="H535" s="26"/>
      <x:c r="I535" s="26" t="str">
        <x:v>VRM Games</x:v>
      </x:c>
      <x:c r="J535" s="26" t="str">
        <x:v>Unity 6000.3.18f1 / Windows x64</x:v>
      </x:c>
      <x:c r="K535" s="26" t="str">
        <x:v>10_Unity_Project_Setup_Guide.md</x:v>
      </x:c>
      <x:c r="L535" s="26" t="str">
        <x:v>Control de cumplimiento normativo.</x:v>
      </x:c>
      <x:c r="M535" s="26"/>
    </x:row>
    <x:row r="536" ht="30" customHeight="1">
      <x:c r="A536" s="26" t="str">
        <x:v>EXE-0233</x:v>
      </x:c>
      <x:c r="B536" s="26"/>
      <x:c r="C536" s="26"/>
      <x:c r="D536" s="26" t="str">
        <x:v>AUD-SETUP-DEBT-008</x:v>
      </x:c>
      <x:c r="E536" s="26" t="str">
        <x:v>SETUP-DEBT-008</x:v>
      </x:c>
      <x:c r="F536" s="26" t="str">
        <x:v>Not Run</x:v>
      </x:c>
      <x:c r="G536" s="26" t="str">
        <x:v>medir y decidir</x:v>
      </x:c>
      <x:c r="H536" s="26"/>
      <x:c r="I536" s="26" t="str">
        <x:v>VRM Games</x:v>
      </x:c>
      <x:c r="J536" s="26" t="str">
        <x:v>Unity 6000.3.18f1 / Windows x64</x:v>
      </x:c>
      <x:c r="K536" s="26" t="str">
        <x:v>10_Unity_Project_Setup_Guide.md</x:v>
      </x:c>
      <x:c r="L536" s="26" t="str">
        <x:v>Control de cumplimiento normativo.</x:v>
      </x:c>
      <x:c r="M536" s="26"/>
    </x:row>
    <x:row r="537" ht="30" customHeight="1">
      <x:c r="A537" s="26" t="str">
        <x:v>EXE-0234</x:v>
      </x:c>
      <x:c r="B537" s="26"/>
      <x:c r="C537" s="26"/>
      <x:c r="D537" s="26" t="str">
        <x:v>AUD-SETUP-DEBT-009</x:v>
      </x:c>
      <x:c r="E537" s="26" t="str">
        <x:v>SETUP-DEBT-009</x:v>
      </x:c>
      <x:c r="F537" s="26" t="str">
        <x:v>Not Run</x:v>
      </x:c>
      <x:c r="G537" s="26" t="str">
        <x:v>limpiar sin romper IDs usados</x:v>
      </x:c>
      <x:c r="H537" s="26"/>
      <x:c r="I537" s="26" t="str">
        <x:v>VRM Games</x:v>
      </x:c>
      <x:c r="J537" s="26" t="str">
        <x:v>Unity 6000.3.18f1 / Windows x64</x:v>
      </x:c>
      <x:c r="K537" s="26" t="str">
        <x:v>10_Unity_Project_Setup_Guide.md</x:v>
      </x:c>
      <x:c r="L537" s="26" t="str">
        <x:v>Control de cumplimiento normativo.</x:v>
      </x:c>
      <x:c r="M537" s="26"/>
    </x:row>
    <x:row r="538" ht="30" customHeight="1">
      <x:c r="A538" s="26" t="str">
        <x:v>EXE-0235</x:v>
      </x:c>
      <x:c r="B538" s="26"/>
      <x:c r="C538" s="26"/>
      <x:c r="D538" s="26" t="str">
        <x:v>AUD-SETUP-DEBT-010</x:v>
      </x:c>
      <x:c r="E538" s="26" t="str">
        <x:v>SETUP-DEBT-010</x:v>
      </x:c>
      <x:c r="F538" s="26" t="str">
        <x:v>Not Run</x:v>
      </x:c>
      <x:c r="G538" s="26" t="str">
        <x:v>profile de candidato separado</x:v>
      </x:c>
      <x:c r="H538" s="26"/>
      <x:c r="I538" s="26" t="str">
        <x:v>VRM Games</x:v>
      </x:c>
      <x:c r="J538" s="26" t="str">
        <x:v>Unity 6000.3.18f1 / Windows x64</x:v>
      </x:c>
      <x:c r="K538" s="26" t="str">
        <x:v>10_Unity_Project_Setup_Guide.md</x:v>
      </x:c>
      <x:c r="L538" s="26" t="str">
        <x:v>Control de cumplimiento normativo.</x:v>
      </x:c>
      <x:c r="M538" s="26"/>
    </x:row>
    <x:row r="539" ht="30" customHeight="1">
      <x:c r="A539" s="26" t="str">
        <x:v>EXE-0236</x:v>
      </x:c>
      <x:c r="B539" s="26"/>
      <x:c r="C539" s="26"/>
      <x:c r="D539" s="26" t="str">
        <x:v>AUD-SETUP-001</x:v>
      </x:c>
      <x:c r="E539" s="26" t="str">
        <x:v>SETUP-001</x:v>
      </x:c>
      <x:c r="F539" s="26" t="str">
        <x:v>Baseline PASS</x:v>
      </x:c>
      <x:c r="G539" s="26" t="str">
        <x:v>archivo y About Unity</x:v>
      </x:c>
      <x:c r="H539" s="26"/>
      <x:c r="I539" s="26" t="str">
        <x:v>VRM Games</x:v>
      </x:c>
      <x:c r="J539" s="26" t="str">
        <x:v>Unity 6000.3.18f1 / Windows x64</x:v>
      </x:c>
      <x:c r="K539" s="26" t="str">
        <x:v>10_Unity_Project_Setup_Guide.md</x:v>
      </x:c>
      <x:c r="L539" s="26" t="str">
        <x:v>Control de cumplimiento normativo.</x:v>
      </x:c>
      <x:c r="M539" s="26"/>
    </x:row>
    <x:row r="540" ht="30" customHeight="1">
      <x:c r="A540" s="26" t="str">
        <x:v>EXE-0237</x:v>
      </x:c>
      <x:c r="B540" s="26"/>
      <x:c r="C540" s="26"/>
      <x:c r="D540" s="26" t="str">
        <x:v>AUD-SETUP-002</x:v>
      </x:c>
      <x:c r="E540" s="26" t="str">
        <x:v>SETUP-002</x:v>
      </x:c>
      <x:c r="F540" s="26" t="str">
        <x:v>Baseline PASS</x:v>
      </x:c>
      <x:c r="G540" s="26" t="str">
        <x:v>build externa</x:v>
      </x:c>
      <x:c r="H540" s="26"/>
      <x:c r="I540" s="26" t="str">
        <x:v>VRM Games</x:v>
      </x:c>
      <x:c r="J540" s="26" t="str">
        <x:v>Unity 6000.3.18f1 / Windows x64</x:v>
      </x:c>
      <x:c r="K540" s="26" t="str">
        <x:v>10_Unity_Project_Setup_Guide.md</x:v>
      </x:c>
      <x:c r="L540" s="26" t="str">
        <x:v>Control de cumplimiento normativo.</x:v>
      </x:c>
      <x:c r="M540" s="26"/>
    </x:row>
    <x:row r="541" ht="30" customHeight="1">
      <x:c r="A541" s="26" t="str">
        <x:v>EXE-0238</x:v>
      </x:c>
      <x:c r="B541" s="26"/>
      <x:c r="C541" s="26"/>
      <x:c r="D541" s="26" t="str">
        <x:v>AUD-SETUP-003</x:v>
      </x:c>
      <x:c r="E541" s="26" t="str">
        <x:v>SETUP-003</x:v>
      </x:c>
      <x:c r="F541" s="26" t="str">
        <x:v>Baseline PASS</x:v>
      </x:c>
      <x:c r="G541" s="26" t="str">
        <x:v>diff/revisión</x:v>
      </x:c>
      <x:c r="H541" s="26"/>
      <x:c r="I541" s="26" t="str">
        <x:v>VRM Games</x:v>
      </x:c>
      <x:c r="J541" s="26" t="str">
        <x:v>Unity 6000.3.18f1 / Windows x64</x:v>
      </x:c>
      <x:c r="K541" s="26" t="str">
        <x:v>10_Unity_Project_Setup_Guide.md</x:v>
      </x:c>
      <x:c r="L541" s="26" t="str">
        <x:v>Control de cumplimiento normativo.</x:v>
      </x:c>
      <x:c r="M541" s="26"/>
    </x:row>
    <x:row r="542" ht="30" customHeight="1">
      <x:c r="A542" s="26" t="str">
        <x:v>EXE-0239</x:v>
      </x:c>
      <x:c r="B542" s="26"/>
      <x:c r="C542" s="26"/>
      <x:c r="D542" s="26" t="str">
        <x:v>AUD-SETUP-004</x:v>
      </x:c>
      <x:c r="E542" s="26" t="str">
        <x:v>SETUP-004</x:v>
      </x:c>
      <x:c r="F542" s="26" t="str">
        <x:v>Baseline PASS</x:v>
      </x:c>
      <x:c r="G542" s="26" t="str">
        <x:v>Package Manager</x:v>
      </x:c>
      <x:c r="H542" s="26"/>
      <x:c r="I542" s="26" t="str">
        <x:v>VRM Games</x:v>
      </x:c>
      <x:c r="J542" s="26" t="str">
        <x:v>Unity 6000.3.18f1 / Windows x64</x:v>
      </x:c>
      <x:c r="K542" s="26" t="str">
        <x:v>10_Unity_Project_Setup_Guide.md</x:v>
      </x:c>
      <x:c r="L542" s="26" t="str">
        <x:v>Control de cumplimiento normativo.</x:v>
      </x:c>
      <x:c r="M542" s="26"/>
    </x:row>
    <x:row r="543" ht="30" customHeight="1">
      <x:c r="A543" s="26" t="str">
        <x:v>EXE-0240</x:v>
      </x:c>
      <x:c r="B543" s="26"/>
      <x:c r="C543" s="26"/>
      <x:c r="D543" s="26" t="str">
        <x:v>AUD-SETUP-005</x:v>
      </x:c>
      <x:c r="E543" s="26" t="str">
        <x:v>SETUP-005</x:v>
      </x:c>
      <x:c r="F543" s="26" t="str">
        <x:v>Baseline PASS</x:v>
      </x:c>
      <x:c r="G543" s="26" t="str">
        <x:v>Player Settings</x:v>
      </x:c>
      <x:c r="H543" s="26"/>
      <x:c r="I543" s="26" t="str">
        <x:v>VRM Games</x:v>
      </x:c>
      <x:c r="J543" s="26" t="str">
        <x:v>Unity 6000.3.18f1 / Windows x64</x:v>
      </x:c>
      <x:c r="K543" s="26" t="str">
        <x:v>10_Unity_Project_Setup_Guide.md</x:v>
      </x:c>
      <x:c r="L543" s="26" t="str">
        <x:v>Control de cumplimiento normativo.</x:v>
      </x:c>
      <x:c r="M543" s="26"/>
    </x:row>
    <x:row r="544" ht="30" customHeight="1">
      <x:c r="A544" s="26" t="str">
        <x:v>EXE-0241</x:v>
      </x:c>
      <x:c r="B544" s="26"/>
      <x:c r="C544" s="26"/>
      <x:c r="D544" s="26" t="str">
        <x:v>AUD-SETUP-006</x:v>
      </x:c>
      <x:c r="E544" s="26" t="str">
        <x:v>SETUP-006</x:v>
      </x:c>
      <x:c r="F544" s="26" t="str">
        <x:v>Baseline PASS</x:v>
      </x:c>
      <x:c r="G544" s="26" t="str">
        <x:v>Project Settings</x:v>
      </x:c>
      <x:c r="H544" s="26"/>
      <x:c r="I544" s="26" t="str">
        <x:v>VRM Games</x:v>
      </x:c>
      <x:c r="J544" s="26" t="str">
        <x:v>Unity 6000.3.18f1 / Windows x64</x:v>
      </x:c>
      <x:c r="K544" s="26" t="str">
        <x:v>10_Unity_Project_Setup_Guide.md</x:v>
      </x:c>
      <x:c r="L544" s="26" t="str">
        <x:v>Control de cumplimiento normativo.</x:v>
      </x:c>
      <x:c r="M544" s="26"/>
    </x:row>
    <x:row r="545" ht="30" customHeight="1">
      <x:c r="A545" s="26" t="str">
        <x:v>EXE-0242</x:v>
      </x:c>
      <x:c r="B545" s="26"/>
      <x:c r="C545" s="26"/>
      <x:c r="D545" s="26" t="str">
        <x:v>AUD-SETUP-007</x:v>
      </x:c>
      <x:c r="E545" s="26" t="str">
        <x:v>SETUP-007</x:v>
      </x:c>
      <x:c r="F545" s="26" t="str">
        <x:v>Baseline PASS</x:v>
      </x:c>
      <x:c r="G545" s="26" t="str">
        <x:v>Version Control Settings</x:v>
      </x:c>
      <x:c r="H545" s="26"/>
      <x:c r="I545" s="26" t="str">
        <x:v>VRM Games</x:v>
      </x:c>
      <x:c r="J545" s="26" t="str">
        <x:v>Unity 6000.3.18f1 / Windows x64</x:v>
      </x:c>
      <x:c r="K545" s="26" t="str">
        <x:v>10_Unity_Project_Setup_Guide.md</x:v>
      </x:c>
      <x:c r="L545" s="26" t="str">
        <x:v>Control de cumplimiento normativo.</x:v>
      </x:c>
      <x:c r="M545" s="26"/>
    </x:row>
    <x:row r="546" ht="30" customHeight="1">
      <x:c r="A546" s="26" t="str">
        <x:v>EXE-0243</x:v>
      </x:c>
      <x:c r="B546" s="26"/>
      <x:c r="C546" s="26"/>
      <x:c r="D546" s="26" t="str">
        <x:v>AUD-SETUP-008</x:v>
      </x:c>
      <x:c r="E546" s="26" t="str">
        <x:v>SETUP-008</x:v>
      </x:c>
      <x:c r="F546" s="26" t="str">
        <x:v>Baseline PASS</x:v>
      </x:c>
      <x:c r="G546" s="26" t="str">
        <x:v>Editor Settings</x:v>
      </x:c>
      <x:c r="H546" s="26"/>
      <x:c r="I546" s="26" t="str">
        <x:v>VRM Games</x:v>
      </x:c>
      <x:c r="J546" s="26" t="str">
        <x:v>Unity 6000.3.18f1 / Windows x64</x:v>
      </x:c>
      <x:c r="K546" s="26" t="str">
        <x:v>10_Unity_Project_Setup_Guide.md</x:v>
      </x:c>
      <x:c r="L546" s="26" t="str">
        <x:v>Control de cumplimiento normativo.</x:v>
      </x:c>
      <x:c r="M546" s="26"/>
    </x:row>
    <x:row r="547" ht="30" customHeight="1">
      <x:c r="A547" s="26" t="str">
        <x:v>EXE-0244</x:v>
      </x:c>
      <x:c r="B547" s="26"/>
      <x:c r="C547" s="26"/>
      <x:c r="D547" s="26" t="str">
        <x:v>AUD-SETUP-009</x:v>
      </x:c>
      <x:c r="E547" s="26" t="str">
        <x:v>SETUP-009</x:v>
      </x:c>
      <x:c r="F547" s="26" t="str">
        <x:v>Baseline PASS</x:v>
      </x:c>
      <x:c r="G547" s="26" t="str">
        <x:v>status limpio</x:v>
      </x:c>
      <x:c r="H547" s="26"/>
      <x:c r="I547" s="26" t="str">
        <x:v>VRM Games</x:v>
      </x:c>
      <x:c r="J547" s="26" t="str">
        <x:v>Unity 6000.3.18f1 / Windows x64</x:v>
      </x:c>
      <x:c r="K547" s="26" t="str">
        <x:v>10_Unity_Project_Setup_Guide.md</x:v>
      </x:c>
      <x:c r="L547" s="26" t="str">
        <x:v>Control de cumplimiento normativo.</x:v>
      </x:c>
      <x:c r="M547" s="26"/>
    </x:row>
    <x:row r="548" ht="30" customHeight="1">
      <x:c r="A548" s="26" t="str">
        <x:v>EXE-0245</x:v>
      </x:c>
      <x:c r="B548" s="26"/>
      <x:c r="C548" s="26"/>
      <x:c r="D548" s="26" t="str">
        <x:v>AUD-SETUP-010</x:v>
      </x:c>
      <x:c r="E548" s="26" t="str">
        <x:v>SETUP-010</x:v>
      </x:c>
      <x:c r="F548" s="26" t="str">
        <x:v>Baseline PASS</x:v>
      </x:c>
      <x:c r="G548" s="26" t="str">
        <x:v>revisión</x:v>
      </x:c>
      <x:c r="H548" s="26"/>
      <x:c r="I548" s="26" t="str">
        <x:v>VRM Games</x:v>
      </x:c>
      <x:c r="J548" s="26" t="str">
        <x:v>Unity 6000.3.18f1 / Windows x64</x:v>
      </x:c>
      <x:c r="K548" s="26" t="str">
        <x:v>10_Unity_Project_Setup_Guide.md</x:v>
      </x:c>
      <x:c r="L548" s="26" t="str">
        <x:v>Control de cumplimiento normativo.</x:v>
      </x:c>
      <x:c r="M548" s="26"/>
    </x:row>
    <x:row r="549" ht="30" customHeight="1">
      <x:c r="A549" s="26" t="str">
        <x:v>EXE-0246</x:v>
      </x:c>
      <x:c r="B549" s="26"/>
      <x:c r="C549" s="26"/>
      <x:c r="D549" s="26" t="str">
        <x:v>AUD-SETUP-011</x:v>
      </x:c>
      <x:c r="E549" s="26" t="str">
        <x:v>SETUP-011</x:v>
      </x:c>
      <x:c r="F549" s="26" t="str">
        <x:v>Baseline PASS</x:v>
      </x:c>
      <x:c r="G549" s="26" t="str">
        <x:v>Inspector/compilación</x:v>
      </x:c>
      <x:c r="H549" s="26"/>
      <x:c r="I549" s="26" t="str">
        <x:v>VRM Games</x:v>
      </x:c>
      <x:c r="J549" s="26" t="str">
        <x:v>Unity 6000.3.18f1 / Windows x64</x:v>
      </x:c>
      <x:c r="K549" s="26" t="str">
        <x:v>10_Unity_Project_Setup_Guide.md</x:v>
      </x:c>
      <x:c r="L549" s="26" t="str">
        <x:v>Control de cumplimiento normativo.</x:v>
      </x:c>
      <x:c r="M549" s="26"/>
    </x:row>
    <x:row r="550" ht="30" customHeight="1">
      <x:c r="A550" s="26" t="str">
        <x:v>EXE-0247</x:v>
      </x:c>
      <x:c r="B550" s="26"/>
      <x:c r="C550" s="26"/>
      <x:c r="D550" s="26" t="str">
        <x:v>AUD-SETUP-012</x:v>
      </x:c>
      <x:c r="E550" s="26" t="str">
        <x:v>SETUP-012</x:v>
      </x:c>
      <x:c r="F550" s="26" t="str">
        <x:v>Baseline PASS</x:v>
      </x:c>
      <x:c r="G550" s="26" t="str">
        <x:v>asmdefs</x:v>
      </x:c>
      <x:c r="H550" s="26"/>
      <x:c r="I550" s="26" t="str">
        <x:v>VRM Games</x:v>
      </x:c>
      <x:c r="J550" s="26" t="str">
        <x:v>Unity 6000.3.18f1 / Windows x64</x:v>
      </x:c>
      <x:c r="K550" s="26" t="str">
        <x:v>10_Unity_Project_Setup_Guide.md</x:v>
      </x:c>
      <x:c r="L550" s="26" t="str">
        <x:v>Control de cumplimiento normativo.</x:v>
      </x:c>
      <x:c r="M550" s="26"/>
    </x:row>
    <x:row r="551" ht="30" customHeight="1">
      <x:c r="A551" s="26" t="str">
        <x:v>EXE-0248</x:v>
      </x:c>
      <x:c r="B551" s="26"/>
      <x:c r="C551" s="26"/>
      <x:c r="D551" s="26" t="str">
        <x:v>AUD-SETUP-013</x:v>
      </x:c>
      <x:c r="E551" s="26" t="str">
        <x:v>SETUP-013</x:v>
      </x:c>
      <x:c r="F551" s="26" t="str">
        <x:v>Baseline PASS</x:v>
      </x:c>
      <x:c r="G551" s="26" t="str">
        <x:v>Build Profile</x:v>
      </x:c>
      <x:c r="H551" s="26"/>
      <x:c r="I551" s="26" t="str">
        <x:v>VRM Games</x:v>
      </x:c>
      <x:c r="J551" s="26" t="str">
        <x:v>Unity 6000.3.18f1 / Windows x64</x:v>
      </x:c>
      <x:c r="K551" s="26" t="str">
        <x:v>10_Unity_Project_Setup_Guide.md</x:v>
      </x:c>
      <x:c r="L551" s="26" t="str">
        <x:v>Control de cumplimiento normativo.</x:v>
      </x:c>
      <x:c r="M551" s="26"/>
    </x:row>
    <x:row r="552" ht="30" customHeight="1">
      <x:c r="A552" s="26" t="str">
        <x:v>EXE-0249</x:v>
      </x:c>
      <x:c r="B552" s="26"/>
      <x:c r="C552" s="26"/>
      <x:c r="D552" s="26" t="str">
        <x:v>AUD-SETUP-014</x:v>
      </x:c>
      <x:c r="E552" s="26" t="str">
        <x:v>SETUP-014</x:v>
      </x:c>
      <x:c r="F552" s="26" t="str">
        <x:v>Baseline PASS</x:v>
      </x:c>
      <x:c r="G552" s="26" t="str">
        <x:v>`.meta`</x:v>
      </x:c>
      <x:c r="H552" s="26"/>
      <x:c r="I552" s="26" t="str">
        <x:v>VRM Games</x:v>
      </x:c>
      <x:c r="J552" s="26" t="str">
        <x:v>Unity 6000.3.18f1 / Windows x64</x:v>
      </x:c>
      <x:c r="K552" s="26" t="str">
        <x:v>10_Unity_Project_Setup_Guide.md</x:v>
      </x:c>
      <x:c r="L552" s="26" t="str">
        <x:v>Control de cumplimiento normativo.</x:v>
      </x:c>
      <x:c r="M552" s="26"/>
    </x:row>
    <x:row r="553" ht="30" customHeight="1">
      <x:c r="A553" s="26" t="str">
        <x:v>EXE-0250</x:v>
      </x:c>
      <x:c r="B553" s="26"/>
      <x:c r="C553" s="26"/>
      <x:c r="D553" s="26" t="str">
        <x:v>AUD-SETUP-015</x:v>
      </x:c>
      <x:c r="E553" s="26" t="str">
        <x:v>SETUP-015</x:v>
      </x:c>
      <x:c r="F553" s="26" t="str">
        <x:v>Baseline PASS</x:v>
      </x:c>
      <x:c r="G553" s="26" t="str">
        <x:v>arranque/tests</x:v>
      </x:c>
      <x:c r="H553" s="26"/>
      <x:c r="I553" s="26" t="str">
        <x:v>VRM Games</x:v>
      </x:c>
      <x:c r="J553" s="26" t="str">
        <x:v>Unity 6000.3.18f1 / Windows x64</x:v>
      </x:c>
      <x:c r="K553" s="26" t="str">
        <x:v>10_Unity_Project_Setup_Guide.md</x:v>
      </x:c>
      <x:c r="L553" s="26" t="str">
        <x:v>Control de cumplimiento normativo.</x:v>
      </x:c>
      <x:c r="M553" s="26"/>
    </x:row>
    <x:row r="554" ht="30" customHeight="1">
      <x:c r="A554" s="26" t="str">
        <x:v>EXE-0251</x:v>
      </x:c>
      <x:c r="B554" s="26"/>
      <x:c r="C554" s="26"/>
      <x:c r="D554" s="26" t="str">
        <x:v>AUD-SETUP-016</x:v>
      </x:c>
      <x:c r="E554" s="26" t="str">
        <x:v>SETUP-016</x:v>
      </x:c>
      <x:c r="F554" s="26" t="str">
        <x:v>Baseline PASS</x:v>
      </x:c>
      <x:c r="G554" s="26" t="str">
        <x:v>Graphics/Quality</x:v>
      </x:c>
      <x:c r="H554" s="26"/>
      <x:c r="I554" s="26" t="str">
        <x:v>VRM Games</x:v>
      </x:c>
      <x:c r="J554" s="26" t="str">
        <x:v>Unity 6000.3.18f1 / Windows x64</x:v>
      </x:c>
      <x:c r="K554" s="26" t="str">
        <x:v>10_Unity_Project_Setup_Guide.md</x:v>
      </x:c>
      <x:c r="L554" s="26" t="str">
        <x:v>Control de cumplimiento normativo.</x:v>
      </x:c>
      <x:c r="M554" s="26"/>
    </x:row>
    <x:row r="555" ht="30" customHeight="1">
      <x:c r="A555" s="26" t="str">
        <x:v>EXE-0252</x:v>
      </x:c>
      <x:c r="B555" s="26"/>
      <x:c r="C555" s="26"/>
      <x:c r="D555" s="26" t="str">
        <x:v>AUD-SETUP-017</x:v>
      </x:c>
      <x:c r="E555" s="26" t="str">
        <x:v>SETUP-017</x:v>
      </x:c>
      <x:c r="F555" s="26" t="str">
        <x:v>Baseline PASS</x:v>
      </x:c>
      <x:c r="G555" s="26" t="str">
        <x:v>PlayMode/manual</x:v>
      </x:c>
      <x:c r="H555" s="26"/>
      <x:c r="I555" s="26" t="str">
        <x:v>VRM Games</x:v>
      </x:c>
      <x:c r="J555" s="26" t="str">
        <x:v>Unity 6000.3.18f1 / Windows x64</x:v>
      </x:c>
      <x:c r="K555" s="26" t="str">
        <x:v>10_Unity_Project_Setup_Guide.md</x:v>
      </x:c>
      <x:c r="L555" s="26" t="str">
        <x:v>Control de cumplimiento normativo.</x:v>
      </x:c>
      <x:c r="M555" s="26"/>
    </x:row>
    <x:row r="556" ht="30" customHeight="1">
      <x:c r="A556" s="26" t="str">
        <x:v>EXE-0253</x:v>
      </x:c>
      <x:c r="B556" s="26"/>
      <x:c r="C556" s="26"/>
      <x:c r="D556" s="26" t="str">
        <x:v>AUD-SETUP-018</x:v>
      </x:c>
      <x:c r="E556" s="26" t="str">
        <x:v>SETUP-018</x:v>
      </x:c>
      <x:c r="F556" s="26" t="str">
        <x:v>Baseline PASS</x:v>
      </x:c>
      <x:c r="G556" s="26" t="str">
        <x:v>recorrido</x:v>
      </x:c>
      <x:c r="H556" s="26"/>
      <x:c r="I556" s="26" t="str">
        <x:v>VRM Games</x:v>
      </x:c>
      <x:c r="J556" s="26" t="str">
        <x:v>Unity 6000.3.18f1 / Windows x64</x:v>
      </x:c>
      <x:c r="K556" s="26" t="str">
        <x:v>10_Unity_Project_Setup_Guide.md</x:v>
      </x:c>
      <x:c r="L556" s="26" t="str">
        <x:v>Control de cumplimiento normativo.</x:v>
      </x:c>
      <x:c r="M556" s="26"/>
    </x:row>
    <x:row r="557" ht="30" customHeight="1">
      <x:c r="A557" s="26" t="str">
        <x:v>EXE-0254</x:v>
      </x:c>
      <x:c r="B557" s="26"/>
      <x:c r="C557" s="26"/>
      <x:c r="D557" s="26" t="str">
        <x:v>AUD-SETUP-019</x:v>
      </x:c>
      <x:c r="E557" s="26" t="str">
        <x:v>SETUP-019</x:v>
      </x:c>
      <x:c r="F557" s="26" t="str">
        <x:v>Baseline PASS</x:v>
      </x:c>
      <x:c r="G557" s="26" t="str">
        <x:v>revisión escena</x:v>
      </x:c>
      <x:c r="H557" s="26"/>
      <x:c r="I557" s="26" t="str">
        <x:v>VRM Games</x:v>
      </x:c>
      <x:c r="J557" s="26" t="str">
        <x:v>Unity 6000.3.18f1 / Windows x64</x:v>
      </x:c>
      <x:c r="K557" s="26" t="str">
        <x:v>10_Unity_Project_Setup_Guide.md</x:v>
      </x:c>
      <x:c r="L557" s="26" t="str">
        <x:v>Control de cumplimiento normativo.</x:v>
      </x:c>
      <x:c r="M557" s="26"/>
    </x:row>
    <x:row r="558" ht="30" customHeight="1">
      <x:c r="A558" s="26" t="str">
        <x:v>EXE-0255</x:v>
      </x:c>
      <x:c r="B558" s="26"/>
      <x:c r="C558" s="26"/>
      <x:c r="D558" s="26" t="str">
        <x:v>AUD-SETUP-020</x:v>
      </x:c>
      <x:c r="E558" s="26" t="str">
        <x:v>SETUP-020</x:v>
      </x:c>
      <x:c r="F558" s="26" t="str">
        <x:v>Baseline PASS</x:v>
      </x:c>
      <x:c r="G558" s="26" t="str">
        <x:v>reporte</x:v>
      </x:c>
      <x:c r="H558" s="26"/>
      <x:c r="I558" s="26" t="str">
        <x:v>VRM Games</x:v>
      </x:c>
      <x:c r="J558" s="26" t="str">
        <x:v>Unity 6000.3.18f1 / Windows x64</x:v>
      </x:c>
      <x:c r="K558" s="26" t="str">
        <x:v>10_Unity_Project_Setup_Guide.md</x:v>
      </x:c>
      <x:c r="L558" s="26" t="str">
        <x:v>Control de cumplimiento normativo.</x:v>
      </x:c>
      <x:c r="M558" s="26"/>
    </x:row>
    <x:row r="559" ht="30" customHeight="1">
      <x:c r="A559" s="26" t="str">
        <x:v>EXE-0256</x:v>
      </x:c>
      <x:c r="B559" s="26"/>
      <x:c r="C559" s="26"/>
      <x:c r="D559" s="26" t="str">
        <x:v>AUD-SETUP-021</x:v>
      </x:c>
      <x:c r="E559" s="26" t="str">
        <x:v>SETUP-021</x:v>
      </x:c>
      <x:c r="F559" s="26" t="str">
        <x:v>Baseline PASS</x:v>
      </x:c>
      <x:c r="G559" s="26" t="str">
        <x:v>reporte</x:v>
      </x:c>
      <x:c r="H559" s="26"/>
      <x:c r="I559" s="26" t="str">
        <x:v>VRM Games</x:v>
      </x:c>
      <x:c r="J559" s="26" t="str">
        <x:v>Unity 6000.3.18f1 / Windows x64</x:v>
      </x:c>
      <x:c r="K559" s="26" t="str">
        <x:v>10_Unity_Project_Setup_Guide.md</x:v>
      </x:c>
      <x:c r="L559" s="26" t="str">
        <x:v>Control de cumplimiento normativo.</x:v>
      </x:c>
      <x:c r="M559" s="26"/>
    </x:row>
    <x:row r="560" ht="30" customHeight="1">
      <x:c r="A560" s="26" t="str">
        <x:v>EXE-0257</x:v>
      </x:c>
      <x:c r="B560" s="26"/>
      <x:c r="C560" s="26"/>
      <x:c r="D560" s="26" t="str">
        <x:v>AUD-SETUP-022</x:v>
      </x:c>
      <x:c r="E560" s="26" t="str">
        <x:v>SETUP-022</x:v>
      </x:c>
      <x:c r="F560" s="26" t="str">
        <x:v>Baseline PASS</x:v>
      </x:c>
      <x:c r="G560" s="26" t="str">
        <x:v>build record</x:v>
      </x:c>
      <x:c r="H560" s="26"/>
      <x:c r="I560" s="26" t="str">
        <x:v>VRM Games</x:v>
      </x:c>
      <x:c r="J560" s="26" t="str">
        <x:v>Unity 6000.3.18f1 / Windows x64</x:v>
      </x:c>
      <x:c r="K560" s="26" t="str">
        <x:v>10_Unity_Project_Setup_Guide.md</x:v>
      </x:c>
      <x:c r="L560" s="26" t="str">
        <x:v>Control de cumplimiento normativo.</x:v>
      </x:c>
      <x:c r="M560" s="26"/>
    </x:row>
    <x:row r="561" ht="30" customHeight="1">
      <x:c r="A561" s="26" t="str">
        <x:v>EXE-0258</x:v>
      </x:c>
      <x:c r="B561" s="26"/>
      <x:c r="C561" s="26"/>
      <x:c r="D561" s="26" t="str">
        <x:v>AUD-SETUP-023</x:v>
      </x:c>
      <x:c r="E561" s="26" t="str">
        <x:v>SETUP-023</x:v>
      </x:c>
      <x:c r="F561" s="26" t="str">
        <x:v>Baseline PASS</x:v>
      </x:c>
      <x:c r="G561" s="26" t="str">
        <x:v>log</x:v>
      </x:c>
      <x:c r="H561" s="26"/>
      <x:c r="I561" s="26" t="str">
        <x:v>VRM Games</x:v>
      </x:c>
      <x:c r="J561" s="26" t="str">
        <x:v>Unity 6000.3.18f1 / Windows x64</x:v>
      </x:c>
      <x:c r="K561" s="26" t="str">
        <x:v>10_Unity_Project_Setup_Guide.md</x:v>
      </x:c>
      <x:c r="L561" s="26" t="str">
        <x:v>Control de cumplimiento normativo.</x:v>
      </x:c>
      <x:c r="M561" s="26"/>
    </x:row>
    <x:row r="562" ht="30" customHeight="1">
      <x:c r="A562" s="26" t="str">
        <x:v>EXE-0259</x:v>
      </x:c>
      <x:c r="B562" s="26"/>
      <x:c r="C562" s="26"/>
      <x:c r="D562" s="26" t="str">
        <x:v>AUD-SETUP-024</x:v>
      </x:c>
      <x:c r="E562" s="26" t="str">
        <x:v>SETUP-024</x:v>
      </x:c>
      <x:c r="F562" s="26" t="str">
        <x:v>Baseline PASS</x:v>
      </x:c>
      <x:c r="G562" s="26" t="str">
        <x:v>status</x:v>
      </x:c>
      <x:c r="H562" s="26"/>
      <x:c r="I562" s="26" t="str">
        <x:v>VRM Games</x:v>
      </x:c>
      <x:c r="J562" s="26" t="str">
        <x:v>Unity 6000.3.18f1 / Windows x64</x:v>
      </x:c>
      <x:c r="K562" s="26" t="str">
        <x:v>10_Unity_Project_Setup_Guide.md</x:v>
      </x:c>
      <x:c r="L562" s="26" t="str">
        <x:v>Control de cumplimiento normativo.</x:v>
      </x:c>
      <x:c r="M562" s="26"/>
    </x:row>
    <x:row r="563" ht="30" customHeight="1">
      <x:c r="A563" s="26" t="str">
        <x:v>EXE-0260</x:v>
      </x:c>
      <x:c r="B563" s="26"/>
      <x:c r="C563" s="26"/>
      <x:c r="D563" s="26" t="str">
        <x:v>AUD-SETUP-025</x:v>
      </x:c>
      <x:c r="E563" s="26" t="str">
        <x:v>SETUP-025</x:v>
      </x:c>
      <x:c r="F563" s="26" t="str">
        <x:v>Baseline PASS</x:v>
      </x:c>
      <x:c r="G563" s="26" t="str">
        <x:v>revisión</x:v>
      </x:c>
      <x:c r="H563" s="26"/>
      <x:c r="I563" s="26" t="str">
        <x:v>VRM Games</x:v>
      </x:c>
      <x:c r="J563" s="26" t="str">
        <x:v>Unity 6000.3.18f1 / Windows x64</x:v>
      </x:c>
      <x:c r="K563" s="26" t="str">
        <x:v>10_Unity_Project_Setup_Guide.md</x:v>
      </x:c>
      <x:c r="L563" s="26" t="str">
        <x:v>Control de cumplimiento normativo.</x:v>
      </x:c>
      <x:c r="M563" s="26"/>
    </x:row>
    <x:row r="564" ht="30" customHeight="1">
      <x:c r="A564" s="26" t="str">
        <x:v>EXE-0261</x:v>
      </x:c>
      <x:c r="B564" s="26"/>
      <x:c r="C564" s="26"/>
      <x:c r="D564" s="26" t="str">
        <x:v>AUD-SETUP-026</x:v>
      </x:c>
      <x:c r="E564" s="26" t="str">
        <x:v>SETUP-026</x:v>
      </x:c>
      <x:c r="F564" s="26" t="str">
        <x:v>Baseline PASS</x:v>
      </x:c>
      <x:c r="G564" s="26" t="str">
        <x:v>documentación</x:v>
      </x:c>
      <x:c r="H564" s="26"/>
      <x:c r="I564" s="26" t="str">
        <x:v>VRM Games</x:v>
      </x:c>
      <x:c r="J564" s="26" t="str">
        <x:v>Unity 6000.3.18f1 / Windows x64</x:v>
      </x:c>
      <x:c r="K564" s="26" t="str">
        <x:v>10_Unity_Project_Setup_Guide.md</x:v>
      </x:c>
      <x:c r="L564" s="26" t="str">
        <x:v>Control de cumplimiento normativo.</x:v>
      </x:c>
      <x:c r="M564" s="26"/>
    </x:row>
    <x:row r="565" ht="30" customHeight="1">
      <x:c r="A565" s="26" t="str">
        <x:v>EXE-0262</x:v>
      </x:c>
      <x:c r="B565" s="26"/>
      <x:c r="C565" s="26"/>
      <x:c r="D565" s="26" t="str">
        <x:v>AUD-SETUP-027</x:v>
      </x:c>
      <x:c r="E565" s="26" t="str">
        <x:v>SETUP-027</x:v>
      </x:c>
      <x:c r="F565" s="26" t="str">
        <x:v>Baseline PASS</x:v>
      </x:c>
      <x:c r="G565" s="26" t="str">
        <x:v>gate Sprint 16</x:v>
      </x:c>
      <x:c r="H565" s="26"/>
      <x:c r="I565" s="26" t="str">
        <x:v>VRM Games</x:v>
      </x:c>
      <x:c r="J565" s="26" t="str">
        <x:v>Unity 6000.3.18f1 / Windows x64</x:v>
      </x:c>
      <x:c r="K565" s="26" t="str">
        <x:v>10_Unity_Project_Setup_Guide.md</x:v>
      </x:c>
      <x:c r="L565" s="26" t="str">
        <x:v>Control de cumplimiento normativo.</x:v>
      </x:c>
      <x:c r="M565" s="26"/>
    </x:row>
    <x:row r="566" ht="30" customHeight="1">
      <x:c r="A566" s="26" t="str">
        <x:v>EXE-0263</x:v>
      </x:c>
      <x:c r="B566" s="26"/>
      <x:c r="C566" s="26"/>
      <x:c r="D566" s="26" t="str">
        <x:v>AUD-SETUP-028</x:v>
      </x:c>
      <x:c r="E566" s="26" t="str">
        <x:v>SETUP-028</x:v>
      </x:c>
      <x:c r="F566" s="26" t="str">
        <x:v>Baseline PASS</x:v>
      </x:c>
      <x:c r="G566" s="26" t="str">
        <x:v>QA matrix</x:v>
      </x:c>
      <x:c r="H566" s="26"/>
      <x:c r="I566" s="26" t="str">
        <x:v>VRM Games</x:v>
      </x:c>
      <x:c r="J566" s="26" t="str">
        <x:v>Unity 6000.3.18f1 / Windows x64</x:v>
      </x:c>
      <x:c r="K566" s="26" t="str">
        <x:v>10_Unity_Project_Setup_Guide.md</x:v>
      </x:c>
      <x:c r="L566" s="26" t="str">
        <x:v>Control de cumplimiento normativo.</x:v>
      </x:c>
      <x:c r="M566" s="26"/>
    </x:row>
    <x:row r="567" ht="30" customHeight="1">
      <x:c r="A567" s="26" t="str">
        <x:v>EXE-0264</x:v>
      </x:c>
      <x:c r="B567" s="26"/>
      <x:c r="C567" s="26"/>
      <x:c r="D567" s="26" t="str">
        <x:v>AUD-SETUP-029</x:v>
      </x:c>
      <x:c r="E567" s="26" t="str">
        <x:v>SETUP-029</x:v>
      </x:c>
      <x:c r="F567" s="26" t="str">
        <x:v>Baseline PASS</x:v>
      </x:c>
      <x:c r="G567" s="26" t="str">
        <x:v>Player Settings/build</x:v>
      </x:c>
      <x:c r="H567" s="26"/>
      <x:c r="I567" s="26" t="str">
        <x:v>VRM Games</x:v>
      </x:c>
      <x:c r="J567" s="26" t="str">
        <x:v>Unity 6000.3.18f1 / Windows x64</x:v>
      </x:c>
      <x:c r="K567" s="26" t="str">
        <x:v>10_Unity_Project_Setup_Guide.md</x:v>
      </x:c>
      <x:c r="L567" s="26" t="str">
        <x:v>Control de cumplimiento normativo.</x:v>
      </x:c>
      <x:c r="M567" s="26"/>
    </x:row>
    <x:row r="568" ht="30" customHeight="1">
      <x:c r="A568" s="26" t="str">
        <x:v>EXE-0265</x:v>
      </x:c>
      <x:c r="B568" s="26"/>
      <x:c r="C568" s="26"/>
      <x:c r="D568" s="26" t="str">
        <x:v>AUD-SETUP-030</x:v>
      </x:c>
      <x:c r="E568" s="26" t="str">
        <x:v>SETUP-030</x:v>
      </x:c>
      <x:c r="F568" s="26" t="str">
        <x:v>Baseline PASS</x:v>
      </x:c>
      <x:c r="G568" s="26" t="str">
        <x:v>trazabilidad</x:v>
      </x:c>
      <x:c r="H568" s="26"/>
      <x:c r="I568" s="26" t="str">
        <x:v>VRM Games</x:v>
      </x:c>
      <x:c r="J568" s="26" t="str">
        <x:v>Unity 6000.3.18f1 / Windows x64</x:v>
      </x:c>
      <x:c r="K568" s="26" t="str">
        <x:v>10_Unity_Project_Setup_Guide.md</x:v>
      </x:c>
      <x:c r="L568" s="26" t="str">
        <x:v>Control de cumplimiento normativo.</x:v>
      </x:c>
      <x:c r="M568" s="26"/>
    </x:row>
    <x:row r="569" ht="30" customHeight="1">
      <x:c r="A569" s="26" t="str">
        <x:v>EXE-0266</x:v>
      </x:c>
      <x:c r="B569" s="26"/>
      <x:c r="C569" s="26"/>
      <x:c r="D569" s="26" t="str">
        <x:v>AUD-BUILD-STD-001</x:v>
      </x:c>
      <x:c r="E569" s="26" t="str">
        <x:v>BUILD-STD-001</x:v>
      </x:c>
      <x:c r="F569" s="26" t="str">
        <x:v>Not Run</x:v>
      </x:c>
      <x:c r="G569" s="26" t="str">
        <x:v>Registro, manifest, test o artefacto aplicable</x:v>
      </x:c>
      <x:c r="H569" s="26"/>
      <x:c r="I569" s="26" t="str">
        <x:v>VRM Games</x:v>
      </x:c>
      <x:c r="J569" s="26" t="str">
        <x:v>Unity 6000.3.18f1 / Windows x64</x:v>
      </x:c>
      <x:c r="K569" s="26" t="str">
        <x:v>11_Build_y_Versioning_Guide.md</x:v>
      </x:c>
      <x:c r="L569" s="26" t="str">
        <x:v>Control de cumplimiento normativo.</x:v>
      </x:c>
      <x:c r="M569" s="26"/>
    </x:row>
    <x:row r="570" ht="30" customHeight="1">
      <x:c r="A570" s="26" t="str">
        <x:v>EXE-0267</x:v>
      </x:c>
      <x:c r="B570" s="26"/>
      <x:c r="C570" s="26"/>
      <x:c r="D570" s="26" t="str">
        <x:v>AUD-BUILD-STD-002</x:v>
      </x:c>
      <x:c r="E570" s="26" t="str">
        <x:v>BUILD-STD-002</x:v>
      </x:c>
      <x:c r="F570" s="26" t="str">
        <x:v>Not Run</x:v>
      </x:c>
      <x:c r="G570" s="26" t="str">
        <x:v>Registro, manifest, test o artefacto aplicable</x:v>
      </x:c>
      <x:c r="H570" s="26"/>
      <x:c r="I570" s="26" t="str">
        <x:v>VRM Games</x:v>
      </x:c>
      <x:c r="J570" s="26" t="str">
        <x:v>Unity 6000.3.18f1 / Windows x64</x:v>
      </x:c>
      <x:c r="K570" s="26" t="str">
        <x:v>11_Build_y_Versioning_Guide.md</x:v>
      </x:c>
      <x:c r="L570" s="26" t="str">
        <x:v>Control de cumplimiento normativo.</x:v>
      </x:c>
      <x:c r="M570" s="26"/>
    </x:row>
    <x:row r="571" ht="30" customHeight="1">
      <x:c r="A571" s="26" t="str">
        <x:v>EXE-0268</x:v>
      </x:c>
      <x:c r="B571" s="26"/>
      <x:c r="C571" s="26"/>
      <x:c r="D571" s="26" t="str">
        <x:v>AUD-BUILD-STD-003</x:v>
      </x:c>
      <x:c r="E571" s="26" t="str">
        <x:v>BUILD-STD-003</x:v>
      </x:c>
      <x:c r="F571" s="26" t="str">
        <x:v>Not Run</x:v>
      </x:c>
      <x:c r="G571" s="26" t="str">
        <x:v>Registro, manifest, test o artefacto aplicable</x:v>
      </x:c>
      <x:c r="H571" s="26"/>
      <x:c r="I571" s="26" t="str">
        <x:v>VRM Games</x:v>
      </x:c>
      <x:c r="J571" s="26" t="str">
        <x:v>Unity 6000.3.18f1 / Windows x64</x:v>
      </x:c>
      <x:c r="K571" s="26" t="str">
        <x:v>11_Build_y_Versioning_Guide.md</x:v>
      </x:c>
      <x:c r="L571" s="26" t="str">
        <x:v>Control de cumplimiento normativo.</x:v>
      </x:c>
      <x:c r="M571" s="26"/>
    </x:row>
    <x:row r="572" ht="30" customHeight="1">
      <x:c r="A572" s="26" t="str">
        <x:v>EXE-0269</x:v>
      </x:c>
      <x:c r="B572" s="26"/>
      <x:c r="C572" s="26"/>
      <x:c r="D572" s="26" t="str">
        <x:v>AUD-BUILD-STD-004</x:v>
      </x:c>
      <x:c r="E572" s="26" t="str">
        <x:v>BUILD-STD-004</x:v>
      </x:c>
      <x:c r="F572" s="26" t="str">
        <x:v>Not Run</x:v>
      </x:c>
      <x:c r="G572" s="26" t="str">
        <x:v>Registro, manifest, test o artefacto aplicable</x:v>
      </x:c>
      <x:c r="H572" s="26"/>
      <x:c r="I572" s="26" t="str">
        <x:v>VRM Games</x:v>
      </x:c>
      <x:c r="J572" s="26" t="str">
        <x:v>Unity 6000.3.18f1 / Windows x64</x:v>
      </x:c>
      <x:c r="K572" s="26" t="str">
        <x:v>11_Build_y_Versioning_Guide.md</x:v>
      </x:c>
      <x:c r="L572" s="26" t="str">
        <x:v>Control de cumplimiento normativo.</x:v>
      </x:c>
      <x:c r="M572" s="26"/>
    </x:row>
    <x:row r="573" ht="30" customHeight="1">
      <x:c r="A573" s="26" t="str">
        <x:v>EXE-0270</x:v>
      </x:c>
      <x:c r="B573" s="26"/>
      <x:c r="C573" s="26"/>
      <x:c r="D573" s="26" t="str">
        <x:v>AUD-BUILD-STD-005</x:v>
      </x:c>
      <x:c r="E573" s="26" t="str">
        <x:v>BUILD-STD-005</x:v>
      </x:c>
      <x:c r="F573" s="26" t="str">
        <x:v>Not Run</x:v>
      </x:c>
      <x:c r="G573" s="26" t="str">
        <x:v>Registro, manifest, test o artefacto aplicable</x:v>
      </x:c>
      <x:c r="H573" s="26"/>
      <x:c r="I573" s="26" t="str">
        <x:v>VRM Games</x:v>
      </x:c>
      <x:c r="J573" s="26" t="str">
        <x:v>Unity 6000.3.18f1 / Windows x64</x:v>
      </x:c>
      <x:c r="K573" s="26" t="str">
        <x:v>11_Build_y_Versioning_Guide.md</x:v>
      </x:c>
      <x:c r="L573" s="26" t="str">
        <x:v>Control de cumplimiento normativo.</x:v>
      </x:c>
      <x:c r="M573" s="26"/>
    </x:row>
    <x:row r="574" ht="30" customHeight="1">
      <x:c r="A574" s="26" t="str">
        <x:v>EXE-0271</x:v>
      </x:c>
      <x:c r="B574" s="26"/>
      <x:c r="C574" s="26"/>
      <x:c r="D574" s="26" t="str">
        <x:v>AUD-BUILD-STD-006</x:v>
      </x:c>
      <x:c r="E574" s="26" t="str">
        <x:v>BUILD-STD-006</x:v>
      </x:c>
      <x:c r="F574" s="26" t="str">
        <x:v>Not Run</x:v>
      </x:c>
      <x:c r="G574" s="26" t="str">
        <x:v>Registro, manifest, test o artefacto aplicable</x:v>
      </x:c>
      <x:c r="H574" s="26"/>
      <x:c r="I574" s="26" t="str">
        <x:v>VRM Games</x:v>
      </x:c>
      <x:c r="J574" s="26" t="str">
        <x:v>Unity 6000.3.18f1 / Windows x64</x:v>
      </x:c>
      <x:c r="K574" s="26" t="str">
        <x:v>11_Build_y_Versioning_Guide.md</x:v>
      </x:c>
      <x:c r="L574" s="26" t="str">
        <x:v>Control de cumplimiento normativo.</x:v>
      </x:c>
      <x:c r="M574" s="26"/>
    </x:row>
    <x:row r="575" ht="30" customHeight="1">
      <x:c r="A575" s="26" t="str">
        <x:v>EXE-0272</x:v>
      </x:c>
      <x:c r="B575" s="26"/>
      <x:c r="C575" s="26"/>
      <x:c r="D575" s="26" t="str">
        <x:v>AUD-BUILD-STD-007</x:v>
      </x:c>
      <x:c r="E575" s="26" t="str">
        <x:v>BUILD-STD-007</x:v>
      </x:c>
      <x:c r="F575" s="26" t="str">
        <x:v>Not Run</x:v>
      </x:c>
      <x:c r="G575" s="26" t="str">
        <x:v>Registro, manifest, test o artefacto aplicable</x:v>
      </x:c>
      <x:c r="H575" s="26"/>
      <x:c r="I575" s="26" t="str">
        <x:v>VRM Games</x:v>
      </x:c>
      <x:c r="J575" s="26" t="str">
        <x:v>Unity 6000.3.18f1 / Windows x64</x:v>
      </x:c>
      <x:c r="K575" s="26" t="str">
        <x:v>11_Build_y_Versioning_Guide.md</x:v>
      </x:c>
      <x:c r="L575" s="26" t="str">
        <x:v>Control de cumplimiento normativo.</x:v>
      </x:c>
      <x:c r="M575" s="26"/>
    </x:row>
    <x:row r="576" ht="30" customHeight="1">
      <x:c r="A576" s="26" t="str">
        <x:v>EXE-0273</x:v>
      </x:c>
      <x:c r="B576" s="26"/>
      <x:c r="C576" s="26"/>
      <x:c r="D576" s="26" t="str">
        <x:v>AUD-BUILD-STD-008</x:v>
      </x:c>
      <x:c r="E576" s="26" t="str">
        <x:v>BUILD-STD-008</x:v>
      </x:c>
      <x:c r="F576" s="26" t="str">
        <x:v>Not Run</x:v>
      </x:c>
      <x:c r="G576" s="26" t="str">
        <x:v>Registro, manifest, test o artefacto aplicable</x:v>
      </x:c>
      <x:c r="H576" s="26"/>
      <x:c r="I576" s="26" t="str">
        <x:v>VRM Games</x:v>
      </x:c>
      <x:c r="J576" s="26" t="str">
        <x:v>Unity 6000.3.18f1 / Windows x64</x:v>
      </x:c>
      <x:c r="K576" s="26" t="str">
        <x:v>11_Build_y_Versioning_Guide.md</x:v>
      </x:c>
      <x:c r="L576" s="26" t="str">
        <x:v>Control de cumplimiento normativo.</x:v>
      </x:c>
      <x:c r="M576" s="26"/>
    </x:row>
    <x:row r="577" ht="30" customHeight="1">
      <x:c r="A577" s="26" t="str">
        <x:v>EXE-0274</x:v>
      </x:c>
      <x:c r="B577" s="26"/>
      <x:c r="C577" s="26"/>
      <x:c r="D577" s="26" t="str">
        <x:v>AUD-BUILD-STD-009</x:v>
      </x:c>
      <x:c r="E577" s="26" t="str">
        <x:v>BUILD-STD-009</x:v>
      </x:c>
      <x:c r="F577" s="26" t="str">
        <x:v>Not Run</x:v>
      </x:c>
      <x:c r="G577" s="26" t="str">
        <x:v>Registro, manifest, test o artefacto aplicable</x:v>
      </x:c>
      <x:c r="H577" s="26"/>
      <x:c r="I577" s="26" t="str">
        <x:v>VRM Games</x:v>
      </x:c>
      <x:c r="J577" s="26" t="str">
        <x:v>Unity 6000.3.18f1 / Windows x64</x:v>
      </x:c>
      <x:c r="K577" s="26" t="str">
        <x:v>11_Build_y_Versioning_Guide.md</x:v>
      </x:c>
      <x:c r="L577" s="26" t="str">
        <x:v>Control de cumplimiento normativo.</x:v>
      </x:c>
      <x:c r="M577" s="26"/>
    </x:row>
    <x:row r="578" ht="30" customHeight="1">
      <x:c r="A578" s="26" t="str">
        <x:v>EXE-0275</x:v>
      </x:c>
      <x:c r="B578" s="26"/>
      <x:c r="C578" s="26"/>
      <x:c r="D578" s="26" t="str">
        <x:v>AUD-BUILD-STD-010</x:v>
      </x:c>
      <x:c r="E578" s="26" t="str">
        <x:v>BUILD-STD-010</x:v>
      </x:c>
      <x:c r="F578" s="26" t="str">
        <x:v>Not Run</x:v>
      </x:c>
      <x:c r="G578" s="26" t="str">
        <x:v>Registro, manifest, test o artefacto aplicable</x:v>
      </x:c>
      <x:c r="H578" s="26"/>
      <x:c r="I578" s="26" t="str">
        <x:v>VRM Games</x:v>
      </x:c>
      <x:c r="J578" s="26" t="str">
        <x:v>Unity 6000.3.18f1 / Windows x64</x:v>
      </x:c>
      <x:c r="K578" s="26" t="str">
        <x:v>11_Build_y_Versioning_Guide.md</x:v>
      </x:c>
      <x:c r="L578" s="26" t="str">
        <x:v>Control de cumplimiento normativo.</x:v>
      </x:c>
      <x:c r="M578" s="26"/>
    </x:row>
    <x:row r="579" ht="30" customHeight="1">
      <x:c r="A579" s="26" t="str">
        <x:v>EXE-0276</x:v>
      </x:c>
      <x:c r="B579" s="26"/>
      <x:c r="C579" s="26"/>
      <x:c r="D579" s="26" t="str">
        <x:v>AUD-BUILD-STD-011</x:v>
      </x:c>
      <x:c r="E579" s="26" t="str">
        <x:v>BUILD-STD-011</x:v>
      </x:c>
      <x:c r="F579" s="26" t="str">
        <x:v>Not Run</x:v>
      </x:c>
      <x:c r="G579" s="26" t="str">
        <x:v>Registro, manifest, test o artefacto aplicable</x:v>
      </x:c>
      <x:c r="H579" s="26"/>
      <x:c r="I579" s="26" t="str">
        <x:v>VRM Games</x:v>
      </x:c>
      <x:c r="J579" s="26" t="str">
        <x:v>Unity 6000.3.18f1 / Windows x64</x:v>
      </x:c>
      <x:c r="K579" s="26" t="str">
        <x:v>11_Build_y_Versioning_Guide.md</x:v>
      </x:c>
      <x:c r="L579" s="26" t="str">
        <x:v>Control de cumplimiento normativo.</x:v>
      </x:c>
      <x:c r="M579" s="26"/>
    </x:row>
    <x:row r="580" ht="30" customHeight="1">
      <x:c r="A580" s="26" t="str">
        <x:v>EXE-0277</x:v>
      </x:c>
      <x:c r="B580" s="26"/>
      <x:c r="C580" s="26"/>
      <x:c r="D580" s="26" t="str">
        <x:v>AUD-BUILD-STD-012</x:v>
      </x:c>
      <x:c r="E580" s="26" t="str">
        <x:v>BUILD-STD-012</x:v>
      </x:c>
      <x:c r="F580" s="26" t="str">
        <x:v>Not Run</x:v>
      </x:c>
      <x:c r="G580" s="26" t="str">
        <x:v>Registro, manifest, test o artefacto aplicable</x:v>
      </x:c>
      <x:c r="H580" s="26"/>
      <x:c r="I580" s="26" t="str">
        <x:v>VRM Games</x:v>
      </x:c>
      <x:c r="J580" s="26" t="str">
        <x:v>Unity 6000.3.18f1 / Windows x64</x:v>
      </x:c>
      <x:c r="K580" s="26" t="str">
        <x:v>11_Build_y_Versioning_Guide.md</x:v>
      </x:c>
      <x:c r="L580" s="26" t="str">
        <x:v>Control de cumplimiento normativo.</x:v>
      </x:c>
      <x:c r="M580" s="26"/>
    </x:row>
    <x:row r="581" ht="30" customHeight="1">
      <x:c r="A581" s="26" t="str">
        <x:v>EXE-0278</x:v>
      </x:c>
      <x:c r="B581" s="26"/>
      <x:c r="C581" s="26"/>
      <x:c r="D581" s="26" t="str">
        <x:v>AUD-BUILD-STD-013</x:v>
      </x:c>
      <x:c r="E581" s="26" t="str">
        <x:v>BUILD-STD-013</x:v>
      </x:c>
      <x:c r="F581" s="26" t="str">
        <x:v>Not Run</x:v>
      </x:c>
      <x:c r="G581" s="26" t="str">
        <x:v>Registro, manifest, test o artefacto aplicable</x:v>
      </x:c>
      <x:c r="H581" s="26"/>
      <x:c r="I581" s="26" t="str">
        <x:v>VRM Games</x:v>
      </x:c>
      <x:c r="J581" s="26" t="str">
        <x:v>Unity 6000.3.18f1 / Windows x64</x:v>
      </x:c>
      <x:c r="K581" s="26" t="str">
        <x:v>11_Build_y_Versioning_Guide.md</x:v>
      </x:c>
      <x:c r="L581" s="26" t="str">
        <x:v>Control de cumplimiento normativo.</x:v>
      </x:c>
      <x:c r="M581" s="26"/>
    </x:row>
    <x:row r="582" ht="30" customHeight="1">
      <x:c r="A582" s="26" t="str">
        <x:v>EXE-0279</x:v>
      </x:c>
      <x:c r="B582" s="26"/>
      <x:c r="C582" s="26"/>
      <x:c r="D582" s="26" t="str">
        <x:v>AUD-BUILD-STD-014</x:v>
      </x:c>
      <x:c r="E582" s="26" t="str">
        <x:v>BUILD-STD-014</x:v>
      </x:c>
      <x:c r="F582" s="26" t="str">
        <x:v>Not Run</x:v>
      </x:c>
      <x:c r="G582" s="26" t="str">
        <x:v>Registro, manifest, test o artefacto aplicable</x:v>
      </x:c>
      <x:c r="H582" s="26"/>
      <x:c r="I582" s="26" t="str">
        <x:v>VRM Games</x:v>
      </x:c>
      <x:c r="J582" s="26" t="str">
        <x:v>Unity 6000.3.18f1 / Windows x64</x:v>
      </x:c>
      <x:c r="K582" s="26" t="str">
        <x:v>11_Build_y_Versioning_Guide.md</x:v>
      </x:c>
      <x:c r="L582" s="26" t="str">
        <x:v>Control de cumplimiento normativo.</x:v>
      </x:c>
      <x:c r="M582" s="26"/>
    </x:row>
    <x:row r="583" ht="30" customHeight="1">
      <x:c r="A583" s="26" t="str">
        <x:v>EXE-0280</x:v>
      </x:c>
      <x:c r="B583" s="26"/>
      <x:c r="C583" s="26"/>
      <x:c r="D583" s="26" t="str">
        <x:v>AUD-BUILD-STD-015</x:v>
      </x:c>
      <x:c r="E583" s="26" t="str">
        <x:v>BUILD-STD-015</x:v>
      </x:c>
      <x:c r="F583" s="26" t="str">
        <x:v>Not Run</x:v>
      </x:c>
      <x:c r="G583" s="26" t="str">
        <x:v>Registro, manifest, test o artefacto aplicable</x:v>
      </x:c>
      <x:c r="H583" s="26"/>
      <x:c r="I583" s="26" t="str">
        <x:v>VRM Games</x:v>
      </x:c>
      <x:c r="J583" s="26" t="str">
        <x:v>Unity 6000.3.18f1 / Windows x64</x:v>
      </x:c>
      <x:c r="K583" s="26" t="str">
        <x:v>11_Build_y_Versioning_Guide.md</x:v>
      </x:c>
      <x:c r="L583" s="26" t="str">
        <x:v>Control de cumplimiento normativo.</x:v>
      </x:c>
      <x:c r="M583" s="26"/>
    </x:row>
    <x:row r="584" ht="30" customHeight="1">
      <x:c r="A584" s="26" t="str">
        <x:v>EXE-0281</x:v>
      </x:c>
      <x:c r="B584" s="26"/>
      <x:c r="C584" s="26"/>
      <x:c r="D584" s="26" t="str">
        <x:v>AUD-BUILD-STD-016</x:v>
      </x:c>
      <x:c r="E584" s="26" t="str">
        <x:v>BUILD-STD-016</x:v>
      </x:c>
      <x:c r="F584" s="26" t="str">
        <x:v>Not Run</x:v>
      </x:c>
      <x:c r="G584" s="26" t="str">
        <x:v>Registro, manifest, test o artefacto aplicable</x:v>
      </x:c>
      <x:c r="H584" s="26"/>
      <x:c r="I584" s="26" t="str">
        <x:v>VRM Games</x:v>
      </x:c>
      <x:c r="J584" s="26" t="str">
        <x:v>Unity 6000.3.18f1 / Windows x64</x:v>
      </x:c>
      <x:c r="K584" s="26" t="str">
        <x:v>11_Build_y_Versioning_Guide.md</x:v>
      </x:c>
      <x:c r="L584" s="26" t="str">
        <x:v>Control de cumplimiento normativo.</x:v>
      </x:c>
      <x:c r="M584" s="26"/>
    </x:row>
    <x:row r="585" ht="30" customHeight="1">
      <x:c r="A585" s="26" t="str">
        <x:v>EXE-0282</x:v>
      </x:c>
      <x:c r="B585" s="26"/>
      <x:c r="C585" s="26"/>
      <x:c r="D585" s="26" t="str">
        <x:v>AUD-BUILD-STD-017</x:v>
      </x:c>
      <x:c r="E585" s="26" t="str">
        <x:v>BUILD-STD-017</x:v>
      </x:c>
      <x:c r="F585" s="26" t="str">
        <x:v>Not Run</x:v>
      </x:c>
      <x:c r="G585" s="26" t="str">
        <x:v>Registro, manifest, test o artefacto aplicable</x:v>
      </x:c>
      <x:c r="H585" s="26"/>
      <x:c r="I585" s="26" t="str">
        <x:v>VRM Games</x:v>
      </x:c>
      <x:c r="J585" s="26" t="str">
        <x:v>Unity 6000.3.18f1 / Windows x64</x:v>
      </x:c>
      <x:c r="K585" s="26" t="str">
        <x:v>11_Build_y_Versioning_Guide.md</x:v>
      </x:c>
      <x:c r="L585" s="26" t="str">
        <x:v>Control de cumplimiento normativo.</x:v>
      </x:c>
      <x:c r="M585" s="26"/>
    </x:row>
    <x:row r="586" ht="30" customHeight="1">
      <x:c r="A586" s="26" t="str">
        <x:v>EXE-0283</x:v>
      </x:c>
      <x:c r="B586" s="26"/>
      <x:c r="C586" s="26"/>
      <x:c r="D586" s="26" t="str">
        <x:v>AUD-BUILD-STD-018</x:v>
      </x:c>
      <x:c r="E586" s="26" t="str">
        <x:v>BUILD-STD-018</x:v>
      </x:c>
      <x:c r="F586" s="26" t="str">
        <x:v>Not Run</x:v>
      </x:c>
      <x:c r="G586" s="26" t="str">
        <x:v>Registro, manifest, test o artefacto aplicable</x:v>
      </x:c>
      <x:c r="H586" s="26"/>
      <x:c r="I586" s="26" t="str">
        <x:v>VRM Games</x:v>
      </x:c>
      <x:c r="J586" s="26" t="str">
        <x:v>Unity 6000.3.18f1 / Windows x64</x:v>
      </x:c>
      <x:c r="K586" s="26" t="str">
        <x:v>11_Build_y_Versioning_Guide.md</x:v>
      </x:c>
      <x:c r="L586" s="26" t="str">
        <x:v>Control de cumplimiento normativo.</x:v>
      </x:c>
      <x:c r="M586" s="26"/>
    </x:row>
    <x:row r="587" ht="30" customHeight="1">
      <x:c r="A587" s="26" t="str">
        <x:v>EXE-0284</x:v>
      </x:c>
      <x:c r="B587" s="26"/>
      <x:c r="C587" s="26"/>
      <x:c r="D587" s="26" t="str">
        <x:v>AUD-BUILD-STD-019</x:v>
      </x:c>
      <x:c r="E587" s="26" t="str">
        <x:v>BUILD-STD-019</x:v>
      </x:c>
      <x:c r="F587" s="26" t="str">
        <x:v>Not Run</x:v>
      </x:c>
      <x:c r="G587" s="26" t="str">
        <x:v>Registro, manifest, test o artefacto aplicable</x:v>
      </x:c>
      <x:c r="H587" s="26"/>
      <x:c r="I587" s="26" t="str">
        <x:v>VRM Games</x:v>
      </x:c>
      <x:c r="J587" s="26" t="str">
        <x:v>Unity 6000.3.18f1 / Windows x64</x:v>
      </x:c>
      <x:c r="K587" s="26" t="str">
        <x:v>11_Build_y_Versioning_Guide.md</x:v>
      </x:c>
      <x:c r="L587" s="26" t="str">
        <x:v>Control de cumplimiento normativo.</x:v>
      </x:c>
      <x:c r="M587" s="26"/>
    </x:row>
    <x:row r="588" ht="30" customHeight="1">
      <x:c r="A588" s="26" t="str">
        <x:v>EXE-0285</x:v>
      </x:c>
      <x:c r="B588" s="26"/>
      <x:c r="C588" s="26"/>
      <x:c r="D588" s="26" t="str">
        <x:v>AUD-BUILD-STD-020</x:v>
      </x:c>
      <x:c r="E588" s="26" t="str">
        <x:v>BUILD-STD-020</x:v>
      </x:c>
      <x:c r="F588" s="26" t="str">
        <x:v>Not Run</x:v>
      </x:c>
      <x:c r="G588" s="26" t="str">
        <x:v>Registro, manifest, test o artefacto aplicable</x:v>
      </x:c>
      <x:c r="H588" s="26"/>
      <x:c r="I588" s="26" t="str">
        <x:v>VRM Games</x:v>
      </x:c>
      <x:c r="J588" s="26" t="str">
        <x:v>Unity 6000.3.18f1 / Windows x64</x:v>
      </x:c>
      <x:c r="K588" s="26" t="str">
        <x:v>11_Build_y_Versioning_Guide.md</x:v>
      </x:c>
      <x:c r="L588" s="26" t="str">
        <x:v>Control de cumplimiento normativo.</x:v>
      </x:c>
      <x:c r="M588" s="26"/>
    </x:row>
    <x:row r="589" ht="30" customHeight="1">
      <x:c r="A589" s="26" t="str">
        <x:v>EXE-0286</x:v>
      </x:c>
      <x:c r="B589" s="26"/>
      <x:c r="C589" s="26"/>
      <x:c r="D589" s="26" t="str">
        <x:v>AUD-BUILD-STD-021</x:v>
      </x:c>
      <x:c r="E589" s="26" t="str">
        <x:v>BUILD-STD-021</x:v>
      </x:c>
      <x:c r="F589" s="26" t="str">
        <x:v>Not Run</x:v>
      </x:c>
      <x:c r="G589" s="26" t="str">
        <x:v>Registro, manifest, test o artefacto aplicable</x:v>
      </x:c>
      <x:c r="H589" s="26"/>
      <x:c r="I589" s="26" t="str">
        <x:v>VRM Games</x:v>
      </x:c>
      <x:c r="J589" s="26" t="str">
        <x:v>Unity 6000.3.18f1 / Windows x64</x:v>
      </x:c>
      <x:c r="K589" s="26" t="str">
        <x:v>11_Build_y_Versioning_Guide.md</x:v>
      </x:c>
      <x:c r="L589" s="26" t="str">
        <x:v>Control de cumplimiento normativo.</x:v>
      </x:c>
      <x:c r="M589" s="26"/>
    </x:row>
    <x:row r="590" ht="30" customHeight="1">
      <x:c r="A590" s="26" t="str">
        <x:v>EXE-0287</x:v>
      </x:c>
      <x:c r="B590" s="26"/>
      <x:c r="C590" s="26"/>
      <x:c r="D590" s="26" t="str">
        <x:v>AUD-BUILD-STD-022</x:v>
      </x:c>
      <x:c r="E590" s="26" t="str">
        <x:v>BUILD-STD-022</x:v>
      </x:c>
      <x:c r="F590" s="26" t="str">
        <x:v>Not Run</x:v>
      </x:c>
      <x:c r="G590" s="26" t="str">
        <x:v>Registro, manifest, test o artefacto aplicable</x:v>
      </x:c>
      <x:c r="H590" s="26"/>
      <x:c r="I590" s="26" t="str">
        <x:v>VRM Games</x:v>
      </x:c>
      <x:c r="J590" s="26" t="str">
        <x:v>Unity 6000.3.18f1 / Windows x64</x:v>
      </x:c>
      <x:c r="K590" s="26" t="str">
        <x:v>11_Build_y_Versioning_Guide.md</x:v>
      </x:c>
      <x:c r="L590" s="26" t="str">
        <x:v>Control de cumplimiento normativo.</x:v>
      </x:c>
      <x:c r="M590" s="26"/>
    </x:row>
    <x:row r="591" ht="30" customHeight="1">
      <x:c r="A591" s="26" t="str">
        <x:v>EXE-0288</x:v>
      </x:c>
      <x:c r="B591" s="26"/>
      <x:c r="C591" s="26"/>
      <x:c r="D591" s="26" t="str">
        <x:v>AUD-BUILD-STD-023</x:v>
      </x:c>
      <x:c r="E591" s="26" t="str">
        <x:v>BUILD-STD-023</x:v>
      </x:c>
      <x:c r="F591" s="26" t="str">
        <x:v>Not Run</x:v>
      </x:c>
      <x:c r="G591" s="26" t="str">
        <x:v>Registro, manifest, test o artefacto aplicable</x:v>
      </x:c>
      <x:c r="H591" s="26"/>
      <x:c r="I591" s="26" t="str">
        <x:v>VRM Games</x:v>
      </x:c>
      <x:c r="J591" s="26" t="str">
        <x:v>Unity 6000.3.18f1 / Windows x64</x:v>
      </x:c>
      <x:c r="K591" s="26" t="str">
        <x:v>11_Build_y_Versioning_Guide.md</x:v>
      </x:c>
      <x:c r="L591" s="26" t="str">
        <x:v>Control de cumplimiento normativo.</x:v>
      </x:c>
      <x:c r="M591" s="26"/>
    </x:row>
    <x:row r="592" ht="30" customHeight="1">
      <x:c r="A592" s="26" t="str">
        <x:v>EXE-0289</x:v>
      </x:c>
      <x:c r="B592" s="26"/>
      <x:c r="C592" s="26"/>
      <x:c r="D592" s="26" t="str">
        <x:v>AUD-BUILD-STD-024</x:v>
      </x:c>
      <x:c r="E592" s="26" t="str">
        <x:v>BUILD-STD-024</x:v>
      </x:c>
      <x:c r="F592" s="26" t="str">
        <x:v>Not Run</x:v>
      </x:c>
      <x:c r="G592" s="26" t="str">
        <x:v>Registro, manifest, test o artefacto aplicable</x:v>
      </x:c>
      <x:c r="H592" s="26"/>
      <x:c r="I592" s="26" t="str">
        <x:v>VRM Games</x:v>
      </x:c>
      <x:c r="J592" s="26" t="str">
        <x:v>Unity 6000.3.18f1 / Windows x64</x:v>
      </x:c>
      <x:c r="K592" s="26" t="str">
        <x:v>11_Build_y_Versioning_Guide.md</x:v>
      </x:c>
      <x:c r="L592" s="26" t="str">
        <x:v>Control de cumplimiento normativo.</x:v>
      </x:c>
      <x:c r="M592" s="26"/>
    </x:row>
    <x:row r="593" ht="30" customHeight="1">
      <x:c r="A593" s="26" t="str">
        <x:v>EXE-0290</x:v>
      </x:c>
      <x:c r="B593" s="26"/>
      <x:c r="C593" s="26"/>
      <x:c r="D593" s="26" t="str">
        <x:v>AUD-BUILD-STD-025</x:v>
      </x:c>
      <x:c r="E593" s="26" t="str">
        <x:v>BUILD-STD-025</x:v>
      </x:c>
      <x:c r="F593" s="26" t="str">
        <x:v>Not Run</x:v>
      </x:c>
      <x:c r="G593" s="26" t="str">
        <x:v>Registro, manifest, test o artefacto aplicable</x:v>
      </x:c>
      <x:c r="H593" s="26"/>
      <x:c r="I593" s="26" t="str">
        <x:v>VRM Games</x:v>
      </x:c>
      <x:c r="J593" s="26" t="str">
        <x:v>Unity 6000.3.18f1 / Windows x64</x:v>
      </x:c>
      <x:c r="K593" s="26" t="str">
        <x:v>11_Build_y_Versioning_Guide.md</x:v>
      </x:c>
      <x:c r="L593" s="26" t="str">
        <x:v>Control de cumplimiento normativo.</x:v>
      </x:c>
      <x:c r="M593" s="26"/>
    </x:row>
    <x:row r="594" ht="30" customHeight="1">
      <x:c r="A594" s="26" t="str">
        <x:v>EXE-0291</x:v>
      </x:c>
      <x:c r="B594" s="26"/>
      <x:c r="C594" s="26"/>
      <x:c r="D594" s="26" t="str">
        <x:v>AUD-BUILD-STD-026</x:v>
      </x:c>
      <x:c r="E594" s="26" t="str">
        <x:v>BUILD-STD-026</x:v>
      </x:c>
      <x:c r="F594" s="26" t="str">
        <x:v>Not Run</x:v>
      </x:c>
      <x:c r="G594" s="26" t="str">
        <x:v>Registro, manifest, test o artefacto aplicable</x:v>
      </x:c>
      <x:c r="H594" s="26"/>
      <x:c r="I594" s="26" t="str">
        <x:v>VRM Games</x:v>
      </x:c>
      <x:c r="J594" s="26" t="str">
        <x:v>Unity 6000.3.18f1 / Windows x64</x:v>
      </x:c>
      <x:c r="K594" s="26" t="str">
        <x:v>11_Build_y_Versioning_Guide.md</x:v>
      </x:c>
      <x:c r="L594" s="26" t="str">
        <x:v>Control de cumplimiento normativo.</x:v>
      </x:c>
      <x:c r="M594" s="26"/>
    </x:row>
    <x:row r="595" ht="30" customHeight="1">
      <x:c r="A595" s="26" t="str">
        <x:v>EXE-0292</x:v>
      </x:c>
      <x:c r="B595" s="26"/>
      <x:c r="C595" s="26"/>
      <x:c r="D595" s="26" t="str">
        <x:v>AUD-BUILD-STD-027</x:v>
      </x:c>
      <x:c r="E595" s="26" t="str">
        <x:v>BUILD-STD-027</x:v>
      </x:c>
      <x:c r="F595" s="26" t="str">
        <x:v>Not Run</x:v>
      </x:c>
      <x:c r="G595" s="26" t="str">
        <x:v>Registro, manifest, test o artefacto aplicable</x:v>
      </x:c>
      <x:c r="H595" s="26"/>
      <x:c r="I595" s="26" t="str">
        <x:v>VRM Games</x:v>
      </x:c>
      <x:c r="J595" s="26" t="str">
        <x:v>Unity 6000.3.18f1 / Windows x64</x:v>
      </x:c>
      <x:c r="K595" s="26" t="str">
        <x:v>11_Build_y_Versioning_Guide.md</x:v>
      </x:c>
      <x:c r="L595" s="26" t="str">
        <x:v>Control de cumplimiento normativo.</x:v>
      </x:c>
      <x:c r="M595" s="26"/>
    </x:row>
    <x:row r="596" ht="30" customHeight="1">
      <x:c r="A596" s="26" t="str">
        <x:v>EXE-0293</x:v>
      </x:c>
      <x:c r="B596" s="26"/>
      <x:c r="C596" s="26"/>
      <x:c r="D596" s="26" t="str">
        <x:v>AUD-BUILD-STD-028</x:v>
      </x:c>
      <x:c r="E596" s="26" t="str">
        <x:v>BUILD-STD-028</x:v>
      </x:c>
      <x:c r="F596" s="26" t="str">
        <x:v>Not Run</x:v>
      </x:c>
      <x:c r="G596" s="26" t="str">
        <x:v>Registro, manifest, test o artefacto aplicable</x:v>
      </x:c>
      <x:c r="H596" s="26"/>
      <x:c r="I596" s="26" t="str">
        <x:v>VRM Games</x:v>
      </x:c>
      <x:c r="J596" s="26" t="str">
        <x:v>Unity 6000.3.18f1 / Windows x64</x:v>
      </x:c>
      <x:c r="K596" s="26" t="str">
        <x:v>11_Build_y_Versioning_Guide.md</x:v>
      </x:c>
      <x:c r="L596" s="26" t="str">
        <x:v>Control de cumplimiento normativo.</x:v>
      </x:c>
      <x:c r="M596" s="26"/>
    </x:row>
    <x:row r="597" ht="30" customHeight="1">
      <x:c r="A597" s="26" t="str">
        <x:v>EXE-0294</x:v>
      </x:c>
      <x:c r="B597" s="26"/>
      <x:c r="C597" s="26"/>
      <x:c r="D597" s="26" t="str">
        <x:v>AUD-BUILD-STD-029</x:v>
      </x:c>
      <x:c r="E597" s="26" t="str">
        <x:v>BUILD-STD-029</x:v>
      </x:c>
      <x:c r="F597" s="26" t="str">
        <x:v>Not Run</x:v>
      </x:c>
      <x:c r="G597" s="26" t="str">
        <x:v>Registro, manifest, test o artefacto aplicable</x:v>
      </x:c>
      <x:c r="H597" s="26"/>
      <x:c r="I597" s="26" t="str">
        <x:v>VRM Games</x:v>
      </x:c>
      <x:c r="J597" s="26" t="str">
        <x:v>Unity 6000.3.18f1 / Windows x64</x:v>
      </x:c>
      <x:c r="K597" s="26" t="str">
        <x:v>11_Build_y_Versioning_Guide.md</x:v>
      </x:c>
      <x:c r="L597" s="26" t="str">
        <x:v>Control de cumplimiento normativo.</x:v>
      </x:c>
      <x:c r="M597" s="26"/>
    </x:row>
    <x:row r="598" ht="30" customHeight="1">
      <x:c r="A598" s="26" t="str">
        <x:v>EXE-0295</x:v>
      </x:c>
      <x:c r="B598" s="26"/>
      <x:c r="C598" s="26"/>
      <x:c r="D598" s="26" t="str">
        <x:v>AUD-BUILD-STD-030</x:v>
      </x:c>
      <x:c r="E598" s="26" t="str">
        <x:v>BUILD-STD-030</x:v>
      </x:c>
      <x:c r="F598" s="26" t="str">
        <x:v>Not Run</x:v>
      </x:c>
      <x:c r="G598" s="26" t="str">
        <x:v>Registro, manifest, test o artefacto aplicable</x:v>
      </x:c>
      <x:c r="H598" s="26"/>
      <x:c r="I598" s="26" t="str">
        <x:v>VRM Games</x:v>
      </x:c>
      <x:c r="J598" s="26" t="str">
        <x:v>Unity 6000.3.18f1 / Windows x64</x:v>
      </x:c>
      <x:c r="K598" s="26" t="str">
        <x:v>11_Build_y_Versioning_Guide.md</x:v>
      </x:c>
      <x:c r="L598" s="26" t="str">
        <x:v>Control de cumplimiento normativo.</x:v>
      </x:c>
      <x:c r="M598" s="26"/>
    </x:row>
    <x:row r="599" ht="30" customHeight="1">
      <x:c r="A599" s="26" t="str">
        <x:v>VS-TST-001</x:v>
      </x:c>
      <x:c r="B599" s="26"/>
      <x:c r="C599" s="26" t="str">
        <x:v>Nueva partida desde instalación limpia</x:v>
      </x:c>
      <x:c r="D599" s="26" t="str">
        <x:v>D</x:v>
      </x:c>
      <x:c r="E599" s="26" t="str">
        <x:v>P0</x:v>
      </x:c>
      <x:c r="F599" s="26"/>
      <x:c r="G599" s="26"/>
      <x:c r="H599" s="26" t="str">
        <x:v>Slot válido y recorrido sin bloqueo.</x:v>
      </x:c>
      <x:c r="I599" s="26" t="str">
        <x:v>NOT RUN</x:v>
      </x:c>
      <x:c r="J599" s="26"/>
      <x:c r="K599" s="26" t="str">
        <x:v>H6 Candidate</x:v>
      </x:c>
      <x:c r="L599" s="26"/>
      <x:c r="M599" s="26" t="str">
        <x:v>Imported from 31; locale=ES/EN as applicable; resolution=1080p / matrix as applicable; repeatability=Required</x:v>
      </x:c>
    </x:row>
    <x:row r="600" ht="30" customHeight="1">
      <x:c r="A600" s="26" t="str">
        <x:v>VS-TST-002</x:v>
      </x:c>
      <x:c r="B600" s="26"/>
      <x:c r="C600" s="26" t="str">
        <x:v>Tres slots independientes</x:v>
      </x:c>
      <x:c r="D600" s="26" t="str">
        <x:v>D</x:v>
      </x:c>
      <x:c r="E600" s="26" t="str">
        <x:v>P0</x:v>
      </x:c>
      <x:c r="F600" s="26"/>
      <x:c r="G600" s="26"/>
      <x:c r="H600" s="26" t="str">
        <x:v>No hay contaminación cruzada.</x:v>
      </x:c>
      <x:c r="I600" s="26" t="str">
        <x:v>NOT RUN</x:v>
      </x:c>
      <x:c r="J600" s="26"/>
      <x:c r="K600" s="26" t="str">
        <x:v>H6 Candidate</x:v>
      </x:c>
      <x:c r="L600" s="26"/>
      <x:c r="M600" s="26" t="str">
        <x:v>Imported from 31; locale=ES/EN as applicable; resolution=1080p / matrix as applicable; repeatability=Required</x:v>
      </x:c>
    </x:row>
    <x:row r="601" ht="30" customHeight="1">
      <x:c r="A601" s="26" t="str">
        <x:v>VS-TST-003</x:v>
      </x:c>
      <x:c r="B601" s="26"/>
      <x:c r="C601" s="26" t="str">
        <x:v>Golden Path completo</x:v>
      </x:c>
      <x:c r="D601" s="26" t="str">
        <x:v>D/E</x:v>
      </x:c>
      <x:c r="E601" s="26" t="str">
        <x:v>P1</x:v>
      </x:c>
      <x:c r="F601" s="26"/>
      <x:c r="G601" s="26"/>
      <x:c r="H601" s="26" t="str">
        <x:v>PASS sin debug.</x:v>
      </x:c>
      <x:c r="I601" s="26" t="str">
        <x:v>NOT RUN</x:v>
      </x:c>
      <x:c r="J601" s="26"/>
      <x:c r="K601" s="26" t="str">
        <x:v>H6 Candidate</x:v>
      </x:c>
      <x:c r="L601" s="26"/>
      <x:c r="M601" s="26" t="str">
        <x:v>Imported from 31; locale=ES/EN as applicable; resolution=1080p / matrix as applicable; repeatability=Required</x:v>
      </x:c>
    </x:row>
    <x:row r="602" ht="30" customHeight="1">
      <x:c r="A602" s="26" t="str">
        <x:v>VS-TST-004</x:v>
      </x:c>
      <x:c r="B602" s="26"/>
      <x:c r="C602" s="26" t="str">
        <x:v>Siete días consecutivos</x:v>
      </x:c>
      <x:c r="D602" s="26" t="str">
        <x:v>F</x:v>
      </x:c>
      <x:c r="E602" s="26" t="str">
        <x:v>P1</x:v>
      </x:c>
      <x:c r="F602" s="26"/>
      <x:c r="G602" s="26"/>
      <x:c r="H602" s="26" t="str">
        <x:v>Sin pérdida, duplicación ni corrupción.</x:v>
      </x:c>
      <x:c r="I602" s="26" t="str">
        <x:v>NOT RUN</x:v>
      </x:c>
      <x:c r="J602" s="26"/>
      <x:c r="K602" s="26" t="str">
        <x:v>H6 Candidate</x:v>
      </x:c>
      <x:c r="L602" s="26"/>
      <x:c r="M602" s="26" t="str">
        <x:v>Imported from 31; locale=ES/EN as applicable; resolution=1080p / matrix as applicable; repeatability=Required</x:v>
      </x:c>
    </x:row>
    <x:row r="603" ht="30" customHeight="1">
      <x:c r="A603" s="26" t="str">
        <x:v>VS-TST-005</x:v>
      </x:c>
      <x:c r="B603" s="26"/>
      <x:c r="C603" s="26" t="str">
        <x:v>Cierre manual</x:v>
      </x:c>
      <x:c r="D603" s="26" t="str">
        <x:v>C/D</x:v>
      </x:c>
      <x:c r="E603" s="26" t="str">
        <x:v>P1</x:v>
      </x:c>
      <x:c r="F603" s="26"/>
      <x:c r="G603" s="26"/>
      <x:c r="H603" s="26" t="str">
        <x:v>Clientes y reservas resueltos.</x:v>
      </x:c>
      <x:c r="I603" s="26" t="str">
        <x:v>NOT RUN</x:v>
      </x:c>
      <x:c r="J603" s="26"/>
      <x:c r="K603" s="26" t="str">
        <x:v>H6 Candidate</x:v>
      </x:c>
      <x:c r="L603" s="26"/>
      <x:c r="M603" s="26" t="str">
        <x:v>Imported from 31; locale=ES/EN as applicable; resolution=1080p / matrix as applicable; repeatability=Required</x:v>
      </x:c>
    </x:row>
    <x:row r="604" ht="30" customHeight="1">
      <x:c r="A604" s="26" t="str">
        <x:v>VS-TST-006</x:v>
      </x:c>
      <x:c r="B604" s="26"/>
      <x:c r="C604" s="26" t="str">
        <x:v>Cierre forzado</x:v>
      </x:c>
      <x:c r="D604" s="26" t="str">
        <x:v>C/D</x:v>
      </x:c>
      <x:c r="E604" s="26" t="str">
        <x:v>P1</x:v>
      </x:c>
      <x:c r="F604" s="26"/>
      <x:c r="G604" s="26"/>
      <x:c r="H604" s="26" t="str">
        <x:v>Transición determinista y segura.</x:v>
      </x:c>
      <x:c r="I604" s="26" t="str">
        <x:v>NOT RUN</x:v>
      </x:c>
      <x:c r="J604" s="26"/>
      <x:c r="K604" s="26" t="str">
        <x:v>H6 Candidate</x:v>
      </x:c>
      <x:c r="L604" s="26"/>
      <x:c r="M604" s="26" t="str">
        <x:v>Imported from 31; locale=ES/EN as applicable; resolution=1080p / matrix as applicable; repeatability=Required</x:v>
      </x:c>
    </x:row>
    <x:row r="605" ht="30" customHeight="1">
      <x:c r="A605" s="26" t="str">
        <x:v>VS-TST-007</x:v>
      </x:c>
      <x:c r="B605" s="26"/>
      <x:c r="C605" s="26" t="str">
        <x:v>Colocación válida</x:v>
      </x:c>
      <x:c r="D605" s="26" t="str">
        <x:v>B/C</x:v>
      </x:c>
      <x:c r="E605" s="26" t="str">
        <x:v>P1</x:v>
      </x:c>
      <x:c r="F605" s="26"/>
      <x:c r="G605" s="26"/>
      <x:c r="H605" s="26" t="str">
        <x:v>Preview y ocupación coinciden.</x:v>
      </x:c>
      <x:c r="I605" s="26" t="str">
        <x:v>NOT RUN</x:v>
      </x:c>
      <x:c r="J605" s="26"/>
      <x:c r="K605" s="26" t="str">
        <x:v>H6 Candidate</x:v>
      </x:c>
      <x:c r="L605" s="26"/>
      <x:c r="M605" s="26" t="str">
        <x:v>Imported from 31; locale=ES/EN as applicable; resolution=1080p / matrix as applicable; repeatability=Required</x:v>
      </x:c>
    </x:row>
    <x:row r="606" ht="30" customHeight="1">
      <x:c r="A606" s="26" t="str">
        <x:v>VS-TST-008</x:v>
      </x:c>
      <x:c r="B606" s="26"/>
      <x:c r="C606" s="26" t="str">
        <x:v>Colocación solapada</x:v>
      </x:c>
      <x:c r="D606" s="26" t="str">
        <x:v>B/C</x:v>
      </x:c>
      <x:c r="E606" s="26" t="str">
        <x:v>P1</x:v>
      </x:c>
      <x:c r="F606" s="26"/>
      <x:c r="G606" s="26"/>
      <x:c r="H606" s="26" t="str">
        <x:v>Rechazo sin mutación.</x:v>
      </x:c>
      <x:c r="I606" s="26" t="str">
        <x:v>NOT RUN</x:v>
      </x:c>
      <x:c r="J606" s="26"/>
      <x:c r="K606" s="26" t="str">
        <x:v>H6 Candidate</x:v>
      </x:c>
      <x:c r="L606" s="26"/>
      <x:c r="M606" s="26" t="str">
        <x:v>Imported from 31; locale=ES/EN as applicable; resolution=1080p / matrix as applicable; repeatability=Required</x:v>
      </x:c>
    </x:row>
    <x:row r="607" ht="30" customHeight="1">
      <x:c r="A607" s="26" t="str">
        <x:v>VS-TST-009</x:v>
      </x:c>
      <x:c r="B607" s="26"/>
      <x:c r="C607" s="26" t="str">
        <x:v>Bloqueo de entrada</x:v>
      </x:c>
      <x:c r="D607" s="26" t="str">
        <x:v>B/C</x:v>
      </x:c>
      <x:c r="E607" s="26" t="str">
        <x:v>P1</x:v>
      </x:c>
      <x:c r="F607" s="26"/>
      <x:c r="G607" s="26"/>
      <x:c r="H607" s="26" t="str">
        <x:v>Rechazo con causa.</x:v>
      </x:c>
      <x:c r="I607" s="26" t="str">
        <x:v>NOT RUN</x:v>
      </x:c>
      <x:c r="J607" s="26"/>
      <x:c r="K607" s="26" t="str">
        <x:v>H6 Candidate</x:v>
      </x:c>
      <x:c r="L607" s="26"/>
      <x:c r="M607" s="26" t="str">
        <x:v>Imported from 31; locale=ES/EN as applicable; resolution=1080p / matrix as applicable; repeatability=Required</x:v>
      </x:c>
    </x:row>
    <x:row r="608" ht="30" customHeight="1">
      <x:c r="A608" s="26" t="str">
        <x:v>VS-TST-010</x:v>
      </x:c>
      <x:c r="B608" s="26"/>
      <x:c r="C608" s="26" t="str">
        <x:v>Mover y retirar</x:v>
      </x:c>
      <x:c r="D608" s="26" t="str">
        <x:v>B/C</x:v>
      </x:c>
      <x:c r="E608" s="26" t="str">
        <x:v>P1</x:v>
      </x:c>
      <x:c r="F608" s="26"/>
      <x:c r="G608" s="26"/>
      <x:c r="H608" s="26" t="str">
        <x:v>Liberación exacta.</x:v>
      </x:c>
      <x:c r="I608" s="26" t="str">
        <x:v>NOT RUN</x:v>
      </x:c>
      <x:c r="J608" s="26"/>
      <x:c r="K608" s="26" t="str">
        <x:v>H6 Candidate</x:v>
      </x:c>
      <x:c r="L608" s="26"/>
      <x:c r="M608" s="26" t="str">
        <x:v>Imported from 31; locale=ES/EN as applicable; resolution=1080p / matrix as applicable; repeatability=Required</x:v>
      </x:c>
    </x:row>
    <x:row r="609" ht="30" customHeight="1">
      <x:c r="A609" s="26" t="str">
        <x:v>VS-TST-011</x:v>
      </x:c>
      <x:c r="B609" s="26"/>
      <x:c r="C609" s="26" t="str">
        <x:v>Pedido sin dinero</x:v>
      </x:c>
      <x:c r="D609" s="26" t="str">
        <x:v>A/C</x:v>
      </x:c>
      <x:c r="E609" s="26" t="str">
        <x:v>P1</x:v>
      </x:c>
      <x:c r="F609" s="26"/>
      <x:c r="G609" s="26"/>
      <x:c r="H609" s="26" t="str">
        <x:v>Rechazo sin coste.</x:v>
      </x:c>
      <x:c r="I609" s="26" t="str">
        <x:v>NOT RUN</x:v>
      </x:c>
      <x:c r="J609" s="26"/>
      <x:c r="K609" s="26" t="str">
        <x:v>H6 Candidate</x:v>
      </x:c>
      <x:c r="L609" s="26"/>
      <x:c r="M609" s="26" t="str">
        <x:v>Imported from 31; locale=ES/EN as applicable; resolution=1080p / matrix as applicable; repeatability=Required</x:v>
      </x:c>
    </x:row>
    <x:row r="610" ht="30" customHeight="1">
      <x:c r="A610" s="26" t="str">
        <x:v>VS-TST-012</x:v>
      </x:c>
      <x:c r="B610" s="26"/>
      <x:c r="C610" s="26" t="str">
        <x:v>Pedido válido</x:v>
      </x:c>
      <x:c r="D610" s="26" t="str">
        <x:v>A/C</x:v>
      </x:c>
      <x:c r="E610" s="26" t="str">
        <x:v>P1</x:v>
      </x:c>
      <x:c r="F610" s="26"/>
      <x:c r="G610" s="26"/>
      <x:c r="H610" s="26" t="str">
        <x:v>Registro correcto.</x:v>
      </x:c>
      <x:c r="I610" s="26" t="str">
        <x:v>NOT RUN</x:v>
      </x:c>
      <x:c r="J610" s="26"/>
      <x:c r="K610" s="26" t="str">
        <x:v>H6 Candidate</x:v>
      </x:c>
      <x:c r="L610" s="26"/>
      <x:c r="M610" s="26" t="str">
        <x:v>Imported from 31; locale=ES/EN as applicable; resolution=1080p / matrix as applicable; repeatability=Required</x:v>
      </x:c>
    </x:row>
    <x:row r="611" ht="30" customHeight="1">
      <x:c r="A611" s="26" t="str">
        <x:v>VS-TST-013</x:v>
      </x:c>
      <x:c r="B611" s="26"/>
      <x:c r="C611" s="26" t="str">
        <x:v>Entrega única tras recarga</x:v>
      </x:c>
      <x:c r="D611" s="26" t="str">
        <x:v>A/C</x:v>
      </x:c>
      <x:c r="E611" s="26" t="str">
        <x:v>P1</x:v>
      </x:c>
      <x:c r="F611" s="26"/>
      <x:c r="G611" s="26"/>
      <x:c r="H611" s="26" t="str">
        <x:v>Entrega una vez.</x:v>
      </x:c>
      <x:c r="I611" s="26" t="str">
        <x:v>NOT RUN</x:v>
      </x:c>
      <x:c r="J611" s="26"/>
      <x:c r="K611" s="26" t="str">
        <x:v>H6 Candidate</x:v>
      </x:c>
      <x:c r="L611" s="26"/>
      <x:c r="M611" s="26" t="str">
        <x:v>Imported from 31; locale=ES/EN as applicable; resolution=1080p / matrix as applicable; repeatability=Required</x:v>
      </x:c>
    </x:row>
    <x:row r="612" ht="30" customHeight="1">
      <x:c r="A612" s="26" t="str">
        <x:v>VS-TST-014</x:v>
      </x:c>
      <x:c r="B612" s="26"/>
      <x:c r="C612" s="26" t="str">
        <x:v>Capacidad de recepción</x:v>
      </x:c>
      <x:c r="D612" s="26" t="str">
        <x:v>A/C</x:v>
      </x:c>
      <x:c r="E612" s="26" t="str">
        <x:v>P1</x:v>
      </x:c>
      <x:c r="F612" s="26"/>
      <x:c r="G612" s="26"/>
      <x:c r="H612" s="26" t="str">
        <x:v>Sin pérdida.</x:v>
      </x:c>
      <x:c r="I612" s="26" t="str">
        <x:v>NOT RUN</x:v>
      </x:c>
      <x:c r="J612" s="26"/>
      <x:c r="K612" s="26" t="str">
        <x:v>H6 Candidate</x:v>
      </x:c>
      <x:c r="L612" s="26"/>
      <x:c r="M612" s="26" t="str">
        <x:v>Imported from 31; locale=ES/EN as applicable; resolution=1080p / matrix as applicable; repeatability=Required</x:v>
      </x:c>
    </x:row>
    <x:row r="613" ht="30" customHeight="1">
      <x:c r="A613" s="26" t="str">
        <x:v>VS-TST-015</x:v>
      </x:c>
      <x:c r="B613" s="26"/>
      <x:c r="C613" s="26" t="str">
        <x:v>Transferencia válida</x:v>
      </x:c>
      <x:c r="D613" s="26" t="str">
        <x:v>A/C</x:v>
      </x:c>
      <x:c r="E613" s="26" t="str">
        <x:v>P1</x:v>
      </x:c>
      <x:c r="F613" s="26"/>
      <x:c r="G613" s="26"/>
      <x:c r="H613" s="26" t="str">
        <x:v>Conservación de cantidad.</x:v>
      </x:c>
      <x:c r="I613" s="26" t="str">
        <x:v>NOT RUN</x:v>
      </x:c>
      <x:c r="J613" s="26"/>
      <x:c r="K613" s="26" t="str">
        <x:v>H6 Candidate</x:v>
      </x:c>
      <x:c r="L613" s="26"/>
      <x:c r="M613" s="26" t="str">
        <x:v>Imported from 31; locale=ES/EN as applicable; resolution=1080p / matrix as applicable; repeatability=Required</x:v>
      </x:c>
    </x:row>
    <x:row r="614" ht="30" customHeight="1">
      <x:c r="A614" s="26" t="str">
        <x:v>VS-TST-016</x:v>
      </x:c>
      <x:c r="B614" s="26"/>
      <x:c r="C614" s="26" t="str">
        <x:v>Transferencia inválida</x:v>
      </x:c>
      <x:c r="D614" s="26" t="str">
        <x:v>A/C</x:v>
      </x:c>
      <x:c r="E614" s="26" t="str">
        <x:v>P1</x:v>
      </x:c>
      <x:c r="F614" s="26"/>
      <x:c r="G614" s="26"/>
      <x:c r="H614" s="26" t="str">
        <x:v>Sin mutación parcial.</x:v>
      </x:c>
      <x:c r="I614" s="26" t="str">
        <x:v>NOT RUN</x:v>
      </x:c>
      <x:c r="J614" s="26"/>
      <x:c r="K614" s="26" t="str">
        <x:v>H6 Candidate</x:v>
      </x:c>
      <x:c r="L614" s="26"/>
      <x:c r="M614" s="26" t="str">
        <x:v>Imported from 31; locale=ES/EN as applicable; resolution=1080p / matrix as applicable; repeatability=Required</x:v>
      </x:c>
    </x:row>
    <x:row r="615" ht="30" customHeight="1">
      <x:c r="A615" s="26" t="str">
        <x:v>VS-TST-017</x:v>
      </x:c>
      <x:c r="B615" s="26"/>
      <x:c r="C615" s="26" t="str">
        <x:v>Asignación incompatible</x:v>
      </x:c>
      <x:c r="D615" s="26" t="str">
        <x:v>A/C</x:v>
      </x:c>
      <x:c r="E615" s="26" t="str">
        <x:v>P1</x:v>
      </x:c>
      <x:c r="F615" s="26"/>
      <x:c r="G615" s="26"/>
      <x:c r="H615" s="26" t="str">
        <x:v>Rechazo y feedback.</x:v>
      </x:c>
      <x:c r="I615" s="26" t="str">
        <x:v>NOT RUN</x:v>
      </x:c>
      <x:c r="J615" s="26"/>
      <x:c r="K615" s="26" t="str">
        <x:v>H6 Candidate</x:v>
      </x:c>
      <x:c r="L615" s="26"/>
      <x:c r="M615" s="26" t="str">
        <x:v>Imported from 31; locale=ES/EN as applicable; resolution=1080p / matrix as applicable; repeatability=Required</x:v>
      </x:c>
    </x:row>
    <x:row r="616" ht="30" customHeight="1">
      <x:c r="A616" s="26" t="str">
        <x:v>VS-TST-018</x:v>
      </x:c>
      <x:c r="B616" s="26"/>
      <x:c r="C616" s="26" t="str">
        <x:v>Reposición límite</x:v>
      </x:c>
      <x:c r="D616" s="26" t="str">
        <x:v>A/C</x:v>
      </x:c>
      <x:c r="E616" s="26" t="str">
        <x:v>P1</x:v>
      </x:c>
      <x:c r="F616" s="26"/>
      <x:c r="G616" s="26"/>
      <x:c r="H616" s="26" t="str">
        <x:v>No sobrellenado.</x:v>
      </x:c>
      <x:c r="I616" s="26" t="str">
        <x:v>NOT RUN</x:v>
      </x:c>
      <x:c r="J616" s="26"/>
      <x:c r="K616" s="26" t="str">
        <x:v>H6 Candidate</x:v>
      </x:c>
      <x:c r="L616" s="26"/>
      <x:c r="M616" s="26" t="str">
        <x:v>Imported from 31; locale=ES/EN as applicable; resolution=1080p / matrix as applicable; repeatability=Required</x:v>
      </x:c>
    </x:row>
    <x:row r="617" ht="30" customHeight="1">
      <x:c r="A617" s="26" t="str">
        <x:v>VS-TST-019</x:v>
      </x:c>
      <x:c r="B617" s="26"/>
      <x:c r="C617" s="26" t="str">
        <x:v>Comparación de precios</x:v>
      </x:c>
      <x:c r="D617" s="26" t="str">
        <x:v>C/F</x:v>
      </x:c>
      <x:c r="E617" s="26" t="str">
        <x:v>P1</x:v>
      </x:c>
      <x:c r="F617" s="26"/>
      <x:c r="G617" s="26"/>
      <x:c r="H617" s="26" t="str">
        <x:v>Respuesta de demanda observable.</x:v>
      </x:c>
      <x:c r="I617" s="26" t="str">
        <x:v>NOT RUN</x:v>
      </x:c>
      <x:c r="J617" s="26"/>
      <x:c r="K617" s="26" t="str">
        <x:v>H6 Candidate</x:v>
      </x:c>
      <x:c r="L617" s="26"/>
      <x:c r="M617" s="26" t="str">
        <x:v>Imported from 31; locale=ES/EN as applicable; resolution=1080p / matrix as applicable; repeatability=Required</x:v>
      </x:c>
    </x:row>
    <x:row r="618" ht="30" customHeight="1">
      <x:c r="A618" s="26" t="str">
        <x:v>VS-TST-020</x:v>
      </x:c>
      <x:c r="B618" s="26"/>
      <x:c r="C618" s="26" t="str">
        <x:v>Sin stock</x:v>
      </x:c>
      <x:c r="D618" s="26" t="str">
        <x:v>C/D</x:v>
      </x:c>
      <x:c r="E618" s="26" t="str">
        <x:v>P1</x:v>
      </x:c>
      <x:c r="F618" s="26"/>
      <x:c r="G618" s="26"/>
      <x:c r="H618" s="26" t="str">
        <x:v>Abandono o alternativa legible.</x:v>
      </x:c>
      <x:c r="I618" s="26" t="str">
        <x:v>NOT RUN</x:v>
      </x:c>
      <x:c r="J618" s="26"/>
      <x:c r="K618" s="26" t="str">
        <x:v>H6 Candidate</x:v>
      </x:c>
      <x:c r="L618" s="26"/>
      <x:c r="M618" s="26" t="str">
        <x:v>Imported from 31; locale=ES/EN as applicable; resolution=1080p / matrix as applicable; repeatability=Required</x:v>
      </x:c>
    </x:row>
    <x:row r="619" ht="30" customHeight="1">
      <x:c r="A619" s="26" t="str">
        <x:v>VS-TST-021</x:v>
      </x:c>
      <x:c r="B619" s="26"/>
      <x:c r="C619" s="26" t="str">
        <x:v>Dos clientes, una unidad</x:v>
      </x:c>
      <x:c r="D619" s="26" t="str">
        <x:v>A/C</x:v>
      </x:c>
      <x:c r="E619" s="26" t="str">
        <x:v>P1</x:v>
      </x:c>
      <x:c r="F619" s="26"/>
      <x:c r="G619" s="26"/>
      <x:c r="H619" s="26" t="str">
        <x:v>Una sola reserva/venta.</x:v>
      </x:c>
      <x:c r="I619" s="26" t="str">
        <x:v>NOT RUN</x:v>
      </x:c>
      <x:c r="J619" s="26"/>
      <x:c r="K619" s="26" t="str">
        <x:v>H6 Candidate</x:v>
      </x:c>
      <x:c r="L619" s="26"/>
      <x:c r="M619" s="26" t="str">
        <x:v>Imported from 31; locale=ES/EN as applicable; resolution=1080p / matrix as applicable; repeatability=Required</x:v>
      </x:c>
    </x:row>
    <x:row r="620" ht="30" customHeight="1">
      <x:c r="A620" s="26" t="str">
        <x:v>VS-TST-022</x:v>
      </x:c>
      <x:c r="B620" s="26"/>
      <x:c r="C620" s="26" t="str">
        <x:v>Abandono libera reserva</x:v>
      </x:c>
      <x:c r="D620" s="26" t="str">
        <x:v>A/C</x:v>
      </x:c>
      <x:c r="E620" s="26" t="str">
        <x:v>P1</x:v>
      </x:c>
      <x:c r="F620" s="26"/>
      <x:c r="G620" s="26"/>
      <x:c r="H620" s="26" t="str">
        <x:v>Unidad vuelve a disponibilidad.</x:v>
      </x:c>
      <x:c r="I620" s="26" t="str">
        <x:v>NOT RUN</x:v>
      </x:c>
      <x:c r="J620" s="26"/>
      <x:c r="K620" s="26" t="str">
        <x:v>H6 Candidate</x:v>
      </x:c>
      <x:c r="L620" s="26"/>
      <x:c r="M620" s="26" t="str">
        <x:v>Imported from 31; locale=ES/EN as applicable; resolution=1080p / matrix as applicable; repeatability=Required</x:v>
      </x:c>
    </x:row>
    <x:row r="621" ht="30" customHeight="1">
      <x:c r="A621" s="26" t="str">
        <x:v>VS-TST-023</x:v>
      </x:c>
      <x:c r="B621" s="26"/>
      <x:c r="C621" s="26" t="str">
        <x:v>Cola saturada</x:v>
      </x:c>
      <x:c r="D621" s="26" t="str">
        <x:v>C/F</x:v>
      </x:c>
      <x:c r="E621" s="26" t="str">
        <x:v>P1</x:v>
      </x:c>
      <x:c r="F621" s="26"/>
      <x:c r="G621" s="26"/>
      <x:c r="H621" s="26" t="str">
        <x:v>Sin deadlock.</x:v>
      </x:c>
      <x:c r="I621" s="26" t="str">
        <x:v>NOT RUN</x:v>
      </x:c>
      <x:c r="J621" s="26"/>
      <x:c r="K621" s="26" t="str">
        <x:v>H6 Candidate</x:v>
      </x:c>
      <x:c r="L621" s="26"/>
      <x:c r="M621" s="26" t="str">
        <x:v>Imported from 31; locale=ES/EN as applicable; resolution=1080p / matrix as applicable; repeatability=Required</x:v>
      </x:c>
    </x:row>
    <x:row r="622" ht="30" customHeight="1">
      <x:c r="A622" s="26" t="str">
        <x:v>VS-TST-024</x:v>
      </x:c>
      <x:c r="B622" s="26"/>
      <x:c r="C622" s="26" t="str">
        <x:v>Doble confirmación de checkout</x:v>
      </x:c>
      <x:c r="D622" s="26" t="str">
        <x:v>A/C</x:v>
      </x:c>
      <x:c r="E622" s="26" t="str">
        <x:v>P1</x:v>
      </x:c>
      <x:c r="F622" s="26"/>
      <x:c r="G622" s="26"/>
      <x:c r="H622" s="26" t="str">
        <x:v>Una sola venta.</x:v>
      </x:c>
      <x:c r="I622" s="26" t="str">
        <x:v>NOT RUN</x:v>
      </x:c>
      <x:c r="J622" s="26"/>
      <x:c r="K622" s="26" t="str">
        <x:v>H6 Candidate</x:v>
      </x:c>
      <x:c r="L622" s="26"/>
      <x:c r="M622" s="26" t="str">
        <x:v>Imported from 31; locale=ES/EN as applicable; resolution=1080p / matrix as applicable; repeatability=Required</x:v>
      </x:c>
    </x:row>
    <x:row r="623" ht="30" customHeight="1">
      <x:c r="A623" s="26" t="str">
        <x:v>VS-TST-025</x:v>
      </x:c>
      <x:c r="B623" s="26"/>
      <x:c r="C623" s="26" t="str">
        <x:v>Cierre con reserva activa</x:v>
      </x:c>
      <x:c r="D623" s="26" t="str">
        <x:v>A/C</x:v>
      </x:c>
      <x:c r="E623" s="26" t="str">
        <x:v>P1</x:v>
      </x:c>
      <x:c r="F623" s="26"/>
      <x:c r="G623" s="26"/>
      <x:c r="H623" s="26" t="str">
        <x:v>Resolución segura.</x:v>
      </x:c>
      <x:c r="I623" s="26" t="str">
        <x:v>NOT RUN</x:v>
      </x:c>
      <x:c r="J623" s="26"/>
      <x:c r="K623" s="26" t="str">
        <x:v>H6 Candidate</x:v>
      </x:c>
      <x:c r="L623" s="26"/>
      <x:c r="M623" s="26" t="str">
        <x:v>Imported from 31; locale=ES/EN as applicable; resolution=1080p / matrix as applicable; repeatability=Required</x:v>
      </x:c>
    </x:row>
    <x:row r="624" ht="30" customHeight="1">
      <x:c r="A624" s="26" t="str">
        <x:v>VS-TST-026</x:v>
      </x:c>
      <x:c r="B624" s="26"/>
      <x:c r="C624" s="26" t="str">
        <x:v>Semana con beneficio</x:v>
      </x:c>
      <x:c r="D624" s="26" t="str">
        <x:v>A/F</x:v>
      </x:c>
      <x:c r="E624" s="26" t="str">
        <x:v>P1</x:v>
      </x:c>
      <x:c r="F624" s="26"/>
      <x:c r="G624" s="26"/>
      <x:c r="H624" s="26" t="str">
        <x:v>Impuesto correcto.</x:v>
      </x:c>
      <x:c r="I624" s="26" t="str">
        <x:v>NOT RUN</x:v>
      </x:c>
      <x:c r="J624" s="26"/>
      <x:c r="K624" s="26" t="str">
        <x:v>H6 Candidate</x:v>
      </x:c>
      <x:c r="L624" s="26"/>
      <x:c r="M624" s="26" t="str">
        <x:v>Imported from 31; locale=ES/EN as applicable; resolution=1080p / matrix as applicable; repeatability=Required</x:v>
      </x:c>
    </x:row>
    <x:row r="625" ht="30" customHeight="1">
      <x:c r="A625" s="26" t="str">
        <x:v>VS-TST-027</x:v>
      </x:c>
      <x:c r="B625" s="26"/>
      <x:c r="C625" s="26" t="str">
        <x:v>Semana sin beneficio</x:v>
      </x:c>
      <x:c r="D625" s="26" t="str">
        <x:v>A/F</x:v>
      </x:c>
      <x:c r="E625" s="26" t="str">
        <x:v>P1</x:v>
      </x:c>
      <x:c r="F625" s="26"/>
      <x:c r="G625" s="26"/>
      <x:c r="H625" s="26" t="str">
        <x:v>Sin impuesto positivo indebido.</x:v>
      </x:c>
      <x:c r="I625" s="26" t="str">
        <x:v>NOT RUN</x:v>
      </x:c>
      <x:c r="J625" s="26"/>
      <x:c r="K625" s="26" t="str">
        <x:v>H6 Candidate</x:v>
      </x:c>
      <x:c r="L625" s="26"/>
      <x:c r="M625" s="26" t="str">
        <x:v>Imported from 31; locale=ES/EN as applicable; resolution=1080p / matrix as applicable; repeatability=Required</x:v>
      </x:c>
    </x:row>
    <x:row r="626" ht="30" customHeight="1">
      <x:c r="A626" s="26" t="str">
        <x:v>VS-TST-028</x:v>
      </x:c>
      <x:c r="B626" s="26"/>
      <x:c r="C626" s="26" t="str">
        <x:v>Guardar en estado seguro</x:v>
      </x:c>
      <x:c r="D626" s="26" t="str">
        <x:v>C/D</x:v>
      </x:c>
      <x:c r="E626" s="26" t="str">
        <x:v>P1</x:v>
      </x:c>
      <x:c r="F626" s="26"/>
      <x:c r="G626" s="26"/>
      <x:c r="H626" s="26" t="str">
        <x:v>Archivo válido.</x:v>
      </x:c>
      <x:c r="I626" s="26" t="str">
        <x:v>NOT RUN</x:v>
      </x:c>
      <x:c r="J626" s="26"/>
      <x:c r="K626" s="26" t="str">
        <x:v>H6 Candidate</x:v>
      </x:c>
      <x:c r="L626" s="26"/>
      <x:c r="M626" s="26" t="str">
        <x:v>Imported from 31; locale=ES/EN as applicable; resolution=1080p / matrix as applicable; repeatability=Required</x:v>
      </x:c>
    </x:row>
    <x:row r="627" ht="30" customHeight="1">
      <x:c r="A627" s="26" t="str">
        <x:v>VS-TST-029</x:v>
      </x:c>
      <x:c r="B627" s="26"/>
      <x:c r="C627" s="26" t="str">
        <x:v>Guardar en estado no seguro</x:v>
      </x:c>
      <x:c r="D627" s="26" t="str">
        <x:v>C/D</x:v>
      </x:c>
      <x:c r="E627" s="26" t="str">
        <x:v>P1</x:v>
      </x:c>
      <x:c r="F627" s="26"/>
      <x:c r="G627" s="26"/>
      <x:c r="H627" s="26" t="str">
        <x:v>Rechazo o resolución controlada.</x:v>
      </x:c>
      <x:c r="I627" s="26" t="str">
        <x:v>NOT RUN</x:v>
      </x:c>
      <x:c r="J627" s="26"/>
      <x:c r="K627" s="26" t="str">
        <x:v>H6 Candidate</x:v>
      </x:c>
      <x:c r="L627" s="26"/>
      <x:c r="M627" s="26" t="str">
        <x:v>Imported from 31; locale=ES/EN as applicable; resolution=1080p / matrix as applicable; repeatability=Required</x:v>
      </x:c>
    </x:row>
    <x:row r="628" ht="30" customHeight="1">
      <x:c r="A628" s="26" t="str">
        <x:v>VS-TST-030</x:v>
      </x:c>
      <x:c r="B628" s="26"/>
      <x:c r="C628" s="26" t="str">
        <x:v>Equivalencia de recarga</x:v>
      </x:c>
      <x:c r="D628" s="26" t="str">
        <x:v>A/D</x:v>
      </x:c>
      <x:c r="E628" s="26" t="str">
        <x:v>P1</x:v>
      </x:c>
      <x:c r="F628" s="26"/>
      <x:c r="G628" s="26"/>
      <x:c r="H628" s="26" t="str">
        <x:v>Campos obligatorios equivalentes.</x:v>
      </x:c>
      <x:c r="I628" s="26" t="str">
        <x:v>NOT RUN</x:v>
      </x:c>
      <x:c r="J628" s="26"/>
      <x:c r="K628" s="26" t="str">
        <x:v>H6 Candidate</x:v>
      </x:c>
      <x:c r="L628" s="26"/>
      <x:c r="M628" s="26" t="str">
        <x:v>Imported from 31; locale=ES/EN as applicable; resolution=1080p / matrix as applicable; repeatability=Required</x:v>
      </x:c>
    </x:row>
    <x:row r="629" ht="30" customHeight="1">
      <x:c r="A629" s="26" t="str">
        <x:v>VS-TST-031</x:v>
      </x:c>
      <x:c r="B629" s="26"/>
      <x:c r="C629" s="26" t="str">
        <x:v>Archivo principal corrupto</x:v>
      </x:c>
      <x:c r="D629" s="26" t="str">
        <x:v>B/E</x:v>
      </x:c>
      <x:c r="E629" s="26" t="str">
        <x:v>P1</x:v>
      </x:c>
      <x:c r="F629" s="26"/>
      <x:c r="G629" s="26"/>
      <x:c r="H629" s="26" t="str">
        <x:v>Mensaje y backup/control.</x:v>
      </x:c>
      <x:c r="I629" s="26" t="str">
        <x:v>NOT RUN</x:v>
      </x:c>
      <x:c r="J629" s="26"/>
      <x:c r="K629" s="26" t="str">
        <x:v>H6 Candidate</x:v>
      </x:c>
      <x:c r="L629" s="26"/>
      <x:c r="M629" s="26" t="str">
        <x:v>Imported from 31; locale=ES/EN as applicable; resolution=1080p / matrix as applicable; repeatability=Required</x:v>
      </x:c>
    </x:row>
    <x:row r="630" ht="30" customHeight="1">
      <x:c r="A630" s="26" t="str">
        <x:v>VS-TST-032</x:v>
      </x:c>
      <x:c r="B630" s="26"/>
      <x:c r="C630" s="26" t="str">
        <x:v>Input de UI</x:v>
      </x:c>
      <x:c r="D630" s="26" t="str">
        <x:v>C/D</x:v>
      </x:c>
      <x:c r="E630" s="26" t="str">
        <x:v>P1</x:v>
      </x:c>
      <x:c r="F630" s="26"/>
      <x:c r="G630" s="26"/>
      <x:c r="H630" s="26" t="str">
        <x:v>Sin propagación.</x:v>
      </x:c>
      <x:c r="I630" s="26" t="str">
        <x:v>NOT RUN</x:v>
      </x:c>
      <x:c r="J630" s="26"/>
      <x:c r="K630" s="26" t="str">
        <x:v>H6 Candidate</x:v>
      </x:c>
      <x:c r="L630" s="26"/>
      <x:c r="M630" s="26" t="str">
        <x:v>Imported from 31; locale=ES/EN as applicable; resolution=1080p / matrix as applicable; repeatability=Required</x:v>
      </x:c>
    </x:row>
    <x:row r="631" ht="30" customHeight="1">
      <x:c r="A631" s="26" t="str">
        <x:v>VS-TST-033</x:v>
      </x:c>
      <x:c r="B631" s="26"/>
      <x:c r="C631" s="26" t="str">
        <x:v>Resolución 1080p</x:v>
      </x:c>
      <x:c r="D631" s="26" t="str">
        <x:v>C/E</x:v>
      </x:c>
      <x:c r="E631" s="26" t="str">
        <x:v>P1</x:v>
      </x:c>
      <x:c r="F631" s="26"/>
      <x:c r="G631" s="26"/>
      <x:c r="H631" s="26" t="str">
        <x:v>Sin cortes bloqueantes.</x:v>
      </x:c>
      <x:c r="I631" s="26" t="str">
        <x:v>NOT RUN</x:v>
      </x:c>
      <x:c r="J631" s="26"/>
      <x:c r="K631" s="26" t="str">
        <x:v>H6 Candidate</x:v>
      </x:c>
      <x:c r="L631" s="26"/>
      <x:c r="M631" s="26" t="str">
        <x:v>Imported from 31; locale=ES/EN as applicable; resolution=1080p / matrix as applicable; repeatability=Required</x:v>
      </x:c>
    </x:row>
    <x:row r="632" ht="30" customHeight="1">
      <x:c r="A632" s="26" t="str">
        <x:v>VS-TST-034</x:v>
      </x:c>
      <x:c r="B632" s="26"/>
      <x:c r="C632" s="26" t="str">
        <x:v>Idioma ES</x:v>
      </x:c>
      <x:c r="D632" s="26" t="str">
        <x:v>C/E</x:v>
      </x:c>
      <x:c r="E632" s="26" t="str">
        <x:v>P1</x:v>
      </x:c>
      <x:c r="F632" s="26"/>
      <x:c r="G632" s="26"/>
      <x:c r="H632" s="26" t="str">
        <x:v>Textos correctos.</x:v>
      </x:c>
      <x:c r="I632" s="26" t="str">
        <x:v>NOT RUN</x:v>
      </x:c>
      <x:c r="J632" s="26"/>
      <x:c r="K632" s="26" t="str">
        <x:v>H6 Candidate</x:v>
      </x:c>
      <x:c r="L632" s="26"/>
      <x:c r="M632" s="26" t="str">
        <x:v>Imported from 31; locale=ES/EN as applicable; resolution=1080p / matrix as applicable; repeatability=Required</x:v>
      </x:c>
    </x:row>
    <x:row r="633" ht="30" customHeight="1">
      <x:c r="A633" s="26" t="str">
        <x:v>VS-TST-035</x:v>
      </x:c>
      <x:c r="B633" s="26"/>
      <x:c r="C633" s="26" t="str">
        <x:v>Idioma EN</x:v>
      </x:c>
      <x:c r="D633" s="26" t="str">
        <x:v>C/E</x:v>
      </x:c>
      <x:c r="E633" s="26" t="str">
        <x:v>P1</x:v>
      </x:c>
      <x:c r="F633" s="26"/>
      <x:c r="G633" s="26"/>
      <x:c r="H633" s="26" t="str">
        <x:v>Sin desbordes bloqueantes.</x:v>
      </x:c>
      <x:c r="I633" s="26" t="str">
        <x:v>NOT RUN</x:v>
      </x:c>
      <x:c r="J633" s="26"/>
      <x:c r="K633" s="26" t="str">
        <x:v>H6 Candidate</x:v>
      </x:c>
      <x:c r="L633" s="26"/>
      <x:c r="M633" s="26" t="str">
        <x:v>Imported from 31; locale=ES/EN as applicable; resolution=1080p / matrix as applicable; repeatability=Required</x:v>
      </x:c>
    </x:row>
    <x:row r="634" ht="30" customHeight="1">
      <x:c r="A634" s="26" t="str">
        <x:v>VS-TST-036</x:v>
      </x:c>
      <x:c r="B634" s="26"/>
      <x:c r="C634" s="26" t="str">
        <x:v>Puerta y navegación</x:v>
      </x:c>
      <x:c r="D634" s="26" t="str">
        <x:v>C/E</x:v>
      </x:c>
      <x:c r="E634" s="26" t="str">
        <x:v>P1</x:v>
      </x:c>
      <x:c r="F634" s="26"/>
      <x:c r="G634" s="26"/>
      <x:c r="H634" s="26" t="str">
        <x:v>Sin colisiones o bloqueo.</x:v>
      </x:c>
      <x:c r="I634" s="26" t="str">
        <x:v>NOT RUN</x:v>
      </x:c>
      <x:c r="J634" s="26"/>
      <x:c r="K634" s="26" t="str">
        <x:v>H6 Candidate</x:v>
      </x:c>
      <x:c r="L634" s="26"/>
      <x:c r="M634" s="26" t="str">
        <x:v>Imported from 31; locale=ES/EN as applicable; resolution=1080p / matrix as applicable; repeatability=Required</x:v>
      </x:c>
    </x:row>
    <x:row r="635" ht="30" customHeight="1">
      <x:c r="A635" s="26" t="str">
        <x:v>VS-TST-037</x:v>
      </x:c>
      <x:c r="B635" s="26"/>
      <x:c r="C635" s="26" t="str">
        <x:v>Sesión de rendimiento</x:v>
      </x:c>
      <x:c r="D635" s="26" t="str">
        <x:v>E/F</x:v>
      </x:c>
      <x:c r="E635" s="26" t="str">
        <x:v>P1</x:v>
      </x:c>
      <x:c r="F635" s="26"/>
      <x:c r="G635" s="26"/>
      <x:c r="H635" s="26" t="str">
        <x:v>Métricas registradas.</x:v>
      </x:c>
      <x:c r="I635" s="26" t="str">
        <x:v>NOT RUN</x:v>
      </x:c>
      <x:c r="J635" s="26"/>
      <x:c r="K635" s="26" t="str">
        <x:v>H6 Candidate</x:v>
      </x:c>
      <x:c r="L635" s="26"/>
      <x:c r="M635" s="26" t="str">
        <x:v>Imported from 31; locale=ES/EN as applicable; resolution=1080p / matrix as applicable; repeatability=Required</x:v>
      </x:c>
    </x:row>
    <x:row r="636" ht="30" customHeight="1">
      <x:c r="A636" s="26" t="str">
        <x:v>VS-TST-038</x:v>
      </x:c>
      <x:c r="B636" s="26"/>
      <x:c r="C636" s="26" t="str">
        <x:v>Soak test</x:v>
      </x:c>
      <x:c r="D636" s="26" t="str">
        <x:v>E/F</x:v>
      </x:c>
      <x:c r="E636" s="26" t="str">
        <x:v>P1</x:v>
      </x:c>
      <x:c r="F636" s="26"/>
      <x:c r="G636" s="26"/>
      <x:c r="H636" s="26" t="str">
        <x:v>Sin degradación grave.</x:v>
      </x:c>
      <x:c r="I636" s="26" t="str">
        <x:v>NOT RUN</x:v>
      </x:c>
      <x:c r="J636" s="26"/>
      <x:c r="K636" s="26" t="str">
        <x:v>H6 Candidate</x:v>
      </x:c>
      <x:c r="L636" s="26"/>
      <x:c r="M636" s="26" t="str">
        <x:v>Imported from 31; locale=ES/EN as applicable; resolution=1080p / matrix as applicable; repeatability=Required</x:v>
      </x:c>
    </x:row>
    <x:row r="637" ht="30" customHeight="1">
      <x:c r="A637" s="26" t="str">
        <x:v>VS-TST-039</x:v>
      </x:c>
      <x:c r="B637" s="26"/>
      <x:c r="C637" s="26" t="str">
        <x:v>Build externa</x:v>
      </x:c>
      <x:c r="D637" s="26" t="str">
        <x:v>E</x:v>
      </x:c>
      <x:c r="E637" s="26" t="str">
        <x:v>P1</x:v>
      </x:c>
      <x:c r="F637" s="26"/>
      <x:c r="G637" s="26"/>
      <x:c r="H637" s="26" t="str">
        <x:v>Arranque, guardado y log válidos.</x:v>
      </x:c>
      <x:c r="I637" s="26" t="str">
        <x:v>NOT RUN</x:v>
      </x:c>
      <x:c r="J637" s="26"/>
      <x:c r="K637" s="26" t="str">
        <x:v>H6 Candidate</x:v>
      </x:c>
      <x:c r="L637" s="26"/>
      <x:c r="M637" s="26" t="str">
        <x:v>Imported from 31; locale=ES/EN as applicable; resolution=1080p / matrix as applicable; repeatability=Required</x:v>
      </x:c>
    </x:row>
    <x:row r="638" ht="30" customHeight="1">
      <x:c r="A638" s="26" t="str">
        <x:v>VS-TST-040</x:v>
      </x:c>
      <x:c r="B638" s="26"/>
      <x:c r="C638" s="26" t="str">
        <x:v>Regresión completa</x:v>
      </x:c>
      <x:c r="D638" s="26" t="str">
        <x:v>A/B/C</x:v>
      </x:c>
      <x:c r="E638" s="26" t="str">
        <x:v>P1</x:v>
      </x:c>
      <x:c r="F638" s="26"/>
      <x:c r="G638" s="26"/>
      <x:c r="H638" s="26" t="str">
        <x:v>Todo verde o excepción formal.</x:v>
      </x:c>
      <x:c r="I638" s="26" t="str">
        <x:v>NOT RUN</x:v>
      </x:c>
      <x:c r="J638" s="26"/>
      <x:c r="K638" s="26" t="str">
        <x:v>H6 Candidate</x:v>
      </x:c>
      <x:c r="L638" s="26"/>
      <x:c r="M638" s="26" t="str">
        <x:v>Imported from 31; locale=ES/EN as applicable; resolution=1080p / matrix as applicable; repeatability=Required</x:v>
      </x:c>
    </x:row>
    <x:row r="639" ht="30" customHeight="1">
      <x:c r="A639" s="26" t="str">
        <x:v>H6-TST-041</x:v>
      </x:c>
      <x:c r="B639" s="26"/>
      <x:c r="C639" s="26" t="str">
        <x:v>Clean checkout build</x:v>
      </x:c>
      <x:c r="D639" s="26" t="str">
        <x:v>E</x:v>
      </x:c>
      <x:c r="E639" s="26" t="str">
        <x:v>P1</x:v>
      </x:c>
      <x:c r="F639" s="26" t="str">
        <x:v>Repository/tag available</x:v>
      </x:c>
      <x:c r="G639" s="26" t="str">
        <x:v>Clone/clean, restore packages, build H6 profile</x:v>
      </x:c>
      <x:c r="H639" s="26" t="str">
        <x:v>Build succeeds with expected manifest</x:v>
      </x:c>
      <x:c r="I639" s="26" t="str">
        <x:v>NOT RUN</x:v>
      </x:c>
      <x:c r="J639" s="26"/>
      <x:c r="K639" s="26" t="str">
        <x:v>H6 Candidate</x:v>
      </x:c>
      <x:c r="L639" s="26"/>
      <x:c r="M639" s="26" t="str">
        <x:v>Imported from 31; locale=N/A; resolution=N/A; repeatability=Required</x:v>
      </x:c>
    </x:row>
    <x:row r="640" ht="30" customHeight="1">
      <x:c r="A640" s="26" t="str">
        <x:v>H6-TST-042</x:v>
      </x:c>
      <x:c r="B640" s="26"/>
      <x:c r="C640" s="26" t="str">
        <x:v>Package integrity</x:v>
      </x:c>
      <x:c r="D640" s="26" t="str">
        <x:v>E</x:v>
      </x:c>
      <x:c r="E640" s="26" t="str">
        <x:v>P1</x:v>
      </x:c>
      <x:c r="F640" s="26" t="str">
        <x:v>Candidate built</x:v>
      </x:c>
      <x:c r="G640" s="26" t="str">
        <x:v>Recalculate all file hashes after copy</x:v>
      </x:c>
      <x:c r="H640" s="26" t="str">
        <x:v>All hashes match manifest</x:v>
      </x:c>
      <x:c r="I640" s="26" t="str">
        <x:v>NOT RUN</x:v>
      </x:c>
      <x:c r="J640" s="26"/>
      <x:c r="K640" s="26" t="str">
        <x:v>H6 Candidate</x:v>
      </x:c>
      <x:c r="L640" s="26"/>
      <x:c r="M640" s="26" t="str">
        <x:v>Imported from 31; locale=N/A; resolution=N/A; repeatability=Required</x:v>
      </x:c>
    </x:row>
    <x:row r="641" ht="30" customHeight="1">
      <x:c r="A641" s="26" t="str">
        <x:v>H6-TST-043</x:v>
      </x:c>
      <x:c r="B641" s="26"/>
      <x:c r="C641" s="26" t="str">
        <x:v>Pseudolocalization expansion</x:v>
      </x:c>
      <x:c r="D641" s="26" t="str">
        <x:v>C/E</x:v>
      </x:c>
      <x:c r="E641" s="26" t="str">
        <x:v>P1</x:v>
      </x:c>
      <x:c r="F641" s="26" t="str">
        <x:v>Tables complete</x:v>
      </x:c>
      <x:c r="G641" s="26" t="str">
        <x:v>Run all critical UI with expanded pseudo locale</x:v>
      </x:c>
      <x:c r="H641" s="26" t="str">
        <x:v>No blocking clipping/overflow</x:v>
      </x:c>
      <x:c r="I641" s="26" t="str">
        <x:v>NOT RUN</x:v>
      </x:c>
      <x:c r="J641" s="26"/>
      <x:c r="K641" s="26" t="str">
        <x:v>QA/H6</x:v>
      </x:c>
      <x:c r="L641" s="26"/>
      <x:c r="M641" s="26" t="str">
        <x:v>Imported from 31; locale=Pseudo; resolution=Resolution matrix; repeatability=Required</x:v>
      </x:c>
    </x:row>
    <x:row r="642" ht="30" customHeight="1">
      <x:c r="A642" s="26" t="str">
        <x:v>H6-TST-044</x:v>
      </x:c>
      <x:c r="B642" s="26"/>
      <x:c r="C642" s="26" t="str">
        <x:v>Offline ES/EN</x:v>
      </x:c>
      <x:c r="D642" s="26" t="str">
        <x:v>E</x:v>
      </x:c>
      <x:c r="E642" s="26" t="str">
        <x:v>P1</x:v>
      </x:c>
      <x:c r="F642" s="26" t="str">
        <x:v>Candidate installed</x:v>
      </x:c>
      <x:c r="G642" s="26" t="str">
        <x:v>Disable network; run Golden Path in both locales</x:v>
      </x:c>
      <x:c r="H642" s="26" t="str">
        <x:v>All text resolves locally</x:v>
      </x:c>
      <x:c r="I642" s="26" t="str">
        <x:v>NOT RUN</x:v>
      </x:c>
      <x:c r="J642" s="26"/>
      <x:c r="K642" s="26" t="str">
        <x:v>H6 Candidate</x:v>
      </x:c>
      <x:c r="L642" s="26"/>
      <x:c r="M642" s="26" t="str">
        <x:v>Imported from 31; locale=ES/EN; resolution=1080p; repeatability=Required</x:v>
      </x:c>
    </x:row>
    <x:row r="643" ht="30" customHeight="1">
      <x:c r="A643" s="26" t="str">
        <x:v>H6-TST-045</x:v>
      </x:c>
      <x:c r="B643" s="26"/>
      <x:c r="C643" s="26" t="str">
        <x:v>UI/text scale extremes</x:v>
      </x:c>
      <x:c r="D643" s="26" t="str">
        <x:v>C/E</x:v>
      </x:c>
      <x:c r="E643" s="26" t="str">
        <x:v>P1</x:v>
      </x:c>
      <x:c r="F643" s="26" t="str">
        <x:v>Settings available</x:v>
      </x:c>
      <x:c r="G643" s="26" t="str">
        <x:v>Run critical flows at 80/150 percent</x:v>
      </x:c>
      <x:c r="H643" s="26" t="str">
        <x:v>No hidden critical controls</x:v>
      </x:c>
      <x:c r="I643" s="26" t="str">
        <x:v>NOT RUN</x:v>
      </x:c>
      <x:c r="J643" s="26"/>
      <x:c r="K643" s="26" t="str">
        <x:v>QA/H6</x:v>
      </x:c>
      <x:c r="L643" s="26"/>
      <x:c r="M643" s="26" t="str">
        <x:v>Imported from 31; locale=ES/EN; resolution=Resolution matrix; repeatability=Required</x:v>
      </x:c>
    </x:row>
    <x:row r="644" ht="30" customHeight="1">
      <x:c r="A644" s="26" t="str">
        <x:v>H6-TST-046</x:v>
      </x:c>
      <x:c r="B644" s="26"/>
      <x:c r="C644" s="26" t="str">
        <x:v>Reduce motion coverage</x:v>
      </x:c>
      <x:c r="D644" s="26" t="str">
        <x:v>C/E</x:v>
      </x:c>
      <x:c r="E644" s="26" t="str">
        <x:v>P1</x:v>
      </x:c>
      <x:c r="F644" s="26" t="str">
        <x:v>Setting available</x:v>
      </x:c>
      <x:c r="G644" s="26" t="str">
        <x:v>Toggle and inspect all defined motion surfaces</x:v>
      </x:c>
      <x:c r="H644" s="26" t="str">
        <x:v>All declared consumers respond</x:v>
      </x:c>
      <x:c r="I644" s="26" t="str">
        <x:v>NOT RUN</x:v>
      </x:c>
      <x:c r="J644" s="26"/>
      <x:c r="K644" s="26" t="str">
        <x:v>QA/H6</x:v>
      </x:c>
      <x:c r="L644" s="26"/>
      <x:c r="M644" s="26" t="str">
        <x:v>Imported from 31; locale=ES/EN; resolution=1080p; repeatability=Required</x:v>
      </x:c>
    </x:row>
    <x:row r="645" ht="30" customHeight="1">
      <x:c r="A645" s="26" t="str">
        <x:v>H6-TST-047</x:v>
      </x:c>
      <x:c r="B645" s="26"/>
      <x:c r="C645" s="26" t="str">
        <x:v>Color redundancy</x:v>
      </x:c>
      <x:c r="D645" s="26" t="str">
        <x:v>C/E</x:v>
      </x:c>
      <x:c r="E645" s="26" t="str">
        <x:v>P1</x:v>
      </x:c>
      <x:c r="F645" s="26" t="str">
        <x:v>Critical states identified</x:v>
      </x:c>
      <x:c r="G645" s="26" t="str">
        <x:v>Review with color simulation and grayscale</x:v>
      </x:c>
      <x:c r="H645" s="26" t="str">
        <x:v>Information remains understandable</x:v>
      </x:c>
      <x:c r="I645" s="26" t="str">
        <x:v>NOT RUN</x:v>
      </x:c>
      <x:c r="J645" s="26"/>
      <x:c r="K645" s="26" t="str">
        <x:v>QA/H6</x:v>
      </x:c>
      <x:c r="L645" s="26"/>
      <x:c r="M645" s="26" t="str">
        <x:v>Imported from 31; locale=ES/EN; resolution=1080p; repeatability=Required</x:v>
      </x:c>
    </x:row>
    <x:row r="646" ht="30" customHeight="1">
      <x:c r="A646" s="26" t="str">
        <x:v>H6-TST-048</x:v>
      </x:c>
      <x:c r="B646" s="26"/>
      <x:c r="C646" s="26" t="str">
        <x:v>8-customer saturation</x:v>
      </x:c>
      <x:c r="D646" s="26" t="str">
        <x:v>E/F</x:v>
      </x:c>
      <x:c r="E646" s="26" t="str">
        <x:v>P1</x:v>
      </x:c>
      <x:c r="F646" s="26" t="str">
        <x:v>Representative scene/content</x:v>
      </x:c>
      <x:c r="G646" s="26" t="str">
        <x:v>Run peak store with 8 customers and transactions</x:v>
      </x:c>
      <x:c r="H646" s="26" t="str">
        <x:v>No severe stutter/deadlock; metrics recorded</x:v>
      </x:c>
      <x:c r="I646" s="26" t="str">
        <x:v>NOT RUN</x:v>
      </x:c>
      <x:c r="J646" s="26"/>
      <x:c r="K646" s="26" t="str">
        <x:v>H6 Candidate</x:v>
      </x:c>
      <x:c r="L646" s="26"/>
      <x:c r="M646" s="26" t="str">
        <x:v>Imported from 31; locale=ES/EN; resolution=1080p; repeatability=Required</x:v>
      </x:c>
    </x:row>
    <x:row r="647" ht="30" customHeight="1">
      <x:c r="A647" s="26" t="str">
        <x:v>H6-TST-049</x:v>
      </x:c>
      <x:c r="B647" s="26"/>
      <x:c r="C647" s="26" t="str">
        <x:v>Memory and GC soak</x:v>
      </x:c>
      <x:c r="D647" s="26" t="str">
        <x:v>E/F</x:v>
      </x:c>
      <x:c r="E647" s="26" t="str">
        <x:v>P1</x:v>
      </x:c>
      <x:c r="F647" s="26" t="str">
        <x:v>Candidate installed</x:v>
      </x:c>
      <x:c r="G647" s="26" t="str">
        <x:v>Run prolonged session and sample memory/allocations</x:v>
      </x:c>
      <x:c r="H647" s="26" t="str">
        <x:v>No severe growth; stable allocations</x:v>
      </x:c>
      <x:c r="I647" s="26" t="str">
        <x:v>NOT RUN</x:v>
      </x:c>
      <x:c r="J647" s="26"/>
      <x:c r="K647" s="26" t="str">
        <x:v>H6 Candidate</x:v>
      </x:c>
      <x:c r="L647" s="26"/>
      <x:c r="M647" s="26" t="str">
        <x:v>Imported from 31; locale=ES/EN; resolution=1080p; repeatability=Required</x:v>
      </x:c>
    </x:row>
    <x:row r="648" ht="30" customHeight="1">
      <x:c r="A648" s="26" t="str">
        <x:v>H6-TST-050</x:v>
      </x:c>
      <x:c r="B648" s="26"/>
      <x:c r="C648" s="26" t="str">
        <x:v>Secrets/package scan</x:v>
      </x:c>
      <x:c r="D648" s="26" t="str">
        <x:v>E</x:v>
      </x:c>
      <x:c r="E648" s="26" t="str">
        <x:v>P1</x:v>
      </x:c>
      <x:c r="F648" s="26" t="str">
        <x:v>Candidate and repo frozen</x:v>
      </x:c>
      <x:c r="G648" s="26" t="str">
        <x:v>Run approved scanners and manual package review</x:v>
      </x:c>
      <x:c r="H648" s="26" t="str">
        <x:v>No secrets or unauthorized files</x:v>
      </x:c>
      <x:c r="I648" s="26" t="str">
        <x:v>NOT RUN</x:v>
      </x:c>
      <x:c r="J648" s="26"/>
      <x:c r="K648" s="26" t="str">
        <x:v>H6 Candidate</x:v>
      </x:c>
      <x:c r="L648" s="26"/>
      <x:c r="M648" s="26" t="str">
        <x:v>Imported from 31; locale=N/A; resolution=N/A; repeatability=Required</x:v>
      </x:c>
    </x:row>
    <x:row r="649" ht="30" customHeight="1">
      <x:c r="A649" s="26" t="str">
        <x:v>H6-TST-051</x:v>
      </x:c>
      <x:c r="B649" s="26"/>
      <x:c r="C649" s="26" t="str">
        <x:v>Network behavior</x:v>
      </x:c>
      <x:c r="D649" s="26" t="str">
        <x:v>E</x:v>
      </x:c>
      <x:c r="E649" s="26" t="str">
        <x:v>P1</x:v>
      </x:c>
      <x:c r="F649" s="26" t="str">
        <x:v>Candidate installed</x:v>
      </x:c>
      <x:c r="G649" s="26" t="str">
        <x:v>Capture network online/offline during Golden Path</x:v>
      </x:c>
      <x:c r="H649" s="26" t="str">
        <x:v>Only approved traffic; offline works</x:v>
      </x:c>
      <x:c r="I649" s="26" t="str">
        <x:v>NOT RUN</x:v>
      </x:c>
      <x:c r="J649" s="26"/>
      <x:c r="K649" s="26" t="str">
        <x:v>H6 Candidate</x:v>
      </x:c>
      <x:c r="L649" s="26"/>
      <x:c r="M649" s="26" t="str">
        <x:v>Imported from 31; locale=ES/EN; resolution=1080p; repeatability=Required</x:v>
      </x:c>
    </x:row>
    <x:row r="650" ht="30" customHeight="1">
      <x:c r="A650" s="26" t="str">
        <x:v>H6-TST-052</x:v>
      </x:c>
      <x:c r="B650" s="26"/>
      <x:c r="C650" s="26" t="str">
        <x:v>Build-to-license reconciliation</x:v>
      </x:c>
      <x:c r="D650" s="26" t="str">
        <x:v>E</x:v>
      </x:c>
      <x:c r="E650" s="26" t="str">
        <x:v>P1</x:v>
      </x:c>
      <x:c r="F650" s="26" t="str">
        <x:v>Build manifest available</x:v>
      </x:c>
      <x:c r="G650" s="26" t="str">
        <x:v>Match every third-party asset to legal register</x:v>
      </x:c>
      <x:c r="H650" s="26" t="str">
        <x:v>100% covered or removed</x:v>
      </x:c>
      <x:c r="I650" s="26" t="str">
        <x:v>NOT RUN</x:v>
      </x:c>
      <x:c r="J650" s="26"/>
      <x:c r="K650" s="26" t="str">
        <x:v>H6 Candidate</x:v>
      </x:c>
      <x:c r="L650" s="26"/>
      <x:c r="M650" s="26" t="str">
        <x:v>Imported from 31; locale=N/A; resolution=N/A; repeatability=Required</x:v>
      </x:c>
    </x:row>
    <x:row r="651" ht="30" customHeight="1">
      <x:c r="A651" s="26" t="str">
        <x:v>H6-TST-053</x:v>
      </x:c>
      <x:c r="B651" s="26"/>
      <x:c r="C651" s="26" t="str">
        <x:v>Alt-tab/focus recovery</x:v>
      </x:c>
      <x:c r="D651" s="26" t="str">
        <x:v>E</x:v>
      </x:c>
      <x:c r="E651" s="26" t="str">
        <x:v>P1</x:v>
      </x:c>
      <x:c r="F651" s="26" t="str">
        <x:v>Candidate running</x:v>
      </x:c>
      <x:c r="G651" s="26" t="str">
        <x:v>Alt-tab during menus, gameplay, save and audio</x:v>
      </x:c>
      <x:c r="H651" s="26" t="str">
        <x:v>Controlled pause/focus/input/audio</x:v>
      </x:c>
      <x:c r="I651" s="26" t="str">
        <x:v>NOT RUN</x:v>
      </x:c>
      <x:c r="J651" s="26"/>
      <x:c r="K651" s="26" t="str">
        <x:v>H6 Candidate</x:v>
      </x:c>
      <x:c r="L651" s="26"/>
      <x:c r="M651" s="26" t="str">
        <x:v>Imported from 31; locale=ES/EN; resolution=1080p; repeatability=Required</x:v>
      </x:c>
    </x:row>
    <x:row r="652" ht="30" customHeight="1">
      <x:c r="A652" s="26" t="str">
        <x:v>H6-TST-054</x:v>
      </x:c>
      <x:c r="B652" s="26"/>
      <x:c r="C652" s="26" t="str">
        <x:v>Device disconnect/reconnect</x:v>
      </x:c>
      <x:c r="D652" s="26" t="str">
        <x:v>E</x:v>
      </x:c>
      <x:c r="E652" s="26" t="str">
        <x:v>P1</x:v>
      </x:c>
      <x:c r="F652" s="26" t="str">
        <x:v>Candidate running</x:v>
      </x:c>
      <x:c r="G652" s="26" t="str">
        <x:v>Disconnect/reconnect output device</x:v>
      </x:c>
      <x:c r="H652" s="26" t="str">
        <x:v>No crash; controlled recovery</x:v>
      </x:c>
      <x:c r="I652" s="26" t="str">
        <x:v>NOT RUN</x:v>
      </x:c>
      <x:c r="J652" s="26"/>
      <x:c r="K652" s="26" t="str">
        <x:v>H6 Candidate</x:v>
      </x:c>
      <x:c r="L652" s="26"/>
      <x:c r="M652" s="26" t="str">
        <x:v>Imported from 31; locale=ES/EN; resolution=1080p; repeatability=Required</x:v>
      </x:c>
    </x:row>
    <x:row r="653" ht="30" customHeight="1">
      <x:c r="A653" s="26" t="str">
        <x:v>H6-TST-055</x:v>
      </x:c>
      <x:c r="B653" s="26"/>
      <x:c r="C653" s="26" t="str">
        <x:v>Interrupted save fault injection</x:v>
      </x:c>
      <x:c r="D653" s="26" t="str">
        <x:v>E</x:v>
      </x:c>
      <x:c r="E653" s="26" t="str">
        <x:v>P1</x:v>
      </x:c>
      <x:c r="F653" s="26" t="str">
        <x:v>Controlled test build/data backup</x:v>
      </x:c>
      <x:c r="G653" s="26" t="str">
        <x:v>Interrupt write at safe test points</x:v>
      </x:c>
      <x:c r="H653" s="26" t="str">
        <x:v>No silent corruption; recovery path</x:v>
      </x:c>
      <x:c r="I653" s="26" t="str">
        <x:v>NOT RUN</x:v>
      </x:c>
      <x:c r="J653" s="26"/>
      <x:c r="K653" s="26" t="str">
        <x:v>QA Build</x:v>
      </x:c>
      <x:c r="L653" s="26"/>
      <x:c r="M653" s="26" t="str">
        <x:v>Imported from 31; locale=ES/EN; resolution=1080p; repeatability=Required</x:v>
      </x:c>
    </x:row>
    <x:row r="654" ht="30" customHeight="1">
      <x:c r="A654" s="26" t="str">
        <x:v>H6-TST-056</x:v>
      </x:c>
      <x:c r="B654" s="26"/>
      <x:c r="C654" s="26" t="str">
        <x:v>Evidence/build identity audit</x:v>
      </x:c>
      <x:c r="D654" s="26" t="str">
        <x:v>E</x:v>
      </x:c>
      <x:c r="E654" s="26" t="str">
        <x:v>P1</x:v>
      </x:c>
      <x:c r="F654" s="26" t="str">
        <x:v>All records complete</x:v>
      </x:c>
      <x:c r="G654" s="26" t="str">
        <x:v>Compare Build ID/SHA/checksum across all evidence</x:v>
      </x:c>
      <x:c r="H654" s="26" t="str">
        <x:v>All evidence belongs to candidate</x:v>
      </x:c>
      <x:c r="I654" s="26" t="str">
        <x:v>NOT RUN</x:v>
      </x:c>
      <x:c r="J654" s="26"/>
      <x:c r="K654" s="26" t="str">
        <x:v>H6 Candidate</x:v>
      </x:c>
      <x:c r="L654" s="26"/>
      <x:c r="M654" s="26" t="str">
        <x:v>Imported from 31; locale=N/A; resolution=N/A; repeatability=Required</x:v>
      </x:c>
    </x:row>
    <x:row r="655" ht="30" customHeight="1">
      <x:c r="A655" s="26" t="str">
        <x:v>REL-TST-001</x:v>
      </x:c>
      <x:c r="B655" s="26"/>
      <x:c r="C655" s="26" t="str">
        <x:v>Fresh Steam install</x:v>
      </x:c>
      <x:c r="D655" s="26" t="str">
        <x:v>E</x:v>
      </x:c>
      <x:c r="E655" s="26" t="str">
        <x:v>P1</x:v>
      </x:c>
      <x:c r="F655" s="26" t="str">
        <x:v>RC uploaded</x:v>
      </x:c>
      <x:c r="G655" s="26" t="str">
        <x:v>Install on clean machine/account and launch</x:v>
      </x:c>
      <x:c r="H655" s="26" t="str">
        <x:v>Install and first run succeed</x:v>
      </x:c>
      <x:c r="I655" s="26" t="str">
        <x:v>NOT RUN</x:v>
      </x:c>
      <x:c r="J655" s="26"/>
      <x:c r="K655" s="26" t="str">
        <x:v>Steam RC</x:v>
      </x:c>
      <x:c r="L655" s="26"/>
      <x:c r="M655" s="26" t="str">
        <x:v>Imported from 31; locale=ES/EN; resolution=1080p; repeatability=Required</x:v>
      </x:c>
    </x:row>
    <x:row r="656" ht="30" customHeight="1">
      <x:c r="A656" s="26" t="str">
        <x:v>REL-TST-002</x:v>
      </x:c>
      <x:c r="B656" s="26"/>
      <x:c r="C656" s="26" t="str">
        <x:v>Incremental update</x:v>
      </x:c>
      <x:c r="D656" s="26" t="str">
        <x:v>E</x:v>
      </x:c>
      <x:c r="E656" s="26" t="str">
        <x:v>P1</x:v>
      </x:c>
      <x:c r="F656" s="26" t="str">
        <x:v>Previous build installed</x:v>
      </x:c>
      <x:c r="G656" s="26" t="str">
        <x:v>Update to RC and run saves/settings</x:v>
      </x:c>
      <x:c r="H656" s="26" t="str">
        <x:v>Update succeeds; data compatible</x:v>
      </x:c>
      <x:c r="I656" s="26" t="str">
        <x:v>NOT RUN</x:v>
      </x:c>
      <x:c r="J656" s="26"/>
      <x:c r="K656" s="26" t="str">
        <x:v>Steam RC</x:v>
      </x:c>
      <x:c r="L656" s="26"/>
      <x:c r="M656" s="26" t="str">
        <x:v>Imported from 31; locale=ES/EN; resolution=1080p; repeatability=Required</x:v>
      </x:c>
    </x:row>
    <x:row r="657" ht="30" customHeight="1">
      <x:c r="A657" s="26" t="str">
        <x:v>REL-TST-003</x:v>
      </x:c>
      <x:c r="B657" s="26"/>
      <x:c r="C657" s="26" t="str">
        <x:v>Rollback</x:v>
      </x:c>
      <x:c r="D657" s="26" t="str">
        <x:v>E</x:v>
      </x:c>
      <x:c r="E657" s="26" t="str">
        <x:v>P1</x:v>
      </x:c>
      <x:c r="F657" s="26" t="str">
        <x:v>RC installed</x:v>
      </x:c>
      <x:c r="G657" s="26" t="str">
        <x:v>Rollback to approved build and validate supported data path</x:v>
      </x:c>
      <x:c r="H657" s="26" t="str">
        <x:v>Rollback behaves per policy</x:v>
      </x:c>
      <x:c r="I657" s="26" t="str">
        <x:v>NOT RUN</x:v>
      </x:c>
      <x:c r="J657" s="26"/>
      <x:c r="K657" s="26" t="str">
        <x:v>Steam Rollback</x:v>
      </x:c>
      <x:c r="L657" s="26"/>
      <x:c r="M657" s="26" t="str">
        <x:v>Imported from 31; locale=ES/EN; resolution=1080p; repeatability=Required</x:v>
      </x:c>
    </x:row>
    <x:row r="658" ht="30" customHeight="1">
      <x:c r="A658" s="26" t="str">
        <x:v>REL-TST-004</x:v>
      </x:c>
      <x:c r="B658" s="26"/>
      <x:c r="C658" s="26" t="str">
        <x:v>Steam Offline Mode</x:v>
      </x:c>
      <x:c r="D658" s="26" t="str">
        <x:v>E</x:v>
      </x:c>
      <x:c r="E658" s="26" t="str">
        <x:v>P1</x:v>
      </x:c>
      <x:c r="F658" s="26" t="str">
        <x:v>Steam RC installed</x:v>
      </x:c>
      <x:c r="G658" s="26" t="str">
        <x:v>Enter offline mode and complete supported flow</x:v>
      </x:c>
      <x:c r="H658" s="26" t="str">
        <x:v>Game remains playable per declared scope</x:v>
      </x:c>
      <x:c r="I658" s="26" t="str">
        <x:v>NOT RUN</x:v>
      </x:c>
      <x:c r="J658" s="26"/>
      <x:c r="K658" s="26" t="str">
        <x:v>Steam RC</x:v>
      </x:c>
      <x:c r="L658" s="26"/>
      <x:c r="M658" s="26" t="str">
        <x:v>Imported from 31; locale=ES/EN; resolution=1080p; repeatability=Required</x:v>
      </x:c>
    </x:row>
    <x:row r="659" ht="30" customHeight="1">
      <x:c r="A659" s="26" t="str">
        <x:v>REL-TST-005</x:v>
      </x:c>
      <x:c r="B659" s="26"/>
      <x:c r="C659" s="26" t="str">
        <x:v>Overlay/integration</x:v>
      </x:c>
      <x:c r="D659" s="26" t="str">
        <x:v>E</x:v>
      </x:c>
      <x:c r="E659" s="26" t="str">
        <x:v>P1</x:v>
      </x:c>
      <x:c r="F659" s="26" t="str">
        <x:v>Features enabled</x:v>
      </x:c>
      <x:c r="G659" s="26" t="str">
        <x:v>Exercise overlay and enabled Steam features</x:v>
      </x:c>
      <x:c r="H659" s="26" t="str">
        <x:v>No input/save/crash regressions</x:v>
      </x:c>
      <x:c r="I659" s="26" t="str">
        <x:v>NOT RUN</x:v>
      </x:c>
      <x:c r="J659" s="26"/>
      <x:c r="K659" s="26" t="str">
        <x:v>Steam RC</x:v>
      </x:c>
      <x:c r="L659" s="26"/>
      <x:c r="M659" s="26" t="str">
        <x:v>Imported from 31; locale=ES/EN; resolution=1080p; repeatability=Required</x:v>
      </x:c>
    </x:row>
    <x:row r="660" ht="30" customHeight="1">
      <x:c r="A660" s="26" t="str">
        <x:v>REL-TST-006</x:v>
      </x:c>
      <x:c r="B660" s="26"/>
      <x:c r="C660" s="26" t="str">
        <x:v>Screenshot provenance</x:v>
      </x:c>
      <x:c r="D660" s="26" t="str">
        <x:v>E</x:v>
      </x:c>
      <x:c r="E660" s="26" t="str">
        <x:v>P1</x:v>
      </x:c>
      <x:c r="F660" s="26" t="str">
        <x:v>Store assets prepared</x:v>
      </x:c>
      <x:c r="G660" s="26" t="str">
        <x:v>Verify each screenshot/trailer frame against approved build</x:v>
      </x:c>
      <x:c r="H660" s="26" t="str">
        <x:v>All media accurate and cleared</x:v>
      </x:c>
      <x:c r="I660" s="26" t="str">
        <x:v>NOT RUN</x:v>
      </x:c>
      <x:c r="J660" s="26"/>
      <x:c r="K660" s="26" t="str">
        <x:v>Steam RC</x:v>
      </x:c>
      <x:c r="L660" s="26"/>
      <x:c r="M660" s="26" t="str">
        <x:v>Imported from 31; locale=ES/EN; resolution=1080p; repeatability=Required</x:v>
      </x:c>
    </x:row>
    <x:row r="661" ht="30" customHeight="1">
      <x:c r="A661" s="26" t="str">
        <x:v>REL-TST-007</x:v>
      </x:c>
      <x:c r="B661" s="26"/>
      <x:c r="C661" s="26" t="str">
        <x:v>Steam declaration audit</x:v>
      </x:c>
      <x:c r="D661" s="26" t="str">
        <x:v>E</x:v>
      </x:c>
      <x:c r="E661" s="26" t="str">
        <x:v>P1</x:v>
      </x:c>
      <x:c r="F661" s="26" t="str">
        <x:v>Feature draft prepared</x:v>
      </x:c>
      <x:c r="G661" s="26" t="str">
        <x:v>Execute evidence for each checked Steam feature</x:v>
      </x:c>
      <x:c r="H661" s="26" t="str">
        <x:v>No unsupported declaration</x:v>
      </x:c>
      <x:c r="I661" s="26" t="str">
        <x:v>NOT RUN</x:v>
      </x:c>
      <x:c r="J661" s="26"/>
      <x:c r="K661" s="26" t="str">
        <x:v>Steam RC</x:v>
      </x:c>
      <x:c r="L661" s="26"/>
      <x:c r="M661" s="26" t="str">
        <x:v>Imported from 31; locale=ES/EN; resolution=Matrix; repeatability=Required</x:v>
      </x:c>
    </x:row>
    <x:row r="662" ht="30" customHeight="1">
      <x:c r="A662" s="26" t="str">
        <x:v>REL-TST-008</x:v>
      </x:c>
      <x:c r="B662" s="26"/>
      <x:c r="C662" s="26" t="str">
        <x:v>Store metadata LQA</x:v>
      </x:c>
      <x:c r="D662" s="26" t="str">
        <x:v>E</x:v>
      </x:c>
      <x:c r="E662" s="26" t="str">
        <x:v>P1</x:v>
      </x:c>
      <x:c r="F662" s="26" t="str">
        <x:v>Store draft complete</x:v>
      </x:c>
      <x:c r="G662" s="26" t="str">
        <x:v>Review ES/EN page and assets in context</x:v>
      </x:c>
      <x:c r="H662" s="26" t="str">
        <x:v>No blocking language/format defects</x:v>
      </x:c>
      <x:c r="I662" s="26" t="str">
        <x:v>NOT RUN</x:v>
      </x:c>
      <x:c r="J662" s="26"/>
      <x:c r="K662" s="26" t="str">
        <x:v>N/A</x:v>
      </x:c>
      <x:c r="L662" s="26"/>
      <x:c r="M662" s="26" t="str">
        <x:v>Imported from 31; locale=ES/EN; resolution=Web/Steam client; repeatability=Required</x:v>
      </x:c>
    </x:row>
    <x:row r="663" ht="30" customHeight="1">
      <x:c r="A663" s="26" t="str">
        <x:v>REL-TST-009</x:v>
      </x:c>
      <x:c r="B663" s="26"/>
      <x:c r="C663" s="26" t="str">
        <x:v>Minimum hardware RC benchmark</x:v>
      </x:c>
      <x:c r="D663" s="26" t="str">
        <x:v>E/F</x:v>
      </x:c>
      <x:c r="E663" s="26" t="str">
        <x:v>P1</x:v>
      </x:c>
      <x:c r="F663" s="26" t="str">
        <x:v>Minimum hardware defined</x:v>
      </x:c>
      <x:c r="G663" s="26" t="str">
        <x:v>Run benchmark and soak from Steam install</x:v>
      </x:c>
      <x:c r="H663" s="26" t="str">
        <x:v>Meets approved requirements</x:v>
      </x:c>
      <x:c r="I663" s="26" t="str">
        <x:v>NOT RUN</x:v>
      </x:c>
      <x:c r="J663" s="26"/>
      <x:c r="K663" s="26" t="str">
        <x:v>Steam RC</x:v>
      </x:c>
      <x:c r="L663" s="26"/>
      <x:c r="M663" s="26" t="str">
        <x:v>Imported from 31; locale=ES/EN; resolution=Target settings; repeatability=Required</x:v>
      </x:c>
    </x:row>
    <x:row r="664" ht="30" customHeight="1">
      <x:c r="A664" s="26" t="str">
        <x:v>REL-TST-010</x:v>
      </x:c>
      <x:c r="B664" s="26"/>
      <x:c r="C664" s="26" t="str">
        <x:v>Build identification</x:v>
      </x:c>
      <x:c r="D664" s="26" t="str">
        <x:v>E</x:v>
      </x:c>
      <x:c r="E664" s="26" t="str">
        <x:v>P1</x:v>
      </x:c>
      <x:c r="F664" s="26" t="str">
        <x:v>RC installed</x:v>
      </x:c>
      <x:c r="G664" s="26" t="str">
        <x:v>User locates version/build info via support path</x:v>
      </x:c>
      <x:c r="H664" s="26" t="str">
        <x:v>Support can identify exact build</x:v>
      </x:c>
      <x:c r="I664" s="26" t="str">
        <x:v>NOT RUN</x:v>
      </x:c>
      <x:c r="J664" s="26"/>
      <x:c r="K664" s="26" t="str">
        <x:v>Steam RC</x:v>
      </x:c>
      <x:c r="L664" s="26"/>
      <x:c r="M664" s="26" t="str">
        <x:v>Imported from 31; locale=ES/EN; resolution=1080p; repeatability=Required</x:v>
      </x:c>
    </x:row>
    <x:row r="665" ht="30" customHeight="1">
      <x:c r="A665" s="26" t="str">
        <x:v>REL-TST-011</x:v>
      </x:c>
      <x:c r="B665" s="26"/>
      <x:c r="C665" s="26" t="str">
        <x:v>Upload credential isolation</x:v>
      </x:c>
      <x:c r="D665" s="26" t="str">
        <x:v>E</x:v>
      </x:c>
      <x:c r="E665" s="26" t="str">
        <x:v>P1</x:v>
      </x:c>
      <x:c r="F665" s="26" t="str">
        <x:v>Upload pipeline configured</x:v>
      </x:c>
      <x:c r="G665" s="26" t="str">
        <x:v>Run dry-run and inspect logs/config</x:v>
      </x:c>
      <x:c r="H665" s="26" t="str">
        <x:v>No secrets exposed; permissions constrained</x:v>
      </x:c>
      <x:c r="I665" s="26" t="str">
        <x:v>NOT RUN</x:v>
      </x:c>
      <x:c r="J665" s="26"/>
      <x:c r="K665" s="26" t="str">
        <x:v>Steam RC</x:v>
      </x:c>
      <x:c r="L665" s="26"/>
      <x:c r="M665" s="26" t="str">
        <x:v>Imported from 31; locale=N/A; resolution=N/A; repeatability=Required</x:v>
      </x:c>
    </x:row>
    <x:row r="666" ht="30" customHeight="1">
      <x:c r="A666" s="26" t="str">
        <x:v>REL-TST-012</x:v>
      </x:c>
      <x:c r="B666" s="26"/>
      <x:c r="C666" s="26" t="str">
        <x:v>Hotfix rehearsal</x:v>
      </x:c>
      <x:c r="D666" s="26" t="str">
        <x:v>E</x:v>
      </x:c>
      <x:c r="E666" s="26" t="str">
        <x:v>P1</x:v>
      </x:c>
      <x:c r="F666" s="26" t="str">
        <x:v>RC and test issue available</x:v>
      </x:c>
      <x:c r="G666" s="26" t="str">
        <x:v>Branch, fix, build, test, upload to private branch</x:v>
      </x:c>
      <x:c r="H666" s="26" t="str">
        <x:v>Reproducible within playbook</x:v>
      </x:c>
      <x:c r="I666" s="26" t="str">
        <x:v>NOT RUN</x:v>
      </x:c>
      <x:c r="J666" s="26"/>
      <x:c r="K666" s="26" t="str">
        <x:v>Hotfix RC</x:v>
      </x:c>
      <x:c r="L666" s="26"/>
      <x:c r="M666" s="26" t="str">
        <x:v>Imported from 31; locale=ES/EN; resolution=1080p; repeatability=Required</x:v>
      </x:c>
    </x:row>
    <x:row r="667" ht="30" customHeight="1">
      <x:c r="A667" s="26" t="str">
        <x:v>REL-TST-013</x:v>
      </x:c>
      <x:c r="B667" s="26"/>
      <x:c r="C667" s="26" t="str">
        <x:v>Rollback rehearsal</x:v>
      </x:c>
      <x:c r="D667" s="26" t="str">
        <x:v>E</x:v>
      </x:c>
      <x:c r="E667" s="26" t="str">
        <x:v>P1</x:v>
      </x:c>
      <x:c r="F667" s="26" t="str">
        <x:v>RC and rollback build available</x:v>
      </x:c>
      <x:c r="G667" s="26" t="str">
        <x:v>Perform private branch rollback and smoke</x:v>
      </x:c>
      <x:c r="H667" s="26" t="str">
        <x:v>Rollback succeeds within target</x:v>
      </x:c>
      <x:c r="I667" s="26" t="str">
        <x:v>NOT RUN</x:v>
      </x:c>
      <x:c r="J667" s="26"/>
      <x:c r="K667" s="26" t="str">
        <x:v>Steam Rollback</x:v>
      </x:c>
      <x:c r="L667" s="26"/>
      <x:c r="M667" s="26" t="str">
        <x:v>Imported from 31; locale=ES/EN; resolution=1080p; repeatability=Required</x:v>
      </x:c>
    </x:row>
    <x:row r="668" ht="30" customHeight="1">
      <x:c r="A668" s="26" t="str">
        <x:v>REL-TST-014</x:v>
      </x:c>
      <x:c r="B668" s="26"/>
      <x:c r="C668" s="26" t="str">
        <x:v>Consent/opt-out</x:v>
      </x:c>
      <x:c r="D668" s="26" t="str">
        <x:v>E</x:v>
      </x:c>
      <x:c r="E668" s="26" t="str">
        <x:v>P1</x:v>
      </x:c>
      <x:c r="F668" s="26" t="str">
        <x:v>Telemetry enabled by decision</x:v>
      </x:c>
      <x:c r="G668" s="26" t="str">
        <x:v>Exercise consent, decline, change and offline</x:v>
      </x:c>
      <x:c r="H668" s="26" t="str">
        <x:v>Behavior matches policy</x:v>
      </x:c>
      <x:c r="I668" s="26" t="str">
        <x:v>NOT RUN</x:v>
      </x:c>
      <x:c r="J668" s="26"/>
      <x:c r="K668" s="26" t="str">
        <x:v>Steam RC</x:v>
      </x:c>
      <x:c r="L668" s="26"/>
      <x:c r="M668" s="26" t="str">
        <x:v>Imported from 31; locale=ES/EN; resolution=1080p; repeatability=Required</x:v>
      </x:c>
    </x:row>
    <x:row r="669" ht="30" customHeight="1">
      <x:c r="A669" s="26" t="str">
        <x:v>REL-TST-015</x:v>
      </x:c>
      <x:c r="B669" s="26"/>
      <x:c r="C669" s="26" t="str">
        <x:v>Crash report privacy</x:v>
      </x:c>
      <x:c r="D669" s="26" t="str">
        <x:v>E</x:v>
      </x:c>
      <x:c r="E669" s="26" t="str">
        <x:v>P1</x:v>
      </x:c>
      <x:c r="F669" s="26" t="str">
        <x:v>Crash pipeline configured</x:v>
      </x:c>
      <x:c r="G669" s="26" t="str">
        <x:v>Trigger controlled crash and inspect payload</x:v>
      </x:c>
      <x:c r="H669" s="26" t="str">
        <x:v>No excessive/sensitive data</x:v>
      </x:c>
      <x:c r="I669" s="26" t="str">
        <x:v>NOT RUN</x:v>
      </x:c>
      <x:c r="J669" s="26"/>
      <x:c r="K669" s="26" t="str">
        <x:v>Steam RC</x:v>
      </x:c>
      <x:c r="L669" s="26"/>
      <x:c r="M669" s="26" t="str">
        <x:v>Imported from 31; locale=ES/EN; resolution=1080p; repeatability=Required</x:v>
      </x:c>
    </x:row>
    <x:row r="670">
      <x:c r="A670" t="str">
        <x:v>TC-S16-CLOSE-001</x:v>
      </x:c>
      <x:c r="B670" t="str">
        <x:v>S16-GATE</x:v>
      </x:c>
      <x:c r="C670" t="str">
        <x:v>Aprobación visual de StoreInitial</x:v>
      </x:c>
      <x:c r="D670" t="str">
        <x:v>Manual</x:v>
      </x:c>
      <x:c r="E670" t="str">
        <x:v>P0</x:v>
      </x:c>
      <x:c r="F670" t="str">
        <x:v>No</x:v>
      </x:c>
      <x:c r="G670" t="str">
        <x:v>Ready</x:v>
      </x:c>
      <x:c r="H670" t="str">
        <x:v>PASS</x:v>
      </x:c>
      <x:c r="I670" t="str">
        <x:v>BLD-016-POST</x:v>
      </x:c>
      <x:c r="J670" t="str">
        <x:v>17_Art_Bible + 06 Roadmap + signoff del Project Owner</x:v>
      </x:c>
      <x:c r="K670"/>
      <x:c r="L670" t="str">
        <x:v>Sprint16_Phase5</x:v>
      </x:c>
      <x:c r="M670" t="str">
        <x:v>Sin defectos visuales bloqueantes.</x:v>
      </x:c>
    </x:row>
    <x:row r="671">
      <x:c r="A671" t="str">
        <x:v>TC-S16-CLOSE-002</x:v>
      </x:c>
      <x:c r="B671" t="str">
        <x:v>S16-GATE</x:v>
      </x:c>
      <x:c r="C671" t="str">
        <x:v>Aprobación funcional y regresión manual</x:v>
      </x:c>
      <x:c r="D671" t="str">
        <x:v>Manual + Automatizada</x:v>
      </x:c>
      <x:c r="E671" t="str">
        <x:v>P0</x:v>
      </x:c>
      <x:c r="F671" t="str">
        <x:v>Parcial</x:v>
      </x:c>
      <x:c r="G671" t="str">
        <x:v>Ready</x:v>
      </x:c>
      <x:c r="H671" t="str">
        <x:v>PASS</x:v>
      </x:c>
      <x:c r="I671" t="str">
        <x:v>BLD-016-POST</x:v>
      </x:c>
      <x:c r="J671" t="str">
        <x:v>EditMode PASS; PlayMode PASS; regresión manual PASS</x:v>
      </x:c>
      <x:c r="K671"/>
      <x:c r="L671" t="str">
        <x:v>Sprint16_Phase5</x:v>
      </x:c>
      <x:c r="M671" t="str">
        <x:v>Golden Path completo y actores/colisiones/navegación validados.</x:v>
      </x:c>
    </x:row>
    <x:row r="672">
      <x:c r="A672" t="str">
        <x:v>TC-S16-CLOSE-003</x:v>
      </x:c>
      <x:c r="B672" t="str">
        <x:v>S16-GATE</x:v>
      </x:c>
      <x:c r="C672" t="str">
        <x:v>Build externa, persistencia y Player.log</x:v>
      </x:c>
      <x:c r="D672" t="str">
        <x:v>Manual</x:v>
      </x:c>
      <x:c r="E672" t="str">
        <x:v>P0</x:v>
      </x:c>
      <x:c r="F672" t="str">
        <x:v>No</x:v>
      </x:c>
      <x:c r="G672" t="str">
        <x:v>Ready</x:v>
      </x:c>
      <x:c r="H672" t="str">
        <x:v>PASS</x:v>
      </x:c>
      <x:c r="I672" t="str">
        <x:v>BLD-016-POST</x:v>
      </x:c>
      <x:c r="J672" t="str">
        <x:v>Build 0.0.21; save/restart/load; Player.log revisado</x:v>
      </x:c>
      <x:c r="K672"/>
      <x:c r="L672" t="str">
        <x:v>Sprint16_Phase5</x:v>
      </x:c>
      <x:c r="M672" t="str">
        <x:v>Checksum y hardware registrados externamente según Phase4.</x:v>
      </x:c>
    </x:row>
    <x:row r="673">
      <x:c r="A673" s="24" t="str">
        <x:v>TC-S17-MOD-002</x:v>
      </x:c>
      <x:c r="B673" t="str">
        <x:v>S17-MOD-002</x:v>
      </x:c>
      <x:c r="C673" t="str">
        <x:v>Visita sin producto completa browsing fallback y salida sin compra.</x:v>
      </x:c>
      <x:c r="D673" t="str">
        <x:v>EditMode + PlayMode</x:v>
      </x:c>
      <x:c r="E673" t="str">
        <x:v>P0</x:v>
      </x:c>
      <x:c r="F673" t="str">
        <x:v>Sí</x:v>
      </x:c>
      <x:c r="G673" t="str">
        <x:v>Implemented Candidate</x:v>
      </x:c>
      <x:c r="H673" t="str">
        <x:v>NOT RUN</x:v>
      </x:c>
      <x:c r="I673"/>
      <x:c r="J673" t="str">
        <x:v>S17DeferredModificationsImplementationTests + Golden Path</x:v>
      </x:c>
      <x:c r="K673"/>
      <x:c r="L673" t="str">
        <x:v>U012_S17_MOD_002_010_Implementation_Record.md</x:v>
      </x:c>
      <x:c r="M673" t="str">
        <x:v>Libera capacidad sin carrito, reserva ni checkout vacío.</x:v>
      </x:c>
    </x:row>
    <x:row r="674">
      <x:c r="A674" s="24" t="str">
        <x:v>TC-S17-MOD-003</x:v>
      </x:c>
      <x:c r="B674" t="str">
        <x:v>S17-MOD-003</x:v>
      </x:c>
      <x:c r="C674" t="str">
        <x:v>Process All genera una única visita visual por DeliveryRun.</x:v>
      </x:c>
      <x:c r="D674" t="str">
        <x:v>EditMode + PlayMode</x:v>
      </x:c>
      <x:c r="E674" t="str">
        <x:v>P0</x:v>
      </x:c>
      <x:c r="F674" t="str">
        <x:v>Sí</x:v>
      </x:c>
      <x:c r="G674" t="str">
        <x:v>Implemented Candidate</x:v>
      </x:c>
      <x:c r="H674" t="str">
        <x:v>NOT RUN</x:v>
      </x:c>
      <x:c r="I674"/>
      <x:c r="J674" t="str">
        <x:v>CHAR-ODR-007 + presenter runtime</x:v>
      </x:c>
      <x:c r="K674"/>
      <x:c r="L674" t="str">
        <x:v>U012_S17_MOD_002_010_Implementation_Record.md</x:v>
      </x:c>
      <x:c r="M674" t="str">
        <x:v>Órdenes conservan identidad y una sola correlación visual.</x:v>
      </x:c>
    </x:row>
    <x:row r="675">
      <x:c r="A675" s="24" t="str">
        <x:v>TC-S17-MOD-004</x:v>
      </x:c>
      <x:c r="B675" t="str">
        <x:v>S17-MOD-004</x:v>
      </x:c>
      <x:c r="C675" t="str">
        <x:v>Caja, stock y ledger cambian únicamente al commit físico de recepción.</x:v>
      </x:c>
      <x:c r="D675" t="str">
        <x:v>EditMode + PlayMode</x:v>
      </x:c>
      <x:c r="E675" t="str">
        <x:v>P0</x:v>
      </x:c>
      <x:c r="F675" t="str">
        <x:v>Sí</x:v>
      </x:c>
      <x:c r="G675" t="str">
        <x:v>Implemented Candidate</x:v>
      </x:c>
      <x:c r="H675" t="str">
        <x:v>NOT RUN</x:v>
      </x:c>
      <x:c r="I675"/>
      <x:c r="J675" t="str">
        <x:v>CHAR-ODR-003/004/008</x:v>
      </x:c>
      <x:c r="K675"/>
      <x:c r="L675" t="str">
        <x:v>U012_S17_MOD_002_010_Implementation_Record.md</x:v>
      </x:c>
      <x:c r="M675" t="str">
        <x:v>Reserved → InTransit → Received; save/load e idempotencia.</x:v>
      </x:c>
    </x:row>
    <x:row r="676">
      <x:c r="A676" s="24" t="str">
        <x:v>TC-S17-MOD-005</x:v>
      </x:c>
      <x:c r="B676" t="str">
        <x:v>S17-MOD-005</x:v>
      </x:c>
      <x:c r="C676" t="str">
        <x:v>Caja reducida y todos los LODGroup conservan último LOD sin culling.</x:v>
      </x:c>
      <x:c r="D676" t="str">
        <x:v>EditMode + Visual</x:v>
      </x:c>
      <x:c r="E676" t="str">
        <x:v>P1</x:v>
      </x:c>
      <x:c r="F676" t="str">
        <x:v>Sí</x:v>
      </x:c>
      <x:c r="G676" t="str">
        <x:v>Implemented Candidate</x:v>
      </x:c>
      <x:c r="H676" t="str">
        <x:v>NOT RUN</x:v>
      </x:c>
      <x:c r="I676"/>
      <x:c r="J676" t="str">
        <x:v>S17_MOD_005_AllAuthoredLodGroupsKeepTheirLastLodVisible</x:v>
      </x:c>
      <x:c r="K676"/>
      <x:c r="L676" t="str">
        <x:v>U012_S17_MOD_002_010_Implementation_Record.md</x:v>
      </x:c>
      <x:c r="M676" t="str">
        <x:v>No modifica límites ni sensibilidad de zoom.</x:v>
      </x:c>
    </x:row>
    <x:row r="677">
      <x:c r="A677" s="24" t="str">
        <x:v>TC-S17-MOD-006</x:v>
      </x:c>
      <x:c r="B677" t="str">
        <x:v>S17-MOD-006</x:v>
      </x:c>
      <x:c r="C677" t="str">
        <x:v>HUD y Management muestran HH:mm desde la autoridad temporal única.</x:v>
      </x:c>
      <x:c r="D677" t="str">
        <x:v>EditMode + PlayMode</x:v>
      </x:c>
      <x:c r="E677" t="str">
        <x:v>P0</x:v>
      </x:c>
      <x:c r="F677" t="str">
        <x:v>Sí</x:v>
      </x:c>
      <x:c r="G677" t="str">
        <x:v>Implemented Candidate</x:v>
      </x:c>
      <x:c r="H677" t="str">
        <x:v>NOT RUN</x:v>
      </x:c>
      <x:c r="I677"/>
      <x:c r="J677" t="str">
        <x:v>Casos 00:00/08:00/22:00/24:00</x:v>
      </x:c>
      <x:c r="K677"/>
      <x:c r="L677" t="str">
        <x:v>ADR-0086</x:v>
      </x:c>
      <x:c r="M677" t="str">
        <x:v>Sin contador visual paralelo.</x:v>
      </x:c>
    </x:row>
    <x:row r="678">
      <x:c r="A678" s="24" t="str">
        <x:v>TC-S17-MOD-007</x:v>
      </x:c>
      <x:c r="B678" t="str">
        <x:v>S17-MOD-007</x:v>
      </x:c>
      <x:c r="C678" t="str">
        <x:v>Reloj global avanza en cualquier estado salvo pausa.</x:v>
      </x:c>
      <x:c r="D678" t="str">
        <x:v>EditMode + PlayMode</x:v>
      </x:c>
      <x:c r="E678" t="str">
        <x:v>P0</x:v>
      </x:c>
      <x:c r="F678" t="str">
        <x:v>Sí</x:v>
      </x:c>
      <x:c r="G678" t="str">
        <x:v>Implemented Candidate</x:v>
      </x:c>
      <x:c r="H678" t="str">
        <x:v>NOT RUN</x:v>
      </x:c>
      <x:c r="I678"/>
      <x:c r="J678" t="str">
        <x:v>SimulationClock + regresión de estados</x:v>
      </x:c>
      <x:c r="K678"/>
      <x:c r="L678" t="str">
        <x:v>ADR-0086</x:v>
      </x:c>
      <x:c r="M678" t="str">
        <x:v>S17-MOD-001 queda absorbida.</x:v>
      </x:c>
    </x:row>
    <x:row r="679">
      <x:c r="A679" s="24" t="str">
        <x:v>TC-S17-MOD-008</x:v>
      </x:c>
      <x:c r="B679" t="str">
        <x:v>S17-MOD-008</x:v>
      </x:c>
      <x:c r="C679" t="str">
        <x:v>Múltiples ciclos comerciales 08:00–22:00 y cierre único a 24:00.</x:v>
      </x:c>
      <x:c r="D679" t="str">
        <x:v>EditMode + PlayMode</x:v>
      </x:c>
      <x:c r="E679" t="str">
        <x:v>P0</x:v>
      </x:c>
      <x:c r="F679" t="str">
        <x:v>Sí</x:v>
      </x:c>
      <x:c r="G679" t="str">
        <x:v>Implemented Candidate</x:v>
      </x:c>
      <x:c r="H679" t="str">
        <x:v>NOT RUN</x:v>
      </x:c>
      <x:c r="I679"/>
      <x:c r="J679" t="str">
        <x:v>StoreTradingHoursPolicy + Golden Path de tres ciclos</x:v>
      </x:c>
      <x:c r="K679"/>
      <x:c r="L679" t="str">
        <x:v>ADR-0087</x:v>
      </x:c>
      <x:c r="M679" t="str">
        <x:v>No reinicia métricas ni duplica autosave, resumen o impuesto.</x:v>
      </x:c>
    </x:row>
    <x:row r="680">
      <x:c r="A680" s="24" t="str">
        <x:v>TC-S17-MOD-009</x:v>
      </x:c>
      <x:c r="B680" t="str">
        <x:v>S17-MOD-009</x:v>
      </x:c>
      <x:c r="C680" t="str">
        <x:v>GroundAnchor anidado alinea el root persistente en espacio mundial.</x:v>
      </x:c>
      <x:c r="D680" t="str">
        <x:v>EditMode + Visual</x:v>
      </x:c>
      <x:c r="E680" t="str">
        <x:v>P0</x:v>
      </x:c>
      <x:c r="F680" t="str">
        <x:v>Sí</x:v>
      </x:c>
      <x:c r="G680" t="str">
        <x:v>Implemented Candidate</x:v>
      </x:c>
      <x:c r="H680" t="str">
        <x:v>NOT RUN</x:v>
      </x:c>
      <x:c r="I680"/>
      <x:c r="J680" t="str">
        <x:v>NestedGroundAnchor + ocho muebles</x:v>
      </x:c>
      <x:c r="K680"/>
      <x:c r="L680" t="str">
        <x:v>U012_S17_MOD_002_010_Implementation_Record.md</x:v>
      </x:c>
      <x:c r="M680" t="str">
        <x:v>Sin offsets específicos por prefab.</x:v>
      </x:c>
    </x:row>
    <x:row r="681">
      <x:c r="A681" s="24" t="str">
        <x:v>TC-S17-MOD-010</x:v>
      </x:c>
      <x:c r="B681" t="str">
        <x:v>S17-MOD-010</x:v>
      </x:c>
      <x:c r="C681" t="str">
        <x:v>Dependienta usa StaffPoint y StaffLookTarget con rotación horizontal.</x:v>
      </x:c>
      <x:c r="D681" t="str">
        <x:v>EditMode + PlayMode</x:v>
      </x:c>
      <x:c r="E681" t="str">
        <x:v>P1</x:v>
      </x:c>
      <x:c r="F681" t="str">
        <x:v>Sí</x:v>
      </x:c>
      <x:c r="G681" t="str">
        <x:v>Implemented Candidate</x:v>
      </x:c>
      <x:c r="H681" t="str">
        <x:v>NOT RUN</x:v>
      </x:c>
      <x:c r="I681"/>
      <x:c r="J681" t="str">
        <x:v>Checkout authoring + rotaciones 0/90/180/270</x:v>
      </x:c>
      <x:c r="K681"/>
      <x:c r="L681" t="str">
        <x:v>U012_S17_MOD_002_010_Implementation_Record.md</x:v>
      </x:c>
      <x:c r="M681" t="str">
        <x:v>Separa root gameplay de corrección visual.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8" hidden="0" customWidth="1"/>
    <x:col min="7" max="7" width="4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52" hidden="0" customWidth="1"/>
    <x:col min="18" max="18" width="38" hidden="0" customWidth="1"/>
  </x:cols>
  <x:sheetData>
    <x:row r="1" ht="28" customHeight="1">
      <x:c r="A1" s="59" t="str">
        <x:v>Defectos, deuda, findings y excepciones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</x:row>
    <x:row r="2" ht="32" customHeight="1">
      <x:c r="A2" s="63" t="str">
        <x:v>Registro unificado de deuda histórica y findings/excepciones de 31.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4" ht="30" customHeight="1">
      <x:c r="A4" s="68" t="str">
        <x:v>ID</x:v>
      </x:c>
      <x:c r="B4" s="68" t="str">
        <x:v>Record Type</x:v>
      </x:c>
      <x:c r="C4" s="68" t="str">
        <x:v>Severity</x:v>
      </x:c>
      <x:c r="D4" s="68" t="str">
        <x:v>Priority</x:v>
      </x:c>
      <x:c r="E4" s="68" t="str">
        <x:v>Area</x:v>
      </x:c>
      <x:c r="F4" s="68" t="str">
        <x:v>Summary / Finding</x:v>
      </x:c>
      <x:c r="G4" s="68" t="str">
        <x:v>Affected Docs / Components</x:v>
      </x:c>
      <x:c r="H4" s="68" t="str">
        <x:v>Affected Gate</x:v>
      </x:c>
      <x:c r="I4" s="68" t="str">
        <x:v>Blocks Gate</x:v>
      </x:c>
      <x:c r="J4" s="68" t="str">
        <x:v>Status</x:v>
      </x:c>
      <x:c r="K4" s="68" t="str">
        <x:v>Owner</x:v>
      </x:c>
      <x:c r="L4" s="68" t="str">
        <x:v>Detected Build</x:v>
      </x:c>
      <x:c r="M4" s="68" t="str">
        <x:v>Fixed Build</x:v>
      </x:c>
      <x:c r="N4" s="68" t="str">
        <x:v>Test / Evidence ID</x:v>
      </x:c>
      <x:c r="O4" s="68" t="str">
        <x:v>Exception Decision</x:v>
      </x:c>
      <x:c r="P4" s="68" t="str">
        <x:v>Review Trigger / Due</x:v>
      </x:c>
      <x:c r="Q4" s="68" t="str">
        <x:v>Resolution / Mitigation</x:v>
      </x:c>
      <x:c r="R4" s="68" t="str">
        <x:v>Source</x:v>
      </x:c>
    </x:row>
    <x:row r="5" ht="30" customHeight="1">
      <x:c r="A5" s="26" t="str">
        <x:v>KI-016-01</x:v>
      </x:c>
      <x:c r="B5" s="26" t="str">
        <x:v>LEGACY DEFECT/DEBT</x:v>
      </x:c>
      <x:c r="C5" s="26" t="str">
        <x:v>S1</x:v>
      </x:c>
      <x:c r="D5" s="26" t="str">
        <x:v>Defect</x:v>
      </x:c>
      <x:c r="E5" s="26" t="str">
        <x:v>Scene</x:v>
      </x:c>
      <x:c r="F5" s="26" t="str">
        <x:v>Walls misplaced/scaled</x:v>
      </x:c>
      <x:c r="G5" s="26" t="str">
        <x:v>Open</x:v>
      </x:c>
      <x:c r="H5" s="26" t="str">
        <x:v>StoreInitial manual authoring</x:v>
      </x:c>
      <x:c r="I5" s="26" t="str">
        <x:v>Sprint 16</x:v>
      </x:c>
      <x:c r="J5" s="26" t="str">
        <x:v>S16-WP-003</x:v>
      </x:c>
      <x:c r="K5" s="26" t="str">
        <x:v>S16-WP-003</x:v>
      </x:c>
      <x:c r="L5" s="26"/>
      <x:c r="M5" s="26"/>
      <x:c r="N5" s="26"/>
      <x:c r="O5" s="26"/>
      <x:c r="P5" s="26" t="str">
        <x:v>12_Excel_Maestro_de_Produccion.xlsx</x:v>
      </x:c>
      <x:c r="Q5" s="26" t="str">
        <x:v>Bloquea aprobación visual</x:v>
      </x:c>
      <x:c r="R5" s="26" t="str">
        <x:v>13 preconsolidation</x:v>
      </x:c>
    </x:row>
    <x:row r="6" ht="30" customHeight="1">
      <x:c r="A6" s="26" t="str">
        <x:v>KI-016-02</x:v>
      </x:c>
      <x:c r="B6" s="26" t="str">
        <x:v>LEGACY DEFECT/DEBT</x:v>
      </x:c>
      <x:c r="C6" s="26" t="str">
        <x:v>S1</x:v>
      </x:c>
      <x:c r="D6" s="26" t="str">
        <x:v>Defect</x:v>
      </x:c>
      <x:c r="E6" s="26" t="str">
        <x:v>Scene</x:v>
      </x:c>
      <x:c r="F6" s="26" t="str">
        <x:v>Door orientation and direction wrong</x:v>
      </x:c>
      <x:c r="G6" s="26" t="str">
        <x:v>Open</x:v>
      </x:c>
      <x:c r="H6" s="26" t="str">
        <x:v>Explicit references and positions</x:v>
      </x:c>
      <x:c r="I6" s="26" t="str">
        <x:v>Sprint 16</x:v>
      </x:c>
      <x:c r="J6" s="26" t="str">
        <x:v>S16-WP-004</x:v>
      </x:c>
      <x:c r="K6" s="26" t="str">
        <x:v>S16-WP-004</x:v>
      </x:c>
      <x:c r="L6" s="26"/>
      <x:c r="M6" s="26"/>
      <x:c r="N6" s="26"/>
      <x:c r="O6" s="26"/>
      <x:c r="P6" s="26" t="str">
        <x:v>12_Excel_Maestro_de_Produccion.xlsx</x:v>
      </x:c>
      <x:c r="Q6" s="26" t="str">
        <x:v>Bloquea acceso/visual</x:v>
      </x:c>
      <x:c r="R6" s="26" t="str">
        <x:v>13 preconsolidation</x:v>
      </x:c>
    </x:row>
    <x:row r="7" ht="30" customHeight="1">
      <x:c r="A7" s="26" t="str">
        <x:v>KI-016-03</x:v>
      </x:c>
      <x:c r="B7" s="26" t="str">
        <x:v>LEGACY DEFECT/DEBT</x:v>
      </x:c>
      <x:c r="C7" s="26" t="str">
        <x:v>S1</x:v>
      </x:c>
      <x:c r="D7" s="26" t="str">
        <x:v>Defect</x:v>
      </x:c>
      <x:c r="E7" s="26" t="str">
        <x:v>Scene</x:v>
      </x:c>
      <x:c r="F7" s="26" t="str">
        <x:v>Warehouse shelf wrong location</x:v>
      </x:c>
      <x:c r="G7" s="26" t="str">
        <x:v>Open</x:v>
      </x:c>
      <x:c r="H7" s="26" t="str">
        <x:v>Author under InitialFurniture root</x:v>
      </x:c>
      <x:c r="I7" s="26" t="str">
        <x:v>Sprint 16</x:v>
      </x:c>
      <x:c r="J7" s="26" t="str">
        <x:v>S16-WP-005</x:v>
      </x:c>
      <x:c r="K7" s="26" t="str">
        <x:v>S16-WP-005</x:v>
      </x:c>
      <x:c r="L7" s="26"/>
      <x:c r="M7" s="26"/>
      <x:c r="N7" s="26"/>
      <x:c r="O7" s="26"/>
      <x:c r="P7" s="26" t="str">
        <x:v>12_Excel_Maestro_de_Produccion.xlsx</x:v>
      </x:c>
      <x:c r="Q7" s="26" t="str">
        <x:v>Bloquea composición</x:v>
      </x:c>
      <x:c r="R7" s="26" t="str">
        <x:v>13 preconsolidation</x:v>
      </x:c>
    </x:row>
    <x:row r="8" ht="30" customHeight="1">
      <x:c r="A8" s="26" t="str">
        <x:v>KI-016-04</x:v>
      </x:c>
      <x:c r="B8" s="26" t="str">
        <x:v>LEGACY DEFECT/DEBT</x:v>
      </x:c>
      <x:c r="C8" s="26" t="str">
        <x:v>S2</x:v>
      </x:c>
      <x:c r="D8" s="26" t="str">
        <x:v>Defect</x:v>
      </x:c>
      <x:c r="E8" s="26" t="str">
        <x:v>Input/UI</x:v>
      </x:c>
      <x:c r="F8" s="26" t="str">
        <x:v>Operations click moves player</x:v>
      </x:c>
      <x:c r="G8" s="26" t="str">
        <x:v>Open</x:v>
      </x:c>
      <x:c r="H8" s="26" t="str">
        <x:v>EventSystem guard</x:v>
      </x:c>
      <x:c r="I8" s="26" t="str">
        <x:v>Sprint 16</x:v>
      </x:c>
      <x:c r="J8" s="26" t="str">
        <x:v>S16-WP-010</x:v>
      </x:c>
      <x:c r="K8" s="26" t="str">
        <x:v>S16-WP-010</x:v>
      </x:c>
      <x:c r="L8" s="26"/>
      <x:c r="M8" s="26"/>
      <x:c r="N8" s="26"/>
      <x:c r="O8" s="26"/>
      <x:c r="P8" s="26" t="str">
        <x:v>12_Excel_Maestro_de_Produccion.xlsx</x:v>
      </x:c>
      <x:c r="Q8" s="26" t="str">
        <x:v>Debe cerrar antes de H6</x:v>
      </x:c>
      <x:c r="R8" s="26" t="str">
        <x:v>13 preconsolidation</x:v>
      </x:c>
    </x:row>
    <x:row r="9" ht="30" customHeight="1">
      <x:c r="A9" s="26" t="str">
        <x:v>KI-016-05</x:v>
      </x:c>
      <x:c r="B9" s="26" t="str">
        <x:v>LEGACY DEFECT/DEBT</x:v>
      </x:c>
      <x:c r="C9" s="26" t="str">
        <x:v>S2</x:v>
      </x:c>
      <x:c r="D9" s="26" t="str">
        <x:v>Defect</x:v>
      </x:c>
      <x:c r="E9" s="26" t="str">
        <x:v>Scene</x:v>
      </x:c>
      <x:c r="F9" s="26" t="str">
        <x:v>Possible duplicate procedural shell</x:v>
      </x:c>
      <x:c r="G9" s="26" t="str">
        <x:v>Open</x:v>
      </x:c>
      <x:c r="H9" s="26" t="str">
        <x:v>Feature flag and duplicate test</x:v>
      </x:c>
      <x:c r="I9" s="26" t="str">
        <x:v>Sprint 16</x:v>
      </x:c>
      <x:c r="J9" s="26" t="str">
        <x:v>S16-WP-009</x:v>
      </x:c>
      <x:c r="K9" s="26" t="str">
        <x:v>S16-WP-009</x:v>
      </x:c>
      <x:c r="L9" s="26"/>
      <x:c r="M9" s="26"/>
      <x:c r="N9" s="26"/>
      <x:c r="O9" s="26"/>
      <x:c r="P9" s="26" t="str">
        <x:v>12_Excel_Maestro_de_Produccion.xlsx</x:v>
      </x:c>
      <x:c r="Q9" s="26" t="str">
        <x:v>Riesgo de doble entorno</x:v>
      </x:c>
      <x:c r="R9" s="26" t="str">
        <x:v>13 preconsolidation</x:v>
      </x:c>
    </x:row>
    <x:row r="10" ht="30" customHeight="1">
      <x:c r="A10" s="26" t="str">
        <x:v>SETUP-DEBT-001</x:v>
      </x:c>
      <x:c r="B10" s="26" t="str">
        <x:v>LEGACY DEFECT/DEBT</x:v>
      </x:c>
      <x:c r="C10" s="26" t="str">
        <x:v>S1</x:v>
      </x:c>
      <x:c r="D10" s="26" t="str">
        <x:v>Technical Debt</x:v>
      </x:c>
      <x:c r="E10" s="26" t="str">
        <x:v>Setup</x:v>
      </x:c>
      <x:c r="F10" s="26" t="str">
        <x:v>Build Profile todavía usa `Store`</x:v>
      </x:c>
      <x:c r="G10" s="26" t="str">
        <x:v>Open</x:v>
      </x:c>
      <x:c r="H10" s="26" t="str">
        <x:v>cerrar Sprint 16 antes de sustituir</x:v>
      </x:c>
      <x:c r="I10" s="26" t="str">
        <x:v>Sprint 16</x:v>
      </x:c>
      <x:c r="J10" s="26" t="str">
        <x:v>SETUP-DEBT-001</x:v>
      </x:c>
      <x:c r="K10" s="26" t="str">
        <x:v>SETUP-DEBT-001</x:v>
      </x:c>
      <x:c r="L10" s="26"/>
      <x:c r="M10" s="26"/>
      <x:c r="N10" s="26"/>
      <x:c r="O10" s="26"/>
      <x:c r="P10" s="26" t="str">
        <x:v>12_Excel_Maestro_de_Produccion.xlsx</x:v>
      </x:c>
      <x:c r="Q10" s="26" t="str">
        <x:v>StoreInitial no está en build</x:v>
      </x:c>
      <x:c r="R10" s="26" t="str">
        <x:v>13 preconsolidation</x:v>
      </x:c>
    </x:row>
    <x:row r="11" ht="30" customHeight="1">
      <x:c r="A11" s="26" t="str">
        <x:v>SETUP-DEBT-002</x:v>
      </x:c>
      <x:c r="B11" s="26" t="str">
        <x:v>LEGACY DEFECT/DEBT</x:v>
      </x:c>
      <x:c r="C11" s="26" t="str">
        <x:v>S1</x:v>
      </x:c>
      <x:c r="D11" s="26" t="str">
        <x:v>Technical Debt</x:v>
      </x:c>
      <x:c r="E11" s="26" t="str">
        <x:v>Setup</x:v>
      </x:c>
      <x:c r="F11" s="26" t="str">
        <x:v>`StoreRuntimeSettings` apunta a `Store` y blockout activo</x:v>
      </x:c>
      <x:c r="G11" s="26" t="str">
        <x:v>Open</x:v>
      </x:c>
      <x:c r="H11" s="26" t="str">
        <x:v>migración controlada</x:v>
      </x:c>
      <x:c r="I11" s="26" t="str">
        <x:v>Sprint 16</x:v>
      </x:c>
      <x:c r="J11" s="26" t="str">
        <x:v>SETUP-DEBT-002</x:v>
      </x:c>
      <x:c r="K11" s="26" t="str">
        <x:v>SETUP-DEBT-002</x:v>
      </x:c>
      <x:c r="L11" s="26"/>
      <x:c r="M11" s="26"/>
      <x:c r="N11" s="26"/>
      <x:c r="O11" s="26"/>
      <x:c r="P11" s="26" t="str">
        <x:v>12_Excel_Maestro_de_Produccion.xlsx</x:v>
      </x:c>
      <x:c r="Q11" s="26" t="str">
        <x:v>doble shell o escena equivocada</x:v>
      </x:c>
      <x:c r="R11" s="26" t="str">
        <x:v>13 preconsolidation</x:v>
      </x:c>
    </x:row>
    <x:row r="12" ht="30" customHeight="1">
      <x:c r="A12" s="26" t="str">
        <x:v>SETUP-DEBT-003</x:v>
      </x:c>
      <x:c r="B12" s="26" t="str">
        <x:v>LEGACY DEFECT/DEBT</x:v>
      </x:c>
      <x:c r="C12" s="26" t="str">
        <x:v>S2</x:v>
      </x:c>
      <x:c r="D12" s="26" t="str">
        <x:v>Technical Debt</x:v>
      </x:c>
      <x:c r="E12" s="26" t="str">
        <x:v>Setup</x:v>
      </x:c>
      <x:c r="F12" s="26" t="str">
        <x:v>resolución por defecto `1024×768`</x:v>
      </x:c>
      <x:c r="G12" s="26" t="str">
        <x:v>Open</x:v>
      </x:c>
      <x:c r="H12" s="26" t="str">
        <x:v>decidir antes de H6</x:v>
      </x:c>
      <x:c r="I12" s="26" t="str">
        <x:v>Sprint 17/Post-H6</x:v>
      </x:c>
      <x:c r="J12" s="26" t="str">
        <x:v>SETUP-DEBT-003</x:v>
      </x:c>
      <x:c r="K12" s="26" t="str">
        <x:v>SETUP-DEBT-003</x:v>
      </x:c>
      <x:c r="L12" s="26"/>
      <x:c r="M12" s="26"/>
      <x:c r="N12" s="26"/>
      <x:c r="O12" s="26"/>
      <x:c r="P12" s="26" t="str">
        <x:v>12_Excel_Maestro_de_Produccion.xlsx</x:v>
      </x:c>
      <x:c r="Q12" s="26" t="str">
        <x:v>no representa objetivo de validación</x:v>
      </x:c>
      <x:c r="R12" s="26" t="str">
        <x:v>13 preconsolidation</x:v>
      </x:c>
    </x:row>
    <x:row r="13" ht="30" customHeight="1">
      <x:c r="A13" s="26" t="str">
        <x:v>SETUP-DEBT-004</x:v>
      </x:c>
      <x:c r="B13" s="26" t="str">
        <x:v>LEGACY DEFECT/DEBT</x:v>
      </x:c>
      <x:c r="C13" s="26" t="str">
        <x:v>S2</x:v>
      </x:c>
      <x:c r="D13" s="26" t="str">
        <x:v>Technical Debt</x:v>
      </x:c>
      <x:c r="E13" s="26" t="str">
        <x:v>Setup</x:v>
      </x:c>
      <x:c r="F13" s="26" t="str">
        <x:v>ventana no redimensionable</x:v>
      </x:c>
      <x:c r="G13" s="26" t="str">
        <x:v>Open</x:v>
      </x:c>
      <x:c r="H13" s="26" t="str">
        <x:v>validar UX</x:v>
      </x:c>
      <x:c r="I13" s="26" t="str">
        <x:v>Sprint 17/Post-H6</x:v>
      </x:c>
      <x:c r="J13" s="26" t="str">
        <x:v>SETUP-DEBT-004</x:v>
      </x:c>
      <x:c r="K13" s="26" t="str">
        <x:v>SETUP-DEBT-004</x:v>
      </x:c>
      <x:c r="L13" s="26"/>
      <x:c r="M13" s="26"/>
      <x:c r="N13" s="26"/>
      <x:c r="O13" s="26"/>
      <x:c r="P13" s="26" t="str">
        <x:v>12_Excel_Maestro_de_Produccion.xlsx</x:v>
      </x:c>
      <x:c r="Q13" s="26" t="str">
        <x:v>posible fricción PC</x:v>
      </x:c>
      <x:c r="R13" s="26" t="str">
        <x:v>13 preconsolidation</x:v>
      </x:c>
    </x:row>
    <x:row r="14" ht="30" customHeight="1">
      <x:c r="A14" s="26" t="str">
        <x:v>SETUP-DEBT-005</x:v>
      </x:c>
      <x:c r="B14" s="26" t="str">
        <x:v>LEGACY DEFECT/DEBT</x:v>
      </x:c>
      <x:c r="C14" s="26" t="str">
        <x:v>S1</x:v>
      </x:c>
      <x:c r="D14" s="26" t="str">
        <x:v>Technical Debt</x:v>
      </x:c>
      <x:c r="E14" s="26" t="str">
        <x:v>Setup</x:v>
      </x:c>
      <x:c r="F14" s="26" t="str">
        <x:v>Localization sin tablas visibles</x:v>
      </x:c>
      <x:c r="G14" s="26" t="str">
        <x:v>Open</x:v>
      </x:c>
      <x:c r="H14" s="26" t="str">
        <x:v>completar en Sprint 17/H6</x:v>
      </x:c>
      <x:c r="I14" s="26" t="str">
        <x:v>Sprint 17/Post-H6</x:v>
      </x:c>
      <x:c r="J14" s="26" t="str">
        <x:v>SETUP-DEBT-005</x:v>
      </x:c>
      <x:c r="K14" s="26" t="str">
        <x:v>SETUP-DEBT-005</x:v>
      </x:c>
      <x:c r="L14" s="26"/>
      <x:c r="M14" s="26"/>
      <x:c r="N14" s="26"/>
      <x:c r="O14" s="26"/>
      <x:c r="P14" s="26" t="str">
        <x:v>12_Excel_Maestro_de_Produccion.xlsx</x:v>
      </x:c>
      <x:c r="Q14" s="26" t="str">
        <x:v>ES/EN no queda demostrado</x:v>
      </x:c>
      <x:c r="R14" s="26" t="str">
        <x:v>13 preconsolidation</x:v>
      </x:c>
    </x:row>
    <x:row r="15" ht="30" customHeight="1">
      <x:c r="A15" s="26" t="str">
        <x:v>SETUP-DEBT-006</x:v>
      </x:c>
      <x:c r="B15" s="26" t="str">
        <x:v>LEGACY DEFECT/DEBT</x:v>
      </x:c>
      <x:c r="C15" s="26" t="str">
        <x:v>S2</x:v>
      </x:c>
      <x:c r="D15" s="26" t="str">
        <x:v>Technical Debt</x:v>
      </x:c>
      <x:c r="E15" s="26" t="str">
        <x:v>Setup</x:v>
      </x:c>
      <x:c r="F15" s="26" t="str">
        <x:v>no hay tags/layers propios</x:v>
      </x:c>
      <x:c r="G15" s="26" t="str">
        <x:v>Open</x:v>
      </x:c>
      <x:c r="H15" s="26" t="str">
        <x:v>añadir solo con caso real</x:v>
      </x:c>
      <x:c r="I15" s="26" t="str">
        <x:v>Sprint 17/Post-H6</x:v>
      </x:c>
      <x:c r="J15" s="26" t="str">
        <x:v>SETUP-DEBT-006</x:v>
      </x:c>
      <x:c r="K15" s="26" t="str">
        <x:v>SETUP-DEBT-006</x:v>
      </x:c>
      <x:c r="L15" s="26"/>
      <x:c r="M15" s="26"/>
      <x:c r="N15" s="26"/>
      <x:c r="O15" s="26"/>
      <x:c r="P15" s="26" t="str">
        <x:v>12_Excel_Maestro_de_Produccion.xlsx</x:v>
      </x:c>
      <x:c r="Q15" s="26" t="str">
        <x:v>no es defecto; limita máscaras nominales</x:v>
      </x:c>
      <x:c r="R15" s="26" t="str">
        <x:v>13 preconsolidation</x:v>
      </x:c>
    </x:row>
    <x:row r="16" ht="30" customHeight="1">
      <x:c r="A16" s="26" t="str">
        <x:v>SETUP-DEBT-007</x:v>
      </x:c>
      <x:c r="B16" s="26" t="str">
        <x:v>LEGACY DEFECT/DEBT</x:v>
      </x:c>
      <x:c r="C16" s="26" t="str">
        <x:v>S2</x:v>
      </x:c>
      <x:c r="D16" s="26" t="str">
        <x:v>Technical Debt</x:v>
      </x:c>
      <x:c r="E16" s="26" t="str">
        <x:v>Setup</x:v>
      </x:c>
      <x:c r="F16" s="26" t="str">
        <x:v>no hay `.editorconfig` ni analyzers</x:v>
      </x:c>
      <x:c r="G16" s="26" t="str">
        <x:v>Open</x:v>
      </x:c>
      <x:c r="H16" s="26" t="str">
        <x:v>plan gradual de Coding Standards</x:v>
      </x:c>
      <x:c r="I16" s="26" t="str">
        <x:v>Sprint 17/Post-H6</x:v>
      </x:c>
      <x:c r="J16" s="26" t="str">
        <x:v>SETUP-DEBT-007</x:v>
      </x:c>
      <x:c r="K16" s="26" t="str">
        <x:v>SETUP-DEBT-007</x:v>
      </x:c>
      <x:c r="L16" s="26"/>
      <x:c r="M16" s="26"/>
      <x:c r="N16" s="26"/>
      <x:c r="O16" s="26"/>
      <x:c r="P16" s="26" t="str">
        <x:v>12_Excel_Maestro_de_Produccion.xlsx</x:v>
      </x:c>
      <x:c r="Q16" s="26" t="str">
        <x:v>estilo no automatizado</x:v>
      </x:c>
      <x:c r="R16" s="26" t="str">
        <x:v>13 preconsolidation</x:v>
      </x:c>
    </x:row>
    <x:row r="17" ht="30" customHeight="1">
      <x:c r="A17" s="26" t="str">
        <x:v>SETUP-DEBT-008</x:v>
      </x:c>
      <x:c r="B17" s="26" t="str">
        <x:v>LEGACY DEFECT/DEBT</x:v>
      </x:c>
      <x:c r="C17" s="26" t="str">
        <x:v>S2</x:v>
      </x:c>
      <x:c r="D17" s="26" t="str">
        <x:v>Technical Debt</x:v>
      </x:c>
      <x:c r="E17" s="26" t="str">
        <x:v>Setup</x:v>
      </x:c>
      <x:c r="F17" s="26" t="str">
        <x:v>no hay Git LFS</x:v>
      </x:c>
      <x:c r="G17" s="26" t="str">
        <x:v>Open</x:v>
      </x:c>
      <x:c r="H17" s="26" t="str">
        <x:v>medir y decidir</x:v>
      </x:c>
      <x:c r="I17" s="26" t="str">
        <x:v>Sprint 17/Post-H6</x:v>
      </x:c>
      <x:c r="J17" s="26" t="str">
        <x:v>SETUP-DEBT-008</x:v>
      </x:c>
      <x:c r="K17" s="26" t="str">
        <x:v>SETUP-DEBT-008</x:v>
      </x:c>
      <x:c r="L17" s="26"/>
      <x:c r="M17" s="26"/>
      <x:c r="N17" s="26"/>
      <x:c r="O17" s="26"/>
      <x:c r="P17" s="26" t="str">
        <x:v>12_Excel_Maestro_de_Produccion.xlsx</x:v>
      </x:c>
      <x:c r="Q17" s="26" t="str">
        <x:v>crecimiento de binarios</x:v>
      </x:c>
      <x:c r="R17" s="26" t="str">
        <x:v>13 preconsolidation</x:v>
      </x:c>
    </x:row>
    <x:row r="18" ht="30" customHeight="1">
      <x:c r="A18" s="26" t="str">
        <x:v>SETUP-DEBT-009</x:v>
      </x:c>
      <x:c r="B18" s="26" t="str">
        <x:v>LEGACY DEFECT/DEBT</x:v>
      </x:c>
      <x:c r="C18" s="26" t="str">
        <x:v>S2</x:v>
      </x:c>
      <x:c r="D18" s="26" t="str">
        <x:v>Technical Debt</x:v>
      </x:c>
      <x:c r="E18" s="26" t="str">
        <x:v>Setup</x:v>
      </x:c>
      <x:c r="F18" s="26" t="str">
        <x:v>asset de Input incluye acciones genéricas</x:v>
      </x:c>
      <x:c r="G18" s="26" t="str">
        <x:v>Open</x:v>
      </x:c>
      <x:c r="H18" s="26" t="str">
        <x:v>limpiar sin romper IDs usados</x:v>
      </x:c>
      <x:c r="I18" s="26" t="str">
        <x:v>Sprint 17/Post-H6</x:v>
      </x:c>
      <x:c r="J18" s="26" t="str">
        <x:v>SETUP-DEBT-009</x:v>
      </x:c>
      <x:c r="K18" s="26" t="str">
        <x:v>SETUP-DEBT-009</x:v>
      </x:c>
      <x:c r="L18" s="26"/>
      <x:c r="M18" s="26"/>
      <x:c r="N18" s="26"/>
      <x:c r="O18" s="26"/>
      <x:c r="P18" s="26" t="str">
        <x:v>12_Excel_Maestro_de_Produccion.xlsx</x:v>
      </x:c>
      <x:c r="Q18" s="26" t="str">
        <x:v>contrato confuso</x:v>
      </x:c>
      <x:c r="R18" s="26" t="str">
        <x:v>13 preconsolidation</x:v>
      </x:c>
    </x:row>
    <x:row r="19" ht="30" customHeight="1">
      <x:c r="A19" s="26" t="str">
        <x:v>SETUP-DEBT-010</x:v>
      </x:c>
      <x:c r="B19" s="26" t="str">
        <x:v>LEGACY DEFECT/DEBT</x:v>
      </x:c>
      <x:c r="C19" s="26" t="str">
        <x:v>S2</x:v>
      </x:c>
      <x:c r="D19" s="26" t="str">
        <x:v>Technical Debt</x:v>
      </x:c>
      <x:c r="E19" s="26" t="str">
        <x:v>Setup</x:v>
      </x:c>
      <x:c r="F19" s="26" t="str">
        <x:v>TestLab incluido en Development profile</x:v>
      </x:c>
      <x:c r="G19" s="26" t="str">
        <x:v>Open</x:v>
      </x:c>
      <x:c r="H19" s="26" t="str">
        <x:v>profile de candidato separado</x:v>
      </x:c>
      <x:c r="I19" s="26" t="str">
        <x:v>Sprint 17/Post-H6</x:v>
      </x:c>
      <x:c r="J19" s="26" t="str">
        <x:v>SETUP-DEBT-010</x:v>
      </x:c>
      <x:c r="K19" s="26" t="str">
        <x:v>SETUP-DEBT-010</x:v>
      </x:c>
      <x:c r="L19" s="26"/>
      <x:c r="M19" s="26"/>
      <x:c r="N19" s="26"/>
      <x:c r="O19" s="26"/>
      <x:c r="P19" s="26" t="str">
        <x:v>12_Excel_Maestro_de_Produccion.xlsx</x:v>
      </x:c>
      <x:c r="Q19" s="26" t="str">
        <x:v>no apto para release</x:v>
      </x:c>
      <x:c r="R19" s="26" t="str">
        <x:v>13 preconsolidation</x:v>
      </x:c>
    </x:row>
    <x:row r="20" ht="30" customHeight="1">
      <x:c r="A20" s="26" t="str">
        <x:v>DEBT-DATA-001</x:v>
      </x:c>
      <x:c r="B20" s="26" t="str">
        <x:v>LEGACY DEFECT/DEBT</x:v>
      </x:c>
      <x:c r="C20" s="26" t="str">
        <x:v>S2</x:v>
      </x:c>
      <x:c r="D20" s="26" t="str">
        <x:v>Technical Debt</x:v>
      </x:c>
      <x:c r="E20" s="26" t="str">
        <x:v>Persistence</x:v>
      </x:c>
      <x:c r="F20" s="26" t="str">
        <x:v>Dos modelos de persistencia conviven</x:v>
      </x:c>
      <x:c r="G20" s="26" t="str">
        <x:v>Open</x:v>
      </x:c>
      <x:c r="H20" s="26" t="str">
        <x:v>Converger Integrated snapshot y Phase1StoreState</x:v>
      </x:c>
      <x:c r="I20" s="26" t="str">
        <x:v>Post-H6</x:v>
      </x:c>
      <x:c r="J20" s="26"/>
      <x:c r="K20" s="26"/>
      <x:c r="L20" s="26"/>
      <x:c r="M20" s="26"/>
      <x:c r="N20" s="26"/>
      <x:c r="O20" s="26"/>
      <x:c r="P20" s="26" t="str">
        <x:v>12_Excel_Maestro_de_Produccion.xlsx</x:v>
      </x:c>
      <x:c r="Q20" s="26" t="str">
        <x:v>No bloquear H6 si no causa pérdida</x:v>
      </x:c>
      <x:c r="R20" s="26" t="str">
        <x:v>13 preconsolidation</x:v>
      </x:c>
    </x:row>
    <x:row r="21" ht="30" customHeight="1">
      <x:c r="A21" s="26" t="str">
        <x:v>DEBT-DATA-002</x:v>
      </x:c>
      <x:c r="B21" s="26" t="str">
        <x:v>LEGACY DEFECT/DEBT</x:v>
      </x:c>
      <x:c r="C21" s="26" t="str">
        <x:v>S2</x:v>
      </x:c>
      <x:c r="D21" s="26" t="str">
        <x:v>Technical Debt</x:v>
      </x:c>
      <x:c r="E21" s="26" t="str">
        <x:v>Placement</x:v>
      </x:c>
      <x:c r="F21" s="26" t="str">
        <x:v>Schema 2 no incluye placement completo</x:v>
      </x:c>
      <x:c r="G21" s="26" t="str">
        <x:v>Open</x:v>
      </x:c>
      <x:c r="H21" s="26" t="str">
        <x:v>Definir persistencia de placement dinámico</x:v>
      </x:c>
      <x:c r="I21" s="26" t="str">
        <x:v>Post-H6</x:v>
      </x:c>
      <x:c r="J21" s="26"/>
      <x:c r="K21" s="26"/>
      <x:c r="L21" s="26"/>
      <x:c r="M21" s="26"/>
      <x:c r="N21" s="26"/>
      <x:c r="O21" s="26"/>
      <x:c r="P21" s="26" t="str">
        <x:v>12_Excel_Maestro_de_Produccion.xlsx</x:v>
      </x:c>
      <x:c r="Q21" s="26" t="str">
        <x:v>Fixed architecture no debe serializarse como mueble</x:v>
      </x:c>
      <x:c r="R21" s="26" t="str">
        <x:v>13 preconsolidation</x:v>
      </x:c>
    </x:row>
    <x:row r="22" ht="30" customHeight="1">
      <x:c r="A22" s="26" t="str">
        <x:v>DEBT-CODE-001</x:v>
      </x:c>
      <x:c r="B22" s="26" t="str">
        <x:v>LEGACY DEFECT/DEBT</x:v>
      </x:c>
      <x:c r="C22" s="26" t="str">
        <x:v>S3</x:v>
      </x:c>
      <x:c r="D22" s="26" t="str">
        <x:v>Tooling Debt</x:v>
      </x:c>
      <x:c r="E22" s="26" t="str">
        <x:v>C#</x:v>
      </x:c>
      <x:c r="F22" s="26" t="str">
        <x:v>No existe .editorconfig</x:v>
      </x:c>
      <x:c r="G22" s="26" t="str">
        <x:v>Open</x:v>
      </x:c>
      <x:c r="H22" s="26" t="str">
        <x:v>Introducir reglas gradualmente</x:v>
      </x:c>
      <x:c r="I22" s="26" t="str">
        <x:v>Post-H6</x:v>
      </x:c>
      <x:c r="J22" s="26" t="str">
        <x:v>CS-STD-018</x:v>
      </x:c>
      <x:c r="K22" s="26" t="str">
        <x:v>CS-STD-018</x:v>
      </x:c>
      <x:c r="L22" s="26"/>
      <x:c r="M22" s="26"/>
      <x:c r="N22" s="26"/>
      <x:c r="O22" s="26"/>
      <x:c r="P22" s="26" t="str">
        <x:v>12_Excel_Maestro_de_Produccion.xlsx</x:v>
      </x:c>
      <x:c r="Q22" s="26" t="str">
        <x:v>Evitar reformat masivo</x:v>
      </x:c>
      <x:c r="R22" s="26" t="str">
        <x:v>13 preconsolidation</x:v>
      </x:c>
    </x:row>
    <x:row r="23" ht="30" customHeight="1">
      <x:c r="A23" s="26" t="str">
        <x:v>DEBT-CODE-002</x:v>
      </x:c>
      <x:c r="B23" s="26" t="str">
        <x:v>LEGACY DEFECT/DEBT</x:v>
      </x:c>
      <x:c r="C23" s="26" t="str">
        <x:v>S3</x:v>
      </x:c>
      <x:c r="D23" s="26" t="str">
        <x:v>Tooling Debt</x:v>
      </x:c>
      <x:c r="E23" s="26" t="str">
        <x:v>C#</x:v>
      </x:c>
      <x:c r="F23" s="26" t="str">
        <x:v>No existen analyzers configurados</x:v>
      </x:c>
      <x:c r="G23" s="26" t="str">
        <x:v>Open</x:v>
      </x:c>
      <x:c r="H23" s="26" t="str">
        <x:v>Seleccionar reglas y convertir warnings gradualmente</x:v>
      </x:c>
      <x:c r="I23" s="26" t="str">
        <x:v>Post-H6</x:v>
      </x:c>
      <x:c r="J23" s="26" t="str">
        <x:v>CS-STD-020</x:v>
      </x:c>
      <x:c r="K23" s="26" t="str">
        <x:v>CS-STD-020</x:v>
      </x:c>
      <x:c r="L23" s="26"/>
      <x:c r="M23" s="26"/>
      <x:c r="N23" s="26"/>
      <x:c r="O23" s="26"/>
      <x:c r="P23" s="26" t="str">
        <x:v>12_Excel_Maestro_de_Produccion.xlsx</x:v>
      </x:c>
      <x:c r="Q23" s="26"/>
      <x:c r="R23" s="26" t="str">
        <x:v>13 preconsolidation</x:v>
      </x:c>
    </x:row>
    <x:row r="24" ht="30" customHeight="1">
      <x:c r="A24" s="26" t="str">
        <x:v>DEBT-CODE-003</x:v>
      </x:c>
      <x:c r="B24" s="26" t="str">
        <x:v>LEGACY DEFECT/DEBT</x:v>
      </x:c>
      <x:c r="C24" s="26" t="str">
        <x:v>S3</x:v>
      </x:c>
      <x:c r="D24" s="26" t="str">
        <x:v>Technical Debt</x:v>
      </x:c>
      <x:c r="E24" s="26" t="str">
        <x:v>C#</x:v>
      </x:c>
      <x:c r="F24" s="26" t="str">
        <x:v>Búsquedas globales históricas pueden permanecer</x:v>
      </x:c>
      <x:c r="G24" s="26" t="str">
        <x:v>Open</x:v>
      </x:c>
      <x:c r="H24" s="26" t="str">
        <x:v>Auditar rutas críticas y sustituir por referencias explícitas</x:v>
      </x:c>
      <x:c r="I24" s="26" t="str">
        <x:v>Post-H6</x:v>
      </x:c>
      <x:c r="J24" s="26" t="str">
        <x:v>CS-STD-012</x:v>
      </x:c>
      <x:c r="K24" s="26" t="str">
        <x:v>CS-STD-012</x:v>
      </x:c>
      <x:c r="L24" s="26"/>
      <x:c r="M24" s="26"/>
      <x:c r="N24" s="26"/>
      <x:c r="O24" s="26"/>
      <x:c r="P24" s="26" t="str">
        <x:v>12_Excel_Maestro_de_Produccion.xlsx</x:v>
      </x:c>
      <x:c r="Q24" s="26"/>
      <x:c r="R24" s="26" t="str">
        <x:v>13 preconsolidation</x:v>
      </x:c>
    </x:row>
    <x:row r="25" ht="30" customHeight="1">
      <x:c r="A25" s="26" t="str">
        <x:v>DEBT-BUILD-001</x:v>
      </x:c>
      <x:c r="B25" s="26" t="str">
        <x:v>LEGACY DEFECT/DEBT</x:v>
      </x:c>
      <x:c r="C25" s="26" t="str">
        <x:v>S2</x:v>
      </x:c>
      <x:c r="D25" s="26" t="str">
        <x:v>Tooling Debt</x:v>
      </x:c>
      <x:c r="E25" s="26" t="str">
        <x:v>Build</x:v>
      </x:c>
      <x:c r="F25" s="26" t="str">
        <x:v>No existe BuildCommand automatizado completo</x:v>
      </x:c>
      <x:c r="G25" s="26" t="str">
        <x:v>Open</x:v>
      </x:c>
      <x:c r="H25" s="26" t="str">
        <x:v>Implementar tras H6 con códigos de salida</x:v>
      </x:c>
      <x:c r="I25" s="26" t="str">
        <x:v>Post-H6</x:v>
      </x:c>
      <x:c r="J25" s="26" t="str">
        <x:v>BUILD-STD-029</x:v>
      </x:c>
      <x:c r="K25" s="26" t="str">
        <x:v>BUILD-STD-029</x:v>
      </x:c>
      <x:c r="L25" s="26"/>
      <x:c r="M25" s="26"/>
      <x:c r="N25" s="26"/>
      <x:c r="O25" s="26"/>
      <x:c r="P25" s="26" t="str">
        <x:v>12_Excel_Maestro_de_Produccion.xlsx</x:v>
      </x:c>
      <x:c r="Q25" s="26"/>
      <x:c r="R25" s="26" t="str">
        <x:v>13 preconsolidation</x:v>
      </x:c>
    </x:row>
    <x:row r="26" ht="30" customHeight="1">
      <x:c r="A26" s="26" t="str">
        <x:v>DEBT-BUILD-002</x:v>
      </x:c>
      <x:c r="B26" s="26" t="str">
        <x:v>LEGACY DEFECT/DEBT</x:v>
      </x:c>
      <x:c r="C26" s="26" t="str">
        <x:v>S2</x:v>
      </x:c>
      <x:c r="D26" s="26" t="str">
        <x:v>Process Debt</x:v>
      </x:c>
      <x:c r="E26" s="26" t="str">
        <x:v>Build</x:v>
      </x:c>
      <x:c r="F26" s="26" t="str">
        <x:v>CI futura no configurada</x:v>
      </x:c>
      <x:c r="G26" s="26" t="str">
        <x:v>Open</x:v>
      </x:c>
      <x:c r="H26" s="26" t="str">
        <x:v>Diseñar pipeline cuando el build local sea estable</x:v>
      </x:c>
      <x:c r="I26" s="26" t="str">
        <x:v>Post-H6</x:v>
      </x:c>
      <x:c r="J26" s="26" t="str">
        <x:v>BUILD-STD-029</x:v>
      </x:c>
      <x:c r="K26" s="26" t="str">
        <x:v>BUILD-STD-029</x:v>
      </x:c>
      <x:c r="L26" s="26"/>
      <x:c r="M26" s="26"/>
      <x:c r="N26" s="26"/>
      <x:c r="O26" s="26"/>
      <x:c r="P26" s="26" t="str">
        <x:v>12_Excel_Maestro_de_Produccion.xlsx</x:v>
      </x:c>
      <x:c r="Q26" s="26"/>
      <x:c r="R26" s="26" t="str">
        <x:v>13 preconsolidation</x:v>
      </x:c>
    </x:row>
    <x:row r="27" ht="30" customHeight="1">
      <x:c r="A27" s="26" t="str">
        <x:v>DEBT-LOC-001</x:v>
      </x:c>
      <x:c r="B27" s="26" t="str">
        <x:v>LEGACY DEFECT/DEBT</x:v>
      </x:c>
      <x:c r="C27" s="26" t="str">
        <x:v>S2</x:v>
      </x:c>
      <x:c r="D27" s="26" t="str">
        <x:v>Content Debt</x:v>
      </x:c>
      <x:c r="E27" s="26" t="str">
        <x:v>Localization</x:v>
      </x:c>
      <x:c r="F27" s="26" t="str">
        <x:v>No existen tablas ES/EN visibles</x:v>
      </x:c>
      <x:c r="G27" s="26" t="str">
        <x:v>Open</x:v>
      </x:c>
      <x:c r="H27" s="26" t="str">
        <x:v>Crear tablas y pruebas de truncamiento</x:v>
      </x:c>
      <x:c r="I27" s="26" t="str">
        <x:v>Sprint 17</x:v>
      </x:c>
      <x:c r="J27" s="26" t="str">
        <x:v>SETUP-DEBT-005</x:v>
      </x:c>
      <x:c r="K27" s="26" t="str">
        <x:v>SETUP-DEBT-005</x:v>
      </x:c>
      <x:c r="L27" s="26"/>
      <x:c r="M27" s="26"/>
      <x:c r="N27" s="26"/>
      <x:c r="O27" s="26"/>
      <x:c r="P27" s="26" t="str">
        <x:v>12_Excel_Maestro_de_Produccion.xlsx</x:v>
      </x:c>
      <x:c r="Q27" s="26"/>
      <x:c r="R27" s="26" t="str">
        <x:v>13 preconsolidation</x:v>
      </x:c>
    </x:row>
    <x:row r="28" ht="30" customHeight="1">
      <x:c r="A28" s="26" t="str">
        <x:v>DEBT-RES-001</x:v>
      </x:c>
      <x:c r="B28" s="26" t="str">
        <x:v>LEGACY DEFECT/DEBT</x:v>
      </x:c>
      <x:c r="C28" s="26" t="str">
        <x:v>S3</x:v>
      </x:c>
      <x:c r="D28" s="26" t="str">
        <x:v>UX Debt</x:v>
      </x:c>
      <x:c r="E28" s="26" t="str">
        <x:v>PC UX</x:v>
      </x:c>
      <x:c r="F28" s="26" t="str">
        <x:v>Resolución objetivo no congelada</x:v>
      </x:c>
      <x:c r="G28" s="26" t="str">
        <x:v>Open</x:v>
      </x:c>
      <x:c r="H28" s="26" t="str">
        <x:v>Decidir 1080p target y comportamiento de ventana</x:v>
      </x:c>
      <x:c r="I28" s="26" t="str">
        <x:v>Sprint 17</x:v>
      </x:c>
      <x:c r="J28" s="26" t="str">
        <x:v>SETUP-DEBT-003</x:v>
      </x:c>
      <x:c r="K28" s="26" t="str">
        <x:v>SETUP-DEBT-003</x:v>
      </x:c>
      <x:c r="L28" s="26"/>
      <x:c r="M28" s="26"/>
      <x:c r="N28" s="26"/>
      <x:c r="O28" s="26"/>
      <x:c r="P28" s="26" t="str">
        <x:v>12_Excel_Maestro_de_Produccion.xlsx</x:v>
      </x:c>
      <x:c r="Q28" s="26"/>
      <x:c r="R28" s="26" t="str">
        <x:v>13 preconsolidation</x:v>
      </x:c>
    </x:row>
    <x:row r="29" ht="30" customHeight="1">
      <x:c r="A29" s="26" t="str">
        <x:v>DEBT-ADR-001</x:v>
      </x:c>
      <x:c r="B29" s="26" t="str">
        <x:v>LEGACY DEFECT/DEBT</x:v>
      </x:c>
      <x:c r="C29" s="26" t="str">
        <x:v>S3</x:v>
      </x:c>
      <x:c r="D29" s="26" t="str">
        <x:v>Governance Debt</x:v>
      </x:c>
      <x:c r="E29" s="26" t="str">
        <x:v>ADR</x:v>
      </x:c>
      <x:c r="F29" s="26" t="str">
        <x:v>Colisión histórica ADR-0035</x:v>
      </x:c>
      <x:c r="G29" s="26" t="str">
        <x:v>Open</x:v>
      </x:c>
      <x:c r="H29" s="26" t="str">
        <x:v>Mantener alias ADR-0035-S16 y registro único futuro</x:v>
      </x:c>
      <x:c r="I29" s="26" t="str">
        <x:v>Current</x:v>
      </x:c>
      <x:c r="J29" s="26"/>
      <x:c r="K29" s="26"/>
      <x:c r="L29" s="26"/>
      <x:c r="M29" s="26"/>
      <x:c r="N29" s="26"/>
      <x:c r="O29" s="26"/>
      <x:c r="P29" s="26" t="str">
        <x:v>12_Excel_Maestro_de_Produccion.xlsx</x:v>
      </x:c>
      <x:c r="Q29" s="26"/>
      <x:c r="R29" s="26" t="str">
        <x:v>13 preconsolidation</x:v>
      </x:c>
    </x:row>
    <x:row r="30" ht="30" customHeight="1">
      <x:c r="A30" s="26" t="str">
        <x:v>AUD-GLOB-001</x:v>
      </x:c>
      <x:c r="B30" s="26" t="str">
        <x:v>AUDIT FINDING</x:v>
      </x:c>
      <x:c r="C30" s="26" t="str">
        <x:v>S1 / Audit A1</x:v>
      </x:c>
      <x:c r="D30" s="26" t="str">
        <x:v>P1</x:v>
      </x:c>
      <x:c r="E30" s="26" t="str">
        <x:v>Trazabilidad</x:v>
      </x:c>
      <x:c r="F30" s="26" t="str">
        <x:v>La cobertura 293/293 se presenta como completa sin trazabilidad de implementación suficiente</x:v>
      </x:c>
      <x:c r="G30" s="26" t="str">
        <x:v>13, 14, 15</x:v>
      </x:c>
      <x:c r="H30" s="26" t="str">
        <x:v>Baseline v1.0 / H6</x:v>
      </x:c>
      <x:c r="I30" s="26" t="str">
        <x:v>Yes</x:v>
      </x:c>
      <x:c r="J30" s="26" t="str">
        <x:v>OPEN</x:v>
      </x:c>
      <x:c r="K30" s="26"/>
      <x:c r="L30" s="26"/>
      <x:c r="M30" s="26"/>
      <x:c r="N30" s="26"/>
      <x:c r="O30" s="26"/>
      <x:c r="P30" s="26"/>
      <x:c r="Q30" s="26"/>
      <x:c r="R30" s="26" t="str">
        <x:v>16_Auditoria_Global_de_Coherencia.md §9</x:v>
      </x:c>
    </x:row>
    <x:row r="31" ht="30" customHeight="1">
      <x:c r="A31" s="26" t="str">
        <x:v>AUD-GLOB-002</x:v>
      </x:c>
      <x:c r="B31" s="26" t="str">
        <x:v>AUDIT FINDING</x:v>
      </x:c>
      <x:c r="C31" s="26" t="str">
        <x:v>S1 / Audit A1</x:v>
      </x:c>
      <x:c r="D31" s="26" t="str">
        <x:v>P1</x:v>
      </x:c>
      <x:c r="E31" s="26" t="str">
        <x:v>Auditoría automática</x:v>
      </x:c>
      <x:c r="F31" s="26" t="str">
        <x:v>Los controles de SHA y checksum de builds pendientes dan un PASS falso</x:v>
      </x:c>
      <x:c r="G31" s="26" t="str">
        <x:v>13</x:v>
      </x:c>
      <x:c r="H31" s="26" t="str">
        <x:v>Baseline v1.0 / Sprint 16 / H6</x:v>
      </x:c>
      <x:c r="I31" s="26" t="str">
        <x:v>Yes</x:v>
      </x:c>
      <x:c r="J31" s="26" t="str">
        <x:v>OPEN</x:v>
      </x:c>
      <x:c r="K31" s="26"/>
      <x:c r="L31" s="26"/>
      <x:c r="M31" s="26"/>
      <x:c r="N31" s="26"/>
      <x:c r="O31" s="26"/>
      <x:c r="P31" s="26"/>
      <x:c r="Q31" s="26"/>
      <x:c r="R31" s="26" t="str">
        <x:v>16_Auditoria_Global_de_Coherencia.md §9</x:v>
      </x:c>
    </x:row>
    <x:row r="32" ht="30" customHeight="1">
      <x:c r="A32" s="26" t="str">
        <x:v>AUD-GLOB-003</x:v>
      </x:c>
      <x:c r="B32" s="26" t="str">
        <x:v>AUDIT FINDING</x:v>
      </x:c>
      <x:c r="C32" s="26" t="str">
        <x:v>S1 / Audit A1</x:v>
      </x:c>
      <x:c r="D32" s="26" t="str">
        <x:v>P1</x:v>
      </x:c>
      <x:c r="E32" s="26" t="str">
        <x:v>Control de cambios</x:v>
      </x:c>
      <x:c r="F32" s="26" t="str">
        <x:v>La importación histórica perdió descripción, bloque y alcance de los cambios de Sprint 0</x:v>
      </x:c>
      <x:c r="G32" s="26" t="str">
        <x:v>13</x:v>
      </x:c>
      <x:c r="H32" s="26" t="str">
        <x:v>Baseline v1.0</x:v>
      </x:c>
      <x:c r="I32" s="26" t="str">
        <x:v>Review</x:v>
      </x:c>
      <x:c r="J32" s="26" t="str">
        <x:v>OPEN</x:v>
      </x:c>
      <x:c r="K32" s="26"/>
      <x:c r="L32" s="26"/>
      <x:c r="M32" s="26"/>
      <x:c r="N32" s="26"/>
      <x:c r="O32" s="26"/>
      <x:c r="P32" s="26"/>
      <x:c r="Q32" s="26"/>
      <x:c r="R32" s="26" t="str">
        <x:v>16_Auditoria_Global_de_Coherencia.md §9</x:v>
      </x:c>
    </x:row>
    <x:row r="33" ht="30" customHeight="1">
      <x:c r="A33" s="26" t="str">
        <x:v>AUD-GLOB-004</x:v>
      </x:c>
      <x:c r="B33" s="26" t="str">
        <x:v>AUDIT FINDING</x:v>
      </x:c>
      <x:c r="C33" s="26" t="str">
        <x:v>S1 / Audit A1</x:v>
      </x:c>
      <x:c r="D33" s="26" t="str">
        <x:v>P1</x:v>
      </x:c>
      <x:c r="E33" s="26" t="str">
        <x:v>Builds</x:v>
      </x:c>
      <x:c r="F33" s="26" t="str">
        <x:v>El Excel de producción sintetiza una build PASS para cada Sprint 0–15 sin evidencia equivalente</x:v>
      </x:c>
      <x:c r="G33" s="26" t="str">
        <x:v>08, 11, 12, 13</x:v>
      </x:c>
      <x:c r="H33" s="26" t="str">
        <x:v>Baseline v1.0</x:v>
      </x:c>
      <x:c r="I33" s="26" t="str">
        <x:v>Review</x:v>
      </x:c>
      <x:c r="J33" s="26" t="str">
        <x:v>OPEN</x:v>
      </x:c>
      <x:c r="K33" s="26"/>
      <x:c r="L33" s="26"/>
      <x:c r="M33" s="26"/>
      <x:c r="N33" s="26"/>
      <x:c r="O33" s="26"/>
      <x:c r="P33" s="26"/>
      <x:c r="Q33" s="26"/>
      <x:c r="R33" s="26" t="str">
        <x:v>16_Auditoria_Global_de_Coherencia.md §9</x:v>
      </x:c>
    </x:row>
    <x:row r="34" ht="30" customHeight="1">
      <x:c r="A34" s="26" t="str">
        <x:v>AUD-GLOB-005</x:v>
      </x:c>
      <x:c r="B34" s="26" t="str">
        <x:v>AUDIT FINDING</x:v>
      </x:c>
      <x:c r="C34" s="26" t="str">
        <x:v>S1 / Audit A1</x:v>
      </x:c>
      <x:c r="D34" s="26" t="str">
        <x:v>P1</x:v>
      </x:c>
      <x:c r="E34" s="26" t="str">
        <x:v>QA / Gates</x:v>
      </x:c>
      <x:c r="F34" s="26" t="str">
        <x:v>El universo de S0/S1 no está normalizado entre QA y producción</x:v>
      </x:c>
      <x:c r="G34" s="26" t="str">
        <x:v>07, 08, 12, 13, 14, 15</x:v>
      </x:c>
      <x:c r="H34" s="26" t="str">
        <x:v>Sprint 16 / Sprint 17 / H6</x:v>
      </x:c>
      <x:c r="I34" s="26" t="str">
        <x:v>Yes</x:v>
      </x:c>
      <x:c r="J34" s="26" t="str">
        <x:v>OPEN</x:v>
      </x:c>
      <x:c r="K34" s="26"/>
      <x:c r="L34" s="26"/>
      <x:c r="M34" s="26"/>
      <x:c r="N34" s="26"/>
      <x:c r="O34" s="26"/>
      <x:c r="P34" s="26"/>
      <x:c r="Q34" s="26"/>
      <x:c r="R34" s="26" t="str">
        <x:v>16_Auditoria_Global_de_Coherencia.md §9</x:v>
      </x:c>
    </x:row>
    <x:row r="35" ht="30" customHeight="1">
      <x:c r="A35" s="26" t="str">
        <x:v>AUD-GLOB-006</x:v>
      </x:c>
      <x:c r="B35" s="26" t="str">
        <x:v>AUDIT FINDING</x:v>
      </x:c>
      <x:c r="C35" s="26" t="str">
        <x:v>S1 / Audit A1</x:v>
      </x:c>
      <x:c r="D35" s="26" t="str">
        <x:v>P1</x:v>
      </x:c>
      <x:c r="E35" s="26" t="str">
        <x:v>Baseline documental</x:v>
      </x:c>
      <x:c r="F35" s="26" t="str">
        <x:v>Los registros documentales de 12 y 13 quedaron obsoletos tras crear 13, 14 y 15</x:v>
      </x:c>
      <x:c r="G35" s="26" t="str">
        <x:v>12, 13, 14, 15</x:v>
      </x:c>
      <x:c r="H35" s="26" t="str">
        <x:v>Baseline v1.0</x:v>
      </x:c>
      <x:c r="I35" s="26" t="str">
        <x:v>Review</x:v>
      </x:c>
      <x:c r="J35" s="26" t="str">
        <x:v>OPEN</x:v>
      </x:c>
      <x:c r="K35" s="26"/>
      <x:c r="L35" s="26"/>
      <x:c r="M35" s="26"/>
      <x:c r="N35" s="26"/>
      <x:c r="O35" s="26"/>
      <x:c r="P35" s="26"/>
      <x:c r="Q35" s="26"/>
      <x:c r="R35" s="26" t="str">
        <x:v>16_Auditoria_Global_de_Coherencia.md §9</x:v>
      </x:c>
    </x:row>
    <x:row r="36" ht="30" customHeight="1">
      <x:c r="A36" s="26" t="str">
        <x:v>AUD-GLOB-007</x:v>
      </x:c>
      <x:c r="B36" s="26" t="str">
        <x:v>AUDIT FINDING</x:v>
      </x:c>
      <x:c r="C36" s="26" t="str">
        <x:v>S1 / Audit A1</x:v>
      </x:c>
      <x:c r="D36" s="26" t="str">
        <x:v>P1</x:v>
      </x:c>
      <x:c r="E36" s="26" t="str">
        <x:v>Escena / Integración</x:v>
      </x:c>
      <x:c r="F36" s="26" t="str">
        <x:v>StoreInitial sigue siendo objetivo documental, no escena representativa conectada</x:v>
      </x:c>
      <x:c r="G36" s="26" t="str">
        <x:v>02, 03, 05, 06, 07, 08, 10, 11, 12, 13, 14, 15</x:v>
      </x:c>
      <x:c r="H36" s="26" t="str">
        <x:v>Sprint 16 / H6</x:v>
      </x:c>
      <x:c r="I36" s="26" t="str">
        <x:v>Yes</x:v>
      </x:c>
      <x:c r="J36" s="26" t="str">
        <x:v>OPEN</x:v>
      </x:c>
      <x:c r="K36" s="26"/>
      <x:c r="L36" s="26"/>
      <x:c r="M36" s="26"/>
      <x:c r="N36" s="26"/>
      <x:c r="O36" s="26"/>
      <x:c r="P36" s="26"/>
      <x:c r="Q36" s="26"/>
      <x:c r="R36" s="26" t="str">
        <x:v>16_Auditoria_Global_de_Coherencia.md §9</x:v>
      </x:c>
    </x:row>
    <x:row r="37" ht="30" customHeight="1">
      <x:c r="A37" s="26" t="str">
        <x:v>AUD-GLOB-008</x:v>
      </x:c>
      <x:c r="B37" s="26" t="str">
        <x:v>AUDIT FINDING</x:v>
      </x:c>
      <x:c r="C37" s="26" t="str">
        <x:v>S2 / Audit A2</x:v>
      </x:c>
      <x:c r="D37" s="26" t="str">
        <x:v>P2</x:v>
      </x:c>
      <x:c r="E37" s="26" t="str">
        <x:v>Metadatos</x:v>
      </x:c>
      <x:c r="F37" s="26" t="str">
        <x:v>Las referencias de baseline documental siguen apuntando a v0.6 en documentos consolidados 1.0</x:v>
      </x:c>
      <x:c r="G37" s="26" t="str">
        <x:v>06, 07, 11</x:v>
      </x:c>
      <x:c r="H37" s="26" t="str">
        <x:v>Baseline v1.0</x:v>
      </x:c>
      <x:c r="I37" s="26" t="str">
        <x:v>Review</x:v>
      </x:c>
      <x:c r="J37" s="26" t="str">
        <x:v>OPEN</x:v>
      </x:c>
      <x:c r="K37" s="26"/>
      <x:c r="L37" s="26"/>
      <x:c r="M37" s="26"/>
      <x:c r="N37" s="26"/>
      <x:c r="O37" s="26"/>
      <x:c r="P37" s="26"/>
      <x:c r="Q37" s="26"/>
      <x:c r="R37" s="26" t="str">
        <x:v>16_Auditoria_Global_de_Coherencia.md §9</x:v>
      </x:c>
    </x:row>
    <x:row r="38" ht="30" customHeight="1">
      <x:c r="A38" s="26" t="str">
        <x:v>AUD-GLOB-009</x:v>
      </x:c>
      <x:c r="B38" s="26" t="str">
        <x:v>AUDIT FINDING</x:v>
      </x:c>
      <x:c r="C38" s="26" t="str">
        <x:v>S2 / Audit A2</x:v>
      </x:c>
      <x:c r="D38" s="26" t="str">
        <x:v>P2</x:v>
      </x:c>
      <x:c r="E38" s="26" t="str">
        <x:v>Navegación</x:v>
      </x:c>
      <x:c r="F38" s="26" t="str">
        <x:v>El Binder aún presenta la Guía Maestra como documento futuro</x:v>
      </x:c>
      <x:c r="G38" s="26" t="str">
        <x:v>14, 15</x:v>
      </x:c>
      <x:c r="H38" s="26" t="str">
        <x:v>Baseline v1.0</x:v>
      </x:c>
      <x:c r="I38" s="26" t="str">
        <x:v>Review</x:v>
      </x:c>
      <x:c r="J38" s="26" t="str">
        <x:v>OPEN</x:v>
      </x:c>
      <x:c r="K38" s="26"/>
      <x:c r="L38" s="26"/>
      <x:c r="M38" s="26"/>
      <x:c r="N38" s="26"/>
      <x:c r="O38" s="26"/>
      <x:c r="P38" s="26"/>
      <x:c r="Q38" s="26"/>
      <x:c r="R38" s="26" t="str">
        <x:v>16_Auditoria_Global_de_Coherencia.md §9</x:v>
      </x:c>
    </x:row>
    <x:row r="39" ht="30" customHeight="1">
      <x:c r="A39" s="26" t="str">
        <x:v>AUD-GLOB-010</x:v>
      </x:c>
      <x:c r="B39" s="26" t="str">
        <x:v>AUDIT FINDING</x:v>
      </x:c>
      <x:c r="C39" s="26" t="str">
        <x:v>S2 / Audit A2</x:v>
      </x:c>
      <x:c r="D39" s="26" t="str">
        <x:v>P2</x:v>
      </x:c>
      <x:c r="E39" s="26" t="str">
        <x:v>Navegación</x:v>
      </x:c>
      <x:c r="F39" s="26" t="str">
        <x:v>El dashboard de trazabilidad indica como siguiente documento el Project Binder</x:v>
      </x:c>
      <x:c r="G39" s="26" t="str">
        <x:v>13, 14, 15</x:v>
      </x:c>
      <x:c r="H39" s="26" t="str">
        <x:v>Baseline v1.0</x:v>
      </x:c>
      <x:c r="I39" s="26" t="str">
        <x:v>Review</x:v>
      </x:c>
      <x:c r="J39" s="26" t="str">
        <x:v>OPEN</x:v>
      </x:c>
      <x:c r="K39" s="26"/>
      <x:c r="L39" s="26"/>
      <x:c r="M39" s="26"/>
      <x:c r="N39" s="26"/>
      <x:c r="O39" s="26"/>
      <x:c r="P39" s="26"/>
      <x:c r="Q39" s="26"/>
      <x:c r="R39" s="26" t="str">
        <x:v>16_Auditoria_Global_de_Coherencia.md §9</x:v>
      </x:c>
    </x:row>
    <x:row r="40" ht="30" customHeight="1">
      <x:c r="A40" s="26" t="str">
        <x:v>AUD-GLOB-011</x:v>
      </x:c>
      <x:c r="B40" s="26" t="str">
        <x:v>AUDIT FINDING</x:v>
      </x:c>
      <x:c r="C40" s="26" t="str">
        <x:v>S2 / Audit A2</x:v>
      </x:c>
      <x:c r="D40" s="26" t="str">
        <x:v>P2</x:v>
      </x:c>
      <x:c r="E40" s="26" t="str">
        <x:v>Formato Markdown</x:v>
      </x:c>
      <x:c r="F40" s="26" t="str">
        <x:v>El front matter de 10 no comienza en el primer byte del archivo</x:v>
      </x:c>
      <x:c r="G40" s="26" t="str">
        <x:v>10</x:v>
      </x:c>
      <x:c r="H40" s="26" t="str">
        <x:v>Baseline v1.0</x:v>
      </x:c>
      <x:c r="I40" s="26" t="str">
        <x:v>Review</x:v>
      </x:c>
      <x:c r="J40" s="26" t="str">
        <x:v>OPEN</x:v>
      </x:c>
      <x:c r="K40" s="26"/>
      <x:c r="L40" s="26"/>
      <x:c r="M40" s="26"/>
      <x:c r="N40" s="26"/>
      <x:c r="O40" s="26"/>
      <x:c r="P40" s="26"/>
      <x:c r="Q40" s="26"/>
      <x:c r="R40" s="26" t="str">
        <x:v>16_Auditoria_Global_de_Coherencia.md §9</x:v>
      </x:c>
    </x:row>
    <x:row r="41" ht="30" customHeight="1">
      <x:c r="A41" s="26" t="str">
        <x:v>AUD-GLOB-012</x:v>
      </x:c>
      <x:c r="B41" s="26" t="str">
        <x:v>AUDIT FINDING</x:v>
      </x:c>
      <x:c r="C41" s="26" t="str">
        <x:v>S2 / Audit A2</x:v>
      </x:c>
      <x:c r="D41" s="26" t="str">
        <x:v>P2</x:v>
      </x:c>
      <x:c r="E41" s="26" t="str">
        <x:v>Metadatos</x:v>
      </x:c>
      <x:c r="F41" s="26" t="str">
        <x:v>La convención de metadatos no es uniforme</x:v>
      </x:c>
      <x:c r="G41" s="26" t="str">
        <x:v>00–15</x:v>
      </x:c>
      <x:c r="H41" s="26" t="str">
        <x:v>Baseline v1.0</x:v>
      </x:c>
      <x:c r="I41" s="26" t="str">
        <x:v>Review</x:v>
      </x:c>
      <x:c r="J41" s="26" t="str">
        <x:v>OPEN</x:v>
      </x:c>
      <x:c r="K41" s="26"/>
      <x:c r="L41" s="26"/>
      <x:c r="M41" s="26"/>
      <x:c r="N41" s="26"/>
      <x:c r="O41" s="26"/>
      <x:c r="P41" s="26"/>
      <x:c r="Q41" s="26"/>
      <x:c r="R41" s="26" t="str">
        <x:v>16_Auditoria_Global_de_Coherencia.md §9</x:v>
      </x:c>
    </x:row>
    <x:row r="42" ht="30" customHeight="1">
      <x:c r="A42" s="26" t="str">
        <x:v>AUD-GLOB-013</x:v>
      </x:c>
      <x:c r="B42" s="26" t="str">
        <x:v>AUDIT FINDING</x:v>
      </x:c>
      <x:c r="C42" s="26" t="str">
        <x:v>S2 / Audit A2</x:v>
      </x:c>
      <x:c r="D42" s="26" t="str">
        <x:v>P2</x:v>
      </x:c>
      <x:c r="E42" s="26" t="str">
        <x:v>QA</x:v>
      </x:c>
      <x:c r="F42" s="26" t="str">
        <x:v>Las cifras de pruebas usan unidades distintas sin etiqueta suficientemente visible</x:v>
      </x:c>
      <x:c r="G42" s="26" t="str">
        <x:v>07, 08, 12, 13, 14, 15</x:v>
      </x:c>
      <x:c r="H42" s="26" t="str">
        <x:v>Baseline v1.0 / H6</x:v>
      </x:c>
      <x:c r="I42" s="26" t="str">
        <x:v>Review</x:v>
      </x:c>
      <x:c r="J42" s="26" t="str">
        <x:v>OPEN</x:v>
      </x:c>
      <x:c r="K42" s="26"/>
      <x:c r="L42" s="26"/>
      <x:c r="M42" s="26"/>
      <x:c r="N42" s="26"/>
      <x:c r="O42" s="26"/>
      <x:c r="P42" s="26"/>
      <x:c r="Q42" s="26"/>
      <x:c r="R42" s="26" t="str">
        <x:v>16_Auditoria_Global_de_Coherencia.md §9</x:v>
      </x:c>
    </x:row>
    <x:row r="43" ht="30" customHeight="1">
      <x:c r="A43" s="26" t="str">
        <x:v>AUD-GLOB-014</x:v>
      </x:c>
      <x:c r="B43" s="26" t="str">
        <x:v>AUDIT FINDING</x:v>
      </x:c>
      <x:c r="C43" s="26" t="str">
        <x:v>S2 / Audit A2</x:v>
      </x:c>
      <x:c r="D43" s="26" t="str">
        <x:v>P2</x:v>
      </x:c>
      <x:c r="E43" s="26" t="str">
        <x:v>Requisitos</x:v>
      </x:c>
      <x:c r="F43" s="26" t="str">
        <x:v>173 requisitos QA y 293 requisitos de trazabilidad no comparten una taxonomía explícita</x:v>
      </x:c>
      <x:c r="G43" s="26" t="str">
        <x:v>08, 13, 14</x:v>
      </x:c>
      <x:c r="H43" s="26" t="str">
        <x:v>Baseline v1.0</x:v>
      </x:c>
      <x:c r="I43" s="26" t="str">
        <x:v>Review</x:v>
      </x:c>
      <x:c r="J43" s="26" t="str">
        <x:v>OPEN</x:v>
      </x:c>
      <x:c r="K43" s="26"/>
      <x:c r="L43" s="26"/>
      <x:c r="M43" s="26"/>
      <x:c r="N43" s="26"/>
      <x:c r="O43" s="26"/>
      <x:c r="P43" s="26"/>
      <x:c r="Q43" s="26"/>
      <x:c r="R43" s="26" t="str">
        <x:v>16_Auditoria_Global_de_Coherencia.md §9</x:v>
      </x:c>
    </x:row>
    <x:row r="44" ht="30" customHeight="1">
      <x:c r="A44" s="26" t="str">
        <x:v>AUD-GLOB-015</x:v>
      </x:c>
      <x:c r="B44" s="26" t="str">
        <x:v>AUDIT FINDING</x:v>
      </x:c>
      <x:c r="C44" s="26" t="str">
        <x:v>S2 / Audit A2</x:v>
      </x:c>
      <x:c r="D44" s="26" t="str">
        <x:v>P2</x:v>
      </x:c>
      <x:c r="E44" s="26" t="str">
        <x:v>Producción</x:v>
      </x:c>
      <x:c r="F44" s="26" t="str">
        <x:v>El progreso de Sprint 16 es porcentaje de filas, no progreso temporal ni esfuerzo completado</x:v>
      </x:c>
      <x:c r="G44" s="26" t="str">
        <x:v>12, 15</x:v>
      </x:c>
      <x:c r="H44" s="26" t="str">
        <x:v>Gestión Sprint 16</x:v>
      </x:c>
      <x:c r="I44" s="26" t="str">
        <x:v>Review</x:v>
      </x:c>
      <x:c r="J44" s="26" t="str">
        <x:v>OPEN</x:v>
      </x:c>
      <x:c r="K44" s="26"/>
      <x:c r="L44" s="26"/>
      <x:c r="M44" s="26"/>
      <x:c r="N44" s="26"/>
      <x:c r="O44" s="26"/>
      <x:c r="P44" s="26"/>
      <x:c r="Q44" s="26"/>
      <x:c r="R44" s="26" t="str">
        <x:v>16_Auditoria_Global_de_Coherencia.md §9</x:v>
      </x:c>
    </x:row>
    <x:row r="45" ht="30" customHeight="1">
      <x:c r="A45" s="26" t="str">
        <x:v>AUD-GLOB-016</x:v>
      </x:c>
      <x:c r="B45" s="26" t="str">
        <x:v>AUDIT FINDING</x:v>
      </x:c>
      <x:c r="C45" s="26" t="str">
        <x:v>S2 / Audit A2</x:v>
      </x:c>
      <x:c r="D45" s="26" t="str">
        <x:v>P2</x:v>
      </x:c>
      <x:c r="E45" s="26" t="str">
        <x:v>Build/Setup</x:v>
      </x:c>
      <x:c r="F45" s="26" t="str">
        <x:v>No existe todavía un perfil de candidata distribuible con StoreInitial y sin TestLab</x:v>
      </x:c>
      <x:c r="G45" s="26" t="str">
        <x:v>10, 11, 12, 13</x:v>
      </x:c>
      <x:c r="H45" s="26" t="str">
        <x:v>Sprint 16 / H6</x:v>
      </x:c>
      <x:c r="I45" s="26" t="str">
        <x:v>Review</x:v>
      </x:c>
      <x:c r="J45" s="26" t="str">
        <x:v>OPEN</x:v>
      </x:c>
      <x:c r="K45" s="26"/>
      <x:c r="L45" s="26"/>
      <x:c r="M45" s="26"/>
      <x:c r="N45" s="26"/>
      <x:c r="O45" s="26"/>
      <x:c r="P45" s="26"/>
      <x:c r="Q45" s="26"/>
      <x:c r="R45" s="26" t="str">
        <x:v>16_Auditoria_Global_de_Coherencia.md §9</x:v>
      </x:c>
    </x:row>
    <x:row r="46" ht="30" customHeight="1">
      <x:c r="A46" s="26" t="str">
        <x:v>AUD-GLOB-017</x:v>
      </x:c>
      <x:c r="B46" s="26" t="str">
        <x:v>AUDIT FINDING</x:v>
      </x:c>
      <x:c r="C46" s="26" t="str">
        <x:v>S2 / Audit A2</x:v>
      </x:c>
      <x:c r="D46" s="26" t="str">
        <x:v>P2</x:v>
      </x:c>
      <x:c r="E46" s="26" t="str">
        <x:v>PC UX</x:v>
      </x:c>
      <x:c r="F46" s="26" t="str">
        <x:v>Resolución y comportamiento de ventana continúan sin decisión de producto cerrada</x:v>
      </x:c>
      <x:c r="G46" s="26" t="str">
        <x:v>05, 10, 12, 13</x:v>
      </x:c>
      <x:c r="H46" s="26" t="str">
        <x:v>Sprint 17 / H6</x:v>
      </x:c>
      <x:c r="I46" s="26" t="str">
        <x:v>Review</x:v>
      </x:c>
      <x:c r="J46" s="26" t="str">
        <x:v>OPEN</x:v>
      </x:c>
      <x:c r="K46" s="26"/>
      <x:c r="L46" s="26"/>
      <x:c r="M46" s="26"/>
      <x:c r="N46" s="26"/>
      <x:c r="O46" s="26"/>
      <x:c r="P46" s="26"/>
      <x:c r="Q46" s="26"/>
      <x:c r="R46" s="26" t="str">
        <x:v>16_Auditoria_Global_de_Coherencia.md §9</x:v>
      </x:c>
    </x:row>
    <x:row r="47" ht="30" customHeight="1">
      <x:c r="A47" s="26" t="str">
        <x:v>AUD-GLOB-018</x:v>
      </x:c>
      <x:c r="B47" s="26" t="str">
        <x:v>AUDIT FINDING</x:v>
      </x:c>
      <x:c r="C47" s="26" t="str">
        <x:v>S2 / Audit A2</x:v>
      </x:c>
      <x:c r="D47" s="26" t="str">
        <x:v>P2</x:v>
      </x:c>
      <x:c r="E47" s="26" t="str">
        <x:v>Localización</x:v>
      </x:c>
      <x:c r="F47" s="26" t="str">
        <x:v>El paquete Localization está instalado, pero no hay tablas ES/EN que demuestren el requisito</x:v>
      </x:c>
      <x:c r="G47" s="26" t="str">
        <x:v>05, 07, 08, 10, 12, 13</x:v>
      </x:c>
      <x:c r="H47" s="26" t="str">
        <x:v>Sprint 17 / H6</x:v>
      </x:c>
      <x:c r="I47" s="26" t="str">
        <x:v>Review</x:v>
      </x:c>
      <x:c r="J47" s="26" t="str">
        <x:v>OPEN</x:v>
      </x:c>
      <x:c r="K47" s="26"/>
      <x:c r="L47" s="26"/>
      <x:c r="M47" s="26"/>
      <x:c r="N47" s="26"/>
      <x:c r="O47" s="26"/>
      <x:c r="P47" s="26"/>
      <x:c r="Q47" s="26"/>
      <x:c r="R47" s="26" t="str">
        <x:v>16_Auditoria_Global_de_Coherencia.md §9</x:v>
      </x:c>
    </x:row>
    <x:row r="48" ht="30" customHeight="1">
      <x:c r="A48" s="26" t="str">
        <x:v>AUD-GLOB-019</x:v>
      </x:c>
      <x:c r="B48" s="26" t="str">
        <x:v>AUDIT FINDING</x:v>
      </x:c>
      <x:c r="C48" s="26" t="str">
        <x:v>S2 / Audit A2</x:v>
      </x:c>
      <x:c r="D48" s="26" t="str">
        <x:v>P2</x:v>
      </x:c>
      <x:c r="E48" s="26" t="str">
        <x:v>Persistencia</x:v>
      </x:c>
      <x:c r="F48" s="26" t="str">
        <x:v>Persisten dos capas/modelos y el placement dinámico no está completamente cubierto por schema 2</x:v>
      </x:c>
      <x:c r="G48" s="26" t="str">
        <x:v>03, 04, 07, 12, 13, 15</x:v>
      </x:c>
      <x:c r="H48" s="26" t="str">
        <x:v>H6 / Post-H6</x:v>
      </x:c>
      <x:c r="I48" s="26" t="str">
        <x:v>Review</x:v>
      </x:c>
      <x:c r="J48" s="26" t="str">
        <x:v>OPEN</x:v>
      </x:c>
      <x:c r="K48" s="26"/>
      <x:c r="L48" s="26"/>
      <x:c r="M48" s="26"/>
      <x:c r="N48" s="26"/>
      <x:c r="O48" s="26"/>
      <x:c r="P48" s="26"/>
      <x:c r="Q48" s="26"/>
      <x:c r="R48" s="26" t="str">
        <x:v>16_Auditoria_Global_de_Coherencia.md §9</x:v>
      </x:c>
    </x:row>
    <x:row r="49" ht="30" customHeight="1">
      <x:c r="A49" s="26" t="str">
        <x:v>AUD-GLOB-020</x:v>
      </x:c>
      <x:c r="B49" s="26" t="str">
        <x:v>AUDIT FINDING</x:v>
      </x:c>
      <x:c r="C49" s="26" t="str">
        <x:v>S2 / Audit A2</x:v>
      </x:c>
      <x:c r="D49" s="26" t="str">
        <x:v>P2</x:v>
      </x:c>
      <x:c r="E49" s="26" t="str">
        <x:v>Código / Tooling</x:v>
      </x:c>
      <x:c r="F49" s="26" t="str">
        <x:v>Los estándares C# no están automatizados y existe una dependencia assembly cuestionada</x:v>
      </x:c>
      <x:c r="G49" s="26" t="str">
        <x:v>03, 09, 10, 12</x:v>
      </x:c>
      <x:c r="H49" s="26" t="str">
        <x:v>Deuda técnica / Post-H6</x:v>
      </x:c>
      <x:c r="I49" s="26" t="str">
        <x:v>Review</x:v>
      </x:c>
      <x:c r="J49" s="26" t="str">
        <x:v>OPEN</x:v>
      </x:c>
      <x:c r="K49" s="26"/>
      <x:c r="L49" s="26"/>
      <x:c r="M49" s="26"/>
      <x:c r="N49" s="26"/>
      <x:c r="O49" s="26"/>
      <x:c r="P49" s="26"/>
      <x:c r="Q49" s="26"/>
      <x:c r="R49" s="26" t="str">
        <x:v>16_Auditoria_Global_de_Coherencia.md §9</x:v>
      </x:c>
    </x:row>
    <x:row r="50" ht="30" customHeight="1">
      <x:c r="A50" s="26" t="str">
        <x:v>AUD-GLOB-021</x:v>
      </x:c>
      <x:c r="B50" s="26" t="str">
        <x:v>AUDIT FINDING</x:v>
      </x:c>
      <x:c r="C50" s="26" t="str">
        <x:v>S2 / Audit A2</x:v>
      </x:c>
      <x:c r="D50" s="26" t="str">
        <x:v>P2</x:v>
      </x:c>
      <x:c r="E50" s="26" t="str">
        <x:v>Control de cambios</x:v>
      </x:c>
      <x:c r="F50" s="26" t="str">
        <x:v>Los cambios abiertos, sin commit y sin decisión final necesitan clasificación, no un contador agregado</x:v>
      </x:c>
      <x:c r="G50" s="26" t="str">
        <x:v>13</x:v>
      </x:c>
      <x:c r="H50" s="26" t="str">
        <x:v>Baseline v1.0</x:v>
      </x:c>
      <x:c r="I50" s="26" t="str">
        <x:v>Review</x:v>
      </x:c>
      <x:c r="J50" s="26" t="str">
        <x:v>OPEN</x:v>
      </x:c>
      <x:c r="K50" s="26"/>
      <x:c r="L50" s="26"/>
      <x:c r="M50" s="26"/>
      <x:c r="N50" s="26"/>
      <x:c r="O50" s="26"/>
      <x:c r="P50" s="26"/>
      <x:c r="Q50" s="26"/>
      <x:c r="R50" s="26" t="str">
        <x:v>16_Auditoria_Global_de_Coherencia.md §9</x:v>
      </x:c>
    </x:row>
    <x:row r="51" ht="30" customHeight="1">
      <x:c r="A51" s="26" t="str">
        <x:v>AUD-GLOB-022</x:v>
      </x:c>
      <x:c r="B51" s="26" t="str">
        <x:v>AUDIT FINDING</x:v>
      </x:c>
      <x:c r="C51" s="26" t="str">
        <x:v>S2 / Audit A2</x:v>
      </x:c>
      <x:c r="D51" s="26" t="str">
        <x:v>P2</x:v>
      </x:c>
      <x:c r="E51" s="26" t="str">
        <x:v>Baselines históricas</x:v>
      </x:c>
      <x:c r="F51" s="26" t="str">
        <x:v>Tres baselines históricas no tienen commit o hash de paquete asociado</x:v>
      </x:c>
      <x:c r="G51" s="26" t="str">
        <x:v>13</x:v>
      </x:c>
      <x:c r="H51" s="26" t="str">
        <x:v>Baseline v1.0</x:v>
      </x:c>
      <x:c r="I51" s="26" t="str">
        <x:v>Review</x:v>
      </x:c>
      <x:c r="J51" s="26" t="str">
        <x:v>OPEN</x:v>
      </x:c>
      <x:c r="K51" s="26"/>
      <x:c r="L51" s="26"/>
      <x:c r="M51" s="26"/>
      <x:c r="N51" s="26"/>
      <x:c r="O51" s="26"/>
      <x:c r="P51" s="26"/>
      <x:c r="Q51" s="26"/>
      <x:c r="R51" s="26" t="str">
        <x:v>16_Auditoria_Global_de_Coherencia.md §9</x:v>
      </x:c>
    </x:row>
    <x:row r="52" ht="30" customHeight="1">
      <x:c r="A52" s="26" t="str">
        <x:v>AUD-GLOB-023</x:v>
      </x:c>
      <x:c r="B52" s="26" t="str">
        <x:v>AUDIT FINDING</x:v>
      </x:c>
      <x:c r="C52" s="26" t="str">
        <x:v>S3 / Audit A3</x:v>
      </x:c>
      <x:c r="D52" s="26" t="str">
        <x:v>P2</x:v>
      </x:c>
      <x:c r="E52" s="26" t="str">
        <x:v>Terminología</x:v>
      </x:c>
      <x:c r="F52" s="26" t="str">
        <x:v>Los estados mezclan español, inglés y varias formas equivalentes</x:v>
      </x:c>
      <x:c r="G52" s="26" t="str">
        <x:v>00–15</x:v>
      </x:c>
      <x:c r="H52" s="26" t="str">
        <x:v>Mantenibilidad</x:v>
      </x:c>
      <x:c r="I52" s="26" t="str">
        <x:v>Review</x:v>
      </x:c>
      <x:c r="J52" s="26" t="str">
        <x:v>OPEN</x:v>
      </x:c>
      <x:c r="K52" s="26"/>
      <x:c r="L52" s="26"/>
      <x:c r="M52" s="26"/>
      <x:c r="N52" s="26"/>
      <x:c r="O52" s="26"/>
      <x:c r="P52" s="26"/>
      <x:c r="Q52" s="26"/>
      <x:c r="R52" s="26" t="str">
        <x:v>16_Auditoria_Global_de_Coherencia.md §9</x:v>
      </x:c>
    </x:row>
    <x:row r="53" ht="30" customHeight="1">
      <x:c r="A53" s="26" t="str">
        <x:v>AUD-GLOB-024</x:v>
      </x:c>
      <x:c r="B53" s="26" t="str">
        <x:v>AUDIT FINDING</x:v>
      </x:c>
      <x:c r="C53" s="26" t="str">
        <x:v>S3 / Audit A3</x:v>
      </x:c>
      <x:c r="D53" s="26" t="str">
        <x:v>P2</x:v>
      </x:c>
      <x:c r="E53" s="26" t="str">
        <x:v>Autoría de escena</x:v>
      </x:c>
      <x:c r="F53" s="26" t="str">
        <x:v>Los ejemplos de StoreInitialSceneContext pueden confundirse con una clase existente</x:v>
      </x:c>
      <x:c r="G53" s="26" t="str">
        <x:v>03, 09, 10, 14, 15</x:v>
      </x:c>
      <x:c r="H53" s="26" t="str">
        <x:v>Sprint 16</x:v>
      </x:c>
      <x:c r="I53" s="26" t="str">
        <x:v>Review</x:v>
      </x:c>
      <x:c r="J53" s="26" t="str">
        <x:v>OPEN</x:v>
      </x:c>
      <x:c r="K53" s="26"/>
      <x:c r="L53" s="26"/>
      <x:c r="M53" s="26"/>
      <x:c r="N53" s="26"/>
      <x:c r="O53" s="26"/>
      <x:c r="P53" s="26"/>
      <x:c r="Q53" s="26"/>
      <x:c r="R53" s="26" t="str">
        <x:v>16_Auditoria_Global_de_Coherencia.md §9</x:v>
      </x:c>
    </x:row>
    <x:row r="54" ht="30" customHeight="1">
      <x:c r="A54" s="26" t="str">
        <x:v>AUD-GLOB-025</x:v>
      </x:c>
      <x:c r="B54" s="26" t="str">
        <x:v>AUDIT FINDING</x:v>
      </x:c>
      <x:c r="C54" s="26" t="str">
        <x:v>S3 / Audit A3</x:v>
      </x:c>
      <x:c r="D54" s="26" t="str">
        <x:v>P2</x:v>
      </x:c>
      <x:c r="E54" s="26" t="str">
        <x:v>Empaquetado</x:v>
      </x:c>
      <x:c r="F54" s="26" t="str">
        <x:v>El entorno de consolidación contiene drafts y previews que no deben entrar en la baseline</x:v>
      </x:c>
      <x:c r="G54" s="26" t="str">
        <x:v>Paquete final</x:v>
      </x:c>
      <x:c r="H54" s="26" t="str">
        <x:v>Baseline v1.0</x:v>
      </x:c>
      <x:c r="I54" s="26" t="str">
        <x:v>Review</x:v>
      </x:c>
      <x:c r="J54" s="26" t="str">
        <x:v>OPEN</x:v>
      </x:c>
      <x:c r="K54" s="26"/>
      <x:c r="L54" s="26"/>
      <x:c r="M54" s="26"/>
      <x:c r="N54" s="26"/>
      <x:c r="O54" s="26"/>
      <x:c r="P54" s="26"/>
      <x:c r="Q54" s="26"/>
      <x:c r="R54" s="26" t="str">
        <x:v>16_Auditoria_Global_de_Coherencia.md §9</x:v>
      </x:c>
    </x:row>
    <x:row r="55" ht="30" customHeight="1">
      <x:c r="A55" s="26" t="str">
        <x:v>AUD-GLOB-026</x:v>
      </x:c>
      <x:c r="B55" s="26" t="str">
        <x:v>AUDIT FINDING</x:v>
      </x:c>
      <x:c r="C55" s="26" t="str">
        <x:v>S3 / Audit A3</x:v>
      </x:c>
      <x:c r="D55" s="26" t="str">
        <x:v>P2</x:v>
      </x:c>
      <x:c r="E55" s="26" t="str">
        <x:v>Hashes</x:v>
      </x:c>
      <x:c r="F55" s="26" t="str">
        <x:v>Los documentos que inventarían su propio hash requieren cierre en dos pasadas</x:v>
      </x:c>
      <x:c r="G55" s="26" t="str">
        <x:v>12, 13, 14, 15, 16</x:v>
      </x:c>
      <x:c r="H55" s="26" t="str">
        <x:v>Baseline v1.0</x:v>
      </x:c>
      <x:c r="I55" s="26" t="str">
        <x:v>Review</x:v>
      </x:c>
      <x:c r="J55" s="26" t="str">
        <x:v>OPEN</x:v>
      </x:c>
      <x:c r="K55" s="26"/>
      <x:c r="L55" s="26"/>
      <x:c r="M55" s="26"/>
      <x:c r="N55" s="26"/>
      <x:c r="O55" s="26"/>
      <x:c r="P55" s="26"/>
      <x:c r="Q55" s="26"/>
      <x:c r="R55" s="26" t="str">
        <x:v>16_Auditoria_Global_de_Coherencia.md §9</x:v>
      </x:c>
    </x:row>
    <x:row r="56" ht="30" customHeight="1">
      <x:c r="A56" s="26" t="str">
        <x:v>AUD-GLOB-027</x:v>
      </x:c>
      <x:c r="B56" s="26" t="str">
        <x:v>AUDIT FINDING</x:v>
      </x:c>
      <x:c r="C56" s="26" t="str">
        <x:v>S3 / Audit A3</x:v>
      </x:c>
      <x:c r="D56" s="26" t="str">
        <x:v>P2</x:v>
      </x:c>
      <x:c r="E56" s="26" t="str">
        <x:v>Métricas</x:v>
      </x:c>
      <x:c r="F56" s="26" t="str">
        <x:v>Los KPIs de producción mezclan tareas, criterios, normas y deuda</x:v>
      </x:c>
      <x:c r="G56" s="26" t="str">
        <x:v>12, 15</x:v>
      </x:c>
      <x:c r="H56" s="26" t="str">
        <x:v>Gestión</x:v>
      </x:c>
      <x:c r="I56" s="26" t="str">
        <x:v>Review</x:v>
      </x:c>
      <x:c r="J56" s="26" t="str">
        <x:v>OPEN</x:v>
      </x:c>
      <x:c r="K56" s="26"/>
      <x:c r="L56" s="26"/>
      <x:c r="M56" s="26"/>
      <x:c r="N56" s="26"/>
      <x:c r="O56" s="26"/>
      <x:c r="P56" s="26"/>
      <x:c r="Q56" s="26"/>
      <x:c r="R56" s="26" t="str">
        <x:v>16_Auditoria_Global_de_Coherencia.md §9</x:v>
      </x:c>
    </x:row>
    <x:row r="57" ht="30" customHeight="1">
      <x:c r="A57" s="26" t="str">
        <x:v>AUD-GLOB-028</x:v>
      </x:c>
      <x:c r="B57" s="26" t="str">
        <x:v>AUDIT FINDING</x:v>
      </x:c>
      <x:c r="C57" s="26" t="str">
        <x:v>A4</x:v>
      </x:c>
      <x:c r="D57" s="26" t="str">
        <x:v>P2</x:v>
      </x:c>
      <x:c r="E57" s="26" t="str">
        <x:v>Contenido</x:v>
      </x:c>
      <x:c r="F57" s="26" t="str">
        <x:v>12 productos / 6 familias frente a 6 productos / 8 familias es evolución justificada</x:v>
      </x:c>
      <x:c r="G57" s="26" t="str">
        <x:v>01, 02, 07</x:v>
      </x:c>
      <x:c r="H57" s="26" t="str">
        <x:v>N/A</x:v>
      </x:c>
      <x:c r="I57" s="26" t="str">
        <x:v>Review</x:v>
      </x:c>
      <x:c r="J57" s="26" t="str">
        <x:v>JUSTIFIED</x:v>
      </x:c>
      <x:c r="K57" s="26"/>
      <x:c r="L57" s="26"/>
      <x:c r="M57" s="26"/>
      <x:c r="N57" s="26"/>
      <x:c r="O57" s="26"/>
      <x:c r="P57" s="26"/>
      <x:c r="Q57" s="26"/>
      <x:c r="R57" s="26" t="str">
        <x:v>16_Auditoria_Global_de_Coherencia.md §9</x:v>
      </x:c>
    </x:row>
    <x:row r="58" ht="30" customHeight="1">
      <x:c r="A58" s="26" t="str">
        <x:v>AUD-GLOB-029</x:v>
      </x:c>
      <x:c r="B58" s="26" t="str">
        <x:v>AUDIT FINDING</x:v>
      </x:c>
      <x:c r="C58" s="26" t="str">
        <x:v>A4</x:v>
      </x:c>
      <x:c r="D58" s="26" t="str">
        <x:v>P2</x:v>
      </x:c>
      <x:c r="E58" s="26" t="str">
        <x:v>Persistencia</x:v>
      </x:c>
      <x:c r="F58" s="26" t="str">
        <x:v>Schema 1 y schema 2 representan etapas compatibles de evolución</x:v>
      </x:c>
      <x:c r="G58" s="26" t="str">
        <x:v>03, 04, 07, 11, 13</x:v>
      </x:c>
      <x:c r="H58" s="26" t="str">
        <x:v>N/A</x:v>
      </x:c>
      <x:c r="I58" s="26" t="str">
        <x:v>Review</x:v>
      </x:c>
      <x:c r="J58" s="26" t="str">
        <x:v>JUSTIFIED</x:v>
      </x:c>
      <x:c r="K58" s="26"/>
      <x:c r="L58" s="26"/>
      <x:c r="M58" s="26"/>
      <x:c r="N58" s="26"/>
      <x:c r="O58" s="26"/>
      <x:c r="P58" s="26"/>
      <x:c r="Q58" s="26"/>
      <x:c r="R58" s="26" t="str">
        <x:v>16_Auditoria_Global_de_Coherencia.md §9</x:v>
      </x:c>
    </x:row>
    <x:row r="59" ht="30" customHeight="1">
      <x:c r="A59" s="26" t="str">
        <x:v>AUD-GLOB-030</x:v>
      </x:c>
      <x:c r="B59" s="26" t="str">
        <x:v>AUDIT FINDING</x:v>
      </x:c>
      <x:c r="C59" s="26" t="str">
        <x:v>A4</x:v>
      </x:c>
      <x:c r="D59" s="26" t="str">
        <x:v>P2</x:v>
      </x:c>
      <x:c r="E59" s="26" t="str">
        <x:v>Escenas</x:v>
      </x:c>
      <x:c r="F59" s="26" t="str">
        <x:v>La convivencia de Store y StoreInitial está justificada durante la migración</x:v>
      </x:c>
      <x:c r="G59" s="26" t="str">
        <x:v>02, 03, 06, 10, 11, 12, 13</x:v>
      </x:c>
      <x:c r="H59" s="26" t="str">
        <x:v>Sprint 16</x:v>
      </x:c>
      <x:c r="I59" s="26" t="str">
        <x:v>Review</x:v>
      </x:c>
      <x:c r="J59" s="26" t="str">
        <x:v>JUSTIFIED</x:v>
      </x:c>
      <x:c r="K59" s="26"/>
      <x:c r="L59" s="26"/>
      <x:c r="M59" s="26"/>
      <x:c r="N59" s="26"/>
      <x:c r="O59" s="26"/>
      <x:c r="P59" s="26"/>
      <x:c r="Q59" s="26"/>
      <x:c r="R59" s="26" t="str">
        <x:v>16_Auditoria_Global_de_Coherencia.md §9</x:v>
      </x:c>
    </x:row>
    <x:row r="60">
      <x:c r="A60" s="24" t="str">
        <x:v>S17-MOD-002</x:v>
      </x:c>
      <x:c r="B60" t="str">
        <x:v>DEFERRED MODIFICATION</x:v>
      </x:c>
      <x:c r="C60" t="str">
        <x:v>S2</x:v>
      </x:c>
      <x:c r="D60" t="str">
        <x:v>P1</x:v>
      </x:c>
      <x:c r="E60" t="str">
        <x:v>Clientes</x:v>
      </x:c>
      <x:c r="F60" t="str">
        <x:v>Admisión sin producto y browsing fallback</x:v>
      </x:c>
      <x:c r="G60" t="str">
        <x:v>Unity project + GDD/TDD/QA + traceability</x:v>
      </x:c>
      <x:c r="H60" t="str">
        <x:v>S17 post-W8 remediation</x:v>
      </x:c>
      <x:c r="I60" t="str">
        <x:v>No</x:v>
      </x:c>
      <x:c r="J60" t="str">
        <x:v>IMPLEMENTED CANDIDATE / PENDING VALIDATION</x:v>
      </x:c>
      <x:c r="K60" t="str">
        <x:v>VRM Games / Engineering</x:v>
      </x:c>
      <x:c r="L60" t="str">
        <x:v>W8 PASS baseline</x:v>
      </x:c>
      <x:c r="M60"/>
      <x:c r="N60" t="str">
        <x:v>TC-S17-MOD-002</x:v>
      </x:c>
      <x:c r="O60" t="str">
        <x:v>APPROVED FOR IMPLEMENTATION</x:v>
      </x:c>
      <x:c r="P60" t="str">
        <x:v>EditMode + PlayMode + Golden Path + Windows build</x:v>
      </x:c>
      <x:c r="Q60" t="str">
        <x:v>Integrated in package candidate; close only after full Unity validation.</x:v>
      </x:c>
      <x:c r="R60" t="str">
        <x:v>U012_S17_MOD_002_010_Implementation_Record.md</x:v>
      </x:c>
    </x:row>
    <x:row r="61">
      <x:c r="A61" s="24" t="str">
        <x:v>S17-MOD-003</x:v>
      </x:c>
      <x:c r="B61" t="str">
        <x:v>DEFERRED MODIFICATION</x:v>
      </x:c>
      <x:c r="C61" t="str">
        <x:v>S1</x:v>
      </x:c>
      <x:c r="D61" t="str">
        <x:v>P0</x:v>
      </x:c>
      <x:c r="E61" t="str">
        <x:v>Entregas</x:v>
      </x:c>
      <x:c r="F61" t="str">
        <x:v>Una visita visual por DeliveryRun consolidado</x:v>
      </x:c>
      <x:c r="G61" t="str">
        <x:v>Unity project + GDD/TDD/QA + traceability</x:v>
      </x:c>
      <x:c r="H61" t="str">
        <x:v>S17 post-W8 remediation</x:v>
      </x:c>
      <x:c r="I61" t="str">
        <x:v>No</x:v>
      </x:c>
      <x:c r="J61" t="str">
        <x:v>IMPLEMENTED CANDIDATE / PENDING VALIDATION</x:v>
      </x:c>
      <x:c r="K61" t="str">
        <x:v>VRM Games / Engineering</x:v>
      </x:c>
      <x:c r="L61" t="str">
        <x:v>W8 PASS baseline</x:v>
      </x:c>
      <x:c r="M61"/>
      <x:c r="N61" t="str">
        <x:v>TC-S17-MOD-003</x:v>
      </x:c>
      <x:c r="O61" t="str">
        <x:v>APPROVED FOR IMPLEMENTATION</x:v>
      </x:c>
      <x:c r="P61" t="str">
        <x:v>EditMode + PlayMode + Golden Path + Windows build</x:v>
      </x:c>
      <x:c r="Q61" t="str">
        <x:v>Integrated in package candidate; close only after full Unity validation.</x:v>
      </x:c>
      <x:c r="R61" t="str">
        <x:v>U012_S17_MOD_002_010_Implementation_Record.md</x:v>
      </x:c>
    </x:row>
    <x:row r="62">
      <x:c r="A62" s="24" t="str">
        <x:v>S17-MOD-004</x:v>
      </x:c>
      <x:c r="B62" t="str">
        <x:v>DEFERRED MODIFICATION</x:v>
      </x:c>
      <x:c r="C62" t="str">
        <x:v>S1</x:v>
      </x:c>
      <x:c r="D62" t="str">
        <x:v>P0</x:v>
      </x:c>
      <x:c r="E62" t="str">
        <x:v>Inventario/Economía</x:v>
      </x:c>
      <x:c r="F62" t="str">
        <x:v>Mercancía bloqueada hasta recepción física</x:v>
      </x:c>
      <x:c r="G62" t="str">
        <x:v>Unity project + GDD/TDD/QA + traceability</x:v>
      </x:c>
      <x:c r="H62" t="str">
        <x:v>S17 post-W8 remediation</x:v>
      </x:c>
      <x:c r="I62" t="str">
        <x:v>No</x:v>
      </x:c>
      <x:c r="J62" t="str">
        <x:v>IMPLEMENTED CANDIDATE / PENDING VALIDATION</x:v>
      </x:c>
      <x:c r="K62" t="str">
        <x:v>VRM Games / Engineering</x:v>
      </x:c>
      <x:c r="L62" t="str">
        <x:v>W8 PASS baseline</x:v>
      </x:c>
      <x:c r="M62"/>
      <x:c r="N62" t="str">
        <x:v>TC-S17-MOD-004</x:v>
      </x:c>
      <x:c r="O62" t="str">
        <x:v>APPROVED FOR IMPLEMENTATION</x:v>
      </x:c>
      <x:c r="P62" t="str">
        <x:v>EditMode + PlayMode + Golden Path + Windows build</x:v>
      </x:c>
      <x:c r="Q62" t="str">
        <x:v>Integrated in package candidate; close only after full Unity validation.</x:v>
      </x:c>
      <x:c r="R62" t="str">
        <x:v>U012_S17_MOD_002_010_Implementation_Record.md</x:v>
      </x:c>
    </x:row>
    <x:row r="63">
      <x:c r="A63" s="24" t="str">
        <x:v>S17-MOD-005</x:v>
      </x:c>
      <x:c r="B63" t="str">
        <x:v>DEFERRED MODIFICATION</x:v>
      </x:c>
      <x:c r="C63" t="str">
        <x:v>S2</x:v>
      </x:c>
      <x:c r="D63" t="str">
        <x:v>P1</x:v>
      </x:c>
      <x:c r="E63" t="str">
        <x:v>Arte técnico</x:v>
      </x:c>
      <x:c r="F63" t="str">
        <x:v>Escala de caja y LOD sin culling</x:v>
      </x:c>
      <x:c r="G63" t="str">
        <x:v>Unity project + GDD/TDD/QA + traceability</x:v>
      </x:c>
      <x:c r="H63" t="str">
        <x:v>S17 post-W8 remediation</x:v>
      </x:c>
      <x:c r="I63" t="str">
        <x:v>No</x:v>
      </x:c>
      <x:c r="J63" t="str">
        <x:v>IMPLEMENTED CANDIDATE / PENDING VALIDATION</x:v>
      </x:c>
      <x:c r="K63" t="str">
        <x:v>VRM Games / Engineering</x:v>
      </x:c>
      <x:c r="L63" t="str">
        <x:v>W8 PASS baseline</x:v>
      </x:c>
      <x:c r="M63"/>
      <x:c r="N63" t="str">
        <x:v>TC-S17-MOD-005</x:v>
      </x:c>
      <x:c r="O63" t="str">
        <x:v>APPROVED FOR IMPLEMENTATION</x:v>
      </x:c>
      <x:c r="P63" t="str">
        <x:v>EditMode + PlayMode + Golden Path + Windows build</x:v>
      </x:c>
      <x:c r="Q63" t="str">
        <x:v>Integrated in package candidate; close only after full Unity validation.</x:v>
      </x:c>
      <x:c r="R63" t="str">
        <x:v>U012_S17_MOD_002_010_Implementation_Record.md</x:v>
      </x:c>
    </x:row>
    <x:row r="64">
      <x:c r="A64" s="24" t="str">
        <x:v>S17-MOD-006</x:v>
      </x:c>
      <x:c r="B64" t="str">
        <x:v>DEFERRED MODIFICATION</x:v>
      </x:c>
      <x:c r="C64" t="str">
        <x:v>S1</x:v>
      </x:c>
      <x:c r="D64" t="str">
        <x:v>P0</x:v>
      </x:c>
      <x:c r="E64" t="str">
        <x:v>Tiempo/UI</x:v>
      </x:c>
      <x:c r="F64" t="str">
        <x:v>Proyección HH:mm del reloj central</x:v>
      </x:c>
      <x:c r="G64" t="str">
        <x:v>Unity project + GDD/TDD/QA + traceability</x:v>
      </x:c>
      <x:c r="H64" t="str">
        <x:v>S17 post-W8 remediation</x:v>
      </x:c>
      <x:c r="I64" t="str">
        <x:v>No</x:v>
      </x:c>
      <x:c r="J64" t="str">
        <x:v>IMPLEMENTED CANDIDATE / PENDING VALIDATION</x:v>
      </x:c>
      <x:c r="K64" t="str">
        <x:v>VRM Games / Engineering</x:v>
      </x:c>
      <x:c r="L64" t="str">
        <x:v>W8 PASS baseline</x:v>
      </x:c>
      <x:c r="M64"/>
      <x:c r="N64" t="str">
        <x:v>TC-S17-MOD-006</x:v>
      </x:c>
      <x:c r="O64" t="str">
        <x:v>APPROVED FOR IMPLEMENTATION</x:v>
      </x:c>
      <x:c r="P64" t="str">
        <x:v>EditMode + PlayMode + Golden Path + Windows build</x:v>
      </x:c>
      <x:c r="Q64" t="str">
        <x:v>Integrated in package candidate; close only after full Unity validation.</x:v>
      </x:c>
      <x:c r="R64" t="str">
        <x:v>U012_S17_MOD_002_010_Implementation_Record.md</x:v>
      </x:c>
    </x:row>
    <x:row r="65">
      <x:c r="A65" s="24" t="str">
        <x:v>S17-MOD-007</x:v>
      </x:c>
      <x:c r="B65" t="str">
        <x:v>DEFERRED MODIFICATION</x:v>
      </x:c>
      <x:c r="C65" t="str">
        <x:v>S1</x:v>
      </x:c>
      <x:c r="D65" t="str">
        <x:v>P0</x:v>
      </x:c>
      <x:c r="E65" t="str">
        <x:v>Tiempo</x:v>
      </x:c>
      <x:c r="F65" t="str">
        <x:v>Reloj global continuo salvo pausa</x:v>
      </x:c>
      <x:c r="G65" t="str">
        <x:v>Unity project + GDD/TDD/QA + traceability</x:v>
      </x:c>
      <x:c r="H65" t="str">
        <x:v>S17 post-W8 remediation</x:v>
      </x:c>
      <x:c r="I65" t="str">
        <x:v>No</x:v>
      </x:c>
      <x:c r="J65" t="str">
        <x:v>IMPLEMENTED CANDIDATE / PENDING VALIDATION</x:v>
      </x:c>
      <x:c r="K65" t="str">
        <x:v>VRM Games / Engineering</x:v>
      </x:c>
      <x:c r="L65" t="str">
        <x:v>W8 PASS baseline</x:v>
      </x:c>
      <x:c r="M65"/>
      <x:c r="N65" t="str">
        <x:v>TC-S17-MOD-007</x:v>
      </x:c>
      <x:c r="O65" t="str">
        <x:v>APPROVED FOR IMPLEMENTATION</x:v>
      </x:c>
      <x:c r="P65" t="str">
        <x:v>EditMode + PlayMode + Golden Path + Windows build</x:v>
      </x:c>
      <x:c r="Q65" t="str">
        <x:v>Integrated in package candidate; close only after full Unity validation.</x:v>
      </x:c>
      <x:c r="R65" t="str">
        <x:v>U012_S17_MOD_002_010_Implementation_Record.md</x:v>
      </x:c>
    </x:row>
    <x:row r="66">
      <x:c r="A66" s="24" t="str">
        <x:v>S17-MOD-008</x:v>
      </x:c>
      <x:c r="B66" t="str">
        <x:v>DEFERRED MODIFICATION</x:v>
      </x:c>
      <x:c r="C66" t="str">
        <x:v>S1</x:v>
      </x:c>
      <x:c r="D66" t="str">
        <x:v>P0</x:v>
      </x:c>
      <x:c r="E66" t="str">
        <x:v>Día/Comercio</x:v>
      </x:c>
      <x:c r="F66" t="str">
        <x:v>Ventana 08:00–22:00 y aperturas múltiples</x:v>
      </x:c>
      <x:c r="G66" t="str">
        <x:v>Unity project + GDD/TDD/QA + traceability</x:v>
      </x:c>
      <x:c r="H66" t="str">
        <x:v>S17 post-W8 remediation</x:v>
      </x:c>
      <x:c r="I66" t="str">
        <x:v>No</x:v>
      </x:c>
      <x:c r="J66" t="str">
        <x:v>IMPLEMENTED CANDIDATE / PENDING VALIDATION</x:v>
      </x:c>
      <x:c r="K66" t="str">
        <x:v>VRM Games / Engineering</x:v>
      </x:c>
      <x:c r="L66" t="str">
        <x:v>W8 PASS baseline</x:v>
      </x:c>
      <x:c r="M66"/>
      <x:c r="N66" t="str">
        <x:v>TC-S17-MOD-008</x:v>
      </x:c>
      <x:c r="O66" t="str">
        <x:v>APPROVED FOR IMPLEMENTATION</x:v>
      </x:c>
      <x:c r="P66" t="str">
        <x:v>EditMode + PlayMode + Golden Path + Windows build</x:v>
      </x:c>
      <x:c r="Q66" t="str">
        <x:v>Integrated in package candidate; close only after full Unity validation.</x:v>
      </x:c>
      <x:c r="R66" t="str">
        <x:v>U012_S17_MOD_002_010_Implementation_Record.md</x:v>
      </x:c>
    </x:row>
    <x:row r="67">
      <x:c r="A67" s="24" t="str">
        <x:v>S17-MOD-009</x:v>
      </x:c>
      <x:c r="B67" t="str">
        <x:v>DEFERRED MODIFICATION</x:v>
      </x:c>
      <x:c r="C67" t="str">
        <x:v>S1</x:v>
      </x:c>
      <x:c r="D67" t="str">
        <x:v>P0</x:v>
      </x:c>
      <x:c r="E67" t="str">
        <x:v>Placement</x:v>
      </x:c>
      <x:c r="F67" t="str">
        <x:v>Grounding mundial de anchors anidados</x:v>
      </x:c>
      <x:c r="G67" t="str">
        <x:v>Unity project + GDD/TDD/QA + traceability</x:v>
      </x:c>
      <x:c r="H67" t="str">
        <x:v>S17 post-W8 remediation</x:v>
      </x:c>
      <x:c r="I67" t="str">
        <x:v>No</x:v>
      </x:c>
      <x:c r="J67" t="str">
        <x:v>IMPLEMENTED CANDIDATE / PENDING VALIDATION</x:v>
      </x:c>
      <x:c r="K67" t="str">
        <x:v>VRM Games / Engineering</x:v>
      </x:c>
      <x:c r="L67" t="str">
        <x:v>W8 PASS baseline</x:v>
      </x:c>
      <x:c r="M67"/>
      <x:c r="N67" t="str">
        <x:v>TC-S17-MOD-009</x:v>
      </x:c>
      <x:c r="O67" t="str">
        <x:v>APPROVED FOR IMPLEMENTATION</x:v>
      </x:c>
      <x:c r="P67" t="str">
        <x:v>EditMode + PlayMode + Golden Path + Windows build</x:v>
      </x:c>
      <x:c r="Q67" t="str">
        <x:v>Integrated in package candidate; close only after full Unity validation.</x:v>
      </x:c>
      <x:c r="R67" t="str">
        <x:v>U012_S17_MOD_002_010_Implementation_Record.md</x:v>
      </x:c>
    </x:row>
    <x:row r="68">
      <x:c r="A68" s="24" t="str">
        <x:v>S17-MOD-010</x:v>
      </x:c>
      <x:c r="B68" t="str">
        <x:v>DEFERRED MODIFICATION</x:v>
      </x:c>
      <x:c r="C68" t="str">
        <x:v>S2</x:v>
      </x:c>
      <x:c r="D68" t="str">
        <x:v>P1</x:v>
      </x:c>
      <x:c r="E68" t="str">
        <x:v>Personajes/Checkout</x:v>
      </x:c>
      <x:c r="F68" t="str">
        <x:v>Orientación de dependienta hacia StaffLookTarget</x:v>
      </x:c>
      <x:c r="G68" t="str">
        <x:v>Unity project + GDD/TDD/QA + traceability</x:v>
      </x:c>
      <x:c r="H68" t="str">
        <x:v>S17 post-W8 remediation</x:v>
      </x:c>
      <x:c r="I68" t="str">
        <x:v>No</x:v>
      </x:c>
      <x:c r="J68" t="str">
        <x:v>IMPLEMENTED CANDIDATE / PENDING VALIDATION</x:v>
      </x:c>
      <x:c r="K68" t="str">
        <x:v>VRM Games / Engineering</x:v>
      </x:c>
      <x:c r="L68" t="str">
        <x:v>W8 PASS baseline</x:v>
      </x:c>
      <x:c r="M68"/>
      <x:c r="N68" t="str">
        <x:v>TC-S17-MOD-010</x:v>
      </x:c>
      <x:c r="O68" t="str">
        <x:v>APPROVED FOR IMPLEMENTATION</x:v>
      </x:c>
      <x:c r="P68" t="str">
        <x:v>EditMode + PlayMode + Golden Path + Windows build</x:v>
      </x:c>
      <x:c r="Q68" t="str">
        <x:v>Integrated in package candidate; close only after full Unity validation.</x:v>
      </x:c>
      <x:c r="R68" t="str">
        <x:v>U012_S17_MOD_002_010_Implementation_Record.md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52" hidden="0" customWidth="1"/>
    <x:col min="6" max="6" width="18" hidden="0" customWidth="1"/>
    <x:col min="7" max="7" width="64" hidden="0" customWidth="1"/>
    <x:col min="8" max="8" width="64" hidden="0" customWidth="1"/>
    <x:col min="9" max="9" width="18" hidden="0" customWidth="1"/>
    <x:col min="10" max="10" width="48" hidden="0" customWidth="1"/>
  </x:cols>
  <x:sheetData>
    <x:row r="1" ht="28" customHeight="1">
      <x:c r="A1" s="59" t="str">
        <x:v>Baselines, snapshots y paquetes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2" customHeight="1">
      <x:c r="A2" s="63" t="str">
        <x:v>Historia v0.3–v0.6, RC1 preconsolidación, candidatos 12/13 y final planificada.</x:v>
      </x:c>
      <x:c r="B2" s="63"/>
      <x:c r="C2" s="63"/>
      <x:c r="D2" s="63"/>
      <x:c r="E2" s="63"/>
      <x:c r="F2" s="63"/>
      <x:c r="G2" s="63"/>
      <x:c r="H2" s="63"/>
      <x:c r="I2" s="63"/>
      <x:c r="J2" s="63"/>
    </x:row>
    <x:row r="4" ht="30" customHeight="1">
      <x:c r="A4" s="68" t="str">
        <x:v>Baseline ID</x:v>
      </x:c>
      <x:c r="B4" s="68" t="str">
        <x:v>Tipo</x:v>
      </x:c>
      <x:c r="C4" s="68" t="str">
        <x:v>Versión</x:v>
      </x:c>
      <x:c r="D4" s="68" t="str">
        <x:v>Fecha/Estado</x:v>
      </x:c>
      <x:c r="E4" s="68" t="str">
        <x:v>Contenido</x:v>
      </x:c>
      <x:c r="F4" s="68" t="str">
        <x:v>Commit/Tag</x:v>
      </x:c>
      <x:c r="G4" s="68" t="str">
        <x:v>Ruta/Artifact</x:v>
      </x:c>
      <x:c r="H4" s="68" t="str">
        <x:v>SHA-256</x:v>
      </x:c>
      <x:c r="I4" s="68" t="str">
        <x:v>Estado</x:v>
      </x:c>
      <x:c r="J4" s="68" t="str">
        <x:v>Notas</x:v>
      </x:c>
    </x:row>
    <x:row r="5" ht="30" customHeight="1">
      <x:c r="A5" s="26" t="str">
        <x:v>BASE-v0.3</x:v>
      </x:c>
      <x:c r="B5" s="26" t="str">
        <x:v>Documental</x:v>
      </x:c>
      <x:c r="C5" s="26" t="str">
        <x:v>v0.3</x:v>
      </x:c>
      <x:c r="D5" s="26" t="str">
        <x:v>Historical</x:v>
      </x:c>
      <x:c r="E5" s="26" t="str">
        <x:v>Baseline oficial inicial</x:v>
      </x:c>
      <x:c r="F5" s="26"/>
      <x:c r="G5" s="26" t="str">
        <x:v>Documentation/00_Official_Baseline/v0.3</x:v>
      </x:c>
      <x:c r="H5" s="26"/>
      <x:c r="I5" s="26" t="str">
        <x:v>Archived</x:v>
      </x:c>
      <x:c r="J5" s="26" t="str">
        <x:v>Preserved from preconsolidation 13</x:v>
      </x:c>
    </x:row>
    <x:row r="6" ht="30" customHeight="1">
      <x:c r="A6" s="26" t="str">
        <x:v>BASE-v0.4</x:v>
      </x:c>
      <x:c r="B6" s="26" t="str">
        <x:v>Documental</x:v>
      </x:c>
      <x:c r="C6" s="26" t="str">
        <x:v>v0.4</x:v>
      </x:c>
      <x:c r="D6" s="26" t="str">
        <x:v>Historical</x:v>
      </x:c>
      <x:c r="E6" s="26" t="str">
        <x:v>Fundación Sprint 0</x:v>
      </x:c>
      <x:c r="F6" s="26"/>
      <x:c r="G6" s="26" t="str">
        <x:v>Documentation/00_Official_Baseline/v0.4</x:v>
      </x:c>
      <x:c r="H6" s="26"/>
      <x:c r="I6" s="26" t="str">
        <x:v>Archived</x:v>
      </x:c>
      <x:c r="J6" s="26" t="str">
        <x:v>Preserved from preconsolidation 13</x:v>
      </x:c>
    </x:row>
    <x:row r="7" ht="30" customHeight="1">
      <x:c r="A7" s="26" t="str">
        <x:v>BASE-v0.5</x:v>
      </x:c>
      <x:c r="B7" s="26" t="str">
        <x:v>Documental/Técnica</x:v>
      </x:c>
      <x:c r="C7" s="26" t="str">
        <x:v>v0.5</x:v>
      </x:c>
      <x:c r="D7" s="26" t="str">
        <x:v>Historical</x:v>
      </x:c>
      <x:c r="E7" s="26" t="str">
        <x:v>Sprints 0–5</x:v>
      </x:c>
      <x:c r="F7" s="26"/>
      <x:c r="G7" s="26" t="str">
        <x:v>Documentation/00_Official_Baseline/v0.5</x:v>
      </x:c>
      <x:c r="H7" s="26"/>
      <x:c r="I7" s="26" t="str">
        <x:v>Archived</x:v>
      </x:c>
      <x:c r="J7" s="26" t="str">
        <x:v>Preserved from preconsolidation 13</x:v>
      </x:c>
    </x:row>
    <x:row r="8" ht="30" customHeight="1">
      <x:c r="A8" s="26" t="str">
        <x:v>BASE-v0.6</x:v>
      </x:c>
      <x:c r="B8" s="26" t="str">
        <x:v>Documental/Técnica</x:v>
      </x:c>
      <x:c r="C8" s="26" t="str">
        <x:v>v0.6</x:v>
      </x:c>
      <x:c r="D8" s="26" t="str">
        <x:v>Current source package</x:v>
      </x:c>
      <x:c r="E8" s="26" t="str">
        <x:v>Sprints 0–15 + S16 partial</x:v>
      </x:c>
      <x:c r="F8" s="26" t="str">
        <x:v>091090c43855b0b26b09abe9335d18b978ac7eab</x:v>
      </x:c>
      <x:c r="G8" s="26" t="str">
        <x:v>Documentation/00_Official_Baseline/v0.6</x:v>
      </x:c>
      <x:c r="H8" s="26"/>
      <x:c r="I8" s="26" t="str">
        <x:v>Superseded by consolidated docs</x:v>
      </x:c>
      <x:c r="J8" s="26" t="str">
        <x:v>Preserved from preconsolidation 13</x:v>
      </x:c>
    </x:row>
    <x:row r="9" ht="30" customHeight="1">
      <x:c r="A9" s="26" t="str">
        <x:v>BASE-1.0</x:v>
      </x:c>
      <x:c r="B9" s="26" t="str">
        <x:v>Documental/Operativa</x:v>
      </x:c>
      <x:c r="C9" s="26" t="str">
        <x:v>1.0</x:v>
      </x:c>
      <x:c r="D9" s="26" t="str">
        <x:v>Current</x:v>
      </x:c>
      <x:c r="E9" s="26" t="str">
        <x:v>Documentos consolidados 00–13</x:v>
      </x:c>
      <x:c r="F9" s="26" t="str">
        <x:v>091090c43855b0b26b09abe9335d18b978ac7eab</x:v>
      </x:c>
      <x:c r="G9" s="26" t="str">
        <x:v>/Documentacion</x:v>
      </x:c>
      <x:c r="H9" s="26"/>
      <x:c r="I9" s="26" t="str">
        <x:v>In Progress</x:v>
      </x:c>
      <x:c r="J9" s="26" t="str">
        <x:v>Preserved from preconsolidation 13</x:v>
      </x:c>
    </x:row>
    <x:row r="10" ht="30" customHeight="1">
      <x:c r="A10" s="26" t="str">
        <x:v>BASE-RC1-FREEZE</x:v>
      </x:c>
      <x:c r="B10" s="26" t="str">
        <x:v>Documental</x:v>
      </x:c>
      <x:c r="C10" s="26" t="str">
        <x:v>RC1 PreConsolidation</x:v>
      </x:c>
      <x:c r="D10" s="26" t="str">
        <x:v>2026-07-01</x:v>
      </x:c>
      <x:c r="E10" s="26" t="str">
        <x:v>35 documents 00–34 before governance regeneration</x:v>
      </x:c>
      <x:c r="F10" s="26"/>
      <x:c r="G10" s="26" t="str">
        <x:v>/mnt/data/Cartridge_And_Cloud_Documentation_RC1_PreConsolidation_Snapshot.zip</x:v>
      </x:c>
      <x:c r="H10" s="26" t="str">
        <x:v>c36b66c03d73b6144fb252e2a38d6bbf1c205c46d17ffcce99ebc4ff5f061924</x:v>
      </x:c>
      <x:c r="I10" s="26" t="str">
        <x:v>IMMUTABLE SNAPSHOT</x:v>
      </x:c>
      <x:c r="J10" s="26" t="str">
        <x:v>Freeze completed before replacing 12/13</x:v>
      </x:c>
    </x:row>
    <x:row r="11" ht="30" customHeight="1">
      <x:c r="A11" s="26" t="str">
        <x:v>BASE-RC1-12</x:v>
      </x:c>
      <x:c r="B11" s="26" t="str">
        <x:v>Documental/Operativa</x:v>
      </x:c>
      <x:c r="C11" s="26" t="str">
        <x:v>12 v1.1-RC1</x:v>
      </x:c>
      <x:c r="D11" s="26" t="str">
        <x:v>2026-07-01</x:v>
      </x:c>
      <x:c r="E11" s="26" t="str">
        <x:v>Regenerated production master</x:v>
      </x:c>
      <x:c r="F11" s="26"/>
      <x:c r="G11" s="26" t="str">
        <x:v>/mnt/data/12_Excel_Maestro_de_Produccion.xlsx</x:v>
      </x:c>
      <x:c r="H11" s="26" t="str">
        <x:v>3d70e97326868389dac977934e6000285c22b3c33c0e62be31313880726b4d7d</x:v>
      </x:c>
      <x:c r="I11" s="26" t="str">
        <x:v>CURRENT CANDIDATE</x:v>
      </x:c>
      <x:c r="J11" s="26" t="str">
        <x:v>Replaces preconsolidation 12</x:v>
      </x:c>
    </x:row>
    <x:row r="12" ht="30" customHeight="1">
      <x:c r="A12" s="26" t="str">
        <x:v>BASE-RC1-13</x:v>
      </x:c>
      <x:c r="B12" s="26" t="str">
        <x:v>Documental/Governance</x:v>
      </x:c>
      <x:c r="C12" s="26" t="str">
        <x:v>13 v1.1-RC1</x:v>
      </x:c>
      <x:c r="D12" s="26" t="str">
        <x:v>2026-07-01</x:v>
      </x:c>
      <x:c r="E12" s="26" t="str">
        <x:v>Regenerated traceability and change control</x:v>
      </x:c>
      <x:c r="F12" s="26"/>
      <x:c r="G12" s="26" t="str">
        <x:v>/mnt/data/13_Trazabilidad_y_Control_de_Cambios.xlsx</x:v>
      </x:c>
      <x:c r="H12" s="26" t="str">
        <x:v>EXTERNAL_AFTER_EXPORT</x:v>
      </x:c>
      <x:c r="I12" s="26" t="str">
        <x:v>CURRENT CANDIDATE</x:v>
      </x:c>
      <x:c r="J12" s="26" t="str">
        <x:v>Self-hash captured externally</x:v>
      </x:c>
    </x:row>
    <x:row r="13" ht="30" customHeight="1">
      <x:c r="A13" s="26" t="str">
        <x:v>BASE-FINAL</x:v>
      </x:c>
      <x:c r="B13" s="26" t="str">
        <x:v>Documental/Operativa</x:v>
      </x:c>
      <x:c r="C13" s="26" t="str">
        <x:v>Final TBD</x:v>
      </x:c>
      <x:c r="D13" s="26" t="str">
        <x:v>PLANNED</x:v>
      </x:c>
      <x:c r="E13" s="26" t="str">
        <x:v>00–34 + external manifests + immutable ZIP</x:v>
      </x:c>
      <x:c r="F13" s="26"/>
      <x:c r="G13" s="26"/>
      <x:c r="H13" s="26"/>
      <x:c r="I13" s="26" t="str">
        <x:v>PLANNED</x:v>
      </x:c>
      <x:c r="J13" s="26" t="str">
        <x:v>After audit closure and final manifest</x:v>
      </x:c>
    </x:row>
    <x:row r="14">
      <x:c r="A14" s="24" t="str">
        <x:v>BASE-S17-MOD-002-010</x:v>
      </x:c>
      <x:c r="B14" t="str">
        <x:v>Código/Assets/Documentación</x:v>
      </x:c>
      <x:c r="C14" t="str">
        <x:v>v1.0 candidate</x:v>
      </x:c>
      <x:c r="D14" t="str">
        <x:v>2026-07-08 / IMPLEMENTED CANDIDATE</x:v>
      </x:c>
      <x:c r="E14" t="str">
        <x:v>Integración integral S17-MOD-002…010; ADR-0086/0087; tests y prefabs LOD</x:v>
      </x:c>
      <x:c r="F14"/>
      <x:c r="G14" t="str">
        <x:v>U012_S17_MOD_002_010_Implementacion_Integral_v1.0.zip</x:v>
      </x:c>
      <x:c r="H14" t="str">
        <x:v>EXTERNAL_AFTER_EXPORT</x:v>
      </x:c>
      <x:c r="I14" t="str">
        <x:v>PENDING UNITY VALIDATION</x:v>
      </x:c>
      <x:c r="J14" t="str">
        <x:v>S17-MOD-001 absorbida por ADR-0086 / S17-MOD-007.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46" hidden="0" customWidth="1"/>
    <x:col min="5" max="5" width="42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59" t="str">
        <x:v>Control de alcance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2" customHeight="1">
      <x:c r="A2" s="63" t="str">
        <x:v>Decisiones de scope históricas y límites de apertura de fases futuras.</x:v>
      </x:c>
      <x:c r="B2" s="63"/>
      <x:c r="C2" s="63"/>
      <x:c r="D2" s="63"/>
      <x:c r="E2" s="63"/>
      <x:c r="F2" s="63"/>
      <x:c r="G2" s="63"/>
      <x:c r="H2" s="63"/>
      <x:c r="I2" s="63"/>
      <x:c r="J2" s="63"/>
    </x:row>
    <x:row r="4" ht="30" customHeight="1">
      <x:c r="A4" s="68" t="str">
        <x:v>Scope ID</x:v>
      </x:c>
      <x:c r="B4" s="68" t="str">
        <x:v>Decisión</x:v>
      </x:c>
      <x:c r="C4" s="68" t="str">
        <x:v>Elemento</x:v>
      </x:c>
      <x:c r="D4" s="68" t="str">
        <x:v>Alcance</x:v>
      </x:c>
      <x:c r="E4" s="68" t="str">
        <x:v>Motivo</x:v>
      </x:c>
      <x:c r="F4" s="68" t="str">
        <x:v>Periodo</x:v>
      </x:c>
      <x:c r="G4" s="68" t="str">
        <x:v>ADR</x:v>
      </x:c>
      <x:c r="H4" s="68" t="str">
        <x:v>Cambio</x:v>
      </x:c>
      <x:c r="I4" s="68" t="str">
        <x:v>Gate</x:v>
      </x:c>
      <x:c r="J4" s="68" t="str">
        <x:v>Estado</x:v>
      </x:c>
    </x:row>
    <x:row r="5" ht="30" customHeight="1">
      <x:c r="A5" s="26" t="str">
        <x:v>SCR-001</x:v>
      </x:c>
      <x:c r="B5" s="26" t="str">
        <x:v>Accepted</x:v>
      </x:c>
      <x:c r="C5" s="26" t="str">
        <x:v>Initial Store</x:v>
      </x:c>
      <x:c r="D5" s="26" t="str">
        <x:v>10×15 m / grid 20×30</x:v>
      </x:c>
      <x:c r="E5" s="26" t="str">
        <x:v>Mejorar escala y circulación</x:v>
      </x:c>
      <x:c r="F5" s="26" t="str">
        <x:v>Sprint 5</x:v>
      </x:c>
      <x:c r="G5" s="26" t="str">
        <x:v>ADR-0020</x:v>
      </x:c>
      <x:c r="H5" s="26" t="str">
        <x:v>CHG-STORE-001</x:v>
      </x:c>
      <x:c r="I5" s="26" t="str">
        <x:v>H1</x:v>
      </x:c>
      <x:c r="J5" s="26" t="str">
        <x:v>Closed</x:v>
      </x:c>
    </x:row>
    <x:row r="6" ht="30" customHeight="1">
      <x:c r="A6" s="26" t="str">
        <x:v>SCR-002</x:v>
      </x:c>
      <x:c r="B6" s="26" t="str">
        <x:v>Accepted</x:v>
      </x:c>
      <x:c r="C6" s="26" t="str">
        <x:v>StoreInitial</x:v>
      </x:c>
      <x:c r="D6" s="26" t="str">
        <x:v>Autoría manual y SceneContext</x:v>
      </x:c>
      <x:c r="E6" s="26" t="str">
        <x:v>Aprobación visual y referencias robustas</x:v>
      </x:c>
      <x:c r="F6" s="26" t="str">
        <x:v>Sprint 16</x:v>
      </x:c>
      <x:c r="G6" s="26" t="str">
        <x:v>ADR-0035-S16</x:v>
      </x:c>
      <x:c r="H6" s="26" t="str">
        <x:v>CHG-STORE-002</x:v>
      </x:c>
      <x:c r="I6" s="26" t="str">
        <x:v>H6</x:v>
      </x:c>
      <x:c r="J6" s="26" t="str">
        <x:v>In Progress</x:v>
      </x:c>
    </x:row>
    <x:row r="7" ht="30" customHeight="1">
      <x:c r="A7" s="26" t="str">
        <x:v>SCR-003</x:v>
      </x:c>
      <x:c r="B7" s="26" t="str">
        <x:v>Deferred</x:v>
      </x:c>
      <x:c r="C7" s="26" t="str">
        <x:v>Employees</x:v>
      </x:c>
      <x:c r="D7" s="26" t="str">
        <x:v>No iniciar antes de H6</x:v>
      </x:c>
      <x:c r="E7" s="26" t="str">
        <x:v>Protección de alcance</x:v>
      </x:c>
      <x:c r="F7" s="26" t="str">
        <x:v>Post-H6</x:v>
      </x:c>
      <x:c r="G7" s="26"/>
      <x:c r="H7" s="26"/>
      <x:c r="I7" s="26" t="str">
        <x:v>H7</x:v>
      </x:c>
      <x:c r="J7" s="26" t="str">
        <x:v>Deferred</x:v>
      </x:c>
    </x:row>
    <x:row r="8" ht="30" customHeight="1">
      <x:c r="A8" s="26" t="str">
        <x:v>SCR-004</x:v>
      </x:c>
      <x:c r="B8" s="26" t="str">
        <x:v>Deferred</x:v>
      </x:c>
      <x:c r="C8" s="26" t="str">
        <x:v>Research</x:v>
      </x:c>
      <x:c r="D8" s="26" t="str">
        <x:v>No iniciar antes de H6</x:v>
      </x:c>
      <x:c r="E8" s="26" t="str">
        <x:v>Protección de alcance</x:v>
      </x:c>
      <x:c r="F8" s="26" t="str">
        <x:v>Post-H6</x:v>
      </x:c>
      <x:c r="G8" s="26"/>
      <x:c r="H8" s="26"/>
      <x:c r="I8" s="26" t="str">
        <x:v>H7</x:v>
      </x:c>
      <x:c r="J8" s="26" t="str">
        <x:v>Deferred</x:v>
      </x:c>
    </x:row>
    <x:row r="9" ht="30" customHeight="1">
      <x:c r="A9" s="26" t="str">
        <x:v>SCR-005</x:v>
      </x:c>
      <x:c r="B9" s="26" t="str">
        <x:v>Deferred</x:v>
      </x:c>
      <x:c r="C9" s="26" t="str">
        <x:v>Computer Stations</x:v>
      </x:c>
      <x:c r="D9" s="26" t="str">
        <x:v>No iniciar antes de H6</x:v>
      </x:c>
      <x:c r="E9" s="26" t="str">
        <x:v>Protección de alcance</x:v>
      </x:c>
      <x:c r="F9" s="26" t="str">
        <x:v>Post-H6</x:v>
      </x:c>
      <x:c r="G9" s="26"/>
      <x:c r="H9" s="26"/>
      <x:c r="I9" s="26" t="str">
        <x:v>H7</x:v>
      </x:c>
      <x:c r="J9" s="26" t="str">
        <x:v>Deferred</x:v>
      </x:c>
    </x:row>
    <x:row r="10" ht="30" customHeight="1">
      <x:c r="A10" s="26" t="str">
        <x:v>SCR-006</x:v>
      </x:c>
      <x:c r="B10" s="26" t="str">
        <x:v>Vision</x:v>
      </x:c>
      <x:c r="C10" s="26" t="str">
        <x:v>Online Commerce</x:v>
      </x:c>
      <x:c r="D10" s="26" t="str">
        <x:v>Evaluar después de H7</x:v>
      </x:c>
      <x:c r="E10" s="26" t="str">
        <x:v>Complejidad logística</x:v>
      </x:c>
      <x:c r="F10" s="26" t="str">
        <x:v>Expansion</x:v>
      </x:c>
      <x:c r="G10" s="26"/>
      <x:c r="H10" s="26"/>
      <x:c r="I10" s="26" t="str">
        <x:v>H8</x:v>
      </x:c>
      <x:c r="J10" s="26" t="str">
        <x:v>Not Open</x:v>
      </x:c>
    </x:row>
    <x:row r="11" ht="30" customHeight="1">
      <x:c r="A11" s="26" t="str">
        <x:v>SCR-007</x:v>
      </x:c>
      <x:c r="B11" s="26" t="str">
        <x:v>Vision</x:v>
      </x:c>
      <x:c r="C11" s="26" t="str">
        <x:v>Publishing</x:v>
      </x:c>
      <x:c r="D11" s="26" t="str">
        <x:v>Evaluar después de H8</x:v>
      </x:c>
      <x:c r="E11" s="26" t="str">
        <x:v>Evitar dispersión</x:v>
      </x:c>
      <x:c r="F11" s="26" t="str">
        <x:v>Expansion</x:v>
      </x:c>
      <x:c r="G11" s="26"/>
      <x:c r="H11" s="26"/>
      <x:c r="I11" s="26" t="str">
        <x:v>H9</x:v>
      </x:c>
      <x:c r="J11" s="26" t="str">
        <x:v>Not Open</x:v>
      </x:c>
    </x:row>
    <x:row r="12" ht="30" customHeight="1">
      <x:c r="A12" s="26" t="str">
        <x:v>SCR-008</x:v>
      </x:c>
      <x:c r="B12" s="26" t="str">
        <x:v>Vision</x:v>
      </x:c>
      <x:c r="C12" s="26" t="str">
        <x:v>Internal Development</x:v>
      </x:c>
      <x:c r="D12" s="26" t="str">
        <x:v>Evaluar después de publishing</x:v>
      </x:c>
      <x:c r="E12" s="26" t="str">
        <x:v>Identidad del producto</x:v>
      </x:c>
      <x:c r="F12" s="26" t="str">
        <x:v>Expansion</x:v>
      </x:c>
      <x:c r="G12" s="26"/>
      <x:c r="H12" s="26"/>
      <x:c r="I12" s="26" t="str">
        <x:v>H9</x:v>
      </x:c>
      <x:c r="J12" s="26" t="str">
        <x:v>Not Open</x:v>
      </x:c>
    </x:row>
    <x:row r="13" ht="30" customHeight="1">
      <x:c r="A13" s="26" t="str">
        <x:v>SCR-009</x:v>
      </x:c>
      <x:c r="B13" s="26" t="str">
        <x:v>Vision</x:v>
      </x:c>
      <x:c r="C13" s="26" t="str">
        <x:v>Platform/Infrastructure</x:v>
      </x:c>
      <x:c r="D13" s="26" t="str">
        <x:v>Fase tardía</x:v>
      </x:c>
      <x:c r="E13" s="26" t="str">
        <x:v>Coste y riesgo</x:v>
      </x:c>
      <x:c r="F13" s="26" t="str">
        <x:v>Late Vision</x:v>
      </x:c>
      <x:c r="G13" s="26"/>
      <x:c r="H13" s="26"/>
      <x:c r="I13" s="26" t="str">
        <x:v>H10</x:v>
      </x:c>
      <x:c r="J13" s="26" t="str">
        <x:v>Not Open</x:v>
      </x:c>
    </x:row>
    <x:row r="14" ht="30" customHeight="1">
      <x:c r="A14" s="26" t="str">
        <x:v>SCR-010</x:v>
      </x:c>
      <x:c r="B14" s="26" t="str">
        <x:v>Rejected for S17</x:v>
      </x:c>
      <x:c r="C14" s="26" t="str">
        <x:v>New major systems</x:v>
      </x:c>
      <x:c r="D14" s="26" t="str">
        <x:v>S17 solo estabilización</x:v>
      </x:c>
      <x:c r="E14" s="26" t="str">
        <x:v>Gate H6</x:v>
      </x:c>
      <x:c r="F14" s="26" t="str">
        <x:v>Sprint 17</x:v>
      </x:c>
      <x:c r="G14" s="26" t="str">
        <x:v>GOV-001</x:v>
      </x:c>
      <x:c r="H14" s="26"/>
      <x:c r="I14" s="26" t="str">
        <x:v>H6</x:v>
      </x:c>
      <x:c r="J14" s="26" t="str">
        <x:v>Controlled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46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40" hidden="0" customWidth="1"/>
  </x:cols>
  <x:sheetData>
    <x:row r="1" ht="28" customHeight="1">
      <x:c r="A1" s="59" t="str">
        <x:v>Migraciones de datos y compatibilidad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 ht="32" customHeight="1">
      <x:c r="A2" s="63" t="str">
        <x:v>Migraciones, rollback, builds y estado de schemas, saves y escenas.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</x:row>
    <x:row r="4" ht="30" customHeight="1">
      <x:c r="A4" s="68" t="str">
        <x:v>Migration ID</x:v>
      </x:c>
      <x:c r="B4" s="68" t="str">
        <x:v>Objeto</x:v>
      </x:c>
      <x:c r="C4" s="68" t="str">
        <x:v>Desde</x:v>
      </x:c>
      <x:c r="D4" s="68" t="str">
        <x:v>Hasta</x:v>
      </x:c>
      <x:c r="E4" s="68" t="str">
        <x:v>Sprint</x:v>
      </x:c>
      <x:c r="F4" s="68" t="str">
        <x:v>ADR</x:v>
      </x:c>
      <x:c r="G4" s="68" t="str">
        <x:v>Motivo</x:v>
      </x:c>
      <x:c r="H4" s="68" t="str">
        <x:v>Compatibilidad/Rollback</x:v>
      </x:c>
      <x:c r="I4" s="68" t="str">
        <x:v>Estado</x:v>
      </x:c>
      <x:c r="J4" s="68" t="str">
        <x:v>Cambio</x:v>
      </x:c>
      <x:c r="K4" s="68" t="str">
        <x:v>Build</x:v>
      </x:c>
      <x:c r="L4" s="68" t="str">
        <x:v>Notas</x:v>
      </x:c>
    </x:row>
    <x:row r="5" ht="30" customHeight="1">
      <x:c r="A5" s="26" t="str">
        <x:v>MIG-001</x:v>
      </x:c>
      <x:c r="B5" s="26" t="str">
        <x:v>GameSessionSnapshot</x:v>
      </x:c>
      <x:c r="C5" s="26" t="str">
        <x:v>0</x:v>
      </x:c>
      <x:c r="D5" s="26" t="str">
        <x:v>1</x:v>
      </x:c>
      <x:c r="E5" s="26" t="str">
        <x:v>Sprint 2</x:v>
      </x:c>
      <x:c r="F5" s="26" t="str">
        <x:v>ADR-0011</x:v>
      </x:c>
      <x:c r="G5" s="26" t="str">
        <x:v>Create minimal versioned save skeleton</x:v>
      </x:c>
      <x:c r="H5" s="26" t="str">
        <x:v>Forward only</x:v>
      </x:c>
      <x:c r="I5" s="26" t="str">
        <x:v>PASS</x:v>
      </x:c>
      <x:c r="J5" s="26" t="str">
        <x:v>CHG-SAVE-001</x:v>
      </x:c>
      <x:c r="K5" s="26" t="str">
        <x:v>BLD-S02</x:v>
      </x:c>
      <x:c r="L5" s="26"/>
    </x:row>
    <x:row r="6" ht="30" customHeight="1">
      <x:c r="A6" s="26" t="str">
        <x:v>MIG-002</x:v>
      </x:c>
      <x:c r="B6" s="26" t="str">
        <x:v>IntegratedGameStateSnapshot</x:v>
      </x:c>
      <x:c r="C6" s="26" t="str">
        <x:v>1</x:v>
      </x:c>
      <x:c r="D6" s="26" t="str">
        <x:v>2</x:v>
      </x:c>
      <x:c r="E6" s="26" t="str">
        <x:v>Sprint 14</x:v>
      </x:c>
      <x:c r="F6" s="26" t="str">
        <x:v>ADR-0056</x:v>
      </x:c>
      <x:c r="G6" s="26" t="str">
        <x:v>Integrated full-slice state</x:v>
      </x:c>
      <x:c r="H6" s="26" t="str">
        <x:v>Compatible/validated</x:v>
      </x:c>
      <x:c r="I6" s="26" t="str">
        <x:v>PASS</x:v>
      </x:c>
      <x:c r="J6" s="26" t="str">
        <x:v>CHG-SAVE-002</x:v>
      </x:c>
      <x:c r="K6" s="26" t="str">
        <x:v>BLD-S14</x:v>
      </x:c>
      <x:c r="L6" s="26" t="str">
        <x:v>Schema 2 no incluye placement completo.</x:v>
      </x:c>
    </x:row>
    <x:row r="7" ht="30" customHeight="1">
      <x:c r="A7" s="26" t="str">
        <x:v>MIG-003</x:v>
      </x:c>
      <x:c r="B7" s="26" t="str">
        <x:v>Atomic envelope</x:v>
      </x:c>
      <x:c r="C7" s="26" t="str">
        <x:v>Legacy write</x:v>
      </x:c>
      <x:c r="D7" s="26" t="str">
        <x:v>Validated atomic write</x:v>
      </x:c>
      <x:c r="E7" s="26" t="str">
        <x:v>Sprint 14</x:v>
      </x:c>
      <x:c r="F7" s="26" t="str">
        <x:v>ADR-0057</x:v>
      </x:c>
      <x:c r="G7" s="26" t="str">
        <x:v>Prevent partial primary</x:v>
      </x:c>
      <x:c r="H7" s="26" t="str">
        <x:v>Rollback via backup</x:v>
      </x:c>
      <x:c r="I7" s="26" t="str">
        <x:v>PASS</x:v>
      </x:c>
      <x:c r="J7" s="26" t="str">
        <x:v>CHG-SAVE-003</x:v>
      </x:c>
      <x:c r="K7" s="26" t="str">
        <x:v>BLD-S14</x:v>
      </x:c>
      <x:c r="L7" s="26"/>
    </x:row>
    <x:row r="8" ht="30" customHeight="1">
      <x:c r="A8" s="26" t="str">
        <x:v>MIG-004</x:v>
      </x:c>
      <x:c r="B8" s="26" t="str">
        <x:v>Recovery</x:v>
      </x:c>
      <x:c r="C8" s="26" t="str">
        <x:v>Primary-first</x:v>
      </x:c>
      <x:c r="D8" s="26" t="str">
        <x:v>Backup-first</x:v>
      </x:c>
      <x:c r="E8" s="26" t="str">
        <x:v>Sprint 14</x:v>
      </x:c>
      <x:c r="F8" s="26" t="str">
        <x:v>ADR-0059</x:v>
      </x:c>
      <x:c r="G8" s="26" t="str">
        <x:v>Protect valid backup</x:v>
      </x:c>
      <x:c r="H8" s="26" t="str">
        <x:v>Recovery flow</x:v>
      </x:c>
      <x:c r="I8" s="26" t="str">
        <x:v>PASS</x:v>
      </x:c>
      <x:c r="J8" s="26" t="str">
        <x:v>CHG-SAVE-003</x:v>
      </x:c>
      <x:c r="K8" s="26" t="str">
        <x:v>BLD-S14</x:v>
      </x:c>
      <x:c r="L8" s="26"/>
    </x:row>
    <x:row r="9" ht="30" customHeight="1">
      <x:c r="A9" s="26" t="str">
        <x:v>MIG-005</x:v>
      </x:c>
      <x:c r="B9" s="26" t="str">
        <x:v>Restore</x:v>
      </x:c>
      <x:c r="C9" s="26" t="str">
        <x:v>Single phase</x:v>
      </x:c>
      <x:c r="D9" s="26" t="str">
        <x:v>Two-phase restore</x:v>
      </x:c>
      <x:c r="E9" s="26" t="str">
        <x:v>Sprint 14</x:v>
      </x:c>
      <x:c r="F9" s="26" t="str">
        <x:v>ADR-0060</x:v>
      </x:c>
      <x:c r="G9" s="26" t="str">
        <x:v>Validate before mutation</x:v>
      </x:c>
      <x:c r="H9" s="26" t="str">
        <x:v>No partial restore</x:v>
      </x:c>
      <x:c r="I9" s="26" t="str">
        <x:v>PASS</x:v>
      </x:c>
      <x:c r="J9" s="26" t="str">
        <x:v>CHG-SAVE-003</x:v>
      </x:c>
      <x:c r="K9" s="26" t="str">
        <x:v>BLD-S14</x:v>
      </x:c>
      <x:c r="L9" s="26"/>
    </x:row>
    <x:row r="10" ht="30" customHeight="1">
      <x:c r="A10" s="26" t="str">
        <x:v>MIG-006</x:v>
      </x:c>
      <x:c r="B10" s="26" t="str">
        <x:v>Placement persistence</x:v>
      </x:c>
      <x:c r="C10" s="26" t="str">
        <x:v>Not included</x:v>
      </x:c>
      <x:c r="D10" s="26" t="str">
        <x:v>Future integrated schema</x:v>
      </x:c>
      <x:c r="E10" s="26" t="str">
        <x:v>Post-H6</x:v>
      </x:c>
      <x:c r="F10" s="26"/>
      <x:c r="G10" s="26" t="str">
        <x:v>Persist dynamic placement</x:v>
      </x:c>
      <x:c r="H10" s="26" t="str">
        <x:v>TBD</x:v>
      </x:c>
      <x:c r="I10" s="26" t="str">
        <x:v>OPEN</x:v>
      </x:c>
      <x:c r="J10" s="26"/>
      <x:c r="K10" s="26"/>
      <x:c r="L10" s="26" t="str">
        <x:v>Fixed architecture remains scene-authored.</x:v>
      </x:c>
    </x:row>
    <x:row r="11" ht="30" customHeight="1">
      <x:c r="A11" s="26" t="str">
        <x:v>MIG-007</x:v>
      </x:c>
      <x:c r="B11" s="26" t="str">
        <x:v>Store scene</x:v>
      </x:c>
      <x:c r="C11" s="26" t="str">
        <x:v>Store</x:v>
      </x:c>
      <x:c r="D11" s="26" t="str">
        <x:v>StoreInitial</x:v>
      </x:c>
      <x:c r="E11" s="26" t="str">
        <x:v>Sprint 16</x:v>
      </x:c>
      <x:c r="F11" s="26" t="str">
        <x:v>ADR-0035-S16</x:v>
      </x:c>
      <x:c r="G11" s="26" t="str">
        <x:v>Representative authored scene</x:v>
      </x:c>
      <x:c r="H11" s="26" t="str">
        <x:v>Fallback retained until gate</x:v>
      </x:c>
      <x:c r="I11" s="26" t="str">
        <x:v>IN PROGRESS</x:v>
      </x:c>
      <x:c r="J11" s="26" t="str">
        <x:v>CHG-STORE-002</x:v>
      </x:c>
      <x:c r="K11" s="26" t="str">
        <x:v>BLD-016-POST</x:v>
      </x:c>
      <x:c r="L11" s="26"/>
    </x:row>
  </x:sheetData>
  <x:mergeCells>
    <x:mergeCell ref="A1:L1"/>
    <x:mergeCell ref="A2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4" hidden="0" customWidth="1"/>
    <x:col min="16" max="16" width="44" hidden="0" customWidth="1"/>
    <x:col min="17" max="17" width="42" hidden="0" customWidth="1"/>
  </x:cols>
  <x:sheetData>
    <x:row r="1" ht="28" customHeight="1">
      <x:c r="A1" s="59" t="str">
        <x:v>Assets, contenido y licencias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</x:row>
    <x:row r="2" ht="32" customHeight="1">
      <x:c r="A2" s="63" t="str">
        <x:v>Contenido heredado para trazabilidad con catálogos, arte, audio, UI y legal.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</x:row>
    <x:row r="4" ht="30" customHeight="1">
      <x:c r="A4" s="68" t="str">
        <x:v>Asset ID</x:v>
      </x:c>
      <x:c r="B4" s="68" t="str">
        <x:v>Categoría</x:v>
      </x:c>
      <x:c r="C4" s="68" t="str">
        <x:v>Familia</x:v>
      </x:c>
      <x:c r="D4" s="68" t="str">
        <x:v>Nombre</x:v>
      </x:c>
      <x:c r="E4" s="68" t="str">
        <x:v>Ruta</x:v>
      </x:c>
      <x:c r="F4" s="68" t="str">
        <x:v>Origen</x:v>
      </x:c>
      <x:c r="G4" s="68" t="str">
        <x:v>Licencia</x:v>
      </x:c>
      <x:c r="H4" s="68" t="str">
        <x:v>Estado importación</x:v>
      </x:c>
      <x:c r="I4" s="68" t="str">
        <x:v>Prefab/Asset</x:v>
      </x:c>
      <x:c r="J4" s="68" t="str">
        <x:v>Catálogo</x:v>
      </x:c>
      <x:c r="K4" s="68" t="str">
        <x:v>QA</x:v>
      </x:c>
      <x:c r="L4" s="68" t="str">
        <x:v>Sprint</x:v>
      </x:c>
      <x:c r="M4" s="68" t="str">
        <x:v>Cambio</x:v>
      </x:c>
      <x:c r="N4" s="68" t="str">
        <x:v>ADR</x:v>
      </x:c>
      <x:c r="O4" s="68" t="str">
        <x:v>Commit</x:v>
      </x:c>
      <x:c r="P4" s="68" t="str">
        <x:v>Build</x:v>
      </x:c>
      <x:c r="Q4" s="68" t="str">
        <x:v>Notas</x:v>
      </x:c>
    </x:row>
    <x:row r="5" ht="30" customHeight="1">
      <x:c r="A5" s="26" t="str">
        <x:v>ENV-001</x:v>
      </x:c>
      <x:c r="B5" s="26" t="str">
        <x:v>Environment</x:v>
      </x:c>
      <x:c r="C5" s="26" t="str">
        <x:v>StoreInitial</x:v>
      </x:c>
      <x:c r="D5" s="26" t="str">
        <x:v>Floor / suelo</x:v>
      </x:c>
      <x:c r="E5" s="26"/>
      <x:c r="F5" s="26" t="str">
        <x:v>Internal representative set</x:v>
      </x:c>
      <x:c r="G5" s="26" t="str">
        <x:v>Internal/Approved</x:v>
      </x:c>
      <x:c r="H5" s="26" t="str">
        <x:v>Imported/Authoring</x:v>
      </x:c>
      <x:c r="I5" s="26" t="str">
        <x:v>Pending/Partial</x:v>
      </x:c>
      <x:c r="J5" s="26" t="str">
        <x:v>N/A</x:v>
      </x:c>
      <x:c r="K5" s="26" t="str">
        <x:v>Pending visual approval</x:v>
      </x:c>
      <x:c r="L5" s="26" t="n">
        <x:v>16</x:v>
      </x:c>
      <x:c r="M5" s="26"/>
      <x:c r="N5" s="26"/>
      <x:c r="O5" s="26"/>
      <x:c r="P5" s="26"/>
      <x:c r="Q5" s="26"/>
    </x:row>
    <x:row r="6" ht="30" customHeight="1">
      <x:c r="A6" s="26" t="str">
        <x:v>ENV-002</x:v>
      </x:c>
      <x:c r="B6" s="26" t="str">
        <x:v>Environment</x:v>
      </x:c>
      <x:c r="C6" s="26" t="str">
        <x:v>StoreInitial</x:v>
      </x:c>
      <x:c r="D6" s="26" t="str">
        <x:v>Perimeter walls</x:v>
      </x:c>
      <x:c r="E6" s="26"/>
      <x:c r="F6" s="26" t="str">
        <x:v>Internal representative set</x:v>
      </x:c>
      <x:c r="G6" s="26" t="str">
        <x:v>Internal/Approved</x:v>
      </x:c>
      <x:c r="H6" s="26" t="str">
        <x:v>Imported/Authoring</x:v>
      </x:c>
      <x:c r="I6" s="26" t="str">
        <x:v>Pending/Partial</x:v>
      </x:c>
      <x:c r="J6" s="26" t="str">
        <x:v>N/A</x:v>
      </x:c>
      <x:c r="K6" s="26" t="str">
        <x:v>KI-016-01</x:v>
      </x:c>
      <x:c r="L6" s="26" t="n">
        <x:v>16</x:v>
      </x:c>
      <x:c r="M6" s="26"/>
      <x:c r="N6" s="26"/>
      <x:c r="O6" s="26"/>
      <x:c r="P6" s="26"/>
      <x:c r="Q6" s="26"/>
    </x:row>
    <x:row r="7" ht="30" customHeight="1">
      <x:c r="A7" s="26" t="str">
        <x:v>ENV-003</x:v>
      </x:c>
      <x:c r="B7" s="26" t="str">
        <x:v>Environment</x:v>
      </x:c>
      <x:c r="C7" s="26" t="str">
        <x:v>StoreInitial</x:v>
      </x:c>
      <x:c r="D7" s="26" t="str">
        <x:v>Entrance frame</x:v>
      </x:c>
      <x:c r="E7" s="26"/>
      <x:c r="F7" s="26" t="str">
        <x:v>Internal representative set</x:v>
      </x:c>
      <x:c r="G7" s="26" t="str">
        <x:v>Internal/Approved</x:v>
      </x:c>
      <x:c r="H7" s="26" t="str">
        <x:v>Imported/Authoring</x:v>
      </x:c>
      <x:c r="I7" s="26" t="str">
        <x:v>Pending/Partial</x:v>
      </x:c>
      <x:c r="J7" s="26" t="str">
        <x:v>N/A</x:v>
      </x:c>
      <x:c r="K7" s="26" t="str">
        <x:v>Pending</x:v>
      </x:c>
      <x:c r="L7" s="26" t="n">
        <x:v>16</x:v>
      </x:c>
      <x:c r="M7" s="26"/>
      <x:c r="N7" s="26"/>
      <x:c r="O7" s="26"/>
      <x:c r="P7" s="26"/>
      <x:c r="Q7" s="26"/>
    </x:row>
    <x:row r="8" ht="30" customHeight="1">
      <x:c r="A8" s="26" t="str">
        <x:v>ENV-004</x:v>
      </x:c>
      <x:c r="B8" s="26" t="str">
        <x:v>Environment</x:v>
      </x:c>
      <x:c r="C8" s="26" t="str">
        <x:v>StoreInitial</x:v>
      </x:c>
      <x:c r="D8" s="26" t="str">
        <x:v>Automatic door</x:v>
      </x:c>
      <x:c r="E8" s="26"/>
      <x:c r="F8" s="26" t="str">
        <x:v>Internal representative set</x:v>
      </x:c>
      <x:c r="G8" s="26" t="str">
        <x:v>Internal/Approved</x:v>
      </x:c>
      <x:c r="H8" s="26" t="str">
        <x:v>Imported/Authoring</x:v>
      </x:c>
      <x:c r="I8" s="26" t="str">
        <x:v>Pending/Partial</x:v>
      </x:c>
      <x:c r="J8" s="26" t="str">
        <x:v>N/A</x:v>
      </x:c>
      <x:c r="K8" s="26" t="str">
        <x:v>KI-016-02</x:v>
      </x:c>
      <x:c r="L8" s="26" t="n">
        <x:v>16</x:v>
      </x:c>
      <x:c r="M8" s="26"/>
      <x:c r="N8" s="26"/>
      <x:c r="O8" s="26"/>
      <x:c r="P8" s="26"/>
      <x:c r="Q8" s="26"/>
    </x:row>
    <x:row r="9" ht="30" customHeight="1">
      <x:c r="A9" s="26" t="str">
        <x:v>ENV-005</x:v>
      </x:c>
      <x:c r="B9" s="26" t="str">
        <x:v>Environment</x:v>
      </x:c>
      <x:c r="C9" s="26" t="str">
        <x:v>StoreInitial</x:v>
      </x:c>
      <x:c r="D9" s="26" t="str">
        <x:v>Warehouse zone</x:v>
      </x:c>
      <x:c r="E9" s="26"/>
      <x:c r="F9" s="26" t="str">
        <x:v>Internal representative set</x:v>
      </x:c>
      <x:c r="G9" s="26" t="str">
        <x:v>Internal/Approved</x:v>
      </x:c>
      <x:c r="H9" s="26" t="str">
        <x:v>Imported/Authoring</x:v>
      </x:c>
      <x:c r="I9" s="26" t="str">
        <x:v>Pending/Partial</x:v>
      </x:c>
      <x:c r="J9" s="26" t="str">
        <x:v>N/A</x:v>
      </x:c>
      <x:c r="K9" s="26" t="str">
        <x:v>Pending</x:v>
      </x:c>
      <x:c r="L9" s="26" t="n">
        <x:v>16</x:v>
      </x:c>
      <x:c r="M9" s="26"/>
      <x:c r="N9" s="26"/>
      <x:c r="O9" s="26"/>
      <x:c r="P9" s="26"/>
      <x:c r="Q9" s="26"/>
    </x:row>
    <x:row r="10" ht="30" customHeight="1">
      <x:c r="A10" s="26" t="str">
        <x:v>ENV-006</x:v>
      </x:c>
      <x:c r="B10" s="26" t="str">
        <x:v>Environment</x:v>
      </x:c>
      <x:c r="C10" s="26" t="str">
        <x:v>StoreInitial</x:v>
      </x:c>
      <x:c r="D10" s="26" t="str">
        <x:v>Reception zone</x:v>
      </x:c>
      <x:c r="E10" s="26"/>
      <x:c r="F10" s="26" t="str">
        <x:v>Internal representative set</x:v>
      </x:c>
      <x:c r="G10" s="26" t="str">
        <x:v>Internal/Approved</x:v>
      </x:c>
      <x:c r="H10" s="26" t="str">
        <x:v>Imported/Authoring</x:v>
      </x:c>
      <x:c r="I10" s="26" t="str">
        <x:v>Pending/Partial</x:v>
      </x:c>
      <x:c r="J10" s="26" t="str">
        <x:v>N/A</x:v>
      </x:c>
      <x:c r="K10" s="26" t="str">
        <x:v>Pending</x:v>
      </x:c>
      <x:c r="L10" s="26" t="n">
        <x:v>16</x:v>
      </x:c>
      <x:c r="M10" s="26"/>
      <x:c r="N10" s="26"/>
      <x:c r="O10" s="26"/>
      <x:c r="P10" s="26"/>
      <x:c r="Q10" s="26"/>
    </x:row>
    <x:row r="11" ht="30" customHeight="1">
      <x:c r="A11" s="26" t="str">
        <x:v>ENV-007</x:v>
      </x:c>
      <x:c r="B11" s="26" t="str">
        <x:v>Environment</x:v>
      </x:c>
      <x:c r="C11" s="26" t="str">
        <x:v>StoreInitial</x:v>
      </x:c>
      <x:c r="D11" s="26" t="str">
        <x:v>Checkout zone</x:v>
      </x:c>
      <x:c r="E11" s="26"/>
      <x:c r="F11" s="26" t="str">
        <x:v>Internal representative set</x:v>
      </x:c>
      <x:c r="G11" s="26" t="str">
        <x:v>Internal/Approved</x:v>
      </x:c>
      <x:c r="H11" s="26" t="str">
        <x:v>Imported/Authoring</x:v>
      </x:c>
      <x:c r="I11" s="26" t="str">
        <x:v>Pending/Partial</x:v>
      </x:c>
      <x:c r="J11" s="26" t="str">
        <x:v>N/A</x:v>
      </x:c>
      <x:c r="K11" s="26" t="str">
        <x:v>Pending</x:v>
      </x:c>
      <x:c r="L11" s="26" t="n">
        <x:v>16</x:v>
      </x:c>
      <x:c r="M11" s="26"/>
      <x:c r="N11" s="26"/>
      <x:c r="O11" s="26"/>
      <x:c r="P11" s="26"/>
      <x:c r="Q11" s="26"/>
    </x:row>
    <x:row r="12" ht="30" customHeight="1">
      <x:c r="A12" s="26" t="str">
        <x:v>ENV-008</x:v>
      </x:c>
      <x:c r="B12" s="26" t="str">
        <x:v>Environment</x:v>
      </x:c>
      <x:c r="C12" s="26" t="str">
        <x:v>StoreInitial</x:v>
      </x:c>
      <x:c r="D12" s="26" t="str">
        <x:v>Lighting rig</x:v>
      </x:c>
      <x:c r="E12" s="26"/>
      <x:c r="F12" s="26" t="str">
        <x:v>Internal representative set</x:v>
      </x:c>
      <x:c r="G12" s="26" t="str">
        <x:v>Internal/Approved</x:v>
      </x:c>
      <x:c r="H12" s="26" t="str">
        <x:v>Imported/Authoring</x:v>
      </x:c>
      <x:c r="I12" s="26" t="str">
        <x:v>Pending/Partial</x:v>
      </x:c>
      <x:c r="J12" s="26" t="str">
        <x:v>N/A</x:v>
      </x:c>
      <x:c r="K12" s="26" t="str">
        <x:v>Pending</x:v>
      </x:c>
      <x:c r="L12" s="26" t="n">
        <x:v>16</x:v>
      </x:c>
      <x:c r="M12" s="26"/>
      <x:c r="N12" s="26"/>
      <x:c r="O12" s="26"/>
      <x:c r="P12" s="26"/>
      <x:c r="Q12" s="26"/>
    </x:row>
    <x:row r="13" ht="30" customHeight="1">
      <x:c r="A13" s="26" t="str">
        <x:v>ENV-009</x:v>
      </x:c>
      <x:c r="B13" s="26" t="str">
        <x:v>Environment</x:v>
      </x:c>
      <x:c r="C13" s="26" t="str">
        <x:v>StoreInitial</x:v>
      </x:c>
      <x:c r="D13" s="26" t="str">
        <x:v>Technical colliders</x:v>
      </x:c>
      <x:c r="E13" s="26"/>
      <x:c r="F13" s="26" t="str">
        <x:v>Internal representative set</x:v>
      </x:c>
      <x:c r="G13" s="26" t="str">
        <x:v>Internal/Approved</x:v>
      </x:c>
      <x:c r="H13" s="26" t="str">
        <x:v>Imported/Authoring</x:v>
      </x:c>
      <x:c r="I13" s="26" t="str">
        <x:v>Pending/Partial</x:v>
      </x:c>
      <x:c r="J13" s="26" t="str">
        <x:v>N/A</x:v>
      </x:c>
      <x:c r="K13" s="26" t="str">
        <x:v>Pending</x:v>
      </x:c>
      <x:c r="L13" s="26" t="n">
        <x:v>16</x:v>
      </x:c>
      <x:c r="M13" s="26"/>
      <x:c r="N13" s="26"/>
      <x:c r="O13" s="26"/>
      <x:c r="P13" s="26"/>
      <x:c r="Q13" s="26"/>
    </x:row>
    <x:row r="14" ht="30" customHeight="1">
      <x:c r="A14" s="26" t="str">
        <x:v>ENV-010</x:v>
      </x:c>
      <x:c r="B14" s="26" t="str">
        <x:v>Environment</x:v>
      </x:c>
      <x:c r="C14" s="26" t="str">
        <x:v>StoreInitial</x:v>
      </x:c>
      <x:c r="D14" s="26" t="str">
        <x:v>Scene anchors/root set</x:v>
      </x:c>
      <x:c r="E14" s="26"/>
      <x:c r="F14" s="26" t="str">
        <x:v>Internal representative set</x:v>
      </x:c>
      <x:c r="G14" s="26" t="str">
        <x:v>Internal/Approved</x:v>
      </x:c>
      <x:c r="H14" s="26" t="str">
        <x:v>Imported/Authoring</x:v>
      </x:c>
      <x:c r="I14" s="26" t="str">
        <x:v>Pending/Partial</x:v>
      </x:c>
      <x:c r="J14" s="26" t="str">
        <x:v>N/A</x:v>
      </x:c>
      <x:c r="K14" s="26" t="str">
        <x:v>Pending</x:v>
      </x:c>
      <x:c r="L14" s="26" t="n">
        <x:v>16</x:v>
      </x:c>
      <x:c r="M14" s="26"/>
      <x:c r="N14" s="26"/>
      <x:c r="O14" s="26"/>
      <x:c r="P14" s="26"/>
      <x:c r="Q14" s="26"/>
    </x:row>
    <x:row r="15" ht="30" customHeight="1">
      <x:c r="A15" s="26" t="str">
        <x:v>FUR-001</x:v>
      </x:c>
      <x:c r="B15" s="26" t="str">
        <x:v>Furniture</x:v>
      </x:c>
      <x:c r="C15" s="26" t="str">
        <x:v>Representative family</x:v>
      </x:c>
      <x:c r="D15" s="26" t="str">
        <x:v>Checkout counter</x:v>
      </x:c>
      <x:c r="E15" s="26"/>
      <x:c r="F15" s="26" t="str">
        <x:v>Representative assets</x:v>
      </x:c>
      <x:c r="G15" s="26" t="str">
        <x:v>Internal/Approved</x:v>
      </x:c>
      <x:c r="H15" s="26" t="str">
        <x:v>Imported</x:v>
      </x:c>
      <x:c r="I15" s="26" t="str">
        <x:v>Prefab available</x:v>
      </x:c>
      <x:c r="J15" s="26" t="str">
        <x:v>Runtime catalog linked</x:v>
      </x:c>
      <x:c r="K15" s="26" t="str">
        <x:v>Pending authored placement</x:v>
      </x:c>
      <x:c r="L15" s="26" t="n">
        <x:v>16</x:v>
      </x:c>
      <x:c r="M15" s="26"/>
      <x:c r="N15" s="26"/>
      <x:c r="O15" s="26"/>
      <x:c r="P15" s="26"/>
      <x:c r="Q15" s="26"/>
    </x:row>
    <x:row r="16" ht="30" customHeight="1">
      <x:c r="A16" s="26" t="str">
        <x:v>FUR-002</x:v>
      </x:c>
      <x:c r="B16" s="26" t="str">
        <x:v>Furniture</x:v>
      </x:c>
      <x:c r="C16" s="26" t="str">
        <x:v>Representative family</x:v>
      </x:c>
      <x:c r="D16" s="26" t="str">
        <x:v>Wall shelving</x:v>
      </x:c>
      <x:c r="E16" s="26"/>
      <x:c r="F16" s="26" t="str">
        <x:v>Representative assets</x:v>
      </x:c>
      <x:c r="G16" s="26" t="str">
        <x:v>Internal/Approved</x:v>
      </x:c>
      <x:c r="H16" s="26" t="str">
        <x:v>Imported</x:v>
      </x:c>
      <x:c r="I16" s="26" t="str">
        <x:v>Prefab available</x:v>
      </x:c>
      <x:c r="J16" s="26" t="str">
        <x:v>Runtime catalog linked</x:v>
      </x:c>
      <x:c r="K16" s="26" t="str">
        <x:v>Pending authored placement</x:v>
      </x:c>
      <x:c r="L16" s="26" t="n">
        <x:v>16</x:v>
      </x:c>
      <x:c r="M16" s="26"/>
      <x:c r="N16" s="26"/>
      <x:c r="O16" s="26"/>
      <x:c r="P16" s="26"/>
      <x:c r="Q16" s="26"/>
    </x:row>
    <x:row r="17" ht="30" customHeight="1">
      <x:c r="A17" s="26" t="str">
        <x:v>FUR-003</x:v>
      </x:c>
      <x:c r="B17" s="26" t="str">
        <x:v>Furniture</x:v>
      </x:c>
      <x:c r="C17" s="26" t="str">
        <x:v>Representative family</x:v>
      </x:c>
      <x:c r="D17" s="26" t="str">
        <x:v>Floor display rack</x:v>
      </x:c>
      <x:c r="E17" s="26"/>
      <x:c r="F17" s="26" t="str">
        <x:v>Representative assets</x:v>
      </x:c>
      <x:c r="G17" s="26" t="str">
        <x:v>Internal/Approved</x:v>
      </x:c>
      <x:c r="H17" s="26" t="str">
        <x:v>Imported</x:v>
      </x:c>
      <x:c r="I17" s="26" t="str">
        <x:v>Prefab available</x:v>
      </x:c>
      <x:c r="J17" s="26" t="str">
        <x:v>Runtime catalog linked</x:v>
      </x:c>
      <x:c r="K17" s="26" t="str">
        <x:v>Pending authored placement</x:v>
      </x:c>
      <x:c r="L17" s="26" t="n">
        <x:v>16</x:v>
      </x:c>
      <x:c r="M17" s="26"/>
      <x:c r="N17" s="26"/>
      <x:c r="O17" s="26"/>
      <x:c r="P17" s="26"/>
      <x:c r="Q17" s="26"/>
    </x:row>
    <x:row r="18" ht="30" customHeight="1">
      <x:c r="A18" s="26" t="str">
        <x:v>FUR-004</x:v>
      </x:c>
      <x:c r="B18" s="26" t="str">
        <x:v>Furniture</x:v>
      </x:c>
      <x:c r="C18" s="26" t="str">
        <x:v>Representative family</x:v>
      </x:c>
      <x:c r="D18" s="26" t="str">
        <x:v>Glass display</x:v>
      </x:c>
      <x:c r="E18" s="26"/>
      <x:c r="F18" s="26" t="str">
        <x:v>Representative assets</x:v>
      </x:c>
      <x:c r="G18" s="26" t="str">
        <x:v>Internal/Approved</x:v>
      </x:c>
      <x:c r="H18" s="26" t="str">
        <x:v>Imported</x:v>
      </x:c>
      <x:c r="I18" s="26" t="str">
        <x:v>Prefab available</x:v>
      </x:c>
      <x:c r="J18" s="26" t="str">
        <x:v>Runtime catalog linked</x:v>
      </x:c>
      <x:c r="K18" s="26" t="str">
        <x:v>Pending authored placement</x:v>
      </x:c>
      <x:c r="L18" s="26" t="n">
        <x:v>16</x:v>
      </x:c>
      <x:c r="M18" s="26"/>
      <x:c r="N18" s="26"/>
      <x:c r="O18" s="26"/>
      <x:c r="P18" s="26"/>
      <x:c r="Q18" s="26"/>
    </x:row>
    <x:row r="19" ht="30" customHeight="1">
      <x:c r="A19" s="26" t="str">
        <x:v>FUR-005</x:v>
      </x:c>
      <x:c r="B19" s="26" t="str">
        <x:v>Furniture</x:v>
      </x:c>
      <x:c r="C19" s="26" t="str">
        <x:v>Representative family</x:v>
      </x:c>
      <x:c r="D19" s="26" t="str">
        <x:v>Warehouse shelving</x:v>
      </x:c>
      <x:c r="E19" s="26"/>
      <x:c r="F19" s="26" t="str">
        <x:v>Representative assets</x:v>
      </x:c>
      <x:c r="G19" s="26" t="str">
        <x:v>Internal/Approved</x:v>
      </x:c>
      <x:c r="H19" s="26" t="str">
        <x:v>Imported</x:v>
      </x:c>
      <x:c r="I19" s="26" t="str">
        <x:v>Prefab available</x:v>
      </x:c>
      <x:c r="J19" s="26" t="str">
        <x:v>Runtime catalog linked</x:v>
      </x:c>
      <x:c r="K19" s="26" t="str">
        <x:v>KI-016-03</x:v>
      </x:c>
      <x:c r="L19" s="26" t="n">
        <x:v>16</x:v>
      </x:c>
      <x:c r="M19" s="26"/>
      <x:c r="N19" s="26"/>
      <x:c r="O19" s="26"/>
      <x:c r="P19" s="26"/>
      <x:c r="Q19" s="26"/>
    </x:row>
    <x:row r="20" ht="30" customHeight="1">
      <x:c r="A20" s="26" t="str">
        <x:v>FUR-006</x:v>
      </x:c>
      <x:c r="B20" s="26" t="str">
        <x:v>Furniture</x:v>
      </x:c>
      <x:c r="C20" s="26" t="str">
        <x:v>Representative family</x:v>
      </x:c>
      <x:c r="D20" s="26" t="str">
        <x:v>Receiving table</x:v>
      </x:c>
      <x:c r="E20" s="26"/>
      <x:c r="F20" s="26" t="str">
        <x:v>Representative assets</x:v>
      </x:c>
      <x:c r="G20" s="26" t="str">
        <x:v>Internal/Approved</x:v>
      </x:c>
      <x:c r="H20" s="26" t="str">
        <x:v>Imported</x:v>
      </x:c>
      <x:c r="I20" s="26" t="str">
        <x:v>Prefab available</x:v>
      </x:c>
      <x:c r="J20" s="26" t="str">
        <x:v>Runtime catalog linked</x:v>
      </x:c>
      <x:c r="K20" s="26" t="str">
        <x:v>Pending authored placement</x:v>
      </x:c>
      <x:c r="L20" s="26" t="n">
        <x:v>16</x:v>
      </x:c>
      <x:c r="M20" s="26"/>
      <x:c r="N20" s="26"/>
      <x:c r="O20" s="26"/>
      <x:c r="P20" s="26"/>
      <x:c r="Q20" s="26"/>
    </x:row>
    <x:row r="21" ht="30" customHeight="1">
      <x:c r="A21" s="26" t="str">
        <x:v>FUR-007</x:v>
      </x:c>
      <x:c r="B21" s="26" t="str">
        <x:v>Furniture</x:v>
      </x:c>
      <x:c r="C21" s="26" t="str">
        <x:v>Representative family</x:v>
      </x:c>
      <x:c r="D21" s="26" t="str">
        <x:v>Storage cabinet</x:v>
      </x:c>
      <x:c r="E21" s="26"/>
      <x:c r="F21" s="26" t="str">
        <x:v>Representative assets</x:v>
      </x:c>
      <x:c r="G21" s="26" t="str">
        <x:v>Internal/Approved</x:v>
      </x:c>
      <x:c r="H21" s="26" t="str">
        <x:v>Imported</x:v>
      </x:c>
      <x:c r="I21" s="26" t="str">
        <x:v>Prefab available</x:v>
      </x:c>
      <x:c r="J21" s="26" t="str">
        <x:v>Runtime catalog linked</x:v>
      </x:c>
      <x:c r="K21" s="26" t="str">
        <x:v>Pending authored placement</x:v>
      </x:c>
      <x:c r="L21" s="26" t="n">
        <x:v>16</x:v>
      </x:c>
      <x:c r="M21" s="26"/>
      <x:c r="N21" s="26"/>
      <x:c r="O21" s="26"/>
      <x:c r="P21" s="26"/>
      <x:c r="Q21" s="26"/>
    </x:row>
    <x:row r="22" ht="30" customHeight="1">
      <x:c r="A22" s="26" t="str">
        <x:v>FUR-008</x:v>
      </x:c>
      <x:c r="B22" s="26" t="str">
        <x:v>Furniture</x:v>
      </x:c>
      <x:c r="C22" s="26" t="str">
        <x:v>Representative family</x:v>
      </x:c>
      <x:c r="D22" s="26" t="str">
        <x:v>Accessory stand</x:v>
      </x:c>
      <x:c r="E22" s="26"/>
      <x:c r="F22" s="26" t="str">
        <x:v>Representative assets</x:v>
      </x:c>
      <x:c r="G22" s="26" t="str">
        <x:v>Internal/Approved</x:v>
      </x:c>
      <x:c r="H22" s="26" t="str">
        <x:v>Imported</x:v>
      </x:c>
      <x:c r="I22" s="26" t="str">
        <x:v>Prefab available</x:v>
      </x:c>
      <x:c r="J22" s="26" t="str">
        <x:v>Runtime catalog linked</x:v>
      </x:c>
      <x:c r="K22" s="26" t="str">
        <x:v>Pending authored placement</x:v>
      </x:c>
      <x:c r="L22" s="26" t="n">
        <x:v>16</x:v>
      </x:c>
      <x:c r="M22" s="26"/>
      <x:c r="N22" s="26"/>
      <x:c r="O22" s="26"/>
      <x:c r="P22" s="26"/>
      <x:c r="Q22" s="26"/>
    </x:row>
    <x:row r="23" ht="30" customHeight="1">
      <x:c r="A23" s="26" t="str">
        <x:v>PRD-001</x:v>
      </x:c>
      <x:c r="B23" s="26" t="str">
        <x:v>Product</x:v>
      </x:c>
      <x:c r="C23" s="26" t="str">
        <x:v>Representative product</x:v>
      </x:c>
      <x:c r="D23" s="26" t="str">
        <x:v>Representative product 01</x:v>
      </x:c>
      <x:c r="E23" s="26"/>
      <x:c r="F23" s="26" t="str">
        <x:v>Representative assets</x:v>
      </x:c>
      <x:c r="G23" s="26" t="str">
        <x:v>Internal/Approved</x:v>
      </x:c>
      <x:c r="H23" s="26" t="str">
        <x:v>Imported</x:v>
      </x:c>
      <x:c r="I23" s="26" t="str">
        <x:v>Prefab/visual available</x:v>
      </x:c>
      <x:c r="J23" s="26" t="str">
        <x:v>Runtime catalog linked</x:v>
      </x:c>
      <x:c r="K23" s="26" t="str">
        <x:v>Automated link PASS</x:v>
      </x:c>
      <x:c r="L23" s="26" t="n">
        <x:v>16</x:v>
      </x:c>
      <x:c r="M23" s="26"/>
      <x:c r="N23" s="26"/>
      <x:c r="O23" s="26"/>
      <x:c r="P23" s="26"/>
      <x:c r="Q23" s="26"/>
    </x:row>
    <x:row r="24" ht="30" customHeight="1">
      <x:c r="A24" s="26" t="str">
        <x:v>PRD-002</x:v>
      </x:c>
      <x:c r="B24" s="26" t="str">
        <x:v>Product</x:v>
      </x:c>
      <x:c r="C24" s="26" t="str">
        <x:v>Representative product</x:v>
      </x:c>
      <x:c r="D24" s="26" t="str">
        <x:v>Representative product 02</x:v>
      </x:c>
      <x:c r="E24" s="26"/>
      <x:c r="F24" s="26" t="str">
        <x:v>Representative assets</x:v>
      </x:c>
      <x:c r="G24" s="26" t="str">
        <x:v>Internal/Approved</x:v>
      </x:c>
      <x:c r="H24" s="26" t="str">
        <x:v>Imported</x:v>
      </x:c>
      <x:c r="I24" s="26" t="str">
        <x:v>Prefab/visual available</x:v>
      </x:c>
      <x:c r="J24" s="26" t="str">
        <x:v>Runtime catalog linked</x:v>
      </x:c>
      <x:c r="K24" s="26" t="str">
        <x:v>Automated link PASS</x:v>
      </x:c>
      <x:c r="L24" s="26" t="n">
        <x:v>16</x:v>
      </x:c>
      <x:c r="M24" s="26"/>
      <x:c r="N24" s="26"/>
      <x:c r="O24" s="26"/>
      <x:c r="P24" s="26"/>
      <x:c r="Q24" s="26"/>
    </x:row>
    <x:row r="25" ht="30" customHeight="1">
      <x:c r="A25" s="26" t="str">
        <x:v>PRD-003</x:v>
      </x:c>
      <x:c r="B25" s="26" t="str">
        <x:v>Product</x:v>
      </x:c>
      <x:c r="C25" s="26" t="str">
        <x:v>Representative product</x:v>
      </x:c>
      <x:c r="D25" s="26" t="str">
        <x:v>Representative product 03</x:v>
      </x:c>
      <x:c r="E25" s="26"/>
      <x:c r="F25" s="26" t="str">
        <x:v>Representative assets</x:v>
      </x:c>
      <x:c r="G25" s="26" t="str">
        <x:v>Internal/Approved</x:v>
      </x:c>
      <x:c r="H25" s="26" t="str">
        <x:v>Imported</x:v>
      </x:c>
      <x:c r="I25" s="26" t="str">
        <x:v>Prefab/visual available</x:v>
      </x:c>
      <x:c r="J25" s="26" t="str">
        <x:v>Runtime catalog linked</x:v>
      </x:c>
      <x:c r="K25" s="26" t="str">
        <x:v>Automated link PASS</x:v>
      </x:c>
      <x:c r="L25" s="26" t="n">
        <x:v>16</x:v>
      </x:c>
      <x:c r="M25" s="26"/>
      <x:c r="N25" s="26"/>
      <x:c r="O25" s="26"/>
      <x:c r="P25" s="26"/>
      <x:c r="Q25" s="26"/>
    </x:row>
    <x:row r="26" ht="30" customHeight="1">
      <x:c r="A26" s="26" t="str">
        <x:v>PRD-004</x:v>
      </x:c>
      <x:c r="B26" s="26" t="str">
        <x:v>Product</x:v>
      </x:c>
      <x:c r="C26" s="26" t="str">
        <x:v>Representative product</x:v>
      </x:c>
      <x:c r="D26" s="26" t="str">
        <x:v>Representative product 04</x:v>
      </x:c>
      <x:c r="E26" s="26"/>
      <x:c r="F26" s="26" t="str">
        <x:v>Representative assets</x:v>
      </x:c>
      <x:c r="G26" s="26" t="str">
        <x:v>Internal/Approved</x:v>
      </x:c>
      <x:c r="H26" s="26" t="str">
        <x:v>Imported</x:v>
      </x:c>
      <x:c r="I26" s="26" t="str">
        <x:v>Prefab/visual available</x:v>
      </x:c>
      <x:c r="J26" s="26" t="str">
        <x:v>Runtime catalog linked</x:v>
      </x:c>
      <x:c r="K26" s="26" t="str">
        <x:v>Automated link PASS</x:v>
      </x:c>
      <x:c r="L26" s="26" t="n">
        <x:v>16</x:v>
      </x:c>
      <x:c r="M26" s="26"/>
      <x:c r="N26" s="26"/>
      <x:c r="O26" s="26"/>
      <x:c r="P26" s="26"/>
      <x:c r="Q26" s="26"/>
    </x:row>
    <x:row r="27" ht="30" customHeight="1">
      <x:c r="A27" s="26" t="str">
        <x:v>PRD-005</x:v>
      </x:c>
      <x:c r="B27" s="26" t="str">
        <x:v>Product</x:v>
      </x:c>
      <x:c r="C27" s="26" t="str">
        <x:v>Representative product</x:v>
      </x:c>
      <x:c r="D27" s="26" t="str">
        <x:v>Representative product 05</x:v>
      </x:c>
      <x:c r="E27" s="26"/>
      <x:c r="F27" s="26" t="str">
        <x:v>Representative assets</x:v>
      </x:c>
      <x:c r="G27" s="26" t="str">
        <x:v>Internal/Approved</x:v>
      </x:c>
      <x:c r="H27" s="26" t="str">
        <x:v>Imported</x:v>
      </x:c>
      <x:c r="I27" s="26" t="str">
        <x:v>Prefab/visual available</x:v>
      </x:c>
      <x:c r="J27" s="26" t="str">
        <x:v>Runtime catalog linked</x:v>
      </x:c>
      <x:c r="K27" s="26" t="str">
        <x:v>Automated link PASS</x:v>
      </x:c>
      <x:c r="L27" s="26" t="n">
        <x:v>16</x:v>
      </x:c>
      <x:c r="M27" s="26"/>
      <x:c r="N27" s="26"/>
      <x:c r="O27" s="26"/>
      <x:c r="P27" s="26"/>
      <x:c r="Q27" s="26"/>
    </x:row>
    <x:row r="28" ht="30" customHeight="1">
      <x:c r="A28" s="26" t="str">
        <x:v>PRD-006</x:v>
      </x:c>
      <x:c r="B28" s="26" t="str">
        <x:v>Product</x:v>
      </x:c>
      <x:c r="C28" s="26" t="str">
        <x:v>Representative product</x:v>
      </x:c>
      <x:c r="D28" s="26" t="str">
        <x:v>Representative product 06</x:v>
      </x:c>
      <x:c r="E28" s="26"/>
      <x:c r="F28" s="26" t="str">
        <x:v>Representative assets</x:v>
      </x:c>
      <x:c r="G28" s="26" t="str">
        <x:v>Internal/Approved</x:v>
      </x:c>
      <x:c r="H28" s="26" t="str">
        <x:v>Imported</x:v>
      </x:c>
      <x:c r="I28" s="26" t="str">
        <x:v>Prefab/visual available</x:v>
      </x:c>
      <x:c r="J28" s="26" t="str">
        <x:v>Runtime catalog linked</x:v>
      </x:c>
      <x:c r="K28" s="26" t="str">
        <x:v>Automated link PASS</x:v>
      </x:c>
      <x:c r="L28" s="26" t="n">
        <x:v>16</x:v>
      </x:c>
      <x:c r="M28" s="26"/>
      <x:c r="N28" s="26"/>
      <x:c r="O28" s="26"/>
      <x:c r="P28" s="26"/>
      <x:c r="Q28" s="26"/>
    </x:row>
    <x:row r="29" ht="30" customHeight="1">
      <x:c r="A29" s="26" t="str">
        <x:v>CHR-001</x:v>
      </x:c>
      <x:c r="B29" s="26" t="str">
        <x:v>Character</x:v>
      </x:c>
      <x:c r="C29" s="26" t="str">
        <x:v>Employee</x:v>
      </x:c>
      <x:c r="D29" s="26" t="str">
        <x:v>Store clerk representative</x:v>
      </x:c>
      <x:c r="E29" s="26"/>
      <x:c r="F29" s="26" t="str">
        <x:v>Internal/Representative</x:v>
      </x:c>
      <x:c r="G29" s="26" t="str">
        <x:v>Internal/Approved</x:v>
      </x:c>
      <x:c r="H29" s="26" t="str">
        <x:v>Imported or concept</x:v>
      </x:c>
      <x:c r="I29" s="26" t="str">
        <x:v>Prefab pending/available</x:v>
      </x:c>
      <x:c r="J29" s="26" t="str">
        <x:v>Profile/catalog dependent</x:v>
      </x:c>
      <x:c r="K29" s="26" t="str">
        <x:v>Pending visual/runtime verification</x:v>
      </x:c>
      <x:c r="L29" s="26" t="n">
        <x:v>16</x:v>
      </x:c>
      <x:c r="M29" s="26"/>
      <x:c r="N29" s="26"/>
      <x:c r="O29" s="26"/>
      <x:c r="P29" s="26"/>
      <x:c r="Q29" s="26"/>
    </x:row>
    <x:row r="30" ht="30" customHeight="1">
      <x:c r="A30" s="26" t="str">
        <x:v>CHR-002</x:v>
      </x:c>
      <x:c r="B30" s="26" t="str">
        <x:v>Character</x:v>
      </x:c>
      <x:c r="C30" s="26" t="str">
        <x:v>Employee</x:v>
      </x:c>
      <x:c r="D30" s="26" t="str">
        <x:v>Additional employee variation</x:v>
      </x:c>
      <x:c r="E30" s="26"/>
      <x:c r="F30" s="26" t="str">
        <x:v>Internal/Representative</x:v>
      </x:c>
      <x:c r="G30" s="26" t="str">
        <x:v>Internal/Approved</x:v>
      </x:c>
      <x:c r="H30" s="26" t="str">
        <x:v>Imported or concept</x:v>
      </x:c>
      <x:c r="I30" s="26" t="str">
        <x:v>Prefab pending/available</x:v>
      </x:c>
      <x:c r="J30" s="26" t="str">
        <x:v>Profile/catalog dependent</x:v>
      </x:c>
      <x:c r="K30" s="26" t="str">
        <x:v>Pending visual/runtime verification</x:v>
      </x:c>
      <x:c r="L30" s="26" t="n">
        <x:v>16</x:v>
      </x:c>
      <x:c r="M30" s="26"/>
      <x:c r="N30" s="26"/>
      <x:c r="O30" s="26"/>
      <x:c r="P30" s="26"/>
      <x:c r="Q30" s="26"/>
    </x:row>
    <x:row r="31" ht="30" customHeight="1">
      <x:c r="A31" s="26" t="str">
        <x:v>CHR-003</x:v>
      </x:c>
      <x:c r="B31" s="26" t="str">
        <x:v>Character</x:v>
      </x:c>
      <x:c r="C31" s="26" t="str">
        <x:v>Customer</x:v>
      </x:c>
      <x:c r="D31" s="26" t="str">
        <x:v>Customer archetype A</x:v>
      </x:c>
      <x:c r="E31" s="26"/>
      <x:c r="F31" s="26" t="str">
        <x:v>Internal/Representative</x:v>
      </x:c>
      <x:c r="G31" s="26" t="str">
        <x:v>Internal/Approved</x:v>
      </x:c>
      <x:c r="H31" s="26" t="str">
        <x:v>Imported or concept</x:v>
      </x:c>
      <x:c r="I31" s="26" t="str">
        <x:v>Prefab pending/available</x:v>
      </x:c>
      <x:c r="J31" s="26" t="str">
        <x:v>Profile/catalog dependent</x:v>
      </x:c>
      <x:c r="K31" s="26" t="str">
        <x:v>Pending visual/runtime verification</x:v>
      </x:c>
      <x:c r="L31" s="26" t="n">
        <x:v>16</x:v>
      </x:c>
      <x:c r="M31" s="26"/>
      <x:c r="N31" s="26"/>
      <x:c r="O31" s="26"/>
      <x:c r="P31" s="26"/>
      <x:c r="Q31" s="26"/>
    </x:row>
    <x:row r="32" ht="30" customHeight="1">
      <x:c r="A32" s="26" t="str">
        <x:v>CHR-004</x:v>
      </x:c>
      <x:c r="B32" s="26" t="str">
        <x:v>Character</x:v>
      </x:c>
      <x:c r="C32" s="26" t="str">
        <x:v>Customer</x:v>
      </x:c>
      <x:c r="D32" s="26" t="str">
        <x:v>Customer archetype B</x:v>
      </x:c>
      <x:c r="E32" s="26"/>
      <x:c r="F32" s="26" t="str">
        <x:v>Internal/Representative</x:v>
      </x:c>
      <x:c r="G32" s="26" t="str">
        <x:v>Internal/Approved</x:v>
      </x:c>
      <x:c r="H32" s="26" t="str">
        <x:v>Imported or concept</x:v>
      </x:c>
      <x:c r="I32" s="26" t="str">
        <x:v>Prefab pending/available</x:v>
      </x:c>
      <x:c r="J32" s="26" t="str">
        <x:v>Profile/catalog dependent</x:v>
      </x:c>
      <x:c r="K32" s="26" t="str">
        <x:v>Pending visual/runtime verification</x:v>
      </x:c>
      <x:c r="L32" s="26" t="n">
        <x:v>16</x:v>
      </x:c>
      <x:c r="M32" s="26"/>
      <x:c r="N32" s="26"/>
      <x:c r="O32" s="26"/>
      <x:c r="P32" s="26"/>
      <x:c r="Q32" s="26"/>
    </x:row>
    <x:row r="33" ht="30" customHeight="1">
      <x:c r="A33" s="26" t="str">
        <x:v>CHR-005</x:v>
      </x:c>
      <x:c r="B33" s="26" t="str">
        <x:v>Character</x:v>
      </x:c>
      <x:c r="C33" s="26" t="str">
        <x:v>Customer</x:v>
      </x:c>
      <x:c r="D33" s="26" t="str">
        <x:v>Customer archetype C</x:v>
      </x:c>
      <x:c r="E33" s="26"/>
      <x:c r="F33" s="26" t="str">
        <x:v>Internal/Representative</x:v>
      </x:c>
      <x:c r="G33" s="26" t="str">
        <x:v>Internal/Approved</x:v>
      </x:c>
      <x:c r="H33" s="26" t="str">
        <x:v>Imported or concept</x:v>
      </x:c>
      <x:c r="I33" s="26" t="str">
        <x:v>Prefab pending/available</x:v>
      </x:c>
      <x:c r="J33" s="26" t="str">
        <x:v>Profile/catalog dependent</x:v>
      </x:c>
      <x:c r="K33" s="26" t="str">
        <x:v>Pending visual/runtime verification</x:v>
      </x:c>
      <x:c r="L33" s="26" t="n">
        <x:v>16</x:v>
      </x:c>
      <x:c r="M33" s="26"/>
      <x:c r="N33" s="26"/>
      <x:c r="O33" s="26"/>
      <x:c r="P33" s="26"/>
      <x:c r="Q33" s="26"/>
    </x:row>
    <x:row r="34" ht="30" customHeight="1">
      <x:c r="A34" s="26" t="str">
        <x:v>CHR-006</x:v>
      </x:c>
      <x:c r="B34" s="26" t="str">
        <x:v>Character</x:v>
      </x:c>
      <x:c r="C34" s="26" t="str">
        <x:v>Customer</x:v>
      </x:c>
      <x:c r="D34" s="26" t="str">
        <x:v>Customer archetype D</x:v>
      </x:c>
      <x:c r="E34" s="26"/>
      <x:c r="F34" s="26" t="str">
        <x:v>Internal/Representative</x:v>
      </x:c>
      <x:c r="G34" s="26" t="str">
        <x:v>Internal/Approved</x:v>
      </x:c>
      <x:c r="H34" s="26" t="str">
        <x:v>Imported or concept</x:v>
      </x:c>
      <x:c r="I34" s="26" t="str">
        <x:v>Prefab pending/available</x:v>
      </x:c>
      <x:c r="J34" s="26" t="str">
        <x:v>Profile/catalog dependent</x:v>
      </x:c>
      <x:c r="K34" s="26" t="str">
        <x:v>Pending visual/runtime verification</x:v>
      </x:c>
      <x:c r="L34" s="26" t="n">
        <x:v>16</x:v>
      </x:c>
      <x:c r="M34" s="26"/>
      <x:c r="N34" s="26"/>
      <x:c r="O34" s="26"/>
      <x:c r="P34" s="26"/>
      <x:c r="Q34" s="26"/>
    </x:row>
    <x:row r="35" ht="30" customHeight="1">
      <x:c r="A35" s="26" t="str">
        <x:v>CHR-007</x:v>
      </x:c>
      <x:c r="B35" s="26" t="str">
        <x:v>Character</x:v>
      </x:c>
      <x:c r="C35" s="26" t="str">
        <x:v>Supplier</x:v>
      </x:c>
      <x:c r="D35" s="26" t="str">
        <x:v>Supplier representative A</x:v>
      </x:c>
      <x:c r="E35" s="26"/>
      <x:c r="F35" s="26" t="str">
        <x:v>Internal/Representative</x:v>
      </x:c>
      <x:c r="G35" s="26" t="str">
        <x:v>Internal/Approved</x:v>
      </x:c>
      <x:c r="H35" s="26" t="str">
        <x:v>Imported or concept</x:v>
      </x:c>
      <x:c r="I35" s="26" t="str">
        <x:v>Prefab pending/available</x:v>
      </x:c>
      <x:c r="J35" s="26" t="str">
        <x:v>Profile/catalog dependent</x:v>
      </x:c>
      <x:c r="K35" s="26" t="str">
        <x:v>Pending visual/runtime verification</x:v>
      </x:c>
      <x:c r="L35" s="26" t="n">
        <x:v>16</x:v>
      </x:c>
      <x:c r="M35" s="26"/>
      <x:c r="N35" s="26"/>
      <x:c r="O35" s="26"/>
      <x:c r="P35" s="26"/>
      <x:c r="Q35" s="26"/>
    </x:row>
    <x:row r="36" ht="30" customHeight="1">
      <x:c r="A36" s="26" t="str">
        <x:v>CHR-008</x:v>
      </x:c>
      <x:c r="B36" s="26" t="str">
        <x:v>Character</x:v>
      </x:c>
      <x:c r="C36" s="26" t="str">
        <x:v>Supplier</x:v>
      </x:c>
      <x:c r="D36" s="26" t="str">
        <x:v>Supplier representative B</x:v>
      </x:c>
      <x:c r="E36" s="26"/>
      <x:c r="F36" s="26" t="str">
        <x:v>Internal/Representative</x:v>
      </x:c>
      <x:c r="G36" s="26" t="str">
        <x:v>Internal/Approved</x:v>
      </x:c>
      <x:c r="H36" s="26" t="str">
        <x:v>Imported or concept</x:v>
      </x:c>
      <x:c r="I36" s="26" t="str">
        <x:v>Prefab pending/available</x:v>
      </x:c>
      <x:c r="J36" s="26" t="str">
        <x:v>Profile/catalog dependent</x:v>
      </x:c>
      <x:c r="K36" s="26" t="str">
        <x:v>Pending visual/runtime verification</x:v>
      </x:c>
      <x:c r="L36" s="26" t="n">
        <x:v>16</x:v>
      </x:c>
      <x:c r="M36" s="26"/>
      <x:c r="N36" s="26"/>
      <x:c r="O36" s="26"/>
      <x:c r="P36" s="26"/>
      <x:c r="Q36" s="26"/>
    </x:row>
    <x:row r="37" ht="30" customHeight="1">
      <x:c r="A37" s="26" t="str">
        <x:v>AUD-001</x:v>
      </x:c>
      <x:c r="B37" s="26" t="str">
        <x:v>Audio</x:v>
      </x:c>
      <x:c r="C37" s="26" t="str">
        <x:v>UI</x:v>
      </x:c>
      <x:c r="D37" s="26" t="str">
        <x:v>Confirm</x:v>
      </x:c>
      <x:c r="E37" s="26"/>
      <x:c r="F37" s="26" t="str">
        <x:v>Internal/Representative</x:v>
      </x:c>
      <x:c r="G37" s="26" t="str">
        <x:v>Internal/Approved</x:v>
      </x:c>
      <x:c r="H37" s="26" t="str">
        <x:v>Imported/Configured</x:v>
      </x:c>
      <x:c r="I37" s="26" t="str">
        <x:v>N/A or prefab</x:v>
      </x:c>
      <x:c r="J37" s="26" t="str">
        <x:v>Event mapping</x:v>
      </x:c>
      <x:c r="K37" s="26" t="str">
        <x:v>Pending mix/visual QA</x:v>
      </x:c>
      <x:c r="L37" s="26" t="n">
        <x:v>16</x:v>
      </x:c>
      <x:c r="M37" s="26"/>
      <x:c r="N37" s="26"/>
      <x:c r="O37" s="26"/>
      <x:c r="P37" s="26"/>
      <x:c r="Q37" s="26"/>
    </x:row>
    <x:row r="38" ht="30" customHeight="1">
      <x:c r="A38" s="26" t="str">
        <x:v>AUD-002</x:v>
      </x:c>
      <x:c r="B38" s="26" t="str">
        <x:v>Audio</x:v>
      </x:c>
      <x:c r="C38" s="26" t="str">
        <x:v>UI</x:v>
      </x:c>
      <x:c r="D38" s="26" t="str">
        <x:v>Cancel/error</x:v>
      </x:c>
      <x:c r="E38" s="26"/>
      <x:c r="F38" s="26" t="str">
        <x:v>Internal/Representative</x:v>
      </x:c>
      <x:c r="G38" s="26" t="str">
        <x:v>Internal/Approved</x:v>
      </x:c>
      <x:c r="H38" s="26" t="str">
        <x:v>Imported/Configured</x:v>
      </x:c>
      <x:c r="I38" s="26" t="str">
        <x:v>N/A or prefab</x:v>
      </x:c>
      <x:c r="J38" s="26" t="str">
        <x:v>Event mapping</x:v>
      </x:c>
      <x:c r="K38" s="26" t="str">
        <x:v>Pending mix/visual QA</x:v>
      </x:c>
      <x:c r="L38" s="26" t="n">
        <x:v>16</x:v>
      </x:c>
      <x:c r="M38" s="26"/>
      <x:c r="N38" s="26"/>
      <x:c r="O38" s="26"/>
      <x:c r="P38" s="26"/>
      <x:c r="Q38" s="26"/>
    </x:row>
    <x:row r="39" ht="30" customHeight="1">
      <x:c r="A39" s="26" t="str">
        <x:v>AUD-003</x:v>
      </x:c>
      <x:c r="B39" s="26" t="str">
        <x:v>Audio</x:v>
      </x:c>
      <x:c r="C39" s="26" t="str">
        <x:v>Commerce</x:v>
      </x:c>
      <x:c r="D39" s="26" t="str">
        <x:v>Checkout sale</x:v>
      </x:c>
      <x:c r="E39" s="26"/>
      <x:c r="F39" s="26" t="str">
        <x:v>Internal/Representative</x:v>
      </x:c>
      <x:c r="G39" s="26" t="str">
        <x:v>Internal/Approved</x:v>
      </x:c>
      <x:c r="H39" s="26" t="str">
        <x:v>Imported/Configured</x:v>
      </x:c>
      <x:c r="I39" s="26" t="str">
        <x:v>N/A or prefab</x:v>
      </x:c>
      <x:c r="J39" s="26" t="str">
        <x:v>Event mapping</x:v>
      </x:c>
      <x:c r="K39" s="26" t="str">
        <x:v>Pending mix/visual QA</x:v>
      </x:c>
      <x:c r="L39" s="26" t="n">
        <x:v>16</x:v>
      </x:c>
      <x:c r="M39" s="26"/>
      <x:c r="N39" s="26"/>
      <x:c r="O39" s="26"/>
      <x:c r="P39" s="26"/>
      <x:c r="Q39" s="26"/>
    </x:row>
    <x:row r="40" ht="30" customHeight="1">
      <x:c r="A40" s="26" t="str">
        <x:v>AUD-004</x:v>
      </x:c>
      <x:c r="B40" s="26" t="str">
        <x:v>Audio</x:v>
      </x:c>
      <x:c r="C40" s="26" t="str">
        <x:v>Commerce</x:v>
      </x:c>
      <x:c r="D40" s="26" t="str">
        <x:v>Order/receiving</x:v>
      </x:c>
      <x:c r="E40" s="26"/>
      <x:c r="F40" s="26" t="str">
        <x:v>Internal/Representative</x:v>
      </x:c>
      <x:c r="G40" s="26" t="str">
        <x:v>Internal/Approved</x:v>
      </x:c>
      <x:c r="H40" s="26" t="str">
        <x:v>Imported/Configured</x:v>
      </x:c>
      <x:c r="I40" s="26" t="str">
        <x:v>N/A or prefab</x:v>
      </x:c>
      <x:c r="J40" s="26" t="str">
        <x:v>Event mapping</x:v>
      </x:c>
      <x:c r="K40" s="26" t="str">
        <x:v>Pending mix/visual QA</x:v>
      </x:c>
      <x:c r="L40" s="26" t="n">
        <x:v>16</x:v>
      </x:c>
      <x:c r="M40" s="26"/>
      <x:c r="N40" s="26"/>
      <x:c r="O40" s="26"/>
      <x:c r="P40" s="26"/>
      <x:c r="Q40" s="26"/>
    </x:row>
    <x:row r="41" ht="30" customHeight="1">
      <x:c r="A41" s="26" t="str">
        <x:v>AUD-005</x:v>
      </x:c>
      <x:c r="B41" s="26" t="str">
        <x:v>Audio</x:v>
      </x:c>
      <x:c r="C41" s="26" t="str">
        <x:v>Day</x:v>
      </x:c>
      <x:c r="D41" s="26" t="str">
        <x:v>Open/close</x:v>
      </x:c>
      <x:c r="E41" s="26"/>
      <x:c r="F41" s="26" t="str">
        <x:v>Internal/Representative</x:v>
      </x:c>
      <x:c r="G41" s="26" t="str">
        <x:v>Internal/Approved</x:v>
      </x:c>
      <x:c r="H41" s="26" t="str">
        <x:v>Imported/Configured</x:v>
      </x:c>
      <x:c r="I41" s="26" t="str">
        <x:v>N/A or prefab</x:v>
      </x:c>
      <x:c r="J41" s="26" t="str">
        <x:v>Event mapping</x:v>
      </x:c>
      <x:c r="K41" s="26" t="str">
        <x:v>Pending mix/visual QA</x:v>
      </x:c>
      <x:c r="L41" s="26" t="n">
        <x:v>16</x:v>
      </x:c>
      <x:c r="M41" s="26"/>
      <x:c r="N41" s="26"/>
      <x:c r="O41" s="26"/>
      <x:c r="P41" s="26"/>
      <x:c r="Q41" s="26"/>
    </x:row>
    <x:row r="42" ht="30" customHeight="1">
      <x:c r="A42" s="26" t="str">
        <x:v>AUD-006</x:v>
      </x:c>
      <x:c r="B42" s="26" t="str">
        <x:v>Audio</x:v>
      </x:c>
      <x:c r="C42" s="26" t="str">
        <x:v>Persistence</x:v>
      </x:c>
      <x:c r="D42" s="26" t="str">
        <x:v>Save confirmation</x:v>
      </x:c>
      <x:c r="E42" s="26"/>
      <x:c r="F42" s="26" t="str">
        <x:v>Internal/Representative</x:v>
      </x:c>
      <x:c r="G42" s="26" t="str">
        <x:v>Internal/Approved</x:v>
      </x:c>
      <x:c r="H42" s="26" t="str">
        <x:v>Imported/Configured</x:v>
      </x:c>
      <x:c r="I42" s="26" t="str">
        <x:v>N/A or prefab</x:v>
      </x:c>
      <x:c r="J42" s="26" t="str">
        <x:v>Event mapping</x:v>
      </x:c>
      <x:c r="K42" s="26" t="str">
        <x:v>Pending mix/visual QA</x:v>
      </x:c>
      <x:c r="L42" s="26" t="n">
        <x:v>16</x:v>
      </x:c>
      <x:c r="M42" s="26"/>
      <x:c r="N42" s="26"/>
      <x:c r="O42" s="26"/>
      <x:c r="P42" s="26"/>
      <x:c r="Q42" s="26"/>
    </x:row>
    <x:row r="43" ht="30" customHeight="1">
      <x:c r="A43" s="26" t="str">
        <x:v>VFX-001</x:v>
      </x:c>
      <x:c r="B43" s="26" t="str">
        <x:v>VFX</x:v>
      </x:c>
      <x:c r="C43" s="26" t="str">
        <x:v>Placement</x:v>
      </x:c>
      <x:c r="D43" s="26" t="str">
        <x:v>Valid placement</x:v>
      </x:c>
      <x:c r="E43" s="26"/>
      <x:c r="F43" s="26" t="str">
        <x:v>Internal/Representative</x:v>
      </x:c>
      <x:c r="G43" s="26" t="str">
        <x:v>Internal/Approved</x:v>
      </x:c>
      <x:c r="H43" s="26" t="str">
        <x:v>Imported/Configured</x:v>
      </x:c>
      <x:c r="I43" s="26" t="str">
        <x:v>N/A or prefab</x:v>
      </x:c>
      <x:c r="J43" s="26" t="str">
        <x:v>Event mapping</x:v>
      </x:c>
      <x:c r="K43" s="26" t="str">
        <x:v>Pending mix/visual QA</x:v>
      </x:c>
      <x:c r="L43" s="26" t="n">
        <x:v>16</x:v>
      </x:c>
      <x:c r="M43" s="26"/>
      <x:c r="N43" s="26"/>
      <x:c r="O43" s="26"/>
      <x:c r="P43" s="26"/>
      <x:c r="Q43" s="26"/>
    </x:row>
    <x:row r="44" ht="30" customHeight="1">
      <x:c r="A44" s="26" t="str">
        <x:v>VFX-002</x:v>
      </x:c>
      <x:c r="B44" s="26" t="str">
        <x:v>VFX</x:v>
      </x:c>
      <x:c r="C44" s="26" t="str">
        <x:v>Placement</x:v>
      </x:c>
      <x:c r="D44" s="26" t="str">
        <x:v>Invalid placement</x:v>
      </x:c>
      <x:c r="E44" s="26"/>
      <x:c r="F44" s="26" t="str">
        <x:v>Internal/Representative</x:v>
      </x:c>
      <x:c r="G44" s="26" t="str">
        <x:v>Internal/Approved</x:v>
      </x:c>
      <x:c r="H44" s="26" t="str">
        <x:v>Imported/Configured</x:v>
      </x:c>
      <x:c r="I44" s="26" t="str">
        <x:v>N/A or prefab</x:v>
      </x:c>
      <x:c r="J44" s="26" t="str">
        <x:v>Event mapping</x:v>
      </x:c>
      <x:c r="K44" s="26" t="str">
        <x:v>Pending mix/visual QA</x:v>
      </x:c>
      <x:c r="L44" s="26" t="n">
        <x:v>16</x:v>
      </x:c>
      <x:c r="M44" s="26"/>
      <x:c r="N44" s="26"/>
      <x:c r="O44" s="26"/>
      <x:c r="P44" s="26"/>
      <x:c r="Q44" s="26"/>
    </x:row>
    <x:row r="45" ht="30" customHeight="1">
      <x:c r="A45" s="26" t="str">
        <x:v>VFX-003</x:v>
      </x:c>
      <x:c r="B45" s="26" t="str">
        <x:v>VFX</x:v>
      </x:c>
      <x:c r="C45" s="26" t="str">
        <x:v>Commerce</x:v>
      </x:c>
      <x:c r="D45" s="26" t="str">
        <x:v>Sale feedback</x:v>
      </x:c>
      <x:c r="E45" s="26"/>
      <x:c r="F45" s="26" t="str">
        <x:v>Internal/Representative</x:v>
      </x:c>
      <x:c r="G45" s="26" t="str">
        <x:v>Internal/Approved</x:v>
      </x:c>
      <x:c r="H45" s="26" t="str">
        <x:v>Imported/Configured</x:v>
      </x:c>
      <x:c r="I45" s="26" t="str">
        <x:v>N/A or prefab</x:v>
      </x:c>
      <x:c r="J45" s="26" t="str">
        <x:v>Event mapping</x:v>
      </x:c>
      <x:c r="K45" s="26" t="str">
        <x:v>Pending mix/visual QA</x:v>
      </x:c>
      <x:c r="L45" s="26" t="n">
        <x:v>16</x:v>
      </x:c>
      <x:c r="M45" s="26"/>
      <x:c r="N45" s="26"/>
      <x:c r="O45" s="26"/>
      <x:c r="P45" s="26"/>
      <x:c r="Q45" s="26"/>
    </x:row>
    <x:row r="46" ht="30" customHeight="1">
      <x:c r="A46" s="26" t="str">
        <x:v>VFX-004</x:v>
      </x:c>
      <x:c r="B46" s="26" t="str">
        <x:v>VFX</x:v>
      </x:c>
      <x:c r="C46" s="26" t="str">
        <x:v>Notification</x:v>
      </x:c>
      <x:c r="D46" s="26" t="str">
        <x:v>Warning/alert</x:v>
      </x:c>
      <x:c r="E46" s="26"/>
      <x:c r="F46" s="26" t="str">
        <x:v>Internal/Representative</x:v>
      </x:c>
      <x:c r="G46" s="26" t="str">
        <x:v>Internal/Approved</x:v>
      </x:c>
      <x:c r="H46" s="26" t="str">
        <x:v>Imported/Configured</x:v>
      </x:c>
      <x:c r="I46" s="26" t="str">
        <x:v>N/A or prefab</x:v>
      </x:c>
      <x:c r="J46" s="26" t="str">
        <x:v>Event mapping</x:v>
      </x:c>
      <x:c r="K46" s="26" t="str">
        <x:v>Pending mix/visual QA</x:v>
      </x:c>
      <x:c r="L46" s="26" t="n">
        <x:v>16</x:v>
      </x:c>
      <x:c r="M46" s="26"/>
      <x:c r="N46" s="26"/>
      <x:c r="O46" s="26"/>
      <x:c r="P46" s="26"/>
      <x:c r="Q46" s="26"/>
    </x:row>
    <x:row r="47" ht="30" customHeight="1">
      <x:c r="A47" s="26" t="str">
        <x:v>UI-001</x:v>
      </x:c>
      <x:c r="B47" s="26" t="str">
        <x:v>UI/Localization</x:v>
      </x:c>
      <x:c r="C47" s="26" t="str">
        <x:v>Interface</x:v>
      </x:c>
      <x:c r="D47" s="26" t="str">
        <x:v>HUD icons</x:v>
      </x:c>
      <x:c r="E47" s="26"/>
      <x:c r="F47" s="26" t="str">
        <x:v>Internal</x:v>
      </x:c>
      <x:c r="G47" s="26" t="str">
        <x:v>Internal/Approved</x:v>
      </x:c>
      <x:c r="H47" s="26" t="str">
        <x:v>N/A</x:v>
      </x:c>
      <x:c r="I47" s="26" t="str">
        <x:v>UI prefab/style</x:v>
      </x:c>
      <x:c r="J47" s="26" t="str">
        <x:v>Localization/UI</x:v>
      </x:c>
      <x:c r="K47" s="26" t="str">
        <x:v>Baseline PASS</x:v>
      </x:c>
      <x:c r="L47" s="26" t="n">
        <x:v>15</x:v>
      </x:c>
      <x:c r="M47" s="26"/>
      <x:c r="N47" s="26"/>
      <x:c r="O47" s="26"/>
      <x:c r="P47" s="26"/>
      <x:c r="Q47" s="26"/>
    </x:row>
    <x:row r="48" ht="30" customHeight="1">
      <x:c r="A48" s="26" t="str">
        <x:v>UI-002</x:v>
      </x:c>
      <x:c r="B48" s="26" t="str">
        <x:v>UI/Localization</x:v>
      </x:c>
      <x:c r="C48" s="26" t="str">
        <x:v>Interface</x:v>
      </x:c>
      <x:c r="D48" s="26" t="str">
        <x:v>Operations tabs</x:v>
      </x:c>
      <x:c r="E48" s="26"/>
      <x:c r="F48" s="26" t="str">
        <x:v>Internal</x:v>
      </x:c>
      <x:c r="G48" s="26" t="str">
        <x:v>Internal/Approved</x:v>
      </x:c>
      <x:c r="H48" s="26" t="str">
        <x:v>N/A</x:v>
      </x:c>
      <x:c r="I48" s="26" t="str">
        <x:v>UI prefab/style</x:v>
      </x:c>
      <x:c r="J48" s="26" t="str">
        <x:v>Localization/UI</x:v>
      </x:c>
      <x:c r="K48" s="26" t="str">
        <x:v>Baseline PASS</x:v>
      </x:c>
      <x:c r="L48" s="26" t="n">
        <x:v>15</x:v>
      </x:c>
      <x:c r="M48" s="26"/>
      <x:c r="N48" s="26"/>
      <x:c r="O48" s="26"/>
      <x:c r="P48" s="26"/>
      <x:c r="Q48" s="26"/>
    </x:row>
    <x:row r="49" ht="30" customHeight="1">
      <x:c r="A49" s="26" t="str">
        <x:v>UI-003</x:v>
      </x:c>
      <x:c r="B49" s="26" t="str">
        <x:v>UI/Localization</x:v>
      </x:c>
      <x:c r="C49" s="26" t="str">
        <x:v>Interface</x:v>
      </x:c>
      <x:c r="D49" s="26" t="str">
        <x:v>Slot cards</x:v>
      </x:c>
      <x:c r="E49" s="26"/>
      <x:c r="F49" s="26" t="str">
        <x:v>Internal</x:v>
      </x:c>
      <x:c r="G49" s="26" t="str">
        <x:v>Internal/Approved</x:v>
      </x:c>
      <x:c r="H49" s="26" t="str">
        <x:v>N/A</x:v>
      </x:c>
      <x:c r="I49" s="26" t="str">
        <x:v>UI prefab/style</x:v>
      </x:c>
      <x:c r="J49" s="26" t="str">
        <x:v>Localization/UI</x:v>
      </x:c>
      <x:c r="K49" s="26" t="str">
        <x:v>Baseline PASS</x:v>
      </x:c>
      <x:c r="L49" s="26" t="n">
        <x:v>15</x:v>
      </x:c>
      <x:c r="M49" s="26"/>
      <x:c r="N49" s="26"/>
      <x:c r="O49" s="26"/>
      <x:c r="P49" s="26"/>
      <x:c r="Q49" s="26"/>
    </x:row>
    <x:row r="50" ht="30" customHeight="1">
      <x:c r="A50" s="26" t="str">
        <x:v>UI-004</x:v>
      </x:c>
      <x:c r="B50" s="26" t="str">
        <x:v>UI/Localization</x:v>
      </x:c>
      <x:c r="C50" s="26" t="str">
        <x:v>Interface</x:v>
      </x:c>
      <x:c r="D50" s="26" t="str">
        <x:v>Modal icons</x:v>
      </x:c>
      <x:c r="E50" s="26"/>
      <x:c r="F50" s="26" t="str">
        <x:v>Internal</x:v>
      </x:c>
      <x:c r="G50" s="26" t="str">
        <x:v>Internal/Approved</x:v>
      </x:c>
      <x:c r="H50" s="26" t="str">
        <x:v>N/A</x:v>
      </x:c>
      <x:c r="I50" s="26" t="str">
        <x:v>UI prefab/style</x:v>
      </x:c>
      <x:c r="J50" s="26" t="str">
        <x:v>Localization/UI</x:v>
      </x:c>
      <x:c r="K50" s="26" t="str">
        <x:v>Baseline PASS</x:v>
      </x:c>
      <x:c r="L50" s="26" t="n">
        <x:v>15</x:v>
      </x:c>
      <x:c r="M50" s="26"/>
      <x:c r="N50" s="26"/>
      <x:c r="O50" s="26"/>
      <x:c r="P50" s="26"/>
      <x:c r="Q50" s="26"/>
    </x:row>
    <x:row r="51" ht="30" customHeight="1">
      <x:c r="A51" s="26" t="str">
        <x:v>UI-005</x:v>
      </x:c>
      <x:c r="B51" s="26" t="str">
        <x:v>UI/Localization</x:v>
      </x:c>
      <x:c r="C51" s="26" t="str">
        <x:v>Interface</x:v>
      </x:c>
      <x:c r="D51" s="26" t="str">
        <x:v>Tutorial callouts</x:v>
      </x:c>
      <x:c r="E51" s="26"/>
      <x:c r="F51" s="26" t="str">
        <x:v>Internal</x:v>
      </x:c>
      <x:c r="G51" s="26" t="str">
        <x:v>Internal/Approved</x:v>
      </x:c>
      <x:c r="H51" s="26" t="str">
        <x:v>N/A</x:v>
      </x:c>
      <x:c r="I51" s="26" t="str">
        <x:v>UI prefab/style</x:v>
      </x:c>
      <x:c r="J51" s="26" t="str">
        <x:v>Localization/UI</x:v>
      </x:c>
      <x:c r="K51" s="26" t="str">
        <x:v>Baseline PASS</x:v>
      </x:c>
      <x:c r="L51" s="26" t="n">
        <x:v>15</x:v>
      </x:c>
      <x:c r="M51" s="26"/>
      <x:c r="N51" s="26"/>
      <x:c r="O51" s="26"/>
      <x:c r="P51" s="26"/>
      <x:c r="Q51" s="26"/>
    </x:row>
    <x:row r="52" ht="30" customHeight="1">
      <x:c r="A52" s="26" t="str">
        <x:v>UI-006</x:v>
      </x:c>
      <x:c r="B52" s="26" t="str">
        <x:v>UI/Localization</x:v>
      </x:c>
      <x:c r="C52" s="26" t="str">
        <x:v>Interface</x:v>
      </x:c>
      <x:c r="D52" s="26" t="str">
        <x:v>Day result visuals</x:v>
      </x:c>
      <x:c r="E52" s="26"/>
      <x:c r="F52" s="26" t="str">
        <x:v>Internal</x:v>
      </x:c>
      <x:c r="G52" s="26" t="str">
        <x:v>Internal/Approved</x:v>
      </x:c>
      <x:c r="H52" s="26" t="str">
        <x:v>N/A</x:v>
      </x:c>
      <x:c r="I52" s="26" t="str">
        <x:v>UI prefab/style</x:v>
      </x:c>
      <x:c r="J52" s="26" t="str">
        <x:v>Localization/UI</x:v>
      </x:c>
      <x:c r="K52" s="26" t="str">
        <x:v>Baseline PASS</x:v>
      </x:c>
      <x:c r="L52" s="26" t="n">
        <x:v>15</x:v>
      </x:c>
      <x:c r="M52" s="26"/>
      <x:c r="N52" s="26"/>
      <x:c r="O52" s="26"/>
      <x:c r="P52" s="26"/>
      <x:c r="Q52" s="26"/>
    </x:row>
    <x:row r="53" ht="30" customHeight="1">
      <x:c r="A53" s="26" t="str">
        <x:v>UI-007</x:v>
      </x:c>
      <x:c r="B53" s="26" t="str">
        <x:v>UI/Localization</x:v>
      </x:c>
      <x:c r="C53" s="26" t="str">
        <x:v>Interface</x:v>
      </x:c>
      <x:c r="D53" s="26" t="str">
        <x:v>Accessibility icons</x:v>
      </x:c>
      <x:c r="E53" s="26"/>
      <x:c r="F53" s="26" t="str">
        <x:v>Internal</x:v>
      </x:c>
      <x:c r="G53" s="26" t="str">
        <x:v>Internal/Approved</x:v>
      </x:c>
      <x:c r="H53" s="26" t="str">
        <x:v>N/A</x:v>
      </x:c>
      <x:c r="I53" s="26" t="str">
        <x:v>UI prefab/style</x:v>
      </x:c>
      <x:c r="J53" s="26" t="str">
        <x:v>Localization/UI</x:v>
      </x:c>
      <x:c r="K53" s="26" t="str">
        <x:v>Pending H6</x:v>
      </x:c>
      <x:c r="L53" s="26" t="n">
        <x:v>17</x:v>
      </x:c>
      <x:c r="M53" s="26"/>
      <x:c r="N53" s="26"/>
      <x:c r="O53" s="26"/>
      <x:c r="P53" s="26"/>
      <x:c r="Q53" s="26"/>
    </x:row>
    <x:row r="54" ht="30" customHeight="1">
      <x:c r="A54" s="26" t="str">
        <x:v>UI-008</x:v>
      </x:c>
      <x:c r="B54" s="26" t="str">
        <x:v>UI/Localization</x:v>
      </x:c>
      <x:c r="C54" s="26" t="str">
        <x:v>Interface</x:v>
      </x:c>
      <x:c r="D54" s="26" t="str">
        <x:v>Spanish string tables</x:v>
      </x:c>
      <x:c r="E54" s="26"/>
      <x:c r="F54" s="26" t="str">
        <x:v>Internal</x:v>
      </x:c>
      <x:c r="G54" s="26" t="str">
        <x:v>Internal/Approved</x:v>
      </x:c>
      <x:c r="H54" s="26" t="str">
        <x:v>N/A</x:v>
      </x:c>
      <x:c r="I54" s="26" t="str">
        <x:v>UI prefab/style</x:v>
      </x:c>
      <x:c r="J54" s="26" t="str">
        <x:v>Localization/UI</x:v>
      </x:c>
      <x:c r="K54" s="26" t="str">
        <x:v>Pending H6</x:v>
      </x:c>
      <x:c r="L54" s="26" t="n">
        <x:v>17</x:v>
      </x:c>
      <x:c r="M54" s="26"/>
      <x:c r="N54" s="26"/>
      <x:c r="O54" s="26"/>
      <x:c r="P54" s="26"/>
      <x:c r="Q54" s="26"/>
    </x:row>
    <x:row r="55" ht="30" customHeight="1">
      <x:c r="A55" s="26" t="str">
        <x:v>UI-009</x:v>
      </x:c>
      <x:c r="B55" s="26" t="str">
        <x:v>UI/Localization</x:v>
      </x:c>
      <x:c r="C55" s="26" t="str">
        <x:v>Interface</x:v>
      </x:c>
      <x:c r="D55" s="26" t="str">
        <x:v>English string tables</x:v>
      </x:c>
      <x:c r="E55" s="26"/>
      <x:c r="F55" s="26" t="str">
        <x:v>Internal</x:v>
      </x:c>
      <x:c r="G55" s="26" t="str">
        <x:v>Internal/Approved</x:v>
      </x:c>
      <x:c r="H55" s="26" t="str">
        <x:v>N/A</x:v>
      </x:c>
      <x:c r="I55" s="26" t="str">
        <x:v>UI prefab/style</x:v>
      </x:c>
      <x:c r="J55" s="26" t="str">
        <x:v>Localization/UI</x:v>
      </x:c>
      <x:c r="K55" s="26" t="str">
        <x:v>Pending H6</x:v>
      </x:c>
      <x:c r="L55" s="26" t="n">
        <x:v>17</x:v>
      </x:c>
      <x:c r="M55" s="26"/>
      <x:c r="N55" s="26"/>
      <x:c r="O55" s="26"/>
      <x:c r="P55" s="26"/>
      <x:c r="Q55" s="26"/>
    </x:row>
    <x:row r="56" ht="30" customHeight="1">
      <x:c r="A56" s="26" t="str">
        <x:v>UI-010</x:v>
      </x:c>
      <x:c r="B56" s="26" t="str">
        <x:v>UI/Localization</x:v>
      </x:c>
      <x:c r="C56" s="26" t="str">
        <x:v>Interface</x:v>
      </x:c>
      <x:c r="D56" s="26" t="str">
        <x:v>Resolution/layout variants</x:v>
      </x:c>
      <x:c r="E56" s="26"/>
      <x:c r="F56" s="26" t="str">
        <x:v>Internal</x:v>
      </x:c>
      <x:c r="G56" s="26" t="str">
        <x:v>Internal/Approved</x:v>
      </x:c>
      <x:c r="H56" s="26" t="str">
        <x:v>N/A</x:v>
      </x:c>
      <x:c r="I56" s="26" t="str">
        <x:v>UI prefab/style</x:v>
      </x:c>
      <x:c r="J56" s="26" t="str">
        <x:v>Localization/UI</x:v>
      </x:c>
      <x:c r="K56" s="26" t="str">
        <x:v>Pending H6</x:v>
      </x:c>
      <x:c r="L56" s="26" t="n">
        <x:v>17</x:v>
      </x:c>
      <x:c r="M56" s="26"/>
      <x:c r="N56" s="26"/>
      <x:c r="O56" s="26"/>
      <x:c r="P56" s="26"/>
      <x:c r="Q56" s="26"/>
    </x:row>
  </x:sheetData>
  <x:mergeCells>
    <x:mergeCell ref="A1:Q1"/>
    <x:mergeCell ref="A2:Q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8" hidden="0" customWidth="1"/>
    <x:col min="4" max="4" width="52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52" hidden="0" customWidth="1"/>
  </x:cols>
  <x:sheetData>
    <x:row r="1" ht="28" customHeight="1">
      <x:c r="A1" s="59" t="str">
        <x:v>Sustituciones y obsolescencia controlada</x:v>
      </x:c>
      <x:c r="B1" s="59"/>
      <x:c r="C1" s="59"/>
      <x:c r="D1" s="59"/>
      <x:c r="E1" s="59"/>
      <x:c r="F1" s="59"/>
      <x:c r="G1" s="59"/>
      <x:c r="H1" s="59"/>
      <x:c r="I1" s="59"/>
    </x:row>
    <x:row r="2" ht="32" customHeight="1">
      <x:c r="A2" s="63" t="str">
        <x:v>Reemplazos técnicos y documentales, genealogía 13–34 sin borrado silencioso.</x:v>
      </x:c>
      <x:c r="B2" s="63"/>
      <x:c r="C2" s="63"/>
      <x:c r="D2" s="63"/>
      <x:c r="E2" s="63"/>
      <x:c r="F2" s="63"/>
      <x:c r="G2" s="63"/>
      <x:c r="H2" s="63"/>
      <x:c r="I2" s="63"/>
    </x:row>
    <x:row r="4" ht="30" customHeight="1">
      <x:c r="A4" s="68" t="str">
        <x:v>Substitution ID</x:v>
      </x:c>
      <x:c r="B4" s="68" t="str">
        <x:v>Tipo</x:v>
      </x:c>
      <x:c r="C4" s="68" t="str">
        <x:v>Elemento anterior</x:v>
      </x:c>
      <x:c r="D4" s="68" t="str">
        <x:v>Reemplazo</x:v>
      </x:c>
      <x:c r="E4" s="68" t="str">
        <x:v>Periodo</x:v>
      </x:c>
      <x:c r="F4" s="68" t="str">
        <x:v>Estado</x:v>
      </x:c>
      <x:c r="G4" s="68" t="str">
        <x:v>ADR</x:v>
      </x:c>
      <x:c r="H4" s="68" t="str">
        <x:v>Cambio</x:v>
      </x:c>
      <x:c r="I4" s="68" t="str">
        <x:v>Notas</x:v>
      </x:c>
    </x:row>
    <x:row r="5" ht="30" customHeight="1">
      <x:c r="A5" s="26" t="str">
        <x:v>SUB-001</x:v>
      </x:c>
      <x:c r="B5" s="26" t="str">
        <x:v>Scene</x:v>
      </x:c>
      <x:c r="C5" s="26" t="str">
        <x:v>Store.unity</x:v>
      </x:c>
      <x:c r="D5" s="26" t="str">
        <x:v>StoreInitial.unity</x:v>
      </x:c>
      <x:c r="E5" s="26" t="str">
        <x:v>Sprint 16</x:v>
      </x:c>
      <x:c r="F5" s="26" t="str">
        <x:v>In Progress</x:v>
      </x:c>
      <x:c r="G5" s="26" t="str">
        <x:v>ADR-0035-S16</x:v>
      </x:c>
      <x:c r="H5" s="26" t="str">
        <x:v>CHG-STORE-002</x:v>
      </x:c>
      <x:c r="I5" s="26" t="str">
        <x:v>Fallback retained until validation</x:v>
      </x:c>
    </x:row>
    <x:row r="6" ht="30" customHeight="1">
      <x:c r="A6" s="26" t="str">
        <x:v>SUB-002</x:v>
      </x:c>
      <x:c r="B6" s="26" t="str">
        <x:v>Environment</x:v>
      </x:c>
      <x:c r="C6" s="26" t="str">
        <x:v>Procedural store shell</x:v>
      </x:c>
      <x:c r="D6" s="26" t="str">
        <x:v>StoreInitialEnvironment.prefab</x:v>
      </x:c>
      <x:c r="E6" s="26" t="str">
        <x:v>Sprint 16</x:v>
      </x:c>
      <x:c r="F6" s="26" t="str">
        <x:v>In Progress</x:v>
      </x:c>
      <x:c r="G6" s="26" t="str">
        <x:v>ADR-0035-S16</x:v>
      </x:c>
      <x:c r="H6" s="26" t="str">
        <x:v>CHG-STORE-002</x:v>
      </x:c>
      <x:c r="I6" s="26" t="str">
        <x:v>Disable after integration</x:v>
      </x:c>
    </x:row>
    <x:row r="7" ht="30" customHeight="1">
      <x:c r="A7" s="26" t="str">
        <x:v>SUB-003</x:v>
      </x:c>
      <x:c r="B7" s="26" t="str">
        <x:v>Persistence</x:v>
      </x:c>
      <x:c r="C7" s="26" t="str">
        <x:v>GameSessionSnapshot only</x:v>
      </x:c>
      <x:c r="D7" s="26" t="str">
        <x:v>IntegratedGameStateSnapshot v2</x:v>
      </x:c>
      <x:c r="E7" s="26" t="str">
        <x:v>Sprint 14</x:v>
      </x:c>
      <x:c r="F7" s="26" t="str">
        <x:v>Completed</x:v>
      </x:c>
      <x:c r="G7" s="26" t="str">
        <x:v>ADR-0056</x:v>
      </x:c>
      <x:c r="H7" s="26" t="str">
        <x:v>CHG-SAVE-002</x:v>
      </x:c>
      <x:c r="I7" s="26" t="str">
        <x:v>Compatibility preserved</x:v>
      </x:c>
    </x:row>
    <x:row r="8" ht="30" customHeight="1">
      <x:c r="A8" s="26" t="str">
        <x:v>SUB-004</x:v>
      </x:c>
      <x:c r="B8" s="26" t="str">
        <x:v>Save write</x:v>
      </x:c>
      <x:c r="C8" s="26" t="str">
        <x:v>Direct write</x:v>
      </x:c>
      <x:c r="D8" s="26" t="str">
        <x:v>Validated atomic write</x:v>
      </x:c>
      <x:c r="E8" s="26" t="str">
        <x:v>Sprint 14</x:v>
      </x:c>
      <x:c r="F8" s="26" t="str">
        <x:v>Completed</x:v>
      </x:c>
      <x:c r="G8" s="26" t="str">
        <x:v>ADR-0057</x:v>
      </x:c>
      <x:c r="H8" s="26" t="str">
        <x:v>CHG-SAVE-003</x:v>
      </x:c>
      <x:c r="I8" s="26"/>
    </x:row>
    <x:row r="9" ht="30" customHeight="1">
      <x:c r="A9" s="26" t="str">
        <x:v>SUB-005</x:v>
      </x:c>
      <x:c r="B9" s="26" t="str">
        <x:v>Recovery</x:v>
      </x:c>
      <x:c r="C9" s="26" t="str">
        <x:v>Primary-first</x:v>
      </x:c>
      <x:c r="D9" s="26" t="str">
        <x:v>Backup-first recovery</x:v>
      </x:c>
      <x:c r="E9" s="26" t="str">
        <x:v>Sprint 14</x:v>
      </x:c>
      <x:c r="F9" s="26" t="str">
        <x:v>Completed</x:v>
      </x:c>
      <x:c r="G9" s="26" t="str">
        <x:v>ADR-0059</x:v>
      </x:c>
      <x:c r="H9" s="26" t="str">
        <x:v>CHG-SAVE-003</x:v>
      </x:c>
      <x:c r="I9" s="26"/>
    </x:row>
    <x:row r="10" ht="30" customHeight="1">
      <x:c r="A10" s="26" t="str">
        <x:v>SUB-006</x:v>
      </x:c>
      <x:c r="B10" s="26" t="str">
        <x:v>Restore</x:v>
      </x:c>
      <x:c r="C10" s="26" t="str">
        <x:v>Immediate mutation</x:v>
      </x:c>
      <x:c r="D10" s="26" t="str">
        <x:v>Two-phase restore</x:v>
      </x:c>
      <x:c r="E10" s="26" t="str">
        <x:v>Sprint 14</x:v>
      </x:c>
      <x:c r="F10" s="26" t="str">
        <x:v>Completed</x:v>
      </x:c>
      <x:c r="G10" s="26" t="str">
        <x:v>ADR-0060</x:v>
      </x:c>
      <x:c r="H10" s="26" t="str">
        <x:v>CHG-SAVE-003</x:v>
      </x:c>
      <x:c r="I10" s="26"/>
    </x:row>
    <x:row r="11" ht="30" customHeight="1">
      <x:c r="A11" s="26" t="str">
        <x:v>SUB-007</x:v>
      </x:c>
      <x:c r="B11" s="26" t="str">
        <x:v>Money</x:v>
      </x:c>
      <x:c r="C11" s="26" t="str">
        <x:v>Floating representation</x:v>
      </x:c>
      <x:c r="D11" s="26" t="str">
        <x:v>Integer minor units</x:v>
      </x:c>
      <x:c r="E11" s="26" t="str">
        <x:v>Sprint 13</x:v>
      </x:c>
      <x:c r="F11" s="26" t="str">
        <x:v>Completed</x:v>
      </x:c>
      <x:c r="G11" s="26" t="str">
        <x:v>ADR-0051</x:v>
      </x:c>
      <x:c r="H11" s="26" t="str">
        <x:v>CHG-ECO-001</x:v>
      </x:c>
      <x:c r="I11" s="26"/>
    </x:row>
    <x:row r="12" ht="30" customHeight="1">
      <x:c r="A12" s="26" t="str">
        <x:v>SUB-008</x:v>
      </x:c>
      <x:c r="B12" s="26" t="str">
        <x:v>Checkout</x:v>
      </x:c>
      <x:c r="C12" s="26" t="str">
        <x:v>Direct mutation</x:v>
      </x:c>
      <x:c r="D12" s="26" t="str">
        <x:v>Preflight then commit</x:v>
      </x:c>
      <x:c r="E12" s="26" t="str">
        <x:v>Sprint 11</x:v>
      </x:c>
      <x:c r="F12" s="26" t="str">
        <x:v>Completed</x:v>
      </x:c>
      <x:c r="G12" s="26" t="str">
        <x:v>ADR-0044</x:v>
      </x:c>
      <x:c r="H12" s="26" t="str">
        <x:v>CHG-CHK-001</x:v>
      </x:c>
      <x:c r="I12" s="26"/>
    </x:row>
    <x:row r="13" ht="30" customHeight="1">
      <x:c r="A13" s="26" t="str">
        <x:v>SUB-009</x:v>
      </x:c>
      <x:c r="B13" s="26" t="str">
        <x:v>Checkout events</x:v>
      </x:c>
      <x:c r="C13" s="26" t="str">
        <x:v>Potential repeated processing</x:v>
      </x:c>
      <x:c r="D13" s="26" t="str">
        <x:v>Idempotent checkout</x:v>
      </x:c>
      <x:c r="E13" s="26" t="str">
        <x:v>Sprint 11</x:v>
      </x:c>
      <x:c r="F13" s="26" t="str">
        <x:v>Completed</x:v>
      </x:c>
      <x:c r="G13" s="26" t="str">
        <x:v>ADR-0045</x:v>
      </x:c>
      <x:c r="H13" s="26" t="str">
        <x:v>CHG-CHK-001</x:v>
      </x:c>
      <x:c r="I13" s="26"/>
    </x:row>
    <x:row r="14" ht="30" customHeight="1">
      <x:c r="A14" s="26" t="str">
        <x:v>SUB-010</x:v>
      </x:c>
      <x:c r="B14" s="26" t="str">
        <x:v>Input</x:v>
      </x:c>
      <x:c r="C14" s="26" t="str">
        <x:v>Shared UI/world click</x:v>
      </x:c>
      <x:c r="D14" s="26" t="str">
        <x:v>Exclusive UI input</x:v>
      </x:c>
      <x:c r="E14" s="26" t="str">
        <x:v>Sprint 15</x:v>
      </x:c>
      <x:c r="F14" s="26" t="str">
        <x:v>Completed/Pending regression</x:v>
      </x:c>
      <x:c r="G14" s="26" t="str">
        <x:v>ADR-0066</x:v>
      </x:c>
      <x:c r="H14" s="26" t="str">
        <x:v>CHG-INPUT-001</x:v>
      </x:c>
      <x:c r="I14" s="26"/>
    </x:row>
    <x:row r="15" ht="30" customHeight="1">
      <x:c r="A15" s="26" t="str">
        <x:v>SUB-DOC-00</x:v>
      </x:c>
      <x:c r="B15" s="26" t="str">
        <x:v>Document</x:v>
      </x:c>
      <x:c r="C15" s="26" t="str">
        <x:v>Historical versions of 00_Enfoque_y_Alcance.md</x:v>
      </x:c>
      <x:c r="D15" s="26" t="str">
        <x:v>00_Enfoque_y_Alcance.md</x:v>
      </x:c>
      <x:c r="E15" s="26" t="str">
        <x:v>2026-07-01</x:v>
      </x:c>
      <x:c r="F15" s="26" t="str">
        <x:v>Completed</x:v>
      </x:c>
      <x:c r="G15" s="26"/>
      <x:c r="H15" s="26" t="str">
        <x:v>CHG-DOC-001</x:v>
      </x:c>
      <x:c r="I15" s="26" t="str">
        <x:v>Consolidated source</x:v>
      </x:c>
    </x:row>
    <x:row r="16" ht="30" customHeight="1">
      <x:c r="A16" s="26" t="str">
        <x:v>SUB-DOC-01</x:v>
      </x:c>
      <x:c r="B16" s="26" t="str">
        <x:v>Document</x:v>
      </x:c>
      <x:c r="C16" s="26" t="str">
        <x:v>Historical versions of 01_Game_Design_Document.md</x:v>
      </x:c>
      <x:c r="D16" s="26" t="str">
        <x:v>01_Game_Design_Document.md</x:v>
      </x:c>
      <x:c r="E16" s="26" t="str">
        <x:v>2026-07-01</x:v>
      </x:c>
      <x:c r="F16" s="26" t="str">
        <x:v>Completed</x:v>
      </x:c>
      <x:c r="G16" s="26"/>
      <x:c r="H16" s="26" t="str">
        <x:v>CHG-DOC-001</x:v>
      </x:c>
      <x:c r="I16" s="26" t="str">
        <x:v>Consolidated source</x:v>
      </x:c>
    </x:row>
    <x:row r="17" ht="30" customHeight="1">
      <x:c r="A17" s="26" t="str">
        <x:v>SUB-DOC-02</x:v>
      </x:c>
      <x:c r="B17" s="26" t="str">
        <x:v>Document</x:v>
      </x:c>
      <x:c r="C17" s="26" t="str">
        <x:v>Historical versions of 02_Vertical_Slice_Specification.md</x:v>
      </x:c>
      <x:c r="D17" s="26" t="str">
        <x:v>02_Vertical_Slice_Specification.md</x:v>
      </x:c>
      <x:c r="E17" s="26" t="str">
        <x:v>2026-07-01</x:v>
      </x:c>
      <x:c r="F17" s="26" t="str">
        <x:v>Completed</x:v>
      </x:c>
      <x:c r="G17" s="26"/>
      <x:c r="H17" s="26" t="str">
        <x:v>CHG-DOC-001</x:v>
      </x:c>
      <x:c r="I17" s="26" t="str">
        <x:v>Consolidated source</x:v>
      </x:c>
    </x:row>
    <x:row r="18" ht="30" customHeight="1">
      <x:c r="A18" s="26" t="str">
        <x:v>SUB-DOC-03</x:v>
      </x:c>
      <x:c r="B18" s="26" t="str">
        <x:v>Document</x:v>
      </x:c>
      <x:c r="C18" s="26" t="str">
        <x:v>Historical versions of 03_Technical_Design_Document.md</x:v>
      </x:c>
      <x:c r="D18" s="26" t="str">
        <x:v>03_Technical_Design_Document.md</x:v>
      </x:c>
      <x:c r="E18" s="26" t="str">
        <x:v>2026-07-01</x:v>
      </x:c>
      <x:c r="F18" s="26" t="str">
        <x:v>Completed</x:v>
      </x:c>
      <x:c r="G18" s="26"/>
      <x:c r="H18" s="26" t="str">
        <x:v>CHG-DOC-001</x:v>
      </x:c>
      <x:c r="I18" s="26" t="str">
        <x:v>Consolidated source</x:v>
      </x:c>
    </x:row>
    <x:row r="19" ht="30" customHeight="1">
      <x:c r="A19" s="26" t="str">
        <x:v>SUB-DOC-04</x:v>
      </x:c>
      <x:c r="B19" s="26" t="str">
        <x:v>Document</x:v>
      </x:c>
      <x:c r="C19" s="26" t="str">
        <x:v>Historical versions of 04_Modelo_de_Datos.md</x:v>
      </x:c>
      <x:c r="D19" s="26" t="str">
        <x:v>04_Modelo_de_Datos.md</x:v>
      </x:c>
      <x:c r="E19" s="26" t="str">
        <x:v>2026-07-01</x:v>
      </x:c>
      <x:c r="F19" s="26" t="str">
        <x:v>Completed</x:v>
      </x:c>
      <x:c r="G19" s="26"/>
      <x:c r="H19" s="26" t="str">
        <x:v>CHG-DOC-001</x:v>
      </x:c>
      <x:c r="I19" s="26" t="str">
        <x:v>Consolidated source</x:v>
      </x:c>
    </x:row>
    <x:row r="20" ht="30" customHeight="1">
      <x:c r="A20" s="26" t="str">
        <x:v>SUB-DOC-05</x:v>
      </x:c>
      <x:c r="B20" s="26" t="str">
        <x:v>Document</x:v>
      </x:c>
      <x:c r="C20" s="26" t="str">
        <x:v>Historical versions of 05_UX_Flow.md</x:v>
      </x:c>
      <x:c r="D20" s="26" t="str">
        <x:v>05_UX_Flow.md</x:v>
      </x:c>
      <x:c r="E20" s="26" t="str">
        <x:v>2026-07-01</x:v>
      </x:c>
      <x:c r="F20" s="26" t="str">
        <x:v>Completed</x:v>
      </x:c>
      <x:c r="G20" s="26"/>
      <x:c r="H20" s="26" t="str">
        <x:v>CHG-DOC-001</x:v>
      </x:c>
      <x:c r="I20" s="26" t="str">
        <x:v>Consolidated source</x:v>
      </x:c>
    </x:row>
    <x:row r="21" ht="30" customHeight="1">
      <x:c r="A21" s="26" t="str">
        <x:v>SUB-DOC-06</x:v>
      </x:c>
      <x:c r="B21" s="26" t="str">
        <x:v>Document</x:v>
      </x:c>
      <x:c r="C21" s="26" t="str">
        <x:v>Historical versions of 06_Production_Roadmap_y_Sprint_Plan.md</x:v>
      </x:c>
      <x:c r="D21" s="26" t="str">
        <x:v>06_Production_Roadmap_y_Sprint_Plan.md</x:v>
      </x:c>
      <x:c r="E21" s="26" t="str">
        <x:v>2026-07-01</x:v>
      </x:c>
      <x:c r="F21" s="26" t="str">
        <x:v>Completed</x:v>
      </x:c>
      <x:c r="G21" s="26"/>
      <x:c r="H21" s="26" t="str">
        <x:v>CHG-DOC-001</x:v>
      </x:c>
      <x:c r="I21" s="26" t="str">
        <x:v>Consolidated source</x:v>
      </x:c>
    </x:row>
    <x:row r="22" ht="30" customHeight="1">
      <x:c r="A22" s="26" t="str">
        <x:v>SUB-DOC-07</x:v>
      </x:c>
      <x:c r="B22" s="26" t="str">
        <x:v>Document</x:v>
      </x:c>
      <x:c r="C22" s="26" t="str">
        <x:v>Historical versions of 07_QA_Testing_Plan.md</x:v>
      </x:c>
      <x:c r="D22" s="26" t="str">
        <x:v>07_QA_Testing_Plan.md</x:v>
      </x:c>
      <x:c r="E22" s="26" t="str">
        <x:v>2026-07-01</x:v>
      </x:c>
      <x:c r="F22" s="26" t="str">
        <x:v>Completed</x:v>
      </x:c>
      <x:c r="G22" s="26"/>
      <x:c r="H22" s="26" t="str">
        <x:v>CHG-DOC-001</x:v>
      </x:c>
      <x:c r="I22" s="26" t="str">
        <x:v>Consolidated source</x:v>
      </x:c>
    </x:row>
    <x:row r="23" ht="30" customHeight="1">
      <x:c r="A23" s="26" t="str">
        <x:v>SUB-DOC-08</x:v>
      </x:c>
      <x:c r="B23" s="26" t="str">
        <x:v>Document</x:v>
      </x:c>
      <x:c r="C23" s="26" t="str">
        <x:v>Historical versions of 08_QA_Testing_Matrix.xlsx</x:v>
      </x:c>
      <x:c r="D23" s="26" t="str">
        <x:v>08_QA_Testing_Matrix.xlsx</x:v>
      </x:c>
      <x:c r="E23" s="26" t="str">
        <x:v>2026-07-01</x:v>
      </x:c>
      <x:c r="F23" s="26" t="str">
        <x:v>Completed</x:v>
      </x:c>
      <x:c r="G23" s="26"/>
      <x:c r="H23" s="26" t="str">
        <x:v>CHG-DOC-001</x:v>
      </x:c>
      <x:c r="I23" s="26" t="str">
        <x:v>Consolidated source</x:v>
      </x:c>
    </x:row>
    <x:row r="24" ht="30" customHeight="1">
      <x:c r="A24" s="26" t="str">
        <x:v>SUB-DOC-09</x:v>
      </x:c>
      <x:c r="B24" s="26" t="str">
        <x:v>Document</x:v>
      </x:c>
      <x:c r="C24" s="26" t="str">
        <x:v>Historical versions of 09_CSharp_Coding_Standards.md</x:v>
      </x:c>
      <x:c r="D24" s="26" t="str">
        <x:v>09_CSharp_Coding_Standards.md</x:v>
      </x:c>
      <x:c r="E24" s="26" t="str">
        <x:v>2026-07-01</x:v>
      </x:c>
      <x:c r="F24" s="26" t="str">
        <x:v>Completed</x:v>
      </x:c>
      <x:c r="G24" s="26"/>
      <x:c r="H24" s="26" t="str">
        <x:v>CHG-DOC-001</x:v>
      </x:c>
      <x:c r="I24" s="26" t="str">
        <x:v>Consolidated source</x:v>
      </x:c>
    </x:row>
    <x:row r="25" ht="30" customHeight="1">
      <x:c r="A25" s="26" t="str">
        <x:v>SUB-DOC-10</x:v>
      </x:c>
      <x:c r="B25" s="26" t="str">
        <x:v>Document</x:v>
      </x:c>
      <x:c r="C25" s="26" t="str">
        <x:v>Historical versions of 10_Unity_Project_Setup_Guide.md</x:v>
      </x:c>
      <x:c r="D25" s="26" t="str">
        <x:v>10_Unity_Project_Setup_Guide.md</x:v>
      </x:c>
      <x:c r="E25" s="26" t="str">
        <x:v>2026-07-01</x:v>
      </x:c>
      <x:c r="F25" s="26" t="str">
        <x:v>Completed</x:v>
      </x:c>
      <x:c r="G25" s="26"/>
      <x:c r="H25" s="26" t="str">
        <x:v>CHG-DOC-001</x:v>
      </x:c>
      <x:c r="I25" s="26" t="str">
        <x:v>Consolidated source</x:v>
      </x:c>
    </x:row>
    <x:row r="26" ht="30" customHeight="1">
      <x:c r="A26" s="26" t="str">
        <x:v>SUB-DOC-11</x:v>
      </x:c>
      <x:c r="B26" s="26" t="str">
        <x:v>Document</x:v>
      </x:c>
      <x:c r="C26" s="26" t="str">
        <x:v>Historical versions of 11_Build_y_Versioning_Guide.md</x:v>
      </x:c>
      <x:c r="D26" s="26" t="str">
        <x:v>11_Build_y_Versioning_Guide.md</x:v>
      </x:c>
      <x:c r="E26" s="26" t="str">
        <x:v>2026-07-01</x:v>
      </x:c>
      <x:c r="F26" s="26" t="str">
        <x:v>Completed</x:v>
      </x:c>
      <x:c r="G26" s="26"/>
      <x:c r="H26" s="26" t="str">
        <x:v>CHG-DOC-001</x:v>
      </x:c>
      <x:c r="I26" s="26" t="str">
        <x:v>Consolidated source</x:v>
      </x:c>
    </x:row>
    <x:row r="27" ht="30" customHeight="1">
      <x:c r="A27" s="26" t="str">
        <x:v>SUB-DOC-12</x:v>
      </x:c>
      <x:c r="B27" s="26" t="str">
        <x:v>Document</x:v>
      </x:c>
      <x:c r="C27" s="26" t="str">
        <x:v>Historical versions of 12_Excel_Maestro_de_Produccion.xlsx</x:v>
      </x:c>
      <x:c r="D27" s="26" t="str">
        <x:v>12_Excel_Maestro_de_Produccion.xlsx</x:v>
      </x:c>
      <x:c r="E27" s="26" t="str">
        <x:v>2026-07-01</x:v>
      </x:c>
      <x:c r="F27" s="26" t="str">
        <x:v>Current</x:v>
      </x:c>
      <x:c r="G27" s="26"/>
      <x:c r="H27" s="26" t="str">
        <x:v>CHG-DOC-001</x:v>
      </x:c>
      <x:c r="I27" s="26" t="str">
        <x:v>Consolidated source</x:v>
      </x:c>
    </x:row>
    <x:row r="28" ht="30" customHeight="1">
      <x:c r="A28" s="26" t="str">
        <x:v>SUB-DOC-13</x:v>
      </x:c>
      <x:c r="B28" s="26" t="str">
        <x:v>Document</x:v>
      </x:c>
      <x:c r="C28" s="26" t="str">
        <x:v>Historical versions and distributed sources of 13_Trazabilidad_y_Control_de_Cambios.xlsx</x:v>
      </x:c>
      <x:c r="D28" s="26" t="str">
        <x:v>13_Trazabilidad_y_Control_de_Cambios.xlsx</x:v>
      </x:c>
      <x:c r="E28" s="26" t="str">
        <x:v>2026-07-01</x:v>
      </x:c>
      <x:c r="F28" s="26" t="str">
        <x:v>Current</x:v>
      </x:c>
      <x:c r="G28" s="26"/>
      <x:c r="H28" s="26" t="str">
        <x:v>CHG-RC1-DOC-13</x:v>
      </x:c>
      <x:c r="I28" s="26" t="str">
        <x:v>Historical evidence retained; current authority established without deletion.</x:v>
      </x:c>
    </x:row>
    <x:row r="29" ht="30" customHeight="1">
      <x:c r="A29" s="26" t="str">
        <x:v>SUB-DOC-14</x:v>
      </x:c>
      <x:c r="B29" s="26" t="str">
        <x:v>Document</x:v>
      </x:c>
      <x:c r="C29" s="26" t="str">
        <x:v>Historical versions and distributed sources of 14_Project_Binder_Indice_Maestro.md</x:v>
      </x:c>
      <x:c r="D29" s="26" t="str">
        <x:v>14_Project_Binder_Indice_Maestro.md</x:v>
      </x:c>
      <x:c r="E29" s="26" t="str">
        <x:v>2026-07-01</x:v>
      </x:c>
      <x:c r="F29" s="26" t="str">
        <x:v>Current / update scheduled</x:v>
      </x:c>
      <x:c r="G29" s="26"/>
      <x:c r="H29" s="26" t="str">
        <x:v>CHG-RC1-DOC-14</x:v>
      </x:c>
      <x:c r="I29" s="26" t="str">
        <x:v>Historical evidence retained; current authority established without deletion.</x:v>
      </x:c>
    </x:row>
    <x:row r="30" ht="30" customHeight="1">
      <x:c r="A30" s="26" t="str">
        <x:v>SUB-DOC-15</x:v>
      </x:c>
      <x:c r="B30" s="26" t="str">
        <x:v>Document</x:v>
      </x:c>
      <x:c r="C30" s="26" t="str">
        <x:v>Historical versions and distributed sources of 15_Guia_Maestra.md</x:v>
      </x:c>
      <x:c r="D30" s="26" t="str">
        <x:v>15_Guia_Maestra.md</x:v>
      </x:c>
      <x:c r="E30" s="26" t="str">
        <x:v>2026-07-01</x:v>
      </x:c>
      <x:c r="F30" s="26" t="str">
        <x:v>Current / update scheduled</x:v>
      </x:c>
      <x:c r="G30" s="26"/>
      <x:c r="H30" s="26" t="str">
        <x:v>CHG-RC1-DOC-15</x:v>
      </x:c>
      <x:c r="I30" s="26" t="str">
        <x:v>Historical evidence retained; current authority established without deletion.</x:v>
      </x:c>
    </x:row>
    <x:row r="31" ht="30" customHeight="1">
      <x:c r="A31" s="26" t="str">
        <x:v>SUB-DOC-16</x:v>
      </x:c>
      <x:c r="B31" s="26" t="str">
        <x:v>Document</x:v>
      </x:c>
      <x:c r="C31" s="26" t="str">
        <x:v>Historical versions and distributed sources of 16_Auditoria_Global_de_Coherencia.md</x:v>
      </x:c>
      <x:c r="D31" s="26" t="str">
        <x:v>16_Auditoria_Global_de_Coherencia.md</x:v>
      </x:c>
      <x:c r="E31" s="26" t="str">
        <x:v>2026-07-01</x:v>
      </x:c>
      <x:c r="F31" s="26" t="str">
        <x:v>Current / update scheduled</x:v>
      </x:c>
      <x:c r="G31" s="26"/>
      <x:c r="H31" s="26" t="str">
        <x:v>CHG-RC1-DOC-16</x:v>
      </x:c>
      <x:c r="I31" s="26" t="str">
        <x:v>Historical evidence retained; current authority established without deletion.</x:v>
      </x:c>
    </x:row>
    <x:row r="32" ht="30" customHeight="1">
      <x:c r="A32" s="26" t="str">
        <x:v>SUB-DOC-17</x:v>
      </x:c>
      <x:c r="B32" s="26" t="str">
        <x:v>Document</x:v>
      </x:c>
      <x:c r="C32" s="26" t="str">
        <x:v>Historical versions and distributed sources of 17_Art_Bible.md</x:v>
      </x:c>
      <x:c r="D32" s="26" t="str">
        <x:v>17_Art_Bible.md</x:v>
      </x:c>
      <x:c r="E32" s="26" t="str">
        <x:v>2026-07-01</x:v>
      </x:c>
      <x:c r="F32" s="26" t="str">
        <x:v>Current</x:v>
      </x:c>
      <x:c r="G32" s="26"/>
      <x:c r="H32" s="26" t="str">
        <x:v>CHG-RC1-DOC-17</x:v>
      </x:c>
      <x:c r="I32" s="26" t="str">
        <x:v>Historical evidence retained; current authority established without deletion.</x:v>
      </x:c>
    </x:row>
    <x:row r="33" ht="30" customHeight="1">
      <x:c r="A33" s="26" t="str">
        <x:v>SUB-DOC-18</x:v>
      </x:c>
      <x:c r="B33" s="26" t="str">
        <x:v>Document</x:v>
      </x:c>
      <x:c r="C33" s="26" t="str">
        <x:v>Historical versions and distributed sources of 18_Audio_Bible.md</x:v>
      </x:c>
      <x:c r="D33" s="26" t="str">
        <x:v>18_Audio_Bible.md</x:v>
      </x:c>
      <x:c r="E33" s="26" t="str">
        <x:v>2026-07-01</x:v>
      </x:c>
      <x:c r="F33" s="26" t="str">
        <x:v>Current</x:v>
      </x:c>
      <x:c r="G33" s="26"/>
      <x:c r="H33" s="26" t="str">
        <x:v>CHG-RC1-DOC-18</x:v>
      </x:c>
      <x:c r="I33" s="26" t="str">
        <x:v>Historical evidence retained; current authority established without deletion.</x:v>
      </x:c>
    </x:row>
    <x:row r="34" ht="30" customHeight="1">
      <x:c r="A34" s="26" t="str">
        <x:v>SUB-DOC-19</x:v>
      </x:c>
      <x:c r="B34" s="26" t="str">
        <x:v>Document</x:v>
      </x:c>
      <x:c r="C34" s="26" t="str">
        <x:v>Historical versions and distributed sources of 19_UI_Style_Guide.md</x:v>
      </x:c>
      <x:c r="D34" s="26" t="str">
        <x:v>19_UI_Style_Guide.md</x:v>
      </x:c>
      <x:c r="E34" s="26" t="str">
        <x:v>2026-07-01</x:v>
      </x:c>
      <x:c r="F34" s="26" t="str">
        <x:v>Current</x:v>
      </x:c>
      <x:c r="G34" s="26"/>
      <x:c r="H34" s="26" t="str">
        <x:v>CHG-RC1-DOC-19</x:v>
      </x:c>
      <x:c r="I34" s="26" t="str">
        <x:v>Historical evidence retained; current authority established without deletion.</x:v>
      </x:c>
    </x:row>
    <x:row r="35" ht="30" customHeight="1">
      <x:c r="A35" s="26" t="str">
        <x:v>SUB-DOC-20</x:v>
      </x:c>
      <x:c r="B35" s="26" t="str">
        <x:v>Document</x:v>
      </x:c>
      <x:c r="C35" s="26" t="str">
        <x:v>Historical versions and distributed sources of 20_Economy_and_Balance_Specification.md</x:v>
      </x:c>
      <x:c r="D35" s="26" t="str">
        <x:v>20_Economy_and_Balance_Specification.md</x:v>
      </x:c>
      <x:c r="E35" s="26" t="str">
        <x:v>2026-07-01</x:v>
      </x:c>
      <x:c r="F35" s="26" t="str">
        <x:v>Current</x:v>
      </x:c>
      <x:c r="G35" s="26"/>
      <x:c r="H35" s="26" t="str">
        <x:v>CHG-RC1-DOC-20</x:v>
      </x:c>
      <x:c r="I35" s="26" t="str">
        <x:v>Historical evidence retained; current authority established without deletion.</x:v>
      </x:c>
    </x:row>
    <x:row r="36" ht="30" customHeight="1">
      <x:c r="A36" s="26" t="str">
        <x:v>SUB-DOC-21</x:v>
      </x:c>
      <x:c r="B36" s="26" t="str">
        <x:v>Document</x:v>
      </x:c>
      <x:c r="C36" s="26" t="str">
        <x:v>Historical versions and distributed sources of 21_Initial_Content_Catalog.xlsx</x:v>
      </x:c>
      <x:c r="D36" s="26" t="str">
        <x:v>21_Initial_Content_Catalog.xlsx</x:v>
      </x:c>
      <x:c r="E36" s="26" t="str">
        <x:v>2026-07-01</x:v>
      </x:c>
      <x:c r="F36" s="26" t="str">
        <x:v>Current / update scheduled</x:v>
      </x:c>
      <x:c r="G36" s="26"/>
      <x:c r="H36" s="26" t="str">
        <x:v>CHG-RC1-DOC-21</x:v>
      </x:c>
      <x:c r="I36" s="26" t="str">
        <x:v>Historical evidence retained; current authority established without deletion.</x:v>
      </x:c>
    </x:row>
    <x:row r="37" ht="30" customHeight="1">
      <x:c r="A37" s="26" t="str">
        <x:v>SUB-DOC-22</x:v>
      </x:c>
      <x:c r="B37" s="26" t="str">
        <x:v>Document</x:v>
      </x:c>
      <x:c r="C37" s="26" t="str">
        <x:v>Historical versions and distributed sources of 22_Localization_Plan.md</x:v>
      </x:c>
      <x:c r="D37" s="26" t="str">
        <x:v>22_Localization_Plan.md</x:v>
      </x:c>
      <x:c r="E37" s="26" t="str">
        <x:v>2026-07-01</x:v>
      </x:c>
      <x:c r="F37" s="26" t="str">
        <x:v>Current</x:v>
      </x:c>
      <x:c r="G37" s="26"/>
      <x:c r="H37" s="26" t="str">
        <x:v>CHG-RC1-DOC-22</x:v>
      </x:c>
      <x:c r="I37" s="26" t="str">
        <x:v>Historical evidence retained; current authority established without deletion.</x:v>
      </x:c>
    </x:row>
    <x:row r="38" ht="30" customHeight="1">
      <x:c r="A38" s="26" t="str">
        <x:v>SUB-DOC-23</x:v>
      </x:c>
      <x:c r="B38" s="26" t="str">
        <x:v>Document</x:v>
      </x:c>
      <x:c r="C38" s="26" t="str">
        <x:v>Historical versions and distributed sources of 23_Legal_Credits_and_Licenses_Register.xlsx</x:v>
      </x:c>
      <x:c r="D38" s="26" t="str">
        <x:v>23_Legal_Credits_and_Licenses_Register.xlsx</x:v>
      </x:c>
      <x:c r="E38" s="26" t="str">
        <x:v>2026-07-01</x:v>
      </x:c>
      <x:c r="F38" s="26" t="str">
        <x:v>Current / update scheduled</x:v>
      </x:c>
      <x:c r="G38" s="26"/>
      <x:c r="H38" s="26" t="str">
        <x:v>CHG-RC1-DOC-23</x:v>
      </x:c>
      <x:c r="I38" s="26" t="str">
        <x:v>Historical evidence retained; current authority established without deletion.</x:v>
      </x:c>
    </x:row>
    <x:row r="39" ht="30" customHeight="1">
      <x:c r="A39" s="26" t="str">
        <x:v>SUB-DOC-24</x:v>
      </x:c>
      <x:c r="B39" s="26" t="str">
        <x:v>Document</x:v>
      </x:c>
      <x:c r="C39" s="26" t="str">
        <x:v>Historical versions and distributed sources of 24_Steam_Publishing_Plan.md</x:v>
      </x:c>
      <x:c r="D39" s="26" t="str">
        <x:v>24_Steam_Publishing_Plan.md</x:v>
      </x:c>
      <x:c r="E39" s="26" t="str">
        <x:v>2026-07-01</x:v>
      </x:c>
      <x:c r="F39" s="26" t="str">
        <x:v>Current</x:v>
      </x:c>
      <x:c r="G39" s="26"/>
      <x:c r="H39" s="26" t="str">
        <x:v>CHG-RC1-DOC-24</x:v>
      </x:c>
      <x:c r="I39" s="26" t="str">
        <x:v>Historical evidence retained; current authority established without deletion.</x:v>
      </x:c>
    </x:row>
    <x:row r="40" ht="30" customHeight="1">
      <x:c r="A40" s="26" t="str">
        <x:v>SUB-DOC-25</x:v>
      </x:c>
      <x:c r="B40" s="26" t="str">
        <x:v>Document</x:v>
      </x:c>
      <x:c r="C40" s="26" t="str">
        <x:v>Historical versions and distributed sources of 25_Post_Launch_and_Live_Operations_Plan.md</x:v>
      </x:c>
      <x:c r="D40" s="26" t="str">
        <x:v>25_Post_Launch_and_Live_Operations_Plan.md</x:v>
      </x:c>
      <x:c r="E40" s="26" t="str">
        <x:v>2026-07-01</x:v>
      </x:c>
      <x:c r="F40" s="26" t="str">
        <x:v>Current</x:v>
      </x:c>
      <x:c r="G40" s="26"/>
      <x:c r="H40" s="26" t="str">
        <x:v>CHG-RC1-DOC-25</x:v>
      </x:c>
      <x:c r="I40" s="26" t="str">
        <x:v>Historical evidence retained; current authority established without deletion.</x:v>
      </x:c>
    </x:row>
    <x:row r="41" ht="30" customHeight="1">
      <x:c r="A41" s="26" t="str">
        <x:v>SUB-DOC-26</x:v>
      </x:c>
      <x:c r="B41" s="26" t="str">
        <x:v>Document</x:v>
      </x:c>
      <x:c r="C41" s="26" t="str">
        <x:v>Historical versions and distributed sources of 26_Privacy_Data_and_Telemetry_Plan.md</x:v>
      </x:c>
      <x:c r="D41" s="26" t="str">
        <x:v>26_Privacy_Data_and_Telemetry_Plan.md</x:v>
      </x:c>
      <x:c r="E41" s="26" t="str">
        <x:v>2026-07-01</x:v>
      </x:c>
      <x:c r="F41" s="26" t="str">
        <x:v>Current</x:v>
      </x:c>
      <x:c r="G41" s="26"/>
      <x:c r="H41" s="26" t="str">
        <x:v>CHG-RC1-DOC-26</x:v>
      </x:c>
      <x:c r="I41" s="26" t="str">
        <x:v>Historical evidence retained; current authority established without deletion.</x:v>
      </x:c>
    </x:row>
    <x:row r="42" ht="30" customHeight="1">
      <x:c r="A42" s="26" t="str">
        <x:v>SUB-DOC-27</x:v>
      </x:c>
      <x:c r="B42" s="26" t="str">
        <x:v>Document</x:v>
      </x:c>
      <x:c r="C42" s="26" t="str">
        <x:v>Historical versions and distributed sources of 27_Security_and_Incident_Response_Plan.md</x:v>
      </x:c>
      <x:c r="D42" s="26" t="str">
        <x:v>27_Security_and_Incident_Response_Plan.md</x:v>
      </x:c>
      <x:c r="E42" s="26" t="str">
        <x:v>2026-07-01</x:v>
      </x:c>
      <x:c r="F42" s="26" t="str">
        <x:v>Current</x:v>
      </x:c>
      <x:c r="G42" s="26"/>
      <x:c r="H42" s="26" t="str">
        <x:v>CHG-RC1-DOC-27</x:v>
      </x:c>
      <x:c r="I42" s="26" t="str">
        <x:v>Historical evidence retained; current authority established without deletion.</x:v>
      </x:c>
    </x:row>
    <x:row r="43" ht="30" customHeight="1">
      <x:c r="A43" s="26" t="str">
        <x:v>SUB-DOC-28</x:v>
      </x:c>
      <x:c r="B43" s="26" t="str">
        <x:v>Document</x:v>
      </x:c>
      <x:c r="C43" s="26" t="str">
        <x:v>Historical versions and distributed sources of 28_Marketing_and_Communication_Plan.md</x:v>
      </x:c>
      <x:c r="D43" s="26" t="str">
        <x:v>28_Marketing_and_Communication_Plan.md</x:v>
      </x:c>
      <x:c r="E43" s="26" t="str">
        <x:v>2026-07-01</x:v>
      </x:c>
      <x:c r="F43" s="26" t="str">
        <x:v>Current</x:v>
      </x:c>
      <x:c r="G43" s="26"/>
      <x:c r="H43" s="26" t="str">
        <x:v>CHG-RC1-DOC-28</x:v>
      </x:c>
      <x:c r="I43" s="26" t="str">
        <x:v>Historical evidence retained; current authority established without deletion.</x:v>
      </x:c>
    </x:row>
    <x:row r="44" ht="30" customHeight="1">
      <x:c r="A44" s="26" t="str">
        <x:v>SUB-DOC-29</x:v>
      </x:c>
      <x:c r="B44" s="26" t="str">
        <x:v>Document</x:v>
      </x:c>
      <x:c r="C44" s="26" t="str">
        <x:v>Historical versions and distributed sources of 29_Accessibility_and_Inclusive_Design_Plan.md</x:v>
      </x:c>
      <x:c r="D44" s="26" t="str">
        <x:v>29_Accessibility_and_Inclusive_Design_Plan.md</x:v>
      </x:c>
      <x:c r="E44" s="26" t="str">
        <x:v>2026-07-01</x:v>
      </x:c>
      <x:c r="F44" s="26" t="str">
        <x:v>Current</x:v>
      </x:c>
      <x:c r="G44" s="26"/>
      <x:c r="H44" s="26" t="str">
        <x:v>CHG-RC1-DOC-29</x:v>
      </x:c>
      <x:c r="I44" s="26" t="str">
        <x:v>Historical evidence retained; current authority established without deletion.</x:v>
      </x:c>
    </x:row>
    <x:row r="45" ht="30" customHeight="1">
      <x:c r="A45" s="26" t="str">
        <x:v>SUB-DOC-30</x:v>
      </x:c>
      <x:c r="B45" s="26" t="str">
        <x:v>Document</x:v>
      </x:c>
      <x:c r="C45" s="26" t="str">
        <x:v>Historical versions and distributed sources of 30_Performance_and_Optimization_Plan.md</x:v>
      </x:c>
      <x:c r="D45" s="26" t="str">
        <x:v>30_Performance_and_Optimization_Plan.md</x:v>
      </x:c>
      <x:c r="E45" s="26" t="str">
        <x:v>2026-07-01</x:v>
      </x:c>
      <x:c r="F45" s="26" t="str">
        <x:v>Current</x:v>
      </x:c>
      <x:c r="G45" s="26"/>
      <x:c r="H45" s="26" t="str">
        <x:v>CHG-RC1-DOC-30</x:v>
      </x:c>
      <x:c r="I45" s="26" t="str">
        <x:v>Historical evidence retained; current authority established without deletion.</x:v>
      </x:c>
    </x:row>
    <x:row r="46" ht="30" customHeight="1">
      <x:c r="A46" s="26" t="str">
        <x:v>SUB-DOC-31</x:v>
      </x:c>
      <x:c r="B46" s="26" t="str">
        <x:v>Document</x:v>
      </x:c>
      <x:c r="C46" s="26" t="str">
        <x:v>Historical versions and distributed sources of 31_H6_and_Release_Readiness_Checklist.xlsx</x:v>
      </x:c>
      <x:c r="D46" s="26" t="str">
        <x:v>31_H6_and_Release_Readiness_Checklist.xlsx</x:v>
      </x:c>
      <x:c r="E46" s="26" t="str">
        <x:v>2026-07-01</x:v>
      </x:c>
      <x:c r="F46" s="26" t="str">
        <x:v>Current / update scheduled</x:v>
      </x:c>
      <x:c r="G46" s="26"/>
      <x:c r="H46" s="26" t="str">
        <x:v>CHG-RC1-DOC-31</x:v>
      </x:c>
      <x:c r="I46" s="26" t="str">
        <x:v>Historical evidence retained; current authority established without deletion.</x:v>
      </x:c>
    </x:row>
    <x:row r="47" ht="30" customHeight="1">
      <x:c r="A47" s="26" t="str">
        <x:v>SUB-DOC-32</x:v>
      </x:c>
      <x:c r="B47" s="26" t="str">
        <x:v>Document</x:v>
      </x:c>
      <x:c r="C47" s="26" t="str">
        <x:v>Historical versions and distributed sources of 32_Documentation_Baseline_Manifest.xlsx</x:v>
      </x:c>
      <x:c r="D47" s="26" t="str">
        <x:v>32_Documentation_Baseline_Manifest.xlsx</x:v>
      </x:c>
      <x:c r="E47" s="26" t="str">
        <x:v>2026-07-01</x:v>
      </x:c>
      <x:c r="F47" s="26" t="str">
        <x:v>Current / update scheduled</x:v>
      </x:c>
      <x:c r="G47" s="26"/>
      <x:c r="H47" s="26" t="str">
        <x:v>CHG-RC1-DOC-32</x:v>
      </x:c>
      <x:c r="I47" s="26" t="str">
        <x:v>Historical evidence retained; current authority established without deletion.</x:v>
      </x:c>
    </x:row>
    <x:row r="48" ht="30" customHeight="1">
      <x:c r="A48" s="26" t="str">
        <x:v>SUB-DOC-33</x:v>
      </x:c>
      <x:c r="B48" s="26" t="str">
        <x:v>Document</x:v>
      </x:c>
      <x:c r="C48" s="26" t="str">
        <x:v>Historical versions and distributed sources of 33_Project_Risk_Register_and_Business_Continuity_Plan.xlsx</x:v>
      </x:c>
      <x:c r="D48" s="26" t="str">
        <x:v>33_Project_Risk_Register_and_Business_Continuity_Plan.xlsx</x:v>
      </x:c>
      <x:c r="E48" s="26" t="str">
        <x:v>2026-07-01</x:v>
      </x:c>
      <x:c r="F48" s="26" t="str">
        <x:v>Current / update scheduled</x:v>
      </x:c>
      <x:c r="G48" s="26"/>
      <x:c r="H48" s="26" t="str">
        <x:v>CHG-RC1-DOC-33</x:v>
      </x:c>
      <x:c r="I48" s="26" t="str">
        <x:v>Historical evidence retained; current authority established without deletion.</x:v>
      </x:c>
    </x:row>
    <x:row r="49" ht="30" customHeight="1">
      <x:c r="A49" s="26" t="str">
        <x:v>SUB-DOC-34</x:v>
      </x:c>
      <x:c r="B49" s="26" t="str">
        <x:v>Document</x:v>
      </x:c>
      <x:c r="C49" s="26" t="str">
        <x:v>Historical versions and distributed sources of 34_Final_Handoff_and_Project_Operations_Manual.md</x:v>
      </x:c>
      <x:c r="D49" s="26" t="str">
        <x:v>34_Final_Handoff_and_Project_Operations_Manual.md</x:v>
      </x:c>
      <x:c r="E49" s="26" t="str">
        <x:v>2026-07-01</x:v>
      </x:c>
      <x:c r="F49" s="26" t="str">
        <x:v>Current / update scheduled</x:v>
      </x:c>
      <x:c r="G49" s="26"/>
      <x:c r="H49" s="26" t="str">
        <x:v>CHG-RC1-DOC-34</x:v>
      </x:c>
      <x:c r="I49" s="26" t="str">
        <x:v>Historical evidence retained; current authority established without deletion.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18" hidden="0" customWidth="1"/>
    <x:col min="9" max="9" width="18" hidden="0" customWidth="1"/>
    <x:col min="10" max="10" width="18" hidden="0" customWidth="1"/>
    <x:col min="11" max="11" width="6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4" hidden="0" customWidth="1"/>
  </x:cols>
  <x:sheetData>
    <x:row r="1" ht="28" customHeight="1">
      <x:c r="A1" s="59" t="str">
        <x:v>Inventario histórico completo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</x:row>
    <x:row r="2" ht="32" customHeight="1">
      <x:c r="A2" s="63" t="str">
        <x:v>745 archivos por ruta, colección, versión, hash, duplicados, autoridad y disposición.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</x:row>
    <x:row r="4" ht="30" customHeight="1">
      <x:c r="A4" s="68" t="str">
        <x:v>Historical ID</x:v>
      </x:c>
      <x:c r="B4" s="68" t="str">
        <x:v>Collection</x:v>
      </x:c>
      <x:c r="C4" s="68" t="str">
        <x:v>Version / Baseline</x:v>
      </x:c>
      <x:c r="D4" s="68" t="str">
        <x:v>Area L1</x:v>
      </x:c>
      <x:c r="E4" s="68" t="str">
        <x:v>Area L2</x:v>
      </x:c>
      <x:c r="F4" s="68" t="str">
        <x:v>Sprint</x:v>
      </x:c>
      <x:c r="G4" s="68" t="str">
        <x:v>File Name</x:v>
      </x:c>
      <x:c r="H4" s="68" t="str">
        <x:v>Format</x:v>
      </x:c>
      <x:c r="I4" s="68" t="str">
        <x:v>Artifact Type</x:v>
      </x:c>
      <x:c r="J4" s="68" t="str">
        <x:v>Bytes</x:v>
      </x:c>
      <x:c r="K4" s="68" t="str">
        <x:v>SHA-256</x:v>
      </x:c>
      <x:c r="L4" s="68" t="str">
        <x:v>Duplicate Group</x:v>
      </x:c>
      <x:c r="M4" s="68" t="str">
        <x:v>Copy Count</x:v>
      </x:c>
      <x:c r="N4" s="68" t="str">
        <x:v>Duplicate Role</x:v>
      </x:c>
      <x:c r="O4" s="68" t="str">
        <x:v>Primary Current ID</x:v>
      </x:c>
      <x:c r="P4" s="68" t="str">
        <x:v>Related Current IDs</x:v>
      </x:c>
      <x:c r="Q4" s="68" t="str">
        <x:v>Historical Authority</x:v>
      </x:c>
      <x:c r="R4" s="68" t="str">
        <x:v>Current Disposition</x:v>
      </x:c>
      <x:c r="S4" s="68" t="str">
        <x:v>Historical Relative Path</x:v>
      </x:c>
      <x:c r="T4" s="68" t="str">
        <x:v>Integrity Note</x:v>
      </x:c>
    </x:row>
    <x:row r="5" ht="30" customHeight="1">
      <x:c r="A5" s="26" t="str">
        <x:v>H-0001</x:v>
      </x:c>
      <x:c r="B5" s="26" t="str">
        <x:v>Official Baseline</x:v>
      </x:c>
      <x:c r="C5" s="26" t="str">
        <x:v>v0.3</x:v>
      </x:c>
      <x:c r="D5" s="26" t="str">
        <x:v>v0.3</x:v>
      </x:c>
      <x:c r="E5" s="26" t="str">
        <x:v>.gitkeep</x:v>
      </x:c>
      <x:c r="F5" s="26"/>
      <x:c r="G5" s="26" t="str">
        <x:v>.gitkeep</x:v>
      </x:c>
      <x:c r="H5" s="26" t="str">
        <x:v>Extensionless record</x:v>
      </x:c>
      <x:c r="I5" s="26" t="str">
        <x:v>Historical document / record</x:v>
      </x:c>
      <x:c r="J5" s="26" t="n">
        <x:v>0</x:v>
      </x:c>
      <x:c r="K5" s="26" t="str">
        <x:v>e3b0c44298fc1c149afbf4c8996fb92427ae41e4649b934ca495991b7852b855</x:v>
      </x:c>
      <x:c r="L5" s="26" t="str">
        <x:v>DG-092</x:v>
      </x:c>
      <x:c r="M5" s="26" t="n">
        <x:v>6</x:v>
      </x:c>
      <x:c r="N5" s="26" t="str">
        <x:v>DUPLICATE GROUP REPRESENTATIVE</x:v>
      </x:c>
      <x:c r="O5" s="26"/>
      <x:c r="P5" s="26"/>
      <x:c r="Q5" s="26" t="str">
        <x:v>Historical baseline support</x:v>
      </x:c>
      <x:c r="R5" s="26" t="str">
        <x:v>RETAIN AS SUPPORTING HISTORY</x:v>
      </x:c>
      <x:c r="S5" s="26" t="str">
        <x:v>00_Official_Baseline/v0.3/.gitkeep</x:v>
      </x:c>
      <x:c r="T5" s="26" t="str">
        <x:v>Historical path preserved verbatim; hash calculated from supplied pre-regeneration project.</x:v>
      </x:c>
    </x:row>
    <x:row r="6" ht="30" customHeight="1">
      <x:c r="A6" s="26" t="str">
        <x:v>H-0002</x:v>
      </x:c>
      <x:c r="B6" s="26" t="str">
        <x:v>Official Baseline</x:v>
      </x:c>
      <x:c r="C6" s="26" t="str">
        <x:v>v0.3</x:v>
      </x:c>
      <x:c r="D6" s="26" t="str">
        <x:v>v0.3</x:v>
      </x:c>
      <x:c r="E6" s="26" t="str">
        <x:v>00_Project_Governance</x:v>
      </x:c>
      <x:c r="F6" s="26"/>
      <x:c r="G6" s="26" t="str">
        <x:v>00_Cartridge_And_Cloud_Guide_v0.3.pdf</x:v>
      </x:c>
      <x:c r="H6" s="26" t="str">
        <x:v>PDF</x:v>
      </x:c>
      <x:c r="I6" s="26" t="str">
        <x:v>Published baseline rendering</x:v>
      </x:c>
      <x:c r="J6" s="26" t="n">
        <x:v>103150</x:v>
      </x:c>
      <x:c r="K6" s="26" t="str">
        <x:v>99c1672344d83538646b37426ea23c6812c2f83c3386296618de7ee7a8524131</x:v>
      </x:c>
      <x:c r="L6" s="26"/>
      <x:c r="M6" s="26" t="n">
        <x:v>1</x:v>
      </x:c>
      <x:c r="N6" s="26" t="str">
        <x:v>UNIQUE</x:v>
      </x:c>
      <x:c r="O6" s="26" t="str">
        <x:v>15</x:v>
      </x:c>
      <x:c r="P6" s="26" t="str">
        <x:v>15</x:v>
      </x:c>
      <x:c r="Q6" s="26" t="str">
        <x:v>Published historical baseline</x:v>
      </x:c>
      <x:c r="R6" s="26" t="str">
        <x:v>SUPERSEDED AS AUTHORITY — RETAIN AS IMMUTABLE HISTORY</x:v>
      </x:c>
      <x:c r="S6" s="26" t="str">
        <x:v>00_Official_Baseline/v0.3/00_Project_Governance/00_Cartridge_And_Cloud_Guide_v0.3.pdf</x:v>
      </x:c>
      <x:c r="T6" s="26" t="str">
        <x:v>Historical path preserved verbatim; hash calculated from supplied pre-regeneration project.</x:v>
      </x:c>
    </x:row>
    <x:row r="7" ht="30" customHeight="1">
      <x:c r="A7" s="26" t="str">
        <x:v>H-0003</x:v>
      </x:c>
      <x:c r="B7" s="26" t="str">
        <x:v>Official Baseline</x:v>
      </x:c>
      <x:c r="C7" s="26" t="str">
        <x:v>v0.3</x:v>
      </x:c>
      <x:c r="D7" s="26" t="str">
        <x:v>v0.3</x:v>
      </x:c>
      <x:c r="E7" s="26" t="str">
        <x:v>00_Project_Governance</x:v>
      </x:c>
      <x:c r="F7" s="26"/>
      <x:c r="G7" s="26" t="str">
        <x:v>Cartridge_And_Cloud_Document_Migration_Plan_v0.1.pdf</x:v>
      </x:c>
      <x:c r="H7" s="26" t="str">
        <x:v>PDF</x:v>
      </x:c>
      <x:c r="I7" s="26" t="str">
        <x:v>Migration record</x:v>
      </x:c>
      <x:c r="J7" s="26" t="n">
        <x:v>22634</x:v>
      </x:c>
      <x:c r="K7" s="26" t="str">
        <x:v>9fb9be3ff80060dad211034db3e372b0d816978b92b3dd3c220ec694a6e713fc</x:v>
      </x:c>
      <x:c r="L7" s="26"/>
      <x:c r="M7" s="26" t="n">
        <x:v>1</x:v>
      </x:c>
      <x:c r="N7" s="26" t="str">
        <x:v>UNIQUE</x:v>
      </x:c>
      <x:c r="O7" s="26" t="str">
        <x:v>32</x:v>
      </x:c>
      <x:c r="P7" s="26" t="str">
        <x:v>13, 14, 15, 16, 32</x:v>
      </x:c>
      <x:c r="Q7" s="26" t="str">
        <x:v>Published historical baseline</x:v>
      </x:c>
      <x:c r="R7" s="26" t="str">
        <x:v>SUPERSEDED AS AUTHORITY — RETAIN AS IMMUTABLE HISTORY</x:v>
      </x:c>
      <x:c r="S7" s="26" t="str">
        <x:v>00_Official_Baseline/v0.3/00_Project_Governance/Cartridge_And_Cloud_Document_Migration_Plan_v0.1.pdf</x:v>
      </x:c>
      <x:c r="T7" s="26" t="str">
        <x:v>Historical path preserved verbatim; hash calculated from supplied pre-regeneration project.</x:v>
      </x:c>
    </x:row>
    <x:row r="8" ht="30" customHeight="1">
      <x:c r="A8" s="26" t="str">
        <x:v>H-0004</x:v>
      </x:c>
      <x:c r="B8" s="26" t="str">
        <x:v>Official Baseline</x:v>
      </x:c>
      <x:c r="C8" s="26" t="str">
        <x:v>v0.3</x:v>
      </x:c>
      <x:c r="D8" s="26" t="str">
        <x:v>v0.3</x:v>
      </x:c>
      <x:c r="E8" s="26" t="str">
        <x:v>00_Project_Governance</x:v>
      </x:c>
      <x:c r="F8" s="26"/>
      <x:c r="G8" s="26" t="str">
        <x:v>Cartridge_And_Cloud_Documentation_Validation_Report_v0.1.pdf</x:v>
      </x:c>
      <x:c r="H8" s="26" t="str">
        <x:v>PDF</x:v>
      </x:c>
      <x:c r="I8" s="26" t="str">
        <x:v>Validation report</x:v>
      </x:c>
      <x:c r="J8" s="26" t="n">
        <x:v>29737</x:v>
      </x:c>
      <x:c r="K8" s="26" t="str">
        <x:v>2650c8310ea64b2328ee460843e04eed8b2dfa5f954e0acf0c1914e895a3628f</x:v>
      </x:c>
      <x:c r="L8" s="26"/>
      <x:c r="M8" s="26" t="n">
        <x:v>1</x:v>
      </x:c>
      <x:c r="N8" s="26" t="str">
        <x:v>UNIQUE</x:v>
      </x:c>
      <x:c r="O8" s="26" t="str">
        <x:v>16</x:v>
      </x:c>
      <x:c r="P8" s="26" t="str">
        <x:v>16</x:v>
      </x:c>
      <x:c r="Q8" s="26" t="str">
        <x:v>Published historical baseline</x:v>
      </x:c>
      <x:c r="R8" s="26" t="str">
        <x:v>SUPERSEDED AS AUTHORITY — RETAIN AS IMMUTABLE HISTORY</x:v>
      </x:c>
      <x:c r="S8" s="26" t="str">
        <x:v>00_Official_Baseline/v0.3/00_Project_Governance/Cartridge_And_Cloud_Documentation_Validation_Report_v0.1.pdf</x:v>
      </x:c>
      <x:c r="T8" s="26" t="str">
        <x:v>Historical path preserved verbatim; hash calculated from supplied pre-regeneration project.</x:v>
      </x:c>
    </x:row>
    <x:row r="9" ht="30" customHeight="1">
      <x:c r="A9" s="26" t="str">
        <x:v>H-0005</x:v>
      </x:c>
      <x:c r="B9" s="26" t="str">
        <x:v>Official Baseline</x:v>
      </x:c>
      <x:c r="C9" s="26" t="str">
        <x:v>v0.3</x:v>
      </x:c>
      <x:c r="D9" s="26" t="str">
        <x:v>v0.3</x:v>
      </x:c>
      <x:c r="E9" s="26" t="str">
        <x:v>00_Project_Governance</x:v>
      </x:c>
      <x:c r="F9" s="26"/>
      <x:c r="G9" s="26" t="str">
        <x:v>Cartridge_And_Cloud_Enfoque_v0.6.pdf</x:v>
      </x:c>
      <x:c r="H9" s="26" t="str">
        <x:v>PDF</x:v>
      </x:c>
      <x:c r="I9" s="26" t="str">
        <x:v>Published baseline rendering</x:v>
      </x:c>
      <x:c r="J9" s="26" t="n">
        <x:v>338168</x:v>
      </x:c>
      <x:c r="K9" s="26" t="str">
        <x:v>38f2028567bb433fb5162f8c008b4e21d532f819cf5c0c3204c2ca06a2eb7eef</x:v>
      </x:c>
      <x:c r="L9" s="26"/>
      <x:c r="M9" s="26" t="n">
        <x:v>1</x:v>
      </x:c>
      <x:c r="N9" s="26" t="str">
        <x:v>UNIQUE</x:v>
      </x:c>
      <x:c r="O9" s="26" t="str">
        <x:v>00</x:v>
      </x:c>
      <x:c r="P9" s="26" t="str">
        <x:v>00</x:v>
      </x:c>
      <x:c r="Q9" s="26" t="str">
        <x:v>Published historical baseline</x:v>
      </x:c>
      <x:c r="R9" s="26" t="str">
        <x:v>SUPERSEDED AS AUTHORITY — RETAIN AS IMMUTABLE HISTORY</x:v>
      </x:c>
      <x:c r="S9" s="26" t="str">
        <x:v>00_Official_Baseline/v0.3/00_Project_Governance/Cartridge_And_Cloud_Enfoque_v0.6.pdf</x:v>
      </x:c>
      <x:c r="T9" s="26" t="str">
        <x:v>Historical path preserved verbatim; hash calculated from supplied pre-regeneration project.</x:v>
      </x:c>
    </x:row>
    <x:row r="10" ht="30" customHeight="1">
      <x:c r="A10" s="26" t="str">
        <x:v>H-0006</x:v>
      </x:c>
      <x:c r="B10" s="26" t="str">
        <x:v>Official Baseline</x:v>
      </x:c>
      <x:c r="C10" s="26" t="str">
        <x:v>v0.3</x:v>
      </x:c>
      <x:c r="D10" s="26" t="str">
        <x:v>v0.3</x:v>
      </x:c>
      <x:c r="E10" s="26" t="str">
        <x:v>00_Project_Governance</x:v>
      </x:c>
      <x:c r="F10" s="26"/>
      <x:c r="G10" s="26" t="str">
        <x:v>Cartridge_And_Cloud_Package_Manifest_v0.1.pdf</x:v>
      </x:c>
      <x:c r="H10" s="26" t="str">
        <x:v>PDF</x:v>
      </x:c>
      <x:c r="I10" s="26" t="str">
        <x:v>Package manifest</x:v>
      </x:c>
      <x:c r="J10" s="26" t="n">
        <x:v>40833</x:v>
      </x:c>
      <x:c r="K10" s="26" t="str">
        <x:v>4aed1b174d2405952bd79800726f58314e2bf96842da2b233cf005db84689f83</x:v>
      </x:c>
      <x:c r="L10" s="26"/>
      <x:c r="M10" s="26" t="n">
        <x:v>1</x:v>
      </x:c>
      <x:c r="N10" s="26" t="str">
        <x:v>UNIQUE</x:v>
      </x:c>
      <x:c r="O10" s="26" t="str">
        <x:v>32</x:v>
      </x:c>
      <x:c r="P10" s="26" t="str">
        <x:v>13, 14, 15, 16, 32</x:v>
      </x:c>
      <x:c r="Q10" s="26" t="str">
        <x:v>Published historical baseline</x:v>
      </x:c>
      <x:c r="R10" s="26" t="str">
        <x:v>SUPERSEDED AS AUTHORITY — RETAIN AS IMMUTABLE HISTORY</x:v>
      </x:c>
      <x:c r="S10" s="26" t="str">
        <x:v>00_Official_Baseline/v0.3/00_Project_Governance/Cartridge_And_Cloud_Package_Manifest_v0.1.pdf</x:v>
      </x:c>
      <x:c r="T10" s="26" t="str">
        <x:v>Historical path preserved verbatim; hash calculated from supplied pre-regeneration project.</x:v>
      </x:c>
    </x:row>
    <x:row r="11" ht="30" customHeight="1">
      <x:c r="A11" s="26" t="str">
        <x:v>H-0007</x:v>
      </x:c>
      <x:c r="B11" s="26" t="str">
        <x:v>Official Baseline</x:v>
      </x:c>
      <x:c r="C11" s="26" t="str">
        <x:v>v0.3</x:v>
      </x:c>
      <x:c r="D11" s="26" t="str">
        <x:v>v0.3</x:v>
      </x:c>
      <x:c r="E11" s="26" t="str">
        <x:v>00_Project_Governance</x:v>
      </x:c>
      <x:c r="F11" s="26"/>
      <x:c r="G11" s="26" t="str">
        <x:v>Cartridge_And_Cloud_Project_Binder_Indice_Maestro_v0.3.pdf</x:v>
      </x:c>
      <x:c r="H11" s="26" t="str">
        <x:v>PDF</x:v>
      </x:c>
      <x:c r="I11" s="26" t="str">
        <x:v>Published baseline rendering</x:v>
      </x:c>
      <x:c r="J11" s="26" t="n">
        <x:v>26270</x:v>
      </x:c>
      <x:c r="K11" s="26" t="str">
        <x:v>c71af37b9e9be41ba8f31ae35ac244d4fb3163ab19a7e43656ced308f746ee58</x:v>
      </x:c>
      <x:c r="L11" s="26"/>
      <x:c r="M11" s="26" t="n">
        <x:v>1</x:v>
      </x:c>
      <x:c r="N11" s="26" t="str">
        <x:v>UNIQUE</x:v>
      </x:c>
      <x:c r="O11" s="26" t="str">
        <x:v>14</x:v>
      </x:c>
      <x:c r="P11" s="26" t="str">
        <x:v>14</x:v>
      </x:c>
      <x:c r="Q11" s="26" t="str">
        <x:v>Published historical baseline</x:v>
      </x:c>
      <x:c r="R11" s="26" t="str">
        <x:v>SUPERSEDED AS AUTHORITY — RETAIN AS IMMUTABLE HISTORY</x:v>
      </x:c>
      <x:c r="S11" s="26" t="str">
        <x:v>00_Official_Baseline/v0.3/00_Project_Governance/Cartridge_And_Cloud_Project_Binder_Indice_Maestro_v0.3.pdf</x:v>
      </x:c>
      <x:c r="T11" s="26" t="str">
        <x:v>Historical path preserved verbatim; hash calculated from supplied pre-regeneration project.</x:v>
      </x:c>
    </x:row>
    <x:row r="12" ht="30" customHeight="1">
      <x:c r="A12" s="26" t="str">
        <x:v>H-0008</x:v>
      </x:c>
      <x:c r="B12" s="26" t="str">
        <x:v>Official Baseline</x:v>
      </x:c>
      <x:c r="C12" s="26" t="str">
        <x:v>v0.3</x:v>
      </x:c>
      <x:c r="D12" s="26" t="str">
        <x:v>v0.3</x:v>
      </x:c>
      <x:c r="E12" s="26" t="str">
        <x:v>00_Project_Governance</x:v>
      </x:c>
      <x:c r="F12" s="26"/>
      <x:c r="G12" s="26" t="str">
        <x:v>Enfoque_v0.6.md</x:v>
      </x:c>
      <x:c r="H12" s="26" t="str">
        <x:v>Markdown</x:v>
      </x:c>
      <x:c r="I12" s="26" t="str">
        <x:v>Historical document / record</x:v>
      </x:c>
      <x:c r="J12" s="26" t="n">
        <x:v>122708</x:v>
      </x:c>
      <x:c r="K12" s="26" t="str">
        <x:v>6765207677c2adad0d124d20b9c27c82563eebc5eb3a0acb817dddbd148b3fbb</x:v>
      </x:c>
      <x:c r="L12" s="26" t="str">
        <x:v>DG-041</x:v>
      </x:c>
      <x:c r="M12" s="26" t="n">
        <x:v>2</x:v>
      </x:c>
      <x:c r="N12" s="26" t="str">
        <x:v>DUPLICATE GROUP REPRESENTATIVE</x:v>
      </x:c>
      <x:c r="O12" s="26" t="str">
        <x:v>00</x:v>
      </x:c>
      <x:c r="P12" s="26" t="str">
        <x:v>00</x:v>
      </x:c>
      <x:c r="Q12" s="26" t="str">
        <x:v>Historical baseline support</x:v>
      </x:c>
      <x:c r="R12" s="26" t="str">
        <x:v>RETAIN AS SUPPORTING HISTORY</x:v>
      </x:c>
      <x:c r="S12" s="26" t="str">
        <x:v>00_Official_Baseline/v0.3/00_Project_Governance/Enfoque_v0.6.md</x:v>
      </x:c>
      <x:c r="T12" s="26" t="str">
        <x:v>Historical path preserved verbatim; hash calculated from supplied pre-regeneration project.</x:v>
      </x:c>
    </x:row>
    <x:row r="13" ht="30" customHeight="1">
      <x:c r="A13" s="26" t="str">
        <x:v>H-0009</x:v>
      </x:c>
      <x:c r="B13" s="26" t="str">
        <x:v>Official Baseline</x:v>
      </x:c>
      <x:c r="C13" s="26" t="str">
        <x:v>v0.3</x:v>
      </x:c>
      <x:c r="D13" s="26" t="str">
        <x:v>v0.3</x:v>
      </x:c>
      <x:c r="E13" s="26" t="str">
        <x:v>01_Design</x:v>
      </x:c>
      <x:c r="F13" s="26"/>
      <x:c r="G13" s="26" t="str">
        <x:v>Cartridge_And_Cloud_Economy_Balance_Specification_v0.1.pdf</x:v>
      </x:c>
      <x:c r="H13" s="26" t="str">
        <x:v>PDF</x:v>
      </x:c>
      <x:c r="I13" s="26" t="str">
        <x:v>Published baseline rendering</x:v>
      </x:c>
      <x:c r="J13" s="26" t="n">
        <x:v>102712</x:v>
      </x:c>
      <x:c r="K13" s="26" t="str">
        <x:v>9539e4a8e097a84c413a8b65a8bc77d2d2a859eeab9c9697e84473ce67025ab7</x:v>
      </x:c>
      <x:c r="L13" s="26"/>
      <x:c r="M13" s="26" t="n">
        <x:v>1</x:v>
      </x:c>
      <x:c r="N13" s="26" t="str">
        <x:v>UNIQUE</x:v>
      </x:c>
      <x:c r="O13" s="26" t="str">
        <x:v>20</x:v>
      </x:c>
      <x:c r="P13" s="26" t="str">
        <x:v>20</x:v>
      </x:c>
      <x:c r="Q13" s="26" t="str">
        <x:v>Published historical baseline</x:v>
      </x:c>
      <x:c r="R13" s="26" t="str">
        <x:v>SUPERSEDED AS AUTHORITY — RETAIN AS IMMUTABLE HISTORY</x:v>
      </x:c>
      <x:c r="S13" s="26" t="str">
        <x:v>00_Official_Baseline/v0.3/01_Design/Cartridge_And_Cloud_Economy_Balance_Specification_v0.1.pdf</x:v>
      </x:c>
      <x:c r="T13" s="26" t="str">
        <x:v>Historical path preserved verbatim; hash calculated from supplied pre-regeneration project.</x:v>
      </x:c>
    </x:row>
    <x:row r="14" ht="30" customHeight="1">
      <x:c r="A14" s="26" t="str">
        <x:v>H-0010</x:v>
      </x:c>
      <x:c r="B14" s="26" t="str">
        <x:v>Official Baseline</x:v>
      </x:c>
      <x:c r="C14" s="26" t="str">
        <x:v>v0.3</x:v>
      </x:c>
      <x:c r="D14" s="26" t="str">
        <x:v>v0.3</x:v>
      </x:c>
      <x:c r="E14" s="26" t="str">
        <x:v>01_Design</x:v>
      </x:c>
      <x:c r="F14" s="26"/>
      <x:c r="G14" s="26" t="str">
        <x:v>Cartridge_And_Cloud_GDD_v0.4_PCSteam.pdf</x:v>
      </x:c>
      <x:c r="H14" s="26" t="str">
        <x:v>PDF</x:v>
      </x:c>
      <x:c r="I14" s="26" t="str">
        <x:v>Published baseline rendering</x:v>
      </x:c>
      <x:c r="J14" s="26" t="n">
        <x:v>292627</x:v>
      </x:c>
      <x:c r="K14" s="26" t="str">
        <x:v>9d07c1cbfde60aa02403129f5b0b2b36852cfb514123e836d8c8e81ee7fa837d</x:v>
      </x:c>
      <x:c r="L14" s="26"/>
      <x:c r="M14" s="26" t="n">
        <x:v>1</x:v>
      </x:c>
      <x:c r="N14" s="26" t="str">
        <x:v>UNIQUE</x:v>
      </x:c>
      <x:c r="O14" s="26" t="str">
        <x:v>01</x:v>
      </x:c>
      <x:c r="P14" s="26" t="str">
        <x:v>01</x:v>
      </x:c>
      <x:c r="Q14" s="26" t="str">
        <x:v>Published historical baseline</x:v>
      </x:c>
      <x:c r="R14" s="26" t="str">
        <x:v>SUPERSEDED AS AUTHORITY — RETAIN AS IMMUTABLE HISTORY</x:v>
      </x:c>
      <x:c r="S14" s="26" t="str">
        <x:v>00_Official_Baseline/v0.3/01_Design/Cartridge_And_Cloud_GDD_v0.4_PCSteam.pdf</x:v>
      </x:c>
      <x:c r="T14" s="26" t="str">
        <x:v>Historical path preserved verbatim; hash calculated from supplied pre-regeneration project.</x:v>
      </x:c>
    </x:row>
    <x:row r="15" ht="30" customHeight="1">
      <x:c r="A15" s="26" t="str">
        <x:v>H-0011</x:v>
      </x:c>
      <x:c r="B15" s="26" t="str">
        <x:v>Official Baseline</x:v>
      </x:c>
      <x:c r="C15" s="26" t="str">
        <x:v>v0.3</x:v>
      </x:c>
      <x:c r="D15" s="26" t="str">
        <x:v>v0.3</x:v>
      </x:c>
      <x:c r="E15" s="26" t="str">
        <x:v>01_Design</x:v>
      </x:c>
      <x:c r="F15" s="26"/>
      <x:c r="G15" s="26" t="str">
        <x:v>Cartridge_And_Cloud_Initial_Content_Catalog_v0.1.pdf</x:v>
      </x:c>
      <x:c r="H15" s="26" t="str">
        <x:v>PDF</x:v>
      </x:c>
      <x:c r="I15" s="26" t="str">
        <x:v>Published baseline rendering</x:v>
      </x:c>
      <x:c r="J15" s="26" t="n">
        <x:v>82740</x:v>
      </x:c>
      <x:c r="K15" s="26" t="str">
        <x:v>f2f3531bc334dba5740d3278f9d4fc2a767dd0520029888fda5d2957503b5b52</x:v>
      </x:c>
      <x:c r="L15" s="26"/>
      <x:c r="M15" s="26" t="n">
        <x:v>1</x:v>
      </x:c>
      <x:c r="N15" s="26" t="str">
        <x:v>UNIQUE</x:v>
      </x:c>
      <x:c r="O15" s="26" t="str">
        <x:v>21</x:v>
      </x:c>
      <x:c r="P15" s="26" t="str">
        <x:v>21</x:v>
      </x:c>
      <x:c r="Q15" s="26" t="str">
        <x:v>Published historical baseline</x:v>
      </x:c>
      <x:c r="R15" s="26" t="str">
        <x:v>SUPERSEDED AS AUTHORITY — RETAIN AS IMMUTABLE HISTORY</x:v>
      </x:c>
      <x:c r="S15" s="26" t="str">
        <x:v>00_Official_Baseline/v0.3/01_Design/Cartridge_And_Cloud_Initial_Content_Catalog_v0.1.pdf</x:v>
      </x:c>
      <x:c r="T15" s="26" t="str">
        <x:v>Historical path preserved verbatim; hash calculated from supplied pre-regeneration project.</x:v>
      </x:c>
    </x:row>
    <x:row r="16" ht="30" customHeight="1">
      <x:c r="A16" s="26" t="str">
        <x:v>H-0012</x:v>
      </x:c>
      <x:c r="B16" s="26" t="str">
        <x:v>Official Baseline</x:v>
      </x:c>
      <x:c r="C16" s="26" t="str">
        <x:v>v0.3</x:v>
      </x:c>
      <x:c r="D16" s="26" t="str">
        <x:v>v0.3</x:v>
      </x:c>
      <x:c r="E16" s="26" t="str">
        <x:v>01_Design</x:v>
      </x:c>
      <x:c r="F16" s="26"/>
      <x:c r="G16" s="26" t="str">
        <x:v>Cartridge_And_Cloud_UX_Flow_v0.3.pdf</x:v>
      </x:c>
      <x:c r="H16" s="26" t="str">
        <x:v>PDF</x:v>
      </x:c>
      <x:c r="I16" s="26" t="str">
        <x:v>Published baseline rendering</x:v>
      </x:c>
      <x:c r="J16" s="26" t="n">
        <x:v>227782</x:v>
      </x:c>
      <x:c r="K16" s="26" t="str">
        <x:v>f46ac97e14ce7b1ec45258c84a7f3fc8209f43ee807219114eee1d517aa976db</x:v>
      </x:c>
      <x:c r="L16" s="26"/>
      <x:c r="M16" s="26" t="n">
        <x:v>1</x:v>
      </x:c>
      <x:c r="N16" s="26" t="str">
        <x:v>UNIQUE</x:v>
      </x:c>
      <x:c r="O16" s="26" t="str">
        <x:v>05</x:v>
      </x:c>
      <x:c r="P16" s="26" t="str">
        <x:v>05</x:v>
      </x:c>
      <x:c r="Q16" s="26" t="str">
        <x:v>Published historical baseline</x:v>
      </x:c>
      <x:c r="R16" s="26" t="str">
        <x:v>SUPERSEDED AS AUTHORITY — RETAIN AS IMMUTABLE HISTORY</x:v>
      </x:c>
      <x:c r="S16" s="26" t="str">
        <x:v>00_Official_Baseline/v0.3/01_Design/Cartridge_And_Cloud_UX_Flow_v0.3.pdf</x:v>
      </x:c>
      <x:c r="T16" s="26" t="str">
        <x:v>Historical path preserved verbatim; hash calculated from supplied pre-regeneration project.</x:v>
      </x:c>
    </x:row>
    <x:row r="17" ht="30" customHeight="1">
      <x:c r="A17" s="26" t="str">
        <x:v>H-0013</x:v>
      </x:c>
      <x:c r="B17" s="26" t="str">
        <x:v>Official Baseline</x:v>
      </x:c>
      <x:c r="C17" s="26" t="str">
        <x:v>v0.3</x:v>
      </x:c>
      <x:c r="D17" s="26" t="str">
        <x:v>v0.3</x:v>
      </x:c>
      <x:c r="E17" s="26" t="str">
        <x:v>01_Design</x:v>
      </x:c>
      <x:c r="F17" s="26"/>
      <x:c r="G17" s="26" t="str">
        <x:v>Cartridge_And_Cloud_Vertical_Slice_Specification_v0.1.pdf</x:v>
      </x:c>
      <x:c r="H17" s="26" t="str">
        <x:v>PDF</x:v>
      </x:c>
      <x:c r="I17" s="26" t="str">
        <x:v>Published baseline rendering</x:v>
      </x:c>
      <x:c r="J17" s="26" t="n">
        <x:v>37172</x:v>
      </x:c>
      <x:c r="K17" s="26" t="str">
        <x:v>86b0a49dac832eda01fa751b5a9b720610868ba389093d2a8784222d01326ac3</x:v>
      </x:c>
      <x:c r="L17" s="26"/>
      <x:c r="M17" s="26" t="n">
        <x:v>1</x:v>
      </x:c>
      <x:c r="N17" s="26" t="str">
        <x:v>UNIQUE</x:v>
      </x:c>
      <x:c r="O17" s="26" t="str">
        <x:v>02</x:v>
      </x:c>
      <x:c r="P17" s="26" t="str">
        <x:v>02</x:v>
      </x:c>
      <x:c r="Q17" s="26" t="str">
        <x:v>Published historical baseline</x:v>
      </x:c>
      <x:c r="R17" s="26" t="str">
        <x:v>SUPERSEDED AS AUTHORITY — RETAIN AS IMMUTABLE HISTORY</x:v>
      </x:c>
      <x:c r="S17" s="26" t="str">
        <x:v>00_Official_Baseline/v0.3/01_Design/Cartridge_And_Cloud_Vertical_Slice_Specification_v0.1.pdf</x:v>
      </x:c>
      <x:c r="T17" s="26" t="str">
        <x:v>Historical path preserved verbatim; hash calculated from supplied pre-regeneration project.</x:v>
      </x:c>
    </x:row>
    <x:row r="18" ht="30" customHeight="1">
      <x:c r="A18" s="26" t="str">
        <x:v>H-0014</x:v>
      </x:c>
      <x:c r="B18" s="26" t="str">
        <x:v>Official Baseline</x:v>
      </x:c>
      <x:c r="C18" s="26" t="str">
        <x:v>v0.3</x:v>
      </x:c>
      <x:c r="D18" s="26" t="str">
        <x:v>v0.3</x:v>
      </x:c>
      <x:c r="E18" s="26" t="str">
        <x:v>02_Technical</x:v>
      </x:c>
      <x:c r="F18" s="26"/>
      <x:c r="G18" s="26" t="str">
        <x:v>Cartridge_And_Cloud_Build_Versioning_Guide_v0.3.pdf</x:v>
      </x:c>
      <x:c r="H18" s="26" t="str">
        <x:v>PDF</x:v>
      </x:c>
      <x:c r="I18" s="26" t="str">
        <x:v>Published baseline rendering</x:v>
      </x:c>
      <x:c r="J18" s="26" t="n">
        <x:v>25562</x:v>
      </x:c>
      <x:c r="K18" s="26" t="str">
        <x:v>81e38d9861f5caee0d4448c0aff214e0ffc922e82e2491f8b37c7f37719bd97a</x:v>
      </x:c>
      <x:c r="L18" s="26"/>
      <x:c r="M18" s="26" t="n">
        <x:v>1</x:v>
      </x:c>
      <x:c r="N18" s="26" t="str">
        <x:v>UNIQUE</x:v>
      </x:c>
      <x:c r="O18" s="26" t="str">
        <x:v>11</x:v>
      </x:c>
      <x:c r="P18" s="26" t="str">
        <x:v>11</x:v>
      </x:c>
      <x:c r="Q18" s="26" t="str">
        <x:v>Published historical baseline</x:v>
      </x:c>
      <x:c r="R18" s="26" t="str">
        <x:v>SUPERSEDED AS AUTHORITY — RETAIN AS IMMUTABLE HISTORY</x:v>
      </x:c>
      <x:c r="S18" s="26" t="str">
        <x:v>00_Official_Baseline/v0.3/02_Technical/Cartridge_And_Cloud_Build_Versioning_Guide_v0.3.pdf</x:v>
      </x:c>
      <x:c r="T18" s="26" t="str">
        <x:v>Historical path preserved verbatim; hash calculated from supplied pre-regeneration project.</x:v>
      </x:c>
    </x:row>
    <x:row r="19" ht="30" customHeight="1">
      <x:c r="A19" s="26" t="str">
        <x:v>H-0015</x:v>
      </x:c>
      <x:c r="B19" s="26" t="str">
        <x:v>Official Baseline</x:v>
      </x:c>
      <x:c r="C19" s="26" t="str">
        <x:v>v0.3</x:v>
      </x:c>
      <x:c r="D19" s="26" t="str">
        <x:v>v0.3</x:v>
      </x:c>
      <x:c r="E19" s="26" t="str">
        <x:v>02_Technical</x:v>
      </x:c>
      <x:c r="F19" s="26"/>
      <x:c r="G19" s="26" t="str">
        <x:v>Cartridge_And_Cloud_CSharp_Coding_Standards_v0.3.pdf</x:v>
      </x:c>
      <x:c r="H19" s="26" t="str">
        <x:v>PDF</x:v>
      </x:c>
      <x:c r="I19" s="26" t="str">
        <x:v>Published baseline rendering</x:v>
      </x:c>
      <x:c r="J19" s="26" t="n">
        <x:v>27744</x:v>
      </x:c>
      <x:c r="K19" s="26" t="str">
        <x:v>7728a56bdb4c65c4a74cd02791293449dd2277d5a544f038744476c3c0b73c43</x:v>
      </x:c>
      <x:c r="L19" s="26"/>
      <x:c r="M19" s="26" t="n">
        <x:v>1</x:v>
      </x:c>
      <x:c r="N19" s="26" t="str">
        <x:v>UNIQUE</x:v>
      </x:c>
      <x:c r="O19" s="26" t="str">
        <x:v>09</x:v>
      </x:c>
      <x:c r="P19" s="26" t="str">
        <x:v>09</x:v>
      </x:c>
      <x:c r="Q19" s="26" t="str">
        <x:v>Published historical baseline</x:v>
      </x:c>
      <x:c r="R19" s="26" t="str">
        <x:v>SUPERSEDED AS AUTHORITY — RETAIN AS IMMUTABLE HISTORY</x:v>
      </x:c>
      <x:c r="S19" s="26" t="str">
        <x:v>00_Official_Baseline/v0.3/02_Technical/Cartridge_And_Cloud_CSharp_Coding_Standards_v0.3.pdf</x:v>
      </x:c>
      <x:c r="T19" s="26" t="str">
        <x:v>Historical path preserved verbatim; hash calculated from supplied pre-regeneration project.</x:v>
      </x:c>
    </x:row>
    <x:row r="20" ht="30" customHeight="1">
      <x:c r="A20" s="26" t="str">
        <x:v>H-0016</x:v>
      </x:c>
      <x:c r="B20" s="26" t="str">
        <x:v>Official Baseline</x:v>
      </x:c>
      <x:c r="C20" s="26" t="str">
        <x:v>v0.3</x:v>
      </x:c>
      <x:c r="D20" s="26" t="str">
        <x:v>v0.3</x:v>
      </x:c>
      <x:c r="E20" s="26" t="str">
        <x:v>02_Technical</x:v>
      </x:c>
      <x:c r="F20" s="26"/>
      <x:c r="G20" s="26" t="str">
        <x:v>Cartridge_And_Cloud_Modelo_de_Datos_v0.3.pdf</x:v>
      </x:c>
      <x:c r="H20" s="26" t="str">
        <x:v>PDF</x:v>
      </x:c>
      <x:c r="I20" s="26" t="str">
        <x:v>Published baseline rendering</x:v>
      </x:c>
      <x:c r="J20" s="26" t="n">
        <x:v>201297</x:v>
      </x:c>
      <x:c r="K20" s="26" t="str">
        <x:v>7909e47fb733c5129b9d5ead2743b9d82e75bb4a592f931cfaa61a419a671380</x:v>
      </x:c>
      <x:c r="L20" s="26"/>
      <x:c r="M20" s="26" t="n">
        <x:v>1</x:v>
      </x:c>
      <x:c r="N20" s="26" t="str">
        <x:v>UNIQUE</x:v>
      </x:c>
      <x:c r="O20" s="26" t="str">
        <x:v>04</x:v>
      </x:c>
      <x:c r="P20" s="26" t="str">
        <x:v>04</x:v>
      </x:c>
      <x:c r="Q20" s="26" t="str">
        <x:v>Published historical baseline</x:v>
      </x:c>
      <x:c r="R20" s="26" t="str">
        <x:v>SUPERSEDED AS AUTHORITY — RETAIN AS IMMUTABLE HISTORY</x:v>
      </x:c>
      <x:c r="S20" s="26" t="str">
        <x:v>00_Official_Baseline/v0.3/02_Technical/Cartridge_And_Cloud_Modelo_de_Datos_v0.3.pdf</x:v>
      </x:c>
      <x:c r="T20" s="26" t="str">
        <x:v>Historical path preserved verbatim; hash calculated from supplied pre-regeneration project.</x:v>
      </x:c>
    </x:row>
    <x:row r="21" ht="30" customHeight="1">
      <x:c r="A21" s="26" t="str">
        <x:v>H-0017</x:v>
      </x:c>
      <x:c r="B21" s="26" t="str">
        <x:v>Official Baseline</x:v>
      </x:c>
      <x:c r="C21" s="26" t="str">
        <x:v>v0.3</x:v>
      </x:c>
      <x:c r="D21" s="26" t="str">
        <x:v>v0.3</x:v>
      </x:c>
      <x:c r="E21" s="26" t="str">
        <x:v>02_Technical</x:v>
      </x:c>
      <x:c r="F21" s="26"/>
      <x:c r="G21" s="26" t="str">
        <x:v>Cartridge_And_Cloud_TDD_v0.3_Technical_Design_Document.pdf</x:v>
      </x:c>
      <x:c r="H21" s="26" t="str">
        <x:v>PDF</x:v>
      </x:c>
      <x:c r="I21" s="26" t="str">
        <x:v>Published baseline rendering</x:v>
      </x:c>
      <x:c r="J21" s="26" t="n">
        <x:v>59929</x:v>
      </x:c>
      <x:c r="K21" s="26" t="str">
        <x:v>de5a87992375dbef16f3f4ea2013262c31f08b184d074e8b952b8a124a6b8afb</x:v>
      </x:c>
      <x:c r="L21" s="26"/>
      <x:c r="M21" s="26" t="n">
        <x:v>1</x:v>
      </x:c>
      <x:c r="N21" s="26" t="str">
        <x:v>UNIQUE</x:v>
      </x:c>
      <x:c r="O21" s="26" t="str">
        <x:v>03</x:v>
      </x:c>
      <x:c r="P21" s="26" t="str">
        <x:v>03</x:v>
      </x:c>
      <x:c r="Q21" s="26" t="str">
        <x:v>Published historical baseline</x:v>
      </x:c>
      <x:c r="R21" s="26" t="str">
        <x:v>SUPERSEDED AS AUTHORITY — RETAIN AS IMMUTABLE HISTORY</x:v>
      </x:c>
      <x:c r="S21" s="26" t="str">
        <x:v>00_Official_Baseline/v0.3/02_Technical/Cartridge_And_Cloud_TDD_v0.3_Technical_Design_Document.pdf</x:v>
      </x:c>
      <x:c r="T21" s="26" t="str">
        <x:v>Historical path preserved verbatim; hash calculated from supplied pre-regeneration project.</x:v>
      </x:c>
    </x:row>
    <x:row r="22" ht="30" customHeight="1">
      <x:c r="A22" s="26" t="str">
        <x:v>H-0018</x:v>
      </x:c>
      <x:c r="B22" s="26" t="str">
        <x:v>Official Baseline</x:v>
      </x:c>
      <x:c r="C22" s="26" t="str">
        <x:v>v0.3</x:v>
      </x:c>
      <x:c r="D22" s="26" t="str">
        <x:v>v0.3</x:v>
      </x:c>
      <x:c r="E22" s="26" t="str">
        <x:v>02_Technical</x:v>
      </x:c>
      <x:c r="F22" s="26"/>
      <x:c r="G22" s="26" t="str">
        <x:v>Cartridge_And_Cloud_Unity_Project_Setup_Guide_v0.3.pdf</x:v>
      </x:c>
      <x:c r="H22" s="26" t="str">
        <x:v>PDF</x:v>
      </x:c>
      <x:c r="I22" s="26" t="str">
        <x:v>Published baseline rendering</x:v>
      </x:c>
      <x:c r="J22" s="26" t="n">
        <x:v>28287</x:v>
      </x:c>
      <x:c r="K22" s="26" t="str">
        <x:v>c0725431f52d44b931bc58773ebd56fae72d00dca0ff456c41167a1a7705e537</x:v>
      </x:c>
      <x:c r="L22" s="26"/>
      <x:c r="M22" s="26" t="n">
        <x:v>1</x:v>
      </x:c>
      <x:c r="N22" s="26" t="str">
        <x:v>UNIQUE</x:v>
      </x:c>
      <x:c r="O22" s="26" t="str">
        <x:v>10</x:v>
      </x:c>
      <x:c r="P22" s="26" t="str">
        <x:v>10</x:v>
      </x:c>
      <x:c r="Q22" s="26" t="str">
        <x:v>Published historical baseline</x:v>
      </x:c>
      <x:c r="R22" s="26" t="str">
        <x:v>SUPERSEDED AS AUTHORITY — RETAIN AS IMMUTABLE HISTORY</x:v>
      </x:c>
      <x:c r="S22" s="26" t="str">
        <x:v>00_Official_Baseline/v0.3/02_Technical/Cartridge_And_Cloud_Unity_Project_Setup_Guide_v0.3.pdf</x:v>
      </x:c>
      <x:c r="T22" s="26" t="str">
        <x:v>Historical path preserved verbatim; hash calculated from supplied pre-regeneration project.</x:v>
      </x:c>
    </x:row>
    <x:row r="23" ht="30" customHeight="1">
      <x:c r="A23" s="26" t="str">
        <x:v>H-0019</x:v>
      </x:c>
      <x:c r="B23" s="26" t="str">
        <x:v>Official Baseline</x:v>
      </x:c>
      <x:c r="C23" s="26" t="str">
        <x:v>v0.3</x:v>
      </x:c>
      <x:c r="D23" s="26" t="str">
        <x:v>v0.3</x:v>
      </x:c>
      <x:c r="E23" s="26" t="str">
        <x:v>03_Visual_Audio</x:v>
      </x:c>
      <x:c r="F23" s="26"/>
      <x:c r="G23" s="26" t="str">
        <x:v>Cartridge_And_Cloud_Art_Bible_v0.3.pdf</x:v>
      </x:c>
      <x:c r="H23" s="26" t="str">
        <x:v>PDF</x:v>
      </x:c>
      <x:c r="I23" s="26" t="str">
        <x:v>Published baseline rendering</x:v>
      </x:c>
      <x:c r="J23" s="26" t="n">
        <x:v>48581</x:v>
      </x:c>
      <x:c r="K23" s="26" t="str">
        <x:v>12e33a6d179e22457d8f03c7c5cb48d597194b21989beae47ceb0c53ea079b47</x:v>
      </x:c>
      <x:c r="L23" s="26"/>
      <x:c r="M23" s="26" t="n">
        <x:v>1</x:v>
      </x:c>
      <x:c r="N23" s="26" t="str">
        <x:v>UNIQUE</x:v>
      </x:c>
      <x:c r="O23" s="26" t="str">
        <x:v>17</x:v>
      </x:c>
      <x:c r="P23" s="26" t="str">
        <x:v>17</x:v>
      </x:c>
      <x:c r="Q23" s="26" t="str">
        <x:v>Published historical baseline</x:v>
      </x:c>
      <x:c r="R23" s="26" t="str">
        <x:v>SUPERSEDED AS AUTHORITY — RETAIN AS IMMUTABLE HISTORY</x:v>
      </x:c>
      <x:c r="S23" s="26" t="str">
        <x:v>00_Official_Baseline/v0.3/03_Visual_Audio/Cartridge_And_Cloud_Art_Bible_v0.3.pdf</x:v>
      </x:c>
      <x:c r="T23" s="26" t="str">
        <x:v>Historical path preserved verbatim; hash calculated from supplied pre-regeneration project.</x:v>
      </x:c>
    </x:row>
    <x:row r="24" ht="30" customHeight="1">
      <x:c r="A24" s="26" t="str">
        <x:v>H-0020</x:v>
      </x:c>
      <x:c r="B24" s="26" t="str">
        <x:v>Official Baseline</x:v>
      </x:c>
      <x:c r="C24" s="26" t="str">
        <x:v>v0.3</x:v>
      </x:c>
      <x:c r="D24" s="26" t="str">
        <x:v>v0.3</x:v>
      </x:c>
      <x:c r="E24" s="26" t="str">
        <x:v>03_Visual_Audio</x:v>
      </x:c>
      <x:c r="F24" s="26"/>
      <x:c r="G24" s="26" t="str">
        <x:v>Cartridge_And_Cloud_Audio_Bible_v0.3.pdf</x:v>
      </x:c>
      <x:c r="H24" s="26" t="str">
        <x:v>PDF</x:v>
      </x:c>
      <x:c r="I24" s="26" t="str">
        <x:v>Published baseline rendering</x:v>
      </x:c>
      <x:c r="J24" s="26" t="n">
        <x:v>24871</x:v>
      </x:c>
      <x:c r="K24" s="26" t="str">
        <x:v>0932a2c018ffa74ea933999c973d56e378dde4cb73ca315bd9a95198c9742760</x:v>
      </x:c>
      <x:c r="L24" s="26"/>
      <x:c r="M24" s="26" t="n">
        <x:v>1</x:v>
      </x:c>
      <x:c r="N24" s="26" t="str">
        <x:v>UNIQUE</x:v>
      </x:c>
      <x:c r="O24" s="26" t="str">
        <x:v>18</x:v>
      </x:c>
      <x:c r="P24" s="26" t="str">
        <x:v>18</x:v>
      </x:c>
      <x:c r="Q24" s="26" t="str">
        <x:v>Published historical baseline</x:v>
      </x:c>
      <x:c r="R24" s="26" t="str">
        <x:v>SUPERSEDED AS AUTHORITY — RETAIN AS IMMUTABLE HISTORY</x:v>
      </x:c>
      <x:c r="S24" s="26" t="str">
        <x:v>00_Official_Baseline/v0.3/03_Visual_Audio/Cartridge_And_Cloud_Audio_Bible_v0.3.pdf</x:v>
      </x:c>
      <x:c r="T24" s="26" t="str">
        <x:v>Historical path preserved verbatim; hash calculated from supplied pre-regeneration project.</x:v>
      </x:c>
    </x:row>
    <x:row r="25" ht="30" customHeight="1">
      <x:c r="A25" s="26" t="str">
        <x:v>H-0021</x:v>
      </x:c>
      <x:c r="B25" s="26" t="str">
        <x:v>Official Baseline</x:v>
      </x:c>
      <x:c r="C25" s="26" t="str">
        <x:v>v0.3</x:v>
      </x:c>
      <x:c r="D25" s="26" t="str">
        <x:v>v0.3</x:v>
      </x:c>
      <x:c r="E25" s="26" t="str">
        <x:v>03_Visual_Audio</x:v>
      </x:c>
      <x:c r="F25" s="26"/>
      <x:c r="G25" s="26" t="str">
        <x:v>Cartridge_And_Cloud_UI_Style_Guide_v0.3.pdf</x:v>
      </x:c>
      <x:c r="H25" s="26" t="str">
        <x:v>PDF</x:v>
      </x:c>
      <x:c r="I25" s="26" t="str">
        <x:v>Published baseline rendering</x:v>
      </x:c>
      <x:c r="J25" s="26" t="n">
        <x:v>128476</x:v>
      </x:c>
      <x:c r="K25" s="26" t="str">
        <x:v>1af3dcb8429dc562aa2d696f74ef1c27cb4100f5050e5041d3cdb8e8ba609b1d</x:v>
      </x:c>
      <x:c r="L25" s="26"/>
      <x:c r="M25" s="26" t="n">
        <x:v>1</x:v>
      </x:c>
      <x:c r="N25" s="26" t="str">
        <x:v>UNIQUE</x:v>
      </x:c>
      <x:c r="O25" s="26" t="str">
        <x:v>19</x:v>
      </x:c>
      <x:c r="P25" s="26" t="str">
        <x:v>19</x:v>
      </x:c>
      <x:c r="Q25" s="26" t="str">
        <x:v>Published historical baseline</x:v>
      </x:c>
      <x:c r="R25" s="26" t="str">
        <x:v>SUPERSEDED AS AUTHORITY — RETAIN AS IMMUTABLE HISTORY</x:v>
      </x:c>
      <x:c r="S25" s="26" t="str">
        <x:v>00_Official_Baseline/v0.3/03_Visual_Audio/Cartridge_And_Cloud_UI_Style_Guide_v0.3.pdf</x:v>
      </x:c>
      <x:c r="T25" s="26" t="str">
        <x:v>Historical path preserved verbatim; hash calculated from supplied pre-regeneration project.</x:v>
      </x:c>
    </x:row>
    <x:row r="26" ht="30" customHeight="1">
      <x:c r="A26" s="26" t="str">
        <x:v>H-0022</x:v>
      </x:c>
      <x:c r="B26" s="26" t="str">
        <x:v>Official Baseline</x:v>
      </x:c>
      <x:c r="C26" s="26" t="str">
        <x:v>v0.3</x:v>
      </x:c>
      <x:c r="D26" s="26" t="str">
        <x:v>v0.3</x:v>
      </x:c>
      <x:c r="E26" s="26" t="str">
        <x:v>04_QA_Production</x:v>
      </x:c>
      <x:c r="F26" s="26"/>
      <x:c r="G26" s="26" t="str">
        <x:v>Cartridge_And_Cloud_Excel_Maestro_Produccion_v0.3.xlsx</x:v>
      </x:c>
      <x:c r="H26" s="26" t="str">
        <x:v>Excel</x:v>
      </x:c>
      <x:c r="I26" s="26" t="str">
        <x:v>Operational spreadsheet</x:v>
      </x:c>
      <x:c r="J26" s="26" t="n">
        <x:v>28877</x:v>
      </x:c>
      <x:c r="K26" s="26" t="str">
        <x:v>c33a49d4c392b679949daf895029e9eb769241084d49ce51acec79126b47379c</x:v>
      </x:c>
      <x:c r="L26" s="26"/>
      <x:c r="M26" s="26" t="n">
        <x:v>1</x:v>
      </x:c>
      <x:c r="N26" s="26" t="str">
        <x:v>UNIQUE</x:v>
      </x:c>
      <x:c r="O26" s="26" t="str">
        <x:v>12</x:v>
      </x:c>
      <x:c r="P26" s="26" t="str">
        <x:v>12</x:v>
      </x:c>
      <x:c r="Q26" s="26" t="str">
        <x:v>Published historical baseline</x:v>
      </x:c>
      <x:c r="R26" s="26" t="str">
        <x:v>SUPERSEDED AS AUTHORITY — RETAIN AS IMMUTABLE HISTORY</x:v>
      </x:c>
      <x:c r="S26" s="26" t="str">
        <x:v>00_Official_Baseline/v0.3/04_QA_Production/Cartridge_And_Cloud_Excel_Maestro_Produccion_v0.3.xlsx</x:v>
      </x:c>
      <x:c r="T26" s="26" t="str">
        <x:v>Historical path preserved verbatim; hash calculated from supplied pre-regeneration project.</x:v>
      </x:c>
    </x:row>
    <x:row r="27" ht="30" customHeight="1">
      <x:c r="A27" s="26" t="str">
        <x:v>H-0023</x:v>
      </x:c>
      <x:c r="B27" s="26" t="str">
        <x:v>Official Baseline</x:v>
      </x:c>
      <x:c r="C27" s="26" t="str">
        <x:v>v0.3</x:v>
      </x:c>
      <x:c r="D27" s="26" t="str">
        <x:v>v0.3</x:v>
      </x:c>
      <x:c r="E27" s="26" t="str">
        <x:v>04_QA_Production</x:v>
      </x:c>
      <x:c r="F27" s="26"/>
      <x:c r="G27" s="26" t="str">
        <x:v>Cartridge_And_Cloud_Production_Roadmap_Sprint_Plan_v0.3.pdf</x:v>
      </x:c>
      <x:c r="H27" s="26" t="str">
        <x:v>PDF</x:v>
      </x:c>
      <x:c r="I27" s="26" t="str">
        <x:v>Published baseline rendering</x:v>
      </x:c>
      <x:c r="J27" s="26" t="n">
        <x:v>28949</x:v>
      </x:c>
      <x:c r="K27" s="26" t="str">
        <x:v>2b48b54738598dbaa9b461d7cad6f4a6a2f70bb8589df55e72424ec7c9e40e6e</x:v>
      </x:c>
      <x:c r="L27" s="26"/>
      <x:c r="M27" s="26" t="n">
        <x:v>1</x:v>
      </x:c>
      <x:c r="N27" s="26" t="str">
        <x:v>UNIQUE</x:v>
      </x:c>
      <x:c r="O27" s="26" t="str">
        <x:v>06</x:v>
      </x:c>
      <x:c r="P27" s="26" t="str">
        <x:v>06</x:v>
      </x:c>
      <x:c r="Q27" s="26" t="str">
        <x:v>Published historical baseline</x:v>
      </x:c>
      <x:c r="R27" s="26" t="str">
        <x:v>SUPERSEDED AS AUTHORITY — RETAIN AS IMMUTABLE HISTORY</x:v>
      </x:c>
      <x:c r="S27" s="26" t="str">
        <x:v>00_Official_Baseline/v0.3/04_QA_Production/Cartridge_And_Cloud_Production_Roadmap_Sprint_Plan_v0.3.pdf</x:v>
      </x:c>
      <x:c r="T27" s="26" t="str">
        <x:v>Historical path preserved verbatim; hash calculated from supplied pre-regeneration project.</x:v>
      </x:c>
    </x:row>
    <x:row r="28" ht="30" customHeight="1">
      <x:c r="A28" s="26" t="str">
        <x:v>H-0024</x:v>
      </x:c>
      <x:c r="B28" s="26" t="str">
        <x:v>Official Baseline</x:v>
      </x:c>
      <x:c r="C28" s="26" t="str">
        <x:v>v0.3</x:v>
      </x:c>
      <x:c r="D28" s="26" t="str">
        <x:v>v0.3</x:v>
      </x:c>
      <x:c r="E28" s="26" t="str">
        <x:v>04_QA_Production</x:v>
      </x:c>
      <x:c r="F28" s="26"/>
      <x:c r="G28" s="26" t="str">
        <x:v>Cartridge_And_Cloud_QA_Testing_Matrix_v0.3.xlsx</x:v>
      </x:c>
      <x:c r="H28" s="26" t="str">
        <x:v>Excel</x:v>
      </x:c>
      <x:c r="I28" s="26" t="str">
        <x:v>Operational spreadsheet</x:v>
      </x:c>
      <x:c r="J28" s="26" t="n">
        <x:v>21821</x:v>
      </x:c>
      <x:c r="K28" s="26" t="str">
        <x:v>f7d48e93b2ca3cc8e86b1dfc2164126d923af38ba0c76cb4dde566e6bc4da05d</x:v>
      </x:c>
      <x:c r="L28" s="26"/>
      <x:c r="M28" s="26" t="n">
        <x:v>1</x:v>
      </x:c>
      <x:c r="N28" s="26" t="str">
        <x:v>UNIQUE</x:v>
      </x:c>
      <x:c r="O28" s="26" t="str">
        <x:v>08</x:v>
      </x:c>
      <x:c r="P28" s="26" t="str">
        <x:v>08</x:v>
      </x:c>
      <x:c r="Q28" s="26" t="str">
        <x:v>Published historical baseline</x:v>
      </x:c>
      <x:c r="R28" s="26" t="str">
        <x:v>SUPERSEDED AS AUTHORITY — RETAIN AS IMMUTABLE HISTORY</x:v>
      </x:c>
      <x:c r="S28" s="26" t="str">
        <x:v>00_Official_Baseline/v0.3/04_QA_Production/Cartridge_And_Cloud_QA_Testing_Matrix_v0.3.xlsx</x:v>
      </x:c>
      <x:c r="T28" s="26" t="str">
        <x:v>Historical path preserved verbatim; hash calculated from supplied pre-regeneration project.</x:v>
      </x:c>
    </x:row>
    <x:row r="29" ht="30" customHeight="1">
      <x:c r="A29" s="26" t="str">
        <x:v>H-0025</x:v>
      </x:c>
      <x:c r="B29" s="26" t="str">
        <x:v>Official Baseline</x:v>
      </x:c>
      <x:c r="C29" s="26" t="str">
        <x:v>v0.3</x:v>
      </x:c>
      <x:c r="D29" s="26" t="str">
        <x:v>v0.3</x:v>
      </x:c>
      <x:c r="E29" s="26" t="str">
        <x:v>04_QA_Production</x:v>
      </x:c>
      <x:c r="F29" s="26"/>
      <x:c r="G29" s="26" t="str">
        <x:v>Cartridge_And_Cloud_QA_Testing_Plan_v0.3.pdf</x:v>
      </x:c>
      <x:c r="H29" s="26" t="str">
        <x:v>PDF</x:v>
      </x:c>
      <x:c r="I29" s="26" t="str">
        <x:v>Published baseline rendering</x:v>
      </x:c>
      <x:c r="J29" s="26" t="n">
        <x:v>39300</x:v>
      </x:c>
      <x:c r="K29" s="26" t="str">
        <x:v>2d71d4dd720598429744bc6cf959162a8915301ad69171bc6816168e47f75709</x:v>
      </x:c>
      <x:c r="L29" s="26"/>
      <x:c r="M29" s="26" t="n">
        <x:v>1</x:v>
      </x:c>
      <x:c r="N29" s="26" t="str">
        <x:v>UNIQUE</x:v>
      </x:c>
      <x:c r="O29" s="26" t="str">
        <x:v>07</x:v>
      </x:c>
      <x:c r="P29" s="26" t="str">
        <x:v>07</x:v>
      </x:c>
      <x:c r="Q29" s="26" t="str">
        <x:v>Published historical baseline</x:v>
      </x:c>
      <x:c r="R29" s="26" t="str">
        <x:v>SUPERSEDED AS AUTHORITY — RETAIN AS IMMUTABLE HISTORY</x:v>
      </x:c>
      <x:c r="S29" s="26" t="str">
        <x:v>00_Official_Baseline/v0.3/04_QA_Production/Cartridge_And_Cloud_QA_Testing_Plan_v0.3.pdf</x:v>
      </x:c>
      <x:c r="T29" s="26" t="str">
        <x:v>Historical path preserved verbatim; hash calculated from supplied pre-regeneration project.</x:v>
      </x:c>
    </x:row>
    <x:row r="30" ht="30" customHeight="1">
      <x:c r="A30" s="26" t="str">
        <x:v>H-0026</x:v>
      </x:c>
      <x:c r="B30" s="26" t="str">
        <x:v>Official Baseline</x:v>
      </x:c>
      <x:c r="C30" s="26" t="str">
        <x:v>v0.3</x:v>
      </x:c>
      <x:c r="D30" s="26" t="str">
        <x:v>v0.3</x:v>
      </x:c>
      <x:c r="E30" s="26" t="str">
        <x:v>04_QA_Production</x:v>
      </x:c>
      <x:c r="F30" s="26"/>
      <x:c r="G30" s="26" t="str">
        <x:v>Cartridge_And_Cloud_Trazabilidad_Control_Cambios_v0.3.xlsx</x:v>
      </x:c>
      <x:c r="H30" s="26" t="str">
        <x:v>Excel</x:v>
      </x:c>
      <x:c r="I30" s="26" t="str">
        <x:v>Operational spreadsheet</x:v>
      </x:c>
      <x:c r="J30" s="26" t="n">
        <x:v>12755</x:v>
      </x:c>
      <x:c r="K30" s="26" t="str">
        <x:v>cc7407a324fabe7e7b88fbc4b4209a2d8bc74f481b8c881715923a3ec104e2bd</x:v>
      </x:c>
      <x:c r="L30" s="26"/>
      <x:c r="M30" s="26" t="n">
        <x:v>1</x:v>
      </x:c>
      <x:c r="N30" s="26" t="str">
        <x:v>UNIQUE</x:v>
      </x:c>
      <x:c r="O30" s="26" t="str">
        <x:v>13</x:v>
      </x:c>
      <x:c r="P30" s="26" t="str">
        <x:v>13</x:v>
      </x:c>
      <x:c r="Q30" s="26" t="str">
        <x:v>Published historical baseline</x:v>
      </x:c>
      <x:c r="R30" s="26" t="str">
        <x:v>SUPERSEDED AS AUTHORITY — RETAIN AS IMMUTABLE HISTORY</x:v>
      </x:c>
      <x:c r="S30" s="26" t="str">
        <x:v>00_Official_Baseline/v0.3/04_QA_Production/Cartridge_And_Cloud_Trazabilidad_Control_Cambios_v0.3.xlsx</x:v>
      </x:c>
      <x:c r="T30" s="26" t="str">
        <x:v>Historical path preserved verbatim; hash calculated from supplied pre-regeneration project.</x:v>
      </x:c>
    </x:row>
    <x:row r="31" ht="30" customHeight="1">
      <x:c r="A31" s="26" t="str">
        <x:v>H-0027</x:v>
      </x:c>
      <x:c r="B31" s="26" t="str">
        <x:v>Official Baseline</x:v>
      </x:c>
      <x:c r="C31" s="26" t="str">
        <x:v>v0.3</x:v>
      </x:c>
      <x:c r="D31" s="26" t="str">
        <x:v>v0.3</x:v>
      </x:c>
      <x:c r="E31" s="26" t="str">
        <x:v>05_Business_Release</x:v>
      </x:c>
      <x:c r="F31" s="26"/>
      <x:c r="G31" s="26" t="str">
        <x:v>Cartridge_And_Cloud_Legal_Credits_Licenses_Register_v0.3.pdf</x:v>
      </x:c>
      <x:c r="H31" s="26" t="str">
        <x:v>PDF</x:v>
      </x:c>
      <x:c r="I31" s="26" t="str">
        <x:v>Published baseline rendering</x:v>
      </x:c>
      <x:c r="J31" s="26" t="n">
        <x:v>22534</x:v>
      </x:c>
      <x:c r="K31" s="26" t="str">
        <x:v>e358622a237b57cdcd65fb380460d70eafa0ef1085b43bf5e8fb7dff3ee734f0</x:v>
      </x:c>
      <x:c r="L31" s="26"/>
      <x:c r="M31" s="26" t="n">
        <x:v>1</x:v>
      </x:c>
      <x:c r="N31" s="26" t="str">
        <x:v>UNIQUE</x:v>
      </x:c>
      <x:c r="O31" s="26" t="str">
        <x:v>23</x:v>
      </x:c>
      <x:c r="P31" s="26" t="str">
        <x:v>23</x:v>
      </x:c>
      <x:c r="Q31" s="26" t="str">
        <x:v>Published historical baseline</x:v>
      </x:c>
      <x:c r="R31" s="26" t="str">
        <x:v>SUPERSEDED AS AUTHORITY — RETAIN AS IMMUTABLE HISTORY</x:v>
      </x:c>
      <x:c r="S31" s="26" t="str">
        <x:v>00_Official_Baseline/v0.3/05_Business_Release/Cartridge_And_Cloud_Legal_Credits_Licenses_Register_v0.3.pdf</x:v>
      </x:c>
      <x:c r="T31" s="26" t="str">
        <x:v>Historical path preserved verbatim; hash calculated from supplied pre-regeneration project.</x:v>
      </x:c>
    </x:row>
    <x:row r="32" ht="30" customHeight="1">
      <x:c r="A32" s="26" t="str">
        <x:v>H-0028</x:v>
      </x:c>
      <x:c r="B32" s="26" t="str">
        <x:v>Official Baseline</x:v>
      </x:c>
      <x:c r="C32" s="26" t="str">
        <x:v>v0.3</x:v>
      </x:c>
      <x:c r="D32" s="26" t="str">
        <x:v>v0.3</x:v>
      </x:c>
      <x:c r="E32" s="26" t="str">
        <x:v>05_Business_Release</x:v>
      </x:c>
      <x:c r="F32" s="26"/>
      <x:c r="G32" s="26" t="str">
        <x:v>Cartridge_And_Cloud_Localization_Plan_v0.3.pdf</x:v>
      </x:c>
      <x:c r="H32" s="26" t="str">
        <x:v>PDF</x:v>
      </x:c>
      <x:c r="I32" s="26" t="str">
        <x:v>Published baseline rendering</x:v>
      </x:c>
      <x:c r="J32" s="26" t="n">
        <x:v>27103</x:v>
      </x:c>
      <x:c r="K32" s="26" t="str">
        <x:v>461add7f8bf216439351ce4afe63b573de50e8bae3f9e270992917f616d82ad8</x:v>
      </x:c>
      <x:c r="L32" s="26"/>
      <x:c r="M32" s="26" t="n">
        <x:v>1</x:v>
      </x:c>
      <x:c r="N32" s="26" t="str">
        <x:v>UNIQUE</x:v>
      </x:c>
      <x:c r="O32" s="26" t="str">
        <x:v>22</x:v>
      </x:c>
      <x:c r="P32" s="26" t="str">
        <x:v>22</x:v>
      </x:c>
      <x:c r="Q32" s="26" t="str">
        <x:v>Published historical baseline</x:v>
      </x:c>
      <x:c r="R32" s="26" t="str">
        <x:v>SUPERSEDED AS AUTHORITY — RETAIN AS IMMUTABLE HISTORY</x:v>
      </x:c>
      <x:c r="S32" s="26" t="str">
        <x:v>00_Official_Baseline/v0.3/05_Business_Release/Cartridge_And_Cloud_Localization_Plan_v0.3.pdf</x:v>
      </x:c>
      <x:c r="T32" s="26" t="str">
        <x:v>Historical path preserved verbatim; hash calculated from supplied pre-regeneration project.</x:v>
      </x:c>
    </x:row>
    <x:row r="33" ht="30" customHeight="1">
      <x:c r="A33" s="26" t="str">
        <x:v>H-0029</x:v>
      </x:c>
      <x:c r="B33" s="26" t="str">
        <x:v>Official Baseline</x:v>
      </x:c>
      <x:c r="C33" s="26" t="str">
        <x:v>v0.3</x:v>
      </x:c>
      <x:c r="D33" s="26" t="str">
        <x:v>v0.3</x:v>
      </x:c>
      <x:c r="E33" s="26" t="str">
        <x:v>05_Business_Release</x:v>
      </x:c>
      <x:c r="F33" s="26"/>
      <x:c r="G33" s="26" t="str">
        <x:v>Cartridge_And_Cloud_Marketing_Plan_v0.3.pdf</x:v>
      </x:c>
      <x:c r="H33" s="26" t="str">
        <x:v>PDF</x:v>
      </x:c>
      <x:c r="I33" s="26" t="str">
        <x:v>Published baseline rendering</x:v>
      </x:c>
      <x:c r="J33" s="26" t="n">
        <x:v>33440</x:v>
      </x:c>
      <x:c r="K33" s="26" t="str">
        <x:v>60f88b8fa2619a7c11c116b756e3a10e860b95ca90b04a0a6aaa5863d117cd1c</x:v>
      </x:c>
      <x:c r="L33" s="26"/>
      <x:c r="M33" s="26" t="n">
        <x:v>1</x:v>
      </x:c>
      <x:c r="N33" s="26" t="str">
        <x:v>UNIQUE</x:v>
      </x:c>
      <x:c r="O33" s="26" t="str">
        <x:v>28</x:v>
      </x:c>
      <x:c r="P33" s="26" t="str">
        <x:v>28</x:v>
      </x:c>
      <x:c r="Q33" s="26" t="str">
        <x:v>Published historical baseline</x:v>
      </x:c>
      <x:c r="R33" s="26" t="str">
        <x:v>SUPERSEDED AS AUTHORITY — RETAIN AS IMMUTABLE HISTORY</x:v>
      </x:c>
      <x:c r="S33" s="26" t="str">
        <x:v>00_Official_Baseline/v0.3/05_Business_Release/Cartridge_And_Cloud_Marketing_Plan_v0.3.pdf</x:v>
      </x:c>
      <x:c r="T33" s="26" t="str">
        <x:v>Historical path preserved verbatim; hash calculated from supplied pre-regeneration project.</x:v>
      </x:c>
    </x:row>
    <x:row r="34" ht="30" customHeight="1">
      <x:c r="A34" s="26" t="str">
        <x:v>H-0030</x:v>
      </x:c>
      <x:c r="B34" s="26" t="str">
        <x:v>Official Baseline</x:v>
      </x:c>
      <x:c r="C34" s="26" t="str">
        <x:v>v0.3</x:v>
      </x:c>
      <x:c r="D34" s="26" t="str">
        <x:v>v0.3</x:v>
      </x:c>
      <x:c r="E34" s="26" t="str">
        <x:v>05_Business_Release</x:v>
      </x:c>
      <x:c r="F34" s="26"/>
      <x:c r="G34" s="26" t="str">
        <x:v>Cartridge_And_Cloud_Steam_Publishing_Plan_v0.3.pdf</x:v>
      </x:c>
      <x:c r="H34" s="26" t="str">
        <x:v>PDF</x:v>
      </x:c>
      <x:c r="I34" s="26" t="str">
        <x:v>Published baseline rendering</x:v>
      </x:c>
      <x:c r="J34" s="26" t="n">
        <x:v>23140</x:v>
      </x:c>
      <x:c r="K34" s="26" t="str">
        <x:v>10ff2852e8621c210bb578f63181382665ccbedeba3d62bfdce7eb4cb4e53472</x:v>
      </x:c>
      <x:c r="L34" s="26"/>
      <x:c r="M34" s="26" t="n">
        <x:v>1</x:v>
      </x:c>
      <x:c r="N34" s="26" t="str">
        <x:v>UNIQUE</x:v>
      </x:c>
      <x:c r="O34" s="26" t="str">
        <x:v>24</x:v>
      </x:c>
      <x:c r="P34" s="26" t="str">
        <x:v>24</x:v>
      </x:c>
      <x:c r="Q34" s="26" t="str">
        <x:v>Published historical baseline</x:v>
      </x:c>
      <x:c r="R34" s="26" t="str">
        <x:v>SUPERSEDED AS AUTHORITY — RETAIN AS IMMUTABLE HISTORY</x:v>
      </x:c>
      <x:c r="S34" s="26" t="str">
        <x:v>00_Official_Baseline/v0.3/05_Business_Release/Cartridge_And_Cloud_Steam_Publishing_Plan_v0.3.pdf</x:v>
      </x:c>
      <x:c r="T34" s="26" t="str">
        <x:v>Historical path preserved verbatim; hash calculated from supplied pre-regeneration project.</x:v>
      </x:c>
    </x:row>
    <x:row r="35" ht="30" customHeight="1">
      <x:c r="A35" s="26" t="str">
        <x:v>H-0031</x:v>
      </x:c>
      <x:c r="B35" s="26" t="str">
        <x:v>Official Baseline</x:v>
      </x:c>
      <x:c r="C35" s="26" t="str">
        <x:v>v0.3</x:v>
      </x:c>
      <x:c r="D35" s="26" t="str">
        <x:v>v0.3</x:v>
      </x:c>
      <x:c r="E35" s="26" t="str">
        <x:v>99_Source_Markdown</x:v>
      </x:c>
      <x:c r="F35" s="26"/>
      <x:c r="G35" s="26" t="str">
        <x:v>00_Cartridge_And_Cloud_Guide_v0.3.md</x:v>
      </x:c>
      <x:c r="H35" s="26" t="str">
        <x:v>Markdown</x:v>
      </x:c>
      <x:c r="I35" s="26" t="str">
        <x:v>Authoring source</x:v>
      </x:c>
      <x:c r="J35" s="26" t="n">
        <x:v>39503</x:v>
      </x:c>
      <x:c r="K35" s="26" t="str">
        <x:v>84c400f2ea145d0c56ee277c892d46b9261f405a59a830edca258f2b0905d858</x:v>
      </x:c>
      <x:c r="L35" s="26"/>
      <x:c r="M35" s="26" t="n">
        <x:v>1</x:v>
      </x:c>
      <x:c r="N35" s="26" t="str">
        <x:v>UNIQUE</x:v>
      </x:c>
      <x:c r="O35" s="26" t="str">
        <x:v>15</x:v>
      </x:c>
      <x:c r="P35" s="26" t="str">
        <x:v>15</x:v>
      </x:c>
      <x:c r="Q35" s="26" t="str">
        <x:v>Source equivalent — paired with published artifact</x:v>
      </x:c>
      <x:c r="R35" s="26" t="str">
        <x:v>RETAIN AS AUTHORING SOURCE / HISTORICAL EQUIVALENT</x:v>
      </x:c>
      <x:c r="S35" s="26" t="str">
        <x:v>00_Official_Baseline/v0.3/99_Source_Markdown/00_Cartridge_And_Cloud_Guide_v0.3.md</x:v>
      </x:c>
      <x:c r="T35" s="26" t="str">
        <x:v>Historical path preserved verbatim; hash calculated from supplied pre-regeneration project.</x:v>
      </x:c>
    </x:row>
    <x:row r="36" ht="30" customHeight="1">
      <x:c r="A36" s="26" t="str">
        <x:v>H-0032</x:v>
      </x:c>
      <x:c r="B36" s="26" t="str">
        <x:v>Official Baseline</x:v>
      </x:c>
      <x:c r="C36" s="26" t="str">
        <x:v>v0.3</x:v>
      </x:c>
      <x:c r="D36" s="26" t="str">
        <x:v>v0.3</x:v>
      </x:c>
      <x:c r="E36" s="26" t="str">
        <x:v>99_Source_Markdown</x:v>
      </x:c>
      <x:c r="F36" s="26"/>
      <x:c r="G36" s="26" t="str">
        <x:v>Cartridge_And_Cloud_Art_Bible_v0.3.md</x:v>
      </x:c>
      <x:c r="H36" s="26" t="str">
        <x:v>Markdown</x:v>
      </x:c>
      <x:c r="I36" s="26" t="str">
        <x:v>Authoring source</x:v>
      </x:c>
      <x:c r="J36" s="26" t="n">
        <x:v>13594</x:v>
      </x:c>
      <x:c r="K36" s="26" t="str">
        <x:v>de2f2c02aef523f9e01bee94c071c44903425c32f63eb0c6b8786ee792397bb3</x:v>
      </x:c>
      <x:c r="L36" s="26"/>
      <x:c r="M36" s="26" t="n">
        <x:v>1</x:v>
      </x:c>
      <x:c r="N36" s="26" t="str">
        <x:v>UNIQUE</x:v>
      </x:c>
      <x:c r="O36" s="26" t="str">
        <x:v>17</x:v>
      </x:c>
      <x:c r="P36" s="26" t="str">
        <x:v>17</x:v>
      </x:c>
      <x:c r="Q36" s="26" t="str">
        <x:v>Source equivalent — paired with published artifact</x:v>
      </x:c>
      <x:c r="R36" s="26" t="str">
        <x:v>RETAIN AS AUTHORING SOURCE / HISTORICAL EQUIVALENT</x:v>
      </x:c>
      <x:c r="S36" s="26" t="str">
        <x:v>00_Official_Baseline/v0.3/99_Source_Markdown/Cartridge_And_Cloud_Art_Bible_v0.3.md</x:v>
      </x:c>
      <x:c r="T36" s="26" t="str">
        <x:v>Historical path preserved verbatim; hash calculated from supplied pre-regeneration project.</x:v>
      </x:c>
    </x:row>
    <x:row r="37" ht="30" customHeight="1">
      <x:c r="A37" s="26" t="str">
        <x:v>H-0033</x:v>
      </x:c>
      <x:c r="B37" s="26" t="str">
        <x:v>Official Baseline</x:v>
      </x:c>
      <x:c r="C37" s="26" t="str">
        <x:v>v0.3</x:v>
      </x:c>
      <x:c r="D37" s="26" t="str">
        <x:v>v0.3</x:v>
      </x:c>
      <x:c r="E37" s="26" t="str">
        <x:v>99_Source_Markdown</x:v>
      </x:c>
      <x:c r="F37" s="26"/>
      <x:c r="G37" s="26" t="str">
        <x:v>Cartridge_And_Cloud_Audio_Bible_v0.3.md</x:v>
      </x:c>
      <x:c r="H37" s="26" t="str">
        <x:v>Markdown</x:v>
      </x:c>
      <x:c r="I37" s="26" t="str">
        <x:v>Authoring source</x:v>
      </x:c>
      <x:c r="J37" s="26" t="n">
        <x:v>3927</x:v>
      </x:c>
      <x:c r="K37" s="26" t="str">
        <x:v>8530be74a5a22c33b4000ae322d90249eeb7a4567ec123a402c7b5c76a7023c9</x:v>
      </x:c>
      <x:c r="L37" s="26"/>
      <x:c r="M37" s="26" t="n">
        <x:v>1</x:v>
      </x:c>
      <x:c r="N37" s="26" t="str">
        <x:v>UNIQUE</x:v>
      </x:c>
      <x:c r="O37" s="26" t="str">
        <x:v>18</x:v>
      </x:c>
      <x:c r="P37" s="26" t="str">
        <x:v>18</x:v>
      </x:c>
      <x:c r="Q37" s="26" t="str">
        <x:v>Source equivalent — paired with published artifact</x:v>
      </x:c>
      <x:c r="R37" s="26" t="str">
        <x:v>RETAIN AS AUTHORING SOURCE / HISTORICAL EQUIVALENT</x:v>
      </x:c>
      <x:c r="S37" s="26" t="str">
        <x:v>00_Official_Baseline/v0.3/99_Source_Markdown/Cartridge_And_Cloud_Audio_Bible_v0.3.md</x:v>
      </x:c>
      <x:c r="T37" s="26" t="str">
        <x:v>Historical path preserved verbatim; hash calculated from supplied pre-regeneration project.</x:v>
      </x:c>
    </x:row>
    <x:row r="38" ht="30" customHeight="1">
      <x:c r="A38" s="26" t="str">
        <x:v>H-0034</x:v>
      </x:c>
      <x:c r="B38" s="26" t="str">
        <x:v>Official Baseline</x:v>
      </x:c>
      <x:c r="C38" s="26" t="str">
        <x:v>v0.3</x:v>
      </x:c>
      <x:c r="D38" s="26" t="str">
        <x:v>v0.3</x:v>
      </x:c>
      <x:c r="E38" s="26" t="str">
        <x:v>99_Source_Markdown</x:v>
      </x:c>
      <x:c r="F38" s="26"/>
      <x:c r="G38" s="26" t="str">
        <x:v>Cartridge_And_Cloud_Build_Versioning_Guide_v0.3.md</x:v>
      </x:c>
      <x:c r="H38" s="26" t="str">
        <x:v>Markdown</x:v>
      </x:c>
      <x:c r="I38" s="26" t="str">
        <x:v>Authoring source</x:v>
      </x:c>
      <x:c r="J38" s="26" t="n">
        <x:v>3678</x:v>
      </x:c>
      <x:c r="K38" s="26" t="str">
        <x:v>fcc0988f428b45303c4cc2f5a681cbed9970475667bb6a37fa97a36529dc3705</x:v>
      </x:c>
      <x:c r="L38" s="26"/>
      <x:c r="M38" s="26" t="n">
        <x:v>1</x:v>
      </x:c>
      <x:c r="N38" s="26" t="str">
        <x:v>UNIQUE</x:v>
      </x:c>
      <x:c r="O38" s="26" t="str">
        <x:v>11</x:v>
      </x:c>
      <x:c r="P38" s="26" t="str">
        <x:v>11</x:v>
      </x:c>
      <x:c r="Q38" s="26" t="str">
        <x:v>Source equivalent — paired with published artifact</x:v>
      </x:c>
      <x:c r="R38" s="26" t="str">
        <x:v>RETAIN AS AUTHORING SOURCE / HISTORICAL EQUIVALENT</x:v>
      </x:c>
      <x:c r="S38" s="26" t="str">
        <x:v>00_Official_Baseline/v0.3/99_Source_Markdown/Cartridge_And_Cloud_Build_Versioning_Guide_v0.3.md</x:v>
      </x:c>
      <x:c r="T38" s="26" t="str">
        <x:v>Historical path preserved verbatim; hash calculated from supplied pre-regeneration project.</x:v>
      </x:c>
    </x:row>
    <x:row r="39" ht="30" customHeight="1">
      <x:c r="A39" s="26" t="str">
        <x:v>H-0035</x:v>
      </x:c>
      <x:c r="B39" s="26" t="str">
        <x:v>Official Baseline</x:v>
      </x:c>
      <x:c r="C39" s="26" t="str">
        <x:v>v0.3</x:v>
      </x:c>
      <x:c r="D39" s="26" t="str">
        <x:v>v0.3</x:v>
      </x:c>
      <x:c r="E39" s="26" t="str">
        <x:v>99_Source_Markdown</x:v>
      </x:c>
      <x:c r="F39" s="26"/>
      <x:c r="G39" s="26" t="str">
        <x:v>Cartridge_And_Cloud_CSharp_Coding_Standards_v0.3.md</x:v>
      </x:c>
      <x:c r="H39" s="26" t="str">
        <x:v>Markdown</x:v>
      </x:c>
      <x:c r="I39" s="26" t="str">
        <x:v>Authoring source</x:v>
      </x:c>
      <x:c r="J39" s="26" t="n">
        <x:v>4466</x:v>
      </x:c>
      <x:c r="K39" s="26" t="str">
        <x:v>2a948ae7f681636e28761e91da7828ecbe44c15e5e0b02efa2cb8e0a6873278f</x:v>
      </x:c>
      <x:c r="L39" s="26"/>
      <x:c r="M39" s="26" t="n">
        <x:v>1</x:v>
      </x:c>
      <x:c r="N39" s="26" t="str">
        <x:v>UNIQUE</x:v>
      </x:c>
      <x:c r="O39" s="26" t="str">
        <x:v>09</x:v>
      </x:c>
      <x:c r="P39" s="26" t="str">
        <x:v>09</x:v>
      </x:c>
      <x:c r="Q39" s="26" t="str">
        <x:v>Source equivalent — paired with published artifact</x:v>
      </x:c>
      <x:c r="R39" s="26" t="str">
        <x:v>RETAIN AS AUTHORING SOURCE / HISTORICAL EQUIVALENT</x:v>
      </x:c>
      <x:c r="S39" s="26" t="str">
        <x:v>00_Official_Baseline/v0.3/99_Source_Markdown/Cartridge_And_Cloud_CSharp_Coding_Standards_v0.3.md</x:v>
      </x:c>
      <x:c r="T39" s="26" t="str">
        <x:v>Historical path preserved verbatim; hash calculated from supplied pre-regeneration project.</x:v>
      </x:c>
    </x:row>
    <x:row r="40" ht="30" customHeight="1">
      <x:c r="A40" s="26" t="str">
        <x:v>H-0036</x:v>
      </x:c>
      <x:c r="B40" s="26" t="str">
        <x:v>Official Baseline</x:v>
      </x:c>
      <x:c r="C40" s="26" t="str">
        <x:v>v0.3</x:v>
      </x:c>
      <x:c r="D40" s="26" t="str">
        <x:v>v0.3</x:v>
      </x:c>
      <x:c r="E40" s="26" t="str">
        <x:v>99_Source_Markdown</x:v>
      </x:c>
      <x:c r="F40" s="26"/>
      <x:c r="G40" s="26" t="str">
        <x:v>Cartridge_And_Cloud_Document_Migration_Plan_v0.1.md</x:v>
      </x:c>
      <x:c r="H40" s="26" t="str">
        <x:v>Markdown</x:v>
      </x:c>
      <x:c r="I40" s="26" t="str">
        <x:v>Migration record</x:v>
      </x:c>
      <x:c r="J40" s="26" t="n">
        <x:v>3639</x:v>
      </x:c>
      <x:c r="K40" s="26" t="str">
        <x:v>1ffeaf8d2c86d41ed3fba6e0d718639362a520cd285f3351113861ab4a1d7b6a</x:v>
      </x:c>
      <x:c r="L40" s="26"/>
      <x:c r="M40" s="26" t="n">
        <x:v>1</x:v>
      </x:c>
      <x:c r="N40" s="26" t="str">
        <x:v>UNIQUE</x:v>
      </x:c>
      <x:c r="O40" s="26" t="str">
        <x:v>32</x:v>
      </x:c>
      <x:c r="P40" s="26" t="str">
        <x:v>13, 14, 15, 16, 32</x:v>
      </x:c>
      <x:c r="Q40" s="26" t="str">
        <x:v>Source equivalent — paired with published artifact</x:v>
      </x:c>
      <x:c r="R40" s="26" t="str">
        <x:v>RETAIN AS AUTHORING SOURCE / HISTORICAL EQUIVALENT</x:v>
      </x:c>
      <x:c r="S40" s="26" t="str">
        <x:v>00_Official_Baseline/v0.3/99_Source_Markdown/Cartridge_And_Cloud_Document_Migration_Plan_v0.1.md</x:v>
      </x:c>
      <x:c r="T40" s="26" t="str">
        <x:v>Historical path preserved verbatim; hash calculated from supplied pre-regeneration project.</x:v>
      </x:c>
    </x:row>
    <x:row r="41" ht="30" customHeight="1">
      <x:c r="A41" s="26" t="str">
        <x:v>H-0037</x:v>
      </x:c>
      <x:c r="B41" s="26" t="str">
        <x:v>Official Baseline</x:v>
      </x:c>
      <x:c r="C41" s="26" t="str">
        <x:v>v0.3</x:v>
      </x:c>
      <x:c r="D41" s="26" t="str">
        <x:v>v0.3</x:v>
      </x:c>
      <x:c r="E41" s="26" t="str">
        <x:v>99_Source_Markdown</x:v>
      </x:c>
      <x:c r="F41" s="26"/>
      <x:c r="G41" s="26" t="str">
        <x:v>Cartridge_And_Cloud_Documentation_Validation_Report_v0.1.md</x:v>
      </x:c>
      <x:c r="H41" s="26" t="str">
        <x:v>Markdown</x:v>
      </x:c>
      <x:c r="I41" s="26" t="str">
        <x:v>Validation report</x:v>
      </x:c>
      <x:c r="J41" s="26" t="n">
        <x:v>7445</x:v>
      </x:c>
      <x:c r="K41" s="26" t="str">
        <x:v>d0b43ff719168cf7c2e4375cd828d9d86f0884cb1c8dcdde12a3250babe7934e</x:v>
      </x:c>
      <x:c r="L41" s="26"/>
      <x:c r="M41" s="26" t="n">
        <x:v>1</x:v>
      </x:c>
      <x:c r="N41" s="26" t="str">
        <x:v>UNIQUE</x:v>
      </x:c>
      <x:c r="O41" s="26" t="str">
        <x:v>16</x:v>
      </x:c>
      <x:c r="P41" s="26" t="str">
        <x:v>16</x:v>
      </x:c>
      <x:c r="Q41" s="26" t="str">
        <x:v>Source equivalent — paired with published artifact</x:v>
      </x:c>
      <x:c r="R41" s="26" t="str">
        <x:v>RETAIN AS AUTHORING SOURCE / HISTORICAL EQUIVALENT</x:v>
      </x:c>
      <x:c r="S41" s="26" t="str">
        <x:v>00_Official_Baseline/v0.3/99_Source_Markdown/Cartridge_And_Cloud_Documentation_Validation_Report_v0.1.md</x:v>
      </x:c>
      <x:c r="T41" s="26" t="str">
        <x:v>Historical path preserved verbatim; hash calculated from supplied pre-regeneration project.</x:v>
      </x:c>
    </x:row>
    <x:row r="42" ht="30" customHeight="1">
      <x:c r="A42" s="26" t="str">
        <x:v>H-0038</x:v>
      </x:c>
      <x:c r="B42" s="26" t="str">
        <x:v>Official Baseline</x:v>
      </x:c>
      <x:c r="C42" s="26" t="str">
        <x:v>v0.3</x:v>
      </x:c>
      <x:c r="D42" s="26" t="str">
        <x:v>v0.3</x:v>
      </x:c>
      <x:c r="E42" s="26" t="str">
        <x:v>99_Source_Markdown</x:v>
      </x:c>
      <x:c r="F42" s="26"/>
      <x:c r="G42" s="26" t="str">
        <x:v>Cartridge_And_Cloud_Economy_Balance_Specification_v0.1.md</x:v>
      </x:c>
      <x:c r="H42" s="26" t="str">
        <x:v>Markdown</x:v>
      </x:c>
      <x:c r="I42" s="26" t="str">
        <x:v>Authoring source</x:v>
      </x:c>
      <x:c r="J42" s="26" t="n">
        <x:v>30444</x:v>
      </x:c>
      <x:c r="K42" s="26" t="str">
        <x:v>a79f65cb5d960ff1e8fa6c83b8369b295547600f2f058163078f07a3b892c9e4</x:v>
      </x:c>
      <x:c r="L42" s="26"/>
      <x:c r="M42" s="26" t="n">
        <x:v>1</x:v>
      </x:c>
      <x:c r="N42" s="26" t="str">
        <x:v>UNIQUE</x:v>
      </x:c>
      <x:c r="O42" s="26" t="str">
        <x:v>20</x:v>
      </x:c>
      <x:c r="P42" s="26" t="str">
        <x:v>20</x:v>
      </x:c>
      <x:c r="Q42" s="26" t="str">
        <x:v>Source equivalent — paired with published artifact</x:v>
      </x:c>
      <x:c r="R42" s="26" t="str">
        <x:v>RETAIN AS AUTHORING SOURCE / HISTORICAL EQUIVALENT</x:v>
      </x:c>
      <x:c r="S42" s="26" t="str">
        <x:v>00_Official_Baseline/v0.3/99_Source_Markdown/Cartridge_And_Cloud_Economy_Balance_Specification_v0.1.md</x:v>
      </x:c>
      <x:c r="T42" s="26" t="str">
        <x:v>Historical path preserved verbatim; hash calculated from supplied pre-regeneration project.</x:v>
      </x:c>
    </x:row>
    <x:row r="43" ht="30" customHeight="1">
      <x:c r="A43" s="26" t="str">
        <x:v>H-0039</x:v>
      </x:c>
      <x:c r="B43" s="26" t="str">
        <x:v>Official Baseline</x:v>
      </x:c>
      <x:c r="C43" s="26" t="str">
        <x:v>v0.3</x:v>
      </x:c>
      <x:c r="D43" s="26" t="str">
        <x:v>v0.3</x:v>
      </x:c>
      <x:c r="E43" s="26" t="str">
        <x:v>99_Source_Markdown</x:v>
      </x:c>
      <x:c r="F43" s="26"/>
      <x:c r="G43" s="26" t="str">
        <x:v>Cartridge_And_Cloud_Enfoque_v0.6_PDF_Source.md</x:v>
      </x:c>
      <x:c r="H43" s="26" t="str">
        <x:v>Markdown</x:v>
      </x:c>
      <x:c r="I43" s="26" t="str">
        <x:v>Authoring source</x:v>
      </x:c>
      <x:c r="J43" s="26" t="n">
        <x:v>124327</x:v>
      </x:c>
      <x:c r="K43" s="26" t="str">
        <x:v>50f9151e64949a4255514d419c4f75524ddcecc4b1337c293db7d269f3aec052</x:v>
      </x:c>
      <x:c r="L43" s="26"/>
      <x:c r="M43" s="26" t="n">
        <x:v>1</x:v>
      </x:c>
      <x:c r="N43" s="26" t="str">
        <x:v>UNIQUE</x:v>
      </x:c>
      <x:c r="O43" s="26" t="str">
        <x:v>00</x:v>
      </x:c>
      <x:c r="P43" s="26" t="str">
        <x:v>00</x:v>
      </x:c>
      <x:c r="Q43" s="26" t="str">
        <x:v>Source equivalent — paired with published artifact</x:v>
      </x:c>
      <x:c r="R43" s="26" t="str">
        <x:v>RETAIN AS AUTHORING SOURCE / HISTORICAL EQUIVALENT</x:v>
      </x:c>
      <x:c r="S43" s="26" t="str">
        <x:v>00_Official_Baseline/v0.3/99_Source_Markdown/Cartridge_And_Cloud_Enfoque_v0.6_PDF_Source.md</x:v>
      </x:c>
      <x:c r="T43" s="26" t="str">
        <x:v>Historical path preserved verbatim; hash calculated from supplied pre-regeneration project.</x:v>
      </x:c>
    </x:row>
    <x:row r="44" ht="30" customHeight="1">
      <x:c r="A44" s="26" t="str">
        <x:v>H-0040</x:v>
      </x:c>
      <x:c r="B44" s="26" t="str">
        <x:v>Official Baseline</x:v>
      </x:c>
      <x:c r="C44" s="26" t="str">
        <x:v>v0.3</x:v>
      </x:c>
      <x:c r="D44" s="26" t="str">
        <x:v>v0.3</x:v>
      </x:c>
      <x:c r="E44" s="26" t="str">
        <x:v>99_Source_Markdown</x:v>
      </x:c>
      <x:c r="F44" s="26"/>
      <x:c r="G44" s="26" t="str">
        <x:v>Cartridge_And_Cloud_GDD_v0.4_PCSteam.md</x:v>
      </x:c>
      <x:c r="H44" s="26" t="str">
        <x:v>Markdown</x:v>
      </x:c>
      <x:c r="I44" s="26" t="str">
        <x:v>Authoring source</x:v>
      </x:c>
      <x:c r="J44" s="26" t="n">
        <x:v>114534</x:v>
      </x:c>
      <x:c r="K44" s="26" t="str">
        <x:v>8939cf748467b18cee2e351b5eac309fe108b7fe02cd6da59a96230e9dd125fe</x:v>
      </x:c>
      <x:c r="L44" s="26"/>
      <x:c r="M44" s="26" t="n">
        <x:v>1</x:v>
      </x:c>
      <x:c r="N44" s="26" t="str">
        <x:v>UNIQUE</x:v>
      </x:c>
      <x:c r="O44" s="26" t="str">
        <x:v>01</x:v>
      </x:c>
      <x:c r="P44" s="26" t="str">
        <x:v>01</x:v>
      </x:c>
      <x:c r="Q44" s="26" t="str">
        <x:v>Source equivalent — paired with published artifact</x:v>
      </x:c>
      <x:c r="R44" s="26" t="str">
        <x:v>RETAIN AS AUTHORING SOURCE / HISTORICAL EQUIVALENT</x:v>
      </x:c>
      <x:c r="S44" s="26" t="str">
        <x:v>00_Official_Baseline/v0.3/99_Source_Markdown/Cartridge_And_Cloud_GDD_v0.4_PCSteam.md</x:v>
      </x:c>
      <x:c r="T44" s="26" t="str">
        <x:v>Historical path preserved verbatim; hash calculated from supplied pre-regeneration project.</x:v>
      </x:c>
    </x:row>
    <x:row r="45" ht="30" customHeight="1">
      <x:c r="A45" s="26" t="str">
        <x:v>H-0041</x:v>
      </x:c>
      <x:c r="B45" s="26" t="str">
        <x:v>Official Baseline</x:v>
      </x:c>
      <x:c r="C45" s="26" t="str">
        <x:v>v0.3</x:v>
      </x:c>
      <x:c r="D45" s="26" t="str">
        <x:v>v0.3</x:v>
      </x:c>
      <x:c r="E45" s="26" t="str">
        <x:v>99_Source_Markdown</x:v>
      </x:c>
      <x:c r="F45" s="26"/>
      <x:c r="G45" s="26" t="str">
        <x:v>Cartridge_And_Cloud_Initial_Content_Catalog_v0.1.md</x:v>
      </x:c>
      <x:c r="H45" s="26" t="str">
        <x:v>Markdown</x:v>
      </x:c>
      <x:c r="I45" s="26" t="str">
        <x:v>Authoring source</x:v>
      </x:c>
      <x:c r="J45" s="26" t="n">
        <x:v>23013</x:v>
      </x:c>
      <x:c r="K45" s="26" t="str">
        <x:v>5b416cba7975a0ee42762eabb9ea236c30a19091fb3d3031285ac67ab0a83dcb</x:v>
      </x:c>
      <x:c r="L45" s="26"/>
      <x:c r="M45" s="26" t="n">
        <x:v>1</x:v>
      </x:c>
      <x:c r="N45" s="26" t="str">
        <x:v>UNIQUE</x:v>
      </x:c>
      <x:c r="O45" s="26" t="str">
        <x:v>21</x:v>
      </x:c>
      <x:c r="P45" s="26" t="str">
        <x:v>21</x:v>
      </x:c>
      <x:c r="Q45" s="26" t="str">
        <x:v>Source equivalent — paired with published artifact</x:v>
      </x:c>
      <x:c r="R45" s="26" t="str">
        <x:v>RETAIN AS AUTHORING SOURCE / HISTORICAL EQUIVALENT</x:v>
      </x:c>
      <x:c r="S45" s="26" t="str">
        <x:v>00_Official_Baseline/v0.3/99_Source_Markdown/Cartridge_And_Cloud_Initial_Content_Catalog_v0.1.md</x:v>
      </x:c>
      <x:c r="T45" s="26" t="str">
        <x:v>Historical path preserved verbatim; hash calculated from supplied pre-regeneration project.</x:v>
      </x:c>
    </x:row>
    <x:row r="46" ht="30" customHeight="1">
      <x:c r="A46" s="26" t="str">
        <x:v>H-0042</x:v>
      </x:c>
      <x:c r="B46" s="26" t="str">
        <x:v>Official Baseline</x:v>
      </x:c>
      <x:c r="C46" s="26" t="str">
        <x:v>v0.3</x:v>
      </x:c>
      <x:c r="D46" s="26" t="str">
        <x:v>v0.3</x:v>
      </x:c>
      <x:c r="E46" s="26" t="str">
        <x:v>99_Source_Markdown</x:v>
      </x:c>
      <x:c r="F46" s="26"/>
      <x:c r="G46" s="26" t="str">
        <x:v>Cartridge_And_Cloud_Legal_Credits_Licenses_Register_v0.3.md</x:v>
      </x:c>
      <x:c r="H46" s="26" t="str">
        <x:v>Markdown</x:v>
      </x:c>
      <x:c r="I46" s="26" t="str">
        <x:v>Authoring source</x:v>
      </x:c>
      <x:c r="J46" s="26" t="n">
        <x:v>3972</x:v>
      </x:c>
      <x:c r="K46" s="26" t="str">
        <x:v>ffc5bc6af65b27ede021acfdef2dbc5f20f680560e0be1a872586ab146a2f101</x:v>
      </x:c>
      <x:c r="L46" s="26"/>
      <x:c r="M46" s="26" t="n">
        <x:v>1</x:v>
      </x:c>
      <x:c r="N46" s="26" t="str">
        <x:v>UNIQUE</x:v>
      </x:c>
      <x:c r="O46" s="26" t="str">
        <x:v>23</x:v>
      </x:c>
      <x:c r="P46" s="26" t="str">
        <x:v>23</x:v>
      </x:c>
      <x:c r="Q46" s="26" t="str">
        <x:v>Source equivalent — paired with published artifact</x:v>
      </x:c>
      <x:c r="R46" s="26" t="str">
        <x:v>RETAIN AS AUTHORING SOURCE / HISTORICAL EQUIVALENT</x:v>
      </x:c>
      <x:c r="S46" s="26" t="str">
        <x:v>00_Official_Baseline/v0.3/99_Source_Markdown/Cartridge_And_Cloud_Legal_Credits_Licenses_Register_v0.3.md</x:v>
      </x:c>
      <x:c r="T46" s="26" t="str">
        <x:v>Historical path preserved verbatim; hash calculated from supplied pre-regeneration project.</x:v>
      </x:c>
    </x:row>
    <x:row r="47" ht="30" customHeight="1">
      <x:c r="A47" s="26" t="str">
        <x:v>H-0043</x:v>
      </x:c>
      <x:c r="B47" s="26" t="str">
        <x:v>Official Baseline</x:v>
      </x:c>
      <x:c r="C47" s="26" t="str">
        <x:v>v0.3</x:v>
      </x:c>
      <x:c r="D47" s="26" t="str">
        <x:v>v0.3</x:v>
      </x:c>
      <x:c r="E47" s="26" t="str">
        <x:v>99_Source_Markdown</x:v>
      </x:c>
      <x:c r="F47" s="26"/>
      <x:c r="G47" s="26" t="str">
        <x:v>Cartridge_And_Cloud_Localization_Plan_v0.3.md</x:v>
      </x:c>
      <x:c r="H47" s="26" t="str">
        <x:v>Markdown</x:v>
      </x:c>
      <x:c r="I47" s="26" t="str">
        <x:v>Authoring source</x:v>
      </x:c>
      <x:c r="J47" s="26" t="n">
        <x:v>3806</x:v>
      </x:c>
      <x:c r="K47" s="26" t="str">
        <x:v>f48dcd0d33e717b3e65734a9f87677d3b72edb9e67b54ff630720ecc46686349</x:v>
      </x:c>
      <x:c r="L47" s="26"/>
      <x:c r="M47" s="26" t="n">
        <x:v>1</x:v>
      </x:c>
      <x:c r="N47" s="26" t="str">
        <x:v>UNIQUE</x:v>
      </x:c>
      <x:c r="O47" s="26" t="str">
        <x:v>22</x:v>
      </x:c>
      <x:c r="P47" s="26" t="str">
        <x:v>22</x:v>
      </x:c>
      <x:c r="Q47" s="26" t="str">
        <x:v>Source equivalent — paired with published artifact</x:v>
      </x:c>
      <x:c r="R47" s="26" t="str">
        <x:v>RETAIN AS AUTHORING SOURCE / HISTORICAL EQUIVALENT</x:v>
      </x:c>
      <x:c r="S47" s="26" t="str">
        <x:v>00_Official_Baseline/v0.3/99_Source_Markdown/Cartridge_And_Cloud_Localization_Plan_v0.3.md</x:v>
      </x:c>
      <x:c r="T47" s="26" t="str">
        <x:v>Historical path preserved verbatim; hash calculated from supplied pre-regeneration project.</x:v>
      </x:c>
    </x:row>
    <x:row r="48" ht="30" customHeight="1">
      <x:c r="A48" s="26" t="str">
        <x:v>H-0044</x:v>
      </x:c>
      <x:c r="B48" s="26" t="str">
        <x:v>Official Baseline</x:v>
      </x:c>
      <x:c r="C48" s="26" t="str">
        <x:v>v0.3</x:v>
      </x:c>
      <x:c r="D48" s="26" t="str">
        <x:v>v0.3</x:v>
      </x:c>
      <x:c r="E48" s="26" t="str">
        <x:v>99_Source_Markdown</x:v>
      </x:c>
      <x:c r="F48" s="26"/>
      <x:c r="G48" s="26" t="str">
        <x:v>Cartridge_And_Cloud_Marketing_Plan_v0.3.md</x:v>
      </x:c>
      <x:c r="H48" s="26" t="str">
        <x:v>Markdown</x:v>
      </x:c>
      <x:c r="I48" s="26" t="str">
        <x:v>Authoring source</x:v>
      </x:c>
      <x:c r="J48" s="26" t="n">
        <x:v>8241</x:v>
      </x:c>
      <x:c r="K48" s="26" t="str">
        <x:v>1900805edf3fd6d0acd18cc95125905eae608adbf46cde0098cb49e82fb25fca</x:v>
      </x:c>
      <x:c r="L48" s="26"/>
      <x:c r="M48" s="26" t="n">
        <x:v>1</x:v>
      </x:c>
      <x:c r="N48" s="26" t="str">
        <x:v>UNIQUE</x:v>
      </x:c>
      <x:c r="O48" s="26" t="str">
        <x:v>28</x:v>
      </x:c>
      <x:c r="P48" s="26" t="str">
        <x:v>28</x:v>
      </x:c>
      <x:c r="Q48" s="26" t="str">
        <x:v>Source equivalent — paired with published artifact</x:v>
      </x:c>
      <x:c r="R48" s="26" t="str">
        <x:v>RETAIN AS AUTHORING SOURCE / HISTORICAL EQUIVALENT</x:v>
      </x:c>
      <x:c r="S48" s="26" t="str">
        <x:v>00_Official_Baseline/v0.3/99_Source_Markdown/Cartridge_And_Cloud_Marketing_Plan_v0.3.md</x:v>
      </x:c>
      <x:c r="T48" s="26" t="str">
        <x:v>Historical path preserved verbatim; hash calculated from supplied pre-regeneration project.</x:v>
      </x:c>
    </x:row>
    <x:row r="49" ht="30" customHeight="1">
      <x:c r="A49" s="26" t="str">
        <x:v>H-0045</x:v>
      </x:c>
      <x:c r="B49" s="26" t="str">
        <x:v>Official Baseline</x:v>
      </x:c>
      <x:c r="C49" s="26" t="str">
        <x:v>v0.3</x:v>
      </x:c>
      <x:c r="D49" s="26" t="str">
        <x:v>v0.3</x:v>
      </x:c>
      <x:c r="E49" s="26" t="str">
        <x:v>99_Source_Markdown</x:v>
      </x:c>
      <x:c r="F49" s="26"/>
      <x:c r="G49" s="26" t="str">
        <x:v>Cartridge_And_Cloud_Modelo_de_Datos_v0.3.md</x:v>
      </x:c>
      <x:c r="H49" s="26" t="str">
        <x:v>Markdown</x:v>
      </x:c>
      <x:c r="I49" s="26" t="str">
        <x:v>Authoring source</x:v>
      </x:c>
      <x:c r="J49" s="26" t="n">
        <x:v>71576</x:v>
      </x:c>
      <x:c r="K49" s="26" t="str">
        <x:v>6d3fd4346cf55ecdf33d5aae3e1c1f267936e594d8902d3c51f3edb76003a46b</x:v>
      </x:c>
      <x:c r="L49" s="26"/>
      <x:c r="M49" s="26" t="n">
        <x:v>1</x:v>
      </x:c>
      <x:c r="N49" s="26" t="str">
        <x:v>UNIQUE</x:v>
      </x:c>
      <x:c r="O49" s="26" t="str">
        <x:v>04</x:v>
      </x:c>
      <x:c r="P49" s="26" t="str">
        <x:v>04</x:v>
      </x:c>
      <x:c r="Q49" s="26" t="str">
        <x:v>Source equivalent — paired with published artifact</x:v>
      </x:c>
      <x:c r="R49" s="26" t="str">
        <x:v>RETAIN AS AUTHORING SOURCE / HISTORICAL EQUIVALENT</x:v>
      </x:c>
      <x:c r="S49" s="26" t="str">
        <x:v>00_Official_Baseline/v0.3/99_Source_Markdown/Cartridge_And_Cloud_Modelo_de_Datos_v0.3.md</x:v>
      </x:c>
      <x:c r="T49" s="26" t="str">
        <x:v>Historical path preserved verbatim; hash calculated from supplied pre-regeneration project.</x:v>
      </x:c>
    </x:row>
    <x:row r="50" ht="30" customHeight="1">
      <x:c r="A50" s="26" t="str">
        <x:v>H-0046</x:v>
      </x:c>
      <x:c r="B50" s="26" t="str">
        <x:v>Official Baseline</x:v>
      </x:c>
      <x:c r="C50" s="26" t="str">
        <x:v>v0.3</x:v>
      </x:c>
      <x:c r="D50" s="26" t="str">
        <x:v>v0.3</x:v>
      </x:c>
      <x:c r="E50" s="26" t="str">
        <x:v>99_Source_Markdown</x:v>
      </x:c>
      <x:c r="F50" s="26"/>
      <x:c r="G50" s="26" t="str">
        <x:v>Cartridge_And_Cloud_Package_Manifest_v0.1.md</x:v>
      </x:c>
      <x:c r="H50" s="26" t="str">
        <x:v>Markdown</x:v>
      </x:c>
      <x:c r="I50" s="26" t="str">
        <x:v>Package manifest</x:v>
      </x:c>
      <x:c r="J50" s="26" t="n">
        <x:v>6551</x:v>
      </x:c>
      <x:c r="K50" s="26" t="str">
        <x:v>58b7f326720277d2b490784a8091cff34f3182ac4fff57796e70d7817d9a4bc1</x:v>
      </x:c>
      <x:c r="L50" s="26"/>
      <x:c r="M50" s="26" t="n">
        <x:v>1</x:v>
      </x:c>
      <x:c r="N50" s="26" t="str">
        <x:v>UNIQUE</x:v>
      </x:c>
      <x:c r="O50" s="26" t="str">
        <x:v>32</x:v>
      </x:c>
      <x:c r="P50" s="26" t="str">
        <x:v>13, 14, 15, 16, 32</x:v>
      </x:c>
      <x:c r="Q50" s="26" t="str">
        <x:v>Source equivalent — paired with published artifact</x:v>
      </x:c>
      <x:c r="R50" s="26" t="str">
        <x:v>RETAIN AS AUTHORING SOURCE / HISTORICAL EQUIVALENT</x:v>
      </x:c>
      <x:c r="S50" s="26" t="str">
        <x:v>00_Official_Baseline/v0.3/99_Source_Markdown/Cartridge_And_Cloud_Package_Manifest_v0.1.md</x:v>
      </x:c>
      <x:c r="T50" s="26" t="str">
        <x:v>Historical path preserved verbatim; hash calculated from supplied pre-regeneration project.</x:v>
      </x:c>
    </x:row>
    <x:row r="51" ht="30" customHeight="1">
      <x:c r="A51" s="26" t="str">
        <x:v>H-0047</x:v>
      </x:c>
      <x:c r="B51" s="26" t="str">
        <x:v>Official Baseline</x:v>
      </x:c>
      <x:c r="C51" s="26" t="str">
        <x:v>v0.3</x:v>
      </x:c>
      <x:c r="D51" s="26" t="str">
        <x:v>v0.3</x:v>
      </x:c>
      <x:c r="E51" s="26" t="str">
        <x:v>99_Source_Markdown</x:v>
      </x:c>
      <x:c r="F51" s="26"/>
      <x:c r="G51" s="26" t="str">
        <x:v>Cartridge_And_Cloud_Production_Roadmap_Sprint_Plan_v0.3.md</x:v>
      </x:c>
      <x:c r="H51" s="26" t="str">
        <x:v>Markdown</x:v>
      </x:c>
      <x:c r="I51" s="26" t="str">
        <x:v>Authoring source</x:v>
      </x:c>
      <x:c r="J51" s="26" t="n">
        <x:v>5738</x:v>
      </x:c>
      <x:c r="K51" s="26" t="str">
        <x:v>93b345037c1356c7e176a7377bd66a168aa356366aa3c4e16062b09fcb46ee60</x:v>
      </x:c>
      <x:c r="L51" s="26"/>
      <x:c r="M51" s="26" t="n">
        <x:v>1</x:v>
      </x:c>
      <x:c r="N51" s="26" t="str">
        <x:v>UNIQUE</x:v>
      </x:c>
      <x:c r="O51" s="26" t="str">
        <x:v>06</x:v>
      </x:c>
      <x:c r="P51" s="26" t="str">
        <x:v>06</x:v>
      </x:c>
      <x:c r="Q51" s="26" t="str">
        <x:v>Source equivalent — paired with published artifact</x:v>
      </x:c>
      <x:c r="R51" s="26" t="str">
        <x:v>RETAIN AS AUTHORING SOURCE / HISTORICAL EQUIVALENT</x:v>
      </x:c>
      <x:c r="S51" s="26" t="str">
        <x:v>00_Official_Baseline/v0.3/99_Source_Markdown/Cartridge_And_Cloud_Production_Roadmap_Sprint_Plan_v0.3.md</x:v>
      </x:c>
      <x:c r="T51" s="26" t="str">
        <x:v>Historical path preserved verbatim; hash calculated from supplied pre-regeneration project.</x:v>
      </x:c>
    </x:row>
    <x:row r="52" ht="30" customHeight="1">
      <x:c r="A52" s="26" t="str">
        <x:v>H-0048</x:v>
      </x:c>
      <x:c r="B52" s="26" t="str">
        <x:v>Official Baseline</x:v>
      </x:c>
      <x:c r="C52" s="26" t="str">
        <x:v>v0.3</x:v>
      </x:c>
      <x:c r="D52" s="26" t="str">
        <x:v>v0.3</x:v>
      </x:c>
      <x:c r="E52" s="26" t="str">
        <x:v>99_Source_Markdown</x:v>
      </x:c>
      <x:c r="F52" s="26"/>
      <x:c r="G52" s="26" t="str">
        <x:v>Cartridge_And_Cloud_Project_Binder_Indice_Maestro_v0.3.md</x:v>
      </x:c>
      <x:c r="H52" s="26" t="str">
        <x:v>Markdown</x:v>
      </x:c>
      <x:c r="I52" s="26" t="str">
        <x:v>Authoring source</x:v>
      </x:c>
      <x:c r="J52" s="26" t="n">
        <x:v>4609</x:v>
      </x:c>
      <x:c r="K52" s="26" t="str">
        <x:v>77ee49ee91e1f527ddd567115d08b5b3c529712cada20c25e4e82510108e0c2d</x:v>
      </x:c>
      <x:c r="L52" s="26"/>
      <x:c r="M52" s="26" t="n">
        <x:v>1</x:v>
      </x:c>
      <x:c r="N52" s="26" t="str">
        <x:v>UNIQUE</x:v>
      </x:c>
      <x:c r="O52" s="26" t="str">
        <x:v>14</x:v>
      </x:c>
      <x:c r="P52" s="26" t="str">
        <x:v>14</x:v>
      </x:c>
      <x:c r="Q52" s="26" t="str">
        <x:v>Source equivalent — paired with published artifact</x:v>
      </x:c>
      <x:c r="R52" s="26" t="str">
        <x:v>RETAIN AS AUTHORING SOURCE / HISTORICAL EQUIVALENT</x:v>
      </x:c>
      <x:c r="S52" s="26" t="str">
        <x:v>00_Official_Baseline/v0.3/99_Source_Markdown/Cartridge_And_Cloud_Project_Binder_Indice_Maestro_v0.3.md</x:v>
      </x:c>
      <x:c r="T52" s="26" t="str">
        <x:v>Historical path preserved verbatim; hash calculated from supplied pre-regeneration project.</x:v>
      </x:c>
    </x:row>
    <x:row r="53" ht="30" customHeight="1">
      <x:c r="A53" s="26" t="str">
        <x:v>H-0049</x:v>
      </x:c>
      <x:c r="B53" s="26" t="str">
        <x:v>Official Baseline</x:v>
      </x:c>
      <x:c r="C53" s="26" t="str">
        <x:v>v0.3</x:v>
      </x:c>
      <x:c r="D53" s="26" t="str">
        <x:v>v0.3</x:v>
      </x:c>
      <x:c r="E53" s="26" t="str">
        <x:v>99_Source_Markdown</x:v>
      </x:c>
      <x:c r="F53" s="26"/>
      <x:c r="G53" s="26" t="str">
        <x:v>Cartridge_And_Cloud_QA_Testing_Plan_v0.3.md</x:v>
      </x:c>
      <x:c r="H53" s="26" t="str">
        <x:v>Markdown</x:v>
      </x:c>
      <x:c r="I53" s="26" t="str">
        <x:v>Authoring source</x:v>
      </x:c>
      <x:c r="J53" s="26" t="n">
        <x:v>9293</x:v>
      </x:c>
      <x:c r="K53" s="26" t="str">
        <x:v>517a90d50868dd91010be4eaaca335326b63e8d370613c82a5b5664753ab3891</x:v>
      </x:c>
      <x:c r="L53" s="26"/>
      <x:c r="M53" s="26" t="n">
        <x:v>1</x:v>
      </x:c>
      <x:c r="N53" s="26" t="str">
        <x:v>UNIQUE</x:v>
      </x:c>
      <x:c r="O53" s="26" t="str">
        <x:v>07</x:v>
      </x:c>
      <x:c r="P53" s="26" t="str">
        <x:v>07</x:v>
      </x:c>
      <x:c r="Q53" s="26" t="str">
        <x:v>Source equivalent — paired with published artifact</x:v>
      </x:c>
      <x:c r="R53" s="26" t="str">
        <x:v>RETAIN AS AUTHORING SOURCE / HISTORICAL EQUIVALENT</x:v>
      </x:c>
      <x:c r="S53" s="26" t="str">
        <x:v>00_Official_Baseline/v0.3/99_Source_Markdown/Cartridge_And_Cloud_QA_Testing_Plan_v0.3.md</x:v>
      </x:c>
      <x:c r="T53" s="26" t="str">
        <x:v>Historical path preserved verbatim; hash calculated from supplied pre-regeneration project.</x:v>
      </x:c>
    </x:row>
    <x:row r="54" ht="30" customHeight="1">
      <x:c r="A54" s="26" t="str">
        <x:v>H-0050</x:v>
      </x:c>
      <x:c r="B54" s="26" t="str">
        <x:v>Official Baseline</x:v>
      </x:c>
      <x:c r="C54" s="26" t="str">
        <x:v>v0.3</x:v>
      </x:c>
      <x:c r="D54" s="26" t="str">
        <x:v>v0.3</x:v>
      </x:c>
      <x:c r="E54" s="26" t="str">
        <x:v>99_Source_Markdown</x:v>
      </x:c>
      <x:c r="F54" s="26"/>
      <x:c r="G54" s="26" t="str">
        <x:v>Cartridge_And_Cloud_Steam_Publishing_Plan_v0.3.md</x:v>
      </x:c>
      <x:c r="H54" s="26" t="str">
        <x:v>Markdown</x:v>
      </x:c>
      <x:c r="I54" s="26" t="str">
        <x:v>Authoring source</x:v>
      </x:c>
      <x:c r="J54" s="26" t="n">
        <x:v>3923</x:v>
      </x:c>
      <x:c r="K54" s="26" t="str">
        <x:v>1a004be75991bdcbbaf457a57da123e3297fce15a38c591e3f589e11e277dbd5</x:v>
      </x:c>
      <x:c r="L54" s="26"/>
      <x:c r="M54" s="26" t="n">
        <x:v>1</x:v>
      </x:c>
      <x:c r="N54" s="26" t="str">
        <x:v>UNIQUE</x:v>
      </x:c>
      <x:c r="O54" s="26" t="str">
        <x:v>24</x:v>
      </x:c>
      <x:c r="P54" s="26" t="str">
        <x:v>24</x:v>
      </x:c>
      <x:c r="Q54" s="26" t="str">
        <x:v>Source equivalent — paired with published artifact</x:v>
      </x:c>
      <x:c r="R54" s="26" t="str">
        <x:v>RETAIN AS AUTHORING SOURCE / HISTORICAL EQUIVALENT</x:v>
      </x:c>
      <x:c r="S54" s="26" t="str">
        <x:v>00_Official_Baseline/v0.3/99_Source_Markdown/Cartridge_And_Cloud_Steam_Publishing_Plan_v0.3.md</x:v>
      </x:c>
      <x:c r="T54" s="26" t="str">
        <x:v>Historical path preserved verbatim; hash calculated from supplied pre-regeneration project.</x:v>
      </x:c>
    </x:row>
    <x:row r="55" ht="30" customHeight="1">
      <x:c r="A55" s="26" t="str">
        <x:v>H-0051</x:v>
      </x:c>
      <x:c r="B55" s="26" t="str">
        <x:v>Official Baseline</x:v>
      </x:c>
      <x:c r="C55" s="26" t="str">
        <x:v>v0.3</x:v>
      </x:c>
      <x:c r="D55" s="26" t="str">
        <x:v>v0.3</x:v>
      </x:c>
      <x:c r="E55" s="26" t="str">
        <x:v>99_Source_Markdown</x:v>
      </x:c>
      <x:c r="F55" s="26"/>
      <x:c r="G55" s="26" t="str">
        <x:v>Cartridge_And_Cloud_TDD_v0.3_Technical_Design_Document.md</x:v>
      </x:c>
      <x:c r="H55" s="26" t="str">
        <x:v>Markdown</x:v>
      </x:c>
      <x:c r="I55" s="26" t="str">
        <x:v>Authoring source</x:v>
      </x:c>
      <x:c r="J55" s="26" t="n">
        <x:v>17342</x:v>
      </x:c>
      <x:c r="K55" s="26" t="str">
        <x:v>86160690276d137118b119d6376eee8d1834097dbfe92fb6da7d18356d737eb2</x:v>
      </x:c>
      <x:c r="L55" s="26"/>
      <x:c r="M55" s="26" t="n">
        <x:v>1</x:v>
      </x:c>
      <x:c r="N55" s="26" t="str">
        <x:v>UNIQUE</x:v>
      </x:c>
      <x:c r="O55" s="26" t="str">
        <x:v>03</x:v>
      </x:c>
      <x:c r="P55" s="26" t="str">
        <x:v>03</x:v>
      </x:c>
      <x:c r="Q55" s="26" t="str">
        <x:v>Source equivalent — paired with published artifact</x:v>
      </x:c>
      <x:c r="R55" s="26" t="str">
        <x:v>RETAIN AS AUTHORING SOURCE / HISTORICAL EQUIVALENT</x:v>
      </x:c>
      <x:c r="S55" s="26" t="str">
        <x:v>00_Official_Baseline/v0.3/99_Source_Markdown/Cartridge_And_Cloud_TDD_v0.3_Technical_Design_Document.md</x:v>
      </x:c>
      <x:c r="T55" s="26" t="str">
        <x:v>Historical path preserved verbatim; hash calculated from supplied pre-regeneration project.</x:v>
      </x:c>
    </x:row>
    <x:row r="56" ht="30" customHeight="1">
      <x:c r="A56" s="26" t="str">
        <x:v>H-0052</x:v>
      </x:c>
      <x:c r="B56" s="26" t="str">
        <x:v>Official Baseline</x:v>
      </x:c>
      <x:c r="C56" s="26" t="str">
        <x:v>v0.3</x:v>
      </x:c>
      <x:c r="D56" s="26" t="str">
        <x:v>v0.3</x:v>
      </x:c>
      <x:c r="E56" s="26" t="str">
        <x:v>99_Source_Markdown</x:v>
      </x:c>
      <x:c r="F56" s="26"/>
      <x:c r="G56" s="26" t="str">
        <x:v>Cartridge_And_Cloud_UI_Style_Guide_v0.3.md</x:v>
      </x:c>
      <x:c r="H56" s="26" t="str">
        <x:v>Markdown</x:v>
      </x:c>
      <x:c r="I56" s="26" t="str">
        <x:v>Authoring source</x:v>
      </x:c>
      <x:c r="J56" s="26" t="n">
        <x:v>47855</x:v>
      </x:c>
      <x:c r="K56" s="26" t="str">
        <x:v>d446fa1988af7343cacee8c3817afd3e3fd10f933fe1524d7e0b65f718842065</x:v>
      </x:c>
      <x:c r="L56" s="26"/>
      <x:c r="M56" s="26" t="n">
        <x:v>1</x:v>
      </x:c>
      <x:c r="N56" s="26" t="str">
        <x:v>UNIQUE</x:v>
      </x:c>
      <x:c r="O56" s="26" t="str">
        <x:v>19</x:v>
      </x:c>
      <x:c r="P56" s="26" t="str">
        <x:v>19</x:v>
      </x:c>
      <x:c r="Q56" s="26" t="str">
        <x:v>Source equivalent — paired with published artifact</x:v>
      </x:c>
      <x:c r="R56" s="26" t="str">
        <x:v>RETAIN AS AUTHORING SOURCE / HISTORICAL EQUIVALENT</x:v>
      </x:c>
      <x:c r="S56" s="26" t="str">
        <x:v>00_Official_Baseline/v0.3/99_Source_Markdown/Cartridge_And_Cloud_UI_Style_Guide_v0.3.md</x:v>
      </x:c>
      <x:c r="T56" s="26" t="str">
        <x:v>Historical path preserved verbatim; hash calculated from supplied pre-regeneration project.</x:v>
      </x:c>
    </x:row>
    <x:row r="57" ht="30" customHeight="1">
      <x:c r="A57" s="26" t="str">
        <x:v>H-0053</x:v>
      </x:c>
      <x:c r="B57" s="26" t="str">
        <x:v>Official Baseline</x:v>
      </x:c>
      <x:c r="C57" s="26" t="str">
        <x:v>v0.3</x:v>
      </x:c>
      <x:c r="D57" s="26" t="str">
        <x:v>v0.3</x:v>
      </x:c>
      <x:c r="E57" s="26" t="str">
        <x:v>99_Source_Markdown</x:v>
      </x:c>
      <x:c r="F57" s="26"/>
      <x:c r="G57" s="26" t="str">
        <x:v>Cartridge_And_Cloud_Unity_Project_Setup_Guide_v0.3.md</x:v>
      </x:c>
      <x:c r="H57" s="26" t="str">
        <x:v>Markdown</x:v>
      </x:c>
      <x:c r="I57" s="26" t="str">
        <x:v>Authoring source</x:v>
      </x:c>
      <x:c r="J57" s="26" t="n">
        <x:v>4564</x:v>
      </x:c>
      <x:c r="K57" s="26" t="str">
        <x:v>0a6f42c71d9d22cee8aa12796842fd5391c3570f675f7361f1932418b74e1e55</x:v>
      </x:c>
      <x:c r="L57" s="26"/>
      <x:c r="M57" s="26" t="n">
        <x:v>1</x:v>
      </x:c>
      <x:c r="N57" s="26" t="str">
        <x:v>UNIQUE</x:v>
      </x:c>
      <x:c r="O57" s="26" t="str">
        <x:v>10</x:v>
      </x:c>
      <x:c r="P57" s="26" t="str">
        <x:v>10</x:v>
      </x:c>
      <x:c r="Q57" s="26" t="str">
        <x:v>Source equivalent — paired with published artifact</x:v>
      </x:c>
      <x:c r="R57" s="26" t="str">
        <x:v>RETAIN AS AUTHORING SOURCE / HISTORICAL EQUIVALENT</x:v>
      </x:c>
      <x:c r="S57" s="26" t="str">
        <x:v>00_Official_Baseline/v0.3/99_Source_Markdown/Cartridge_And_Cloud_Unity_Project_Setup_Guide_v0.3.md</x:v>
      </x:c>
      <x:c r="T57" s="26" t="str">
        <x:v>Historical path preserved verbatim; hash calculated from supplied pre-regeneration project.</x:v>
      </x:c>
    </x:row>
    <x:row r="58" ht="30" customHeight="1">
      <x:c r="A58" s="26" t="str">
        <x:v>H-0054</x:v>
      </x:c>
      <x:c r="B58" s="26" t="str">
        <x:v>Official Baseline</x:v>
      </x:c>
      <x:c r="C58" s="26" t="str">
        <x:v>v0.3</x:v>
      </x:c>
      <x:c r="D58" s="26" t="str">
        <x:v>v0.3</x:v>
      </x:c>
      <x:c r="E58" s="26" t="str">
        <x:v>99_Source_Markdown</x:v>
      </x:c>
      <x:c r="F58" s="26"/>
      <x:c r="G58" s="26" t="str">
        <x:v>Cartridge_And_Cloud_UX_Flow_v0.3.md</x:v>
      </x:c>
      <x:c r="H58" s="26" t="str">
        <x:v>Markdown</x:v>
      </x:c>
      <x:c r="I58" s="26" t="str">
        <x:v>Authoring source</x:v>
      </x:c>
      <x:c r="J58" s="26" t="n">
        <x:v>87463</x:v>
      </x:c>
      <x:c r="K58" s="26" t="str">
        <x:v>abb29bbf9b9e9dfbef5161feb03ec07c7bc405cfe4b217e8843534279eb3b50c</x:v>
      </x:c>
      <x:c r="L58" s="26"/>
      <x:c r="M58" s="26" t="n">
        <x:v>1</x:v>
      </x:c>
      <x:c r="N58" s="26" t="str">
        <x:v>UNIQUE</x:v>
      </x:c>
      <x:c r="O58" s="26" t="str">
        <x:v>05</x:v>
      </x:c>
      <x:c r="P58" s="26" t="str">
        <x:v>05</x:v>
      </x:c>
      <x:c r="Q58" s="26" t="str">
        <x:v>Source equivalent — paired with published artifact</x:v>
      </x:c>
      <x:c r="R58" s="26" t="str">
        <x:v>RETAIN AS AUTHORING SOURCE / HISTORICAL EQUIVALENT</x:v>
      </x:c>
      <x:c r="S58" s="26" t="str">
        <x:v>00_Official_Baseline/v0.3/99_Source_Markdown/Cartridge_And_Cloud_UX_Flow_v0.3.md</x:v>
      </x:c>
      <x:c r="T58" s="26" t="str">
        <x:v>Historical path preserved verbatim; hash calculated from supplied pre-regeneration project.</x:v>
      </x:c>
    </x:row>
    <x:row r="59" ht="30" customHeight="1">
      <x:c r="A59" s="26" t="str">
        <x:v>H-0055</x:v>
      </x:c>
      <x:c r="B59" s="26" t="str">
        <x:v>Official Baseline</x:v>
      </x:c>
      <x:c r="C59" s="26" t="str">
        <x:v>v0.3</x:v>
      </x:c>
      <x:c r="D59" s="26" t="str">
        <x:v>v0.3</x:v>
      </x:c>
      <x:c r="E59" s="26" t="str">
        <x:v>99_Source_Markdown</x:v>
      </x:c>
      <x:c r="F59" s="26"/>
      <x:c r="G59" s="26" t="str">
        <x:v>Cartridge_And_Cloud_Vertical_Slice_Specification_v0.1.md</x:v>
      </x:c>
      <x:c r="H59" s="26" t="str">
        <x:v>Markdown</x:v>
      </x:c>
      <x:c r="I59" s="26" t="str">
        <x:v>Authoring source</x:v>
      </x:c>
      <x:c r="J59" s="26" t="n">
        <x:v>8682</x:v>
      </x:c>
      <x:c r="K59" s="26" t="str">
        <x:v>69792ba4790022b23d631d437e043d777844f775b94d6552bc33bc682b876bb0</x:v>
      </x:c>
      <x:c r="L59" s="26"/>
      <x:c r="M59" s="26" t="n">
        <x:v>1</x:v>
      </x:c>
      <x:c r="N59" s="26" t="str">
        <x:v>UNIQUE</x:v>
      </x:c>
      <x:c r="O59" s="26" t="str">
        <x:v>02</x:v>
      </x:c>
      <x:c r="P59" s="26" t="str">
        <x:v>02</x:v>
      </x:c>
      <x:c r="Q59" s="26" t="str">
        <x:v>Source equivalent — paired with published artifact</x:v>
      </x:c>
      <x:c r="R59" s="26" t="str">
        <x:v>RETAIN AS AUTHORING SOURCE / HISTORICAL EQUIVALENT</x:v>
      </x:c>
      <x:c r="S59" s="26" t="str">
        <x:v>00_Official_Baseline/v0.3/99_Source_Markdown/Cartridge_And_Cloud_Vertical_Slice_Specification_v0.1.md</x:v>
      </x:c>
      <x:c r="T59" s="26" t="str">
        <x:v>Historical path preserved verbatim; hash calculated from supplied pre-regeneration project.</x:v>
      </x:c>
    </x:row>
    <x:row r="60" ht="30" customHeight="1">
      <x:c r="A60" s="26" t="str">
        <x:v>H-0056</x:v>
      </x:c>
      <x:c r="B60" s="26" t="str">
        <x:v>Official Baseline</x:v>
      </x:c>
      <x:c r="C60" s="26" t="str">
        <x:v>v0.3</x:v>
      </x:c>
      <x:c r="D60" s="26" t="str">
        <x:v>v0.3</x:v>
      </x:c>
      <x:c r="E60" s="26" t="str">
        <x:v>99_Source_Markdown</x:v>
      </x:c>
      <x:c r="F60" s="26"/>
      <x:c r="G60" s="26" t="str">
        <x:v>cc_style.css</x:v>
      </x:c>
      <x:c r="H60" s="26" t="str">
        <x:v>CSS</x:v>
      </x:c>
      <x:c r="I60" s="26" t="str">
        <x:v>Authoring source</x:v>
      </x:c>
      <x:c r="J60" s="26" t="n">
        <x:v>2914</x:v>
      </x:c>
      <x:c r="K60" s="26" t="str">
        <x:v>4ad742bffedf183f8903453bc15452a343dbe5f604b3755b8990860411e2c4de</x:v>
      </x:c>
      <x:c r="L60" s="26"/>
      <x:c r="M60" s="26" t="n">
        <x:v>1</x:v>
      </x:c>
      <x:c r="N60" s="26" t="str">
        <x:v>UNIQUE</x:v>
      </x:c>
      <x:c r="O60" s="26"/>
      <x:c r="P60" s="26"/>
      <x:c r="Q60" s="26" t="str">
        <x:v>Source equivalent — paired with published artifact</x:v>
      </x:c>
      <x:c r="R60" s="26" t="str">
        <x:v>RETAIN AS AUTHORING SOURCE / HISTORICAL EQUIVALENT</x:v>
      </x:c>
      <x:c r="S60" s="26" t="str">
        <x:v>00_Official_Baseline/v0.3/99_Source_Markdown/cc_style.css</x:v>
      </x:c>
      <x:c r="T60" s="26" t="str">
        <x:v>Historical path preserved verbatim; hash calculated from supplied pre-regeneration project.</x:v>
      </x:c>
    </x:row>
    <x:row r="61" ht="30" customHeight="1">
      <x:c r="A61" s="26" t="str">
        <x:v>H-0057</x:v>
      </x:c>
      <x:c r="B61" s="26" t="str">
        <x:v>Official Baseline</x:v>
      </x:c>
      <x:c r="C61" s="26" t="str">
        <x:v>v0.3</x:v>
      </x:c>
      <x:c r="D61" s="26" t="str">
        <x:v>v0.3</x:v>
      </x:c>
      <x:c r="E61" s="26" t="str">
        <x:v>CHECKSUMS_SHA256.txt</x:v>
      </x:c>
      <x:c r="F61" s="26"/>
      <x:c r="G61" s="26" t="str">
        <x:v>CHECKSUMS_SHA256.txt</x:v>
      </x:c>
      <x:c r="H61" s="26" t="str">
        <x:v>Text</x:v>
      </x:c>
      <x:c r="I61" s="26" t="str">
        <x:v>Checksum register</x:v>
      </x:c>
      <x:c r="J61" s="26" t="n">
        <x:v>7808</x:v>
      </x:c>
      <x:c r="K61" s="26" t="str">
        <x:v>8312237b079e9a3f92dadaf41711f788caf08fb641aca3b2676ca5427accedc3</x:v>
      </x:c>
      <x:c r="L61" s="26"/>
      <x:c r="M61" s="26" t="n">
        <x:v>1</x:v>
      </x:c>
      <x:c r="N61" s="26" t="str">
        <x:v>UNIQUE</x:v>
      </x:c>
      <x:c r="O61" s="26" t="str">
        <x:v>32</x:v>
      </x:c>
      <x:c r="P61" s="26" t="str">
        <x:v>13, 14, 15, 16, 32</x:v>
      </x:c>
      <x:c r="Q61" s="26" t="str">
        <x:v>Published historical baseline</x:v>
      </x:c>
      <x:c r="R61" s="26" t="str">
        <x:v>SUPERSEDED AS AUTHORITY — RETAIN AS IMMUTABLE HISTORY</x:v>
      </x:c>
      <x:c r="S61" s="26" t="str">
        <x:v>00_Official_Baseline/v0.3/CHECKSUMS_SHA256.txt</x:v>
      </x:c>
      <x:c r="T61" s="26" t="str">
        <x:v>Historical path preserved verbatim; hash calculated from supplied pre-regeneration project.</x:v>
      </x:c>
    </x:row>
    <x:row r="62" ht="30" customHeight="1">
      <x:c r="A62" s="26" t="str">
        <x:v>H-0058</x:v>
      </x:c>
      <x:c r="B62" s="26" t="str">
        <x:v>Official Baseline</x:v>
      </x:c>
      <x:c r="C62" s="26" t="str">
        <x:v>v0.3</x:v>
      </x:c>
      <x:c r="D62" s="26" t="str">
        <x:v>v0.3</x:v>
      </x:c>
      <x:c r="E62" s="26" t="str">
        <x:v>DOCUMENTATION_VALIDATION_REPORT.md</x:v>
      </x:c>
      <x:c r="F62" s="26"/>
      <x:c r="G62" s="26" t="str">
        <x:v>DOCUMENTATION_VALIDATION_REPORT.md</x:v>
      </x:c>
      <x:c r="H62" s="26" t="str">
        <x:v>Markdown</x:v>
      </x:c>
      <x:c r="I62" s="26" t="str">
        <x:v>Validation report</x:v>
      </x:c>
      <x:c r="J62" s="26" t="n">
        <x:v>6971</x:v>
      </x:c>
      <x:c r="K62" s="26" t="str">
        <x:v>076932dd1f220819ff5db542d6da8b719950ae9e3b2302b989445a810568dca5</x:v>
      </x:c>
      <x:c r="L62" s="26"/>
      <x:c r="M62" s="26" t="n">
        <x:v>1</x:v>
      </x:c>
      <x:c r="N62" s="26" t="str">
        <x:v>UNIQUE</x:v>
      </x:c>
      <x:c r="O62" s="26" t="str">
        <x:v>16</x:v>
      </x:c>
      <x:c r="P62" s="26" t="str">
        <x:v>16</x:v>
      </x:c>
      <x:c r="Q62" s="26" t="str">
        <x:v>Published historical baseline</x:v>
      </x:c>
      <x:c r="R62" s="26" t="str">
        <x:v>SUPERSEDED AS AUTHORITY — RETAIN AS IMMUTABLE HISTORY</x:v>
      </x:c>
      <x:c r="S62" s="26" t="str">
        <x:v>00_Official_Baseline/v0.3/DOCUMENTATION_VALIDATION_REPORT.md</x:v>
      </x:c>
      <x:c r="T62" s="26" t="str">
        <x:v>Historical path preserved verbatim; hash calculated from supplied pre-regeneration project.</x:v>
      </x:c>
    </x:row>
    <x:row r="63" ht="30" customHeight="1">
      <x:c r="A63" s="26" t="str">
        <x:v>H-0059</x:v>
      </x:c>
      <x:c r="B63" s="26" t="str">
        <x:v>Official Baseline</x:v>
      </x:c>
      <x:c r="C63" s="26" t="str">
        <x:v>v0.3</x:v>
      </x:c>
      <x:c r="D63" s="26" t="str">
        <x:v>v0.3</x:v>
      </x:c>
      <x:c r="E63" s="26" t="str">
        <x:v>MIGRATION_SUMMARY.md</x:v>
      </x:c>
      <x:c r="F63" s="26"/>
      <x:c r="G63" s="26" t="str">
        <x:v>MIGRATION_SUMMARY.md</x:v>
      </x:c>
      <x:c r="H63" s="26" t="str">
        <x:v>Markdown</x:v>
      </x:c>
      <x:c r="I63" s="26" t="str">
        <x:v>Migration record</x:v>
      </x:c>
      <x:c r="J63" s="26" t="n">
        <x:v>1661</x:v>
      </x:c>
      <x:c r="K63" s="26" t="str">
        <x:v>8fc19eef549f8c96004754e31afca942c9b30ecec85c008be0b033fd4de474b8</x:v>
      </x:c>
      <x:c r="L63" s="26"/>
      <x:c r="M63" s="26" t="n">
        <x:v>1</x:v>
      </x:c>
      <x:c r="N63" s="26" t="str">
        <x:v>UNIQUE</x:v>
      </x:c>
      <x:c r="O63" s="26" t="str">
        <x:v>32</x:v>
      </x:c>
      <x:c r="P63" s="26" t="str">
        <x:v>13, 14, 15, 16, 32</x:v>
      </x:c>
      <x:c r="Q63" s="26" t="str">
        <x:v>Published historical baseline</x:v>
      </x:c>
      <x:c r="R63" s="26" t="str">
        <x:v>SUPERSEDED AS AUTHORITY — RETAIN AS IMMUTABLE HISTORY</x:v>
      </x:c>
      <x:c r="S63" s="26" t="str">
        <x:v>00_Official_Baseline/v0.3/MIGRATION_SUMMARY.md</x:v>
      </x:c>
      <x:c r="T63" s="26" t="str">
        <x:v>Historical path preserved verbatim; hash calculated from supplied pre-regeneration project.</x:v>
      </x:c>
    </x:row>
    <x:row r="64" ht="30" customHeight="1">
      <x:c r="A64" s="26" t="str">
        <x:v>H-0060</x:v>
      </x:c>
      <x:c r="B64" s="26" t="str">
        <x:v>Official Baseline</x:v>
      </x:c>
      <x:c r="C64" s="26" t="str">
        <x:v>v0.3</x:v>
      </x:c>
      <x:c r="D64" s="26" t="str">
        <x:v>v0.3</x:v>
      </x:c>
      <x:c r="E64" s="26" t="str">
        <x:v>PACKAGE_MANIFEST.md</x:v>
      </x:c>
      <x:c r="F64" s="26"/>
      <x:c r="G64" s="26" t="str">
        <x:v>PACKAGE_MANIFEST.md</x:v>
      </x:c>
      <x:c r="H64" s="26" t="str">
        <x:v>Markdown</x:v>
      </x:c>
      <x:c r="I64" s="26" t="str">
        <x:v>Package manifest</x:v>
      </x:c>
      <x:c r="J64" s="26" t="n">
        <x:v>6098</x:v>
      </x:c>
      <x:c r="K64" s="26" t="str">
        <x:v>7fb1bdbd0b11a372ccf4ad87efea6f88326188a21a8f4760680b0e49cd928783</x:v>
      </x:c>
      <x:c r="L64" s="26"/>
      <x:c r="M64" s="26" t="n">
        <x:v>1</x:v>
      </x:c>
      <x:c r="N64" s="26" t="str">
        <x:v>UNIQUE</x:v>
      </x:c>
      <x:c r="O64" s="26" t="str">
        <x:v>32</x:v>
      </x:c>
      <x:c r="P64" s="26" t="str">
        <x:v>13, 14, 15, 16, 32</x:v>
      </x:c>
      <x:c r="Q64" s="26" t="str">
        <x:v>Published historical baseline</x:v>
      </x:c>
      <x:c r="R64" s="26" t="str">
        <x:v>SUPERSEDED AS AUTHORITY — RETAIN AS IMMUTABLE HISTORY</x:v>
      </x:c>
      <x:c r="S64" s="26" t="str">
        <x:v>00_Official_Baseline/v0.3/PACKAGE_MANIFEST.md</x:v>
      </x:c>
      <x:c r="T64" s="26" t="str">
        <x:v>Historical path preserved verbatim; hash calculated from supplied pre-regeneration project.</x:v>
      </x:c>
    </x:row>
    <x:row r="65" ht="30" customHeight="1">
      <x:c r="A65" s="26" t="str">
        <x:v>H-0061</x:v>
      </x:c>
      <x:c r="B65" s="26" t="str">
        <x:v>Official Baseline</x:v>
      </x:c>
      <x:c r="C65" s="26" t="str">
        <x:v>v0.3</x:v>
      </x:c>
      <x:c r="D65" s="26" t="str">
        <x:v>v0.3</x:v>
      </x:c>
      <x:c r="E65" s="26" t="str">
        <x:v>README.en.md</x:v>
      </x:c>
      <x:c r="F65" s="26"/>
      <x:c r="G65" s="26" t="str">
        <x:v>README.en.md</x:v>
      </x:c>
      <x:c r="H65" s="26" t="str">
        <x:v>Markdown</x:v>
      </x:c>
      <x:c r="I65" s="26" t="str">
        <x:v>README / navigation</x:v>
      </x:c>
      <x:c r="J65" s="26" t="n">
        <x:v>2005</x:v>
      </x:c>
      <x:c r="K65" s="26" t="str">
        <x:v>161af250279dce492d52047789a719f117c739cf1435c1a8d6e1660c675a3858</x:v>
      </x:c>
      <x:c r="L65" s="26"/>
      <x:c r="M65" s="26" t="n">
        <x:v>1</x:v>
      </x:c>
      <x:c r="N65" s="26" t="str">
        <x:v>UNIQUE</x:v>
      </x:c>
      <x:c r="O65" s="26" t="str">
        <x:v>15</x:v>
      </x:c>
      <x:c r="P65" s="26" t="str">
        <x:v>15</x:v>
      </x:c>
      <x:c r="Q65" s="26" t="str">
        <x:v>Published historical baseline</x:v>
      </x:c>
      <x:c r="R65" s="26" t="str">
        <x:v>SUPERSEDED AS AUTHORITY — RETAIN AS IMMUTABLE HISTORY</x:v>
      </x:c>
      <x:c r="S65" s="26" t="str">
        <x:v>00_Official_Baseline/v0.3/README.en.md</x:v>
      </x:c>
      <x:c r="T65" s="26" t="str">
        <x:v>Historical path preserved verbatim; hash calculated from supplied pre-regeneration project.</x:v>
      </x:c>
    </x:row>
    <x:row r="66" ht="30" customHeight="1">
      <x:c r="A66" s="26" t="str">
        <x:v>H-0062</x:v>
      </x:c>
      <x:c r="B66" s="26" t="str">
        <x:v>Official Baseline</x:v>
      </x:c>
      <x:c r="C66" s="26" t="str">
        <x:v>v0.3</x:v>
      </x:c>
      <x:c r="D66" s="26" t="str">
        <x:v>v0.3</x:v>
      </x:c>
      <x:c r="E66" s="26" t="str">
        <x:v>README.md</x:v>
      </x:c>
      <x:c r="F66" s="26"/>
      <x:c r="G66" s="26" t="str">
        <x:v>README.md</x:v>
      </x:c>
      <x:c r="H66" s="26" t="str">
        <x:v>Markdown</x:v>
      </x:c>
      <x:c r="I66" s="26" t="str">
        <x:v>README / navigation</x:v>
      </x:c>
      <x:c r="J66" s="26" t="n">
        <x:v>2026</x:v>
      </x:c>
      <x:c r="K66" s="26" t="str">
        <x:v>fcc1f961b49d3f9e444a10bd58b690d6a16f5973612c3614beadb2a22b9720bb</x:v>
      </x:c>
      <x:c r="L66" s="26"/>
      <x:c r="M66" s="26" t="n">
        <x:v>1</x:v>
      </x:c>
      <x:c r="N66" s="26" t="str">
        <x:v>UNIQUE</x:v>
      </x:c>
      <x:c r="O66" s="26" t="str">
        <x:v>15</x:v>
      </x:c>
      <x:c r="P66" s="26" t="str">
        <x:v>15</x:v>
      </x:c>
      <x:c r="Q66" s="26" t="str">
        <x:v>Published historical baseline</x:v>
      </x:c>
      <x:c r="R66" s="26" t="str">
        <x:v>SUPERSEDED AS AUTHORITY — RETAIN AS IMMUTABLE HISTORY</x:v>
      </x:c>
      <x:c r="S66" s="26" t="str">
        <x:v>00_Official_Baseline/v0.3/README.md</x:v>
      </x:c>
      <x:c r="T66" s="26" t="str">
        <x:v>Historical path preserved verbatim; hash calculated from supplied pre-regeneration project.</x:v>
      </x:c>
    </x:row>
    <x:row r="67" ht="30" customHeight="1">
      <x:c r="A67" s="26" t="str">
        <x:v>H-0063</x:v>
      </x:c>
      <x:c r="B67" s="26" t="str">
        <x:v>Official Baseline</x:v>
      </x:c>
      <x:c r="C67" s="26" t="str">
        <x:v>v0.4</x:v>
      </x:c>
      <x:c r="D67" s="26" t="str">
        <x:v>v0.4</x:v>
      </x:c>
      <x:c r="E67" s="26" t="str">
        <x:v>00_Project_Governance</x:v>
      </x:c>
      <x:c r="F67" s="26"/>
      <x:c r="G67" s="26" t="str">
        <x:v>00_Cartridge_And_Cloud_Guide_v0.4.pdf</x:v>
      </x:c>
      <x:c r="H67" s="26" t="str">
        <x:v>PDF</x:v>
      </x:c>
      <x:c r="I67" s="26" t="str">
        <x:v>Published baseline rendering</x:v>
      </x:c>
      <x:c r="J67" s="26" t="n">
        <x:v>105014</x:v>
      </x:c>
      <x:c r="K67" s="26" t="str">
        <x:v>07587b4bc74c59fb87a887454c679d0f670ab92180d7b7e437922d941a2a796a</x:v>
      </x:c>
      <x:c r="L67" s="26"/>
      <x:c r="M67" s="26" t="n">
        <x:v>1</x:v>
      </x:c>
      <x:c r="N67" s="26" t="str">
        <x:v>UNIQUE</x:v>
      </x:c>
      <x:c r="O67" s="26" t="str">
        <x:v>15</x:v>
      </x:c>
      <x:c r="P67" s="26" t="str">
        <x:v>15</x:v>
      </x:c>
      <x:c r="Q67" s="26" t="str">
        <x:v>Published historical baseline</x:v>
      </x:c>
      <x:c r="R67" s="26" t="str">
        <x:v>SUPERSEDED AS AUTHORITY — RETAIN AS IMMUTABLE HISTORY</x:v>
      </x:c>
      <x:c r="S67" s="26" t="str">
        <x:v>00_Official_Baseline/v0.4/00_Project_Governance/00_Cartridge_And_Cloud_Guide_v0.4.pdf</x:v>
      </x:c>
      <x:c r="T67" s="26" t="str">
        <x:v>Historical path preserved verbatim; hash calculated from supplied pre-regeneration project.</x:v>
      </x:c>
    </x:row>
    <x:row r="68" ht="30" customHeight="1">
      <x:c r="A68" s="26" t="str">
        <x:v>H-0064</x:v>
      </x:c>
      <x:c r="B68" s="26" t="str">
        <x:v>Official Baseline</x:v>
      </x:c>
      <x:c r="C68" s="26" t="str">
        <x:v>v0.4</x:v>
      </x:c>
      <x:c r="D68" s="26" t="str">
        <x:v>v0.4</x:v>
      </x:c>
      <x:c r="E68" s="26" t="str">
        <x:v>00_Project_Governance</x:v>
      </x:c>
      <x:c r="F68" s="26"/>
      <x:c r="G68" s="26" t="str">
        <x:v>Cartridge_And_Cloud_Document_Migration_Plan_v0.1.pdf</x:v>
      </x:c>
      <x:c r="H68" s="26" t="str">
        <x:v>PDF</x:v>
      </x:c>
      <x:c r="I68" s="26" t="str">
        <x:v>Migration record</x:v>
      </x:c>
      <x:c r="J68" s="26" t="n">
        <x:v>38754</x:v>
      </x:c>
      <x:c r="K68" s="26" t="str">
        <x:v>5c3f2fa8bfaae1476447296e17b470fa9b142b1229145ab348fef332766e3bf6</x:v>
      </x:c>
      <x:c r="L68" s="26"/>
      <x:c r="M68" s="26" t="n">
        <x:v>1</x:v>
      </x:c>
      <x:c r="N68" s="26" t="str">
        <x:v>UNIQUE</x:v>
      </x:c>
      <x:c r="O68" s="26" t="str">
        <x:v>32</x:v>
      </x:c>
      <x:c r="P68" s="26" t="str">
        <x:v>13, 14, 15, 16, 32</x:v>
      </x:c>
      <x:c r="Q68" s="26" t="str">
        <x:v>Published historical baseline</x:v>
      </x:c>
      <x:c r="R68" s="26" t="str">
        <x:v>SUPERSEDED AS AUTHORITY — RETAIN AS IMMUTABLE HISTORY</x:v>
      </x:c>
      <x:c r="S68" s="26" t="str">
        <x:v>00_Official_Baseline/v0.4/00_Project_Governance/Cartridge_And_Cloud_Document_Migration_Plan_v0.1.pdf</x:v>
      </x:c>
      <x:c r="T68" s="26" t="str">
        <x:v>Historical path preserved verbatim; hash calculated from supplied pre-regeneration project.</x:v>
      </x:c>
    </x:row>
    <x:row r="69" ht="30" customHeight="1">
      <x:c r="A69" s="26" t="str">
        <x:v>H-0065</x:v>
      </x:c>
      <x:c r="B69" s="26" t="str">
        <x:v>Official Baseline</x:v>
      </x:c>
      <x:c r="C69" s="26" t="str">
        <x:v>v0.4</x:v>
      </x:c>
      <x:c r="D69" s="26" t="str">
        <x:v>v0.4</x:v>
      </x:c>
      <x:c r="E69" s="26" t="str">
        <x:v>00_Project_Governance</x:v>
      </x:c>
      <x:c r="F69" s="26"/>
      <x:c r="G69" s="26" t="str">
        <x:v>Cartridge_And_Cloud_Documentation_Validation_Report_v0.2.pdf</x:v>
      </x:c>
      <x:c r="H69" s="26" t="str">
        <x:v>PDF</x:v>
      </x:c>
      <x:c r="I69" s="26" t="str">
        <x:v>Validation report</x:v>
      </x:c>
      <x:c r="J69" s="26" t="n">
        <x:v>32668</x:v>
      </x:c>
      <x:c r="K69" s="26" t="str">
        <x:v>680c5a900685d90ebae0311b301c87a9f2a4d97ffca9e66ebeec8d2a36cf6bde</x:v>
      </x:c>
      <x:c r="L69" s="26"/>
      <x:c r="M69" s="26" t="n">
        <x:v>1</x:v>
      </x:c>
      <x:c r="N69" s="26" t="str">
        <x:v>UNIQUE</x:v>
      </x:c>
      <x:c r="O69" s="26" t="str">
        <x:v>16</x:v>
      </x:c>
      <x:c r="P69" s="26" t="str">
        <x:v>16</x:v>
      </x:c>
      <x:c r="Q69" s="26" t="str">
        <x:v>Published historical baseline</x:v>
      </x:c>
      <x:c r="R69" s="26" t="str">
        <x:v>SUPERSEDED AS AUTHORITY — RETAIN AS IMMUTABLE HISTORY</x:v>
      </x:c>
      <x:c r="S69" s="26" t="str">
        <x:v>00_Official_Baseline/v0.4/00_Project_Governance/Cartridge_And_Cloud_Documentation_Validation_Report_v0.2.pdf</x:v>
      </x:c>
      <x:c r="T69" s="26" t="str">
        <x:v>Historical path preserved verbatim; hash calculated from supplied pre-regeneration project.</x:v>
      </x:c>
    </x:row>
    <x:row r="70" ht="30" customHeight="1">
      <x:c r="A70" s="26" t="str">
        <x:v>H-0066</x:v>
      </x:c>
      <x:c r="B70" s="26" t="str">
        <x:v>Official Baseline</x:v>
      </x:c>
      <x:c r="C70" s="26" t="str">
        <x:v>v0.4</x:v>
      </x:c>
      <x:c r="D70" s="26" t="str">
        <x:v>v0.4</x:v>
      </x:c>
      <x:c r="E70" s="26" t="str">
        <x:v>00_Project_Governance</x:v>
      </x:c>
      <x:c r="F70" s="26"/>
      <x:c r="G70" s="26" t="str">
        <x:v>Cartridge_And_Cloud_Enfoque_v0.6.pdf</x:v>
      </x:c>
      <x:c r="H70" s="26" t="str">
        <x:v>PDF</x:v>
      </x:c>
      <x:c r="I70" s="26" t="str">
        <x:v>Published baseline rendering</x:v>
      </x:c>
      <x:c r="J70" s="26" t="n">
        <x:v>248732</x:v>
      </x:c>
      <x:c r="K70" s="26" t="str">
        <x:v>782c7edc39f04bb54e2bd168e4ad3ddca750ad7ff8af2c77b05f84ed8b4cbc9d</x:v>
      </x:c>
      <x:c r="L70" s="26"/>
      <x:c r="M70" s="26" t="n">
        <x:v>1</x:v>
      </x:c>
      <x:c r="N70" s="26" t="str">
        <x:v>UNIQUE</x:v>
      </x:c>
      <x:c r="O70" s="26" t="str">
        <x:v>00</x:v>
      </x:c>
      <x:c r="P70" s="26" t="str">
        <x:v>00</x:v>
      </x:c>
      <x:c r="Q70" s="26" t="str">
        <x:v>Published historical baseline</x:v>
      </x:c>
      <x:c r="R70" s="26" t="str">
        <x:v>SUPERSEDED AS AUTHORITY — RETAIN AS IMMUTABLE HISTORY</x:v>
      </x:c>
      <x:c r="S70" s="26" t="str">
        <x:v>00_Official_Baseline/v0.4/00_Project_Governance/Cartridge_And_Cloud_Enfoque_v0.6.pdf</x:v>
      </x:c>
      <x:c r="T70" s="26" t="str">
        <x:v>Historical path preserved verbatim; hash calculated from supplied pre-regeneration project.</x:v>
      </x:c>
    </x:row>
    <x:row r="71" ht="30" customHeight="1">
      <x:c r="A71" s="26" t="str">
        <x:v>H-0067</x:v>
      </x:c>
      <x:c r="B71" s="26" t="str">
        <x:v>Official Baseline</x:v>
      </x:c>
      <x:c r="C71" s="26" t="str">
        <x:v>v0.4</x:v>
      </x:c>
      <x:c r="D71" s="26" t="str">
        <x:v>v0.4</x:v>
      </x:c>
      <x:c r="E71" s="26" t="str">
        <x:v>00_Project_Governance</x:v>
      </x:c>
      <x:c r="F71" s="26"/>
      <x:c r="G71" s="26" t="str">
        <x:v>Cartridge_And_Cloud_Package_Manifest_v0.2.pdf</x:v>
      </x:c>
      <x:c r="H71" s="26" t="str">
        <x:v>PDF</x:v>
      </x:c>
      <x:c r="I71" s="26" t="str">
        <x:v>Package manifest</x:v>
      </x:c>
      <x:c r="J71" s="26" t="n">
        <x:v>36002</x:v>
      </x:c>
      <x:c r="K71" s="26" t="str">
        <x:v>2fb3d34140d531bb28015e95ebed32e69d5e38f40fd2e591f99af99304035b5e</x:v>
      </x:c>
      <x:c r="L71" s="26"/>
      <x:c r="M71" s="26" t="n">
        <x:v>1</x:v>
      </x:c>
      <x:c r="N71" s="26" t="str">
        <x:v>UNIQUE</x:v>
      </x:c>
      <x:c r="O71" s="26" t="str">
        <x:v>32</x:v>
      </x:c>
      <x:c r="P71" s="26" t="str">
        <x:v>13, 14, 15, 16, 32</x:v>
      </x:c>
      <x:c r="Q71" s="26" t="str">
        <x:v>Published historical baseline</x:v>
      </x:c>
      <x:c r="R71" s="26" t="str">
        <x:v>SUPERSEDED AS AUTHORITY — RETAIN AS IMMUTABLE HISTORY</x:v>
      </x:c>
      <x:c r="S71" s="26" t="str">
        <x:v>00_Official_Baseline/v0.4/00_Project_Governance/Cartridge_And_Cloud_Package_Manifest_v0.2.pdf</x:v>
      </x:c>
      <x:c r="T71" s="26" t="str">
        <x:v>Historical path preserved verbatim; hash calculated from supplied pre-regeneration project.</x:v>
      </x:c>
    </x:row>
    <x:row r="72" ht="30" customHeight="1">
      <x:c r="A72" s="26" t="str">
        <x:v>H-0068</x:v>
      </x:c>
      <x:c r="B72" s="26" t="str">
        <x:v>Official Baseline</x:v>
      </x:c>
      <x:c r="C72" s="26" t="str">
        <x:v>v0.4</x:v>
      </x:c>
      <x:c r="D72" s="26" t="str">
        <x:v>v0.4</x:v>
      </x:c>
      <x:c r="E72" s="26" t="str">
        <x:v>00_Project_Governance</x:v>
      </x:c>
      <x:c r="F72" s="26"/>
      <x:c r="G72" s="26" t="str">
        <x:v>Cartridge_And_Cloud_Project_Binder_Indice_Maestro_v0.4.pdf</x:v>
      </x:c>
      <x:c r="H72" s="26" t="str">
        <x:v>PDF</x:v>
      </x:c>
      <x:c r="I72" s="26" t="str">
        <x:v>Published baseline rendering</x:v>
      </x:c>
      <x:c r="J72" s="26" t="n">
        <x:v>32834</x:v>
      </x:c>
      <x:c r="K72" s="26" t="str">
        <x:v>bc1362d541745d2e5935c1c0d3140dfc49e5a957830760ea242e655164c9661e</x:v>
      </x:c>
      <x:c r="L72" s="26"/>
      <x:c r="M72" s="26" t="n">
        <x:v>1</x:v>
      </x:c>
      <x:c r="N72" s="26" t="str">
        <x:v>UNIQUE</x:v>
      </x:c>
      <x:c r="O72" s="26" t="str">
        <x:v>14</x:v>
      </x:c>
      <x:c r="P72" s="26" t="str">
        <x:v>14</x:v>
      </x:c>
      <x:c r="Q72" s="26" t="str">
        <x:v>Published historical baseline</x:v>
      </x:c>
      <x:c r="R72" s="26" t="str">
        <x:v>SUPERSEDED AS AUTHORITY — RETAIN AS IMMUTABLE HISTORY</x:v>
      </x:c>
      <x:c r="S72" s="26" t="str">
        <x:v>00_Official_Baseline/v0.4/00_Project_Governance/Cartridge_And_Cloud_Project_Binder_Indice_Maestro_v0.4.pdf</x:v>
      </x:c>
      <x:c r="T72" s="26" t="str">
        <x:v>Historical path preserved verbatim; hash calculated from supplied pre-regeneration project.</x:v>
      </x:c>
    </x:row>
    <x:row r="73" ht="30" customHeight="1">
      <x:c r="A73" s="26" t="str">
        <x:v>H-0069</x:v>
      </x:c>
      <x:c r="B73" s="26" t="str">
        <x:v>Official Baseline</x:v>
      </x:c>
      <x:c r="C73" s="26" t="str">
        <x:v>v0.4</x:v>
      </x:c>
      <x:c r="D73" s="26" t="str">
        <x:v>v0.4</x:v>
      </x:c>
      <x:c r="E73" s="26" t="str">
        <x:v>00_Project_Governance</x:v>
      </x:c>
      <x:c r="F73" s="26"/>
      <x:c r="G73" s="26" t="str">
        <x:v>Enfoque_v0.6.md</x:v>
      </x:c>
      <x:c r="H73" s="26" t="str">
        <x:v>Markdown</x:v>
      </x:c>
      <x:c r="I73" s="26" t="str">
        <x:v>Historical document / record</x:v>
      </x:c>
      <x:c r="J73" s="26" t="n">
        <x:v>122708</x:v>
      </x:c>
      <x:c r="K73" s="26" t="str">
        <x:v>6765207677c2adad0d124d20b9c27c82563eebc5eb3a0acb817dddbd148b3fbb</x:v>
      </x:c>
      <x:c r="L73" s="26" t="str">
        <x:v>DG-041</x:v>
      </x:c>
      <x:c r="M73" s="26" t="n">
        <x:v>2</x:v>
      </x:c>
      <x:c r="N73" s="26" t="str">
        <x:v>IDENTICAL COPY</x:v>
      </x:c>
      <x:c r="O73" s="26" t="str">
        <x:v>00</x:v>
      </x:c>
      <x:c r="P73" s="26" t="str">
        <x:v>00</x:v>
      </x:c>
      <x:c r="Q73" s="26" t="str">
        <x:v>Historical baseline support</x:v>
      </x:c>
      <x:c r="R73" s="26" t="str">
        <x:v>RETAIN AS SUPPORTING HISTORY</x:v>
      </x:c>
      <x:c r="S73" s="26" t="str">
        <x:v>00_Official_Baseline/v0.4/00_Project_Governance/Enfoque_v0.6.md</x:v>
      </x:c>
      <x:c r="T73" s="26" t="str">
        <x:v>Historical path preserved verbatim; hash calculated from supplied pre-regeneration project.</x:v>
      </x:c>
    </x:row>
    <x:row r="74" ht="30" customHeight="1">
      <x:c r="A74" s="26" t="str">
        <x:v>H-0070</x:v>
      </x:c>
      <x:c r="B74" s="26" t="str">
        <x:v>Official Baseline</x:v>
      </x:c>
      <x:c r="C74" s="26" t="str">
        <x:v>v0.4</x:v>
      </x:c>
      <x:c r="D74" s="26" t="str">
        <x:v>v0.4</x:v>
      </x:c>
      <x:c r="E74" s="26" t="str">
        <x:v>01_Design</x:v>
      </x:c>
      <x:c r="F74" s="26"/>
      <x:c r="G74" s="26" t="str">
        <x:v>Cartridge_And_Cloud_Economy_Balance_Specification_v0.1.pdf</x:v>
      </x:c>
      <x:c r="H74" s="26" t="str">
        <x:v>PDF</x:v>
      </x:c>
      <x:c r="I74" s="26" t="str">
        <x:v>Published baseline rendering</x:v>
      </x:c>
      <x:c r="J74" s="26" t="n">
        <x:v>90214</x:v>
      </x:c>
      <x:c r="K74" s="26" t="str">
        <x:v>75b1684eaf50b546febc2608230524385fb5f7685be8d885c0cff309389af643</x:v>
      </x:c>
      <x:c r="L74" s="26"/>
      <x:c r="M74" s="26" t="n">
        <x:v>1</x:v>
      </x:c>
      <x:c r="N74" s="26" t="str">
        <x:v>UNIQUE</x:v>
      </x:c>
      <x:c r="O74" s="26" t="str">
        <x:v>20</x:v>
      </x:c>
      <x:c r="P74" s="26" t="str">
        <x:v>20</x:v>
      </x:c>
      <x:c r="Q74" s="26" t="str">
        <x:v>Published historical baseline</x:v>
      </x:c>
      <x:c r="R74" s="26" t="str">
        <x:v>SUPERSEDED AS AUTHORITY — RETAIN AS IMMUTABLE HISTORY</x:v>
      </x:c>
      <x:c r="S74" s="26" t="str">
        <x:v>00_Official_Baseline/v0.4/01_Design/Cartridge_And_Cloud_Economy_Balance_Specification_v0.1.pdf</x:v>
      </x:c>
      <x:c r="T74" s="26" t="str">
        <x:v>Historical path preserved verbatim; hash calculated from supplied pre-regeneration project.</x:v>
      </x:c>
    </x:row>
    <x:row r="75" ht="30" customHeight="1">
      <x:c r="A75" s="26" t="str">
        <x:v>H-0071</x:v>
      </x:c>
      <x:c r="B75" s="26" t="str">
        <x:v>Official Baseline</x:v>
      </x:c>
      <x:c r="C75" s="26" t="str">
        <x:v>v0.4</x:v>
      </x:c>
      <x:c r="D75" s="26" t="str">
        <x:v>v0.4</x:v>
      </x:c>
      <x:c r="E75" s="26" t="str">
        <x:v>01_Design</x:v>
      </x:c>
      <x:c r="F75" s="26"/>
      <x:c r="G75" s="26" t="str">
        <x:v>Cartridge_And_Cloud_GDD_v0.4_PCSteam.pdf</x:v>
      </x:c>
      <x:c r="H75" s="26" t="str">
        <x:v>PDF</x:v>
      </x:c>
      <x:c r="I75" s="26" t="str">
        <x:v>Published baseline rendering</x:v>
      </x:c>
      <x:c r="J75" s="26" t="n">
        <x:v>233208</x:v>
      </x:c>
      <x:c r="K75" s="26" t="str">
        <x:v>daf3d2376783c00533ce932e3da58dddd77b65fab1efa2aa7a141241dc125069</x:v>
      </x:c>
      <x:c r="L75" s="26"/>
      <x:c r="M75" s="26" t="n">
        <x:v>1</x:v>
      </x:c>
      <x:c r="N75" s="26" t="str">
        <x:v>UNIQUE</x:v>
      </x:c>
      <x:c r="O75" s="26" t="str">
        <x:v>01</x:v>
      </x:c>
      <x:c r="P75" s="26" t="str">
        <x:v>01</x:v>
      </x:c>
      <x:c r="Q75" s="26" t="str">
        <x:v>Published historical baseline</x:v>
      </x:c>
      <x:c r="R75" s="26" t="str">
        <x:v>SUPERSEDED AS AUTHORITY — RETAIN AS IMMUTABLE HISTORY</x:v>
      </x:c>
      <x:c r="S75" s="26" t="str">
        <x:v>00_Official_Baseline/v0.4/01_Design/Cartridge_And_Cloud_GDD_v0.4_PCSteam.pdf</x:v>
      </x:c>
      <x:c r="T75" s="26" t="str">
        <x:v>Historical path preserved verbatim; hash calculated from supplied pre-regeneration project.</x:v>
      </x:c>
    </x:row>
    <x:row r="76" ht="30" customHeight="1">
      <x:c r="A76" s="26" t="str">
        <x:v>H-0072</x:v>
      </x:c>
      <x:c r="B76" s="26" t="str">
        <x:v>Official Baseline</x:v>
      </x:c>
      <x:c r="C76" s="26" t="str">
        <x:v>v0.4</x:v>
      </x:c>
      <x:c r="D76" s="26" t="str">
        <x:v>v0.4</x:v>
      </x:c>
      <x:c r="E76" s="26" t="str">
        <x:v>01_Design</x:v>
      </x:c>
      <x:c r="F76" s="26"/>
      <x:c r="G76" s="26" t="str">
        <x:v>Cartridge_And_Cloud_Initial_Content_Catalog_v0.1.pdf</x:v>
      </x:c>
      <x:c r="H76" s="26" t="str">
        <x:v>PDF</x:v>
      </x:c>
      <x:c r="I76" s="26" t="str">
        <x:v>Published baseline rendering</x:v>
      </x:c>
      <x:c r="J76" s="26" t="n">
        <x:v>81138</x:v>
      </x:c>
      <x:c r="K76" s="26" t="str">
        <x:v>03be2e2f3c6f50ee0db68ff42a952b0b164cb480b6f4478a7ab02baf74c1fd29</x:v>
      </x:c>
      <x:c r="L76" s="26"/>
      <x:c r="M76" s="26" t="n">
        <x:v>1</x:v>
      </x:c>
      <x:c r="N76" s="26" t="str">
        <x:v>UNIQUE</x:v>
      </x:c>
      <x:c r="O76" s="26" t="str">
        <x:v>21</x:v>
      </x:c>
      <x:c r="P76" s="26" t="str">
        <x:v>21</x:v>
      </x:c>
      <x:c r="Q76" s="26" t="str">
        <x:v>Published historical baseline</x:v>
      </x:c>
      <x:c r="R76" s="26" t="str">
        <x:v>SUPERSEDED AS AUTHORITY — RETAIN AS IMMUTABLE HISTORY</x:v>
      </x:c>
      <x:c r="S76" s="26" t="str">
        <x:v>00_Official_Baseline/v0.4/01_Design/Cartridge_And_Cloud_Initial_Content_Catalog_v0.1.pdf</x:v>
      </x:c>
      <x:c r="T76" s="26" t="str">
        <x:v>Historical path preserved verbatim; hash calculated from supplied pre-regeneration project.</x:v>
      </x:c>
    </x:row>
    <x:row r="77" ht="30" customHeight="1">
      <x:c r="A77" s="26" t="str">
        <x:v>H-0073</x:v>
      </x:c>
      <x:c r="B77" s="26" t="str">
        <x:v>Official Baseline</x:v>
      </x:c>
      <x:c r="C77" s="26" t="str">
        <x:v>v0.4</x:v>
      </x:c>
      <x:c r="D77" s="26" t="str">
        <x:v>v0.4</x:v>
      </x:c>
      <x:c r="E77" s="26" t="str">
        <x:v>01_Design</x:v>
      </x:c>
      <x:c r="F77" s="26"/>
      <x:c r="G77" s="26" t="str">
        <x:v>Cartridge_And_Cloud_UX_Flow_v0.3.pdf</x:v>
      </x:c>
      <x:c r="H77" s="26" t="str">
        <x:v>PDF</x:v>
      </x:c>
      <x:c r="I77" s="26" t="str">
        <x:v>Published baseline rendering</x:v>
      </x:c>
      <x:c r="J77" s="26" t="n">
        <x:v>191110</x:v>
      </x:c>
      <x:c r="K77" s="26" t="str">
        <x:v>a93ec6bf330e929ad03bc9b046f78937a8b13cb4b7facfb6fb5b98b7f4b5e3f6</x:v>
      </x:c>
      <x:c r="L77" s="26"/>
      <x:c r="M77" s="26" t="n">
        <x:v>1</x:v>
      </x:c>
      <x:c r="N77" s="26" t="str">
        <x:v>UNIQUE</x:v>
      </x:c>
      <x:c r="O77" s="26" t="str">
        <x:v>05</x:v>
      </x:c>
      <x:c r="P77" s="26" t="str">
        <x:v>05</x:v>
      </x:c>
      <x:c r="Q77" s="26" t="str">
        <x:v>Published historical baseline</x:v>
      </x:c>
      <x:c r="R77" s="26" t="str">
        <x:v>SUPERSEDED AS AUTHORITY — RETAIN AS IMMUTABLE HISTORY</x:v>
      </x:c>
      <x:c r="S77" s="26" t="str">
        <x:v>00_Official_Baseline/v0.4/01_Design/Cartridge_And_Cloud_UX_Flow_v0.3.pdf</x:v>
      </x:c>
      <x:c r="T77" s="26" t="str">
        <x:v>Historical path preserved verbatim; hash calculated from supplied pre-regeneration project.</x:v>
      </x:c>
    </x:row>
    <x:row r="78" ht="30" customHeight="1">
      <x:c r="A78" s="26" t="str">
        <x:v>H-0074</x:v>
      </x:c>
      <x:c r="B78" s="26" t="str">
        <x:v>Official Baseline</x:v>
      </x:c>
      <x:c r="C78" s="26" t="str">
        <x:v>v0.4</x:v>
      </x:c>
      <x:c r="D78" s="26" t="str">
        <x:v>v0.4</x:v>
      </x:c>
      <x:c r="E78" s="26" t="str">
        <x:v>01_Design</x:v>
      </x:c>
      <x:c r="F78" s="26"/>
      <x:c r="G78" s="26" t="str">
        <x:v>Cartridge_And_Cloud_Vertical_Slice_Specification_v0.2.pdf</x:v>
      </x:c>
      <x:c r="H78" s="26" t="str">
        <x:v>PDF</x:v>
      </x:c>
      <x:c r="I78" s="26" t="str">
        <x:v>Published baseline rendering</x:v>
      </x:c>
      <x:c r="J78" s="26" t="n">
        <x:v>53623</x:v>
      </x:c>
      <x:c r="K78" s="26" t="str">
        <x:v>d2505a3ba89c696248ddad9d0e3c4c7516eb0cf93b124111f2a4e3c6291bc46e</x:v>
      </x:c>
      <x:c r="L78" s="26"/>
      <x:c r="M78" s="26" t="n">
        <x:v>1</x:v>
      </x:c>
      <x:c r="N78" s="26" t="str">
        <x:v>UNIQUE</x:v>
      </x:c>
      <x:c r="O78" s="26" t="str">
        <x:v>02</x:v>
      </x:c>
      <x:c r="P78" s="26" t="str">
        <x:v>02</x:v>
      </x:c>
      <x:c r="Q78" s="26" t="str">
        <x:v>Published historical baseline</x:v>
      </x:c>
      <x:c r="R78" s="26" t="str">
        <x:v>SUPERSEDED AS AUTHORITY — RETAIN AS IMMUTABLE HISTORY</x:v>
      </x:c>
      <x:c r="S78" s="26" t="str">
        <x:v>00_Official_Baseline/v0.4/01_Design/Cartridge_And_Cloud_Vertical_Slice_Specification_v0.2.pdf</x:v>
      </x:c>
      <x:c r="T78" s="26" t="str">
        <x:v>Historical path preserved verbatim; hash calculated from supplied pre-regeneration project.</x:v>
      </x:c>
    </x:row>
    <x:row r="79" ht="30" customHeight="1">
      <x:c r="A79" s="26" t="str">
        <x:v>H-0075</x:v>
      </x:c>
      <x:c r="B79" s="26" t="str">
        <x:v>Official Baseline</x:v>
      </x:c>
      <x:c r="C79" s="26" t="str">
        <x:v>v0.4</x:v>
      </x:c>
      <x:c r="D79" s="26" t="str">
        <x:v>v0.4</x:v>
      </x:c>
      <x:c r="E79" s="26" t="str">
        <x:v>02_Technical</x:v>
      </x:c>
      <x:c r="F79" s="26"/>
      <x:c r="G79" s="26" t="str">
        <x:v>Cartridge_And_Cloud_Build_Versioning_Guide_v0.4.pdf</x:v>
      </x:c>
      <x:c r="H79" s="26" t="str">
        <x:v>PDF</x:v>
      </x:c>
      <x:c r="I79" s="26" t="str">
        <x:v>Published baseline rendering</x:v>
      </x:c>
      <x:c r="J79" s="26" t="n">
        <x:v>46424</x:v>
      </x:c>
      <x:c r="K79" s="26" t="str">
        <x:v>b26821c7646a0648c9bca240688bc7e3f82edd0c5ff853ac115e88ee3a742c4c</x:v>
      </x:c>
      <x:c r="L79" s="26"/>
      <x:c r="M79" s="26" t="n">
        <x:v>1</x:v>
      </x:c>
      <x:c r="N79" s="26" t="str">
        <x:v>UNIQUE</x:v>
      </x:c>
      <x:c r="O79" s="26" t="str">
        <x:v>11</x:v>
      </x:c>
      <x:c r="P79" s="26" t="str">
        <x:v>11</x:v>
      </x:c>
      <x:c r="Q79" s="26" t="str">
        <x:v>Published historical baseline</x:v>
      </x:c>
      <x:c r="R79" s="26" t="str">
        <x:v>SUPERSEDED AS AUTHORITY — RETAIN AS IMMUTABLE HISTORY</x:v>
      </x:c>
      <x:c r="S79" s="26" t="str">
        <x:v>00_Official_Baseline/v0.4/02_Technical/Cartridge_And_Cloud_Build_Versioning_Guide_v0.4.pdf</x:v>
      </x:c>
      <x:c r="T79" s="26" t="str">
        <x:v>Historical path preserved verbatim; hash calculated from supplied pre-regeneration project.</x:v>
      </x:c>
    </x:row>
    <x:row r="80" ht="30" customHeight="1">
      <x:c r="A80" s="26" t="str">
        <x:v>H-0076</x:v>
      </x:c>
      <x:c r="B80" s="26" t="str">
        <x:v>Official Baseline</x:v>
      </x:c>
      <x:c r="C80" s="26" t="str">
        <x:v>v0.4</x:v>
      </x:c>
      <x:c r="D80" s="26" t="str">
        <x:v>v0.4</x:v>
      </x:c>
      <x:c r="E80" s="26" t="str">
        <x:v>02_Technical</x:v>
      </x:c>
      <x:c r="F80" s="26"/>
      <x:c r="G80" s="26" t="str">
        <x:v>Cartridge_And_Cloud_CSharp_Coding_Standards_v0.3.pdf</x:v>
      </x:c>
      <x:c r="H80" s="26" t="str">
        <x:v>PDF</x:v>
      </x:c>
      <x:c r="I80" s="26" t="str">
        <x:v>Published baseline rendering</x:v>
      </x:c>
      <x:c r="J80" s="26" t="n">
        <x:v>44429</x:v>
      </x:c>
      <x:c r="K80" s="26" t="str">
        <x:v>996a4d5fe70a5a60c8e0194dfd167f527db03d9965cfdae83f6b8352447fec64</x:v>
      </x:c>
      <x:c r="L80" s="26"/>
      <x:c r="M80" s="26" t="n">
        <x:v>1</x:v>
      </x:c>
      <x:c r="N80" s="26" t="str">
        <x:v>UNIQUE</x:v>
      </x:c>
      <x:c r="O80" s="26" t="str">
        <x:v>09</x:v>
      </x:c>
      <x:c r="P80" s="26" t="str">
        <x:v>09</x:v>
      </x:c>
      <x:c r="Q80" s="26" t="str">
        <x:v>Published historical baseline</x:v>
      </x:c>
      <x:c r="R80" s="26" t="str">
        <x:v>SUPERSEDED AS AUTHORITY — RETAIN AS IMMUTABLE HISTORY</x:v>
      </x:c>
      <x:c r="S80" s="26" t="str">
        <x:v>00_Official_Baseline/v0.4/02_Technical/Cartridge_And_Cloud_CSharp_Coding_Standards_v0.3.pdf</x:v>
      </x:c>
      <x:c r="T80" s="26" t="str">
        <x:v>Historical path preserved verbatim; hash calculated from supplied pre-regeneration project.</x:v>
      </x:c>
    </x:row>
    <x:row r="81" ht="30" customHeight="1">
      <x:c r="A81" s="26" t="str">
        <x:v>H-0077</x:v>
      </x:c>
      <x:c r="B81" s="26" t="str">
        <x:v>Official Baseline</x:v>
      </x:c>
      <x:c r="C81" s="26" t="str">
        <x:v>v0.4</x:v>
      </x:c>
      <x:c r="D81" s="26" t="str">
        <x:v>v0.4</x:v>
      </x:c>
      <x:c r="E81" s="26" t="str">
        <x:v>02_Technical</x:v>
      </x:c>
      <x:c r="F81" s="26"/>
      <x:c r="G81" s="26" t="str">
        <x:v>Cartridge_And_Cloud_Modelo_de_Datos_v0.3.pdf</x:v>
      </x:c>
      <x:c r="H81" s="26" t="str">
        <x:v>PDF</x:v>
      </x:c>
      <x:c r="I81" s="26" t="str">
        <x:v>Published baseline rendering</x:v>
      </x:c>
      <x:c r="J81" s="26" t="n">
        <x:v>167248</x:v>
      </x:c>
      <x:c r="K81" s="26" t="str">
        <x:v>7b23bfd9335d0cca818896512b434579a5c94b20eac7185a6928e02e19175ab9</x:v>
      </x:c>
      <x:c r="L81" s="26"/>
      <x:c r="M81" s="26" t="n">
        <x:v>1</x:v>
      </x:c>
      <x:c r="N81" s="26" t="str">
        <x:v>UNIQUE</x:v>
      </x:c>
      <x:c r="O81" s="26" t="str">
        <x:v>04</x:v>
      </x:c>
      <x:c r="P81" s="26" t="str">
        <x:v>04</x:v>
      </x:c>
      <x:c r="Q81" s="26" t="str">
        <x:v>Published historical baseline</x:v>
      </x:c>
      <x:c r="R81" s="26" t="str">
        <x:v>SUPERSEDED AS AUTHORITY — RETAIN AS IMMUTABLE HISTORY</x:v>
      </x:c>
      <x:c r="S81" s="26" t="str">
        <x:v>00_Official_Baseline/v0.4/02_Technical/Cartridge_And_Cloud_Modelo_de_Datos_v0.3.pdf</x:v>
      </x:c>
      <x:c r="T81" s="26" t="str">
        <x:v>Historical path preserved verbatim; hash calculated from supplied pre-regeneration project.</x:v>
      </x:c>
    </x:row>
    <x:row r="82" ht="30" customHeight="1">
      <x:c r="A82" s="26" t="str">
        <x:v>H-0078</x:v>
      </x:c>
      <x:c r="B82" s="26" t="str">
        <x:v>Official Baseline</x:v>
      </x:c>
      <x:c r="C82" s="26" t="str">
        <x:v>v0.4</x:v>
      </x:c>
      <x:c r="D82" s="26" t="str">
        <x:v>v0.4</x:v>
      </x:c>
      <x:c r="E82" s="26" t="str">
        <x:v>02_Technical</x:v>
      </x:c>
      <x:c r="F82" s="26"/>
      <x:c r="G82" s="26" t="str">
        <x:v>Cartridge_And_Cloud_TDD_v0.4_Technical_Design_Document.pdf</x:v>
      </x:c>
      <x:c r="H82" s="26" t="str">
        <x:v>PDF</x:v>
      </x:c>
      <x:c r="I82" s="26" t="str">
        <x:v>Published baseline rendering</x:v>
      </x:c>
      <x:c r="J82" s="26" t="n">
        <x:v>75576</x:v>
      </x:c>
      <x:c r="K82" s="26" t="str">
        <x:v>b0f63b8bfcb72cb8b5a2671c6bdd3b51f8d79fffde681ae77be7539245f320ca</x:v>
      </x:c>
      <x:c r="L82" s="26"/>
      <x:c r="M82" s="26" t="n">
        <x:v>1</x:v>
      </x:c>
      <x:c r="N82" s="26" t="str">
        <x:v>UNIQUE</x:v>
      </x:c>
      <x:c r="O82" s="26" t="str">
        <x:v>03</x:v>
      </x:c>
      <x:c r="P82" s="26" t="str">
        <x:v>03</x:v>
      </x:c>
      <x:c r="Q82" s="26" t="str">
        <x:v>Published historical baseline</x:v>
      </x:c>
      <x:c r="R82" s="26" t="str">
        <x:v>SUPERSEDED AS AUTHORITY — RETAIN AS IMMUTABLE HISTORY</x:v>
      </x:c>
      <x:c r="S82" s="26" t="str">
        <x:v>00_Official_Baseline/v0.4/02_Technical/Cartridge_And_Cloud_TDD_v0.4_Technical_Design_Document.pdf</x:v>
      </x:c>
      <x:c r="T82" s="26" t="str">
        <x:v>Historical path preserved verbatim; hash calculated from supplied pre-regeneration project.</x:v>
      </x:c>
    </x:row>
    <x:row r="83" ht="30" customHeight="1">
      <x:c r="A83" s="26" t="str">
        <x:v>H-0079</x:v>
      </x:c>
      <x:c r="B83" s="26" t="str">
        <x:v>Official Baseline</x:v>
      </x:c>
      <x:c r="C83" s="26" t="str">
        <x:v>v0.4</x:v>
      </x:c>
      <x:c r="D83" s="26" t="str">
        <x:v>v0.4</x:v>
      </x:c>
      <x:c r="E83" s="26" t="str">
        <x:v>02_Technical</x:v>
      </x:c>
      <x:c r="F83" s="26"/>
      <x:c r="G83" s="26" t="str">
        <x:v>Cartridge_And_Cloud_Unity_Project_Setup_Guide_v0.4.pdf</x:v>
      </x:c>
      <x:c r="H83" s="26" t="str">
        <x:v>PDF</x:v>
      </x:c>
      <x:c r="I83" s="26" t="str">
        <x:v>Published baseline rendering</x:v>
      </x:c>
      <x:c r="J83" s="26" t="n">
        <x:v>50446</x:v>
      </x:c>
      <x:c r="K83" s="26" t="str">
        <x:v>c12af29fd274e9ae5e297364a7c48f65b78de03445aa666fcd8556339a7fc8b3</x:v>
      </x:c>
      <x:c r="L83" s="26"/>
      <x:c r="M83" s="26" t="n">
        <x:v>1</x:v>
      </x:c>
      <x:c r="N83" s="26" t="str">
        <x:v>UNIQUE</x:v>
      </x:c>
      <x:c r="O83" s="26" t="str">
        <x:v>10</x:v>
      </x:c>
      <x:c r="P83" s="26" t="str">
        <x:v>10</x:v>
      </x:c>
      <x:c r="Q83" s="26" t="str">
        <x:v>Published historical baseline</x:v>
      </x:c>
      <x:c r="R83" s="26" t="str">
        <x:v>SUPERSEDED AS AUTHORITY — RETAIN AS IMMUTABLE HISTORY</x:v>
      </x:c>
      <x:c r="S83" s="26" t="str">
        <x:v>00_Official_Baseline/v0.4/02_Technical/Cartridge_And_Cloud_Unity_Project_Setup_Guide_v0.4.pdf</x:v>
      </x:c>
      <x:c r="T83" s="26" t="str">
        <x:v>Historical path preserved verbatim; hash calculated from supplied pre-regeneration project.</x:v>
      </x:c>
    </x:row>
    <x:row r="84" ht="30" customHeight="1">
      <x:c r="A84" s="26" t="str">
        <x:v>H-0080</x:v>
      </x:c>
      <x:c r="B84" s="26" t="str">
        <x:v>Official Baseline</x:v>
      </x:c>
      <x:c r="C84" s="26" t="str">
        <x:v>v0.4</x:v>
      </x:c>
      <x:c r="D84" s="26" t="str">
        <x:v>v0.4</x:v>
      </x:c>
      <x:c r="E84" s="26" t="str">
        <x:v>03_Visual_Audio</x:v>
      </x:c>
      <x:c r="F84" s="26"/>
      <x:c r="G84" s="26" t="str">
        <x:v>Cartridge_And_Cloud_Art_Bible_v0.3.pdf</x:v>
      </x:c>
      <x:c r="H84" s="26" t="str">
        <x:v>PDF</x:v>
      </x:c>
      <x:c r="I84" s="26" t="str">
        <x:v>Published baseline rendering</x:v>
      </x:c>
      <x:c r="J84" s="26" t="n">
        <x:v>61240</x:v>
      </x:c>
      <x:c r="K84" s="26" t="str">
        <x:v>e11742ff33fd1b846ba63c46c029c949fafd19681cf39f473bfcb9d300d2bbc4</x:v>
      </x:c>
      <x:c r="L84" s="26"/>
      <x:c r="M84" s="26" t="n">
        <x:v>1</x:v>
      </x:c>
      <x:c r="N84" s="26" t="str">
        <x:v>UNIQUE</x:v>
      </x:c>
      <x:c r="O84" s="26" t="str">
        <x:v>17</x:v>
      </x:c>
      <x:c r="P84" s="26" t="str">
        <x:v>17</x:v>
      </x:c>
      <x:c r="Q84" s="26" t="str">
        <x:v>Published historical baseline</x:v>
      </x:c>
      <x:c r="R84" s="26" t="str">
        <x:v>SUPERSEDED AS AUTHORITY — RETAIN AS IMMUTABLE HISTORY</x:v>
      </x:c>
      <x:c r="S84" s="26" t="str">
        <x:v>00_Official_Baseline/v0.4/03_Visual_Audio/Cartridge_And_Cloud_Art_Bible_v0.3.pdf</x:v>
      </x:c>
      <x:c r="T84" s="26" t="str">
        <x:v>Historical path preserved verbatim; hash calculated from supplied pre-regeneration project.</x:v>
      </x:c>
    </x:row>
    <x:row r="85" ht="30" customHeight="1">
      <x:c r="A85" s="26" t="str">
        <x:v>H-0081</x:v>
      </x:c>
      <x:c r="B85" s="26" t="str">
        <x:v>Official Baseline</x:v>
      </x:c>
      <x:c r="C85" s="26" t="str">
        <x:v>v0.4</x:v>
      </x:c>
      <x:c r="D85" s="26" t="str">
        <x:v>v0.4</x:v>
      </x:c>
      <x:c r="E85" s="26" t="str">
        <x:v>03_Visual_Audio</x:v>
      </x:c>
      <x:c r="F85" s="26"/>
      <x:c r="G85" s="26" t="str">
        <x:v>Cartridge_And_Cloud_Audio_Bible_v0.3.pdf</x:v>
      </x:c>
      <x:c r="H85" s="26" t="str">
        <x:v>PDF</x:v>
      </x:c>
      <x:c r="I85" s="26" t="str">
        <x:v>Published baseline rendering</x:v>
      </x:c>
      <x:c r="J85" s="26" t="n">
        <x:v>42593</x:v>
      </x:c>
      <x:c r="K85" s="26" t="str">
        <x:v>eb7f12085ef69502fe5e1b53dc930bf97e9616fcdbc1fd2725e0022ec08e1214</x:v>
      </x:c>
      <x:c r="L85" s="26"/>
      <x:c r="M85" s="26" t="n">
        <x:v>1</x:v>
      </x:c>
      <x:c r="N85" s="26" t="str">
        <x:v>UNIQUE</x:v>
      </x:c>
      <x:c r="O85" s="26" t="str">
        <x:v>18</x:v>
      </x:c>
      <x:c r="P85" s="26" t="str">
        <x:v>18</x:v>
      </x:c>
      <x:c r="Q85" s="26" t="str">
        <x:v>Published historical baseline</x:v>
      </x:c>
      <x:c r="R85" s="26" t="str">
        <x:v>SUPERSEDED AS AUTHORITY — RETAIN AS IMMUTABLE HISTORY</x:v>
      </x:c>
      <x:c r="S85" s="26" t="str">
        <x:v>00_Official_Baseline/v0.4/03_Visual_Audio/Cartridge_And_Cloud_Audio_Bible_v0.3.pdf</x:v>
      </x:c>
      <x:c r="T85" s="26" t="str">
        <x:v>Historical path preserved verbatim; hash calculated from supplied pre-regeneration project.</x:v>
      </x:c>
    </x:row>
    <x:row r="86" ht="30" customHeight="1">
      <x:c r="A86" s="26" t="str">
        <x:v>H-0082</x:v>
      </x:c>
      <x:c r="B86" s="26" t="str">
        <x:v>Official Baseline</x:v>
      </x:c>
      <x:c r="C86" s="26" t="str">
        <x:v>v0.4</x:v>
      </x:c>
      <x:c r="D86" s="26" t="str">
        <x:v>v0.4</x:v>
      </x:c>
      <x:c r="E86" s="26" t="str">
        <x:v>03_Visual_Audio</x:v>
      </x:c>
      <x:c r="F86" s="26"/>
      <x:c r="G86" s="26" t="str">
        <x:v>Cartridge_And_Cloud_UI_Style_Guide_v0.3.pdf</x:v>
      </x:c>
      <x:c r="H86" s="26" t="str">
        <x:v>PDF</x:v>
      </x:c>
      <x:c r="I86" s="26" t="str">
        <x:v>Published baseline rendering</x:v>
      </x:c>
      <x:c r="J86" s="26" t="n">
        <x:v>129348</x:v>
      </x:c>
      <x:c r="K86" s="26" t="str">
        <x:v>738d1287f5d50a845095abe3fe39c9984f52c325f5a2bb2783b92e1648442417</x:v>
      </x:c>
      <x:c r="L86" s="26"/>
      <x:c r="M86" s="26" t="n">
        <x:v>1</x:v>
      </x:c>
      <x:c r="N86" s="26" t="str">
        <x:v>UNIQUE</x:v>
      </x:c>
      <x:c r="O86" s="26" t="str">
        <x:v>19</x:v>
      </x:c>
      <x:c r="P86" s="26" t="str">
        <x:v>19</x:v>
      </x:c>
      <x:c r="Q86" s="26" t="str">
        <x:v>Published historical baseline</x:v>
      </x:c>
      <x:c r="R86" s="26" t="str">
        <x:v>SUPERSEDED AS AUTHORITY — RETAIN AS IMMUTABLE HISTORY</x:v>
      </x:c>
      <x:c r="S86" s="26" t="str">
        <x:v>00_Official_Baseline/v0.4/03_Visual_Audio/Cartridge_And_Cloud_UI_Style_Guide_v0.3.pdf</x:v>
      </x:c>
      <x:c r="T86" s="26" t="str">
        <x:v>Historical path preserved verbatim; hash calculated from supplied pre-regeneration project.</x:v>
      </x:c>
    </x:row>
    <x:row r="87" ht="30" customHeight="1">
      <x:c r="A87" s="26" t="str">
        <x:v>H-0083</x:v>
      </x:c>
      <x:c r="B87" s="26" t="str">
        <x:v>Official Baseline</x:v>
      </x:c>
      <x:c r="C87" s="26" t="str">
        <x:v>v0.4</x:v>
      </x:c>
      <x:c r="D87" s="26" t="str">
        <x:v>v0.4</x:v>
      </x:c>
      <x:c r="E87" s="26" t="str">
        <x:v>04_QA_Production</x:v>
      </x:c>
      <x:c r="F87" s="26"/>
      <x:c r="G87" s="26" t="str">
        <x:v>Cartridge_And_Cloud_Excel_Maestro_Produccion_v0.4.xlsx</x:v>
      </x:c>
      <x:c r="H87" s="26" t="str">
        <x:v>Excel</x:v>
      </x:c>
      <x:c r="I87" s="26" t="str">
        <x:v>Operational spreadsheet</x:v>
      </x:c>
      <x:c r="J87" s="26" t="n">
        <x:v>23649</x:v>
      </x:c>
      <x:c r="K87" s="26" t="str">
        <x:v>2debe763b682a8988c47fa2a6abf179123d625588365dc7fe2eb9e3c484f7a37</x:v>
      </x:c>
      <x:c r="L87" s="26"/>
      <x:c r="M87" s="26" t="n">
        <x:v>1</x:v>
      </x:c>
      <x:c r="N87" s="26" t="str">
        <x:v>UNIQUE</x:v>
      </x:c>
      <x:c r="O87" s="26" t="str">
        <x:v>12</x:v>
      </x:c>
      <x:c r="P87" s="26" t="str">
        <x:v>12</x:v>
      </x:c>
      <x:c r="Q87" s="26" t="str">
        <x:v>Published historical baseline</x:v>
      </x:c>
      <x:c r="R87" s="26" t="str">
        <x:v>SUPERSEDED AS AUTHORITY — RETAIN AS IMMUTABLE HISTORY</x:v>
      </x:c>
      <x:c r="S87" s="26" t="str">
        <x:v>00_Official_Baseline/v0.4/04_QA_Production/Cartridge_And_Cloud_Excel_Maestro_Produccion_v0.4.xlsx</x:v>
      </x:c>
      <x:c r="T87" s="26" t="str">
        <x:v>Historical path preserved verbatim; hash calculated from supplied pre-regeneration project.</x:v>
      </x:c>
    </x:row>
    <x:row r="88" ht="30" customHeight="1">
      <x:c r="A88" s="26" t="str">
        <x:v>H-0084</x:v>
      </x:c>
      <x:c r="B88" s="26" t="str">
        <x:v>Official Baseline</x:v>
      </x:c>
      <x:c r="C88" s="26" t="str">
        <x:v>v0.4</x:v>
      </x:c>
      <x:c r="D88" s="26" t="str">
        <x:v>v0.4</x:v>
      </x:c>
      <x:c r="E88" s="26" t="str">
        <x:v>04_QA_Production</x:v>
      </x:c>
      <x:c r="F88" s="26"/>
      <x:c r="G88" s="26" t="str">
        <x:v>Cartridge_And_Cloud_Production_Roadmap_Sprint_Plan_v0.4.pdf</x:v>
      </x:c>
      <x:c r="H88" s="26" t="str">
        <x:v>PDF</x:v>
      </x:c>
      <x:c r="I88" s="26" t="str">
        <x:v>Published baseline rendering</x:v>
      </x:c>
      <x:c r="J88" s="26" t="n">
        <x:v>45968</x:v>
      </x:c>
      <x:c r="K88" s="26" t="str">
        <x:v>a633ddefdface673e33411b00fd52a84d6984fecf5a49586352d2efb95ef4951</x:v>
      </x:c>
      <x:c r="L88" s="26"/>
      <x:c r="M88" s="26" t="n">
        <x:v>1</x:v>
      </x:c>
      <x:c r="N88" s="26" t="str">
        <x:v>UNIQUE</x:v>
      </x:c>
      <x:c r="O88" s="26" t="str">
        <x:v>06</x:v>
      </x:c>
      <x:c r="P88" s="26" t="str">
        <x:v>06</x:v>
      </x:c>
      <x:c r="Q88" s="26" t="str">
        <x:v>Published historical baseline</x:v>
      </x:c>
      <x:c r="R88" s="26" t="str">
        <x:v>SUPERSEDED AS AUTHORITY — RETAIN AS IMMUTABLE HISTORY</x:v>
      </x:c>
      <x:c r="S88" s="26" t="str">
        <x:v>00_Official_Baseline/v0.4/04_QA_Production/Cartridge_And_Cloud_Production_Roadmap_Sprint_Plan_v0.4.pdf</x:v>
      </x:c>
      <x:c r="T88" s="26" t="str">
        <x:v>Historical path preserved verbatim; hash calculated from supplied pre-regeneration project.</x:v>
      </x:c>
    </x:row>
    <x:row r="89" ht="30" customHeight="1">
      <x:c r="A89" s="26" t="str">
        <x:v>H-0085</x:v>
      </x:c>
      <x:c r="B89" s="26" t="str">
        <x:v>Official Baseline</x:v>
      </x:c>
      <x:c r="C89" s="26" t="str">
        <x:v>v0.4</x:v>
      </x:c>
      <x:c r="D89" s="26" t="str">
        <x:v>v0.4</x:v>
      </x:c>
      <x:c r="E89" s="26" t="str">
        <x:v>04_QA_Production</x:v>
      </x:c>
      <x:c r="F89" s="26"/>
      <x:c r="G89" s="26" t="str">
        <x:v>Cartridge_And_Cloud_QA_Testing_Matrix_v0.4.xlsx</x:v>
      </x:c>
      <x:c r="H89" s="26" t="str">
        <x:v>Excel</x:v>
      </x:c>
      <x:c r="I89" s="26" t="str">
        <x:v>Operational spreadsheet</x:v>
      </x:c>
      <x:c r="J89" s="26" t="n">
        <x:v>26049</x:v>
      </x:c>
      <x:c r="K89" s="26" t="str">
        <x:v>80d79fa25df8c4dfaf0e91ff3f0e519ffcd283d802cf9e418e06fa88fa01d4d4</x:v>
      </x:c>
      <x:c r="L89" s="26"/>
      <x:c r="M89" s="26" t="n">
        <x:v>1</x:v>
      </x:c>
      <x:c r="N89" s="26" t="str">
        <x:v>UNIQUE</x:v>
      </x:c>
      <x:c r="O89" s="26" t="str">
        <x:v>08</x:v>
      </x:c>
      <x:c r="P89" s="26" t="str">
        <x:v>08</x:v>
      </x:c>
      <x:c r="Q89" s="26" t="str">
        <x:v>Published historical baseline</x:v>
      </x:c>
      <x:c r="R89" s="26" t="str">
        <x:v>SUPERSEDED AS AUTHORITY — RETAIN AS IMMUTABLE HISTORY</x:v>
      </x:c>
      <x:c r="S89" s="26" t="str">
        <x:v>00_Official_Baseline/v0.4/04_QA_Production/Cartridge_And_Cloud_QA_Testing_Matrix_v0.4.xlsx</x:v>
      </x:c>
      <x:c r="T89" s="26" t="str">
        <x:v>Historical path preserved verbatim; hash calculated from supplied pre-regeneration project.</x:v>
      </x:c>
    </x:row>
    <x:row r="90" ht="30" customHeight="1">
      <x:c r="A90" s="26" t="str">
        <x:v>H-0086</x:v>
      </x:c>
      <x:c r="B90" s="26" t="str">
        <x:v>Official Baseline</x:v>
      </x:c>
      <x:c r="C90" s="26" t="str">
        <x:v>v0.4</x:v>
      </x:c>
      <x:c r="D90" s="26" t="str">
        <x:v>v0.4</x:v>
      </x:c>
      <x:c r="E90" s="26" t="str">
        <x:v>04_QA_Production</x:v>
      </x:c>
      <x:c r="F90" s="26"/>
      <x:c r="G90" s="26" t="str">
        <x:v>Cartridge_And_Cloud_QA_Testing_Plan_v0.4.pdf</x:v>
      </x:c>
      <x:c r="H90" s="26" t="str">
        <x:v>PDF</x:v>
      </x:c>
      <x:c r="I90" s="26" t="str">
        <x:v>Published baseline rendering</x:v>
      </x:c>
      <x:c r="J90" s="26" t="n">
        <x:v>59968</x:v>
      </x:c>
      <x:c r="K90" s="26" t="str">
        <x:v>047a7bdd0a0b1ed6f9dec50aacc429bf1f18a2ba874fca0a28a270cc61bbfa45</x:v>
      </x:c>
      <x:c r="L90" s="26"/>
      <x:c r="M90" s="26" t="n">
        <x:v>1</x:v>
      </x:c>
      <x:c r="N90" s="26" t="str">
        <x:v>UNIQUE</x:v>
      </x:c>
      <x:c r="O90" s="26" t="str">
        <x:v>07</x:v>
      </x:c>
      <x:c r="P90" s="26" t="str">
        <x:v>07</x:v>
      </x:c>
      <x:c r="Q90" s="26" t="str">
        <x:v>Published historical baseline</x:v>
      </x:c>
      <x:c r="R90" s="26" t="str">
        <x:v>SUPERSEDED AS AUTHORITY — RETAIN AS IMMUTABLE HISTORY</x:v>
      </x:c>
      <x:c r="S90" s="26" t="str">
        <x:v>00_Official_Baseline/v0.4/04_QA_Production/Cartridge_And_Cloud_QA_Testing_Plan_v0.4.pdf</x:v>
      </x:c>
      <x:c r="T90" s="26" t="str">
        <x:v>Historical path preserved verbatim; hash calculated from supplied pre-regeneration project.</x:v>
      </x:c>
    </x:row>
    <x:row r="91" ht="30" customHeight="1">
      <x:c r="A91" s="26" t="str">
        <x:v>H-0087</x:v>
      </x:c>
      <x:c r="B91" s="26" t="str">
        <x:v>Official Baseline</x:v>
      </x:c>
      <x:c r="C91" s="26" t="str">
        <x:v>v0.4</x:v>
      </x:c>
      <x:c r="D91" s="26" t="str">
        <x:v>v0.4</x:v>
      </x:c>
      <x:c r="E91" s="26" t="str">
        <x:v>04_QA_Production</x:v>
      </x:c>
      <x:c r="F91" s="26"/>
      <x:c r="G91" s="26" t="str">
        <x:v>Cartridge_And_Cloud_Trazabilidad_Control_Cambios_v0.4.xlsx</x:v>
      </x:c>
      <x:c r="H91" s="26" t="str">
        <x:v>Excel</x:v>
      </x:c>
      <x:c r="I91" s="26" t="str">
        <x:v>Operational spreadsheet</x:v>
      </x:c>
      <x:c r="J91" s="26" t="n">
        <x:v>26372</x:v>
      </x:c>
      <x:c r="K91" s="26" t="str">
        <x:v>b85a395a547c35e420ac1932cd80b1ac0b591d379abb119fd13626dc915e8684</x:v>
      </x:c>
      <x:c r="L91" s="26"/>
      <x:c r="M91" s="26" t="n">
        <x:v>1</x:v>
      </x:c>
      <x:c r="N91" s="26" t="str">
        <x:v>UNIQUE</x:v>
      </x:c>
      <x:c r="O91" s="26" t="str">
        <x:v>13</x:v>
      </x:c>
      <x:c r="P91" s="26" t="str">
        <x:v>13</x:v>
      </x:c>
      <x:c r="Q91" s="26" t="str">
        <x:v>Published historical baseline</x:v>
      </x:c>
      <x:c r="R91" s="26" t="str">
        <x:v>SUPERSEDED AS AUTHORITY — RETAIN AS IMMUTABLE HISTORY</x:v>
      </x:c>
      <x:c r="S91" s="26" t="str">
        <x:v>00_Official_Baseline/v0.4/04_QA_Production/Cartridge_And_Cloud_Trazabilidad_Control_Cambios_v0.4.xlsx</x:v>
      </x:c>
      <x:c r="T91" s="26" t="str">
        <x:v>Historical path preserved verbatim; hash calculated from supplied pre-regeneration project.</x:v>
      </x:c>
    </x:row>
    <x:row r="92" ht="30" customHeight="1">
      <x:c r="A92" s="26" t="str">
        <x:v>H-0088</x:v>
      </x:c>
      <x:c r="B92" s="26" t="str">
        <x:v>Official Baseline</x:v>
      </x:c>
      <x:c r="C92" s="26" t="str">
        <x:v>v0.4</x:v>
      </x:c>
      <x:c r="D92" s="26" t="str">
        <x:v>v0.4</x:v>
      </x:c>
      <x:c r="E92" s="26" t="str">
        <x:v>05_Business_Release</x:v>
      </x:c>
      <x:c r="F92" s="26"/>
      <x:c r="G92" s="26" t="str">
        <x:v>Cartridge_And_Cloud_Legal_Credits_Licenses_Register_v0.3.pdf</x:v>
      </x:c>
      <x:c r="H92" s="26" t="str">
        <x:v>PDF</x:v>
      </x:c>
      <x:c r="I92" s="26" t="str">
        <x:v>Published baseline rendering</x:v>
      </x:c>
      <x:c r="J92" s="26" t="n">
        <x:v>42670</x:v>
      </x:c>
      <x:c r="K92" s="26" t="str">
        <x:v>e4105813b235d24b75edf539eae505342f58f1f26a4b087e870dcbda9d63f558</x:v>
      </x:c>
      <x:c r="L92" s="26"/>
      <x:c r="M92" s="26" t="n">
        <x:v>1</x:v>
      </x:c>
      <x:c r="N92" s="26" t="str">
        <x:v>UNIQUE</x:v>
      </x:c>
      <x:c r="O92" s="26" t="str">
        <x:v>23</x:v>
      </x:c>
      <x:c r="P92" s="26" t="str">
        <x:v>23</x:v>
      </x:c>
      <x:c r="Q92" s="26" t="str">
        <x:v>Published historical baseline</x:v>
      </x:c>
      <x:c r="R92" s="26" t="str">
        <x:v>SUPERSEDED AS AUTHORITY — RETAIN AS IMMUTABLE HISTORY</x:v>
      </x:c>
      <x:c r="S92" s="26" t="str">
        <x:v>00_Official_Baseline/v0.4/05_Business_Release/Cartridge_And_Cloud_Legal_Credits_Licenses_Register_v0.3.pdf</x:v>
      </x:c>
      <x:c r="T92" s="26" t="str">
        <x:v>Historical path preserved verbatim; hash calculated from supplied pre-regeneration project.</x:v>
      </x:c>
    </x:row>
    <x:row r="93" ht="30" customHeight="1">
      <x:c r="A93" s="26" t="str">
        <x:v>H-0089</x:v>
      </x:c>
      <x:c r="B93" s="26" t="str">
        <x:v>Official Baseline</x:v>
      </x:c>
      <x:c r="C93" s="26" t="str">
        <x:v>v0.4</x:v>
      </x:c>
      <x:c r="D93" s="26" t="str">
        <x:v>v0.4</x:v>
      </x:c>
      <x:c r="E93" s="26" t="str">
        <x:v>05_Business_Release</x:v>
      </x:c>
      <x:c r="F93" s="26"/>
      <x:c r="G93" s="26" t="str">
        <x:v>Cartridge_And_Cloud_Localization_Plan_v0.3.pdf</x:v>
      </x:c>
      <x:c r="H93" s="26" t="str">
        <x:v>PDF</x:v>
      </x:c>
      <x:c r="I93" s="26" t="str">
        <x:v>Published baseline rendering</x:v>
      </x:c>
      <x:c r="J93" s="26" t="n">
        <x:v>43688</x:v>
      </x:c>
      <x:c r="K93" s="26" t="str">
        <x:v>fc6cb711af7107fecd82d8963f6461a6d2f00941e08d93ea535c16c8ce917c17</x:v>
      </x:c>
      <x:c r="L93" s="26"/>
      <x:c r="M93" s="26" t="n">
        <x:v>1</x:v>
      </x:c>
      <x:c r="N93" s="26" t="str">
        <x:v>UNIQUE</x:v>
      </x:c>
      <x:c r="O93" s="26" t="str">
        <x:v>22</x:v>
      </x:c>
      <x:c r="P93" s="26" t="str">
        <x:v>22</x:v>
      </x:c>
      <x:c r="Q93" s="26" t="str">
        <x:v>Published historical baseline</x:v>
      </x:c>
      <x:c r="R93" s="26" t="str">
        <x:v>SUPERSEDED AS AUTHORITY — RETAIN AS IMMUTABLE HISTORY</x:v>
      </x:c>
      <x:c r="S93" s="26" t="str">
        <x:v>00_Official_Baseline/v0.4/05_Business_Release/Cartridge_And_Cloud_Localization_Plan_v0.3.pdf</x:v>
      </x:c>
      <x:c r="T93" s="26" t="str">
        <x:v>Historical path preserved verbatim; hash calculated from supplied pre-regeneration project.</x:v>
      </x:c>
    </x:row>
    <x:row r="94" ht="30" customHeight="1">
      <x:c r="A94" s="26" t="str">
        <x:v>H-0090</x:v>
      </x:c>
      <x:c r="B94" s="26" t="str">
        <x:v>Official Baseline</x:v>
      </x:c>
      <x:c r="C94" s="26" t="str">
        <x:v>v0.4</x:v>
      </x:c>
      <x:c r="D94" s="26" t="str">
        <x:v>v0.4</x:v>
      </x:c>
      <x:c r="E94" s="26" t="str">
        <x:v>05_Business_Release</x:v>
      </x:c>
      <x:c r="F94" s="26"/>
      <x:c r="G94" s="26" t="str">
        <x:v>Cartridge_And_Cloud_Marketing_Plan_v0.3.pdf</x:v>
      </x:c>
      <x:c r="H94" s="26" t="str">
        <x:v>PDF</x:v>
      </x:c>
      <x:c r="I94" s="26" t="str">
        <x:v>Published baseline rendering</x:v>
      </x:c>
      <x:c r="J94" s="26" t="n">
        <x:v>49493</x:v>
      </x:c>
      <x:c r="K94" s="26" t="str">
        <x:v>e3f2d73b70e08702998abaf7eda9ccb1bf6b10c56f3b41188d02001a15e81a2c</x:v>
      </x:c>
      <x:c r="L94" s="26"/>
      <x:c r="M94" s="26" t="n">
        <x:v>1</x:v>
      </x:c>
      <x:c r="N94" s="26" t="str">
        <x:v>UNIQUE</x:v>
      </x:c>
      <x:c r="O94" s="26" t="str">
        <x:v>28</x:v>
      </x:c>
      <x:c r="P94" s="26" t="str">
        <x:v>28</x:v>
      </x:c>
      <x:c r="Q94" s="26" t="str">
        <x:v>Published historical baseline</x:v>
      </x:c>
      <x:c r="R94" s="26" t="str">
        <x:v>SUPERSEDED AS AUTHORITY — RETAIN AS IMMUTABLE HISTORY</x:v>
      </x:c>
      <x:c r="S94" s="26" t="str">
        <x:v>00_Official_Baseline/v0.4/05_Business_Release/Cartridge_And_Cloud_Marketing_Plan_v0.3.pdf</x:v>
      </x:c>
      <x:c r="T94" s="26" t="str">
        <x:v>Historical path preserved verbatim; hash calculated from supplied pre-regeneration project.</x:v>
      </x:c>
    </x:row>
    <x:row r="95" ht="30" customHeight="1">
      <x:c r="A95" s="26" t="str">
        <x:v>H-0091</x:v>
      </x:c>
      <x:c r="B95" s="26" t="str">
        <x:v>Official Baseline</x:v>
      </x:c>
      <x:c r="C95" s="26" t="str">
        <x:v>v0.4</x:v>
      </x:c>
      <x:c r="D95" s="26" t="str">
        <x:v>v0.4</x:v>
      </x:c>
      <x:c r="E95" s="26" t="str">
        <x:v>05_Business_Release</x:v>
      </x:c>
      <x:c r="F95" s="26"/>
      <x:c r="G95" s="26" t="str">
        <x:v>Cartridge_And_Cloud_Steam_Publishing_Plan_v0.3.pdf</x:v>
      </x:c>
      <x:c r="H95" s="26" t="str">
        <x:v>PDF</x:v>
      </x:c>
      <x:c r="I95" s="26" t="str">
        <x:v>Published baseline rendering</x:v>
      </x:c>
      <x:c r="J95" s="26" t="n">
        <x:v>43916</x:v>
      </x:c>
      <x:c r="K95" s="26" t="str">
        <x:v>b052a99f72f3b531b75b5950e5459fc6bd2a62c516be7dc1ad5e53d3a4684ec3</x:v>
      </x:c>
      <x:c r="L95" s="26"/>
      <x:c r="M95" s="26" t="n">
        <x:v>1</x:v>
      </x:c>
      <x:c r="N95" s="26" t="str">
        <x:v>UNIQUE</x:v>
      </x:c>
      <x:c r="O95" s="26" t="str">
        <x:v>24</x:v>
      </x:c>
      <x:c r="P95" s="26" t="str">
        <x:v>24</x:v>
      </x:c>
      <x:c r="Q95" s="26" t="str">
        <x:v>Published historical baseline</x:v>
      </x:c>
      <x:c r="R95" s="26" t="str">
        <x:v>SUPERSEDED AS AUTHORITY — RETAIN AS IMMUTABLE HISTORY</x:v>
      </x:c>
      <x:c r="S95" s="26" t="str">
        <x:v>00_Official_Baseline/v0.4/05_Business_Release/Cartridge_And_Cloud_Steam_Publishing_Plan_v0.3.pdf</x:v>
      </x:c>
      <x:c r="T95" s="26" t="str">
        <x:v>Historical path preserved verbatim; hash calculated from supplied pre-regeneration project.</x:v>
      </x:c>
    </x:row>
    <x:row r="96" ht="30" customHeight="1">
      <x:c r="A96" s="26" t="str">
        <x:v>H-0092</x:v>
      </x:c>
      <x:c r="B96" s="26" t="str">
        <x:v>Official Baseline</x:v>
      </x:c>
      <x:c r="C96" s="26" t="str">
        <x:v>v0.4</x:v>
      </x:c>
      <x:c r="D96" s="26" t="str">
        <x:v>v0.4</x:v>
      </x:c>
      <x:c r="E96" s="26" t="str">
        <x:v>06_Development_Records</x:v>
      </x:c>
      <x:c r="F96" s="26" t="str">
        <x:v>Sprint 00</x:v>
      </x:c>
      <x:c r="G96" s="26" t="str">
        <x:v>ADR_Index_Sprint0.md</x:v>
      </x:c>
      <x:c r="H96" s="26" t="str">
        <x:v>Markdown</x:v>
      </x:c>
      <x:c r="I96" s="26" t="str">
        <x:v>Historical document / record</x:v>
      </x:c>
      <x:c r="J96" s="26" t="n">
        <x:v>662</x:v>
      </x:c>
      <x:c r="K96" s="26" t="str">
        <x:v>886bd7274c5a94b38fe3f83f980074a5364234f82a0806b116ad42478c5ec8d0</x:v>
      </x:c>
      <x:c r="L96" s="26"/>
      <x:c r="M96" s="26" t="n">
        <x:v>1</x:v>
      </x:c>
      <x:c r="N96" s="26" t="str">
        <x:v>UNIQUE</x:v>
      </x:c>
      <x:c r="O96" s="26"/>
      <x:c r="P96" s="26"/>
      <x:c r="Q96" s="26" t="str">
        <x:v>Historical baseline support</x:v>
      </x:c>
      <x:c r="R96" s="26" t="str">
        <x:v>RETAIN AS SUPPORTING HISTORY</x:v>
      </x:c>
      <x:c r="S96" s="26" t="str">
        <x:v>00_Official_Baseline/v0.4/06_Development_Records/Governance/ADR_Index_Sprint0.md</x:v>
      </x:c>
      <x:c r="T96" s="26" t="str">
        <x:v>Historical path preserved verbatim; hash calculated from supplied pre-regeneration project.</x:v>
      </x:c>
    </x:row>
    <x:row r="97" ht="30" customHeight="1">
      <x:c r="A97" s="26" t="str">
        <x:v>H-0093</x:v>
      </x:c>
      <x:c r="B97" s="26" t="str">
        <x:v>Official Baseline</x:v>
      </x:c>
      <x:c r="C97" s="26" t="str">
        <x:v>v0.4</x:v>
      </x:c>
      <x:c r="D97" s="26" t="str">
        <x:v>v0.4</x:v>
      </x:c>
      <x:c r="E97" s="26" t="str">
        <x:v>06_Development_Records</x:v>
      </x:c>
      <x:c r="F97" s="26"/>
      <x:c r="G97" s="26" t="str">
        <x:v>Project_Foundation_Release_Record.md</x:v>
      </x:c>
      <x:c r="H97" s="26" t="str">
        <x:v>Markdown</x:v>
      </x:c>
      <x:c r="I97" s="26" t="str">
        <x:v>Historical document / record</x:v>
      </x:c>
      <x:c r="J97" s="26" t="n">
        <x:v>466</x:v>
      </x:c>
      <x:c r="K97" s="26" t="str">
        <x:v>f789933c54973d329e078dd5a561b43f174333653a36aca00ce5254daaac0aab</x:v>
      </x:c>
      <x:c r="L97" s="26"/>
      <x:c r="M97" s="26" t="n">
        <x:v>1</x:v>
      </x:c>
      <x:c r="N97" s="26" t="str">
        <x:v>UNIQUE</x:v>
      </x:c>
      <x:c r="O97" s="26"/>
      <x:c r="P97" s="26"/>
      <x:c r="Q97" s="26" t="str">
        <x:v>Historical baseline support</x:v>
      </x:c>
      <x:c r="R97" s="26" t="str">
        <x:v>RETAIN AS SUPPORTING HISTORY</x:v>
      </x:c>
      <x:c r="S97" s="26" t="str">
        <x:v>00_Official_Baseline/v0.4/06_Development_Records/Governance/Project_Foundation_Release_Record.md</x:v>
      </x:c>
      <x:c r="T97" s="26" t="str">
        <x:v>Historical path preserved verbatim; hash calculated from supplied pre-regeneration project.</x:v>
      </x:c>
    </x:row>
    <x:row r="98" ht="30" customHeight="1">
      <x:c r="A98" s="26" t="str">
        <x:v>H-0094</x:v>
      </x:c>
      <x:c r="B98" s="26" t="str">
        <x:v>Official Baseline</x:v>
      </x:c>
      <x:c r="C98" s="26" t="str">
        <x:v>v0.4</x:v>
      </x:c>
      <x:c r="D98" s="26" t="str">
        <x:v>v0.4</x:v>
      </x:c>
      <x:c r="E98" s="26" t="str">
        <x:v>06_Development_Records</x:v>
      </x:c>
      <x:c r="F98" s="26" t="str">
        <x:v>Sprint 00</x:v>
      </x:c>
      <x:c r="G98" s="26" t="str">
        <x:v>DevelopmentEnvironment_Record.md</x:v>
      </x:c>
      <x:c r="H98" s="26" t="str">
        <x:v>Markdown</x:v>
      </x:c>
      <x:c r="I98" s="26" t="str">
        <x:v>Environment record</x:v>
      </x:c>
      <x:c r="J98" s="26" t="n">
        <x:v>1978</x:v>
      </x:c>
      <x:c r="K98" s="26" t="str">
        <x:v>34906df25b05006e5bf449ee1ee1a00a2ee89ba58b8b1b8f3c7a3b3ea9cc5906</x:v>
      </x:c>
      <x:c r="L98" s="26" t="str">
        <x:v>DG-020</x:v>
      </x:c>
      <x:c r="M98" s="26" t="n">
        <x:v>2</x:v>
      </x:c>
      <x:c r="N98" s="26" t="str">
        <x:v>DUPLICATE GROUP REPRESENTATIVE</x:v>
      </x:c>
      <x:c r="O98" s="26"/>
      <x:c r="P98" s="26"/>
      <x:c r="Q98" s="26" t="str">
        <x:v>Historical baseline support</x:v>
      </x:c>
      <x:c r="R98" s="26" t="str">
        <x:v>RETAIN AS SUPPORTING HISTORY</x:v>
      </x:c>
      <x:c r="S98" s="26" t="str">
        <x:v>00_Official_Baseline/v0.4/06_Development_Records/Sprint_00/DevelopmentEnvironment_Record.md</x:v>
      </x:c>
      <x:c r="T98" s="26" t="str">
        <x:v>Historical path preserved verbatim; hash calculated from supplied pre-regeneration project.</x:v>
      </x:c>
    </x:row>
    <x:row r="99" ht="30" customHeight="1">
      <x:c r="A99" s="26" t="str">
        <x:v>H-0095</x:v>
      </x:c>
      <x:c r="B99" s="26" t="str">
        <x:v>Official Baseline</x:v>
      </x:c>
      <x:c r="C99" s="26" t="str">
        <x:v>v0.4</x:v>
      </x:c>
      <x:c r="D99" s="26" t="str">
        <x:v>v0.4</x:v>
      </x:c>
      <x:c r="E99" s="26" t="str">
        <x:v>06_Development_Records</x:v>
      </x:c>
      <x:c r="F99" s="26" t="str">
        <x:v>Sprint 00</x:v>
      </x:c>
      <x:c r="G99" s="26" t="str">
        <x:v>S0.10_Applied_Changes_Report.md</x:v>
      </x:c>
      <x:c r="H99" s="26" t="str">
        <x:v>Markdown</x:v>
      </x:c>
      <x:c r="I99" s="26" t="str">
        <x:v>Applied change report</x:v>
      </x:c>
      <x:c r="J99" s="26" t="n">
        <x:v>1346</x:v>
      </x:c>
      <x:c r="K99" s="26" t="str">
        <x:v>45526d23c8ff676a2f472d3422f97cc9a9cf51893d2cdb6c7b9fe0d29e8cd717</x:v>
      </x:c>
      <x:c r="L99" s="26" t="str">
        <x:v>DG-029</x:v>
      </x:c>
      <x:c r="M99" s="26" t="n">
        <x:v>2</x:v>
      </x:c>
      <x:c r="N99" s="26" t="str">
        <x:v>DUPLICATE GROUP REPRESENTATIVE</x:v>
      </x:c>
      <x:c r="O99" s="26"/>
      <x:c r="P99" s="26"/>
      <x:c r="Q99" s="26" t="str">
        <x:v>Historical baseline support</x:v>
      </x:c>
      <x:c r="R99" s="26" t="str">
        <x:v>RETAIN AS SUPPORTING HISTORY</x:v>
      </x:c>
      <x:c r="S99" s="26" t="str">
        <x:v>00_Official_Baseline/v0.4/06_Development_Records/Sprint_00/S0.10_Applied_Changes_Report.md</x:v>
      </x:c>
      <x:c r="T99" s="26" t="str">
        <x:v>Historical path preserved verbatim; hash calculated from supplied pre-regeneration project.</x:v>
      </x:c>
    </x:row>
    <x:row r="100" ht="30" customHeight="1">
      <x:c r="A100" s="26" t="str">
        <x:v>H-0096</x:v>
      </x:c>
      <x:c r="B100" s="26" t="str">
        <x:v>Official Baseline</x:v>
      </x:c>
      <x:c r="C100" s="26" t="str">
        <x:v>v0.4</x:v>
      </x:c>
      <x:c r="D100" s="26" t="str">
        <x:v>v0.4</x:v>
      </x:c>
      <x:c r="E100" s="26" t="str">
        <x:v>06_Development_Records</x:v>
      </x:c>
      <x:c r="F100" s="26" t="str">
        <x:v>Sprint 00</x:v>
      </x:c>
      <x:c r="G100" s="26" t="str">
        <x:v>S0.10_Package_Review_Record.md</x:v>
      </x:c>
      <x:c r="H100" s="26" t="str">
        <x:v>Markdown</x:v>
      </x:c>
      <x:c r="I100" s="26" t="str">
        <x:v>Historical document / record</x:v>
      </x:c>
      <x:c r="J100" s="26" t="n">
        <x:v>1315</x:v>
      </x:c>
      <x:c r="K100" s="26" t="str">
        <x:v>6caa7be0ef49e9fa2fd1719400d3190cfdcf47ef7f3ff9211ef6560b4233a71a</x:v>
      </x:c>
      <x:c r="L100" s="26" t="str">
        <x:v>DG-042</x:v>
      </x:c>
      <x:c r="M100" s="26" t="n">
        <x:v>2</x:v>
      </x:c>
      <x:c r="N100" s="26" t="str">
        <x:v>DUPLICATE GROUP REPRESENTATIVE</x:v>
      </x:c>
      <x:c r="O100" s="26"/>
      <x:c r="P100" s="26"/>
      <x:c r="Q100" s="26" t="str">
        <x:v>Historical baseline support</x:v>
      </x:c>
      <x:c r="R100" s="26" t="str">
        <x:v>RETAIN AS SUPPORTING HISTORY</x:v>
      </x:c>
      <x:c r="S100" s="26" t="str">
        <x:v>00_Official_Baseline/v0.4/06_Development_Records/Sprint_00/S0.10_Package_Review_Record.md</x:v>
      </x:c>
      <x:c r="T100" s="26" t="str">
        <x:v>Historical path preserved verbatim; hash calculated from supplied pre-regeneration project.</x:v>
      </x:c>
    </x:row>
    <x:row r="101" ht="30" customHeight="1">
      <x:c r="A101" s="26" t="str">
        <x:v>H-0097</x:v>
      </x:c>
      <x:c r="B101" s="26" t="str">
        <x:v>Official Baseline</x:v>
      </x:c>
      <x:c r="C101" s="26" t="str">
        <x:v>v0.4</x:v>
      </x:c>
      <x:c r="D101" s="26" t="str">
        <x:v>v0.4</x:v>
      </x:c>
      <x:c r="E101" s="26" t="str">
        <x:v>06_Development_Records</x:v>
      </x:c>
      <x:c r="F101" s="26" t="str">
        <x:v>Sprint 00</x:v>
      </x:c>
      <x:c r="G101" s="26" t="str">
        <x:v>S0.10_Sprint_Closure.md</x:v>
      </x:c>
      <x:c r="H101" s="26" t="str">
        <x:v>Markdown</x:v>
      </x:c>
      <x:c r="I101" s="26" t="str">
        <x:v>Sprint closure</x:v>
      </x:c>
      <x:c r="J101" s="26" t="n">
        <x:v>1233</x:v>
      </x:c>
      <x:c r="K101" s="26" t="str">
        <x:v>9f9d70fae2a2197c724f273e1279b1589c19641519e2795bda3ad32e954b5556</x:v>
      </x:c>
      <x:c r="L101" s="26" t="str">
        <x:v>DG-062</x:v>
      </x:c>
      <x:c r="M101" s="26" t="n">
        <x:v>2</x:v>
      </x:c>
      <x:c r="N101" s="26" t="str">
        <x:v>DUPLICATE GROUP REPRESENTATIVE</x:v>
      </x:c>
      <x:c r="O101" s="26"/>
      <x:c r="P101" s="26"/>
      <x:c r="Q101" s="26" t="str">
        <x:v>Historical baseline support</x:v>
      </x:c>
      <x:c r="R101" s="26" t="str">
        <x:v>RETAIN AS SUPPORTING HISTORY</x:v>
      </x:c>
      <x:c r="S101" s="26" t="str">
        <x:v>00_Official_Baseline/v0.4/06_Development_Records/Sprint_00/S0.10_Sprint_Closure.md</x:v>
      </x:c>
      <x:c r="T101" s="26" t="str">
        <x:v>Historical path preserved verbatim; hash calculated from supplied pre-regeneration project.</x:v>
      </x:c>
    </x:row>
    <x:row r="102" ht="30" customHeight="1">
      <x:c r="A102" s="26" t="str">
        <x:v>H-0098</x:v>
      </x:c>
      <x:c r="B102" s="26" t="str">
        <x:v>Official Baseline</x:v>
      </x:c>
      <x:c r="C102" s="26" t="str">
        <x:v>v0.4</x:v>
      </x:c>
      <x:c r="D102" s="26" t="str">
        <x:v>v0.4</x:v>
      </x:c>
      <x:c r="E102" s="26" t="str">
        <x:v>06_Development_Records</x:v>
      </x:c>
      <x:c r="F102" s="26" t="str">
        <x:v>Sprint 00</x:v>
      </x:c>
      <x:c r="G102" s="26" t="str">
        <x:v>S0.10_Validation_Checklist.md</x:v>
      </x:c>
      <x:c r="H102" s="26" t="str">
        <x:v>Markdown</x:v>
      </x:c>
      <x:c r="I102" s="26" t="str">
        <x:v>Validation checklist</x:v>
      </x:c>
      <x:c r="J102" s="26" t="n">
        <x:v>1121</x:v>
      </x:c>
      <x:c r="K102" s="26" t="str">
        <x:v>292c90a2509bf4000f78d77cba56b38740a72e8bc5c3b99c53a4de14e6fb1279</x:v>
      </x:c>
      <x:c r="L102" s="26" t="str">
        <x:v>DG-014</x:v>
      </x:c>
      <x:c r="M102" s="26" t="n">
        <x:v>2</x:v>
      </x:c>
      <x:c r="N102" s="26" t="str">
        <x:v>DUPLICATE GROUP REPRESENTATIVE</x:v>
      </x:c>
      <x:c r="O102" s="26" t="str">
        <x:v>31</x:v>
      </x:c>
      <x:c r="P102" s="26" t="str">
        <x:v>02, 07, 08, 11, 13, 16, 31</x:v>
      </x:c>
      <x:c r="Q102" s="26" t="str">
        <x:v>Historical baseline support</x:v>
      </x:c>
      <x:c r="R102" s="26" t="str">
        <x:v>RETAIN AS SUPPORTING HISTORY</x:v>
      </x:c>
      <x:c r="S102" s="26" t="str">
        <x:v>00_Official_Baseline/v0.4/06_Development_Records/Sprint_00/S0.10_Validation_Checklist.md</x:v>
      </x:c>
      <x:c r="T102" s="26" t="str">
        <x:v>Historical path preserved verbatim; hash calculated from supplied pre-regeneration project.</x:v>
      </x:c>
    </x:row>
    <x:row r="103" ht="30" customHeight="1">
      <x:c r="A103" s="26" t="str">
        <x:v>H-0099</x:v>
      </x:c>
      <x:c r="B103" s="26" t="str">
        <x:v>Official Baseline</x:v>
      </x:c>
      <x:c r="C103" s="26" t="str">
        <x:v>v0.4</x:v>
      </x:c>
      <x:c r="D103" s="26" t="str">
        <x:v>v0.4</x:v>
      </x:c>
      <x:c r="E103" s="26" t="str">
        <x:v>06_Development_Records</x:v>
      </x:c>
      <x:c r="F103" s="26" t="str">
        <x:v>Sprint 00</x:v>
      </x:c>
      <x:c r="G103" s="26" t="str">
        <x:v>S0.10_Windows_Final_Build_Record.md</x:v>
      </x:c>
      <x:c r="H103" s="26" t="str">
        <x:v>Markdown</x:v>
      </x:c>
      <x:c r="I103" s="26" t="str">
        <x:v>Historical document / record</x:v>
      </x:c>
      <x:c r="J103" s="26" t="n">
        <x:v>1484</x:v>
      </x:c>
      <x:c r="K103" s="26" t="str">
        <x:v>2bdddb6ad5bff23d564e9d179c0b31b5baa4dcf00624539571485725734231a2</x:v>
      </x:c>
      <x:c r="L103" s="26" t="str">
        <x:v>DG-017</x:v>
      </x:c>
      <x:c r="M103" s="26" t="n">
        <x:v>2</x:v>
      </x:c>
      <x:c r="N103" s="26" t="str">
        <x:v>DUPLICATE GROUP REPRESENTATIVE</x:v>
      </x:c>
      <x:c r="O103" s="26" t="str">
        <x:v>31</x:v>
      </x:c>
      <x:c r="P103" s="26" t="str">
        <x:v>02, 07, 08, 11, 13, 16, 31</x:v>
      </x:c>
      <x:c r="Q103" s="26" t="str">
        <x:v>Historical baseline support</x:v>
      </x:c>
      <x:c r="R103" s="26" t="str">
        <x:v>RETAIN AS SUPPORTING HISTORY</x:v>
      </x:c>
      <x:c r="S103" s="26" t="str">
        <x:v>00_Official_Baseline/v0.4/06_Development_Records/Sprint_00/S0.10_Windows_Final_Build_Record.md</x:v>
      </x:c>
      <x:c r="T103" s="26" t="str">
        <x:v>Historical path preserved verbatim; hash calculated from supplied pre-regeneration project.</x:v>
      </x:c>
    </x:row>
    <x:row r="104" ht="30" customHeight="1">
      <x:c r="A104" s="26" t="str">
        <x:v>H-0100</x:v>
      </x:c>
      <x:c r="B104" s="26" t="str">
        <x:v>Official Baseline</x:v>
      </x:c>
      <x:c r="C104" s="26" t="str">
        <x:v>v0.4</x:v>
      </x:c>
      <x:c r="D104" s="26" t="str">
        <x:v>v0.4</x:v>
      </x:c>
      <x:c r="E104" s="26" t="str">
        <x:v>06_Development_Records</x:v>
      </x:c>
      <x:c r="F104" s="26" t="str">
        <x:v>Sprint 00</x:v>
      </x:c>
      <x:c r="G104" s="26" t="str">
        <x:v>Sprint_00_Closure_Record.md</x:v>
      </x:c>
      <x:c r="H104" s="26" t="str">
        <x:v>Markdown</x:v>
      </x:c>
      <x:c r="I104" s="26" t="str">
        <x:v>Sprint closure</x:v>
      </x:c>
      <x:c r="J104" s="26" t="n">
        <x:v>856</x:v>
      </x:c>
      <x:c r="K104" s="26" t="str">
        <x:v>40304282ce444aae9a485d1f9cbb27b6157460aef53ebee86d2c1e8c5aa7999a</x:v>
      </x:c>
      <x:c r="L104" s="26" t="str">
        <x:v>DG-026</x:v>
      </x:c>
      <x:c r="M104" s="26" t="n">
        <x:v>2</x:v>
      </x:c>
      <x:c r="N104" s="26" t="str">
        <x:v>DUPLICATE GROUP REPRESENTATIVE</x:v>
      </x:c>
      <x:c r="O104" s="26"/>
      <x:c r="P104" s="26"/>
      <x:c r="Q104" s="26" t="str">
        <x:v>Historical baseline support</x:v>
      </x:c>
      <x:c r="R104" s="26" t="str">
        <x:v>RETAIN AS SUPPORTING HISTORY</x:v>
      </x:c>
      <x:c r="S104" s="26" t="str">
        <x:v>00_Official_Baseline/v0.4/06_Development_Records/Sprint_00/Sprint_00_Closure_Record.md</x:v>
      </x:c>
      <x:c r="T104" s="26" t="str">
        <x:v>Historical path preserved verbatim; hash calculated from supplied pre-regeneration project.</x:v>
      </x:c>
    </x:row>
    <x:row r="105" ht="30" customHeight="1">
      <x:c r="A105" s="26" t="str">
        <x:v>H-0101</x:v>
      </x:c>
      <x:c r="B105" s="26" t="str">
        <x:v>Official Baseline</x:v>
      </x:c>
      <x:c r="C105" s="26" t="str">
        <x:v>v0.4</x:v>
      </x:c>
      <x:c r="D105" s="26" t="str">
        <x:v>v0.4</x:v>
      </x:c>
      <x:c r="E105" s="26" t="str">
        <x:v>06_Development_Records</x:v>
      </x:c>
      <x:c r="F105" s="26" t="str">
        <x:v>Sprint 00</x:v>
      </x:c>
      <x:c r="G105" s="26" t="str">
        <x:v>Sprint_00_Current_Status.md</x:v>
      </x:c>
      <x:c r="H105" s="26" t="str">
        <x:v>Markdown</x:v>
      </x:c>
      <x:c r="I105" s="26" t="str">
        <x:v>Current status</x:v>
      </x:c>
      <x:c r="J105" s="26" t="n">
        <x:v>758</x:v>
      </x:c>
      <x:c r="K105" s="26" t="str">
        <x:v>89e8091242b513ea0e04589d73cf525f6a6f17b3c4d4d7da2b820737197083f8</x:v>
      </x:c>
      <x:c r="L105" s="26" t="str">
        <x:v>DG-054</x:v>
      </x:c>
      <x:c r="M105" s="26" t="n">
        <x:v>2</x:v>
      </x:c>
      <x:c r="N105" s="26" t="str">
        <x:v>DUPLICATE GROUP REPRESENTATIVE</x:v>
      </x:c>
      <x:c r="O105" s="26"/>
      <x:c r="P105" s="26"/>
      <x:c r="Q105" s="26" t="str">
        <x:v>Historical baseline support</x:v>
      </x:c>
      <x:c r="R105" s="26" t="str">
        <x:v>RETAIN AS SUPPORTING HISTORY</x:v>
      </x:c>
      <x:c r="S105" s="26" t="str">
        <x:v>00_Official_Baseline/v0.4/06_Development_Records/Sprint_00/Sprint_00_Current_Status.md</x:v>
      </x:c>
      <x:c r="T105" s="26" t="str">
        <x:v>Historical path preserved verbatim; hash calculated from supplied pre-regeneration project.</x:v>
      </x:c>
    </x:row>
    <x:row r="106" ht="30" customHeight="1">
      <x:c r="A106" s="26" t="str">
        <x:v>H-0102</x:v>
      </x:c>
      <x:c r="B106" s="26" t="str">
        <x:v>Official Baseline</x:v>
      </x:c>
      <x:c r="C106" s="26" t="str">
        <x:v>v0.4</x:v>
      </x:c>
      <x:c r="D106" s="26" t="str">
        <x:v>v0.4</x:v>
      </x:c>
      <x:c r="E106" s="26" t="str">
        <x:v>06_Development_Records</x:v>
      </x:c>
      <x:c r="F106" s="26" t="str">
        <x:v>Sprint 00</x:v>
      </x:c>
      <x:c r="G106" s="26" t="str">
        <x:v>Sprint_00_Foundation_Baseline.md</x:v>
      </x:c>
      <x:c r="H106" s="26" t="str">
        <x:v>Markdown</x:v>
      </x:c>
      <x:c r="I106" s="26" t="str">
        <x:v>Historical document / record</x:v>
      </x:c>
      <x:c r="J106" s="26" t="n">
        <x:v>1238</x:v>
      </x:c>
      <x:c r="K106" s="26" t="str">
        <x:v>0fed73bbd55bee471c7c2858bd09fcf946b308aab364d00455595c10a2b2e877</x:v>
      </x:c>
      <x:c r="L106" s="26" t="str">
        <x:v>DG-006</x:v>
      </x:c>
      <x:c r="M106" s="26" t="n">
        <x:v>2</x:v>
      </x:c>
      <x:c r="N106" s="26" t="str">
        <x:v>DUPLICATE GROUP REPRESENTATIVE</x:v>
      </x:c>
      <x:c r="O106" s="26"/>
      <x:c r="P106" s="26"/>
      <x:c r="Q106" s="26" t="str">
        <x:v>Historical baseline support</x:v>
      </x:c>
      <x:c r="R106" s="26" t="str">
        <x:v>RETAIN AS SUPPORTING HISTORY</x:v>
      </x:c>
      <x:c r="S106" s="26" t="str">
        <x:v>00_Official_Baseline/v0.4/06_Development_Records/Sprint_00/Sprint_00_Foundation_Baseline.md</x:v>
      </x:c>
      <x:c r="T106" s="26" t="str">
        <x:v>Historical path preserved verbatim; hash calculated from supplied pre-regeneration project.</x:v>
      </x:c>
    </x:row>
    <x:row r="107" ht="30" customHeight="1">
      <x:c r="A107" s="26" t="str">
        <x:v>H-0103</x:v>
      </x:c>
      <x:c r="B107" s="26" t="str">
        <x:v>Official Baseline</x:v>
      </x:c>
      <x:c r="C107" s="26" t="str">
        <x:v>v0.4</x:v>
      </x:c>
      <x:c r="D107" s="26" t="str">
        <x:v>v0.4</x:v>
      </x:c>
      <x:c r="E107" s="26" t="str">
        <x:v>99_Source_Markdown</x:v>
      </x:c>
      <x:c r="F107" s="26"/>
      <x:c r="G107" s="26" t="str">
        <x:v>00_Cartridge_And_Cloud_Guide_v0.4.md</x:v>
      </x:c>
      <x:c r="H107" s="26" t="str">
        <x:v>Markdown</x:v>
      </x:c>
      <x:c r="I107" s="26" t="str">
        <x:v>Authoring source</x:v>
      </x:c>
      <x:c r="J107" s="26" t="n">
        <x:v>40622</x:v>
      </x:c>
      <x:c r="K107" s="26" t="str">
        <x:v>d2648692ec3db14ec9f36979f4e7efd35260635913de372de6f95e707f473bbf</x:v>
      </x:c>
      <x:c r="L107" s="26"/>
      <x:c r="M107" s="26" t="n">
        <x:v>1</x:v>
      </x:c>
      <x:c r="N107" s="26" t="str">
        <x:v>UNIQUE</x:v>
      </x:c>
      <x:c r="O107" s="26" t="str">
        <x:v>15</x:v>
      </x:c>
      <x:c r="P107" s="26" t="str">
        <x:v>15</x:v>
      </x:c>
      <x:c r="Q107" s="26" t="str">
        <x:v>Source equivalent — paired with published artifact</x:v>
      </x:c>
      <x:c r="R107" s="26" t="str">
        <x:v>RETAIN AS AUTHORING SOURCE / HISTORICAL EQUIVALENT</x:v>
      </x:c>
      <x:c r="S107" s="26" t="str">
        <x:v>00_Official_Baseline/v0.4/99_Source_Markdown/00_Cartridge_And_Cloud_Guide_v0.4.md</x:v>
      </x:c>
      <x:c r="T107" s="26" t="str">
        <x:v>Historical path preserved verbatim; hash calculated from supplied pre-regeneration project.</x:v>
      </x:c>
    </x:row>
    <x:row r="108" ht="30" customHeight="1">
      <x:c r="A108" s="26" t="str">
        <x:v>H-0104</x:v>
      </x:c>
      <x:c r="B108" s="26" t="str">
        <x:v>Official Baseline</x:v>
      </x:c>
      <x:c r="C108" s="26" t="str">
        <x:v>v0.4</x:v>
      </x:c>
      <x:c r="D108" s="26" t="str">
        <x:v>v0.4</x:v>
      </x:c>
      <x:c r="E108" s="26" t="str">
        <x:v>99_Source_Markdown</x:v>
      </x:c>
      <x:c r="F108" s="26"/>
      <x:c r="G108" s="26" t="str">
        <x:v>Cartridge_And_Cloud_Art_Bible_v0.3.md</x:v>
      </x:c>
      <x:c r="H108" s="26" t="str">
        <x:v>Markdown</x:v>
      </x:c>
      <x:c r="I108" s="26" t="str">
        <x:v>Authoring source</x:v>
      </x:c>
      <x:c r="J108" s="26" t="n">
        <x:v>13699</x:v>
      </x:c>
      <x:c r="K108" s="26" t="str">
        <x:v>9d12adda06afbf7db50291337b88095e23005722431fdb4959ffb33afc1ad0c7</x:v>
      </x:c>
      <x:c r="L108" s="26"/>
      <x:c r="M108" s="26" t="n">
        <x:v>1</x:v>
      </x:c>
      <x:c r="N108" s="26" t="str">
        <x:v>UNIQUE</x:v>
      </x:c>
      <x:c r="O108" s="26" t="str">
        <x:v>17</x:v>
      </x:c>
      <x:c r="P108" s="26" t="str">
        <x:v>17</x:v>
      </x:c>
      <x:c r="Q108" s="26" t="str">
        <x:v>Source equivalent — paired with published artifact</x:v>
      </x:c>
      <x:c r="R108" s="26" t="str">
        <x:v>RETAIN AS AUTHORING SOURCE / HISTORICAL EQUIVALENT</x:v>
      </x:c>
      <x:c r="S108" s="26" t="str">
        <x:v>00_Official_Baseline/v0.4/99_Source_Markdown/Cartridge_And_Cloud_Art_Bible_v0.3.md</x:v>
      </x:c>
      <x:c r="T108" s="26" t="str">
        <x:v>Historical path preserved verbatim; hash calculated from supplied pre-regeneration project.</x:v>
      </x:c>
    </x:row>
    <x:row r="109" ht="30" customHeight="1">
      <x:c r="A109" s="26" t="str">
        <x:v>H-0105</x:v>
      </x:c>
      <x:c r="B109" s="26" t="str">
        <x:v>Official Baseline</x:v>
      </x:c>
      <x:c r="C109" s="26" t="str">
        <x:v>v0.4</x:v>
      </x:c>
      <x:c r="D109" s="26" t="str">
        <x:v>v0.4</x:v>
      </x:c>
      <x:c r="E109" s="26" t="str">
        <x:v>99_Source_Markdown</x:v>
      </x:c>
      <x:c r="F109" s="26"/>
      <x:c r="G109" s="26" t="str">
        <x:v>Cartridge_And_Cloud_Audio_Bible_v0.3.md</x:v>
      </x:c>
      <x:c r="H109" s="26" t="str">
        <x:v>Markdown</x:v>
      </x:c>
      <x:c r="I109" s="26" t="str">
        <x:v>Authoring source</x:v>
      </x:c>
      <x:c r="J109" s="26" t="n">
        <x:v>4032</x:v>
      </x:c>
      <x:c r="K109" s="26" t="str">
        <x:v>9de246aa116d50e54ce46f23ea6e683d337ce3d58f06023af66c068fa6803f4a</x:v>
      </x:c>
      <x:c r="L109" s="26"/>
      <x:c r="M109" s="26" t="n">
        <x:v>1</x:v>
      </x:c>
      <x:c r="N109" s="26" t="str">
        <x:v>UNIQUE</x:v>
      </x:c>
      <x:c r="O109" s="26" t="str">
        <x:v>18</x:v>
      </x:c>
      <x:c r="P109" s="26" t="str">
        <x:v>18</x:v>
      </x:c>
      <x:c r="Q109" s="26" t="str">
        <x:v>Source equivalent — paired with published artifact</x:v>
      </x:c>
      <x:c r="R109" s="26" t="str">
        <x:v>RETAIN AS AUTHORING SOURCE / HISTORICAL EQUIVALENT</x:v>
      </x:c>
      <x:c r="S109" s="26" t="str">
        <x:v>00_Official_Baseline/v0.4/99_Source_Markdown/Cartridge_And_Cloud_Audio_Bible_v0.3.md</x:v>
      </x:c>
      <x:c r="T109" s="26" t="str">
        <x:v>Historical path preserved verbatim; hash calculated from supplied pre-regeneration project.</x:v>
      </x:c>
    </x:row>
    <x:row r="110" ht="30" customHeight="1">
      <x:c r="A110" s="26" t="str">
        <x:v>H-0106</x:v>
      </x:c>
      <x:c r="B110" s="26" t="str">
        <x:v>Official Baseline</x:v>
      </x:c>
      <x:c r="C110" s="26" t="str">
        <x:v>v0.4</x:v>
      </x:c>
      <x:c r="D110" s="26" t="str">
        <x:v>v0.4</x:v>
      </x:c>
      <x:c r="E110" s="26" t="str">
        <x:v>99_Source_Markdown</x:v>
      </x:c>
      <x:c r="F110" s="26"/>
      <x:c r="G110" s="26" t="str">
        <x:v>Cartridge_And_Cloud_Build_Versioning_Guide_v0.4.md</x:v>
      </x:c>
      <x:c r="H110" s="26" t="str">
        <x:v>Markdown</x:v>
      </x:c>
      <x:c r="I110" s="26" t="str">
        <x:v>Authoring source</x:v>
      </x:c>
      <x:c r="J110" s="26" t="n">
        <x:v>4723</x:v>
      </x:c>
      <x:c r="K110" s="26" t="str">
        <x:v>6ac0c7072b5ac4b1844d82daffe1ec5f241dba369145e5c62152e290b8309acd</x:v>
      </x:c>
      <x:c r="L110" s="26"/>
      <x:c r="M110" s="26" t="n">
        <x:v>1</x:v>
      </x:c>
      <x:c r="N110" s="26" t="str">
        <x:v>UNIQUE</x:v>
      </x:c>
      <x:c r="O110" s="26" t="str">
        <x:v>11</x:v>
      </x:c>
      <x:c r="P110" s="26" t="str">
        <x:v>11</x:v>
      </x:c>
      <x:c r="Q110" s="26" t="str">
        <x:v>Source equivalent — paired with published artifact</x:v>
      </x:c>
      <x:c r="R110" s="26" t="str">
        <x:v>RETAIN AS AUTHORING SOURCE / HISTORICAL EQUIVALENT</x:v>
      </x:c>
      <x:c r="S110" s="26" t="str">
        <x:v>00_Official_Baseline/v0.4/99_Source_Markdown/Cartridge_And_Cloud_Build_Versioning_Guide_v0.4.md</x:v>
      </x:c>
      <x:c r="T110" s="26" t="str">
        <x:v>Historical path preserved verbatim; hash calculated from supplied pre-regeneration project.</x:v>
      </x:c>
    </x:row>
    <x:row r="111" ht="30" customHeight="1">
      <x:c r="A111" s="26" t="str">
        <x:v>H-0107</x:v>
      </x:c>
      <x:c r="B111" s="26" t="str">
        <x:v>Official Baseline</x:v>
      </x:c>
      <x:c r="C111" s="26" t="str">
        <x:v>v0.4</x:v>
      </x:c>
      <x:c r="D111" s="26" t="str">
        <x:v>v0.4</x:v>
      </x:c>
      <x:c r="E111" s="26" t="str">
        <x:v>99_Source_Markdown</x:v>
      </x:c>
      <x:c r="F111" s="26"/>
      <x:c r="G111" s="26" t="str">
        <x:v>Cartridge_And_Cloud_CSharp_Coding_Standards_v0.3.md</x:v>
      </x:c>
      <x:c r="H111" s="26" t="str">
        <x:v>Markdown</x:v>
      </x:c>
      <x:c r="I111" s="26" t="str">
        <x:v>Authoring source</x:v>
      </x:c>
      <x:c r="J111" s="26" t="n">
        <x:v>4571</x:v>
      </x:c>
      <x:c r="K111" s="26" t="str">
        <x:v>d49fa93c9948fe7c66d049193e866b80a8aa58dea240d666941ceca171e38565</x:v>
      </x:c>
      <x:c r="L111" s="26"/>
      <x:c r="M111" s="26" t="n">
        <x:v>1</x:v>
      </x:c>
      <x:c r="N111" s="26" t="str">
        <x:v>UNIQUE</x:v>
      </x:c>
      <x:c r="O111" s="26" t="str">
        <x:v>09</x:v>
      </x:c>
      <x:c r="P111" s="26" t="str">
        <x:v>09</x:v>
      </x:c>
      <x:c r="Q111" s="26" t="str">
        <x:v>Source equivalent — paired with published artifact</x:v>
      </x:c>
      <x:c r="R111" s="26" t="str">
        <x:v>RETAIN AS AUTHORING SOURCE / HISTORICAL EQUIVALENT</x:v>
      </x:c>
      <x:c r="S111" s="26" t="str">
        <x:v>00_Official_Baseline/v0.4/99_Source_Markdown/Cartridge_And_Cloud_CSharp_Coding_Standards_v0.3.md</x:v>
      </x:c>
      <x:c r="T111" s="26" t="str">
        <x:v>Historical path preserved verbatim; hash calculated from supplied pre-regeneration project.</x:v>
      </x:c>
    </x:row>
    <x:row r="112" ht="30" customHeight="1">
      <x:c r="A112" s="26" t="str">
        <x:v>H-0108</x:v>
      </x:c>
      <x:c r="B112" s="26" t="str">
        <x:v>Official Baseline</x:v>
      </x:c>
      <x:c r="C112" s="26" t="str">
        <x:v>v0.4</x:v>
      </x:c>
      <x:c r="D112" s="26" t="str">
        <x:v>v0.4</x:v>
      </x:c>
      <x:c r="E112" s="26" t="str">
        <x:v>99_Source_Markdown</x:v>
      </x:c>
      <x:c r="F112" s="26"/>
      <x:c r="G112" s="26" t="str">
        <x:v>Cartridge_And_Cloud_Document_Migration_Plan_v0.1.md</x:v>
      </x:c>
      <x:c r="H112" s="26" t="str">
        <x:v>Markdown</x:v>
      </x:c>
      <x:c r="I112" s="26" t="str">
        <x:v>Migration record</x:v>
      </x:c>
      <x:c r="J112" s="26" t="n">
        <x:v>3744</x:v>
      </x:c>
      <x:c r="K112" s="26" t="str">
        <x:v>686e0e814121e526e3f2505fa867e4be9b2dbfe91e80d9cbce12fa59db4de37f</x:v>
      </x:c>
      <x:c r="L112" s="26"/>
      <x:c r="M112" s="26" t="n">
        <x:v>1</x:v>
      </x:c>
      <x:c r="N112" s="26" t="str">
        <x:v>UNIQUE</x:v>
      </x:c>
      <x:c r="O112" s="26" t="str">
        <x:v>32</x:v>
      </x:c>
      <x:c r="P112" s="26" t="str">
        <x:v>13, 14, 15, 16, 32</x:v>
      </x:c>
      <x:c r="Q112" s="26" t="str">
        <x:v>Source equivalent — paired with published artifact</x:v>
      </x:c>
      <x:c r="R112" s="26" t="str">
        <x:v>RETAIN AS AUTHORING SOURCE / HISTORICAL EQUIVALENT</x:v>
      </x:c>
      <x:c r="S112" s="26" t="str">
        <x:v>00_Official_Baseline/v0.4/99_Source_Markdown/Cartridge_And_Cloud_Document_Migration_Plan_v0.1.md</x:v>
      </x:c>
      <x:c r="T112" s="26" t="str">
        <x:v>Historical path preserved verbatim; hash calculated from supplied pre-regeneration project.</x:v>
      </x:c>
    </x:row>
    <x:row r="113" ht="30" customHeight="1">
      <x:c r="A113" s="26" t="str">
        <x:v>H-0109</x:v>
      </x:c>
      <x:c r="B113" s="26" t="str">
        <x:v>Official Baseline</x:v>
      </x:c>
      <x:c r="C113" s="26" t="str">
        <x:v>v0.4</x:v>
      </x:c>
      <x:c r="D113" s="26" t="str">
        <x:v>v0.4</x:v>
      </x:c>
      <x:c r="E113" s="26" t="str">
        <x:v>99_Source_Markdown</x:v>
      </x:c>
      <x:c r="F113" s="26"/>
      <x:c r="G113" s="26" t="str">
        <x:v>Cartridge_And_Cloud_Documentation_Validation_Report_v0.2.md</x:v>
      </x:c>
      <x:c r="H113" s="26" t="str">
        <x:v>Markdown</x:v>
      </x:c>
      <x:c r="I113" s="26" t="str">
        <x:v>Validation report</x:v>
      </x:c>
      <x:c r="J113" s="26" t="n">
        <x:v>2115</x:v>
      </x:c>
      <x:c r="K113" s="26" t="str">
        <x:v>cc60a6477abb733f9abfc2fab159b0a22d30dc134abe5e20ef6bdd4546b9c732</x:v>
      </x:c>
      <x:c r="L113" s="26" t="str">
        <x:v>DG-081</x:v>
      </x:c>
      <x:c r="M113" s="26" t="n">
        <x:v>2</x:v>
      </x:c>
      <x:c r="N113" s="26" t="str">
        <x:v>DUPLICATE GROUP REPRESENTATIVE</x:v>
      </x:c>
      <x:c r="O113" s="26" t="str">
        <x:v>16</x:v>
      </x:c>
      <x:c r="P113" s="26" t="str">
        <x:v>16</x:v>
      </x:c>
      <x:c r="Q113" s="26" t="str">
        <x:v>Source equivalent — paired with published artifact</x:v>
      </x:c>
      <x:c r="R113" s="26" t="str">
        <x:v>RETAIN AS AUTHORING SOURCE / HISTORICAL EQUIVALENT</x:v>
      </x:c>
      <x:c r="S113" s="26" t="str">
        <x:v>00_Official_Baseline/v0.4/99_Source_Markdown/Cartridge_And_Cloud_Documentation_Validation_Report_v0.2.md</x:v>
      </x:c>
      <x:c r="T113" s="26" t="str">
        <x:v>Historical path preserved verbatim; hash calculated from supplied pre-regeneration project.</x:v>
      </x:c>
    </x:row>
    <x:row r="114" ht="30" customHeight="1">
      <x:c r="A114" s="26" t="str">
        <x:v>H-0110</x:v>
      </x:c>
      <x:c r="B114" s="26" t="str">
        <x:v>Official Baseline</x:v>
      </x:c>
      <x:c r="C114" s="26" t="str">
        <x:v>v0.4</x:v>
      </x:c>
      <x:c r="D114" s="26" t="str">
        <x:v>v0.4</x:v>
      </x:c>
      <x:c r="E114" s="26" t="str">
        <x:v>99_Source_Markdown</x:v>
      </x:c>
      <x:c r="F114" s="26"/>
      <x:c r="G114" s="26" t="str">
        <x:v>Cartridge_And_Cloud_Economy_Balance_Specification_v0.1.md</x:v>
      </x:c>
      <x:c r="H114" s="26" t="str">
        <x:v>Markdown</x:v>
      </x:c>
      <x:c r="I114" s="26" t="str">
        <x:v>Authoring source</x:v>
      </x:c>
      <x:c r="J114" s="26" t="n">
        <x:v>30549</x:v>
      </x:c>
      <x:c r="K114" s="26" t="str">
        <x:v>f83578295bab346c04186abd7d5ca64c006565617f38e71b8c229605b717fabc</x:v>
      </x:c>
      <x:c r="L114" s="26"/>
      <x:c r="M114" s="26" t="n">
        <x:v>1</x:v>
      </x:c>
      <x:c r="N114" s="26" t="str">
        <x:v>UNIQUE</x:v>
      </x:c>
      <x:c r="O114" s="26" t="str">
        <x:v>20</x:v>
      </x:c>
      <x:c r="P114" s="26" t="str">
        <x:v>20</x:v>
      </x:c>
      <x:c r="Q114" s="26" t="str">
        <x:v>Source equivalent — paired with published artifact</x:v>
      </x:c>
      <x:c r="R114" s="26" t="str">
        <x:v>RETAIN AS AUTHORING SOURCE / HISTORICAL EQUIVALENT</x:v>
      </x:c>
      <x:c r="S114" s="26" t="str">
        <x:v>00_Official_Baseline/v0.4/99_Source_Markdown/Cartridge_And_Cloud_Economy_Balance_Specification_v0.1.md</x:v>
      </x:c>
      <x:c r="T114" s="26" t="str">
        <x:v>Historical path preserved verbatim; hash calculated from supplied pre-regeneration project.</x:v>
      </x:c>
    </x:row>
    <x:row r="115" ht="30" customHeight="1">
      <x:c r="A115" s="26" t="str">
        <x:v>H-0111</x:v>
      </x:c>
      <x:c r="B115" s="26" t="str">
        <x:v>Official Baseline</x:v>
      </x:c>
      <x:c r="C115" s="26" t="str">
        <x:v>v0.4</x:v>
      </x:c>
      <x:c r="D115" s="26" t="str">
        <x:v>v0.4</x:v>
      </x:c>
      <x:c r="E115" s="26" t="str">
        <x:v>99_Source_Markdown</x:v>
      </x:c>
      <x:c r="F115" s="26"/>
      <x:c r="G115" s="26" t="str">
        <x:v>Cartridge_And_Cloud_Enfoque_v0.6_PDF_Source.md</x:v>
      </x:c>
      <x:c r="H115" s="26" t="str">
        <x:v>Markdown</x:v>
      </x:c>
      <x:c r="I115" s="26" t="str">
        <x:v>Authoring source</x:v>
      </x:c>
      <x:c r="J115" s="26" t="n">
        <x:v>124432</x:v>
      </x:c>
      <x:c r="K115" s="26" t="str">
        <x:v>8e6ba5102d28b0aa36d1306b531407587510850d2a7ca50691389d53ce938548</x:v>
      </x:c>
      <x:c r="L115" s="26"/>
      <x:c r="M115" s="26" t="n">
        <x:v>1</x:v>
      </x:c>
      <x:c r="N115" s="26" t="str">
        <x:v>UNIQUE</x:v>
      </x:c>
      <x:c r="O115" s="26" t="str">
        <x:v>00</x:v>
      </x:c>
      <x:c r="P115" s="26" t="str">
        <x:v>00</x:v>
      </x:c>
      <x:c r="Q115" s="26" t="str">
        <x:v>Source equivalent — paired with published artifact</x:v>
      </x:c>
      <x:c r="R115" s="26" t="str">
        <x:v>RETAIN AS AUTHORING SOURCE / HISTORICAL EQUIVALENT</x:v>
      </x:c>
      <x:c r="S115" s="26" t="str">
        <x:v>00_Official_Baseline/v0.4/99_Source_Markdown/Cartridge_And_Cloud_Enfoque_v0.6_PDF_Source.md</x:v>
      </x:c>
      <x:c r="T115" s="26" t="str">
        <x:v>Historical path preserved verbatim; hash calculated from supplied pre-regeneration project.</x:v>
      </x:c>
    </x:row>
    <x:row r="116" ht="30" customHeight="1">
      <x:c r="A116" s="26" t="str">
        <x:v>H-0112</x:v>
      </x:c>
      <x:c r="B116" s="26" t="str">
        <x:v>Official Baseline</x:v>
      </x:c>
      <x:c r="C116" s="26" t="str">
        <x:v>v0.4</x:v>
      </x:c>
      <x:c r="D116" s="26" t="str">
        <x:v>v0.4</x:v>
      </x:c>
      <x:c r="E116" s="26" t="str">
        <x:v>99_Source_Markdown</x:v>
      </x:c>
      <x:c r="F116" s="26"/>
      <x:c r="G116" s="26" t="str">
        <x:v>Cartridge_And_Cloud_GDD_v0.4_PCSteam.md</x:v>
      </x:c>
      <x:c r="H116" s="26" t="str">
        <x:v>Markdown</x:v>
      </x:c>
      <x:c r="I116" s="26" t="str">
        <x:v>Authoring source</x:v>
      </x:c>
      <x:c r="J116" s="26" t="n">
        <x:v>114639</x:v>
      </x:c>
      <x:c r="K116" s="26" t="str">
        <x:v>88be82c3d3cfa4cb5965379e621b0aba522efa1217041cdc23a129ec4817485a</x:v>
      </x:c>
      <x:c r="L116" s="26"/>
      <x:c r="M116" s="26" t="n">
        <x:v>1</x:v>
      </x:c>
      <x:c r="N116" s="26" t="str">
        <x:v>UNIQUE</x:v>
      </x:c>
      <x:c r="O116" s="26" t="str">
        <x:v>01</x:v>
      </x:c>
      <x:c r="P116" s="26" t="str">
        <x:v>01</x:v>
      </x:c>
      <x:c r="Q116" s="26" t="str">
        <x:v>Source equivalent — paired with published artifact</x:v>
      </x:c>
      <x:c r="R116" s="26" t="str">
        <x:v>RETAIN AS AUTHORING SOURCE / HISTORICAL EQUIVALENT</x:v>
      </x:c>
      <x:c r="S116" s="26" t="str">
        <x:v>00_Official_Baseline/v0.4/99_Source_Markdown/Cartridge_And_Cloud_GDD_v0.4_PCSteam.md</x:v>
      </x:c>
      <x:c r="T116" s="26" t="str">
        <x:v>Historical path preserved verbatim; hash calculated from supplied pre-regeneration project.</x:v>
      </x:c>
    </x:row>
    <x:row r="117" ht="30" customHeight="1">
      <x:c r="A117" s="26" t="str">
        <x:v>H-0113</x:v>
      </x:c>
      <x:c r="B117" s="26" t="str">
        <x:v>Official Baseline</x:v>
      </x:c>
      <x:c r="C117" s="26" t="str">
        <x:v>v0.4</x:v>
      </x:c>
      <x:c r="D117" s="26" t="str">
        <x:v>v0.4</x:v>
      </x:c>
      <x:c r="E117" s="26" t="str">
        <x:v>99_Source_Markdown</x:v>
      </x:c>
      <x:c r="F117" s="26"/>
      <x:c r="G117" s="26" t="str">
        <x:v>Cartridge_And_Cloud_Initial_Content_Catalog_v0.1.md</x:v>
      </x:c>
      <x:c r="H117" s="26" t="str">
        <x:v>Markdown</x:v>
      </x:c>
      <x:c r="I117" s="26" t="str">
        <x:v>Authoring source</x:v>
      </x:c>
      <x:c r="J117" s="26" t="n">
        <x:v>23118</x:v>
      </x:c>
      <x:c r="K117" s="26" t="str">
        <x:v>2bb04a31e3a2661e17e00f23ac0becc61b2c198a36fce87cf9f7aa1c76f07103</x:v>
      </x:c>
      <x:c r="L117" s="26"/>
      <x:c r="M117" s="26" t="n">
        <x:v>1</x:v>
      </x:c>
      <x:c r="N117" s="26" t="str">
        <x:v>UNIQUE</x:v>
      </x:c>
      <x:c r="O117" s="26" t="str">
        <x:v>21</x:v>
      </x:c>
      <x:c r="P117" s="26" t="str">
        <x:v>21</x:v>
      </x:c>
      <x:c r="Q117" s="26" t="str">
        <x:v>Source equivalent — paired with published artifact</x:v>
      </x:c>
      <x:c r="R117" s="26" t="str">
        <x:v>RETAIN AS AUTHORING SOURCE / HISTORICAL EQUIVALENT</x:v>
      </x:c>
      <x:c r="S117" s="26" t="str">
        <x:v>00_Official_Baseline/v0.4/99_Source_Markdown/Cartridge_And_Cloud_Initial_Content_Catalog_v0.1.md</x:v>
      </x:c>
      <x:c r="T117" s="26" t="str">
        <x:v>Historical path preserved verbatim; hash calculated from supplied pre-regeneration project.</x:v>
      </x:c>
    </x:row>
    <x:row r="118" ht="30" customHeight="1">
      <x:c r="A118" s="26" t="str">
        <x:v>H-0114</x:v>
      </x:c>
      <x:c r="B118" s="26" t="str">
        <x:v>Official Baseline</x:v>
      </x:c>
      <x:c r="C118" s="26" t="str">
        <x:v>v0.4</x:v>
      </x:c>
      <x:c r="D118" s="26" t="str">
        <x:v>v0.4</x:v>
      </x:c>
      <x:c r="E118" s="26" t="str">
        <x:v>99_Source_Markdown</x:v>
      </x:c>
      <x:c r="F118" s="26"/>
      <x:c r="G118" s="26" t="str">
        <x:v>Cartridge_And_Cloud_Legal_Credits_Licenses_Register_v0.3.md</x:v>
      </x:c>
      <x:c r="H118" s="26" t="str">
        <x:v>Markdown</x:v>
      </x:c>
      <x:c r="I118" s="26" t="str">
        <x:v>Authoring source</x:v>
      </x:c>
      <x:c r="J118" s="26" t="n">
        <x:v>4077</x:v>
      </x:c>
      <x:c r="K118" s="26" t="str">
        <x:v>1a0e921f139b73179fe734eec452dcc3aa8c43860309390fe41ea1fb588fe81f</x:v>
      </x:c>
      <x:c r="L118" s="26"/>
      <x:c r="M118" s="26" t="n">
        <x:v>1</x:v>
      </x:c>
      <x:c r="N118" s="26" t="str">
        <x:v>UNIQUE</x:v>
      </x:c>
      <x:c r="O118" s="26" t="str">
        <x:v>23</x:v>
      </x:c>
      <x:c r="P118" s="26" t="str">
        <x:v>23</x:v>
      </x:c>
      <x:c r="Q118" s="26" t="str">
        <x:v>Source equivalent — paired with published artifact</x:v>
      </x:c>
      <x:c r="R118" s="26" t="str">
        <x:v>RETAIN AS AUTHORING SOURCE / HISTORICAL EQUIVALENT</x:v>
      </x:c>
      <x:c r="S118" s="26" t="str">
        <x:v>00_Official_Baseline/v0.4/99_Source_Markdown/Cartridge_And_Cloud_Legal_Credits_Licenses_Register_v0.3.md</x:v>
      </x:c>
      <x:c r="T118" s="26" t="str">
        <x:v>Historical path preserved verbatim; hash calculated from supplied pre-regeneration project.</x:v>
      </x:c>
    </x:row>
    <x:row r="119" ht="30" customHeight="1">
      <x:c r="A119" s="26" t="str">
        <x:v>H-0115</x:v>
      </x:c>
      <x:c r="B119" s="26" t="str">
        <x:v>Official Baseline</x:v>
      </x:c>
      <x:c r="C119" s="26" t="str">
        <x:v>v0.4</x:v>
      </x:c>
      <x:c r="D119" s="26" t="str">
        <x:v>v0.4</x:v>
      </x:c>
      <x:c r="E119" s="26" t="str">
        <x:v>99_Source_Markdown</x:v>
      </x:c>
      <x:c r="F119" s="26"/>
      <x:c r="G119" s="26" t="str">
        <x:v>Cartridge_And_Cloud_Localization_Plan_v0.3.md</x:v>
      </x:c>
      <x:c r="H119" s="26" t="str">
        <x:v>Markdown</x:v>
      </x:c>
      <x:c r="I119" s="26" t="str">
        <x:v>Authoring source</x:v>
      </x:c>
      <x:c r="J119" s="26" t="n">
        <x:v>3911</x:v>
      </x:c>
      <x:c r="K119" s="26" t="str">
        <x:v>2158be2c46ec697e617419a9192bbaa8a0dd4435b5c650fca9295921b958cb3a</x:v>
      </x:c>
      <x:c r="L119" s="26"/>
      <x:c r="M119" s="26" t="n">
        <x:v>1</x:v>
      </x:c>
      <x:c r="N119" s="26" t="str">
        <x:v>UNIQUE</x:v>
      </x:c>
      <x:c r="O119" s="26" t="str">
        <x:v>22</x:v>
      </x:c>
      <x:c r="P119" s="26" t="str">
        <x:v>22</x:v>
      </x:c>
      <x:c r="Q119" s="26" t="str">
        <x:v>Source equivalent — paired with published artifact</x:v>
      </x:c>
      <x:c r="R119" s="26" t="str">
        <x:v>RETAIN AS AUTHORING SOURCE / HISTORICAL EQUIVALENT</x:v>
      </x:c>
      <x:c r="S119" s="26" t="str">
        <x:v>00_Official_Baseline/v0.4/99_Source_Markdown/Cartridge_And_Cloud_Localization_Plan_v0.3.md</x:v>
      </x:c>
      <x:c r="T119" s="26" t="str">
        <x:v>Historical path preserved verbatim; hash calculated from supplied pre-regeneration project.</x:v>
      </x:c>
    </x:row>
    <x:row r="120" ht="30" customHeight="1">
      <x:c r="A120" s="26" t="str">
        <x:v>H-0116</x:v>
      </x:c>
      <x:c r="B120" s="26" t="str">
        <x:v>Official Baseline</x:v>
      </x:c>
      <x:c r="C120" s="26" t="str">
        <x:v>v0.4</x:v>
      </x:c>
      <x:c r="D120" s="26" t="str">
        <x:v>v0.4</x:v>
      </x:c>
      <x:c r="E120" s="26" t="str">
        <x:v>99_Source_Markdown</x:v>
      </x:c>
      <x:c r="F120" s="26"/>
      <x:c r="G120" s="26" t="str">
        <x:v>Cartridge_And_Cloud_Marketing_Plan_v0.3.md</x:v>
      </x:c>
      <x:c r="H120" s="26" t="str">
        <x:v>Markdown</x:v>
      </x:c>
      <x:c r="I120" s="26" t="str">
        <x:v>Authoring source</x:v>
      </x:c>
      <x:c r="J120" s="26" t="n">
        <x:v>8346</x:v>
      </x:c>
      <x:c r="K120" s="26" t="str">
        <x:v>c38c0faa88c5d3625e8814d5ec02eebb39d321819624b8dd0539d13f364d26e7</x:v>
      </x:c>
      <x:c r="L120" s="26"/>
      <x:c r="M120" s="26" t="n">
        <x:v>1</x:v>
      </x:c>
      <x:c r="N120" s="26" t="str">
        <x:v>UNIQUE</x:v>
      </x:c>
      <x:c r="O120" s="26" t="str">
        <x:v>28</x:v>
      </x:c>
      <x:c r="P120" s="26" t="str">
        <x:v>28</x:v>
      </x:c>
      <x:c r="Q120" s="26" t="str">
        <x:v>Source equivalent — paired with published artifact</x:v>
      </x:c>
      <x:c r="R120" s="26" t="str">
        <x:v>RETAIN AS AUTHORING SOURCE / HISTORICAL EQUIVALENT</x:v>
      </x:c>
      <x:c r="S120" s="26" t="str">
        <x:v>00_Official_Baseline/v0.4/99_Source_Markdown/Cartridge_And_Cloud_Marketing_Plan_v0.3.md</x:v>
      </x:c>
      <x:c r="T120" s="26" t="str">
        <x:v>Historical path preserved verbatim; hash calculated from supplied pre-regeneration project.</x:v>
      </x:c>
    </x:row>
    <x:row r="121" ht="30" customHeight="1">
      <x:c r="A121" s="26" t="str">
        <x:v>H-0117</x:v>
      </x:c>
      <x:c r="B121" s="26" t="str">
        <x:v>Official Baseline</x:v>
      </x:c>
      <x:c r="C121" s="26" t="str">
        <x:v>v0.4</x:v>
      </x:c>
      <x:c r="D121" s="26" t="str">
        <x:v>v0.4</x:v>
      </x:c>
      <x:c r="E121" s="26" t="str">
        <x:v>99_Source_Markdown</x:v>
      </x:c>
      <x:c r="F121" s="26"/>
      <x:c r="G121" s="26" t="str">
        <x:v>Cartridge_And_Cloud_Modelo_de_Datos_v0.3.md</x:v>
      </x:c>
      <x:c r="H121" s="26" t="str">
        <x:v>Markdown</x:v>
      </x:c>
      <x:c r="I121" s="26" t="str">
        <x:v>Authoring source</x:v>
      </x:c>
      <x:c r="J121" s="26" t="n">
        <x:v>71681</x:v>
      </x:c>
      <x:c r="K121" s="26" t="str">
        <x:v>3c722995fa9423f0de31cf9a45cf527574c5f77eb13f2788db0b84585baf8a0b</x:v>
      </x:c>
      <x:c r="L121" s="26"/>
      <x:c r="M121" s="26" t="n">
        <x:v>1</x:v>
      </x:c>
      <x:c r="N121" s="26" t="str">
        <x:v>UNIQUE</x:v>
      </x:c>
      <x:c r="O121" s="26" t="str">
        <x:v>04</x:v>
      </x:c>
      <x:c r="P121" s="26" t="str">
        <x:v>04</x:v>
      </x:c>
      <x:c r="Q121" s="26" t="str">
        <x:v>Source equivalent — paired with published artifact</x:v>
      </x:c>
      <x:c r="R121" s="26" t="str">
        <x:v>RETAIN AS AUTHORING SOURCE / HISTORICAL EQUIVALENT</x:v>
      </x:c>
      <x:c r="S121" s="26" t="str">
        <x:v>00_Official_Baseline/v0.4/99_Source_Markdown/Cartridge_And_Cloud_Modelo_de_Datos_v0.3.md</x:v>
      </x:c>
      <x:c r="T121" s="26" t="str">
        <x:v>Historical path preserved verbatim; hash calculated from supplied pre-regeneration project.</x:v>
      </x:c>
    </x:row>
    <x:row r="122" ht="30" customHeight="1">
      <x:c r="A122" s="26" t="str">
        <x:v>H-0118</x:v>
      </x:c>
      <x:c r="B122" s="26" t="str">
        <x:v>Official Baseline</x:v>
      </x:c>
      <x:c r="C122" s="26" t="str">
        <x:v>v0.4</x:v>
      </x:c>
      <x:c r="D122" s="26" t="str">
        <x:v>v0.4</x:v>
      </x:c>
      <x:c r="E122" s="26" t="str">
        <x:v>99_Source_Markdown</x:v>
      </x:c>
      <x:c r="F122" s="26"/>
      <x:c r="G122" s="26" t="str">
        <x:v>Cartridge_And_Cloud_Package_Manifest_v0.2.md</x:v>
      </x:c>
      <x:c r="H122" s="26" t="str">
        <x:v>Markdown</x:v>
      </x:c>
      <x:c r="I122" s="26" t="str">
        <x:v>Package manifest</x:v>
      </x:c>
      <x:c r="J122" s="26" t="n">
        <x:v>2456</x:v>
      </x:c>
      <x:c r="K122" s="26" t="str">
        <x:v>ccf1ff8da3ecfb69e1ee93a902e1d13d706d5e7ada9ac4a185515c8f93cd2b7a</x:v>
      </x:c>
      <x:c r="L122" s="26" t="str">
        <x:v>DG-082</x:v>
      </x:c>
      <x:c r="M122" s="26" t="n">
        <x:v>2</x:v>
      </x:c>
      <x:c r="N122" s="26" t="str">
        <x:v>DUPLICATE GROUP REPRESENTATIVE</x:v>
      </x:c>
      <x:c r="O122" s="26" t="str">
        <x:v>32</x:v>
      </x:c>
      <x:c r="P122" s="26" t="str">
        <x:v>13, 14, 15, 16, 32</x:v>
      </x:c>
      <x:c r="Q122" s="26" t="str">
        <x:v>Source equivalent — paired with published artifact</x:v>
      </x:c>
      <x:c r="R122" s="26" t="str">
        <x:v>RETAIN AS AUTHORING SOURCE / HISTORICAL EQUIVALENT</x:v>
      </x:c>
      <x:c r="S122" s="26" t="str">
        <x:v>00_Official_Baseline/v0.4/99_Source_Markdown/Cartridge_And_Cloud_Package_Manifest_v0.2.md</x:v>
      </x:c>
      <x:c r="T122" s="26" t="str">
        <x:v>Historical path preserved verbatim; hash calculated from supplied pre-regeneration project.</x:v>
      </x:c>
    </x:row>
    <x:row r="123" ht="30" customHeight="1">
      <x:c r="A123" s="26" t="str">
        <x:v>H-0119</x:v>
      </x:c>
      <x:c r="B123" s="26" t="str">
        <x:v>Official Baseline</x:v>
      </x:c>
      <x:c r="C123" s="26" t="str">
        <x:v>v0.4</x:v>
      </x:c>
      <x:c r="D123" s="26" t="str">
        <x:v>v0.4</x:v>
      </x:c>
      <x:c r="E123" s="26" t="str">
        <x:v>99_Source_Markdown</x:v>
      </x:c>
      <x:c r="F123" s="26"/>
      <x:c r="G123" s="26" t="str">
        <x:v>Cartridge_And_Cloud_Production_Roadmap_Sprint_Plan_v0.4.md</x:v>
      </x:c>
      <x:c r="H123" s="26" t="str">
        <x:v>Markdown</x:v>
      </x:c>
      <x:c r="I123" s="26" t="str">
        <x:v>Authoring source</x:v>
      </x:c>
      <x:c r="J123" s="26" t="n">
        <x:v>6571</x:v>
      </x:c>
      <x:c r="K123" s="26" t="str">
        <x:v>e9976daa630e8bc1460831eea0c3d280d24f38d3907ef3dd97baec6e35661404</x:v>
      </x:c>
      <x:c r="L123" s="26"/>
      <x:c r="M123" s="26" t="n">
        <x:v>1</x:v>
      </x:c>
      <x:c r="N123" s="26" t="str">
        <x:v>UNIQUE</x:v>
      </x:c>
      <x:c r="O123" s="26" t="str">
        <x:v>06</x:v>
      </x:c>
      <x:c r="P123" s="26" t="str">
        <x:v>06</x:v>
      </x:c>
      <x:c r="Q123" s="26" t="str">
        <x:v>Source equivalent — paired with published artifact</x:v>
      </x:c>
      <x:c r="R123" s="26" t="str">
        <x:v>RETAIN AS AUTHORING SOURCE / HISTORICAL EQUIVALENT</x:v>
      </x:c>
      <x:c r="S123" s="26" t="str">
        <x:v>00_Official_Baseline/v0.4/99_Source_Markdown/Cartridge_And_Cloud_Production_Roadmap_Sprint_Plan_v0.4.md</x:v>
      </x:c>
      <x:c r="T123" s="26" t="str">
        <x:v>Historical path preserved verbatim; hash calculated from supplied pre-regeneration project.</x:v>
      </x:c>
    </x:row>
    <x:row r="124" ht="30" customHeight="1">
      <x:c r="A124" s="26" t="str">
        <x:v>H-0120</x:v>
      </x:c>
      <x:c r="B124" s="26" t="str">
        <x:v>Official Baseline</x:v>
      </x:c>
      <x:c r="C124" s="26" t="str">
        <x:v>v0.4</x:v>
      </x:c>
      <x:c r="D124" s="26" t="str">
        <x:v>v0.4</x:v>
      </x:c>
      <x:c r="E124" s="26" t="str">
        <x:v>99_Source_Markdown</x:v>
      </x:c>
      <x:c r="F124" s="26"/>
      <x:c r="G124" s="26" t="str">
        <x:v>Cartridge_And_Cloud_Project_Binder_Indice_Maestro_v0.4.md</x:v>
      </x:c>
      <x:c r="H124" s="26" t="str">
        <x:v>Markdown</x:v>
      </x:c>
      <x:c r="I124" s="26" t="str">
        <x:v>Authoring source</x:v>
      </x:c>
      <x:c r="J124" s="26" t="n">
        <x:v>2334</x:v>
      </x:c>
      <x:c r="K124" s="26" t="str">
        <x:v>02d4f9ad4e668399497cec77be435926531690b2e1636a0c288b15156b61c4fc</x:v>
      </x:c>
      <x:c r="L124" s="26"/>
      <x:c r="M124" s="26" t="n">
        <x:v>1</x:v>
      </x:c>
      <x:c r="N124" s="26" t="str">
        <x:v>UNIQUE</x:v>
      </x:c>
      <x:c r="O124" s="26" t="str">
        <x:v>14</x:v>
      </x:c>
      <x:c r="P124" s="26" t="str">
        <x:v>14</x:v>
      </x:c>
      <x:c r="Q124" s="26" t="str">
        <x:v>Source equivalent — paired with published artifact</x:v>
      </x:c>
      <x:c r="R124" s="26" t="str">
        <x:v>RETAIN AS AUTHORING SOURCE / HISTORICAL EQUIVALENT</x:v>
      </x:c>
      <x:c r="S124" s="26" t="str">
        <x:v>00_Official_Baseline/v0.4/99_Source_Markdown/Cartridge_And_Cloud_Project_Binder_Indice_Maestro_v0.4.md</x:v>
      </x:c>
      <x:c r="T124" s="26" t="str">
        <x:v>Historical path preserved verbatim; hash calculated from supplied pre-regeneration project.</x:v>
      </x:c>
    </x:row>
    <x:row r="125" ht="30" customHeight="1">
      <x:c r="A125" s="26" t="str">
        <x:v>H-0121</x:v>
      </x:c>
      <x:c r="B125" s="26" t="str">
        <x:v>Official Baseline</x:v>
      </x:c>
      <x:c r="C125" s="26" t="str">
        <x:v>v0.4</x:v>
      </x:c>
      <x:c r="D125" s="26" t="str">
        <x:v>v0.4</x:v>
      </x:c>
      <x:c r="E125" s="26" t="str">
        <x:v>99_Source_Markdown</x:v>
      </x:c>
      <x:c r="F125" s="26"/>
      <x:c r="G125" s="26" t="str">
        <x:v>Cartridge_And_Cloud_QA_Testing_Plan_v0.4.md</x:v>
      </x:c>
      <x:c r="H125" s="26" t="str">
        <x:v>Markdown</x:v>
      </x:c>
      <x:c r="I125" s="26" t="str">
        <x:v>Authoring source</x:v>
      </x:c>
      <x:c r="J125" s="26" t="n">
        <x:v>10116</x:v>
      </x:c>
      <x:c r="K125" s="26" t="str">
        <x:v>623c83bd390d3fb1e7cb09e554f6a29f63db662c7ca3e296c65938c65969a724</x:v>
      </x:c>
      <x:c r="L125" s="26"/>
      <x:c r="M125" s="26" t="n">
        <x:v>1</x:v>
      </x:c>
      <x:c r="N125" s="26" t="str">
        <x:v>UNIQUE</x:v>
      </x:c>
      <x:c r="O125" s="26" t="str">
        <x:v>07</x:v>
      </x:c>
      <x:c r="P125" s="26" t="str">
        <x:v>07</x:v>
      </x:c>
      <x:c r="Q125" s="26" t="str">
        <x:v>Source equivalent — paired with published artifact</x:v>
      </x:c>
      <x:c r="R125" s="26" t="str">
        <x:v>RETAIN AS AUTHORING SOURCE / HISTORICAL EQUIVALENT</x:v>
      </x:c>
      <x:c r="S125" s="26" t="str">
        <x:v>00_Official_Baseline/v0.4/99_Source_Markdown/Cartridge_And_Cloud_QA_Testing_Plan_v0.4.md</x:v>
      </x:c>
      <x:c r="T125" s="26" t="str">
        <x:v>Historical path preserved verbatim; hash calculated from supplied pre-regeneration project.</x:v>
      </x:c>
    </x:row>
    <x:row r="126" ht="30" customHeight="1">
      <x:c r="A126" s="26" t="str">
        <x:v>H-0122</x:v>
      </x:c>
      <x:c r="B126" s="26" t="str">
        <x:v>Official Baseline</x:v>
      </x:c>
      <x:c r="C126" s="26" t="str">
        <x:v>v0.4</x:v>
      </x:c>
      <x:c r="D126" s="26" t="str">
        <x:v>v0.4</x:v>
      </x:c>
      <x:c r="E126" s="26" t="str">
        <x:v>99_Source_Markdown</x:v>
      </x:c>
      <x:c r="F126" s="26"/>
      <x:c r="G126" s="26" t="str">
        <x:v>Cartridge_And_Cloud_Steam_Publishing_Plan_v0.3.md</x:v>
      </x:c>
      <x:c r="H126" s="26" t="str">
        <x:v>Markdown</x:v>
      </x:c>
      <x:c r="I126" s="26" t="str">
        <x:v>Authoring source</x:v>
      </x:c>
      <x:c r="J126" s="26" t="n">
        <x:v>4028</x:v>
      </x:c>
      <x:c r="K126" s="26" t="str">
        <x:v>56979c2830951e4a82a7d01793cebe9a930df4a773245de2b7489d0e73cb0777</x:v>
      </x:c>
      <x:c r="L126" s="26"/>
      <x:c r="M126" s="26" t="n">
        <x:v>1</x:v>
      </x:c>
      <x:c r="N126" s="26" t="str">
        <x:v>UNIQUE</x:v>
      </x:c>
      <x:c r="O126" s="26" t="str">
        <x:v>24</x:v>
      </x:c>
      <x:c r="P126" s="26" t="str">
        <x:v>24</x:v>
      </x:c>
      <x:c r="Q126" s="26" t="str">
        <x:v>Source equivalent — paired with published artifact</x:v>
      </x:c>
      <x:c r="R126" s="26" t="str">
        <x:v>RETAIN AS AUTHORING SOURCE / HISTORICAL EQUIVALENT</x:v>
      </x:c>
      <x:c r="S126" s="26" t="str">
        <x:v>00_Official_Baseline/v0.4/99_Source_Markdown/Cartridge_And_Cloud_Steam_Publishing_Plan_v0.3.md</x:v>
      </x:c>
      <x:c r="T126" s="26" t="str">
        <x:v>Historical path preserved verbatim; hash calculated from supplied pre-regeneration project.</x:v>
      </x:c>
    </x:row>
    <x:row r="127" ht="30" customHeight="1">
      <x:c r="A127" s="26" t="str">
        <x:v>H-0123</x:v>
      </x:c>
      <x:c r="B127" s="26" t="str">
        <x:v>Official Baseline</x:v>
      </x:c>
      <x:c r="C127" s="26" t="str">
        <x:v>v0.4</x:v>
      </x:c>
      <x:c r="D127" s="26" t="str">
        <x:v>v0.4</x:v>
      </x:c>
      <x:c r="E127" s="26" t="str">
        <x:v>99_Source_Markdown</x:v>
      </x:c>
      <x:c r="F127" s="26"/>
      <x:c r="G127" s="26" t="str">
        <x:v>Cartridge_And_Cloud_TDD_v0.4_Technical_Design_Document.md</x:v>
      </x:c>
      <x:c r="H127" s="26" t="str">
        <x:v>Markdown</x:v>
      </x:c>
      <x:c r="I127" s="26" t="str">
        <x:v>Authoring source</x:v>
      </x:c>
      <x:c r="J127" s="26" t="n">
        <x:v>19073</x:v>
      </x:c>
      <x:c r="K127" s="26" t="str">
        <x:v>bd2237fa0323821c4d4717d89940f005bbce2c2232ac91a4dd72f54301fb879d</x:v>
      </x:c>
      <x:c r="L127" s="26"/>
      <x:c r="M127" s="26" t="n">
        <x:v>1</x:v>
      </x:c>
      <x:c r="N127" s="26" t="str">
        <x:v>UNIQUE</x:v>
      </x:c>
      <x:c r="O127" s="26" t="str">
        <x:v>03</x:v>
      </x:c>
      <x:c r="P127" s="26" t="str">
        <x:v>03</x:v>
      </x:c>
      <x:c r="Q127" s="26" t="str">
        <x:v>Source equivalent — paired with published artifact</x:v>
      </x:c>
      <x:c r="R127" s="26" t="str">
        <x:v>RETAIN AS AUTHORING SOURCE / HISTORICAL EQUIVALENT</x:v>
      </x:c>
      <x:c r="S127" s="26" t="str">
        <x:v>00_Official_Baseline/v0.4/99_Source_Markdown/Cartridge_And_Cloud_TDD_v0.4_Technical_Design_Document.md</x:v>
      </x:c>
      <x:c r="T127" s="26" t="str">
        <x:v>Historical path preserved verbatim; hash calculated from supplied pre-regeneration project.</x:v>
      </x:c>
    </x:row>
    <x:row r="128" ht="30" customHeight="1">
      <x:c r="A128" s="26" t="str">
        <x:v>H-0124</x:v>
      </x:c>
      <x:c r="B128" s="26" t="str">
        <x:v>Official Baseline</x:v>
      </x:c>
      <x:c r="C128" s="26" t="str">
        <x:v>v0.4</x:v>
      </x:c>
      <x:c r="D128" s="26" t="str">
        <x:v>v0.4</x:v>
      </x:c>
      <x:c r="E128" s="26" t="str">
        <x:v>99_Source_Markdown</x:v>
      </x:c>
      <x:c r="F128" s="26"/>
      <x:c r="G128" s="26" t="str">
        <x:v>Cartridge_And_Cloud_UI_Style_Guide_v0.3.md</x:v>
      </x:c>
      <x:c r="H128" s="26" t="str">
        <x:v>Markdown</x:v>
      </x:c>
      <x:c r="I128" s="26" t="str">
        <x:v>Authoring source</x:v>
      </x:c>
      <x:c r="J128" s="26" t="n">
        <x:v>47960</x:v>
      </x:c>
      <x:c r="K128" s="26" t="str">
        <x:v>8e0d241b40ecc46860cc6c51036f436d85ecfeca0cecfc721897b52396b7fca2</x:v>
      </x:c>
      <x:c r="L128" s="26"/>
      <x:c r="M128" s="26" t="n">
        <x:v>1</x:v>
      </x:c>
      <x:c r="N128" s="26" t="str">
        <x:v>UNIQUE</x:v>
      </x:c>
      <x:c r="O128" s="26" t="str">
        <x:v>19</x:v>
      </x:c>
      <x:c r="P128" s="26" t="str">
        <x:v>19</x:v>
      </x:c>
      <x:c r="Q128" s="26" t="str">
        <x:v>Source equivalent — paired with published artifact</x:v>
      </x:c>
      <x:c r="R128" s="26" t="str">
        <x:v>RETAIN AS AUTHORING SOURCE / HISTORICAL EQUIVALENT</x:v>
      </x:c>
      <x:c r="S128" s="26" t="str">
        <x:v>00_Official_Baseline/v0.4/99_Source_Markdown/Cartridge_And_Cloud_UI_Style_Guide_v0.3.md</x:v>
      </x:c>
      <x:c r="T128" s="26" t="str">
        <x:v>Historical path preserved verbatim; hash calculated from supplied pre-regeneration project.</x:v>
      </x:c>
    </x:row>
    <x:row r="129" ht="30" customHeight="1">
      <x:c r="A129" s="26" t="str">
        <x:v>H-0125</x:v>
      </x:c>
      <x:c r="B129" s="26" t="str">
        <x:v>Official Baseline</x:v>
      </x:c>
      <x:c r="C129" s="26" t="str">
        <x:v>v0.4</x:v>
      </x:c>
      <x:c r="D129" s="26" t="str">
        <x:v>v0.4</x:v>
      </x:c>
      <x:c r="E129" s="26" t="str">
        <x:v>99_Source_Markdown</x:v>
      </x:c>
      <x:c r="F129" s="26"/>
      <x:c r="G129" s="26" t="str">
        <x:v>Cartridge_And_Cloud_Unity_Project_Setup_Guide_v0.4.md</x:v>
      </x:c>
      <x:c r="H129" s="26" t="str">
        <x:v>Markdown</x:v>
      </x:c>
      <x:c r="I129" s="26" t="str">
        <x:v>Authoring source</x:v>
      </x:c>
      <x:c r="J129" s="26" t="n">
        <x:v>5564</x:v>
      </x:c>
      <x:c r="K129" s="26" t="str">
        <x:v>0feb637a512b120a1515127467a5a9af0e97758c5a2f93627b6a4f3165b63cf8</x:v>
      </x:c>
      <x:c r="L129" s="26"/>
      <x:c r="M129" s="26" t="n">
        <x:v>1</x:v>
      </x:c>
      <x:c r="N129" s="26" t="str">
        <x:v>UNIQUE</x:v>
      </x:c>
      <x:c r="O129" s="26" t="str">
        <x:v>10</x:v>
      </x:c>
      <x:c r="P129" s="26" t="str">
        <x:v>10</x:v>
      </x:c>
      <x:c r="Q129" s="26" t="str">
        <x:v>Source equivalent — paired with published artifact</x:v>
      </x:c>
      <x:c r="R129" s="26" t="str">
        <x:v>RETAIN AS AUTHORING SOURCE / HISTORICAL EQUIVALENT</x:v>
      </x:c>
      <x:c r="S129" s="26" t="str">
        <x:v>00_Official_Baseline/v0.4/99_Source_Markdown/Cartridge_And_Cloud_Unity_Project_Setup_Guide_v0.4.md</x:v>
      </x:c>
      <x:c r="T129" s="26" t="str">
        <x:v>Historical path preserved verbatim; hash calculated from supplied pre-regeneration project.</x:v>
      </x:c>
    </x:row>
    <x:row r="130" ht="30" customHeight="1">
      <x:c r="A130" s="26" t="str">
        <x:v>H-0126</x:v>
      </x:c>
      <x:c r="B130" s="26" t="str">
        <x:v>Official Baseline</x:v>
      </x:c>
      <x:c r="C130" s="26" t="str">
        <x:v>v0.4</x:v>
      </x:c>
      <x:c r="D130" s="26" t="str">
        <x:v>v0.4</x:v>
      </x:c>
      <x:c r="E130" s="26" t="str">
        <x:v>99_Source_Markdown</x:v>
      </x:c>
      <x:c r="F130" s="26"/>
      <x:c r="G130" s="26" t="str">
        <x:v>Cartridge_And_Cloud_UX_Flow_v0.3.md</x:v>
      </x:c>
      <x:c r="H130" s="26" t="str">
        <x:v>Markdown</x:v>
      </x:c>
      <x:c r="I130" s="26" t="str">
        <x:v>Authoring source</x:v>
      </x:c>
      <x:c r="J130" s="26" t="n">
        <x:v>87568</x:v>
      </x:c>
      <x:c r="K130" s="26" t="str">
        <x:v>2f7e2355cb0e994394e536f8de514ba499aca16a2a81b8e6be1867a025842a9d</x:v>
      </x:c>
      <x:c r="L130" s="26"/>
      <x:c r="M130" s="26" t="n">
        <x:v>1</x:v>
      </x:c>
      <x:c r="N130" s="26" t="str">
        <x:v>UNIQUE</x:v>
      </x:c>
      <x:c r="O130" s="26" t="str">
        <x:v>05</x:v>
      </x:c>
      <x:c r="P130" s="26" t="str">
        <x:v>05</x:v>
      </x:c>
      <x:c r="Q130" s="26" t="str">
        <x:v>Source equivalent — paired with published artifact</x:v>
      </x:c>
      <x:c r="R130" s="26" t="str">
        <x:v>RETAIN AS AUTHORING SOURCE / HISTORICAL EQUIVALENT</x:v>
      </x:c>
      <x:c r="S130" s="26" t="str">
        <x:v>00_Official_Baseline/v0.4/99_Source_Markdown/Cartridge_And_Cloud_UX_Flow_v0.3.md</x:v>
      </x:c>
      <x:c r="T130" s="26" t="str">
        <x:v>Historical path preserved verbatim; hash calculated from supplied pre-regeneration project.</x:v>
      </x:c>
    </x:row>
    <x:row r="131" ht="30" customHeight="1">
      <x:c r="A131" s="26" t="str">
        <x:v>H-0127</x:v>
      </x:c>
      <x:c r="B131" s="26" t="str">
        <x:v>Official Baseline</x:v>
      </x:c>
      <x:c r="C131" s="26" t="str">
        <x:v>v0.4</x:v>
      </x:c>
      <x:c r="D131" s="26" t="str">
        <x:v>v0.4</x:v>
      </x:c>
      <x:c r="E131" s="26" t="str">
        <x:v>99_Source_Markdown</x:v>
      </x:c>
      <x:c r="F131" s="26"/>
      <x:c r="G131" s="26" t="str">
        <x:v>Cartridge_And_Cloud_Vertical_Slice_Specification_v0.2.md</x:v>
      </x:c>
      <x:c r="H131" s="26" t="str">
        <x:v>Markdown</x:v>
      </x:c>
      <x:c r="I131" s="26" t="str">
        <x:v>Authoring source</x:v>
      </x:c>
      <x:c r="J131" s="26" t="n">
        <x:v>9317</x:v>
      </x:c>
      <x:c r="K131" s="26" t="str">
        <x:v>884464e9599f0f1b66fdeff7a3c6422bf9d37b883817f480e0429ebdcd126b9d</x:v>
      </x:c>
      <x:c r="L131" s="26"/>
      <x:c r="M131" s="26" t="n">
        <x:v>1</x:v>
      </x:c>
      <x:c r="N131" s="26" t="str">
        <x:v>UNIQUE</x:v>
      </x:c>
      <x:c r="O131" s="26" t="str">
        <x:v>02</x:v>
      </x:c>
      <x:c r="P131" s="26" t="str">
        <x:v>02</x:v>
      </x:c>
      <x:c r="Q131" s="26" t="str">
        <x:v>Source equivalent — paired with published artifact</x:v>
      </x:c>
      <x:c r="R131" s="26" t="str">
        <x:v>RETAIN AS AUTHORING SOURCE / HISTORICAL EQUIVALENT</x:v>
      </x:c>
      <x:c r="S131" s="26" t="str">
        <x:v>00_Official_Baseline/v0.4/99_Source_Markdown/Cartridge_And_Cloud_Vertical_Slice_Specification_v0.2.md</x:v>
      </x:c>
      <x:c r="T131" s="26" t="str">
        <x:v>Historical path preserved verbatim; hash calculated from supplied pre-regeneration project.</x:v>
      </x:c>
    </x:row>
    <x:row r="132" ht="30" customHeight="1">
      <x:c r="A132" s="26" t="str">
        <x:v>H-0128</x:v>
      </x:c>
      <x:c r="B132" s="26" t="str">
        <x:v>Official Baseline</x:v>
      </x:c>
      <x:c r="C132" s="26" t="str">
        <x:v>v0.4</x:v>
      </x:c>
      <x:c r="D132" s="26" t="str">
        <x:v>v0.4</x:v>
      </x:c>
      <x:c r="E132" s="26" t="str">
        <x:v>99_Source_Markdown</x:v>
      </x:c>
      <x:c r="F132" s="26"/>
      <x:c r="G132" s="26" t="str">
        <x:v>cc_style.css</x:v>
      </x:c>
      <x:c r="H132" s="26" t="str">
        <x:v>CSS</x:v>
      </x:c>
      <x:c r="I132" s="26" t="str">
        <x:v>Authoring source</x:v>
      </x:c>
      <x:c r="J132" s="26" t="n">
        <x:v>2876</x:v>
      </x:c>
      <x:c r="K132" s="26" t="str">
        <x:v>63b2ea56fabf4c542eea9095cd50a0d8f8a56ac129b26178b429f3bbe5135a3b</x:v>
      </x:c>
      <x:c r="L132" s="26"/>
      <x:c r="M132" s="26" t="n">
        <x:v>1</x:v>
      </x:c>
      <x:c r="N132" s="26" t="str">
        <x:v>UNIQUE</x:v>
      </x:c>
      <x:c r="O132" s="26"/>
      <x:c r="P132" s="26"/>
      <x:c r="Q132" s="26" t="str">
        <x:v>Source equivalent — paired with published artifact</x:v>
      </x:c>
      <x:c r="R132" s="26" t="str">
        <x:v>RETAIN AS AUTHORING SOURCE / HISTORICAL EQUIVALENT</x:v>
      </x:c>
      <x:c r="S132" s="26" t="str">
        <x:v>00_Official_Baseline/v0.4/99_Source_Markdown/cc_style.css</x:v>
      </x:c>
      <x:c r="T132" s="26" t="str">
        <x:v>Historical path preserved verbatim; hash calculated from supplied pre-regeneration project.</x:v>
      </x:c>
    </x:row>
    <x:row r="133" ht="30" customHeight="1">
      <x:c r="A133" s="26" t="str">
        <x:v>H-0129</x:v>
      </x:c>
      <x:c r="B133" s="26" t="str">
        <x:v>Official Baseline</x:v>
      </x:c>
      <x:c r="C133" s="26" t="str">
        <x:v>v0.4</x:v>
      </x:c>
      <x:c r="D133" s="26" t="str">
        <x:v>v0.4</x:v>
      </x:c>
      <x:c r="E133" s="26" t="str">
        <x:v>BASELINE_CHANGELOG_v0.3_to_v0.4.md</x:v>
      </x:c>
      <x:c r="F133" s="26"/>
      <x:c r="G133" s="26" t="str">
        <x:v>BASELINE_CHANGELOG_v0.3_to_v0.4.md</x:v>
      </x:c>
      <x:c r="H133" s="26" t="str">
        <x:v>Markdown</x:v>
      </x:c>
      <x:c r="I133" s="26" t="str">
        <x:v>Historical document / record</x:v>
      </x:c>
      <x:c r="J133" s="26" t="n">
        <x:v>1071</x:v>
      </x:c>
      <x:c r="K133" s="26" t="str">
        <x:v>3a7a302140f163b86c0e5328b9af5b669ad79ce0791537f6c59a0f735e0c7414</x:v>
      </x:c>
      <x:c r="L133" s="26"/>
      <x:c r="M133" s="26" t="n">
        <x:v>1</x:v>
      </x:c>
      <x:c r="N133" s="26" t="str">
        <x:v>UNIQUE</x:v>
      </x:c>
      <x:c r="O133" s="26"/>
      <x:c r="P133" s="26"/>
      <x:c r="Q133" s="26" t="str">
        <x:v>Historical baseline support</x:v>
      </x:c>
      <x:c r="R133" s="26" t="str">
        <x:v>RETAIN AS SUPPORTING HISTORY</x:v>
      </x:c>
      <x:c r="S133" s="26" t="str">
        <x:v>00_Official_Baseline/v0.4/BASELINE_CHANGELOG_v0.3_to_v0.4.md</x:v>
      </x:c>
      <x:c r="T133" s="26" t="str">
        <x:v>Historical path preserved verbatim; hash calculated from supplied pre-regeneration project.</x:v>
      </x:c>
    </x:row>
    <x:row r="134" ht="30" customHeight="1">
      <x:c r="A134" s="26" t="str">
        <x:v>H-0130</x:v>
      </x:c>
      <x:c r="B134" s="26" t="str">
        <x:v>Official Baseline</x:v>
      </x:c>
      <x:c r="C134" s="26" t="str">
        <x:v>v0.4</x:v>
      </x:c>
      <x:c r="D134" s="26" t="str">
        <x:v>v0.4</x:v>
      </x:c>
      <x:c r="E134" s="26" t="str">
        <x:v>BASELINE_INTEGRITY_REPORT.md</x:v>
      </x:c>
      <x:c r="F134" s="26"/>
      <x:c r="G134" s="26" t="str">
        <x:v>BASELINE_INTEGRITY_REPORT.md</x:v>
      </x:c>
      <x:c r="H134" s="26" t="str">
        <x:v>Markdown</x:v>
      </x:c>
      <x:c r="I134" s="26" t="str">
        <x:v>Historical document / record</x:v>
      </x:c>
      <x:c r="J134" s="26" t="n">
        <x:v>1301</x:v>
      </x:c>
      <x:c r="K134" s="26" t="str">
        <x:v>9e98408a51ce554834f31a15a8a66e9b643cdc97e8832ac9c208b2990b4273c6</x:v>
      </x:c>
      <x:c r="L134" s="26"/>
      <x:c r="M134" s="26" t="n">
        <x:v>1</x:v>
      </x:c>
      <x:c r="N134" s="26" t="str">
        <x:v>UNIQUE</x:v>
      </x:c>
      <x:c r="O134" s="26"/>
      <x:c r="P134" s="26"/>
      <x:c r="Q134" s="26" t="str">
        <x:v>Historical baseline support</x:v>
      </x:c>
      <x:c r="R134" s="26" t="str">
        <x:v>RETAIN AS SUPPORTING HISTORY</x:v>
      </x:c>
      <x:c r="S134" s="26" t="str">
        <x:v>00_Official_Baseline/v0.4/BASELINE_INTEGRITY_REPORT.md</x:v>
      </x:c>
      <x:c r="T134" s="26" t="str">
        <x:v>Historical path preserved verbatim; hash calculated from supplied pre-regeneration project.</x:v>
      </x:c>
    </x:row>
    <x:row r="135" ht="30" customHeight="1">
      <x:c r="A135" s="26" t="str">
        <x:v>H-0131</x:v>
      </x:c>
      <x:c r="B135" s="26" t="str">
        <x:v>Official Baseline</x:v>
      </x:c>
      <x:c r="C135" s="26" t="str">
        <x:v>v0.4</x:v>
      </x:c>
      <x:c r="D135" s="26" t="str">
        <x:v>v0.4</x:v>
      </x:c>
      <x:c r="E135" s="26" t="str">
        <x:v>BASELINE_MANIFEST.csv</x:v>
      </x:c>
      <x:c r="F135" s="26"/>
      <x:c r="G135" s="26" t="str">
        <x:v>BASELINE_MANIFEST.csv</x:v>
      </x:c>
      <x:c r="H135" s="26" t="str">
        <x:v>CSV</x:v>
      </x:c>
      <x:c r="I135" s="26" t="str">
        <x:v>Tabular traceability evidence</x:v>
      </x:c>
      <x:c r="J135" s="26" t="n">
        <x:v>12748</x:v>
      </x:c>
      <x:c r="K135" s="26" t="str">
        <x:v>67ce4089b090ab1f7e349b83f7f5610020aac93fa6dfeedae9689ffe9f112d84</x:v>
      </x:c>
      <x:c r="L135" s="26"/>
      <x:c r="M135" s="26" t="n">
        <x:v>1</x:v>
      </x:c>
      <x:c r="N135" s="26" t="str">
        <x:v>UNIQUE</x:v>
      </x:c>
      <x:c r="O135" s="26"/>
      <x:c r="P135" s="26"/>
      <x:c r="Q135" s="26" t="str">
        <x:v>Historical baseline support</x:v>
      </x:c>
      <x:c r="R135" s="26" t="str">
        <x:v>RETAIN AS SUPPORTING HISTORY</x:v>
      </x:c>
      <x:c r="S135" s="26" t="str">
        <x:v>00_Official_Baseline/v0.4/BASELINE_MANIFEST.csv</x:v>
      </x:c>
      <x:c r="T135" s="26" t="str">
        <x:v>Historical path preserved verbatim; hash calculated from supplied pre-regeneration project.</x:v>
      </x:c>
    </x:row>
    <x:row r="136" ht="30" customHeight="1">
      <x:c r="A136" s="26" t="str">
        <x:v>H-0132</x:v>
      </x:c>
      <x:c r="B136" s="26" t="str">
        <x:v>Official Baseline</x:v>
      </x:c>
      <x:c r="C136" s="26" t="str">
        <x:v>v0.4</x:v>
      </x:c>
      <x:c r="D136" s="26" t="str">
        <x:v>v0.4</x:v>
      </x:c>
      <x:c r="E136" s="26" t="str">
        <x:v>CHECKSUMS_SHA256.txt</x:v>
      </x:c>
      <x:c r="F136" s="26"/>
      <x:c r="G136" s="26" t="str">
        <x:v>CHECKSUMS_SHA256.txt</x:v>
      </x:c>
      <x:c r="H136" s="26" t="str">
        <x:v>Text</x:v>
      </x:c>
      <x:c r="I136" s="26" t="str">
        <x:v>Checksum register</x:v>
      </x:c>
      <x:c r="J136" s="26" t="n">
        <x:v>9591</x:v>
      </x:c>
      <x:c r="K136" s="26" t="str">
        <x:v>f07be7f38ffc3ed614994d4aeb0e08d3341f602758a090b3ce95e3eec5109464</x:v>
      </x:c>
      <x:c r="L136" s="26"/>
      <x:c r="M136" s="26" t="n">
        <x:v>1</x:v>
      </x:c>
      <x:c r="N136" s="26" t="str">
        <x:v>UNIQUE</x:v>
      </x:c>
      <x:c r="O136" s="26" t="str">
        <x:v>32</x:v>
      </x:c>
      <x:c r="P136" s="26" t="str">
        <x:v>13, 14, 15, 16, 32</x:v>
      </x:c>
      <x:c r="Q136" s="26" t="str">
        <x:v>Published historical baseline</x:v>
      </x:c>
      <x:c r="R136" s="26" t="str">
        <x:v>SUPERSEDED AS AUTHORITY — RETAIN AS IMMUTABLE HISTORY</x:v>
      </x:c>
      <x:c r="S136" s="26" t="str">
        <x:v>00_Official_Baseline/v0.4/CHECKSUMS_SHA256.txt</x:v>
      </x:c>
      <x:c r="T136" s="26" t="str">
        <x:v>Historical path preserved verbatim; hash calculated from supplied pre-regeneration project.</x:v>
      </x:c>
    </x:row>
    <x:row r="137" ht="30" customHeight="1">
      <x:c r="A137" s="26" t="str">
        <x:v>H-0133</x:v>
      </x:c>
      <x:c r="B137" s="26" t="str">
        <x:v>Official Baseline</x:v>
      </x:c>
      <x:c r="C137" s="26" t="str">
        <x:v>v0.4</x:v>
      </x:c>
      <x:c r="D137" s="26" t="str">
        <x:v>v0.4</x:v>
      </x:c>
      <x:c r="E137" s="26" t="str">
        <x:v>DOCUMENT_LIFECYCLE_POLICY.md</x:v>
      </x:c>
      <x:c r="F137" s="26"/>
      <x:c r="G137" s="26" t="str">
        <x:v>DOCUMENT_LIFECYCLE_POLICY.md</x:v>
      </x:c>
      <x:c r="H137" s="26" t="str">
        <x:v>Markdown</x:v>
      </x:c>
      <x:c r="I137" s="26" t="str">
        <x:v>Historical document / record</x:v>
      </x:c>
      <x:c r="J137" s="26" t="n">
        <x:v>618</x:v>
      </x:c>
      <x:c r="K137" s="26" t="str">
        <x:v>72b9f34f2df9b72a5b593bab0505beb0f361b545e0eca3d22f62758e51eaa232</x:v>
      </x:c>
      <x:c r="L137" s="26"/>
      <x:c r="M137" s="26" t="n">
        <x:v>1</x:v>
      </x:c>
      <x:c r="N137" s="26" t="str">
        <x:v>UNIQUE</x:v>
      </x:c>
      <x:c r="O137" s="26"/>
      <x:c r="P137" s="26"/>
      <x:c r="Q137" s="26" t="str">
        <x:v>Historical baseline support</x:v>
      </x:c>
      <x:c r="R137" s="26" t="str">
        <x:v>RETAIN AS SUPPORTING HISTORY</x:v>
      </x:c>
      <x:c r="S137" s="26" t="str">
        <x:v>00_Official_Baseline/v0.4/DOCUMENT_LIFECYCLE_POLICY.md</x:v>
      </x:c>
      <x:c r="T137" s="26" t="str">
        <x:v>Historical path preserved verbatim; hash calculated from supplied pre-regeneration project.</x:v>
      </x:c>
    </x:row>
    <x:row r="138" ht="30" customHeight="1">
      <x:c r="A138" s="26" t="str">
        <x:v>H-0134</x:v>
      </x:c>
      <x:c r="B138" s="26" t="str">
        <x:v>Official Baseline</x:v>
      </x:c>
      <x:c r="C138" s="26" t="str">
        <x:v>v0.4</x:v>
      </x:c>
      <x:c r="D138" s="26" t="str">
        <x:v>v0.4</x:v>
      </x:c>
      <x:c r="E138" s="26" t="str">
        <x:v>DOCUMENTATION_VALIDATION_REPORT.md</x:v>
      </x:c>
      <x:c r="F138" s="26"/>
      <x:c r="G138" s="26" t="str">
        <x:v>DOCUMENTATION_VALIDATION_REPORT.md</x:v>
      </x:c>
      <x:c r="H138" s="26" t="str">
        <x:v>Markdown</x:v>
      </x:c>
      <x:c r="I138" s="26" t="str">
        <x:v>Validation report</x:v>
      </x:c>
      <x:c r="J138" s="26" t="n">
        <x:v>2115</x:v>
      </x:c>
      <x:c r="K138" s="26" t="str">
        <x:v>cc60a6477abb733f9abfc2fab159b0a22d30dc134abe5e20ef6bdd4546b9c732</x:v>
      </x:c>
      <x:c r="L138" s="26" t="str">
        <x:v>DG-081</x:v>
      </x:c>
      <x:c r="M138" s="26" t="n">
        <x:v>2</x:v>
      </x:c>
      <x:c r="N138" s="26" t="str">
        <x:v>IDENTICAL COPY</x:v>
      </x:c>
      <x:c r="O138" s="26" t="str">
        <x:v>16</x:v>
      </x:c>
      <x:c r="P138" s="26" t="str">
        <x:v>16</x:v>
      </x:c>
      <x:c r="Q138" s="26" t="str">
        <x:v>Published historical baseline</x:v>
      </x:c>
      <x:c r="R138" s="26" t="str">
        <x:v>SUPERSEDED AS AUTHORITY — RETAIN AS IMMUTABLE HISTORY</x:v>
      </x:c>
      <x:c r="S138" s="26" t="str">
        <x:v>00_Official_Baseline/v0.4/DOCUMENTATION_VALIDATION_REPORT.md</x:v>
      </x:c>
      <x:c r="T138" s="26" t="str">
        <x:v>Historical path preserved verbatim; hash calculated from supplied pre-regeneration project.</x:v>
      </x:c>
    </x:row>
    <x:row r="139" ht="30" customHeight="1">
      <x:c r="A139" s="26" t="str">
        <x:v>H-0135</x:v>
      </x:c>
      <x:c r="B139" s="26" t="str">
        <x:v>Official Baseline</x:v>
      </x:c>
      <x:c r="C139" s="26" t="str">
        <x:v>v0.4</x:v>
      </x:c>
      <x:c r="D139" s="26" t="str">
        <x:v>v0.4</x:v>
      </x:c>
      <x:c r="E139" s="26" t="str">
        <x:v>MIGRATION_SUMMARY.md</x:v>
      </x:c>
      <x:c r="F139" s="26"/>
      <x:c r="G139" s="26" t="str">
        <x:v>MIGRATION_SUMMARY.md</x:v>
      </x:c>
      <x:c r="H139" s="26" t="str">
        <x:v>Markdown</x:v>
      </x:c>
      <x:c r="I139" s="26" t="str">
        <x:v>Migration record</x:v>
      </x:c>
      <x:c r="J139" s="26" t="n">
        <x:v>380</x:v>
      </x:c>
      <x:c r="K139" s="26" t="str">
        <x:v>5c1ed952d123b226f4f0301a9913f70bf2a42746bfd3701063a8a2c7355ff691</x:v>
      </x:c>
      <x:c r="L139" s="26"/>
      <x:c r="M139" s="26" t="n">
        <x:v>1</x:v>
      </x:c>
      <x:c r="N139" s="26" t="str">
        <x:v>UNIQUE</x:v>
      </x:c>
      <x:c r="O139" s="26" t="str">
        <x:v>32</x:v>
      </x:c>
      <x:c r="P139" s="26" t="str">
        <x:v>13, 14, 15, 16, 32</x:v>
      </x:c>
      <x:c r="Q139" s="26" t="str">
        <x:v>Published historical baseline</x:v>
      </x:c>
      <x:c r="R139" s="26" t="str">
        <x:v>SUPERSEDED AS AUTHORITY — RETAIN AS IMMUTABLE HISTORY</x:v>
      </x:c>
      <x:c r="S139" s="26" t="str">
        <x:v>00_Official_Baseline/v0.4/MIGRATION_SUMMARY.md</x:v>
      </x:c>
      <x:c r="T139" s="26" t="str">
        <x:v>Historical path preserved verbatim; hash calculated from supplied pre-regeneration project.</x:v>
      </x:c>
    </x:row>
    <x:row r="140" ht="30" customHeight="1">
      <x:c r="A140" s="26" t="str">
        <x:v>H-0136</x:v>
      </x:c>
      <x:c r="B140" s="26" t="str">
        <x:v>Official Baseline</x:v>
      </x:c>
      <x:c r="C140" s="26" t="str">
        <x:v>v0.4</x:v>
      </x:c>
      <x:c r="D140" s="26" t="str">
        <x:v>v0.4</x:v>
      </x:c>
      <x:c r="E140" s="26" t="str">
        <x:v>PACKAGE_MANIFEST.md</x:v>
      </x:c>
      <x:c r="F140" s="26"/>
      <x:c r="G140" s="26" t="str">
        <x:v>PACKAGE_MANIFEST.md</x:v>
      </x:c>
      <x:c r="H140" s="26" t="str">
        <x:v>Markdown</x:v>
      </x:c>
      <x:c r="I140" s="26" t="str">
        <x:v>Package manifest</x:v>
      </x:c>
      <x:c r="J140" s="26" t="n">
        <x:v>2456</x:v>
      </x:c>
      <x:c r="K140" s="26" t="str">
        <x:v>ccf1ff8da3ecfb69e1ee93a902e1d13d706d5e7ada9ac4a185515c8f93cd2b7a</x:v>
      </x:c>
      <x:c r="L140" s="26" t="str">
        <x:v>DG-082</x:v>
      </x:c>
      <x:c r="M140" s="26" t="n">
        <x:v>2</x:v>
      </x:c>
      <x:c r="N140" s="26" t="str">
        <x:v>IDENTICAL COPY</x:v>
      </x:c>
      <x:c r="O140" s="26" t="str">
        <x:v>32</x:v>
      </x:c>
      <x:c r="P140" s="26" t="str">
        <x:v>13, 14, 15, 16, 32</x:v>
      </x:c>
      <x:c r="Q140" s="26" t="str">
        <x:v>Published historical baseline</x:v>
      </x:c>
      <x:c r="R140" s="26" t="str">
        <x:v>SUPERSEDED AS AUTHORITY — RETAIN AS IMMUTABLE HISTORY</x:v>
      </x:c>
      <x:c r="S140" s="26" t="str">
        <x:v>00_Official_Baseline/v0.4/PACKAGE_MANIFEST.md</x:v>
      </x:c>
      <x:c r="T140" s="26" t="str">
        <x:v>Historical path preserved verbatim; hash calculated from supplied pre-regeneration project.</x:v>
      </x:c>
    </x:row>
    <x:row r="141" ht="30" customHeight="1">
      <x:c r="A141" s="26" t="str">
        <x:v>H-0137</x:v>
      </x:c>
      <x:c r="B141" s="26" t="str">
        <x:v>Official Baseline</x:v>
      </x:c>
      <x:c r="C141" s="26" t="str">
        <x:v>v0.4</x:v>
      </x:c>
      <x:c r="D141" s="26" t="str">
        <x:v>v0.4</x:v>
      </x:c>
      <x:c r="E141" s="26" t="str">
        <x:v>README.en.md</x:v>
      </x:c>
      <x:c r="F141" s="26"/>
      <x:c r="G141" s="26" t="str">
        <x:v>README.en.md</x:v>
      </x:c>
      <x:c r="H141" s="26" t="str">
        <x:v>Markdown</x:v>
      </x:c>
      <x:c r="I141" s="26" t="str">
        <x:v>README / navigation</x:v>
      </x:c>
      <x:c r="J141" s="26" t="n">
        <x:v>298</x:v>
      </x:c>
      <x:c r="K141" s="26" t="str">
        <x:v>d428feb2eda48918d7cbacb78b44b8fff9bb6cf01f9ab3b096444ad37814810a</x:v>
      </x:c>
      <x:c r="L141" s="26"/>
      <x:c r="M141" s="26" t="n">
        <x:v>1</x:v>
      </x:c>
      <x:c r="N141" s="26" t="str">
        <x:v>UNIQUE</x:v>
      </x:c>
      <x:c r="O141" s="26" t="str">
        <x:v>15</x:v>
      </x:c>
      <x:c r="P141" s="26" t="str">
        <x:v>15</x:v>
      </x:c>
      <x:c r="Q141" s="26" t="str">
        <x:v>Published historical baseline</x:v>
      </x:c>
      <x:c r="R141" s="26" t="str">
        <x:v>SUPERSEDED AS AUTHORITY — RETAIN AS IMMUTABLE HISTORY</x:v>
      </x:c>
      <x:c r="S141" s="26" t="str">
        <x:v>00_Official_Baseline/v0.4/README.en.md</x:v>
      </x:c>
      <x:c r="T141" s="26" t="str">
        <x:v>Historical path preserved verbatim; hash calculated from supplied pre-regeneration project.</x:v>
      </x:c>
    </x:row>
    <x:row r="142" ht="30" customHeight="1">
      <x:c r="A142" s="26" t="str">
        <x:v>H-0138</x:v>
      </x:c>
      <x:c r="B142" s="26" t="str">
        <x:v>Official Baseline</x:v>
      </x:c>
      <x:c r="C142" s="26" t="str">
        <x:v>v0.4</x:v>
      </x:c>
      <x:c r="D142" s="26" t="str">
        <x:v>v0.4</x:v>
      </x:c>
      <x:c r="E142" s="26" t="str">
        <x:v>README.md</x:v>
      </x:c>
      <x:c r="F142" s="26"/>
      <x:c r="G142" s="26" t="str">
        <x:v>README.md</x:v>
      </x:c>
      <x:c r="H142" s="26" t="str">
        <x:v>Markdown</x:v>
      </x:c>
      <x:c r="I142" s="26" t="str">
        <x:v>README / navigation</x:v>
      </x:c>
      <x:c r="J142" s="26" t="n">
        <x:v>692</x:v>
      </x:c>
      <x:c r="K142" s="26" t="str">
        <x:v>c2e7a9edfe7df62aeeaf2092f66da7df4ed6b69f6a54527c92ca69c755fc327e</x:v>
      </x:c>
      <x:c r="L142" s="26"/>
      <x:c r="M142" s="26" t="n">
        <x:v>1</x:v>
      </x:c>
      <x:c r="N142" s="26" t="str">
        <x:v>UNIQUE</x:v>
      </x:c>
      <x:c r="O142" s="26" t="str">
        <x:v>15</x:v>
      </x:c>
      <x:c r="P142" s="26" t="str">
        <x:v>15</x:v>
      </x:c>
      <x:c r="Q142" s="26" t="str">
        <x:v>Published historical baseline</x:v>
      </x:c>
      <x:c r="R142" s="26" t="str">
        <x:v>SUPERSEDED AS AUTHORITY — RETAIN AS IMMUTABLE HISTORY</x:v>
      </x:c>
      <x:c r="S142" s="26" t="str">
        <x:v>00_Official_Baseline/v0.4/README.md</x:v>
      </x:c>
      <x:c r="T142" s="26" t="str">
        <x:v>Historical path preserved verbatim; hash calculated from supplied pre-regeneration project.</x:v>
      </x:c>
    </x:row>
    <x:row r="143" ht="30" customHeight="1">
      <x:c r="A143" s="26" t="str">
        <x:v>H-0139</x:v>
      </x:c>
      <x:c r="B143" s="26" t="str">
        <x:v>Official Baseline</x:v>
      </x:c>
      <x:c r="C143" s="26" t="str">
        <x:v>v0.4</x:v>
      </x:c>
      <x:c r="D143" s="26" t="str">
        <x:v>v0.4</x:v>
      </x:c>
      <x:c r="E143" s="26" t="str">
        <x:v>SPRINT0_DOCUMENT_IMPACT_MATRIX.md</x:v>
      </x:c>
      <x:c r="F143" s="26" t="str">
        <x:v>Sprint 00</x:v>
      </x:c>
      <x:c r="G143" s="26" t="str">
        <x:v>SPRINT0_DOCUMENT_IMPACT_MATRIX.md</x:v>
      </x:c>
      <x:c r="H143" s="26" t="str">
        <x:v>Markdown</x:v>
      </x:c>
      <x:c r="I143" s="26" t="str">
        <x:v>Historical document / record</x:v>
      </x:c>
      <x:c r="J143" s="26" t="n">
        <x:v>1625</x:v>
      </x:c>
      <x:c r="K143" s="26" t="str">
        <x:v>5cdf40826f5a6d4725b1a8cbf400731b9d9868fbfb3120c9e9858997e00741ce</x:v>
      </x:c>
      <x:c r="L143" s="26"/>
      <x:c r="M143" s="26" t="n">
        <x:v>1</x:v>
      </x:c>
      <x:c r="N143" s="26" t="str">
        <x:v>UNIQUE</x:v>
      </x:c>
      <x:c r="O143" s="26"/>
      <x:c r="P143" s="26"/>
      <x:c r="Q143" s="26" t="str">
        <x:v>Historical baseline support</x:v>
      </x:c>
      <x:c r="R143" s="26" t="str">
        <x:v>RETAIN AS SUPPORTING HISTORY</x:v>
      </x:c>
      <x:c r="S143" s="26" t="str">
        <x:v>00_Official_Baseline/v0.4/SPRINT0_DOCUMENT_IMPACT_MATRIX.md</x:v>
      </x:c>
      <x:c r="T143" s="26" t="str">
        <x:v>Historical path preserved verbatim; hash calculated from supplied pre-regeneration project.</x:v>
      </x:c>
    </x:row>
    <x:row r="144" ht="30" customHeight="1">
      <x:c r="A144" s="26" t="str">
        <x:v>H-0140</x:v>
      </x:c>
      <x:c r="B144" s="26" t="str">
        <x:v>Official Baseline</x:v>
      </x:c>
      <x:c r="C144" s="26" t="str">
        <x:v>v0.5</x:v>
      </x:c>
      <x:c r="D144" s="26" t="str">
        <x:v>v0.5</x:v>
      </x:c>
      <x:c r="E144" s="26" t="str">
        <x:v>00_Project_Governance</x:v>
      </x:c>
      <x:c r="F144" s="26"/>
      <x:c r="G144" s="26" t="str">
        <x:v>00_Cartridge_And_Cloud_Guide_v0.5.pdf</x:v>
      </x:c>
      <x:c r="H144" s="26" t="str">
        <x:v>PDF</x:v>
      </x:c>
      <x:c r="I144" s="26" t="str">
        <x:v>Published baseline rendering</x:v>
      </x:c>
      <x:c r="J144" s="26" t="n">
        <x:v>31429</x:v>
      </x:c>
      <x:c r="K144" s="26" t="str">
        <x:v>b7236ef8d3e5212160686a57f0ddd3d67691a66b992491031c4eafddde3aebd0</x:v>
      </x:c>
      <x:c r="L144" s="26"/>
      <x:c r="M144" s="26" t="n">
        <x:v>1</x:v>
      </x:c>
      <x:c r="N144" s="26" t="str">
        <x:v>UNIQUE</x:v>
      </x:c>
      <x:c r="O144" s="26" t="str">
        <x:v>15</x:v>
      </x:c>
      <x:c r="P144" s="26" t="str">
        <x:v>15</x:v>
      </x:c>
      <x:c r="Q144" s="26" t="str">
        <x:v>Published historical baseline</x:v>
      </x:c>
      <x:c r="R144" s="26" t="str">
        <x:v>SUPERSEDED AS AUTHORITY — RETAIN AS IMMUTABLE HISTORY</x:v>
      </x:c>
      <x:c r="S144" s="26" t="str">
        <x:v>00_Official_Baseline/v0.5/00_Project_Governance/00_Cartridge_And_Cloud_Guide_v0.5.pdf</x:v>
      </x:c>
      <x:c r="T144" s="26" t="str">
        <x:v>Historical path preserved verbatim; hash calculated from supplied pre-regeneration project.</x:v>
      </x:c>
    </x:row>
    <x:row r="145" ht="30" customHeight="1">
      <x:c r="A145" s="26" t="str">
        <x:v>H-0141</x:v>
      </x:c>
      <x:c r="B145" s="26" t="str">
        <x:v>Official Baseline</x:v>
      </x:c>
      <x:c r="C145" s="26" t="str">
        <x:v>v0.5</x:v>
      </x:c>
      <x:c r="D145" s="26" t="str">
        <x:v>v0.5</x:v>
      </x:c>
      <x:c r="E145" s="26" t="str">
        <x:v>00_Project_Governance</x:v>
      </x:c>
      <x:c r="F145" s="26"/>
      <x:c r="G145" s="26" t="str">
        <x:v>Cartridge_And_Cloud_Document_Migration_Plan_v0.2.pdf</x:v>
      </x:c>
      <x:c r="H145" s="26" t="str">
        <x:v>PDF</x:v>
      </x:c>
      <x:c r="I145" s="26" t="str">
        <x:v>Migration record</x:v>
      </x:c>
      <x:c r="J145" s="26" t="n">
        <x:v>18680</x:v>
      </x:c>
      <x:c r="K145" s="26" t="str">
        <x:v>0036d616cf1983bfcd5e92aed7439766395266146a1eb035aa4220c518a821b1</x:v>
      </x:c>
      <x:c r="L145" s="26"/>
      <x:c r="M145" s="26" t="n">
        <x:v>1</x:v>
      </x:c>
      <x:c r="N145" s="26" t="str">
        <x:v>UNIQUE</x:v>
      </x:c>
      <x:c r="O145" s="26" t="str">
        <x:v>32</x:v>
      </x:c>
      <x:c r="P145" s="26" t="str">
        <x:v>13, 14, 15, 16, 32</x:v>
      </x:c>
      <x:c r="Q145" s="26" t="str">
        <x:v>Published historical baseline</x:v>
      </x:c>
      <x:c r="R145" s="26" t="str">
        <x:v>SUPERSEDED AS AUTHORITY — RETAIN AS IMMUTABLE HISTORY</x:v>
      </x:c>
      <x:c r="S145" s="26" t="str">
        <x:v>00_Official_Baseline/v0.5/00_Project_Governance/Cartridge_And_Cloud_Document_Migration_Plan_v0.2.pdf</x:v>
      </x:c>
      <x:c r="T145" s="26" t="str">
        <x:v>Historical path preserved verbatim; hash calculated from supplied pre-regeneration project.</x:v>
      </x:c>
    </x:row>
    <x:row r="146" ht="30" customHeight="1">
      <x:c r="A146" s="26" t="str">
        <x:v>H-0142</x:v>
      </x:c>
      <x:c r="B146" s="26" t="str">
        <x:v>Official Baseline</x:v>
      </x:c>
      <x:c r="C146" s="26" t="str">
        <x:v>v0.5</x:v>
      </x:c>
      <x:c r="D146" s="26" t="str">
        <x:v>v0.5</x:v>
      </x:c>
      <x:c r="E146" s="26" t="str">
        <x:v>00_Project_Governance</x:v>
      </x:c>
      <x:c r="F146" s="26"/>
      <x:c r="G146" s="26" t="str">
        <x:v>Cartridge_And_Cloud_Documentation_Validation_Report_v0.3.pdf</x:v>
      </x:c>
      <x:c r="H146" s="26" t="str">
        <x:v>PDF</x:v>
      </x:c>
      <x:c r="I146" s="26" t="str">
        <x:v>Validation report</x:v>
      </x:c>
      <x:c r="J146" s="26" t="n">
        <x:v>15684</x:v>
      </x:c>
      <x:c r="K146" s="26" t="str">
        <x:v>0a4d869f4f3db6974159dfe60eee9c3831af32d33aed8b31b91b26f67c5550ea</x:v>
      </x:c>
      <x:c r="L146" s="26"/>
      <x:c r="M146" s="26" t="n">
        <x:v>1</x:v>
      </x:c>
      <x:c r="N146" s="26" t="str">
        <x:v>UNIQUE</x:v>
      </x:c>
      <x:c r="O146" s="26" t="str">
        <x:v>16</x:v>
      </x:c>
      <x:c r="P146" s="26" t="str">
        <x:v>16</x:v>
      </x:c>
      <x:c r="Q146" s="26" t="str">
        <x:v>Published historical baseline</x:v>
      </x:c>
      <x:c r="R146" s="26" t="str">
        <x:v>SUPERSEDED AS AUTHORITY — RETAIN AS IMMUTABLE HISTORY</x:v>
      </x:c>
      <x:c r="S146" s="26" t="str">
        <x:v>00_Official_Baseline/v0.5/00_Project_Governance/Cartridge_And_Cloud_Documentation_Validation_Report_v0.3.pdf</x:v>
      </x:c>
      <x:c r="T146" s="26" t="str">
        <x:v>Historical path preserved verbatim; hash calculated from supplied pre-regeneration project.</x:v>
      </x:c>
    </x:row>
    <x:row r="147" ht="30" customHeight="1">
      <x:c r="A147" s="26" t="str">
        <x:v>H-0143</x:v>
      </x:c>
      <x:c r="B147" s="26" t="str">
        <x:v>Official Baseline</x:v>
      </x:c>
      <x:c r="C147" s="26" t="str">
        <x:v>v0.5</x:v>
      </x:c>
      <x:c r="D147" s="26" t="str">
        <x:v>v0.5</x:v>
      </x:c>
      <x:c r="E147" s="26" t="str">
        <x:v>00_Project_Governance</x:v>
      </x:c>
      <x:c r="F147" s="26"/>
      <x:c r="G147" s="26" t="str">
        <x:v>Cartridge_And_Cloud_Enfoque_v0.7.pdf</x:v>
      </x:c>
      <x:c r="H147" s="26" t="str">
        <x:v>PDF</x:v>
      </x:c>
      <x:c r="I147" s="26" t="str">
        <x:v>Published baseline rendering</x:v>
      </x:c>
      <x:c r="J147" s="26" t="n">
        <x:v>21083</x:v>
      </x:c>
      <x:c r="K147" s="26" t="str">
        <x:v>e892bfaee0c3891ee54a2eec76de183dc00669ea47c776705ba72dda65586b5f</x:v>
      </x:c>
      <x:c r="L147" s="26"/>
      <x:c r="M147" s="26" t="n">
        <x:v>1</x:v>
      </x:c>
      <x:c r="N147" s="26" t="str">
        <x:v>UNIQUE</x:v>
      </x:c>
      <x:c r="O147" s="26" t="str">
        <x:v>00</x:v>
      </x:c>
      <x:c r="P147" s="26" t="str">
        <x:v>00</x:v>
      </x:c>
      <x:c r="Q147" s="26" t="str">
        <x:v>Published historical baseline</x:v>
      </x:c>
      <x:c r="R147" s="26" t="str">
        <x:v>SUPERSEDED AS AUTHORITY — RETAIN AS IMMUTABLE HISTORY</x:v>
      </x:c>
      <x:c r="S147" s="26" t="str">
        <x:v>00_Official_Baseline/v0.5/00_Project_Governance/Cartridge_And_Cloud_Enfoque_v0.7.pdf</x:v>
      </x:c>
      <x:c r="T147" s="26" t="str">
        <x:v>Historical path preserved verbatim; hash calculated from supplied pre-regeneration project.</x:v>
      </x:c>
    </x:row>
    <x:row r="148" ht="30" customHeight="1">
      <x:c r="A148" s="26" t="str">
        <x:v>H-0144</x:v>
      </x:c>
      <x:c r="B148" s="26" t="str">
        <x:v>Official Baseline</x:v>
      </x:c>
      <x:c r="C148" s="26" t="str">
        <x:v>v0.5</x:v>
      </x:c>
      <x:c r="D148" s="26" t="str">
        <x:v>v0.5</x:v>
      </x:c>
      <x:c r="E148" s="26" t="str">
        <x:v>00_Project_Governance</x:v>
      </x:c>
      <x:c r="F148" s="26"/>
      <x:c r="G148" s="26" t="str">
        <x:v>Cartridge_And_Cloud_Package_Manifest_v0.3.pdf</x:v>
      </x:c>
      <x:c r="H148" s="26" t="str">
        <x:v>PDF</x:v>
      </x:c>
      <x:c r="I148" s="26" t="str">
        <x:v>Package manifest</x:v>
      </x:c>
      <x:c r="J148" s="26" t="n">
        <x:v>16782</x:v>
      </x:c>
      <x:c r="K148" s="26" t="str">
        <x:v>d74ae4fb1a2590813315e14d668ce2eca7a22081a7acdafbb5a55e07fb7a4f87</x:v>
      </x:c>
      <x:c r="L148" s="26"/>
      <x:c r="M148" s="26" t="n">
        <x:v>1</x:v>
      </x:c>
      <x:c r="N148" s="26" t="str">
        <x:v>UNIQUE</x:v>
      </x:c>
      <x:c r="O148" s="26" t="str">
        <x:v>32</x:v>
      </x:c>
      <x:c r="P148" s="26" t="str">
        <x:v>13, 14, 15, 16, 32</x:v>
      </x:c>
      <x:c r="Q148" s="26" t="str">
        <x:v>Published historical baseline</x:v>
      </x:c>
      <x:c r="R148" s="26" t="str">
        <x:v>SUPERSEDED AS AUTHORITY — RETAIN AS IMMUTABLE HISTORY</x:v>
      </x:c>
      <x:c r="S148" s="26" t="str">
        <x:v>00_Official_Baseline/v0.5/00_Project_Governance/Cartridge_And_Cloud_Package_Manifest_v0.3.pdf</x:v>
      </x:c>
      <x:c r="T148" s="26" t="str">
        <x:v>Historical path preserved verbatim; hash calculated from supplied pre-regeneration project.</x:v>
      </x:c>
    </x:row>
    <x:row r="149" ht="30" customHeight="1">
      <x:c r="A149" s="26" t="str">
        <x:v>H-0145</x:v>
      </x:c>
      <x:c r="B149" s="26" t="str">
        <x:v>Official Baseline</x:v>
      </x:c>
      <x:c r="C149" s="26" t="str">
        <x:v>v0.5</x:v>
      </x:c>
      <x:c r="D149" s="26" t="str">
        <x:v>v0.5</x:v>
      </x:c>
      <x:c r="E149" s="26" t="str">
        <x:v>00_Project_Governance</x:v>
      </x:c>
      <x:c r="F149" s="26"/>
      <x:c r="G149" s="26" t="str">
        <x:v>Cartridge_And_Cloud_Project_Binder_Indice_Maestro_v0.5.pdf</x:v>
      </x:c>
      <x:c r="H149" s="26" t="str">
        <x:v>PDF</x:v>
      </x:c>
      <x:c r="I149" s="26" t="str">
        <x:v>Published baseline rendering</x:v>
      </x:c>
      <x:c r="J149" s="26" t="n">
        <x:v>21024</x:v>
      </x:c>
      <x:c r="K149" s="26" t="str">
        <x:v>1f894f92311731b8ab15532eac377534739fe7d9e1e409fcecf64931787c6943</x:v>
      </x:c>
      <x:c r="L149" s="26"/>
      <x:c r="M149" s="26" t="n">
        <x:v>1</x:v>
      </x:c>
      <x:c r="N149" s="26" t="str">
        <x:v>UNIQUE</x:v>
      </x:c>
      <x:c r="O149" s="26" t="str">
        <x:v>14</x:v>
      </x:c>
      <x:c r="P149" s="26" t="str">
        <x:v>14</x:v>
      </x:c>
      <x:c r="Q149" s="26" t="str">
        <x:v>Published historical baseline</x:v>
      </x:c>
      <x:c r="R149" s="26" t="str">
        <x:v>SUPERSEDED AS AUTHORITY — RETAIN AS IMMUTABLE HISTORY</x:v>
      </x:c>
      <x:c r="S149" s="26" t="str">
        <x:v>00_Official_Baseline/v0.5/00_Project_Governance/Cartridge_And_Cloud_Project_Binder_Indice_Maestro_v0.5.pdf</x:v>
      </x:c>
      <x:c r="T149" s="26" t="str">
        <x:v>Historical path preserved verbatim; hash calculated from supplied pre-regeneration project.</x:v>
      </x:c>
    </x:row>
    <x:row r="150" ht="30" customHeight="1">
      <x:c r="A150" s="26" t="str">
        <x:v>H-0146</x:v>
      </x:c>
      <x:c r="B150" s="26" t="str">
        <x:v>Official Baseline</x:v>
      </x:c>
      <x:c r="C150" s="26" t="str">
        <x:v>v0.5</x:v>
      </x:c>
      <x:c r="D150" s="26" t="str">
        <x:v>v0.5</x:v>
      </x:c>
      <x:c r="E150" s="26" t="str">
        <x:v>00_Project_Governance</x:v>
      </x:c>
      <x:c r="F150" s="26"/>
      <x:c r="G150" s="26" t="str">
        <x:v>Enfoque_v0.7.md</x:v>
      </x:c>
      <x:c r="H150" s="26" t="str">
        <x:v>Markdown</x:v>
      </x:c>
      <x:c r="I150" s="26" t="str">
        <x:v>Historical document / record</x:v>
      </x:c>
      <x:c r="J150" s="26" t="n">
        <x:v>4112</x:v>
      </x:c>
      <x:c r="K150" s="26" t="str">
        <x:v>dff2fd6d5ae6a688ae147c6eebc2e81b5667cf2433198204867ed51559cc11ea</x:v>
      </x:c>
      <x:c r="L150" s="26" t="str">
        <x:v>DG-091</x:v>
      </x:c>
      <x:c r="M150" s="26" t="n">
        <x:v>2</x:v>
      </x:c>
      <x:c r="N150" s="26" t="str">
        <x:v>DUPLICATE GROUP REPRESENTATIVE</x:v>
      </x:c>
      <x:c r="O150" s="26" t="str">
        <x:v>00</x:v>
      </x:c>
      <x:c r="P150" s="26" t="str">
        <x:v>00</x:v>
      </x:c>
      <x:c r="Q150" s="26" t="str">
        <x:v>Historical baseline support</x:v>
      </x:c>
      <x:c r="R150" s="26" t="str">
        <x:v>RETAIN AS SUPPORTING HISTORY</x:v>
      </x:c>
      <x:c r="S150" s="26" t="str">
        <x:v>00_Official_Baseline/v0.5/00_Project_Governance/Enfoque_v0.7.md</x:v>
      </x:c>
      <x:c r="T150" s="26" t="str">
        <x:v>Historical path preserved verbatim; hash calculated from supplied pre-regeneration project.</x:v>
      </x:c>
    </x:row>
    <x:row r="151" ht="30" customHeight="1">
      <x:c r="A151" s="26" t="str">
        <x:v>H-0147</x:v>
      </x:c>
      <x:c r="B151" s="26" t="str">
        <x:v>Official Baseline</x:v>
      </x:c>
      <x:c r="C151" s="26" t="str">
        <x:v>v0.5</x:v>
      </x:c>
      <x:c r="D151" s="26" t="str">
        <x:v>v0.5</x:v>
      </x:c>
      <x:c r="E151" s="26" t="str">
        <x:v>01_Design</x:v>
      </x:c>
      <x:c r="F151" s="26"/>
      <x:c r="G151" s="26" t="str">
        <x:v>Cartridge_And_Cloud_Economy_Balance_Specification_v0.2.pdf</x:v>
      </x:c>
      <x:c r="H151" s="26" t="str">
        <x:v>PDF</x:v>
      </x:c>
      <x:c r="I151" s="26" t="str">
        <x:v>Published baseline rendering</x:v>
      </x:c>
      <x:c r="J151" s="26" t="n">
        <x:v>19491</x:v>
      </x:c>
      <x:c r="K151" s="26" t="str">
        <x:v>57a71ee88a5a25dd9afe1a94d798a0d6522e1007c6dfb1d91aa98089a7cbcfc3</x:v>
      </x:c>
      <x:c r="L151" s="26"/>
      <x:c r="M151" s="26" t="n">
        <x:v>1</x:v>
      </x:c>
      <x:c r="N151" s="26" t="str">
        <x:v>UNIQUE</x:v>
      </x:c>
      <x:c r="O151" s="26" t="str">
        <x:v>20</x:v>
      </x:c>
      <x:c r="P151" s="26" t="str">
        <x:v>20</x:v>
      </x:c>
      <x:c r="Q151" s="26" t="str">
        <x:v>Published historical baseline</x:v>
      </x:c>
      <x:c r="R151" s="26" t="str">
        <x:v>SUPERSEDED AS AUTHORITY — RETAIN AS IMMUTABLE HISTORY</x:v>
      </x:c>
      <x:c r="S151" s="26" t="str">
        <x:v>00_Official_Baseline/v0.5/01_Design/Cartridge_And_Cloud_Economy_Balance_Specification_v0.2.pdf</x:v>
      </x:c>
      <x:c r="T151" s="26" t="str">
        <x:v>Historical path preserved verbatim; hash calculated from supplied pre-regeneration project.</x:v>
      </x:c>
    </x:row>
    <x:row r="152" ht="30" customHeight="1">
      <x:c r="A152" s="26" t="str">
        <x:v>H-0148</x:v>
      </x:c>
      <x:c r="B152" s="26" t="str">
        <x:v>Official Baseline</x:v>
      </x:c>
      <x:c r="C152" s="26" t="str">
        <x:v>v0.5</x:v>
      </x:c>
      <x:c r="D152" s="26" t="str">
        <x:v>v0.5</x:v>
      </x:c>
      <x:c r="E152" s="26" t="str">
        <x:v>01_Design</x:v>
      </x:c>
      <x:c r="F152" s="26"/>
      <x:c r="G152" s="26" t="str">
        <x:v>Cartridge_And_Cloud_GDD_v0.5_PCSteam.pdf</x:v>
      </x:c>
      <x:c r="H152" s="26" t="str">
        <x:v>PDF</x:v>
      </x:c>
      <x:c r="I152" s="26" t="str">
        <x:v>Published baseline rendering</x:v>
      </x:c>
      <x:c r="J152" s="26" t="n">
        <x:v>23195</x:v>
      </x:c>
      <x:c r="K152" s="26" t="str">
        <x:v>7061f5ee8528d2fdffc2c219ff8a54f997705fe38cf3a713856caf519a997264</x:v>
      </x:c>
      <x:c r="L152" s="26"/>
      <x:c r="M152" s="26" t="n">
        <x:v>1</x:v>
      </x:c>
      <x:c r="N152" s="26" t="str">
        <x:v>UNIQUE</x:v>
      </x:c>
      <x:c r="O152" s="26" t="str">
        <x:v>01</x:v>
      </x:c>
      <x:c r="P152" s="26" t="str">
        <x:v>01</x:v>
      </x:c>
      <x:c r="Q152" s="26" t="str">
        <x:v>Published historical baseline</x:v>
      </x:c>
      <x:c r="R152" s="26" t="str">
        <x:v>SUPERSEDED AS AUTHORITY — RETAIN AS IMMUTABLE HISTORY</x:v>
      </x:c>
      <x:c r="S152" s="26" t="str">
        <x:v>00_Official_Baseline/v0.5/01_Design/Cartridge_And_Cloud_GDD_v0.5_PCSteam.pdf</x:v>
      </x:c>
      <x:c r="T152" s="26" t="str">
        <x:v>Historical path preserved verbatim; hash calculated from supplied pre-regeneration project.</x:v>
      </x:c>
    </x:row>
    <x:row r="153" ht="30" customHeight="1">
      <x:c r="A153" s="26" t="str">
        <x:v>H-0149</x:v>
      </x:c>
      <x:c r="B153" s="26" t="str">
        <x:v>Official Baseline</x:v>
      </x:c>
      <x:c r="C153" s="26" t="str">
        <x:v>v0.5</x:v>
      </x:c>
      <x:c r="D153" s="26" t="str">
        <x:v>v0.5</x:v>
      </x:c>
      <x:c r="E153" s="26" t="str">
        <x:v>01_Design</x:v>
      </x:c>
      <x:c r="F153" s="26"/>
      <x:c r="G153" s="26" t="str">
        <x:v>Cartridge_And_Cloud_Initial_Content_Catalog_v0.2.pdf</x:v>
      </x:c>
      <x:c r="H153" s="26" t="str">
        <x:v>PDF</x:v>
      </x:c>
      <x:c r="I153" s="26" t="str">
        <x:v>Published baseline rendering</x:v>
      </x:c>
      <x:c r="J153" s="26" t="n">
        <x:v>18125</x:v>
      </x:c>
      <x:c r="K153" s="26" t="str">
        <x:v>9f604761d6e6047ddb34de9743087470bebcf4f8cdaeab327c1c7c3c98be1213</x:v>
      </x:c>
      <x:c r="L153" s="26"/>
      <x:c r="M153" s="26" t="n">
        <x:v>1</x:v>
      </x:c>
      <x:c r="N153" s="26" t="str">
        <x:v>UNIQUE</x:v>
      </x:c>
      <x:c r="O153" s="26" t="str">
        <x:v>21</x:v>
      </x:c>
      <x:c r="P153" s="26" t="str">
        <x:v>21</x:v>
      </x:c>
      <x:c r="Q153" s="26" t="str">
        <x:v>Published historical baseline</x:v>
      </x:c>
      <x:c r="R153" s="26" t="str">
        <x:v>SUPERSEDED AS AUTHORITY — RETAIN AS IMMUTABLE HISTORY</x:v>
      </x:c>
      <x:c r="S153" s="26" t="str">
        <x:v>00_Official_Baseline/v0.5/01_Design/Cartridge_And_Cloud_Initial_Content_Catalog_v0.2.pdf</x:v>
      </x:c>
      <x:c r="T153" s="26" t="str">
        <x:v>Historical path preserved verbatim; hash calculated from supplied pre-regeneration project.</x:v>
      </x:c>
    </x:row>
    <x:row r="154" ht="30" customHeight="1">
      <x:c r="A154" s="26" t="str">
        <x:v>H-0150</x:v>
      </x:c>
      <x:c r="B154" s="26" t="str">
        <x:v>Official Baseline</x:v>
      </x:c>
      <x:c r="C154" s="26" t="str">
        <x:v>v0.5</x:v>
      </x:c>
      <x:c r="D154" s="26" t="str">
        <x:v>v0.5</x:v>
      </x:c>
      <x:c r="E154" s="26" t="str">
        <x:v>01_Design</x:v>
      </x:c>
      <x:c r="F154" s="26"/>
      <x:c r="G154" s="26" t="str">
        <x:v>Cartridge_And_Cloud_UX_Flow_v0.4.pdf</x:v>
      </x:c>
      <x:c r="H154" s="26" t="str">
        <x:v>PDF</x:v>
      </x:c>
      <x:c r="I154" s="26" t="str">
        <x:v>Published baseline rendering</x:v>
      </x:c>
      <x:c r="J154" s="26" t="n">
        <x:v>22040</x:v>
      </x:c>
      <x:c r="K154" s="26" t="str">
        <x:v>75fdf25a47e7b022718047e09f2b1b5ca443c089e82e3d2a10a04e952441a690</x:v>
      </x:c>
      <x:c r="L154" s="26"/>
      <x:c r="M154" s="26" t="n">
        <x:v>1</x:v>
      </x:c>
      <x:c r="N154" s="26" t="str">
        <x:v>UNIQUE</x:v>
      </x:c>
      <x:c r="O154" s="26" t="str">
        <x:v>05</x:v>
      </x:c>
      <x:c r="P154" s="26" t="str">
        <x:v>05</x:v>
      </x:c>
      <x:c r="Q154" s="26" t="str">
        <x:v>Published historical baseline</x:v>
      </x:c>
      <x:c r="R154" s="26" t="str">
        <x:v>SUPERSEDED AS AUTHORITY — RETAIN AS IMMUTABLE HISTORY</x:v>
      </x:c>
      <x:c r="S154" s="26" t="str">
        <x:v>00_Official_Baseline/v0.5/01_Design/Cartridge_And_Cloud_UX_Flow_v0.4.pdf</x:v>
      </x:c>
      <x:c r="T154" s="26" t="str">
        <x:v>Historical path preserved verbatim; hash calculated from supplied pre-regeneration project.</x:v>
      </x:c>
    </x:row>
    <x:row r="155" ht="30" customHeight="1">
      <x:c r="A155" s="26" t="str">
        <x:v>H-0151</x:v>
      </x:c>
      <x:c r="B155" s="26" t="str">
        <x:v>Official Baseline</x:v>
      </x:c>
      <x:c r="C155" s="26" t="str">
        <x:v>v0.5</x:v>
      </x:c>
      <x:c r="D155" s="26" t="str">
        <x:v>v0.5</x:v>
      </x:c>
      <x:c r="E155" s="26" t="str">
        <x:v>01_Design</x:v>
      </x:c>
      <x:c r="F155" s="26"/>
      <x:c r="G155" s="26" t="str">
        <x:v>Cartridge_And_Cloud_Vertical_Slice_Specification_v0.3.pdf</x:v>
      </x:c>
      <x:c r="H155" s="26" t="str">
        <x:v>PDF</x:v>
      </x:c>
      <x:c r="I155" s="26" t="str">
        <x:v>Published baseline rendering</x:v>
      </x:c>
      <x:c r="J155" s="26" t="n">
        <x:v>18610</x:v>
      </x:c>
      <x:c r="K155" s="26" t="str">
        <x:v>b256eb82b1c49fe2598797ec5ad74d4e4a22523ebbba62ef77ca27a777d231fc</x:v>
      </x:c>
      <x:c r="L155" s="26"/>
      <x:c r="M155" s="26" t="n">
        <x:v>1</x:v>
      </x:c>
      <x:c r="N155" s="26" t="str">
        <x:v>UNIQUE</x:v>
      </x:c>
      <x:c r="O155" s="26" t="str">
        <x:v>02</x:v>
      </x:c>
      <x:c r="P155" s="26" t="str">
        <x:v>02</x:v>
      </x:c>
      <x:c r="Q155" s="26" t="str">
        <x:v>Published historical baseline</x:v>
      </x:c>
      <x:c r="R155" s="26" t="str">
        <x:v>SUPERSEDED AS AUTHORITY — RETAIN AS IMMUTABLE HISTORY</x:v>
      </x:c>
      <x:c r="S155" s="26" t="str">
        <x:v>00_Official_Baseline/v0.5/01_Design/Cartridge_And_Cloud_Vertical_Slice_Specification_v0.3.pdf</x:v>
      </x:c>
      <x:c r="T155" s="26" t="str">
        <x:v>Historical path preserved verbatim; hash calculated from supplied pre-regeneration project.</x:v>
      </x:c>
    </x:row>
    <x:row r="156" ht="30" customHeight="1">
      <x:c r="A156" s="26" t="str">
        <x:v>H-0152</x:v>
      </x:c>
      <x:c r="B156" s="26" t="str">
        <x:v>Official Baseline</x:v>
      </x:c>
      <x:c r="C156" s="26" t="str">
        <x:v>v0.5</x:v>
      </x:c>
      <x:c r="D156" s="26" t="str">
        <x:v>v0.5</x:v>
      </x:c>
      <x:c r="E156" s="26" t="str">
        <x:v>02_Technical</x:v>
      </x:c>
      <x:c r="F156" s="26"/>
      <x:c r="G156" s="26" t="str">
        <x:v>Cartridge_And_Cloud_Build_Versioning_Guide_v0.5.pdf</x:v>
      </x:c>
      <x:c r="H156" s="26" t="str">
        <x:v>PDF</x:v>
      </x:c>
      <x:c r="I156" s="26" t="str">
        <x:v>Published baseline rendering</x:v>
      </x:c>
      <x:c r="J156" s="26" t="n">
        <x:v>18588</x:v>
      </x:c>
      <x:c r="K156" s="26" t="str">
        <x:v>34fc32adf9c6383d0bf5b79ed446cd4dd00c9518cbd67c6e9d7cd5623b236347</x:v>
      </x:c>
      <x:c r="L156" s="26"/>
      <x:c r="M156" s="26" t="n">
        <x:v>1</x:v>
      </x:c>
      <x:c r="N156" s="26" t="str">
        <x:v>UNIQUE</x:v>
      </x:c>
      <x:c r="O156" s="26" t="str">
        <x:v>11</x:v>
      </x:c>
      <x:c r="P156" s="26" t="str">
        <x:v>11</x:v>
      </x:c>
      <x:c r="Q156" s="26" t="str">
        <x:v>Published historical baseline</x:v>
      </x:c>
      <x:c r="R156" s="26" t="str">
        <x:v>SUPERSEDED AS AUTHORITY — RETAIN AS IMMUTABLE HISTORY</x:v>
      </x:c>
      <x:c r="S156" s="26" t="str">
        <x:v>00_Official_Baseline/v0.5/02_Technical/Cartridge_And_Cloud_Build_Versioning_Guide_v0.5.pdf</x:v>
      </x:c>
      <x:c r="T156" s="26" t="str">
        <x:v>Historical path preserved verbatim; hash calculated from supplied pre-regeneration project.</x:v>
      </x:c>
    </x:row>
    <x:row r="157" ht="30" customHeight="1">
      <x:c r="A157" s="26" t="str">
        <x:v>H-0153</x:v>
      </x:c>
      <x:c r="B157" s="26" t="str">
        <x:v>Official Baseline</x:v>
      </x:c>
      <x:c r="C157" s="26" t="str">
        <x:v>v0.5</x:v>
      </x:c>
      <x:c r="D157" s="26" t="str">
        <x:v>v0.5</x:v>
      </x:c>
      <x:c r="E157" s="26" t="str">
        <x:v>02_Technical</x:v>
      </x:c>
      <x:c r="F157" s="26"/>
      <x:c r="G157" s="26" t="str">
        <x:v>Cartridge_And_Cloud_CSharp_Coding_Standards_v0.4.pdf</x:v>
      </x:c>
      <x:c r="H157" s="26" t="str">
        <x:v>PDF</x:v>
      </x:c>
      <x:c r="I157" s="26" t="str">
        <x:v>Published baseline rendering</x:v>
      </x:c>
      <x:c r="J157" s="26" t="n">
        <x:v>20856</x:v>
      </x:c>
      <x:c r="K157" s="26" t="str">
        <x:v>dbb8bd5fd565a2c4078c26f56d1d1474daaa44ba98920fcf3bfc72f4a4081632</x:v>
      </x:c>
      <x:c r="L157" s="26"/>
      <x:c r="M157" s="26" t="n">
        <x:v>1</x:v>
      </x:c>
      <x:c r="N157" s="26" t="str">
        <x:v>UNIQUE</x:v>
      </x:c>
      <x:c r="O157" s="26" t="str">
        <x:v>09</x:v>
      </x:c>
      <x:c r="P157" s="26" t="str">
        <x:v>09</x:v>
      </x:c>
      <x:c r="Q157" s="26" t="str">
        <x:v>Published historical baseline</x:v>
      </x:c>
      <x:c r="R157" s="26" t="str">
        <x:v>SUPERSEDED AS AUTHORITY — RETAIN AS IMMUTABLE HISTORY</x:v>
      </x:c>
      <x:c r="S157" s="26" t="str">
        <x:v>00_Official_Baseline/v0.5/02_Technical/Cartridge_And_Cloud_CSharp_Coding_Standards_v0.4.pdf</x:v>
      </x:c>
      <x:c r="T157" s="26" t="str">
        <x:v>Historical path preserved verbatim; hash calculated from supplied pre-regeneration project.</x:v>
      </x:c>
    </x:row>
    <x:row r="158" ht="30" customHeight="1">
      <x:c r="A158" s="26" t="str">
        <x:v>H-0154</x:v>
      </x:c>
      <x:c r="B158" s="26" t="str">
        <x:v>Official Baseline</x:v>
      </x:c>
      <x:c r="C158" s="26" t="str">
        <x:v>v0.5</x:v>
      </x:c>
      <x:c r="D158" s="26" t="str">
        <x:v>v0.5</x:v>
      </x:c>
      <x:c r="E158" s="26" t="str">
        <x:v>02_Technical</x:v>
      </x:c>
      <x:c r="F158" s="26"/>
      <x:c r="G158" s="26" t="str">
        <x:v>Cartridge_And_Cloud_Modelo_de_Datos_v0.4.pdf</x:v>
      </x:c>
      <x:c r="H158" s="26" t="str">
        <x:v>PDF</x:v>
      </x:c>
      <x:c r="I158" s="26" t="str">
        <x:v>Published baseline rendering</x:v>
      </x:c>
      <x:c r="J158" s="26" t="n">
        <x:v>23279</x:v>
      </x:c>
      <x:c r="K158" s="26" t="str">
        <x:v>022bbed24274749a627b0547d51d9e6570dcf711194c747394a3979241c6314a</x:v>
      </x:c>
      <x:c r="L158" s="26"/>
      <x:c r="M158" s="26" t="n">
        <x:v>1</x:v>
      </x:c>
      <x:c r="N158" s="26" t="str">
        <x:v>UNIQUE</x:v>
      </x:c>
      <x:c r="O158" s="26" t="str">
        <x:v>04</x:v>
      </x:c>
      <x:c r="P158" s="26" t="str">
        <x:v>04</x:v>
      </x:c>
      <x:c r="Q158" s="26" t="str">
        <x:v>Published historical baseline</x:v>
      </x:c>
      <x:c r="R158" s="26" t="str">
        <x:v>SUPERSEDED AS AUTHORITY — RETAIN AS IMMUTABLE HISTORY</x:v>
      </x:c>
      <x:c r="S158" s="26" t="str">
        <x:v>00_Official_Baseline/v0.5/02_Technical/Cartridge_And_Cloud_Modelo_de_Datos_v0.4.pdf</x:v>
      </x:c>
      <x:c r="T158" s="26" t="str">
        <x:v>Historical path preserved verbatim; hash calculated from supplied pre-regeneration project.</x:v>
      </x:c>
    </x:row>
    <x:row r="159" ht="30" customHeight="1">
      <x:c r="A159" s="26" t="str">
        <x:v>H-0155</x:v>
      </x:c>
      <x:c r="B159" s="26" t="str">
        <x:v>Official Baseline</x:v>
      </x:c>
      <x:c r="C159" s="26" t="str">
        <x:v>v0.5</x:v>
      </x:c>
      <x:c r="D159" s="26" t="str">
        <x:v>v0.5</x:v>
      </x:c>
      <x:c r="E159" s="26" t="str">
        <x:v>02_Technical</x:v>
      </x:c>
      <x:c r="F159" s="26"/>
      <x:c r="G159" s="26" t="str">
        <x:v>Cartridge_And_Cloud_TDD_v0.5_Technical_Design_Document.pdf</x:v>
      </x:c>
      <x:c r="H159" s="26" t="str">
        <x:v>PDF</x:v>
      </x:c>
      <x:c r="I159" s="26" t="str">
        <x:v>Published baseline rendering</x:v>
      </x:c>
      <x:c r="J159" s="26" t="n">
        <x:v>23003</x:v>
      </x:c>
      <x:c r="K159" s="26" t="str">
        <x:v>87ca947c5d4fc56096449d54e59f4b3abea4daa028ce41a00cb3162d72284d24</x:v>
      </x:c>
      <x:c r="L159" s="26"/>
      <x:c r="M159" s="26" t="n">
        <x:v>1</x:v>
      </x:c>
      <x:c r="N159" s="26" t="str">
        <x:v>UNIQUE</x:v>
      </x:c>
      <x:c r="O159" s="26" t="str">
        <x:v>03</x:v>
      </x:c>
      <x:c r="P159" s="26" t="str">
        <x:v>03</x:v>
      </x:c>
      <x:c r="Q159" s="26" t="str">
        <x:v>Published historical baseline</x:v>
      </x:c>
      <x:c r="R159" s="26" t="str">
        <x:v>SUPERSEDED AS AUTHORITY — RETAIN AS IMMUTABLE HISTORY</x:v>
      </x:c>
      <x:c r="S159" s="26" t="str">
        <x:v>00_Official_Baseline/v0.5/02_Technical/Cartridge_And_Cloud_TDD_v0.5_Technical_Design_Document.pdf</x:v>
      </x:c>
      <x:c r="T159" s="26" t="str">
        <x:v>Historical path preserved verbatim; hash calculated from supplied pre-regeneration project.</x:v>
      </x:c>
    </x:row>
    <x:row r="160" ht="30" customHeight="1">
      <x:c r="A160" s="26" t="str">
        <x:v>H-0156</x:v>
      </x:c>
      <x:c r="B160" s="26" t="str">
        <x:v>Official Baseline</x:v>
      </x:c>
      <x:c r="C160" s="26" t="str">
        <x:v>v0.5</x:v>
      </x:c>
      <x:c r="D160" s="26" t="str">
        <x:v>v0.5</x:v>
      </x:c>
      <x:c r="E160" s="26" t="str">
        <x:v>02_Technical</x:v>
      </x:c>
      <x:c r="F160" s="26"/>
      <x:c r="G160" s="26" t="str">
        <x:v>Cartridge_And_Cloud_Unity_Project_Setup_Guide_v0.5.pdf</x:v>
      </x:c>
      <x:c r="H160" s="26" t="str">
        <x:v>PDF</x:v>
      </x:c>
      <x:c r="I160" s="26" t="str">
        <x:v>Published baseline rendering</x:v>
      </x:c>
      <x:c r="J160" s="26" t="n">
        <x:v>20165</x:v>
      </x:c>
      <x:c r="K160" s="26" t="str">
        <x:v>5892ba151a6fce83012f252b41260b2bac73809cb27559ab4f3fcf03173e89b0</x:v>
      </x:c>
      <x:c r="L160" s="26"/>
      <x:c r="M160" s="26" t="n">
        <x:v>1</x:v>
      </x:c>
      <x:c r="N160" s="26" t="str">
        <x:v>UNIQUE</x:v>
      </x:c>
      <x:c r="O160" s="26" t="str">
        <x:v>10</x:v>
      </x:c>
      <x:c r="P160" s="26" t="str">
        <x:v>10</x:v>
      </x:c>
      <x:c r="Q160" s="26" t="str">
        <x:v>Published historical baseline</x:v>
      </x:c>
      <x:c r="R160" s="26" t="str">
        <x:v>SUPERSEDED AS AUTHORITY — RETAIN AS IMMUTABLE HISTORY</x:v>
      </x:c>
      <x:c r="S160" s="26" t="str">
        <x:v>00_Official_Baseline/v0.5/02_Technical/Cartridge_And_Cloud_Unity_Project_Setup_Guide_v0.5.pdf</x:v>
      </x:c>
      <x:c r="T160" s="26" t="str">
        <x:v>Historical path preserved verbatim; hash calculated from supplied pre-regeneration project.</x:v>
      </x:c>
    </x:row>
    <x:row r="161" ht="30" customHeight="1">
      <x:c r="A161" s="26" t="str">
        <x:v>H-0157</x:v>
      </x:c>
      <x:c r="B161" s="26" t="str">
        <x:v>Official Baseline</x:v>
      </x:c>
      <x:c r="C161" s="26" t="str">
        <x:v>v0.5</x:v>
      </x:c>
      <x:c r="D161" s="26" t="str">
        <x:v>v0.5</x:v>
      </x:c>
      <x:c r="E161" s="26" t="str">
        <x:v>03_Visual_Audio</x:v>
      </x:c>
      <x:c r="F161" s="26"/>
      <x:c r="G161" s="26" t="str">
        <x:v>Cartridge_And_Cloud_Art_Bible_v0.4.pdf</x:v>
      </x:c>
      <x:c r="H161" s="26" t="str">
        <x:v>PDF</x:v>
      </x:c>
      <x:c r="I161" s="26" t="str">
        <x:v>Published baseline rendering</x:v>
      </x:c>
      <x:c r="J161" s="26" t="n">
        <x:v>17001</x:v>
      </x:c>
      <x:c r="K161" s="26" t="str">
        <x:v>0a1b58c57c3e45c4a698f3c5a57227876a8e541e80b4e8d275b3f8585aa0c732</x:v>
      </x:c>
      <x:c r="L161" s="26"/>
      <x:c r="M161" s="26" t="n">
        <x:v>1</x:v>
      </x:c>
      <x:c r="N161" s="26" t="str">
        <x:v>UNIQUE</x:v>
      </x:c>
      <x:c r="O161" s="26" t="str">
        <x:v>17</x:v>
      </x:c>
      <x:c r="P161" s="26" t="str">
        <x:v>17</x:v>
      </x:c>
      <x:c r="Q161" s="26" t="str">
        <x:v>Published historical baseline</x:v>
      </x:c>
      <x:c r="R161" s="26" t="str">
        <x:v>SUPERSEDED AS AUTHORITY — RETAIN AS IMMUTABLE HISTORY</x:v>
      </x:c>
      <x:c r="S161" s="26" t="str">
        <x:v>00_Official_Baseline/v0.5/03_Visual_Audio/Cartridge_And_Cloud_Art_Bible_v0.4.pdf</x:v>
      </x:c>
      <x:c r="T161" s="26" t="str">
        <x:v>Historical path preserved verbatim; hash calculated from supplied pre-regeneration project.</x:v>
      </x:c>
    </x:row>
    <x:row r="162" ht="30" customHeight="1">
      <x:c r="A162" s="26" t="str">
        <x:v>H-0158</x:v>
      </x:c>
      <x:c r="B162" s="26" t="str">
        <x:v>Official Baseline</x:v>
      </x:c>
      <x:c r="C162" s="26" t="str">
        <x:v>v0.5</x:v>
      </x:c>
      <x:c r="D162" s="26" t="str">
        <x:v>v0.5</x:v>
      </x:c>
      <x:c r="E162" s="26" t="str">
        <x:v>03_Visual_Audio</x:v>
      </x:c>
      <x:c r="F162" s="26"/>
      <x:c r="G162" s="26" t="str">
        <x:v>Cartridge_And_Cloud_Audio_Bible_v0.4.pdf</x:v>
      </x:c>
      <x:c r="H162" s="26" t="str">
        <x:v>PDF</x:v>
      </x:c>
      <x:c r="I162" s="26" t="str">
        <x:v>Published baseline rendering</x:v>
      </x:c>
      <x:c r="J162" s="26" t="n">
        <x:v>16228</x:v>
      </x:c>
      <x:c r="K162" s="26" t="str">
        <x:v>a8991cac49c1999b4f34c42910f3fb7a4cb07c77b44fe2f54469bd2505147b0f</x:v>
      </x:c>
      <x:c r="L162" s="26"/>
      <x:c r="M162" s="26" t="n">
        <x:v>1</x:v>
      </x:c>
      <x:c r="N162" s="26" t="str">
        <x:v>UNIQUE</x:v>
      </x:c>
      <x:c r="O162" s="26" t="str">
        <x:v>18</x:v>
      </x:c>
      <x:c r="P162" s="26" t="str">
        <x:v>18</x:v>
      </x:c>
      <x:c r="Q162" s="26" t="str">
        <x:v>Published historical baseline</x:v>
      </x:c>
      <x:c r="R162" s="26" t="str">
        <x:v>SUPERSEDED AS AUTHORITY — RETAIN AS IMMUTABLE HISTORY</x:v>
      </x:c>
      <x:c r="S162" s="26" t="str">
        <x:v>00_Official_Baseline/v0.5/03_Visual_Audio/Cartridge_And_Cloud_Audio_Bible_v0.4.pdf</x:v>
      </x:c>
      <x:c r="T162" s="26" t="str">
        <x:v>Historical path preserved verbatim; hash calculated from supplied pre-regeneration project.</x:v>
      </x:c>
    </x:row>
    <x:row r="163" ht="30" customHeight="1">
      <x:c r="A163" s="26" t="str">
        <x:v>H-0159</x:v>
      </x:c>
      <x:c r="B163" s="26" t="str">
        <x:v>Official Baseline</x:v>
      </x:c>
      <x:c r="C163" s="26" t="str">
        <x:v>v0.5</x:v>
      </x:c>
      <x:c r="D163" s="26" t="str">
        <x:v>v0.5</x:v>
      </x:c>
      <x:c r="E163" s="26" t="str">
        <x:v>03_Visual_Audio</x:v>
      </x:c>
      <x:c r="F163" s="26"/>
      <x:c r="G163" s="26" t="str">
        <x:v>Cartridge_And_Cloud_UI_Style_Guide_v0.4.pdf</x:v>
      </x:c>
      <x:c r="H163" s="26" t="str">
        <x:v>PDF</x:v>
      </x:c>
      <x:c r="I163" s="26" t="str">
        <x:v>Published baseline rendering</x:v>
      </x:c>
      <x:c r="J163" s="26" t="n">
        <x:v>17718</x:v>
      </x:c>
      <x:c r="K163" s="26" t="str">
        <x:v>e9fa1ac1d737bb8945eb76a22a7a593b1e7e453c8930be72037f18f1c2f8b4b1</x:v>
      </x:c>
      <x:c r="L163" s="26"/>
      <x:c r="M163" s="26" t="n">
        <x:v>1</x:v>
      </x:c>
      <x:c r="N163" s="26" t="str">
        <x:v>UNIQUE</x:v>
      </x:c>
      <x:c r="O163" s="26" t="str">
        <x:v>19</x:v>
      </x:c>
      <x:c r="P163" s="26" t="str">
        <x:v>19</x:v>
      </x:c>
      <x:c r="Q163" s="26" t="str">
        <x:v>Published historical baseline</x:v>
      </x:c>
      <x:c r="R163" s="26" t="str">
        <x:v>SUPERSEDED AS AUTHORITY — RETAIN AS IMMUTABLE HISTORY</x:v>
      </x:c>
      <x:c r="S163" s="26" t="str">
        <x:v>00_Official_Baseline/v0.5/03_Visual_Audio/Cartridge_And_Cloud_UI_Style_Guide_v0.4.pdf</x:v>
      </x:c>
      <x:c r="T163" s="26" t="str">
        <x:v>Historical path preserved verbatim; hash calculated from supplied pre-regeneration project.</x:v>
      </x:c>
    </x:row>
    <x:row r="164" ht="30" customHeight="1">
      <x:c r="A164" s="26" t="str">
        <x:v>H-0160</x:v>
      </x:c>
      <x:c r="B164" s="26" t="str">
        <x:v>Official Baseline</x:v>
      </x:c>
      <x:c r="C164" s="26" t="str">
        <x:v>v0.5</x:v>
      </x:c>
      <x:c r="D164" s="26" t="str">
        <x:v>v0.5</x:v>
      </x:c>
      <x:c r="E164" s="26" t="str">
        <x:v>04_QA_Production</x:v>
      </x:c>
      <x:c r="F164" s="26"/>
      <x:c r="G164" s="26" t="str">
        <x:v>Cartridge_And_Cloud_Excel_Maestro_Produccion_v0.5.xlsx</x:v>
      </x:c>
      <x:c r="H164" s="26" t="str">
        <x:v>Excel</x:v>
      </x:c>
      <x:c r="I164" s="26" t="str">
        <x:v>Operational spreadsheet</x:v>
      </x:c>
      <x:c r="J164" s="26" t="n">
        <x:v>11471</x:v>
      </x:c>
      <x:c r="K164" s="26" t="str">
        <x:v>d6a252b5afeaa9a51a7ccd160d3e4f2c4f5dead46cd5a3677df095a669181d4c</x:v>
      </x:c>
      <x:c r="L164" s="26" t="str">
        <x:v>DG-086</x:v>
      </x:c>
      <x:c r="M164" s="26" t="n">
        <x:v>2</x:v>
      </x:c>
      <x:c r="N164" s="26" t="str">
        <x:v>DUPLICATE GROUP REPRESENTATIVE</x:v>
      </x:c>
      <x:c r="O164" s="26" t="str">
        <x:v>12</x:v>
      </x:c>
      <x:c r="P164" s="26" t="str">
        <x:v>12</x:v>
      </x:c>
      <x:c r="Q164" s="26" t="str">
        <x:v>Published historical baseline</x:v>
      </x:c>
      <x:c r="R164" s="26" t="str">
        <x:v>SUPERSEDED AS AUTHORITY — RETAIN AS IMMUTABLE HISTORY</x:v>
      </x:c>
      <x:c r="S164" s="26" t="str">
        <x:v>00_Official_Baseline/v0.5/04_QA_Production/Cartridge_And_Cloud_Excel_Maestro_Produccion_v0.5.xlsx</x:v>
      </x:c>
      <x:c r="T164" s="26" t="str">
        <x:v>Historical path preserved verbatim; hash calculated from supplied pre-regeneration project.</x:v>
      </x:c>
    </x:row>
    <x:row r="165" ht="30" customHeight="1">
      <x:c r="A165" s="26" t="str">
        <x:v>H-0161</x:v>
      </x:c>
      <x:c r="B165" s="26" t="str">
        <x:v>Official Baseline</x:v>
      </x:c>
      <x:c r="C165" s="26" t="str">
        <x:v>v0.5</x:v>
      </x:c>
      <x:c r="D165" s="26" t="str">
        <x:v>v0.5</x:v>
      </x:c>
      <x:c r="E165" s="26" t="str">
        <x:v>04_QA_Production</x:v>
      </x:c>
      <x:c r="F165" s="26"/>
      <x:c r="G165" s="26" t="str">
        <x:v>Cartridge_And_Cloud_Production_Roadmap_Sprint_Plan_v0.5.pdf</x:v>
      </x:c>
      <x:c r="H165" s="26" t="str">
        <x:v>PDF</x:v>
      </x:c>
      <x:c r="I165" s="26" t="str">
        <x:v>Published baseline rendering</x:v>
      </x:c>
      <x:c r="J165" s="26" t="n">
        <x:v>21719</x:v>
      </x:c>
      <x:c r="K165" s="26" t="str">
        <x:v>d75c34e0085a41c5a875fd17cf8fe3f7ea3f6b6ba6e496246a2cf93e06427b93</x:v>
      </x:c>
      <x:c r="L165" s="26"/>
      <x:c r="M165" s="26" t="n">
        <x:v>1</x:v>
      </x:c>
      <x:c r="N165" s="26" t="str">
        <x:v>UNIQUE</x:v>
      </x:c>
      <x:c r="O165" s="26" t="str">
        <x:v>06</x:v>
      </x:c>
      <x:c r="P165" s="26" t="str">
        <x:v>06</x:v>
      </x:c>
      <x:c r="Q165" s="26" t="str">
        <x:v>Published historical baseline</x:v>
      </x:c>
      <x:c r="R165" s="26" t="str">
        <x:v>SUPERSEDED AS AUTHORITY — RETAIN AS IMMUTABLE HISTORY</x:v>
      </x:c>
      <x:c r="S165" s="26" t="str">
        <x:v>00_Official_Baseline/v0.5/04_QA_Production/Cartridge_And_Cloud_Production_Roadmap_Sprint_Plan_v0.5.pdf</x:v>
      </x:c>
      <x:c r="T165" s="26" t="str">
        <x:v>Historical path preserved verbatim; hash calculated from supplied pre-regeneration project.</x:v>
      </x:c>
    </x:row>
    <x:row r="166" ht="30" customHeight="1">
      <x:c r="A166" s="26" t="str">
        <x:v>H-0162</x:v>
      </x:c>
      <x:c r="B166" s="26" t="str">
        <x:v>Official Baseline</x:v>
      </x:c>
      <x:c r="C166" s="26" t="str">
        <x:v>v0.5</x:v>
      </x:c>
      <x:c r="D166" s="26" t="str">
        <x:v>v0.5</x:v>
      </x:c>
      <x:c r="E166" s="26" t="str">
        <x:v>04_QA_Production</x:v>
      </x:c>
      <x:c r="F166" s="26"/>
      <x:c r="G166" s="26" t="str">
        <x:v>Cartridge_And_Cloud_QA_Testing_Matrix_v0.5.xlsx</x:v>
      </x:c>
      <x:c r="H166" s="26" t="str">
        <x:v>Excel</x:v>
      </x:c>
      <x:c r="I166" s="26" t="str">
        <x:v>Operational spreadsheet</x:v>
      </x:c>
      <x:c r="J166" s="26" t="n">
        <x:v>8327</x:v>
      </x:c>
      <x:c r="K166" s="26" t="str">
        <x:v>dbff9b69bb8edae19c2158fb4293aaf574a584a407cca672cf6f89dabae6690e</x:v>
      </x:c>
      <x:c r="L166" s="26" t="str">
        <x:v>DG-089</x:v>
      </x:c>
      <x:c r="M166" s="26" t="n">
        <x:v>2</x:v>
      </x:c>
      <x:c r="N166" s="26" t="str">
        <x:v>DUPLICATE GROUP REPRESENTATIVE</x:v>
      </x:c>
      <x:c r="O166" s="26" t="str">
        <x:v>08</x:v>
      </x:c>
      <x:c r="P166" s="26" t="str">
        <x:v>08</x:v>
      </x:c>
      <x:c r="Q166" s="26" t="str">
        <x:v>Published historical baseline</x:v>
      </x:c>
      <x:c r="R166" s="26" t="str">
        <x:v>SUPERSEDED AS AUTHORITY — RETAIN AS IMMUTABLE HISTORY</x:v>
      </x:c>
      <x:c r="S166" s="26" t="str">
        <x:v>00_Official_Baseline/v0.5/04_QA_Production/Cartridge_And_Cloud_QA_Testing_Matrix_v0.5.xlsx</x:v>
      </x:c>
      <x:c r="T166" s="26" t="str">
        <x:v>Historical path preserved verbatim; hash calculated from supplied pre-regeneration project.</x:v>
      </x:c>
    </x:row>
    <x:row r="167" ht="30" customHeight="1">
      <x:c r="A167" s="26" t="str">
        <x:v>H-0163</x:v>
      </x:c>
      <x:c r="B167" s="26" t="str">
        <x:v>Official Baseline</x:v>
      </x:c>
      <x:c r="C167" s="26" t="str">
        <x:v>v0.5</x:v>
      </x:c>
      <x:c r="D167" s="26" t="str">
        <x:v>v0.5</x:v>
      </x:c>
      <x:c r="E167" s="26" t="str">
        <x:v>04_QA_Production</x:v>
      </x:c>
      <x:c r="F167" s="26"/>
      <x:c r="G167" s="26" t="str">
        <x:v>Cartridge_And_Cloud_QA_Testing_Plan_v0.5.pdf</x:v>
      </x:c>
      <x:c r="H167" s="26" t="str">
        <x:v>PDF</x:v>
      </x:c>
      <x:c r="I167" s="26" t="str">
        <x:v>Published baseline rendering</x:v>
      </x:c>
      <x:c r="J167" s="26" t="n">
        <x:v>20203</x:v>
      </x:c>
      <x:c r="K167" s="26" t="str">
        <x:v>0763d0d411746199eaa762acc995f591393eb39a1c8d88511c4dec488e56e74e</x:v>
      </x:c>
      <x:c r="L167" s="26"/>
      <x:c r="M167" s="26" t="n">
        <x:v>1</x:v>
      </x:c>
      <x:c r="N167" s="26" t="str">
        <x:v>UNIQUE</x:v>
      </x:c>
      <x:c r="O167" s="26" t="str">
        <x:v>07</x:v>
      </x:c>
      <x:c r="P167" s="26" t="str">
        <x:v>07</x:v>
      </x:c>
      <x:c r="Q167" s="26" t="str">
        <x:v>Published historical baseline</x:v>
      </x:c>
      <x:c r="R167" s="26" t="str">
        <x:v>SUPERSEDED AS AUTHORITY — RETAIN AS IMMUTABLE HISTORY</x:v>
      </x:c>
      <x:c r="S167" s="26" t="str">
        <x:v>00_Official_Baseline/v0.5/04_QA_Production/Cartridge_And_Cloud_QA_Testing_Plan_v0.5.pdf</x:v>
      </x:c>
      <x:c r="T167" s="26" t="str">
        <x:v>Historical path preserved verbatim; hash calculated from supplied pre-regeneration project.</x:v>
      </x:c>
    </x:row>
    <x:row r="168" ht="30" customHeight="1">
      <x:c r="A168" s="26" t="str">
        <x:v>H-0164</x:v>
      </x:c>
      <x:c r="B168" s="26" t="str">
        <x:v>Official Baseline</x:v>
      </x:c>
      <x:c r="C168" s="26" t="str">
        <x:v>v0.5</x:v>
      </x:c>
      <x:c r="D168" s="26" t="str">
        <x:v>v0.5</x:v>
      </x:c>
      <x:c r="E168" s="26" t="str">
        <x:v>04_QA_Production</x:v>
      </x:c>
      <x:c r="F168" s="26"/>
      <x:c r="G168" s="26" t="str">
        <x:v>Cartridge_And_Cloud_Trazabilidad_Control_Cambios_v0.5.xlsx</x:v>
      </x:c>
      <x:c r="H168" s="26" t="str">
        <x:v>Excel</x:v>
      </x:c>
      <x:c r="I168" s="26" t="str">
        <x:v>Operational spreadsheet</x:v>
      </x:c>
      <x:c r="J168" s="26" t="n">
        <x:v>8674</x:v>
      </x:c>
      <x:c r="K168" s="26" t="str">
        <x:v>da5c5afe865e1ae53df4c3453485263fe0dec512d824e2cefdd1d973566c6734</x:v>
      </x:c>
      <x:c r="L168" s="26" t="str">
        <x:v>DG-087</x:v>
      </x:c>
      <x:c r="M168" s="26" t="n">
        <x:v>2</x:v>
      </x:c>
      <x:c r="N168" s="26" t="str">
        <x:v>DUPLICATE GROUP REPRESENTATIVE</x:v>
      </x:c>
      <x:c r="O168" s="26" t="str">
        <x:v>13</x:v>
      </x:c>
      <x:c r="P168" s="26" t="str">
        <x:v>13</x:v>
      </x:c>
      <x:c r="Q168" s="26" t="str">
        <x:v>Published historical baseline</x:v>
      </x:c>
      <x:c r="R168" s="26" t="str">
        <x:v>SUPERSEDED AS AUTHORITY — RETAIN AS IMMUTABLE HISTORY</x:v>
      </x:c>
      <x:c r="S168" s="26" t="str">
        <x:v>00_Official_Baseline/v0.5/04_QA_Production/Cartridge_And_Cloud_Trazabilidad_Control_Cambios_v0.5.xlsx</x:v>
      </x:c>
      <x:c r="T168" s="26" t="str">
        <x:v>Historical path preserved verbatim; hash calculated from supplied pre-regeneration project.</x:v>
      </x:c>
    </x:row>
    <x:row r="169" ht="30" customHeight="1">
      <x:c r="A169" s="26" t="str">
        <x:v>H-0165</x:v>
      </x:c>
      <x:c r="B169" s="26" t="str">
        <x:v>Official Baseline</x:v>
      </x:c>
      <x:c r="C169" s="26" t="str">
        <x:v>v0.5</x:v>
      </x:c>
      <x:c r="D169" s="26" t="str">
        <x:v>v0.5</x:v>
      </x:c>
      <x:c r="E169" s="26" t="str">
        <x:v>05_Business_Release</x:v>
      </x:c>
      <x:c r="F169" s="26"/>
      <x:c r="G169" s="26" t="str">
        <x:v>Cartridge_And_Cloud_Legal_Credits_Licenses_Register_v0.4.pdf</x:v>
      </x:c>
      <x:c r="H169" s="26" t="str">
        <x:v>PDF</x:v>
      </x:c>
      <x:c r="I169" s="26" t="str">
        <x:v>Published baseline rendering</x:v>
      </x:c>
      <x:c r="J169" s="26" t="n">
        <x:v>15779</x:v>
      </x:c>
      <x:c r="K169" s="26" t="str">
        <x:v>d8fa9f63a454facc7e8d4e3fa8e50d1a95f0bb7a8f8bef06211e9d12accb5343</x:v>
      </x:c>
      <x:c r="L169" s="26"/>
      <x:c r="M169" s="26" t="n">
        <x:v>1</x:v>
      </x:c>
      <x:c r="N169" s="26" t="str">
        <x:v>UNIQUE</x:v>
      </x:c>
      <x:c r="O169" s="26" t="str">
        <x:v>23</x:v>
      </x:c>
      <x:c r="P169" s="26" t="str">
        <x:v>23</x:v>
      </x:c>
      <x:c r="Q169" s="26" t="str">
        <x:v>Published historical baseline</x:v>
      </x:c>
      <x:c r="R169" s="26" t="str">
        <x:v>SUPERSEDED AS AUTHORITY — RETAIN AS IMMUTABLE HISTORY</x:v>
      </x:c>
      <x:c r="S169" s="26" t="str">
        <x:v>00_Official_Baseline/v0.5/05_Business_Release/Cartridge_And_Cloud_Legal_Credits_Licenses_Register_v0.4.pdf</x:v>
      </x:c>
      <x:c r="T169" s="26" t="str">
        <x:v>Historical path preserved verbatim; hash calculated from supplied pre-regeneration project.</x:v>
      </x:c>
    </x:row>
    <x:row r="170" ht="30" customHeight="1">
      <x:c r="A170" s="26" t="str">
        <x:v>H-0166</x:v>
      </x:c>
      <x:c r="B170" s="26" t="str">
        <x:v>Official Baseline</x:v>
      </x:c>
      <x:c r="C170" s="26" t="str">
        <x:v>v0.5</x:v>
      </x:c>
      <x:c r="D170" s="26" t="str">
        <x:v>v0.5</x:v>
      </x:c>
      <x:c r="E170" s="26" t="str">
        <x:v>05_Business_Release</x:v>
      </x:c>
      <x:c r="F170" s="26"/>
      <x:c r="G170" s="26" t="str">
        <x:v>Cartridge_And_Cloud_Localization_Plan_v0.4.pdf</x:v>
      </x:c>
      <x:c r="H170" s="26" t="str">
        <x:v>PDF</x:v>
      </x:c>
      <x:c r="I170" s="26" t="str">
        <x:v>Published baseline rendering</x:v>
      </x:c>
      <x:c r="J170" s="26" t="n">
        <x:v>15507</x:v>
      </x:c>
      <x:c r="K170" s="26" t="str">
        <x:v>0194a14af0cb3121540d5ac73f3264c2d29037256953c15a74379690e1727e4c</x:v>
      </x:c>
      <x:c r="L170" s="26"/>
      <x:c r="M170" s="26" t="n">
        <x:v>1</x:v>
      </x:c>
      <x:c r="N170" s="26" t="str">
        <x:v>UNIQUE</x:v>
      </x:c>
      <x:c r="O170" s="26" t="str">
        <x:v>22</x:v>
      </x:c>
      <x:c r="P170" s="26" t="str">
        <x:v>22</x:v>
      </x:c>
      <x:c r="Q170" s="26" t="str">
        <x:v>Published historical baseline</x:v>
      </x:c>
      <x:c r="R170" s="26" t="str">
        <x:v>SUPERSEDED AS AUTHORITY — RETAIN AS IMMUTABLE HISTORY</x:v>
      </x:c>
      <x:c r="S170" s="26" t="str">
        <x:v>00_Official_Baseline/v0.5/05_Business_Release/Cartridge_And_Cloud_Localization_Plan_v0.4.pdf</x:v>
      </x:c>
      <x:c r="T170" s="26" t="str">
        <x:v>Historical path preserved verbatim; hash calculated from supplied pre-regeneration project.</x:v>
      </x:c>
    </x:row>
    <x:row r="171" ht="30" customHeight="1">
      <x:c r="A171" s="26" t="str">
        <x:v>H-0167</x:v>
      </x:c>
      <x:c r="B171" s="26" t="str">
        <x:v>Official Baseline</x:v>
      </x:c>
      <x:c r="C171" s="26" t="str">
        <x:v>v0.5</x:v>
      </x:c>
      <x:c r="D171" s="26" t="str">
        <x:v>v0.5</x:v>
      </x:c>
      <x:c r="E171" s="26" t="str">
        <x:v>05_Business_Release</x:v>
      </x:c>
      <x:c r="F171" s="26"/>
      <x:c r="G171" s="26" t="str">
        <x:v>Cartridge_And_Cloud_Marketing_Plan_v0.4.pdf</x:v>
      </x:c>
      <x:c r="H171" s="26" t="str">
        <x:v>PDF</x:v>
      </x:c>
      <x:c r="I171" s="26" t="str">
        <x:v>Published baseline rendering</x:v>
      </x:c>
      <x:c r="J171" s="26" t="n">
        <x:v>16171</x:v>
      </x:c>
      <x:c r="K171" s="26" t="str">
        <x:v>edf4ba3e10869a15504bc315314bc9a500475ce249e9617835e9dfbf5d1e180b</x:v>
      </x:c>
      <x:c r="L171" s="26"/>
      <x:c r="M171" s="26" t="n">
        <x:v>1</x:v>
      </x:c>
      <x:c r="N171" s="26" t="str">
        <x:v>UNIQUE</x:v>
      </x:c>
      <x:c r="O171" s="26" t="str">
        <x:v>28</x:v>
      </x:c>
      <x:c r="P171" s="26" t="str">
        <x:v>28</x:v>
      </x:c>
      <x:c r="Q171" s="26" t="str">
        <x:v>Published historical baseline</x:v>
      </x:c>
      <x:c r="R171" s="26" t="str">
        <x:v>SUPERSEDED AS AUTHORITY — RETAIN AS IMMUTABLE HISTORY</x:v>
      </x:c>
      <x:c r="S171" s="26" t="str">
        <x:v>00_Official_Baseline/v0.5/05_Business_Release/Cartridge_And_Cloud_Marketing_Plan_v0.4.pdf</x:v>
      </x:c>
      <x:c r="T171" s="26" t="str">
        <x:v>Historical path preserved verbatim; hash calculated from supplied pre-regeneration project.</x:v>
      </x:c>
    </x:row>
    <x:row r="172" ht="30" customHeight="1">
      <x:c r="A172" s="26" t="str">
        <x:v>H-0168</x:v>
      </x:c>
      <x:c r="B172" s="26" t="str">
        <x:v>Official Baseline</x:v>
      </x:c>
      <x:c r="C172" s="26" t="str">
        <x:v>v0.5</x:v>
      </x:c>
      <x:c r="D172" s="26" t="str">
        <x:v>v0.5</x:v>
      </x:c>
      <x:c r="E172" s="26" t="str">
        <x:v>05_Business_Release</x:v>
      </x:c>
      <x:c r="F172" s="26"/>
      <x:c r="G172" s="26" t="str">
        <x:v>Cartridge_And_Cloud_Steam_Publishing_Plan_v0.4.pdf</x:v>
      </x:c>
      <x:c r="H172" s="26" t="str">
        <x:v>PDF</x:v>
      </x:c>
      <x:c r="I172" s="26" t="str">
        <x:v>Published baseline rendering</x:v>
      </x:c>
      <x:c r="J172" s="26" t="n">
        <x:v>16309</x:v>
      </x:c>
      <x:c r="K172" s="26" t="str">
        <x:v>f0382da1359aa1339758e067dc58c2d921c46ca37aef870c74ecee0ef320a3b2</x:v>
      </x:c>
      <x:c r="L172" s="26"/>
      <x:c r="M172" s="26" t="n">
        <x:v>1</x:v>
      </x:c>
      <x:c r="N172" s="26" t="str">
        <x:v>UNIQUE</x:v>
      </x:c>
      <x:c r="O172" s="26" t="str">
        <x:v>24</x:v>
      </x:c>
      <x:c r="P172" s="26" t="str">
        <x:v>24</x:v>
      </x:c>
      <x:c r="Q172" s="26" t="str">
        <x:v>Published historical baseline</x:v>
      </x:c>
      <x:c r="R172" s="26" t="str">
        <x:v>SUPERSEDED AS AUTHORITY — RETAIN AS IMMUTABLE HISTORY</x:v>
      </x:c>
      <x:c r="S172" s="26" t="str">
        <x:v>00_Official_Baseline/v0.5/05_Business_Release/Cartridge_And_Cloud_Steam_Publishing_Plan_v0.4.pdf</x:v>
      </x:c>
      <x:c r="T172" s="26" t="str">
        <x:v>Historical path preserved verbatim; hash calculated from supplied pre-regeneration project.</x:v>
      </x:c>
    </x:row>
    <x:row r="173" ht="30" customHeight="1">
      <x:c r="A173" s="26" t="str">
        <x:v>H-0169</x:v>
      </x:c>
      <x:c r="B173" s="26" t="str">
        <x:v>Official Baseline</x:v>
      </x:c>
      <x:c r="C173" s="26" t="str">
        <x:v>v0.5</x:v>
      </x:c>
      <x:c r="D173" s="26" t="str">
        <x:v>v0.5</x:v>
      </x:c>
      <x:c r="E173" s="26" t="str">
        <x:v>06_Development_Records</x:v>
      </x:c>
      <x:c r="F173" s="26"/>
      <x:c r="G173" s="26" t="str">
        <x:v>ADR_Index_Sprints_0_5.md</x:v>
      </x:c>
      <x:c r="H173" s="26" t="str">
        <x:v>Markdown</x:v>
      </x:c>
      <x:c r="I173" s="26" t="str">
        <x:v>Historical document / record</x:v>
      </x:c>
      <x:c r="J173" s="26" t="n">
        <x:v>1685</x:v>
      </x:c>
      <x:c r="K173" s="26" t="str">
        <x:v>87d49688cde168985976959599026d7e599942e2f18715dafd6b3ef6e52aa20b</x:v>
      </x:c>
      <x:c r="L173" s="26"/>
      <x:c r="M173" s="26" t="n">
        <x:v>1</x:v>
      </x:c>
      <x:c r="N173" s="26" t="str">
        <x:v>UNIQUE</x:v>
      </x:c>
      <x:c r="O173" s="26"/>
      <x:c r="P173" s="26"/>
      <x:c r="Q173" s="26" t="str">
        <x:v>Historical baseline support</x:v>
      </x:c>
      <x:c r="R173" s="26" t="str">
        <x:v>RETAIN AS SUPPORTING HISTORY</x:v>
      </x:c>
      <x:c r="S173" s="26" t="str">
        <x:v>00_Official_Baseline/v0.5/06_Development_Records/Governance/ADR_Index_Sprints_0_5.md</x:v>
      </x:c>
      <x:c r="T173" s="26" t="str">
        <x:v>Historical path preserved verbatim; hash calculated from supplied pre-regeneration project.</x:v>
      </x:c>
    </x:row>
    <x:row r="174" ht="30" customHeight="1">
      <x:c r="A174" s="26" t="str">
        <x:v>H-0170</x:v>
      </x:c>
      <x:c r="B174" s="26" t="str">
        <x:v>Official Baseline</x:v>
      </x:c>
      <x:c r="C174" s="26" t="str">
        <x:v>v0.5</x:v>
      </x:c>
      <x:c r="D174" s="26" t="str">
        <x:v>v0.5</x:v>
      </x:c>
      <x:c r="E174" s="26" t="str">
        <x:v>06_Development_Records</x:v>
      </x:c>
      <x:c r="F174" s="26"/>
      <x:c r="G174" s="26" t="str">
        <x:v>Current_Project_Baseline_Record.md</x:v>
      </x:c>
      <x:c r="H174" s="26" t="str">
        <x:v>Markdown</x:v>
      </x:c>
      <x:c r="I174" s="26" t="str">
        <x:v>Historical document / record</x:v>
      </x:c>
      <x:c r="J174" s="26" t="n">
        <x:v>406</x:v>
      </x:c>
      <x:c r="K174" s="26" t="str">
        <x:v>518e52784ae6c8737a360e221905ab542dd0a7c54d164409b71208556d26f793</x:v>
      </x:c>
      <x:c r="L174" s="26"/>
      <x:c r="M174" s="26" t="n">
        <x:v>1</x:v>
      </x:c>
      <x:c r="N174" s="26" t="str">
        <x:v>UNIQUE</x:v>
      </x:c>
      <x:c r="O174" s="26"/>
      <x:c r="P174" s="26"/>
      <x:c r="Q174" s="26" t="str">
        <x:v>Historical baseline support</x:v>
      </x:c>
      <x:c r="R174" s="26" t="str">
        <x:v>RETAIN AS SUPPORTING HISTORY</x:v>
      </x:c>
      <x:c r="S174" s="26" t="str">
        <x:v>00_Official_Baseline/v0.5/06_Development_Records/Governance/Current_Project_Baseline_Record.md</x:v>
      </x:c>
      <x:c r="T174" s="26" t="str">
        <x:v>Historical path preserved verbatim; hash calculated from supplied pre-regeneration project.</x:v>
      </x:c>
    </x:row>
    <x:row r="175" ht="30" customHeight="1">
      <x:c r="A175" s="26" t="str">
        <x:v>H-0171</x:v>
      </x:c>
      <x:c r="B175" s="26" t="str">
        <x:v>Official Baseline</x:v>
      </x:c>
      <x:c r="C175" s="26" t="str">
        <x:v>v0.5</x:v>
      </x:c>
      <x:c r="D175" s="26" t="str">
        <x:v>v0.5</x:v>
      </x:c>
      <x:c r="E175" s="26" t="str">
        <x:v>06_Development_Records</x:v>
      </x:c>
      <x:c r="F175" s="26"/>
      <x:c r="G175" s="26" t="str">
        <x:v>Sprint_History_Summary.md</x:v>
      </x:c>
      <x:c r="H175" s="26" t="str">
        <x:v>Markdown</x:v>
      </x:c>
      <x:c r="I175" s="26" t="str">
        <x:v>Historical document / record</x:v>
      </x:c>
      <x:c r="J175" s="26" t="n">
        <x:v>328</x:v>
      </x:c>
      <x:c r="K175" s="26" t="str">
        <x:v>d618312c388b749d21af7ddded9d201b6d7b6d0c4ea4f505c3140d70930c1cd1</x:v>
      </x:c>
      <x:c r="L175" s="26"/>
      <x:c r="M175" s="26" t="n">
        <x:v>1</x:v>
      </x:c>
      <x:c r="N175" s="26" t="str">
        <x:v>UNIQUE</x:v>
      </x:c>
      <x:c r="O175" s="26"/>
      <x:c r="P175" s="26"/>
      <x:c r="Q175" s="26" t="str">
        <x:v>Historical baseline support</x:v>
      </x:c>
      <x:c r="R175" s="26" t="str">
        <x:v>RETAIN AS SUPPORTING HISTORY</x:v>
      </x:c>
      <x:c r="S175" s="26" t="str">
        <x:v>00_Official_Baseline/v0.5/06_Development_Records/Governance/Sprint_History_Summary.md</x:v>
      </x:c>
      <x:c r="T175" s="26" t="str">
        <x:v>Historical path preserved verbatim; hash calculated from supplied pre-regeneration project.</x:v>
      </x:c>
    </x:row>
    <x:row r="176" ht="30" customHeight="1">
      <x:c r="A176" s="26" t="str">
        <x:v>H-0172</x:v>
      </x:c>
      <x:c r="B176" s="26" t="str">
        <x:v>Official Baseline</x:v>
      </x:c>
      <x:c r="C176" s="26" t="str">
        <x:v>v0.5</x:v>
      </x:c>
      <x:c r="D176" s="26" t="str">
        <x:v>v0.5</x:v>
      </x:c>
      <x:c r="E176" s="26" t="str">
        <x:v>06_Development_Records</x:v>
      </x:c>
      <x:c r="F176" s="26"/>
      <x:c r="G176" s="26" t="str">
        <x:v>CURRENT_PROJECT_HANDOFF.md</x:v>
      </x:c>
      <x:c r="H176" s="26" t="str">
        <x:v>Markdown</x:v>
      </x:c>
      <x:c r="I176" s="26" t="str">
        <x:v>Handoff record</x:v>
      </x:c>
      <x:c r="J176" s="26" t="n">
        <x:v>2275</x:v>
      </x:c>
      <x:c r="K176" s="26" t="str">
        <x:v>9c251d0f3c14584f5da35a50ab3a5b62564e6f1f656d903fa2590eda74e2e396</x:v>
      </x:c>
      <x:c r="L176" s="26" t="str">
        <x:v>DG-060</x:v>
      </x:c>
      <x:c r="M176" s="26" t="n">
        <x:v>2</x:v>
      </x:c>
      <x:c r="N176" s="26" t="str">
        <x:v>DUPLICATE GROUP REPRESENTATIVE</x:v>
      </x:c>
      <x:c r="O176" s="26" t="str">
        <x:v>34</x:v>
      </x:c>
      <x:c r="P176" s="26" t="str">
        <x:v>14, 15, 34</x:v>
      </x:c>
      <x:c r="Q176" s="26" t="str">
        <x:v>Historical baseline support</x:v>
      </x:c>
      <x:c r="R176" s="26" t="str">
        <x:v>RETAIN AS SUPPORTING HISTORY</x:v>
      </x:c>
      <x:c r="S176" s="26" t="str">
        <x:v>00_Official_Baseline/v0.5/06_Development_Records/Handoff/CURRENT_PROJECT_HANDOFF.md</x:v>
      </x:c>
      <x:c r="T176" s="26" t="str">
        <x:v>Historical path preserved verbatim; hash calculated from supplied pre-regeneration project.</x:v>
      </x:c>
    </x:row>
    <x:row r="177" ht="30" customHeight="1">
      <x:c r="A177" s="26" t="str">
        <x:v>H-0173</x:v>
      </x:c>
      <x:c r="B177" s="26" t="str">
        <x:v>Official Baseline</x:v>
      </x:c>
      <x:c r="C177" s="26" t="str">
        <x:v>v0.5</x:v>
      </x:c>
      <x:c r="D177" s="26" t="str">
        <x:v>v0.5</x:v>
      </x:c>
      <x:c r="E177" s="26" t="str">
        <x:v>06_Development_Records</x:v>
      </x:c>
      <x:c r="F177" s="26" t="str">
        <x:v>Sprint 00</x:v>
      </x:c>
      <x:c r="G177" s="26" t="str">
        <x:v>Sprint_00_Closure_Record.md</x:v>
      </x:c>
      <x:c r="H177" s="26" t="str">
        <x:v>Markdown</x:v>
      </x:c>
      <x:c r="I177" s="26" t="str">
        <x:v>Sprint closure</x:v>
      </x:c>
      <x:c r="J177" s="26" t="n">
        <x:v>610</x:v>
      </x:c>
      <x:c r="K177" s="26" t="str">
        <x:v>11842fa86ab349e6971855eb83766245e017dc00583dc7f50018bfbc40fc8c03</x:v>
      </x:c>
      <x:c r="L177" s="26"/>
      <x:c r="M177" s="26" t="n">
        <x:v>1</x:v>
      </x:c>
      <x:c r="N177" s="26" t="str">
        <x:v>UNIQUE</x:v>
      </x:c>
      <x:c r="O177" s="26"/>
      <x:c r="P177" s="26"/>
      <x:c r="Q177" s="26" t="str">
        <x:v>Historical baseline support</x:v>
      </x:c>
      <x:c r="R177" s="26" t="str">
        <x:v>RETAIN AS SUPPORTING HISTORY</x:v>
      </x:c>
      <x:c r="S177" s="26" t="str">
        <x:v>00_Official_Baseline/v0.5/06_Development_Records/Sprints/Sprint_00/Sprint_00_Closure_Record.md</x:v>
      </x:c>
      <x:c r="T177" s="26" t="str">
        <x:v>Historical path preserved verbatim; hash calculated from supplied pre-regeneration project.</x:v>
      </x:c>
    </x:row>
    <x:row r="178" ht="30" customHeight="1">
      <x:c r="A178" s="26" t="str">
        <x:v>H-0174</x:v>
      </x:c>
      <x:c r="B178" s="26" t="str">
        <x:v>Official Baseline</x:v>
      </x:c>
      <x:c r="C178" s="26" t="str">
        <x:v>v0.5</x:v>
      </x:c>
      <x:c r="D178" s="26" t="str">
        <x:v>v0.5</x:v>
      </x:c>
      <x:c r="E178" s="26" t="str">
        <x:v>06_Development_Records</x:v>
      </x:c>
      <x:c r="F178" s="26" t="str">
        <x:v>Sprint 00</x:v>
      </x:c>
      <x:c r="G178" s="26" t="str">
        <x:v>Sprint_00_Foundation_Baseline.md</x:v>
      </x:c>
      <x:c r="H178" s="26" t="str">
        <x:v>Markdown</x:v>
      </x:c>
      <x:c r="I178" s="26" t="str">
        <x:v>Historical document / record</x:v>
      </x:c>
      <x:c r="J178" s="26" t="n">
        <x:v>320</x:v>
      </x:c>
      <x:c r="K178" s="26" t="str">
        <x:v>a9c699e34ceae21c01f791e8e9fc8fd817ad2ff576ba5a14b42a46b447e22663</x:v>
      </x:c>
      <x:c r="L178" s="26"/>
      <x:c r="M178" s="26" t="n">
        <x:v>1</x:v>
      </x:c>
      <x:c r="N178" s="26" t="str">
        <x:v>UNIQUE</x:v>
      </x:c>
      <x:c r="O178" s="26"/>
      <x:c r="P178" s="26"/>
      <x:c r="Q178" s="26" t="str">
        <x:v>Historical baseline support</x:v>
      </x:c>
      <x:c r="R178" s="26" t="str">
        <x:v>RETAIN AS SUPPORTING HISTORY</x:v>
      </x:c>
      <x:c r="S178" s="26" t="str">
        <x:v>00_Official_Baseline/v0.5/06_Development_Records/Sprints/Sprint_00/Sprint_00_Foundation_Baseline.md</x:v>
      </x:c>
      <x:c r="T178" s="26" t="str">
        <x:v>Historical path preserved verbatim; hash calculated from supplied pre-regeneration project.</x:v>
      </x:c>
    </x:row>
    <x:row r="179" ht="30" customHeight="1">
      <x:c r="A179" s="26" t="str">
        <x:v>H-0175</x:v>
      </x:c>
      <x:c r="B179" s="26" t="str">
        <x:v>Official Baseline</x:v>
      </x:c>
      <x:c r="C179" s="26" t="str">
        <x:v>v0.5</x:v>
      </x:c>
      <x:c r="D179" s="26" t="str">
        <x:v>v0.5</x:v>
      </x:c>
      <x:c r="E179" s="26" t="str">
        <x:v>06_Development_Records</x:v>
      </x:c>
      <x:c r="F179" s="26" t="str">
        <x:v>Sprint 01</x:v>
      </x:c>
      <x:c r="G179" s="26" t="str">
        <x:v>S1_Living_Documentation_Update.md</x:v>
      </x:c>
      <x:c r="H179" s="26" t="str">
        <x:v>Markdown</x:v>
      </x:c>
      <x:c r="I179" s="26" t="str">
        <x:v>Living documentation update</x:v>
      </x:c>
      <x:c r="J179" s="26" t="n">
        <x:v>1377</x:v>
      </x:c>
      <x:c r="K179" s="26" t="str">
        <x:v>bff8a2c5c399246aa8f20ca9963bd203a5f636ed5ab7c7a2dddd048037828646</x:v>
      </x:c>
      <x:c r="L179" s="26" t="str">
        <x:v>DG-074</x:v>
      </x:c>
      <x:c r="M179" s="26" t="n">
        <x:v>2</x:v>
      </x:c>
      <x:c r="N179" s="26" t="str">
        <x:v>DUPLICATE GROUP REPRESENTATIVE</x:v>
      </x:c>
      <x:c r="O179" s="26"/>
      <x:c r="P179" s="26"/>
      <x:c r="Q179" s="26" t="str">
        <x:v>Historical baseline support</x:v>
      </x:c>
      <x:c r="R179" s="26" t="str">
        <x:v>RETAIN AS SUPPORTING HISTORY</x:v>
      </x:c>
      <x:c r="S179" s="26" t="str">
        <x:v>00_Official_Baseline/v0.5/06_Development_Records/Sprints/Sprint_01/Documentation/S1_Living_Documentation_Update.md</x:v>
      </x:c>
      <x:c r="T179" s="26" t="str">
        <x:v>Historical path preserved verbatim; hash calculated from supplied pre-regeneration project.</x:v>
      </x:c>
    </x:row>
    <x:row r="180" ht="30" customHeight="1">
      <x:c r="A180" s="26" t="str">
        <x:v>H-0176</x:v>
      </x:c>
      <x:c r="B180" s="26" t="str">
        <x:v>Official Baseline</x:v>
      </x:c>
      <x:c r="C180" s="26" t="str">
        <x:v>v0.5</x:v>
      </x:c>
      <x:c r="D180" s="26" t="str">
        <x:v>v0.5</x:v>
      </x:c>
      <x:c r="E180" s="26" t="str">
        <x:v>06_Development_Records</x:v>
      </x:c>
      <x:c r="F180" s="26" t="str">
        <x:v>Sprint 01</x:v>
      </x:c>
      <x:c r="G180" s="26" t="str">
        <x:v>ADR-0010_Phase_Level_Build_Evidence_and_Release_Policy.md</x:v>
      </x:c>
      <x:c r="H180" s="26" t="str">
        <x:v>Markdown</x:v>
      </x:c>
      <x:c r="I180" s="26" t="str">
        <x:v>ADR</x:v>
      </x:c>
      <x:c r="J180" s="26" t="n">
        <x:v>2861</x:v>
      </x:c>
      <x:c r="K180" s="26" t="str">
        <x:v>ad328a9eabc2302b0688591df010650b693d9423f0f485eb1000e24d50475184</x:v>
      </x:c>
      <x:c r="L180" s="26" t="str">
        <x:v>DG-066</x:v>
      </x:c>
      <x:c r="M180" s="26" t="n">
        <x:v>2</x:v>
      </x:c>
      <x:c r="N180" s="26" t="str">
        <x:v>DUPLICATE GROUP REPRESENTATIVE</x:v>
      </x:c>
      <x:c r="O180" s="26"/>
      <x:c r="P180" s="26"/>
      <x:c r="Q180" s="26" t="str">
        <x:v>Historical baseline support</x:v>
      </x:c>
      <x:c r="R180" s="26" t="str">
        <x:v>RETAIN AS SUPPORTING HISTORY</x:v>
      </x:c>
      <x:c r="S180" s="26" t="str">
        <x:v>00_Official_Baseline/v0.5/06_Development_Records/Sprints/Sprint_01/Governance/ADR-0010_Phase_Level_Build_Evidence_and_Release_Policy.md</x:v>
      </x:c>
      <x:c r="T180" s="26" t="str">
        <x:v>Historical path preserved verbatim; hash calculated from supplied pre-regeneration project.</x:v>
      </x:c>
    </x:row>
    <x:row r="181" ht="30" customHeight="1">
      <x:c r="A181" s="26" t="str">
        <x:v>H-0177</x:v>
      </x:c>
      <x:c r="B181" s="26" t="str">
        <x:v>Official Baseline</x:v>
      </x:c>
      <x:c r="C181" s="26" t="str">
        <x:v>v0.5</x:v>
      </x:c>
      <x:c r="D181" s="26" t="str">
        <x:v>v0.5</x:v>
      </x:c>
      <x:c r="E181" s="26" t="str">
        <x:v>06_Development_Records</x:v>
      </x:c>
      <x:c r="F181" s="26" t="str">
        <x:v>Sprint 01</x:v>
      </x:c>
      <x:c r="G181" s="26" t="str">
        <x:v>Sprint_01_Current_Status.md</x:v>
      </x:c>
      <x:c r="H181" s="26" t="str">
        <x:v>Markdown</x:v>
      </x:c>
      <x:c r="I181" s="26" t="str">
        <x:v>Current status</x:v>
      </x:c>
      <x:c r="J181" s="26" t="n">
        <x:v>1684</x:v>
      </x:c>
      <x:c r="K181" s="26" t="str">
        <x:v>3cef15c3e2f9c35c725c4a00cc366321fef51e35e9b4802713e8527dbe7ccf35</x:v>
      </x:c>
      <x:c r="L181" s="26" t="str">
        <x:v>DG-025</x:v>
      </x:c>
      <x:c r="M181" s="26" t="n">
        <x:v>2</x:v>
      </x:c>
      <x:c r="N181" s="26" t="str">
        <x:v>DUPLICATE GROUP REPRESENTATIVE</x:v>
      </x:c>
      <x:c r="O181" s="26"/>
      <x:c r="P181" s="26"/>
      <x:c r="Q181" s="26" t="str">
        <x:v>Historical baseline support</x:v>
      </x:c>
      <x:c r="R181" s="26" t="str">
        <x:v>RETAIN AS SUPPORTING HISTORY</x:v>
      </x:c>
      <x:c r="S181" s="26" t="str">
        <x:v>00_Official_Baseline/v0.5/06_Development_Records/Sprints/Sprint_01/Governance/Sprint_01_Current_Status.md</x:v>
      </x:c>
      <x:c r="T181" s="26" t="str">
        <x:v>Historical path preserved verbatim; hash calculated from supplied pre-regeneration project.</x:v>
      </x:c>
    </x:row>
    <x:row r="182" ht="30" customHeight="1">
      <x:c r="A182" s="26" t="str">
        <x:v>H-0178</x:v>
      </x:c>
      <x:c r="B182" s="26" t="str">
        <x:v>Official Baseline</x:v>
      </x:c>
      <x:c r="C182" s="26" t="str">
        <x:v>v0.5</x:v>
      </x:c>
      <x:c r="D182" s="26" t="str">
        <x:v>v0.5</x:v>
      </x:c>
      <x:c r="E182" s="26" t="str">
        <x:v>06_Development_Records</x:v>
      </x:c>
      <x:c r="F182" s="26" t="str">
        <x:v>Sprint 01</x:v>
      </x:c>
      <x:c r="G182" s="26" t="str">
        <x:v>S1_Acceptance_Matrix.md</x:v>
      </x:c>
      <x:c r="H182" s="26" t="str">
        <x:v>Markdown</x:v>
      </x:c>
      <x:c r="I182" s="26" t="str">
        <x:v>Acceptance matrix</x:v>
      </x:c>
      <x:c r="J182" s="26" t="n">
        <x:v>1455</x:v>
      </x:c>
      <x:c r="K182" s="26" t="str">
        <x:v>a5a4e0a192fe33559c582efd9ee4d53170e26af9e07db63aae1e22b1f5c66f49</x:v>
      </x:c>
      <x:c r="L182" s="26" t="str">
        <x:v>DG-063</x:v>
      </x:c>
      <x:c r="M182" s="26" t="n">
        <x:v>2</x:v>
      </x:c>
      <x:c r="N182" s="26" t="str">
        <x:v>DUPLICATE GROUP REPRESENTATIVE</x:v>
      </x:c>
      <x:c r="O182" s="26" t="str">
        <x:v>31</x:v>
      </x:c>
      <x:c r="P182" s="26" t="str">
        <x:v>02, 07, 08, 11, 13, 16, 31</x:v>
      </x:c>
      <x:c r="Q182" s="26" t="str">
        <x:v>Historical baseline support</x:v>
      </x:c>
      <x:c r="R182" s="26" t="str">
        <x:v>RETAIN AS SUPPORTING HISTORY</x:v>
      </x:c>
      <x:c r="S182" s="26" t="str">
        <x:v>00_Official_Baseline/v0.5/06_Development_Records/Sprints/Sprint_01/QA/S1_Acceptance_Matrix.md</x:v>
      </x:c>
      <x:c r="T182" s="26" t="str">
        <x:v>Historical path preserved verbatim; hash calculated from supplied pre-regeneration project.</x:v>
      </x:c>
    </x:row>
    <x:row r="183" ht="30" customHeight="1">
      <x:c r="A183" s="26" t="str">
        <x:v>H-0179</x:v>
      </x:c>
      <x:c r="B183" s="26" t="str">
        <x:v>Official Baseline</x:v>
      </x:c>
      <x:c r="C183" s="26" t="str">
        <x:v>v0.5</x:v>
      </x:c>
      <x:c r="D183" s="26" t="str">
        <x:v>v0.5</x:v>
      </x:c>
      <x:c r="E183" s="26" t="str">
        <x:v>06_Development_Records</x:v>
      </x:c>
      <x:c r="F183" s="26" t="str">
        <x:v>Sprint 01</x:v>
      </x:c>
      <x:c r="G183" s="26" t="str">
        <x:v>S1_QA_Execution_Record.md</x:v>
      </x:c>
      <x:c r="H183" s="26" t="str">
        <x:v>Markdown</x:v>
      </x:c>
      <x:c r="I183" s="26" t="str">
        <x:v>QA execution evidence</x:v>
      </x:c>
      <x:c r="J183" s="26" t="n">
        <x:v>1065</x:v>
      </x:c>
      <x:c r="K183" s="26" t="str">
        <x:v>f9ae3d8cb7bd112af8d518e93ccfe03fbce2309d555f3130b0325427ef68daad</x:v>
      </x:c>
      <x:c r="L183" s="26" t="str">
        <x:v>DG-097</x:v>
      </x:c>
      <x:c r="M183" s="26" t="n">
        <x:v>2</x:v>
      </x:c>
      <x:c r="N183" s="26" t="str">
        <x:v>DUPLICATE GROUP REPRESENTATIVE</x:v>
      </x:c>
      <x:c r="O183" s="26" t="str">
        <x:v>31</x:v>
      </x:c>
      <x:c r="P183" s="26" t="str">
        <x:v>02, 07, 08, 11, 13, 16, 31</x:v>
      </x:c>
      <x:c r="Q183" s="26" t="str">
        <x:v>Historical baseline support</x:v>
      </x:c>
      <x:c r="R183" s="26" t="str">
        <x:v>RETAIN AS SUPPORTING HISTORY</x:v>
      </x:c>
      <x:c r="S183" s="26" t="str">
        <x:v>00_Official_Baseline/v0.5/06_Development_Records/Sprints/Sprint_01/QA/S1_QA_Execution_Record.md</x:v>
      </x:c>
      <x:c r="T183" s="26" t="str">
        <x:v>Historical path preserved verbatim; hash calculated from supplied pre-regeneration project.</x:v>
      </x:c>
    </x:row>
    <x:row r="184" ht="30" customHeight="1">
      <x:c r="A184" s="26" t="str">
        <x:v>H-0180</x:v>
      </x:c>
      <x:c r="B184" s="26" t="str">
        <x:v>Official Baseline</x:v>
      </x:c>
      <x:c r="C184" s="26" t="str">
        <x:v>v0.5</x:v>
      </x:c>
      <x:c r="D184" s="26" t="str">
        <x:v>v0.5</x:v>
      </x:c>
      <x:c r="E184" s="26" t="str">
        <x:v>06_Development_Records</x:v>
      </x:c>
      <x:c r="F184" s="26" t="str">
        <x:v>Sprint 01</x:v>
      </x:c>
      <x:c r="G184" s="26" t="str">
        <x:v>S1_Validation_Checklist.md</x:v>
      </x:c>
      <x:c r="H184" s="26" t="str">
        <x:v>Markdown</x:v>
      </x:c>
      <x:c r="I184" s="26" t="str">
        <x:v>Validation checklist</x:v>
      </x:c>
      <x:c r="J184" s="26" t="n">
        <x:v>1591</x:v>
      </x:c>
      <x:c r="K184" s="26" t="str">
        <x:v>a6538450622d348cafd5964a5af26d84ce9b5aa1890a06af6789b8bb4fd9dc9c</x:v>
      </x:c>
      <x:c r="L184" s="26" t="str">
        <x:v>DG-064</x:v>
      </x:c>
      <x:c r="M184" s="26" t="n">
        <x:v>2</x:v>
      </x:c>
      <x:c r="N184" s="26" t="str">
        <x:v>DUPLICATE GROUP REPRESENTATIVE</x:v>
      </x:c>
      <x:c r="O184" s="26" t="str">
        <x:v>31</x:v>
      </x:c>
      <x:c r="P184" s="26" t="str">
        <x:v>02, 07, 08, 11, 13, 16, 31</x:v>
      </x:c>
      <x:c r="Q184" s="26" t="str">
        <x:v>Historical baseline support</x:v>
      </x:c>
      <x:c r="R184" s="26" t="str">
        <x:v>RETAIN AS SUPPORTING HISTORY</x:v>
      </x:c>
      <x:c r="S184" s="26" t="str">
        <x:v>00_Official_Baseline/v0.5/06_Development_Records/Sprints/Sprint_01/QA/S1_Validation_Checklist.md</x:v>
      </x:c>
      <x:c r="T184" s="26" t="str">
        <x:v>Historical path preserved verbatim; hash calculated from supplied pre-regeneration project.</x:v>
      </x:c>
    </x:row>
    <x:row r="185" ht="30" customHeight="1">
      <x:c r="A185" s="26" t="str">
        <x:v>H-0181</x:v>
      </x:c>
      <x:c r="B185" s="26" t="str">
        <x:v>Official Baseline</x:v>
      </x:c>
      <x:c r="C185" s="26" t="str">
        <x:v>v0.5</x:v>
      </x:c>
      <x:c r="D185" s="26" t="str">
        <x:v>v0.5</x:v>
      </x:c>
      <x:c r="E185" s="26" t="str">
        <x:v>06_Development_Records</x:v>
      </x:c>
      <x:c r="F185" s="26" t="str">
        <x:v>Sprint 01</x:v>
      </x:c>
      <x:c r="G185" s="26" t="str">
        <x:v>S1_Applied_Changes_Report.md</x:v>
      </x:c>
      <x:c r="H185" s="26" t="str">
        <x:v>Markdown</x:v>
      </x:c>
      <x:c r="I185" s="26" t="str">
        <x:v>Applied change report</x:v>
      </x:c>
      <x:c r="J185" s="26" t="n">
        <x:v>1306</x:v>
      </x:c>
      <x:c r="K185" s="26" t="str">
        <x:v>d557d2ff80e615e43f1a11dcbb40a4dc3fd70427a2df9662b8676b5e0dbfe6e3</x:v>
      </x:c>
      <x:c r="L185" s="26" t="str">
        <x:v>DG-085</x:v>
      </x:c>
      <x:c r="M185" s="26" t="n">
        <x:v>2</x:v>
      </x:c>
      <x:c r="N185" s="26" t="str">
        <x:v>DUPLICATE GROUP REPRESENTATIVE</x:v>
      </x:c>
      <x:c r="O185" s="26"/>
      <x:c r="P185" s="26"/>
      <x:c r="Q185" s="26" t="str">
        <x:v>Historical baseline support</x:v>
      </x:c>
      <x:c r="R185" s="26" t="str">
        <x:v>RETAIN AS SUPPORTING HISTORY</x:v>
      </x:c>
      <x:c r="S185" s="26" t="str">
        <x:v>00_Official_Baseline/v0.5/06_Development_Records/Sprints/Sprint_01/S1_Applied_Changes_Report.md</x:v>
      </x:c>
      <x:c r="T185" s="26" t="str">
        <x:v>Historical path preserved verbatim; hash calculated from supplied pre-regeneration project.</x:v>
      </x:c>
    </x:row>
    <x:row r="186" ht="30" customHeight="1">
      <x:c r="A186" s="26" t="str">
        <x:v>H-0182</x:v>
      </x:c>
      <x:c r="B186" s="26" t="str">
        <x:v>Official Baseline</x:v>
      </x:c>
      <x:c r="C186" s="26" t="str">
        <x:v>v0.5</x:v>
      </x:c>
      <x:c r="D186" s="26" t="str">
        <x:v>v0.5</x:v>
      </x:c>
      <x:c r="E186" s="26" t="str">
        <x:v>06_Development_Records</x:v>
      </x:c>
      <x:c r="F186" s="26" t="str">
        <x:v>Sprint 01</x:v>
      </x:c>
      <x:c r="G186" s="26" t="str">
        <x:v>Sprint_01_Closure_Record.md</x:v>
      </x:c>
      <x:c r="H186" s="26" t="str">
        <x:v>Markdown</x:v>
      </x:c>
      <x:c r="I186" s="26" t="str">
        <x:v>Sprint closure</x:v>
      </x:c>
      <x:c r="J186" s="26" t="n">
        <x:v>1841</x:v>
      </x:c>
      <x:c r="K186" s="26" t="str">
        <x:v>2b8dccc6fe9f2b2d9adff4bb17403626e70f533157a89d558c15549d2aaef69e</x:v>
      </x:c>
      <x:c r="L186" s="26" t="str">
        <x:v>DG-016</x:v>
      </x:c>
      <x:c r="M186" s="26" t="n">
        <x:v>2</x:v>
      </x:c>
      <x:c r="N186" s="26" t="str">
        <x:v>DUPLICATE GROUP REPRESENTATIVE</x:v>
      </x:c>
      <x:c r="O186" s="26"/>
      <x:c r="P186" s="26"/>
      <x:c r="Q186" s="26" t="str">
        <x:v>Historical baseline support</x:v>
      </x:c>
      <x:c r="R186" s="26" t="str">
        <x:v>RETAIN AS SUPPORTING HISTORY</x:v>
      </x:c>
      <x:c r="S186" s="26" t="str">
        <x:v>00_Official_Baseline/v0.5/06_Development_Records/Sprints/Sprint_01/Sprint_01_Closure_Record.md</x:v>
      </x:c>
      <x:c r="T186" s="26" t="str">
        <x:v>Historical path preserved verbatim; hash calculated from supplied pre-regeneration project.</x:v>
      </x:c>
    </x:row>
    <x:row r="187" ht="30" customHeight="1">
      <x:c r="A187" s="26" t="str">
        <x:v>H-0183</x:v>
      </x:c>
      <x:c r="B187" s="26" t="str">
        <x:v>Official Baseline</x:v>
      </x:c>
      <x:c r="C187" s="26" t="str">
        <x:v>v0.5</x:v>
      </x:c>
      <x:c r="D187" s="26" t="str">
        <x:v>v0.5</x:v>
      </x:c>
      <x:c r="E187" s="26" t="str">
        <x:v>06_Development_Records</x:v>
      </x:c>
      <x:c r="F187" s="26" t="str">
        <x:v>Sprint 01</x:v>
      </x:c>
      <x:c r="G187" s="26" t="str">
        <x:v>S1_Document_Impact_Working_Matrix.md</x:v>
      </x:c>
      <x:c r="H187" s="26" t="str">
        <x:v>Markdown</x:v>
      </x:c>
      <x:c r="I187" s="26" t="str">
        <x:v>Traceability entry</x:v>
      </x:c>
      <x:c r="J187" s="26" t="n">
        <x:v>2145</x:v>
      </x:c>
      <x:c r="K187" s="26" t="str">
        <x:v>954a2469df0ccd8fda09a9a22ac33abadd2c59aedfeaed3597633c449f244648</x:v>
      </x:c>
      <x:c r="L187" s="26" t="str">
        <x:v>DG-056</x:v>
      </x:c>
      <x:c r="M187" s="26" t="n">
        <x:v>2</x:v>
      </x:c>
      <x:c r="N187" s="26" t="str">
        <x:v>DUPLICATE GROUP REPRESENTATIVE</x:v>
      </x:c>
      <x:c r="O187" s="26"/>
      <x:c r="P187" s="26"/>
      <x:c r="Q187" s="26" t="str">
        <x:v>Historical baseline support</x:v>
      </x:c>
      <x:c r="R187" s="26" t="str">
        <x:v>RETAIN AS SUPPORTING HISTORY</x:v>
      </x:c>
      <x:c r="S187" s="26" t="str">
        <x:v>00_Official_Baseline/v0.5/06_Development_Records/Sprints/Sprint_01/Traceability/S1_Document_Impact_Working_Matrix.md</x:v>
      </x:c>
      <x:c r="T187" s="26" t="str">
        <x:v>Historical path preserved verbatim; hash calculated from supplied pre-regeneration project.</x:v>
      </x:c>
    </x:row>
    <x:row r="188" ht="30" customHeight="1">
      <x:c r="A188" s="26" t="str">
        <x:v>H-0184</x:v>
      </x:c>
      <x:c r="B188" s="26" t="str">
        <x:v>Official Baseline</x:v>
      </x:c>
      <x:c r="C188" s="26" t="str">
        <x:v>v0.5</x:v>
      </x:c>
      <x:c r="D188" s="26" t="str">
        <x:v>v0.5</x:v>
      </x:c>
      <x:c r="E188" s="26" t="str">
        <x:v>06_Development_Records</x:v>
      </x:c>
      <x:c r="F188" s="26" t="str">
        <x:v>Sprint 01</x:v>
      </x:c>
      <x:c r="G188" s="26" t="str">
        <x:v>S1_Traceability_Entries.csv</x:v>
      </x:c>
      <x:c r="H188" s="26" t="str">
        <x:v>CSV</x:v>
      </x:c>
      <x:c r="I188" s="26" t="str">
        <x:v>Traceability entry</x:v>
      </x:c>
      <x:c r="J188" s="26" t="n">
        <x:v>1155</x:v>
      </x:c>
      <x:c r="K188" s="26" t="str">
        <x:v>aedac227bd8d99487c25becdb16546b4804200243132e405a6262c7d779fc1b7</x:v>
      </x:c>
      <x:c r="L188" s="26" t="str">
        <x:v>DG-067</x:v>
      </x:c>
      <x:c r="M188" s="26" t="n">
        <x:v>2</x:v>
      </x:c>
      <x:c r="N188" s="26" t="str">
        <x:v>DUPLICATE GROUP REPRESENTATIVE</x:v>
      </x:c>
      <x:c r="O188" s="26"/>
      <x:c r="P188" s="26"/>
      <x:c r="Q188" s="26" t="str">
        <x:v>Historical baseline support</x:v>
      </x:c>
      <x:c r="R188" s="26" t="str">
        <x:v>RETAIN AS SUPPORTING HISTORY</x:v>
      </x:c>
      <x:c r="S188" s="26" t="str">
        <x:v>00_Official_Baseline/v0.5/06_Development_Records/Sprints/Sprint_01/Traceability/S1_Traceability_Entries.csv</x:v>
      </x:c>
      <x:c r="T188" s="26" t="str">
        <x:v>Historical path preserved verbatim; hash calculated from supplied pre-regeneration project.</x:v>
      </x:c>
    </x:row>
    <x:row r="189" ht="30" customHeight="1">
      <x:c r="A189" s="26" t="str">
        <x:v>H-0185</x:v>
      </x:c>
      <x:c r="B189" s="26" t="str">
        <x:v>Official Baseline</x:v>
      </x:c>
      <x:c r="C189" s="26" t="str">
        <x:v>v0.5</x:v>
      </x:c>
      <x:c r="D189" s="26" t="str">
        <x:v>v0.5</x:v>
      </x:c>
      <x:c r="E189" s="26" t="str">
        <x:v>06_Development_Records</x:v>
      </x:c>
      <x:c r="F189" s="26" t="str">
        <x:v>Sprint 02</x:v>
      </x:c>
      <x:c r="G189" s="26" t="str">
        <x:v>S2_2.4_PostImplementation_Record.md</x:v>
      </x:c>
      <x:c r="H189" s="26" t="str">
        <x:v>Markdown</x:v>
      </x:c>
      <x:c r="I189" s="26" t="str">
        <x:v>Historical document / record</x:v>
      </x:c>
      <x:c r="J189" s="26" t="n">
        <x:v>1370</x:v>
      </x:c>
      <x:c r="K189" s="26" t="str">
        <x:v>6d8abe4b6e4fda5c39ffd60d97011f543f82a7a104941401d40120785709fc4b</x:v>
      </x:c>
      <x:c r="L189" s="26" t="str">
        <x:v>DG-043</x:v>
      </x:c>
      <x:c r="M189" s="26" t="n">
        <x:v>2</x:v>
      </x:c>
      <x:c r="N189" s="26" t="str">
        <x:v>DUPLICATE GROUP REPRESENTATIVE</x:v>
      </x:c>
      <x:c r="O189" s="26"/>
      <x:c r="P189" s="26"/>
      <x:c r="Q189" s="26" t="str">
        <x:v>Historical baseline support</x:v>
      </x:c>
      <x:c r="R189" s="26" t="str">
        <x:v>RETAIN AS SUPPORTING HISTORY</x:v>
      </x:c>
      <x:c r="S189" s="26" t="str">
        <x:v>00_Official_Baseline/v0.5/06_Development_Records/Sprints/Sprint_02/Documentation/S2_2.4_PostImplementation_Record.md</x:v>
      </x:c>
      <x:c r="T189" s="26" t="str">
        <x:v>Historical path preserved verbatim; hash calculated from supplied pre-regeneration project.</x:v>
      </x:c>
    </x:row>
    <x:row r="190" ht="30" customHeight="1">
      <x:c r="A190" s="26" t="str">
        <x:v>H-0186</x:v>
      </x:c>
      <x:c r="B190" s="26" t="str">
        <x:v>Official Baseline</x:v>
      </x:c>
      <x:c r="C190" s="26" t="str">
        <x:v>v0.5</x:v>
      </x:c>
      <x:c r="D190" s="26" t="str">
        <x:v>v0.5</x:v>
      </x:c>
      <x:c r="E190" s="26" t="str">
        <x:v>06_Development_Records</x:v>
      </x:c>
      <x:c r="F190" s="26" t="str">
        <x:v>Sprint 02</x:v>
      </x:c>
      <x:c r="G190" s="26" t="str">
        <x:v>S2_Living_Documentation_Update.md</x:v>
      </x:c>
      <x:c r="H190" s="26" t="str">
        <x:v>Markdown</x:v>
      </x:c>
      <x:c r="I190" s="26" t="str">
        <x:v>Living documentation update</x:v>
      </x:c>
      <x:c r="J190" s="26" t="n">
        <x:v>1460</x:v>
      </x:c>
      <x:c r="K190" s="26" t="str">
        <x:v>2557d0a124f811aab18e38c5a5e6aebd1545e0befd0ed9d5e5d2bbb64b0b6902</x:v>
      </x:c>
      <x:c r="L190" s="26" t="str">
        <x:v>DG-012</x:v>
      </x:c>
      <x:c r="M190" s="26" t="n">
        <x:v>2</x:v>
      </x:c>
      <x:c r="N190" s="26" t="str">
        <x:v>DUPLICATE GROUP REPRESENTATIVE</x:v>
      </x:c>
      <x:c r="O190" s="26"/>
      <x:c r="P190" s="26"/>
      <x:c r="Q190" s="26" t="str">
        <x:v>Historical baseline support</x:v>
      </x:c>
      <x:c r="R190" s="26" t="str">
        <x:v>RETAIN AS SUPPORTING HISTORY</x:v>
      </x:c>
      <x:c r="S190" s="26" t="str">
        <x:v>00_Official_Baseline/v0.5/06_Development_Records/Sprints/Sprint_02/Documentation/S2_Living_Documentation_Update.md</x:v>
      </x:c>
      <x:c r="T190" s="26" t="str">
        <x:v>Historical path preserved verbatim; hash calculated from supplied pre-regeneration project.</x:v>
      </x:c>
    </x:row>
    <x:row r="191" ht="30" customHeight="1">
      <x:c r="A191" s="26" t="str">
        <x:v>H-0187</x:v>
      </x:c>
      <x:c r="B191" s="26" t="str">
        <x:v>Official Baseline</x:v>
      </x:c>
      <x:c r="C191" s="26" t="str">
        <x:v>v0.5</x:v>
      </x:c>
      <x:c r="D191" s="26" t="str">
        <x:v>v0.5</x:v>
      </x:c>
      <x:c r="E191" s="26" t="str">
        <x:v>06_Development_Records</x:v>
      </x:c>
      <x:c r="F191" s="26" t="str">
        <x:v>Sprint 02</x:v>
      </x:c>
      <x:c r="G191" s="26" t="str">
        <x:v>ADR-0011_Minimal_Versioned_Save_Skeleton.md</x:v>
      </x:c>
      <x:c r="H191" s="26" t="str">
        <x:v>Markdown</x:v>
      </x:c>
      <x:c r="I191" s="26" t="str">
        <x:v>ADR</x:v>
      </x:c>
      <x:c r="J191" s="26" t="n">
        <x:v>2505</x:v>
      </x:c>
      <x:c r="K191" s="26" t="str">
        <x:v>4048b071ec41b0d5caf4beb0d5a4ff7547e409f566a403d0e9331a604de076dd</x:v>
      </x:c>
      <x:c r="L191" s="26" t="str">
        <x:v>DG-027</x:v>
      </x:c>
      <x:c r="M191" s="26" t="n">
        <x:v>2</x:v>
      </x:c>
      <x:c r="N191" s="26" t="str">
        <x:v>DUPLICATE GROUP REPRESENTATIVE</x:v>
      </x:c>
      <x:c r="O191" s="26"/>
      <x:c r="P191" s="26"/>
      <x:c r="Q191" s="26" t="str">
        <x:v>Historical baseline support</x:v>
      </x:c>
      <x:c r="R191" s="26" t="str">
        <x:v>RETAIN AS SUPPORTING HISTORY</x:v>
      </x:c>
      <x:c r="S191" s="26" t="str">
        <x:v>00_Official_Baseline/v0.5/06_Development_Records/Sprints/Sprint_02/Governance/ADR-0011_Minimal_Versioned_Save_Skeleton.md</x:v>
      </x:c>
      <x:c r="T191" s="26" t="str">
        <x:v>Historical path preserved verbatim; hash calculated from supplied pre-regeneration project.</x:v>
      </x:c>
    </x:row>
    <x:row r="192" ht="30" customHeight="1">
      <x:c r="A192" s="26" t="str">
        <x:v>H-0188</x:v>
      </x:c>
      <x:c r="B192" s="26" t="str">
        <x:v>Official Baseline</x:v>
      </x:c>
      <x:c r="C192" s="26" t="str">
        <x:v>v0.5</x:v>
      </x:c>
      <x:c r="D192" s="26" t="str">
        <x:v>v0.5</x:v>
      </x:c>
      <x:c r="E192" s="26" t="str">
        <x:v>06_Development_Records</x:v>
      </x:c>
      <x:c r="F192" s="26" t="str">
        <x:v>Sprint 02</x:v>
      </x:c>
      <x:c r="G192" s="26" t="str">
        <x:v>Sprint_02_Current_Status.md</x:v>
      </x:c>
      <x:c r="H192" s="26" t="str">
        <x:v>Markdown</x:v>
      </x:c>
      <x:c r="I192" s="26" t="str">
        <x:v>Current status</x:v>
      </x:c>
      <x:c r="J192" s="26" t="n">
        <x:v>1868</x:v>
      </x:c>
      <x:c r="K192" s="26" t="str">
        <x:v>5af2cc8138ca5ef7d49e84c24974f5d1c5939f84dc9f356d6563c417067c3ef7</x:v>
      </x:c>
      <x:c r="L192" s="26" t="str">
        <x:v>DG-037</x:v>
      </x:c>
      <x:c r="M192" s="26" t="n">
        <x:v>2</x:v>
      </x:c>
      <x:c r="N192" s="26" t="str">
        <x:v>DUPLICATE GROUP REPRESENTATIVE</x:v>
      </x:c>
      <x:c r="O192" s="26"/>
      <x:c r="P192" s="26"/>
      <x:c r="Q192" s="26" t="str">
        <x:v>Historical baseline support</x:v>
      </x:c>
      <x:c r="R192" s="26" t="str">
        <x:v>RETAIN AS SUPPORTING HISTORY</x:v>
      </x:c>
      <x:c r="S192" s="26" t="str">
        <x:v>00_Official_Baseline/v0.5/06_Development_Records/Sprints/Sprint_02/Governance/Sprint_02_Current_Status.md</x:v>
      </x:c>
      <x:c r="T192" s="26" t="str">
        <x:v>Historical path preserved verbatim; hash calculated from supplied pre-regeneration project.</x:v>
      </x:c>
    </x:row>
    <x:row r="193" ht="30" customHeight="1">
      <x:c r="A193" s="26" t="str">
        <x:v>H-0189</x:v>
      </x:c>
      <x:c r="B193" s="26" t="str">
        <x:v>Official Baseline</x:v>
      </x:c>
      <x:c r="C193" s="26" t="str">
        <x:v>v0.5</x:v>
      </x:c>
      <x:c r="D193" s="26" t="str">
        <x:v>v0.5</x:v>
      </x:c>
      <x:c r="E193" s="26" t="str">
        <x:v>06_Development_Records</x:v>
      </x:c>
      <x:c r="F193" s="26" t="str">
        <x:v>Sprint 02</x:v>
      </x:c>
      <x:c r="G193" s="26" t="str">
        <x:v>S2_Acceptance_Matrix.md</x:v>
      </x:c>
      <x:c r="H193" s="26" t="str">
        <x:v>Markdown</x:v>
      </x:c>
      <x:c r="I193" s="26" t="str">
        <x:v>Acceptance matrix</x:v>
      </x:c>
      <x:c r="J193" s="26" t="n">
        <x:v>993</x:v>
      </x:c>
      <x:c r="K193" s="26" t="str">
        <x:v>1c184fd5c44de6051e83614676a1571d4d49e7cd8b4d68c8ef85167b64e2692f</x:v>
      </x:c>
      <x:c r="L193" s="26" t="str">
        <x:v>DG-010</x:v>
      </x:c>
      <x:c r="M193" s="26" t="n">
        <x:v>2</x:v>
      </x:c>
      <x:c r="N193" s="26" t="str">
        <x:v>DUPLICATE GROUP REPRESENTATIVE</x:v>
      </x:c>
      <x:c r="O193" s="26" t="str">
        <x:v>31</x:v>
      </x:c>
      <x:c r="P193" s="26" t="str">
        <x:v>02, 07, 08, 11, 13, 16, 31</x:v>
      </x:c>
      <x:c r="Q193" s="26" t="str">
        <x:v>Historical baseline support</x:v>
      </x:c>
      <x:c r="R193" s="26" t="str">
        <x:v>RETAIN AS SUPPORTING HISTORY</x:v>
      </x:c>
      <x:c r="S193" s="26" t="str">
        <x:v>00_Official_Baseline/v0.5/06_Development_Records/Sprints/Sprint_02/QA/S2_Acceptance_Matrix.md</x:v>
      </x:c>
      <x:c r="T193" s="26" t="str">
        <x:v>Historical path preserved verbatim; hash calculated from supplied pre-regeneration project.</x:v>
      </x:c>
    </x:row>
    <x:row r="194" ht="30" customHeight="1">
      <x:c r="A194" s="26" t="str">
        <x:v>H-0190</x:v>
      </x:c>
      <x:c r="B194" s="26" t="str">
        <x:v>Official Baseline</x:v>
      </x:c>
      <x:c r="C194" s="26" t="str">
        <x:v>v0.5</x:v>
      </x:c>
      <x:c r="D194" s="26" t="str">
        <x:v>v0.5</x:v>
      </x:c>
      <x:c r="E194" s="26" t="str">
        <x:v>06_Development_Records</x:v>
      </x:c>
      <x:c r="F194" s="26" t="str">
        <x:v>Sprint 02</x:v>
      </x:c>
      <x:c r="G194" s="26" t="str">
        <x:v>S2_QA_Execution_Record.md</x:v>
      </x:c>
      <x:c r="H194" s="26" t="str">
        <x:v>Markdown</x:v>
      </x:c>
      <x:c r="I194" s="26" t="str">
        <x:v>QA execution evidence</x:v>
      </x:c>
      <x:c r="J194" s="26" t="n">
        <x:v>1827</x:v>
      </x:c>
      <x:c r="K194" s="26" t="str">
        <x:v>70ad9d5ab6b32071b69fcbb35e7f76889b95b4d84ec6c6e6174ab2d793ccea4f</x:v>
      </x:c>
      <x:c r="L194" s="26" t="str">
        <x:v>DG-045</x:v>
      </x:c>
      <x:c r="M194" s="26" t="n">
        <x:v>2</x:v>
      </x:c>
      <x:c r="N194" s="26" t="str">
        <x:v>DUPLICATE GROUP REPRESENTATIVE</x:v>
      </x:c>
      <x:c r="O194" s="26" t="str">
        <x:v>31</x:v>
      </x:c>
      <x:c r="P194" s="26" t="str">
        <x:v>02, 07, 08, 11, 13, 16, 31</x:v>
      </x:c>
      <x:c r="Q194" s="26" t="str">
        <x:v>Historical baseline support</x:v>
      </x:c>
      <x:c r="R194" s="26" t="str">
        <x:v>RETAIN AS SUPPORTING HISTORY</x:v>
      </x:c>
      <x:c r="S194" s="26" t="str">
        <x:v>00_Official_Baseline/v0.5/06_Development_Records/Sprints/Sprint_02/QA/S2_QA_Execution_Record.md</x:v>
      </x:c>
      <x:c r="T194" s="26" t="str">
        <x:v>Historical path preserved verbatim; hash calculated from supplied pre-regeneration project.</x:v>
      </x:c>
    </x:row>
    <x:row r="195" ht="30" customHeight="1">
      <x:c r="A195" s="26" t="str">
        <x:v>H-0191</x:v>
      </x:c>
      <x:c r="B195" s="26" t="str">
        <x:v>Official Baseline</x:v>
      </x:c>
      <x:c r="C195" s="26" t="str">
        <x:v>v0.5</x:v>
      </x:c>
      <x:c r="D195" s="26" t="str">
        <x:v>v0.5</x:v>
      </x:c>
      <x:c r="E195" s="26" t="str">
        <x:v>06_Development_Records</x:v>
      </x:c>
      <x:c r="F195" s="26" t="str">
        <x:v>Sprint 02</x:v>
      </x:c>
      <x:c r="G195" s="26" t="str">
        <x:v>S2_Validation_Checklist.md</x:v>
      </x:c>
      <x:c r="H195" s="26" t="str">
        <x:v>Markdown</x:v>
      </x:c>
      <x:c r="I195" s="26" t="str">
        <x:v>Validation checklist</x:v>
      </x:c>
      <x:c r="J195" s="26" t="n">
        <x:v>1272</x:v>
      </x:c>
      <x:c r="K195" s="26" t="str">
        <x:v>c0a872b546a633fd2774377e613690ce0b756b0acb22eecc799f2083cb294606</x:v>
      </x:c>
      <x:c r="L195" s="26" t="str">
        <x:v>DG-075</x:v>
      </x:c>
      <x:c r="M195" s="26" t="n">
        <x:v>2</x:v>
      </x:c>
      <x:c r="N195" s="26" t="str">
        <x:v>DUPLICATE GROUP REPRESENTATIVE</x:v>
      </x:c>
      <x:c r="O195" s="26" t="str">
        <x:v>31</x:v>
      </x:c>
      <x:c r="P195" s="26" t="str">
        <x:v>02, 07, 08, 11, 13, 16, 31</x:v>
      </x:c>
      <x:c r="Q195" s="26" t="str">
        <x:v>Historical baseline support</x:v>
      </x:c>
      <x:c r="R195" s="26" t="str">
        <x:v>RETAIN AS SUPPORTING HISTORY</x:v>
      </x:c>
      <x:c r="S195" s="26" t="str">
        <x:v>00_Official_Baseline/v0.5/06_Development_Records/Sprints/Sprint_02/QA/S2_Validation_Checklist.md</x:v>
      </x:c>
      <x:c r="T195" s="26" t="str">
        <x:v>Historical path preserved verbatim; hash calculated from supplied pre-regeneration project.</x:v>
      </x:c>
    </x:row>
    <x:row r="196" ht="30" customHeight="1">
      <x:c r="A196" s="26" t="str">
        <x:v>H-0192</x:v>
      </x:c>
      <x:c r="B196" s="26" t="str">
        <x:v>Official Baseline</x:v>
      </x:c>
      <x:c r="C196" s="26" t="str">
        <x:v>v0.5</x:v>
      </x:c>
      <x:c r="D196" s="26" t="str">
        <x:v>v0.5</x:v>
      </x:c>
      <x:c r="E196" s="26" t="str">
        <x:v>06_Development_Records</x:v>
      </x:c>
      <x:c r="F196" s="26" t="str">
        <x:v>Sprint 02</x:v>
      </x:c>
      <x:c r="G196" s="26" t="str">
        <x:v>S2_Applied_Changes_Report.md</x:v>
      </x:c>
      <x:c r="H196" s="26" t="str">
        <x:v>Markdown</x:v>
      </x:c>
      <x:c r="I196" s="26" t="str">
        <x:v>Applied change report</x:v>
      </x:c>
      <x:c r="J196" s="26" t="n">
        <x:v>1915</x:v>
      </x:c>
      <x:c r="K196" s="26" t="str">
        <x:v>0798b0b347296ca20893768eb0865f0e4b6eeb18d6f99df19cf436122da8285f</x:v>
      </x:c>
      <x:c r="L196" s="26" t="str">
        <x:v>DG-002</x:v>
      </x:c>
      <x:c r="M196" s="26" t="n">
        <x:v>2</x:v>
      </x:c>
      <x:c r="N196" s="26" t="str">
        <x:v>DUPLICATE GROUP REPRESENTATIVE</x:v>
      </x:c>
      <x:c r="O196" s="26"/>
      <x:c r="P196" s="26"/>
      <x:c r="Q196" s="26" t="str">
        <x:v>Historical baseline support</x:v>
      </x:c>
      <x:c r="R196" s="26" t="str">
        <x:v>RETAIN AS SUPPORTING HISTORY</x:v>
      </x:c>
      <x:c r="S196" s="26" t="str">
        <x:v>00_Official_Baseline/v0.5/06_Development_Records/Sprints/Sprint_02/S2_Applied_Changes_Report.md</x:v>
      </x:c>
      <x:c r="T196" s="26" t="str">
        <x:v>Historical path preserved verbatim; hash calculated from supplied pre-regeneration project.</x:v>
      </x:c>
    </x:row>
    <x:row r="197" ht="30" customHeight="1">
      <x:c r="A197" s="26" t="str">
        <x:v>H-0193</x:v>
      </x:c>
      <x:c r="B197" s="26" t="str">
        <x:v>Official Baseline</x:v>
      </x:c>
      <x:c r="C197" s="26" t="str">
        <x:v>v0.5</x:v>
      </x:c>
      <x:c r="D197" s="26" t="str">
        <x:v>v0.5</x:v>
      </x:c>
      <x:c r="E197" s="26" t="str">
        <x:v>06_Development_Records</x:v>
      </x:c>
      <x:c r="F197" s="26" t="str">
        <x:v>Sprint 02</x:v>
      </x:c>
      <x:c r="G197" s="26" t="str">
        <x:v>Sprint_02_Closure_Record.md</x:v>
      </x:c>
      <x:c r="H197" s="26" t="str">
        <x:v>Markdown</x:v>
      </x:c>
      <x:c r="I197" s="26" t="str">
        <x:v>Sprint closure</x:v>
      </x:c>
      <x:c r="J197" s="26" t="n">
        <x:v>1900</x:v>
      </x:c>
      <x:c r="K197" s="26" t="str">
        <x:v>5be13768cf7133b2e1ccaf90c13f0fbac1186bb46125b2512559a0943d2d3bf9</x:v>
      </x:c>
      <x:c r="L197" s="26" t="str">
        <x:v>DG-038</x:v>
      </x:c>
      <x:c r="M197" s="26" t="n">
        <x:v>2</x:v>
      </x:c>
      <x:c r="N197" s="26" t="str">
        <x:v>DUPLICATE GROUP REPRESENTATIVE</x:v>
      </x:c>
      <x:c r="O197" s="26"/>
      <x:c r="P197" s="26"/>
      <x:c r="Q197" s="26" t="str">
        <x:v>Historical baseline support</x:v>
      </x:c>
      <x:c r="R197" s="26" t="str">
        <x:v>RETAIN AS SUPPORTING HISTORY</x:v>
      </x:c>
      <x:c r="S197" s="26" t="str">
        <x:v>00_Official_Baseline/v0.5/06_Development_Records/Sprints/Sprint_02/Sprint_02_Closure_Record.md</x:v>
      </x:c>
      <x:c r="T197" s="26" t="str">
        <x:v>Historical path preserved verbatim; hash calculated from supplied pre-regeneration project.</x:v>
      </x:c>
    </x:row>
    <x:row r="198" ht="30" customHeight="1">
      <x:c r="A198" s="26" t="str">
        <x:v>H-0194</x:v>
      </x:c>
      <x:c r="B198" s="26" t="str">
        <x:v>Official Baseline</x:v>
      </x:c>
      <x:c r="C198" s="26" t="str">
        <x:v>v0.5</x:v>
      </x:c>
      <x:c r="D198" s="26" t="str">
        <x:v>v0.5</x:v>
      </x:c>
      <x:c r="E198" s="26" t="str">
        <x:v>06_Development_Records</x:v>
      </x:c>
      <x:c r="F198" s="26" t="str">
        <x:v>Sprint 02</x:v>
      </x:c>
      <x:c r="G198" s="26" t="str">
        <x:v>S2_Document_Impact_Working_Matrix.md</x:v>
      </x:c>
      <x:c r="H198" s="26" t="str">
        <x:v>Markdown</x:v>
      </x:c>
      <x:c r="I198" s="26" t="str">
        <x:v>Traceability entry</x:v>
      </x:c>
      <x:c r="J198" s="26" t="n">
        <x:v>1594</x:v>
      </x:c>
      <x:c r="K198" s="26" t="str">
        <x:v>b43e047a96a94ab7edc30626030648f1c5c159e8d7522afc10f107f2b0e38852</x:v>
      </x:c>
      <x:c r="L198" s="26" t="str">
        <x:v>DG-070</x:v>
      </x:c>
      <x:c r="M198" s="26" t="n">
        <x:v>2</x:v>
      </x:c>
      <x:c r="N198" s="26" t="str">
        <x:v>DUPLICATE GROUP REPRESENTATIVE</x:v>
      </x:c>
      <x:c r="O198" s="26"/>
      <x:c r="P198" s="26"/>
      <x:c r="Q198" s="26" t="str">
        <x:v>Historical baseline support</x:v>
      </x:c>
      <x:c r="R198" s="26" t="str">
        <x:v>RETAIN AS SUPPORTING HISTORY</x:v>
      </x:c>
      <x:c r="S198" s="26" t="str">
        <x:v>00_Official_Baseline/v0.5/06_Development_Records/Sprints/Sprint_02/Traceability/S2_Document_Impact_Working_Matrix.md</x:v>
      </x:c>
      <x:c r="T198" s="26" t="str">
        <x:v>Historical path preserved verbatim; hash calculated from supplied pre-regeneration project.</x:v>
      </x:c>
    </x:row>
    <x:row r="199" ht="30" customHeight="1">
      <x:c r="A199" s="26" t="str">
        <x:v>H-0195</x:v>
      </x:c>
      <x:c r="B199" s="26" t="str">
        <x:v>Official Baseline</x:v>
      </x:c>
      <x:c r="C199" s="26" t="str">
        <x:v>v0.5</x:v>
      </x:c>
      <x:c r="D199" s="26" t="str">
        <x:v>v0.5</x:v>
      </x:c>
      <x:c r="E199" s="26" t="str">
        <x:v>06_Development_Records</x:v>
      </x:c>
      <x:c r="F199" s="26" t="str">
        <x:v>Sprint 02</x:v>
      </x:c>
      <x:c r="G199" s="26" t="str">
        <x:v>S2_Traceability_Entries.csv</x:v>
      </x:c>
      <x:c r="H199" s="26" t="str">
        <x:v>CSV</x:v>
      </x:c>
      <x:c r="I199" s="26" t="str">
        <x:v>Traceability entry</x:v>
      </x:c>
      <x:c r="J199" s="26" t="n">
        <x:v>1154</x:v>
      </x:c>
      <x:c r="K199" s="26" t="str">
        <x:v>f1d0d1ccab1084dd3975ab05236e9d7d9768595ebd5570f3fdd2e2075e0f9c50</x:v>
      </x:c>
      <x:c r="L199" s="26" t="str">
        <x:v>DG-095</x:v>
      </x:c>
      <x:c r="M199" s="26" t="n">
        <x:v>2</x:v>
      </x:c>
      <x:c r="N199" s="26" t="str">
        <x:v>DUPLICATE GROUP REPRESENTATIVE</x:v>
      </x:c>
      <x:c r="O199" s="26"/>
      <x:c r="P199" s="26"/>
      <x:c r="Q199" s="26" t="str">
        <x:v>Historical baseline support</x:v>
      </x:c>
      <x:c r="R199" s="26" t="str">
        <x:v>RETAIN AS SUPPORTING HISTORY</x:v>
      </x:c>
      <x:c r="S199" s="26" t="str">
        <x:v>00_Official_Baseline/v0.5/06_Development_Records/Sprints/Sprint_02/Traceability/S2_Traceability_Entries.csv</x:v>
      </x:c>
      <x:c r="T199" s="26" t="str">
        <x:v>Historical path preserved verbatim; hash calculated from supplied pre-regeneration project.</x:v>
      </x:c>
    </x:row>
    <x:row r="200" ht="30" customHeight="1">
      <x:c r="A200" s="26" t="str">
        <x:v>H-0196</x:v>
      </x:c>
      <x:c r="B200" s="26" t="str">
        <x:v>Official Baseline</x:v>
      </x:c>
      <x:c r="C200" s="26" t="str">
        <x:v>v0.5</x:v>
      </x:c>
      <x:c r="D200" s="26" t="str">
        <x:v>v0.5</x:v>
      </x:c>
      <x:c r="E200" s="26" t="str">
        <x:v>06_Development_Records</x:v>
      </x:c>
      <x:c r="F200" s="26" t="str">
        <x:v>Sprint 03</x:v>
      </x:c>
      <x:c r="G200" s="26" t="str">
        <x:v>S3_3.4_PostImplementation_Record.md</x:v>
      </x:c>
      <x:c r="H200" s="26" t="str">
        <x:v>Markdown</x:v>
      </x:c>
      <x:c r="I200" s="26" t="str">
        <x:v>Historical document / record</x:v>
      </x:c>
      <x:c r="J200" s="26" t="n">
        <x:v>1620</x:v>
      </x:c>
      <x:c r="K200" s="26" t="str">
        <x:v>cf1d302783bfb7156655cc269fad60d1457fbac83048709a2d2e5b3591111969</x:v>
      </x:c>
      <x:c r="L200" s="26" t="str">
        <x:v>DG-084</x:v>
      </x:c>
      <x:c r="M200" s="26" t="n">
        <x:v>2</x:v>
      </x:c>
      <x:c r="N200" s="26" t="str">
        <x:v>DUPLICATE GROUP REPRESENTATIVE</x:v>
      </x:c>
      <x:c r="O200" s="26"/>
      <x:c r="P200" s="26"/>
      <x:c r="Q200" s="26" t="str">
        <x:v>Historical baseline support</x:v>
      </x:c>
      <x:c r="R200" s="26" t="str">
        <x:v>RETAIN AS SUPPORTING HISTORY</x:v>
      </x:c>
      <x:c r="S200" s="26" t="str">
        <x:v>00_Official_Baseline/v0.5/06_Development_Records/Sprints/Sprint_03/Documentation/S3_3.4_PostImplementation_Record.md</x:v>
      </x:c>
      <x:c r="T200" s="26" t="str">
        <x:v>Historical path preserved verbatim; hash calculated from supplied pre-regeneration project.</x:v>
      </x:c>
    </x:row>
    <x:row r="201" ht="30" customHeight="1">
      <x:c r="A201" s="26" t="str">
        <x:v>H-0197</x:v>
      </x:c>
      <x:c r="B201" s="26" t="str">
        <x:v>Official Baseline</x:v>
      </x:c>
      <x:c r="C201" s="26" t="str">
        <x:v>v0.5</x:v>
      </x:c>
      <x:c r="D201" s="26" t="str">
        <x:v>v0.5</x:v>
      </x:c>
      <x:c r="E201" s="26" t="str">
        <x:v>06_Development_Records</x:v>
      </x:c>
      <x:c r="F201" s="26" t="str">
        <x:v>Sprint 03</x:v>
      </x:c>
      <x:c r="G201" s="26" t="str">
        <x:v>S3_Living_Documentation_Update.md</x:v>
      </x:c>
      <x:c r="H201" s="26" t="str">
        <x:v>Markdown</x:v>
      </x:c>
      <x:c r="I201" s="26" t="str">
        <x:v>Living documentation update</x:v>
      </x:c>
      <x:c r="J201" s="26" t="n">
        <x:v>1924</x:v>
      </x:c>
      <x:c r="K201" s="26" t="str">
        <x:v>06304b6d9cb64a6550920e046f4b0a04edf2e210e85ab19afb2631bd07f12138</x:v>
      </x:c>
      <x:c r="L201" s="26" t="str">
        <x:v>DG-001</x:v>
      </x:c>
      <x:c r="M201" s="26" t="n">
        <x:v>2</x:v>
      </x:c>
      <x:c r="N201" s="26" t="str">
        <x:v>DUPLICATE GROUP REPRESENTATIVE</x:v>
      </x:c>
      <x:c r="O201" s="26"/>
      <x:c r="P201" s="26"/>
      <x:c r="Q201" s="26" t="str">
        <x:v>Historical baseline support</x:v>
      </x:c>
      <x:c r="R201" s="26" t="str">
        <x:v>RETAIN AS SUPPORTING HISTORY</x:v>
      </x:c>
      <x:c r="S201" s="26" t="str">
        <x:v>00_Official_Baseline/v0.5/06_Development_Records/Sprints/Sprint_03/Documentation/S3_Living_Documentation_Update.md</x:v>
      </x:c>
      <x:c r="T201" s="26" t="str">
        <x:v>Historical path preserved verbatim; hash calculated from supplied pre-regeneration project.</x:v>
      </x:c>
    </x:row>
    <x:row r="202" ht="30" customHeight="1">
      <x:c r="A202" s="26" t="str">
        <x:v>H-0198</x:v>
      </x:c>
      <x:c r="B202" s="26" t="str">
        <x:v>Official Baseline</x:v>
      </x:c>
      <x:c r="C202" s="26" t="str">
        <x:v>v0.5</x:v>
      </x:c>
      <x:c r="D202" s="26" t="str">
        <x:v>v0.5</x:v>
      </x:c>
      <x:c r="E202" s="26" t="str">
        <x:v>06_Development_Records</x:v>
      </x:c>
      <x:c r="F202" s="26" t="str">
        <x:v>Sprint 03</x:v>
      </x:c>
      <x:c r="G202" s="26" t="str">
        <x:v>ADR-0012_Scene_Driven_Input_Contexts.md</x:v>
      </x:c>
      <x:c r="H202" s="26" t="str">
        <x:v>Markdown</x:v>
      </x:c>
      <x:c r="I202" s="26" t="str">
        <x:v>ADR</x:v>
      </x:c>
      <x:c r="J202" s="26" t="n">
        <x:v>1159</x:v>
      </x:c>
      <x:c r="K202" s="26" t="str">
        <x:v>13c16537cc90fb0cdf3e74d588a585635c8b7b998433a1ed52501aad1d89af0f</x:v>
      </x:c>
      <x:c r="L202" s="26" t="str">
        <x:v>DG-009</x:v>
      </x:c>
      <x:c r="M202" s="26" t="n">
        <x:v>2</x:v>
      </x:c>
      <x:c r="N202" s="26" t="str">
        <x:v>DUPLICATE GROUP REPRESENTATIVE</x:v>
      </x:c>
      <x:c r="O202" s="26"/>
      <x:c r="P202" s="26"/>
      <x:c r="Q202" s="26" t="str">
        <x:v>Historical baseline support</x:v>
      </x:c>
      <x:c r="R202" s="26" t="str">
        <x:v>RETAIN AS SUPPORTING HISTORY</x:v>
      </x:c>
      <x:c r="S202" s="26" t="str">
        <x:v>00_Official_Baseline/v0.5/06_Development_Records/Sprints/Sprint_03/Governance/ADR-0012_Scene_Driven_Input_Contexts.md</x:v>
      </x:c>
      <x:c r="T202" s="26" t="str">
        <x:v>Historical path preserved verbatim; hash calculated from supplied pre-regeneration project.</x:v>
      </x:c>
    </x:row>
    <x:row r="203" ht="30" customHeight="1">
      <x:c r="A203" s="26" t="str">
        <x:v>H-0199</x:v>
      </x:c>
      <x:c r="B203" s="26" t="str">
        <x:v>Official Baseline</x:v>
      </x:c>
      <x:c r="C203" s="26" t="str">
        <x:v>v0.5</x:v>
      </x:c>
      <x:c r="D203" s="26" t="str">
        <x:v>v0.5</x:v>
      </x:c>
      <x:c r="E203" s="26" t="str">
        <x:v>06_Development_Records</x:v>
      </x:c>
      <x:c r="F203" s="26" t="str">
        <x:v>Sprint 03</x:v>
      </x:c>
      <x:c r="G203" s="26" t="str">
        <x:v>ADR-0013_Direct_Planar_Click_To_Move_Foundation.md</x:v>
      </x:c>
      <x:c r="H203" s="26" t="str">
        <x:v>Markdown</x:v>
      </x:c>
      <x:c r="I203" s="26" t="str">
        <x:v>ADR</x:v>
      </x:c>
      <x:c r="J203" s="26" t="n">
        <x:v>1449</x:v>
      </x:c>
      <x:c r="K203" s="26" t="str">
        <x:v>24601e21279c905274e2c7092c1504eae9f72be23477d15741fab33d79971059</x:v>
      </x:c>
      <x:c r="L203" s="26" t="str">
        <x:v>DG-011</x:v>
      </x:c>
      <x:c r="M203" s="26" t="n">
        <x:v>2</x:v>
      </x:c>
      <x:c r="N203" s="26" t="str">
        <x:v>DUPLICATE GROUP REPRESENTATIVE</x:v>
      </x:c>
      <x:c r="O203" s="26"/>
      <x:c r="P203" s="26"/>
      <x:c r="Q203" s="26" t="str">
        <x:v>Historical baseline support</x:v>
      </x:c>
      <x:c r="R203" s="26" t="str">
        <x:v>RETAIN AS SUPPORTING HISTORY</x:v>
      </x:c>
      <x:c r="S203" s="26" t="str">
        <x:v>00_Official_Baseline/v0.5/06_Development_Records/Sprints/Sprint_03/Governance/ADR-0013_Direct_Planar_Click_To_Move_Foundation.md</x:v>
      </x:c>
      <x:c r="T203" s="26" t="str">
        <x:v>Historical path preserved verbatim; hash calculated from supplied pre-regeneration project.</x:v>
      </x:c>
    </x:row>
    <x:row r="204" ht="30" customHeight="1">
      <x:c r="A204" s="26" t="str">
        <x:v>H-0200</x:v>
      </x:c>
      <x:c r="B204" s="26" t="str">
        <x:v>Official Baseline</x:v>
      </x:c>
      <x:c r="C204" s="26" t="str">
        <x:v>v0.5</x:v>
      </x:c>
      <x:c r="D204" s="26" t="str">
        <x:v>v0.5</x:v>
      </x:c>
      <x:c r="E204" s="26" t="str">
        <x:v>06_Development_Records</x:v>
      </x:c>
      <x:c r="F204" s="26" t="str">
        <x:v>Sprint 03</x:v>
      </x:c>
      <x:c r="G204" s="26" t="str">
        <x:v>ADR-0014_Orbit_Zoom_Follow_Camera.md</x:v>
      </x:c>
      <x:c r="H204" s="26" t="str">
        <x:v>Markdown</x:v>
      </x:c>
      <x:c r="I204" s="26" t="str">
        <x:v>ADR</x:v>
      </x:c>
      <x:c r="J204" s="26" t="n">
        <x:v>1331</x:v>
      </x:c>
      <x:c r="K204" s="26" t="str">
        <x:v>c7bcb3d83c5544605bac741e625f1a441f5ba10047e204e4ce6dbd9eb7468a77</x:v>
      </x:c>
      <x:c r="L204" s="26" t="str">
        <x:v>DG-079</x:v>
      </x:c>
      <x:c r="M204" s="26" t="n">
        <x:v>2</x:v>
      </x:c>
      <x:c r="N204" s="26" t="str">
        <x:v>DUPLICATE GROUP REPRESENTATIVE</x:v>
      </x:c>
      <x:c r="O204" s="26"/>
      <x:c r="P204" s="26"/>
      <x:c r="Q204" s="26" t="str">
        <x:v>Historical baseline support</x:v>
      </x:c>
      <x:c r="R204" s="26" t="str">
        <x:v>RETAIN AS SUPPORTING HISTORY</x:v>
      </x:c>
      <x:c r="S204" s="26" t="str">
        <x:v>00_Official_Baseline/v0.5/06_Development_Records/Sprints/Sprint_03/Governance/ADR-0014_Orbit_Zoom_Follow_Camera.md</x:v>
      </x:c>
      <x:c r="T204" s="26" t="str">
        <x:v>Historical path preserved verbatim; hash calculated from supplied pre-regeneration project.</x:v>
      </x:c>
    </x:row>
    <x:row r="205" ht="30" customHeight="1">
      <x:c r="A205" s="26" t="str">
        <x:v>H-0201</x:v>
      </x:c>
      <x:c r="B205" s="26" t="str">
        <x:v>Official Baseline</x:v>
      </x:c>
      <x:c r="C205" s="26" t="str">
        <x:v>v0.5</x:v>
      </x:c>
      <x:c r="D205" s="26" t="str">
        <x:v>v0.5</x:v>
      </x:c>
      <x:c r="E205" s="26" t="str">
        <x:v>06_Development_Records</x:v>
      </x:c>
      <x:c r="F205" s="26" t="str">
        <x:v>Sprint 03</x:v>
      </x:c>
      <x:c r="G205" s="26" t="str">
        <x:v>ADR-0015_Project_Input_Actions_And_Context_Routing.md</x:v>
      </x:c>
      <x:c r="H205" s="26" t="str">
        <x:v>Markdown</x:v>
      </x:c>
      <x:c r="I205" s="26" t="str">
        <x:v>ADR</x:v>
      </x:c>
      <x:c r="J205" s="26" t="n">
        <x:v>1653</x:v>
      </x:c>
      <x:c r="K205" s="26" t="str">
        <x:v>b665c0f33852bfb4ae7d0de42fac1636487181e19c28593c1d728d412e21954e</x:v>
      </x:c>
      <x:c r="L205" s="26" t="str">
        <x:v>DG-072</x:v>
      </x:c>
      <x:c r="M205" s="26" t="n">
        <x:v>2</x:v>
      </x:c>
      <x:c r="N205" s="26" t="str">
        <x:v>DUPLICATE GROUP REPRESENTATIVE</x:v>
      </x:c>
      <x:c r="O205" s="26"/>
      <x:c r="P205" s="26"/>
      <x:c r="Q205" s="26" t="str">
        <x:v>Historical baseline support</x:v>
      </x:c>
      <x:c r="R205" s="26" t="str">
        <x:v>RETAIN AS SUPPORTING HISTORY</x:v>
      </x:c>
      <x:c r="S205" s="26" t="str">
        <x:v>00_Official_Baseline/v0.5/06_Development_Records/Sprints/Sprint_03/Governance/ADR-0015_Project_Input_Actions_And_Context_Routing.md</x:v>
      </x:c>
      <x:c r="T205" s="26" t="str">
        <x:v>Historical path preserved verbatim; hash calculated from supplied pre-regeneration project.</x:v>
      </x:c>
    </x:row>
    <x:row r="206" ht="30" customHeight="1">
      <x:c r="A206" s="26" t="str">
        <x:v>H-0202</x:v>
      </x:c>
      <x:c r="B206" s="26" t="str">
        <x:v>Official Baseline</x:v>
      </x:c>
      <x:c r="C206" s="26" t="str">
        <x:v>v0.5</x:v>
      </x:c>
      <x:c r="D206" s="26" t="str">
        <x:v>v0.5</x:v>
      </x:c>
      <x:c r="E206" s="26" t="str">
        <x:v>06_Development_Records</x:v>
      </x:c>
      <x:c r="F206" s="26" t="str">
        <x:v>Sprint 03</x:v>
      </x:c>
      <x:c r="G206" s="26" t="str">
        <x:v>Sprint_03_Charter.md</x:v>
      </x:c>
      <x:c r="H206" s="26" t="str">
        <x:v>Markdown</x:v>
      </x:c>
      <x:c r="I206" s="26" t="str">
        <x:v>Sprint charter</x:v>
      </x:c>
      <x:c r="J206" s="26" t="n">
        <x:v>1705</x:v>
      </x:c>
      <x:c r="K206" s="26" t="str">
        <x:v>126a9ef68bf789045c3ec9d23b5e8a1643ebe6023784c6d9b43df1e9aa8fd15c</x:v>
      </x:c>
      <x:c r="L206" s="26" t="str">
        <x:v>DG-007</x:v>
      </x:c>
      <x:c r="M206" s="26" t="n">
        <x:v>2</x:v>
      </x:c>
      <x:c r="N206" s="26" t="str">
        <x:v>DUPLICATE GROUP REPRESENTATIVE</x:v>
      </x:c>
      <x:c r="O206" s="26"/>
      <x:c r="P206" s="26"/>
      <x:c r="Q206" s="26" t="str">
        <x:v>Historical baseline support</x:v>
      </x:c>
      <x:c r="R206" s="26" t="str">
        <x:v>RETAIN AS SUPPORTING HISTORY</x:v>
      </x:c>
      <x:c r="S206" s="26" t="str">
        <x:v>00_Official_Baseline/v0.5/06_Development_Records/Sprints/Sprint_03/Governance/Sprint_03_Charter.md</x:v>
      </x:c>
      <x:c r="T206" s="26" t="str">
        <x:v>Historical path preserved verbatim; hash calculated from supplied pre-regeneration project.</x:v>
      </x:c>
    </x:row>
    <x:row r="207" ht="30" customHeight="1">
      <x:c r="A207" s="26" t="str">
        <x:v>H-0203</x:v>
      </x:c>
      <x:c r="B207" s="26" t="str">
        <x:v>Official Baseline</x:v>
      </x:c>
      <x:c r="C207" s="26" t="str">
        <x:v>v0.5</x:v>
      </x:c>
      <x:c r="D207" s="26" t="str">
        <x:v>v0.5</x:v>
      </x:c>
      <x:c r="E207" s="26" t="str">
        <x:v>06_Development_Records</x:v>
      </x:c>
      <x:c r="F207" s="26" t="str">
        <x:v>Sprint 03</x:v>
      </x:c>
      <x:c r="G207" s="26" t="str">
        <x:v>Sprint_03_Current_Status.md</x:v>
      </x:c>
      <x:c r="H207" s="26" t="str">
        <x:v>Markdown</x:v>
      </x:c>
      <x:c r="I207" s="26" t="str">
        <x:v>Current status</x:v>
      </x:c>
      <x:c r="J207" s="26" t="n">
        <x:v>1914</x:v>
      </x:c>
      <x:c r="K207" s="26" t="str">
        <x:v>45e1fcd518bdb144ab357425bf1e3e37b14f33f61900b34942835d4f3a568235</x:v>
      </x:c>
      <x:c r="L207" s="26" t="str">
        <x:v>DG-030</x:v>
      </x:c>
      <x:c r="M207" s="26" t="n">
        <x:v>2</x:v>
      </x:c>
      <x:c r="N207" s="26" t="str">
        <x:v>DUPLICATE GROUP REPRESENTATIVE</x:v>
      </x:c>
      <x:c r="O207" s="26"/>
      <x:c r="P207" s="26"/>
      <x:c r="Q207" s="26" t="str">
        <x:v>Historical baseline support</x:v>
      </x:c>
      <x:c r="R207" s="26" t="str">
        <x:v>RETAIN AS SUPPORTING HISTORY</x:v>
      </x:c>
      <x:c r="S207" s="26" t="str">
        <x:v>00_Official_Baseline/v0.5/06_Development_Records/Sprints/Sprint_03/Governance/Sprint_03_Current_Status.md</x:v>
      </x:c>
      <x:c r="T207" s="26" t="str">
        <x:v>Historical path preserved verbatim; hash calculated from supplied pre-regeneration project.</x:v>
      </x:c>
    </x:row>
    <x:row r="208" ht="30" customHeight="1">
      <x:c r="A208" s="26" t="str">
        <x:v>H-0204</x:v>
      </x:c>
      <x:c r="B208" s="26" t="str">
        <x:v>Official Baseline</x:v>
      </x:c>
      <x:c r="C208" s="26" t="str">
        <x:v>v0.5</x:v>
      </x:c>
      <x:c r="D208" s="26" t="str">
        <x:v>v0.5</x:v>
      </x:c>
      <x:c r="E208" s="26" t="str">
        <x:v>06_Development_Records</x:v>
      </x:c>
      <x:c r="F208" s="26" t="str">
        <x:v>Sprint 03</x:v>
      </x:c>
      <x:c r="G208" s="26" t="str">
        <x:v>S3.1_Validation_Checklist.md</x:v>
      </x:c>
      <x:c r="H208" s="26" t="str">
        <x:v>Markdown</x:v>
      </x:c>
      <x:c r="I208" s="26" t="str">
        <x:v>Validation checklist</x:v>
      </x:c>
      <x:c r="J208" s="26" t="n">
        <x:v>572</x:v>
      </x:c>
      <x:c r="K208" s="26" t="str">
        <x:v>504a5c5285be528dd826475d48095d89f3e9ef702c59ebab2408debe90246aa7</x:v>
      </x:c>
      <x:c r="L208" s="26" t="str">
        <x:v>DG-034</x:v>
      </x:c>
      <x:c r="M208" s="26" t="n">
        <x:v>2</x:v>
      </x:c>
      <x:c r="N208" s="26" t="str">
        <x:v>DUPLICATE GROUP REPRESENTATIVE</x:v>
      </x:c>
      <x:c r="O208" s="26" t="str">
        <x:v>31</x:v>
      </x:c>
      <x:c r="P208" s="26" t="str">
        <x:v>02, 07, 08, 11, 13, 16, 31</x:v>
      </x:c>
      <x:c r="Q208" s="26" t="str">
        <x:v>Historical baseline support</x:v>
      </x:c>
      <x:c r="R208" s="26" t="str">
        <x:v>RETAIN AS SUPPORTING HISTORY</x:v>
      </x:c>
      <x:c r="S208" s="26" t="str">
        <x:v>00_Official_Baseline/v0.5/06_Development_Records/Sprints/Sprint_03/QA/S3.1_Validation_Checklist.md</x:v>
      </x:c>
      <x:c r="T208" s="26" t="str">
        <x:v>Historical path preserved verbatim; hash calculated from supplied pre-regeneration project.</x:v>
      </x:c>
    </x:row>
    <x:row r="209" ht="30" customHeight="1">
      <x:c r="A209" s="26" t="str">
        <x:v>H-0205</x:v>
      </x:c>
      <x:c r="B209" s="26" t="str">
        <x:v>Official Baseline</x:v>
      </x:c>
      <x:c r="C209" s="26" t="str">
        <x:v>v0.5</x:v>
      </x:c>
      <x:c r="D209" s="26" t="str">
        <x:v>v0.5</x:v>
      </x:c>
      <x:c r="E209" s="26" t="str">
        <x:v>06_Development_Records</x:v>
      </x:c>
      <x:c r="F209" s="26" t="str">
        <x:v>Sprint 03</x:v>
      </x:c>
      <x:c r="G209" s="26" t="str">
        <x:v>S3.2_Validation_Checklist.md</x:v>
      </x:c>
      <x:c r="H209" s="26" t="str">
        <x:v>Markdown</x:v>
      </x:c>
      <x:c r="I209" s="26" t="str">
        <x:v>Validation checklist</x:v>
      </x:c>
      <x:c r="J209" s="26" t="n">
        <x:v>869</x:v>
      </x:c>
      <x:c r="K209" s="26" t="str">
        <x:v>40c1fcb0f866cbe4f549fdd6fb510200c537a172b368c89cb851be0e75d7d6ba</x:v>
      </x:c>
      <x:c r="L209" s="26" t="str">
        <x:v>DG-028</x:v>
      </x:c>
      <x:c r="M209" s="26" t="n">
        <x:v>2</x:v>
      </x:c>
      <x:c r="N209" s="26" t="str">
        <x:v>DUPLICATE GROUP REPRESENTATIVE</x:v>
      </x:c>
      <x:c r="O209" s="26" t="str">
        <x:v>31</x:v>
      </x:c>
      <x:c r="P209" s="26" t="str">
        <x:v>02, 07, 08, 11, 13, 16, 31</x:v>
      </x:c>
      <x:c r="Q209" s="26" t="str">
        <x:v>Historical baseline support</x:v>
      </x:c>
      <x:c r="R209" s="26" t="str">
        <x:v>RETAIN AS SUPPORTING HISTORY</x:v>
      </x:c>
      <x:c r="S209" s="26" t="str">
        <x:v>00_Official_Baseline/v0.5/06_Development_Records/Sprints/Sprint_03/QA/S3.2_Validation_Checklist.md</x:v>
      </x:c>
      <x:c r="T209" s="26" t="str">
        <x:v>Historical path preserved verbatim; hash calculated from supplied pre-regeneration project.</x:v>
      </x:c>
    </x:row>
    <x:row r="210" ht="30" customHeight="1">
      <x:c r="A210" s="26" t="str">
        <x:v>H-0206</x:v>
      </x:c>
      <x:c r="B210" s="26" t="str">
        <x:v>Official Baseline</x:v>
      </x:c>
      <x:c r="C210" s="26" t="str">
        <x:v>v0.5</x:v>
      </x:c>
      <x:c r="D210" s="26" t="str">
        <x:v>v0.5</x:v>
      </x:c>
      <x:c r="E210" s="26" t="str">
        <x:v>06_Development_Records</x:v>
      </x:c>
      <x:c r="F210" s="26" t="str">
        <x:v>Sprint 03</x:v>
      </x:c>
      <x:c r="G210" s="26" t="str">
        <x:v>S3.3_Validation_Checklist.md</x:v>
      </x:c>
      <x:c r="H210" s="26" t="str">
        <x:v>Markdown</x:v>
      </x:c>
      <x:c r="I210" s="26" t="str">
        <x:v>Validation checklist</x:v>
      </x:c>
      <x:c r="J210" s="26" t="n">
        <x:v>848</x:v>
      </x:c>
      <x:c r="K210" s="26" t="str">
        <x:v>9ba60442d1b478ccf14f8185361528a5bedb267e7102ea8a963696dc6eee0123</x:v>
      </x:c>
      <x:c r="L210" s="26" t="str">
        <x:v>DG-059</x:v>
      </x:c>
      <x:c r="M210" s="26" t="n">
        <x:v>2</x:v>
      </x:c>
      <x:c r="N210" s="26" t="str">
        <x:v>DUPLICATE GROUP REPRESENTATIVE</x:v>
      </x:c>
      <x:c r="O210" s="26" t="str">
        <x:v>31</x:v>
      </x:c>
      <x:c r="P210" s="26" t="str">
        <x:v>02, 07, 08, 11, 13, 16, 31</x:v>
      </x:c>
      <x:c r="Q210" s="26" t="str">
        <x:v>Historical baseline support</x:v>
      </x:c>
      <x:c r="R210" s="26" t="str">
        <x:v>RETAIN AS SUPPORTING HISTORY</x:v>
      </x:c>
      <x:c r="S210" s="26" t="str">
        <x:v>00_Official_Baseline/v0.5/06_Development_Records/Sprints/Sprint_03/QA/S3.3_Validation_Checklist.md</x:v>
      </x:c>
      <x:c r="T210" s="26" t="str">
        <x:v>Historical path preserved verbatim; hash calculated from supplied pre-regeneration project.</x:v>
      </x:c>
    </x:row>
    <x:row r="211" ht="30" customHeight="1">
      <x:c r="A211" s="26" t="str">
        <x:v>H-0207</x:v>
      </x:c>
      <x:c r="B211" s="26" t="str">
        <x:v>Official Baseline</x:v>
      </x:c>
      <x:c r="C211" s="26" t="str">
        <x:v>v0.5</x:v>
      </x:c>
      <x:c r="D211" s="26" t="str">
        <x:v>v0.5</x:v>
      </x:c>
      <x:c r="E211" s="26" t="str">
        <x:v>06_Development_Records</x:v>
      </x:c>
      <x:c r="F211" s="26" t="str">
        <x:v>Sprint 03</x:v>
      </x:c>
      <x:c r="G211" s="26" t="str">
        <x:v>S3.4_Build_Execution_Record.md</x:v>
      </x:c>
      <x:c r="H211" s="26" t="str">
        <x:v>Markdown</x:v>
      </x:c>
      <x:c r="I211" s="26" t="str">
        <x:v>Build execution evidence</x:v>
      </x:c>
      <x:c r="J211" s="26" t="n">
        <x:v>1303</x:v>
      </x:c>
      <x:c r="K211" s="26" t="str">
        <x:v>bdbcbe899c627a7abf1f302f7db42ce29de1f0809c8373a454e3bc070984ab7d</x:v>
      </x:c>
      <x:c r="L211" s="26" t="str">
        <x:v>DG-073</x:v>
      </x:c>
      <x:c r="M211" s="26" t="n">
        <x:v>2</x:v>
      </x:c>
      <x:c r="N211" s="26" t="str">
        <x:v>DUPLICATE GROUP REPRESENTATIVE</x:v>
      </x:c>
      <x:c r="O211" s="26" t="str">
        <x:v>31</x:v>
      </x:c>
      <x:c r="P211" s="26" t="str">
        <x:v>02, 07, 08, 11, 13, 16, 31</x:v>
      </x:c>
      <x:c r="Q211" s="26" t="str">
        <x:v>Historical baseline support</x:v>
      </x:c>
      <x:c r="R211" s="26" t="str">
        <x:v>RETAIN AS SUPPORTING HISTORY</x:v>
      </x:c>
      <x:c r="S211" s="26" t="str">
        <x:v>00_Official_Baseline/v0.5/06_Development_Records/Sprints/Sprint_03/QA/S3.4_Build_Execution_Record.md</x:v>
      </x:c>
      <x:c r="T211" s="26" t="str">
        <x:v>Historical path preserved verbatim; hash calculated from supplied pre-regeneration project.</x:v>
      </x:c>
    </x:row>
    <x:row r="212" ht="30" customHeight="1">
      <x:c r="A212" s="26" t="str">
        <x:v>H-0208</x:v>
      </x:c>
      <x:c r="B212" s="26" t="str">
        <x:v>Official Baseline</x:v>
      </x:c>
      <x:c r="C212" s="26" t="str">
        <x:v>v0.5</x:v>
      </x:c>
      <x:c r="D212" s="26" t="str">
        <x:v>v0.5</x:v>
      </x:c>
      <x:c r="E212" s="26" t="str">
        <x:v>06_Development_Records</x:v>
      </x:c>
      <x:c r="F212" s="26" t="str">
        <x:v>Sprint 03</x:v>
      </x:c>
      <x:c r="G212" s="26" t="str">
        <x:v>S3.4_Validation_Checklist.md</x:v>
      </x:c>
      <x:c r="H212" s="26" t="str">
        <x:v>Markdown</x:v>
      </x:c>
      <x:c r="I212" s="26" t="str">
        <x:v>Validation checklist</x:v>
      </x:c>
      <x:c r="J212" s="26" t="n">
        <x:v>1892</x:v>
      </x:c>
      <x:c r="K212" s="26" t="str">
        <x:v>52fce0bcde72678d3b864e12c3ab0a0a39eef2f3d1c321d94d7c55c21ab65027</x:v>
      </x:c>
      <x:c r="L212" s="26" t="str">
        <x:v>DG-035</x:v>
      </x:c>
      <x:c r="M212" s="26" t="n">
        <x:v>2</x:v>
      </x:c>
      <x:c r="N212" s="26" t="str">
        <x:v>DUPLICATE GROUP REPRESENTATIVE</x:v>
      </x:c>
      <x:c r="O212" s="26" t="str">
        <x:v>31</x:v>
      </x:c>
      <x:c r="P212" s="26" t="str">
        <x:v>02, 07, 08, 11, 13, 16, 31</x:v>
      </x:c>
      <x:c r="Q212" s="26" t="str">
        <x:v>Historical baseline support</x:v>
      </x:c>
      <x:c r="R212" s="26" t="str">
        <x:v>RETAIN AS SUPPORTING HISTORY</x:v>
      </x:c>
      <x:c r="S212" s="26" t="str">
        <x:v>00_Official_Baseline/v0.5/06_Development_Records/Sprints/Sprint_03/QA/S3.4_Validation_Checklist.md</x:v>
      </x:c>
      <x:c r="T212" s="26" t="str">
        <x:v>Historical path preserved verbatim; hash calculated from supplied pre-regeneration project.</x:v>
      </x:c>
    </x:row>
    <x:row r="213" ht="30" customHeight="1">
      <x:c r="A213" s="26" t="str">
        <x:v>H-0209</x:v>
      </x:c>
      <x:c r="B213" s="26" t="str">
        <x:v>Official Baseline</x:v>
      </x:c>
      <x:c r="C213" s="26" t="str">
        <x:v>v0.5</x:v>
      </x:c>
      <x:c r="D213" s="26" t="str">
        <x:v>v0.5</x:v>
      </x:c>
      <x:c r="E213" s="26" t="str">
        <x:v>06_Development_Records</x:v>
      </x:c>
      <x:c r="F213" s="26" t="str">
        <x:v>Sprint 03</x:v>
      </x:c>
      <x:c r="G213" s="26" t="str">
        <x:v>S3_Acceptance_Matrix.md</x:v>
      </x:c>
      <x:c r="H213" s="26" t="str">
        <x:v>Markdown</x:v>
      </x:c>
      <x:c r="I213" s="26" t="str">
        <x:v>Acceptance matrix</x:v>
      </x:c>
      <x:c r="J213" s="26" t="n">
        <x:v>1643</x:v>
      </x:c>
      <x:c r="K213" s="26" t="str">
        <x:v>dcd3a753ec03bf462ed61fee96f551716970f05a54702fcec5ebdc271bda15b7</x:v>
      </x:c>
      <x:c r="L213" s="26" t="str">
        <x:v>DG-090</x:v>
      </x:c>
      <x:c r="M213" s="26" t="n">
        <x:v>2</x:v>
      </x:c>
      <x:c r="N213" s="26" t="str">
        <x:v>DUPLICATE GROUP REPRESENTATIVE</x:v>
      </x:c>
      <x:c r="O213" s="26" t="str">
        <x:v>31</x:v>
      </x:c>
      <x:c r="P213" s="26" t="str">
        <x:v>02, 07, 08, 11, 13, 16, 31</x:v>
      </x:c>
      <x:c r="Q213" s="26" t="str">
        <x:v>Historical baseline support</x:v>
      </x:c>
      <x:c r="R213" s="26" t="str">
        <x:v>RETAIN AS SUPPORTING HISTORY</x:v>
      </x:c>
      <x:c r="S213" s="26" t="str">
        <x:v>00_Official_Baseline/v0.5/06_Development_Records/Sprints/Sprint_03/QA/S3_Acceptance_Matrix.md</x:v>
      </x:c>
      <x:c r="T213" s="26" t="str">
        <x:v>Historical path preserved verbatim; hash calculated from supplied pre-regeneration project.</x:v>
      </x:c>
    </x:row>
    <x:row r="214" ht="30" customHeight="1">
      <x:c r="A214" s="26" t="str">
        <x:v>H-0210</x:v>
      </x:c>
      <x:c r="B214" s="26" t="str">
        <x:v>Official Baseline</x:v>
      </x:c>
      <x:c r="C214" s="26" t="str">
        <x:v>v0.5</x:v>
      </x:c>
      <x:c r="D214" s="26" t="str">
        <x:v>v0.5</x:v>
      </x:c>
      <x:c r="E214" s="26" t="str">
        <x:v>06_Development_Records</x:v>
      </x:c>
      <x:c r="F214" s="26" t="str">
        <x:v>Sprint 03</x:v>
      </x:c>
      <x:c r="G214" s="26" t="str">
        <x:v>S3_QA_Execution_Record.md</x:v>
      </x:c>
      <x:c r="H214" s="26" t="str">
        <x:v>Markdown</x:v>
      </x:c>
      <x:c r="I214" s="26" t="str">
        <x:v>QA execution evidence</x:v>
      </x:c>
      <x:c r="J214" s="26" t="n">
        <x:v>2573</x:v>
      </x:c>
      <x:c r="K214" s="26" t="str">
        <x:v>c36caf9cccc1d762ab9f201d7eaedf2e07ae88f1787d7ed0df6bf13305850116</x:v>
      </x:c>
      <x:c r="L214" s="26" t="str">
        <x:v>DG-077</x:v>
      </x:c>
      <x:c r="M214" s="26" t="n">
        <x:v>2</x:v>
      </x:c>
      <x:c r="N214" s="26" t="str">
        <x:v>DUPLICATE GROUP REPRESENTATIVE</x:v>
      </x:c>
      <x:c r="O214" s="26" t="str">
        <x:v>31</x:v>
      </x:c>
      <x:c r="P214" s="26" t="str">
        <x:v>02, 07, 08, 11, 13, 16, 31</x:v>
      </x:c>
      <x:c r="Q214" s="26" t="str">
        <x:v>Historical baseline support</x:v>
      </x:c>
      <x:c r="R214" s="26" t="str">
        <x:v>RETAIN AS SUPPORTING HISTORY</x:v>
      </x:c>
      <x:c r="S214" s="26" t="str">
        <x:v>00_Official_Baseline/v0.5/06_Development_Records/Sprints/Sprint_03/QA/S3_QA_Execution_Record.md</x:v>
      </x:c>
      <x:c r="T214" s="26" t="str">
        <x:v>Historical path preserved verbatim; hash calculated from supplied pre-regeneration project.</x:v>
      </x:c>
    </x:row>
    <x:row r="215" ht="30" customHeight="1">
      <x:c r="A215" s="26" t="str">
        <x:v>H-0211</x:v>
      </x:c>
      <x:c r="B215" s="26" t="str">
        <x:v>Official Baseline</x:v>
      </x:c>
      <x:c r="C215" s="26" t="str">
        <x:v>v0.5</x:v>
      </x:c>
      <x:c r="D215" s="26" t="str">
        <x:v>v0.5</x:v>
      </x:c>
      <x:c r="E215" s="26" t="str">
        <x:v>06_Development_Records</x:v>
      </x:c>
      <x:c r="F215" s="26" t="str">
        <x:v>Sprint 03</x:v>
      </x:c>
      <x:c r="G215" s="26" t="str">
        <x:v>S3_Applied_Changes_Report.md</x:v>
      </x:c>
      <x:c r="H215" s="26" t="str">
        <x:v>Markdown</x:v>
      </x:c>
      <x:c r="I215" s="26" t="str">
        <x:v>Applied change report</x:v>
      </x:c>
      <x:c r="J215" s="26" t="n">
        <x:v>2337</x:v>
      </x:c>
      <x:c r="K215" s="26" t="str">
        <x:v>4c3a236418697f0ad9746eb7042a6beca9a5df75d617a6f814f2c042b1f38a44</x:v>
      </x:c>
      <x:c r="L215" s="26" t="str">
        <x:v>DG-032</x:v>
      </x:c>
      <x:c r="M215" s="26" t="n">
        <x:v>2</x:v>
      </x:c>
      <x:c r="N215" s="26" t="str">
        <x:v>DUPLICATE GROUP REPRESENTATIVE</x:v>
      </x:c>
      <x:c r="O215" s="26"/>
      <x:c r="P215" s="26"/>
      <x:c r="Q215" s="26" t="str">
        <x:v>Historical baseline support</x:v>
      </x:c>
      <x:c r="R215" s="26" t="str">
        <x:v>RETAIN AS SUPPORTING HISTORY</x:v>
      </x:c>
      <x:c r="S215" s="26" t="str">
        <x:v>00_Official_Baseline/v0.5/06_Development_Records/Sprints/Sprint_03/S3_Applied_Changes_Report.md</x:v>
      </x:c>
      <x:c r="T215" s="26" t="str">
        <x:v>Historical path preserved verbatim; hash calculated from supplied pre-regeneration project.</x:v>
      </x:c>
    </x:row>
    <x:row r="216" ht="30" customHeight="1">
      <x:c r="A216" s="26" t="str">
        <x:v>H-0212</x:v>
      </x:c>
      <x:c r="B216" s="26" t="str">
        <x:v>Official Baseline</x:v>
      </x:c>
      <x:c r="C216" s="26" t="str">
        <x:v>v0.5</x:v>
      </x:c>
      <x:c r="D216" s="26" t="str">
        <x:v>v0.5</x:v>
      </x:c>
      <x:c r="E216" s="26" t="str">
        <x:v>06_Development_Records</x:v>
      </x:c>
      <x:c r="F216" s="26" t="str">
        <x:v>Sprint 03</x:v>
      </x:c>
      <x:c r="G216" s="26" t="str">
        <x:v>Sprint_03_Closure_Report.md</x:v>
      </x:c>
      <x:c r="H216" s="26" t="str">
        <x:v>Markdown</x:v>
      </x:c>
      <x:c r="I216" s="26" t="str">
        <x:v>Sprint closure</x:v>
      </x:c>
      <x:c r="J216" s="26" t="n">
        <x:v>2034</x:v>
      </x:c>
      <x:c r="K216" s="26" t="str">
        <x:v>48d29b9fe0b1c87abd372919283cf390565a14d55092d5793e178cf431b1795a</x:v>
      </x:c>
      <x:c r="L216" s="26" t="str">
        <x:v>DG-031</x:v>
      </x:c>
      <x:c r="M216" s="26" t="n">
        <x:v>2</x:v>
      </x:c>
      <x:c r="N216" s="26" t="str">
        <x:v>DUPLICATE GROUP REPRESENTATIVE</x:v>
      </x:c>
      <x:c r="O216" s="26"/>
      <x:c r="P216" s="26"/>
      <x:c r="Q216" s="26" t="str">
        <x:v>Historical baseline support</x:v>
      </x:c>
      <x:c r="R216" s="26" t="str">
        <x:v>RETAIN AS SUPPORTING HISTORY</x:v>
      </x:c>
      <x:c r="S216" s="26" t="str">
        <x:v>00_Official_Baseline/v0.5/06_Development_Records/Sprints/Sprint_03/Sprint_03_Closure_Report.md</x:v>
      </x:c>
      <x:c r="T216" s="26" t="str">
        <x:v>Historical path preserved verbatim; hash calculated from supplied pre-regeneration project.</x:v>
      </x:c>
    </x:row>
    <x:row r="217" ht="30" customHeight="1">
      <x:c r="A217" s="26" t="str">
        <x:v>H-0213</x:v>
      </x:c>
      <x:c r="B217" s="26" t="str">
        <x:v>Official Baseline</x:v>
      </x:c>
      <x:c r="C217" s="26" t="str">
        <x:v>v0.5</x:v>
      </x:c>
      <x:c r="D217" s="26" t="str">
        <x:v>v0.5</x:v>
      </x:c>
      <x:c r="E217" s="26" t="str">
        <x:v>06_Development_Records</x:v>
      </x:c>
      <x:c r="F217" s="26" t="str">
        <x:v>Sprint 03</x:v>
      </x:c>
      <x:c r="G217" s="26" t="str">
        <x:v>S3_Document_Impact_Working_Matrix.md</x:v>
      </x:c>
      <x:c r="H217" s="26" t="str">
        <x:v>Markdown</x:v>
      </x:c>
      <x:c r="I217" s="26" t="str">
        <x:v>Traceability entry</x:v>
      </x:c>
      <x:c r="J217" s="26" t="n">
        <x:v>1866</x:v>
      </x:c>
      <x:c r="K217" s="26" t="str">
        <x:v>fe4330b2e7baf6e2285595b8373e6859890c24fd5cc358c71752bb41ba471ecf</x:v>
      </x:c>
      <x:c r="L217" s="26" t="str">
        <x:v>DG-098</x:v>
      </x:c>
      <x:c r="M217" s="26" t="n">
        <x:v>2</x:v>
      </x:c>
      <x:c r="N217" s="26" t="str">
        <x:v>DUPLICATE GROUP REPRESENTATIVE</x:v>
      </x:c>
      <x:c r="O217" s="26"/>
      <x:c r="P217" s="26"/>
      <x:c r="Q217" s="26" t="str">
        <x:v>Historical baseline support</x:v>
      </x:c>
      <x:c r="R217" s="26" t="str">
        <x:v>RETAIN AS SUPPORTING HISTORY</x:v>
      </x:c>
      <x:c r="S217" s="26" t="str">
        <x:v>00_Official_Baseline/v0.5/06_Development_Records/Sprints/Sprint_03/Traceability/S3_Document_Impact_Working_Matrix.md</x:v>
      </x:c>
      <x:c r="T217" s="26" t="str">
        <x:v>Historical path preserved verbatim; hash calculated from supplied pre-regeneration project.</x:v>
      </x:c>
    </x:row>
    <x:row r="218" ht="30" customHeight="1">
      <x:c r="A218" s="26" t="str">
        <x:v>H-0214</x:v>
      </x:c>
      <x:c r="B218" s="26" t="str">
        <x:v>Official Baseline</x:v>
      </x:c>
      <x:c r="C218" s="26" t="str">
        <x:v>v0.5</x:v>
      </x:c>
      <x:c r="D218" s="26" t="str">
        <x:v>v0.5</x:v>
      </x:c>
      <x:c r="E218" s="26" t="str">
        <x:v>06_Development_Records</x:v>
      </x:c>
      <x:c r="F218" s="26" t="str">
        <x:v>Sprint 03</x:v>
      </x:c>
      <x:c r="G218" s="26" t="str">
        <x:v>S3_Traceability_Entries.csv</x:v>
      </x:c>
      <x:c r="H218" s="26" t="str">
        <x:v>CSV</x:v>
      </x:c>
      <x:c r="I218" s="26" t="str">
        <x:v>Traceability entry</x:v>
      </x:c>
      <x:c r="J218" s="26" t="n">
        <x:v>2919</x:v>
      </x:c>
      <x:c r="K218" s="26" t="str">
        <x:v>1291d4483711d8633014f762760dfa4fb29be3ff6a0888daa49f304618a29e9e</x:v>
      </x:c>
      <x:c r="L218" s="26" t="str">
        <x:v>DG-008</x:v>
      </x:c>
      <x:c r="M218" s="26" t="n">
        <x:v>2</x:v>
      </x:c>
      <x:c r="N218" s="26" t="str">
        <x:v>DUPLICATE GROUP REPRESENTATIVE</x:v>
      </x:c>
      <x:c r="O218" s="26"/>
      <x:c r="P218" s="26"/>
      <x:c r="Q218" s="26" t="str">
        <x:v>Historical baseline support</x:v>
      </x:c>
      <x:c r="R218" s="26" t="str">
        <x:v>RETAIN AS SUPPORTING HISTORY</x:v>
      </x:c>
      <x:c r="S218" s="26" t="str">
        <x:v>00_Official_Baseline/v0.5/06_Development_Records/Sprints/Sprint_03/Traceability/S3_Traceability_Entries.csv</x:v>
      </x:c>
      <x:c r="T218" s="26" t="str">
        <x:v>Historical path preserved verbatim; hash calculated from supplied pre-regeneration project.</x:v>
      </x:c>
    </x:row>
    <x:row r="219" ht="30" customHeight="1">
      <x:c r="A219" s="26" t="str">
        <x:v>H-0215</x:v>
      </x:c>
      <x:c r="B219" s="26" t="str">
        <x:v>Official Baseline</x:v>
      </x:c>
      <x:c r="C219" s="26" t="str">
        <x:v>v0.5</x:v>
      </x:c>
      <x:c r="D219" s="26" t="str">
        <x:v>v0.5</x:v>
      </x:c>
      <x:c r="E219" s="26" t="str">
        <x:v>06_Development_Records</x:v>
      </x:c>
      <x:c r="F219" s="26" t="str">
        <x:v>Sprint 04</x:v>
      </x:c>
      <x:c r="G219" s="26" t="str">
        <x:v>S4_4.4_PostImplementation_Record.md</x:v>
      </x:c>
      <x:c r="H219" s="26" t="str">
        <x:v>Markdown</x:v>
      </x:c>
      <x:c r="I219" s="26" t="str">
        <x:v>Historical document / record</x:v>
      </x:c>
      <x:c r="J219" s="26" t="n">
        <x:v>1186</x:v>
      </x:c>
      <x:c r="K219" s="26" t="str">
        <x:v>561dc5549c7c89740905004bd43c03d73737f0c5b8c63843784712cebcf07828</x:v>
      </x:c>
      <x:c r="L219" s="26" t="str">
        <x:v>DG-036</x:v>
      </x:c>
      <x:c r="M219" s="26" t="n">
        <x:v>2</x:v>
      </x:c>
      <x:c r="N219" s="26" t="str">
        <x:v>DUPLICATE GROUP REPRESENTATIVE</x:v>
      </x:c>
      <x:c r="O219" s="26"/>
      <x:c r="P219" s="26"/>
      <x:c r="Q219" s="26" t="str">
        <x:v>Historical baseline support</x:v>
      </x:c>
      <x:c r="R219" s="26" t="str">
        <x:v>RETAIN AS SUPPORTING HISTORY</x:v>
      </x:c>
      <x:c r="S219" s="26" t="str">
        <x:v>00_Official_Baseline/v0.5/06_Development_Records/Sprints/Sprint_04/Documentation/S4_4.4_PostImplementation_Record.md</x:v>
      </x:c>
      <x:c r="T219" s="26" t="str">
        <x:v>Historical path preserved verbatim; hash calculated from supplied pre-regeneration project.</x:v>
      </x:c>
    </x:row>
    <x:row r="220" ht="30" customHeight="1">
      <x:c r="A220" s="26" t="str">
        <x:v>H-0216</x:v>
      </x:c>
      <x:c r="B220" s="26" t="str">
        <x:v>Official Baseline</x:v>
      </x:c>
      <x:c r="C220" s="26" t="str">
        <x:v>v0.5</x:v>
      </x:c>
      <x:c r="D220" s="26" t="str">
        <x:v>v0.5</x:v>
      </x:c>
      <x:c r="E220" s="26" t="str">
        <x:v>06_Development_Records</x:v>
      </x:c>
      <x:c r="F220" s="26" t="str">
        <x:v>Sprint 04</x:v>
      </x:c>
      <x:c r="G220" s="26" t="str">
        <x:v>S4_Living_Documentation_Update.md</x:v>
      </x:c>
      <x:c r="H220" s="26" t="str">
        <x:v>Markdown</x:v>
      </x:c>
      <x:c r="I220" s="26" t="str">
        <x:v>Living documentation update</x:v>
      </x:c>
      <x:c r="J220" s="26" t="n">
        <x:v>1127</x:v>
      </x:c>
      <x:c r="K220" s="26" t="str">
        <x:v>8a1bf9903a94e17fe199a67468adf1c986bc2e7a5593413d737e8eefdbb4ab84</x:v>
      </x:c>
      <x:c r="L220" s="26" t="str">
        <x:v>DG-055</x:v>
      </x:c>
      <x:c r="M220" s="26" t="n">
        <x:v>2</x:v>
      </x:c>
      <x:c r="N220" s="26" t="str">
        <x:v>DUPLICATE GROUP REPRESENTATIVE</x:v>
      </x:c>
      <x:c r="O220" s="26"/>
      <x:c r="P220" s="26"/>
      <x:c r="Q220" s="26" t="str">
        <x:v>Historical baseline support</x:v>
      </x:c>
      <x:c r="R220" s="26" t="str">
        <x:v>RETAIN AS SUPPORTING HISTORY</x:v>
      </x:c>
      <x:c r="S220" s="26" t="str">
        <x:v>00_Official_Baseline/v0.5/06_Development_Records/Sprints/Sprint_04/Documentation/S4_Living_Documentation_Update.md</x:v>
      </x:c>
      <x:c r="T220" s="26" t="str">
        <x:v>Historical path preserved verbatim; hash calculated from supplied pre-regeneration project.</x:v>
      </x:c>
    </x:row>
    <x:row r="221" ht="30" customHeight="1">
      <x:c r="A221" s="26" t="str">
        <x:v>H-0217</x:v>
      </x:c>
      <x:c r="B221" s="26" t="str">
        <x:v>Official Baseline</x:v>
      </x:c>
      <x:c r="C221" s="26" t="str">
        <x:v>v0.5</x:v>
      </x:c>
      <x:c r="D221" s="26" t="str">
        <x:v>v0.5</x:v>
      </x:c>
      <x:c r="E221" s="26" t="str">
        <x:v>06_Development_Records</x:v>
      </x:c>
      <x:c r="F221" s="26" t="str">
        <x:v>Sprint 04</x:v>
      </x:c>
      <x:c r="G221" s="26" t="str">
        <x:v>ADR-0016_Grid_Coordinate_And_Footprint_Foundation.md</x:v>
      </x:c>
      <x:c r="H221" s="26" t="str">
        <x:v>Markdown</x:v>
      </x:c>
      <x:c r="I221" s="26" t="str">
        <x:v>ADR</x:v>
      </x:c>
      <x:c r="J221" s="26" t="n">
        <x:v>1157</x:v>
      </x:c>
      <x:c r="K221" s="26" t="str">
        <x:v>84ffb0f806ec18937785dc30f5410a0be471ea75deeeb3d23021657ff513d622</x:v>
      </x:c>
      <x:c r="L221" s="26" t="str">
        <x:v>DG-052</x:v>
      </x:c>
      <x:c r="M221" s="26" t="n">
        <x:v>2</x:v>
      </x:c>
      <x:c r="N221" s="26" t="str">
        <x:v>DUPLICATE GROUP REPRESENTATIVE</x:v>
      </x:c>
      <x:c r="O221" s="26"/>
      <x:c r="P221" s="26"/>
      <x:c r="Q221" s="26" t="str">
        <x:v>Historical baseline support</x:v>
      </x:c>
      <x:c r="R221" s="26" t="str">
        <x:v>RETAIN AS SUPPORTING HISTORY</x:v>
      </x:c>
      <x:c r="S221" s="26" t="str">
        <x:v>00_Official_Baseline/v0.5/06_Development_Records/Sprints/Sprint_04/Governance/ADR-0016_Grid_Coordinate_And_Footprint_Foundation.md</x:v>
      </x:c>
      <x:c r="T221" s="26" t="str">
        <x:v>Historical path preserved verbatim; hash calculated from supplied pre-regeneration project.</x:v>
      </x:c>
    </x:row>
    <x:row r="222" ht="30" customHeight="1">
      <x:c r="A222" s="26" t="str">
        <x:v>H-0218</x:v>
      </x:c>
      <x:c r="B222" s="26" t="str">
        <x:v>Official Baseline</x:v>
      </x:c>
      <x:c r="C222" s="26" t="str">
        <x:v>v0.5</x:v>
      </x:c>
      <x:c r="D222" s="26" t="str">
        <x:v>v0.5</x:v>
      </x:c>
      <x:c r="E222" s="26" t="str">
        <x:v>06_Development_Records</x:v>
      </x:c>
      <x:c r="F222" s="26" t="str">
        <x:v>Sprint 04</x:v>
      </x:c>
      <x:c r="G222" s="26" t="str">
        <x:v>ADR-0017_Placement_Preview_And_Rotation.md</x:v>
      </x:c>
      <x:c r="H222" s="26" t="str">
        <x:v>Markdown</x:v>
      </x:c>
      <x:c r="I222" s="26" t="str">
        <x:v>ADR</x:v>
      </x:c>
      <x:c r="J222" s="26" t="n">
        <x:v>1125</x:v>
      </x:c>
      <x:c r="K222" s="26" t="str">
        <x:v>996ccbe4400bc1971fea44b1d1e89b7a0cbe30437fa660283af16e79b8f18965</x:v>
      </x:c>
      <x:c r="L222" s="26" t="str">
        <x:v>DG-057</x:v>
      </x:c>
      <x:c r="M222" s="26" t="n">
        <x:v>2</x:v>
      </x:c>
      <x:c r="N222" s="26" t="str">
        <x:v>DUPLICATE GROUP REPRESENTATIVE</x:v>
      </x:c>
      <x:c r="O222" s="26"/>
      <x:c r="P222" s="26"/>
      <x:c r="Q222" s="26" t="str">
        <x:v>Historical baseline support</x:v>
      </x:c>
      <x:c r="R222" s="26" t="str">
        <x:v>RETAIN AS SUPPORTING HISTORY</x:v>
      </x:c>
      <x:c r="S222" s="26" t="str">
        <x:v>00_Official_Baseline/v0.5/06_Development_Records/Sprints/Sprint_04/Governance/ADR-0017_Placement_Preview_And_Rotation.md</x:v>
      </x:c>
      <x:c r="T222" s="26" t="str">
        <x:v>Historical path preserved verbatim; hash calculated from supplied pre-regeneration project.</x:v>
      </x:c>
    </x:row>
    <x:row r="223" ht="30" customHeight="1">
      <x:c r="A223" s="26" t="str">
        <x:v>H-0219</x:v>
      </x:c>
      <x:c r="B223" s="26" t="str">
        <x:v>Official Baseline</x:v>
      </x:c>
      <x:c r="C223" s="26" t="str">
        <x:v>v0.5</x:v>
      </x:c>
      <x:c r="D223" s="26" t="str">
        <x:v>v0.5</x:v>
      </x:c>
      <x:c r="E223" s="26" t="str">
        <x:v>06_Development_Records</x:v>
      </x:c>
      <x:c r="F223" s="26" t="str">
        <x:v>Sprint 04</x:v>
      </x:c>
      <x:c r="G223" s="26" t="str">
        <x:v>ADR-0018_Atomic_Occupancy_And_Placement_Mode.md</x:v>
      </x:c>
      <x:c r="H223" s="26" t="str">
        <x:v>Markdown</x:v>
      </x:c>
      <x:c r="I223" s="26" t="str">
        <x:v>ADR</x:v>
      </x:c>
      <x:c r="J223" s="26" t="n">
        <x:v>1439</x:v>
      </x:c>
      <x:c r="K223" s="26" t="str">
        <x:v>3cdafe143aedd7a015756ec256b6c92be2aaaa918c33499421589d3fb51177e1</x:v>
      </x:c>
      <x:c r="L223" s="26" t="str">
        <x:v>DG-024</x:v>
      </x:c>
      <x:c r="M223" s="26" t="n">
        <x:v>2</x:v>
      </x:c>
      <x:c r="N223" s="26" t="str">
        <x:v>DUPLICATE GROUP REPRESENTATIVE</x:v>
      </x:c>
      <x:c r="O223" s="26"/>
      <x:c r="P223" s="26"/>
      <x:c r="Q223" s="26" t="str">
        <x:v>Historical baseline support</x:v>
      </x:c>
      <x:c r="R223" s="26" t="str">
        <x:v>RETAIN AS SUPPORTING HISTORY</x:v>
      </x:c>
      <x:c r="S223" s="26" t="str">
        <x:v>00_Official_Baseline/v0.5/06_Development_Records/Sprints/Sprint_04/Governance/ADR-0018_Atomic_Occupancy_And_Placement_Mode.md</x:v>
      </x:c>
      <x:c r="T223" s="26" t="str">
        <x:v>Historical path preserved verbatim; hash calculated from supplied pre-regeneration project.</x:v>
      </x:c>
    </x:row>
    <x:row r="224" ht="30" customHeight="1">
      <x:c r="A224" s="26" t="str">
        <x:v>H-0220</x:v>
      </x:c>
      <x:c r="B224" s="26" t="str">
        <x:v>Official Baseline</x:v>
      </x:c>
      <x:c r="C224" s="26" t="str">
        <x:v>v0.5</x:v>
      </x:c>
      <x:c r="D224" s="26" t="str">
        <x:v>v0.5</x:v>
      </x:c>
      <x:c r="E224" s="26" t="str">
        <x:v>06_Development_Records</x:v>
      </x:c>
      <x:c r="F224" s="26" t="str">
        <x:v>Sprint 04</x:v>
      </x:c>
      <x:c r="G224" s="26" t="str">
        <x:v>ADR-0019_Sprint_04_Final_Integration_And_Build_Gate.md</x:v>
      </x:c>
      <x:c r="H224" s="26" t="str">
        <x:v>Markdown</x:v>
      </x:c>
      <x:c r="I224" s="26" t="str">
        <x:v>ADR</x:v>
      </x:c>
      <x:c r="J224" s="26" t="n">
        <x:v>1324</x:v>
      </x:c>
      <x:c r="K224" s="26" t="str">
        <x:v>f78c4971ab6969d8d3f302b93ceb5dbf30f2d553f433122bd8d24eb12fa7dff3</x:v>
      </x:c>
      <x:c r="L224" s="26" t="str">
        <x:v>DG-096</x:v>
      </x:c>
      <x:c r="M224" s="26" t="n">
        <x:v>2</x:v>
      </x:c>
      <x:c r="N224" s="26" t="str">
        <x:v>DUPLICATE GROUP REPRESENTATIVE</x:v>
      </x:c>
      <x:c r="O224" s="26"/>
      <x:c r="P224" s="26"/>
      <x:c r="Q224" s="26" t="str">
        <x:v>Historical baseline support</x:v>
      </x:c>
      <x:c r="R224" s="26" t="str">
        <x:v>RETAIN AS SUPPORTING HISTORY</x:v>
      </x:c>
      <x:c r="S224" s="26" t="str">
        <x:v>00_Official_Baseline/v0.5/06_Development_Records/Sprints/Sprint_04/Governance/ADR-0019_Sprint_04_Final_Integration_And_Build_Gate.md</x:v>
      </x:c>
      <x:c r="T224" s="26" t="str">
        <x:v>Historical path preserved verbatim; hash calculated from supplied pre-regeneration project.</x:v>
      </x:c>
    </x:row>
    <x:row r="225" ht="30" customHeight="1">
      <x:c r="A225" s="26" t="str">
        <x:v>H-0221</x:v>
      </x:c>
      <x:c r="B225" s="26" t="str">
        <x:v>Official Baseline</x:v>
      </x:c>
      <x:c r="C225" s="26" t="str">
        <x:v>v0.5</x:v>
      </x:c>
      <x:c r="D225" s="26" t="str">
        <x:v>v0.5</x:v>
      </x:c>
      <x:c r="E225" s="26" t="str">
        <x:v>06_Development_Records</x:v>
      </x:c>
      <x:c r="F225" s="26" t="str">
        <x:v>Sprint 04</x:v>
      </x:c>
      <x:c r="G225" s="26" t="str">
        <x:v>Sprint_04_Charter.md</x:v>
      </x:c>
      <x:c r="H225" s="26" t="str">
        <x:v>Markdown</x:v>
      </x:c>
      <x:c r="I225" s="26" t="str">
        <x:v>Sprint charter</x:v>
      </x:c>
      <x:c r="J225" s="26" t="n">
        <x:v>2582</x:v>
      </x:c>
      <x:c r="K225" s="26" t="str">
        <x:v>637c1436311f22acccbe165c186729d1f652a84a9c913eda06e0b4124ce90aa7</x:v>
      </x:c>
      <x:c r="L225" s="26" t="str">
        <x:v>DG-039</x:v>
      </x:c>
      <x:c r="M225" s="26" t="n">
        <x:v>2</x:v>
      </x:c>
      <x:c r="N225" s="26" t="str">
        <x:v>DUPLICATE GROUP REPRESENTATIVE</x:v>
      </x:c>
      <x:c r="O225" s="26"/>
      <x:c r="P225" s="26"/>
      <x:c r="Q225" s="26" t="str">
        <x:v>Historical baseline support</x:v>
      </x:c>
      <x:c r="R225" s="26" t="str">
        <x:v>RETAIN AS SUPPORTING HISTORY</x:v>
      </x:c>
      <x:c r="S225" s="26" t="str">
        <x:v>00_Official_Baseline/v0.5/06_Development_Records/Sprints/Sprint_04/Governance/Sprint_04_Charter.md</x:v>
      </x:c>
      <x:c r="T225" s="26" t="str">
        <x:v>Historical path preserved verbatim; hash calculated from supplied pre-regeneration project.</x:v>
      </x:c>
    </x:row>
    <x:row r="226" ht="30" customHeight="1">
      <x:c r="A226" s="26" t="str">
        <x:v>H-0222</x:v>
      </x:c>
      <x:c r="B226" s="26" t="str">
        <x:v>Official Baseline</x:v>
      </x:c>
      <x:c r="C226" s="26" t="str">
        <x:v>v0.5</x:v>
      </x:c>
      <x:c r="D226" s="26" t="str">
        <x:v>v0.5</x:v>
      </x:c>
      <x:c r="E226" s="26" t="str">
        <x:v>06_Development_Records</x:v>
      </x:c>
      <x:c r="F226" s="26" t="str">
        <x:v>Sprint 04</x:v>
      </x:c>
      <x:c r="G226" s="26" t="str">
        <x:v>Sprint_04_Current_Status.md</x:v>
      </x:c>
      <x:c r="H226" s="26" t="str">
        <x:v>Markdown</x:v>
      </x:c>
      <x:c r="I226" s="26" t="str">
        <x:v>Current status</x:v>
      </x:c>
      <x:c r="J226" s="26" t="n">
        <x:v>2339</x:v>
      </x:c>
      <x:c r="K226" s="26" t="str">
        <x:v>aa5c70956ee39b9b3d3ac6bfa075cc267f0544f776de636fb49e5abe03d8998d</x:v>
      </x:c>
      <x:c r="L226" s="26" t="str">
        <x:v>DG-065</x:v>
      </x:c>
      <x:c r="M226" s="26" t="n">
        <x:v>2</x:v>
      </x:c>
      <x:c r="N226" s="26" t="str">
        <x:v>DUPLICATE GROUP REPRESENTATIVE</x:v>
      </x:c>
      <x:c r="O226" s="26"/>
      <x:c r="P226" s="26"/>
      <x:c r="Q226" s="26" t="str">
        <x:v>Historical baseline support</x:v>
      </x:c>
      <x:c r="R226" s="26" t="str">
        <x:v>RETAIN AS SUPPORTING HISTORY</x:v>
      </x:c>
      <x:c r="S226" s="26" t="str">
        <x:v>00_Official_Baseline/v0.5/06_Development_Records/Sprints/Sprint_04/Governance/Sprint_04_Current_Status.md</x:v>
      </x:c>
      <x:c r="T226" s="26" t="str">
        <x:v>Historical path preserved verbatim; hash calculated from supplied pre-regeneration project.</x:v>
      </x:c>
    </x:row>
    <x:row r="227" ht="30" customHeight="1">
      <x:c r="A227" s="26" t="str">
        <x:v>H-0223</x:v>
      </x:c>
      <x:c r="B227" s="26" t="str">
        <x:v>Official Baseline</x:v>
      </x:c>
      <x:c r="C227" s="26" t="str">
        <x:v>v0.5</x:v>
      </x:c>
      <x:c r="D227" s="26" t="str">
        <x:v>v0.5</x:v>
      </x:c>
      <x:c r="E227" s="26" t="str">
        <x:v>06_Development_Records</x:v>
      </x:c>
      <x:c r="F227" s="26" t="str">
        <x:v>Sprint 04</x:v>
      </x:c>
      <x:c r="G227" s="26" t="str">
        <x:v>S4.1_Validation_Checklist.md</x:v>
      </x:c>
      <x:c r="H227" s="26" t="str">
        <x:v>Markdown</x:v>
      </x:c>
      <x:c r="I227" s="26" t="str">
        <x:v>Validation checklist</x:v>
      </x:c>
      <x:c r="J227" s="26" t="n">
        <x:v>594</x:v>
      </x:c>
      <x:c r="K227" s="26" t="str">
        <x:v>4daee65527260559801d1bcb435232c0c1f15966f4f45bde43628a95c577dbe8</x:v>
      </x:c>
      <x:c r="L227" s="26" t="str">
        <x:v>DG-033</x:v>
      </x:c>
      <x:c r="M227" s="26" t="n">
        <x:v>2</x:v>
      </x:c>
      <x:c r="N227" s="26" t="str">
        <x:v>DUPLICATE GROUP REPRESENTATIVE</x:v>
      </x:c>
      <x:c r="O227" s="26" t="str">
        <x:v>31</x:v>
      </x:c>
      <x:c r="P227" s="26" t="str">
        <x:v>02, 07, 08, 11, 13, 16, 31</x:v>
      </x:c>
      <x:c r="Q227" s="26" t="str">
        <x:v>Historical baseline support</x:v>
      </x:c>
      <x:c r="R227" s="26" t="str">
        <x:v>RETAIN AS SUPPORTING HISTORY</x:v>
      </x:c>
      <x:c r="S227" s="26" t="str">
        <x:v>00_Official_Baseline/v0.5/06_Development_Records/Sprints/Sprint_04/QA/S4.1_Validation_Checklist.md</x:v>
      </x:c>
      <x:c r="T227" s="26" t="str">
        <x:v>Historical path preserved verbatim; hash calculated from supplied pre-regeneration project.</x:v>
      </x:c>
    </x:row>
    <x:row r="228" ht="30" customHeight="1">
      <x:c r="A228" s="26" t="str">
        <x:v>H-0224</x:v>
      </x:c>
      <x:c r="B228" s="26" t="str">
        <x:v>Official Baseline</x:v>
      </x:c>
      <x:c r="C228" s="26" t="str">
        <x:v>v0.5</x:v>
      </x:c>
      <x:c r="D228" s="26" t="str">
        <x:v>v0.5</x:v>
      </x:c>
      <x:c r="E228" s="26" t="str">
        <x:v>06_Development_Records</x:v>
      </x:c>
      <x:c r="F228" s="26" t="str">
        <x:v>Sprint 04</x:v>
      </x:c>
      <x:c r="G228" s="26" t="str">
        <x:v>S4.2_Validation_Checklist.md</x:v>
      </x:c>
      <x:c r="H228" s="26" t="str">
        <x:v>Markdown</x:v>
      </x:c>
      <x:c r="I228" s="26" t="str">
        <x:v>Validation checklist</x:v>
      </x:c>
      <x:c r="J228" s="26" t="n">
        <x:v>672</x:v>
      </x:c>
      <x:c r="K228" s="26" t="str">
        <x:v>7947d8708859cc6b5175331acf6e36cf44438788f243c179b53e6818cdb7f466</x:v>
      </x:c>
      <x:c r="L228" s="26" t="str">
        <x:v>DG-047</x:v>
      </x:c>
      <x:c r="M228" s="26" t="n">
        <x:v>2</x:v>
      </x:c>
      <x:c r="N228" s="26" t="str">
        <x:v>DUPLICATE GROUP REPRESENTATIVE</x:v>
      </x:c>
      <x:c r="O228" s="26" t="str">
        <x:v>31</x:v>
      </x:c>
      <x:c r="P228" s="26" t="str">
        <x:v>02, 07, 08, 11, 13, 16, 31</x:v>
      </x:c>
      <x:c r="Q228" s="26" t="str">
        <x:v>Historical baseline support</x:v>
      </x:c>
      <x:c r="R228" s="26" t="str">
        <x:v>RETAIN AS SUPPORTING HISTORY</x:v>
      </x:c>
      <x:c r="S228" s="26" t="str">
        <x:v>00_Official_Baseline/v0.5/06_Development_Records/Sprints/Sprint_04/QA/S4.2_Validation_Checklist.md</x:v>
      </x:c>
      <x:c r="T228" s="26" t="str">
        <x:v>Historical path preserved verbatim; hash calculated from supplied pre-regeneration project.</x:v>
      </x:c>
    </x:row>
    <x:row r="229" ht="30" customHeight="1">
      <x:c r="A229" s="26" t="str">
        <x:v>H-0225</x:v>
      </x:c>
      <x:c r="B229" s="26" t="str">
        <x:v>Official Baseline</x:v>
      </x:c>
      <x:c r="C229" s="26" t="str">
        <x:v>v0.5</x:v>
      </x:c>
      <x:c r="D229" s="26" t="str">
        <x:v>v0.5</x:v>
      </x:c>
      <x:c r="E229" s="26" t="str">
        <x:v>06_Development_Records</x:v>
      </x:c>
      <x:c r="F229" s="26" t="str">
        <x:v>Sprint 04</x:v>
      </x:c>
      <x:c r="G229" s="26" t="str">
        <x:v>S4.3_Validation_Checklist.md</x:v>
      </x:c>
      <x:c r="H229" s="26" t="str">
        <x:v>Markdown</x:v>
      </x:c>
      <x:c r="I229" s="26" t="str">
        <x:v>Validation checklist</x:v>
      </x:c>
      <x:c r="J229" s="26" t="n">
        <x:v>830</x:v>
      </x:c>
      <x:c r="K229" s="26" t="str">
        <x:v>9d54905170c7ae7daffda84bc479882bd5b7a25667e30ce31dd4aadf38a1cdda</x:v>
      </x:c>
      <x:c r="L229" s="26" t="str">
        <x:v>DG-061</x:v>
      </x:c>
      <x:c r="M229" s="26" t="n">
        <x:v>2</x:v>
      </x:c>
      <x:c r="N229" s="26" t="str">
        <x:v>DUPLICATE GROUP REPRESENTATIVE</x:v>
      </x:c>
      <x:c r="O229" s="26" t="str">
        <x:v>31</x:v>
      </x:c>
      <x:c r="P229" s="26" t="str">
        <x:v>02, 07, 08, 11, 13, 16, 31</x:v>
      </x:c>
      <x:c r="Q229" s="26" t="str">
        <x:v>Historical baseline support</x:v>
      </x:c>
      <x:c r="R229" s="26" t="str">
        <x:v>RETAIN AS SUPPORTING HISTORY</x:v>
      </x:c>
      <x:c r="S229" s="26" t="str">
        <x:v>00_Official_Baseline/v0.5/06_Development_Records/Sprints/Sprint_04/QA/S4.3_Validation_Checklist.md</x:v>
      </x:c>
      <x:c r="T229" s="26" t="str">
        <x:v>Historical path preserved verbatim; hash calculated from supplied pre-regeneration project.</x:v>
      </x:c>
    </x:row>
    <x:row r="230" ht="30" customHeight="1">
      <x:c r="A230" s="26" t="str">
        <x:v>H-0226</x:v>
      </x:c>
      <x:c r="B230" s="26" t="str">
        <x:v>Official Baseline</x:v>
      </x:c>
      <x:c r="C230" s="26" t="str">
        <x:v>v0.5</x:v>
      </x:c>
      <x:c r="D230" s="26" t="str">
        <x:v>v0.5</x:v>
      </x:c>
      <x:c r="E230" s="26" t="str">
        <x:v>06_Development_Records</x:v>
      </x:c>
      <x:c r="F230" s="26" t="str">
        <x:v>Sprint 04</x:v>
      </x:c>
      <x:c r="G230" s="26" t="str">
        <x:v>S4.4_Build_Execution_Record.md</x:v>
      </x:c>
      <x:c r="H230" s="26" t="str">
        <x:v>Markdown</x:v>
      </x:c>
      <x:c r="I230" s="26" t="str">
        <x:v>Build execution evidence</x:v>
      </x:c>
      <x:c r="J230" s="26" t="n">
        <x:v>1164</x:v>
      </x:c>
      <x:c r="K230" s="26" t="str">
        <x:v>6f662c5fe7ccef7a3080584798ccf51c720d4ade1dc50b1be2f8c4c107da529d</x:v>
      </x:c>
      <x:c r="L230" s="26" t="str">
        <x:v>DG-044</x:v>
      </x:c>
      <x:c r="M230" s="26" t="n">
        <x:v>2</x:v>
      </x:c>
      <x:c r="N230" s="26" t="str">
        <x:v>DUPLICATE GROUP REPRESENTATIVE</x:v>
      </x:c>
      <x:c r="O230" s="26" t="str">
        <x:v>31</x:v>
      </x:c>
      <x:c r="P230" s="26" t="str">
        <x:v>02, 07, 08, 11, 13, 16, 31</x:v>
      </x:c>
      <x:c r="Q230" s="26" t="str">
        <x:v>Historical baseline support</x:v>
      </x:c>
      <x:c r="R230" s="26" t="str">
        <x:v>RETAIN AS SUPPORTING HISTORY</x:v>
      </x:c>
      <x:c r="S230" s="26" t="str">
        <x:v>00_Official_Baseline/v0.5/06_Development_Records/Sprints/Sprint_04/QA/S4.4_Build_Execution_Record.md</x:v>
      </x:c>
      <x:c r="T230" s="26" t="str">
        <x:v>Historical path preserved verbatim; hash calculated from supplied pre-regeneration project.</x:v>
      </x:c>
    </x:row>
    <x:row r="231" ht="30" customHeight="1">
      <x:c r="A231" s="26" t="str">
        <x:v>H-0227</x:v>
      </x:c>
      <x:c r="B231" s="26" t="str">
        <x:v>Official Baseline</x:v>
      </x:c>
      <x:c r="C231" s="26" t="str">
        <x:v>v0.5</x:v>
      </x:c>
      <x:c r="D231" s="26" t="str">
        <x:v>v0.5</x:v>
      </x:c>
      <x:c r="E231" s="26" t="str">
        <x:v>06_Development_Records</x:v>
      </x:c>
      <x:c r="F231" s="26" t="str">
        <x:v>Sprint 04</x:v>
      </x:c>
      <x:c r="G231" s="26" t="str">
        <x:v>S4.4_Validation_Checklist.md</x:v>
      </x:c>
      <x:c r="H231" s="26" t="str">
        <x:v>Markdown</x:v>
      </x:c>
      <x:c r="I231" s="26" t="str">
        <x:v>Validation checklist</x:v>
      </x:c>
      <x:c r="J231" s="26" t="n">
        <x:v>1638</x:v>
      </x:c>
      <x:c r="K231" s="26" t="str">
        <x:v>b24bd7794a9e1143df30f7930936e6e08dbd8e4a6614384b13e493fbd31972a7</x:v>
      </x:c>
      <x:c r="L231" s="26" t="str">
        <x:v>DG-069</x:v>
      </x:c>
      <x:c r="M231" s="26" t="n">
        <x:v>2</x:v>
      </x:c>
      <x:c r="N231" s="26" t="str">
        <x:v>DUPLICATE GROUP REPRESENTATIVE</x:v>
      </x:c>
      <x:c r="O231" s="26" t="str">
        <x:v>31</x:v>
      </x:c>
      <x:c r="P231" s="26" t="str">
        <x:v>02, 07, 08, 11, 13, 16, 31</x:v>
      </x:c>
      <x:c r="Q231" s="26" t="str">
        <x:v>Historical baseline support</x:v>
      </x:c>
      <x:c r="R231" s="26" t="str">
        <x:v>RETAIN AS SUPPORTING HISTORY</x:v>
      </x:c>
      <x:c r="S231" s="26" t="str">
        <x:v>00_Official_Baseline/v0.5/06_Development_Records/Sprints/Sprint_04/QA/S4.4_Validation_Checklist.md</x:v>
      </x:c>
      <x:c r="T231" s="26" t="str">
        <x:v>Historical path preserved verbatim; hash calculated from supplied pre-regeneration project.</x:v>
      </x:c>
    </x:row>
    <x:row r="232" ht="30" customHeight="1">
      <x:c r="A232" s="26" t="str">
        <x:v>H-0228</x:v>
      </x:c>
      <x:c r="B232" s="26" t="str">
        <x:v>Official Baseline</x:v>
      </x:c>
      <x:c r="C232" s="26" t="str">
        <x:v>v0.5</x:v>
      </x:c>
      <x:c r="D232" s="26" t="str">
        <x:v>v0.5</x:v>
      </x:c>
      <x:c r="E232" s="26" t="str">
        <x:v>06_Development_Records</x:v>
      </x:c>
      <x:c r="F232" s="26" t="str">
        <x:v>Sprint 04</x:v>
      </x:c>
      <x:c r="G232" s="26" t="str">
        <x:v>S4_Acceptance_Matrix.md</x:v>
      </x:c>
      <x:c r="H232" s="26" t="str">
        <x:v>Markdown</x:v>
      </x:c>
      <x:c r="I232" s="26" t="str">
        <x:v>Acceptance matrix</x:v>
      </x:c>
      <x:c r="J232" s="26" t="n">
        <x:v>2209</x:v>
      </x:c>
      <x:c r="K232" s="26" t="str">
        <x:v>30a86d51980351f806ef30aa6187ce90857bde474c163d47a6a3396b60522f89</x:v>
      </x:c>
      <x:c r="L232" s="26" t="str">
        <x:v>DG-018</x:v>
      </x:c>
      <x:c r="M232" s="26" t="n">
        <x:v>2</x:v>
      </x:c>
      <x:c r="N232" s="26" t="str">
        <x:v>DUPLICATE GROUP REPRESENTATIVE</x:v>
      </x:c>
      <x:c r="O232" s="26" t="str">
        <x:v>31</x:v>
      </x:c>
      <x:c r="P232" s="26" t="str">
        <x:v>02, 07, 08, 11, 13, 16, 31</x:v>
      </x:c>
      <x:c r="Q232" s="26" t="str">
        <x:v>Historical baseline support</x:v>
      </x:c>
      <x:c r="R232" s="26" t="str">
        <x:v>RETAIN AS SUPPORTING HISTORY</x:v>
      </x:c>
      <x:c r="S232" s="26" t="str">
        <x:v>00_Official_Baseline/v0.5/06_Development_Records/Sprints/Sprint_04/QA/S4_Acceptance_Matrix.md</x:v>
      </x:c>
      <x:c r="T232" s="26" t="str">
        <x:v>Historical path preserved verbatim; hash calculated from supplied pre-regeneration project.</x:v>
      </x:c>
    </x:row>
    <x:row r="233" ht="30" customHeight="1">
      <x:c r="A233" s="26" t="str">
        <x:v>H-0229</x:v>
      </x:c>
      <x:c r="B233" s="26" t="str">
        <x:v>Official Baseline</x:v>
      </x:c>
      <x:c r="C233" s="26" t="str">
        <x:v>v0.5</x:v>
      </x:c>
      <x:c r="D233" s="26" t="str">
        <x:v>v0.5</x:v>
      </x:c>
      <x:c r="E233" s="26" t="str">
        <x:v>06_Development_Records</x:v>
      </x:c>
      <x:c r="F233" s="26" t="str">
        <x:v>Sprint 04</x:v>
      </x:c>
      <x:c r="G233" s="26" t="str">
        <x:v>S4_QA_Execution_Record.md</x:v>
      </x:c>
      <x:c r="H233" s="26" t="str">
        <x:v>Markdown</x:v>
      </x:c>
      <x:c r="I233" s="26" t="str">
        <x:v>QA execution evidence</x:v>
      </x:c>
      <x:c r="J233" s="26" t="n">
        <x:v>2537</x:v>
      </x:c>
      <x:c r="K233" s="26" t="str">
        <x:v>0c5ec51188fd94404436c7093e01ed0a0d0d75fc466da104e777fd7494aa0603</x:v>
      </x:c>
      <x:c r="L233" s="26" t="str">
        <x:v>DG-004</x:v>
      </x:c>
      <x:c r="M233" s="26" t="n">
        <x:v>2</x:v>
      </x:c>
      <x:c r="N233" s="26" t="str">
        <x:v>DUPLICATE GROUP REPRESENTATIVE</x:v>
      </x:c>
      <x:c r="O233" s="26" t="str">
        <x:v>31</x:v>
      </x:c>
      <x:c r="P233" s="26" t="str">
        <x:v>02, 07, 08, 11, 13, 16, 31</x:v>
      </x:c>
      <x:c r="Q233" s="26" t="str">
        <x:v>Historical baseline support</x:v>
      </x:c>
      <x:c r="R233" s="26" t="str">
        <x:v>RETAIN AS SUPPORTING HISTORY</x:v>
      </x:c>
      <x:c r="S233" s="26" t="str">
        <x:v>00_Official_Baseline/v0.5/06_Development_Records/Sprints/Sprint_04/QA/S4_QA_Execution_Record.md</x:v>
      </x:c>
      <x:c r="T233" s="26" t="str">
        <x:v>Historical path preserved verbatim; hash calculated from supplied pre-regeneration project.</x:v>
      </x:c>
    </x:row>
    <x:row r="234" ht="30" customHeight="1">
      <x:c r="A234" s="26" t="str">
        <x:v>H-0230</x:v>
      </x:c>
      <x:c r="B234" s="26" t="str">
        <x:v>Official Baseline</x:v>
      </x:c>
      <x:c r="C234" s="26" t="str">
        <x:v>v0.5</x:v>
      </x:c>
      <x:c r="D234" s="26" t="str">
        <x:v>v0.5</x:v>
      </x:c>
      <x:c r="E234" s="26" t="str">
        <x:v>06_Development_Records</x:v>
      </x:c>
      <x:c r="F234" s="26" t="str">
        <x:v>Sprint 04</x:v>
      </x:c>
      <x:c r="G234" s="26" t="str">
        <x:v>S4_Applied_Changes_Report.md</x:v>
      </x:c>
      <x:c r="H234" s="26" t="str">
        <x:v>Markdown</x:v>
      </x:c>
      <x:c r="I234" s="26" t="str">
        <x:v>Applied change report</x:v>
      </x:c>
      <x:c r="J234" s="26" t="n">
        <x:v>2242</x:v>
      </x:c>
      <x:c r="K234" s="26" t="str">
        <x:v>3518ed53406549356ff971505c94317e56a4630dbeb139f2f38ca1992c9aceba</x:v>
      </x:c>
      <x:c r="L234" s="26" t="str">
        <x:v>DG-022</x:v>
      </x:c>
      <x:c r="M234" s="26" t="n">
        <x:v>2</x:v>
      </x:c>
      <x:c r="N234" s="26" t="str">
        <x:v>DUPLICATE GROUP REPRESENTATIVE</x:v>
      </x:c>
      <x:c r="O234" s="26"/>
      <x:c r="P234" s="26"/>
      <x:c r="Q234" s="26" t="str">
        <x:v>Historical baseline support</x:v>
      </x:c>
      <x:c r="R234" s="26" t="str">
        <x:v>RETAIN AS SUPPORTING HISTORY</x:v>
      </x:c>
      <x:c r="S234" s="26" t="str">
        <x:v>00_Official_Baseline/v0.5/06_Development_Records/Sprints/Sprint_04/S4_Applied_Changes_Report.md</x:v>
      </x:c>
      <x:c r="T234" s="26" t="str">
        <x:v>Historical path preserved verbatim; hash calculated from supplied pre-regeneration project.</x:v>
      </x:c>
    </x:row>
    <x:row r="235" ht="30" customHeight="1">
      <x:c r="A235" s="26" t="str">
        <x:v>H-0231</x:v>
      </x:c>
      <x:c r="B235" s="26" t="str">
        <x:v>Official Baseline</x:v>
      </x:c>
      <x:c r="C235" s="26" t="str">
        <x:v>v0.5</x:v>
      </x:c>
      <x:c r="D235" s="26" t="str">
        <x:v>v0.5</x:v>
      </x:c>
      <x:c r="E235" s="26" t="str">
        <x:v>06_Development_Records</x:v>
      </x:c>
      <x:c r="F235" s="26" t="str">
        <x:v>Sprint 04</x:v>
      </x:c>
      <x:c r="G235" s="26" t="str">
        <x:v>Sprint_04_Closure_Report.md</x:v>
      </x:c>
      <x:c r="H235" s="26" t="str">
        <x:v>Markdown</x:v>
      </x:c>
      <x:c r="I235" s="26" t="str">
        <x:v>Sprint closure</x:v>
      </x:c>
      <x:c r="J235" s="26" t="n">
        <x:v>2350</x:v>
      </x:c>
      <x:c r="K235" s="26" t="str">
        <x:v>caa820477ab6fee79beb3b54d913463b98021e84b6e83f8cfe9f63849b577039</x:v>
      </x:c>
      <x:c r="L235" s="26" t="str">
        <x:v>DG-080</x:v>
      </x:c>
      <x:c r="M235" s="26" t="n">
        <x:v>2</x:v>
      </x:c>
      <x:c r="N235" s="26" t="str">
        <x:v>DUPLICATE GROUP REPRESENTATIVE</x:v>
      </x:c>
      <x:c r="O235" s="26"/>
      <x:c r="P235" s="26"/>
      <x:c r="Q235" s="26" t="str">
        <x:v>Historical baseline support</x:v>
      </x:c>
      <x:c r="R235" s="26" t="str">
        <x:v>RETAIN AS SUPPORTING HISTORY</x:v>
      </x:c>
      <x:c r="S235" s="26" t="str">
        <x:v>00_Official_Baseline/v0.5/06_Development_Records/Sprints/Sprint_04/Sprint_04_Closure_Report.md</x:v>
      </x:c>
      <x:c r="T235" s="26" t="str">
        <x:v>Historical path preserved verbatim; hash calculated from supplied pre-regeneration project.</x:v>
      </x:c>
    </x:row>
    <x:row r="236" ht="30" customHeight="1">
      <x:c r="A236" s="26" t="str">
        <x:v>H-0232</x:v>
      </x:c>
      <x:c r="B236" s="26" t="str">
        <x:v>Official Baseline</x:v>
      </x:c>
      <x:c r="C236" s="26" t="str">
        <x:v>v0.5</x:v>
      </x:c>
      <x:c r="D236" s="26" t="str">
        <x:v>v0.5</x:v>
      </x:c>
      <x:c r="E236" s="26" t="str">
        <x:v>06_Development_Records</x:v>
      </x:c>
      <x:c r="F236" s="26" t="str">
        <x:v>Sprint 04</x:v>
      </x:c>
      <x:c r="G236" s="26" t="str">
        <x:v>S4_Document_Impact_Working_Matrix.md</x:v>
      </x:c>
      <x:c r="H236" s="26" t="str">
        <x:v>Markdown</x:v>
      </x:c>
      <x:c r="I236" s="26" t="str">
        <x:v>Traceability entry</x:v>
      </x:c>
      <x:c r="J236" s="26" t="n">
        <x:v>1258</x:v>
      </x:c>
      <x:c r="K236" s="26" t="str">
        <x:v>34ee42b468d3a8dd9246337d92843efcac8b61edb232464cc63bb3628e39b946</x:v>
      </x:c>
      <x:c r="L236" s="26" t="str">
        <x:v>DG-021</x:v>
      </x:c>
      <x:c r="M236" s="26" t="n">
        <x:v>2</x:v>
      </x:c>
      <x:c r="N236" s="26" t="str">
        <x:v>DUPLICATE GROUP REPRESENTATIVE</x:v>
      </x:c>
      <x:c r="O236" s="26"/>
      <x:c r="P236" s="26"/>
      <x:c r="Q236" s="26" t="str">
        <x:v>Historical baseline support</x:v>
      </x:c>
      <x:c r="R236" s="26" t="str">
        <x:v>RETAIN AS SUPPORTING HISTORY</x:v>
      </x:c>
      <x:c r="S236" s="26" t="str">
        <x:v>00_Official_Baseline/v0.5/06_Development_Records/Sprints/Sprint_04/Traceability/S4_Document_Impact_Working_Matrix.md</x:v>
      </x:c>
      <x:c r="T236" s="26" t="str">
        <x:v>Historical path preserved verbatim; hash calculated from supplied pre-regeneration project.</x:v>
      </x:c>
    </x:row>
    <x:row r="237" ht="30" customHeight="1">
      <x:c r="A237" s="26" t="str">
        <x:v>H-0233</x:v>
      </x:c>
      <x:c r="B237" s="26" t="str">
        <x:v>Official Baseline</x:v>
      </x:c>
      <x:c r="C237" s="26" t="str">
        <x:v>v0.5</x:v>
      </x:c>
      <x:c r="D237" s="26" t="str">
        <x:v>v0.5</x:v>
      </x:c>
      <x:c r="E237" s="26" t="str">
        <x:v>06_Development_Records</x:v>
      </x:c>
      <x:c r="F237" s="26" t="str">
        <x:v>Sprint 04</x:v>
      </x:c>
      <x:c r="G237" s="26" t="str">
        <x:v>S4_Traceability_Entries.csv</x:v>
      </x:c>
      <x:c r="H237" s="26" t="str">
        <x:v>CSV</x:v>
      </x:c>
      <x:c r="I237" s="26" t="str">
        <x:v>Traceability entry</x:v>
      </x:c>
      <x:c r="J237" s="26" t="n">
        <x:v>1853</x:v>
      </x:c>
      <x:c r="K237" s="26" t="str">
        <x:v>c2dd2b16a70f7b52a38c76c67f1c0777b6e619dbdd2cf4975d7656dfb9f410ff</x:v>
      </x:c>
      <x:c r="L237" s="26" t="str">
        <x:v>DG-076</x:v>
      </x:c>
      <x:c r="M237" s="26" t="n">
        <x:v>2</x:v>
      </x:c>
      <x:c r="N237" s="26" t="str">
        <x:v>DUPLICATE GROUP REPRESENTATIVE</x:v>
      </x:c>
      <x:c r="O237" s="26"/>
      <x:c r="P237" s="26"/>
      <x:c r="Q237" s="26" t="str">
        <x:v>Historical baseline support</x:v>
      </x:c>
      <x:c r="R237" s="26" t="str">
        <x:v>RETAIN AS SUPPORTING HISTORY</x:v>
      </x:c>
      <x:c r="S237" s="26" t="str">
        <x:v>00_Official_Baseline/v0.5/06_Development_Records/Sprints/Sprint_04/Traceability/S4_Traceability_Entries.csv</x:v>
      </x:c>
      <x:c r="T237" s="26" t="str">
        <x:v>Historical path preserved verbatim; hash calculated from supplied pre-regeneration project.</x:v>
      </x:c>
    </x:row>
    <x:row r="238" ht="30" customHeight="1">
      <x:c r="A238" s="26" t="str">
        <x:v>H-0234</x:v>
      </x:c>
      <x:c r="B238" s="26" t="str">
        <x:v>Official Baseline</x:v>
      </x:c>
      <x:c r="C238" s="26" t="str">
        <x:v>v0.5</x:v>
      </x:c>
      <x:c r="D238" s="26" t="str">
        <x:v>v0.5</x:v>
      </x:c>
      <x:c r="E238" s="26" t="str">
        <x:v>06_Development_Records</x:v>
      </x:c>
      <x:c r="F238" s="26" t="str">
        <x:v>Sprint 05</x:v>
      </x:c>
      <x:c r="G238" s="26" t="str">
        <x:v>S5_5.4_PostImplementation_Record.md</x:v>
      </x:c>
      <x:c r="H238" s="26" t="str">
        <x:v>Markdown</x:v>
      </x:c>
      <x:c r="I238" s="26" t="str">
        <x:v>Historical document / record</x:v>
      </x:c>
      <x:c r="J238" s="26" t="n">
        <x:v>1625</x:v>
      </x:c>
      <x:c r="K238" s="26" t="str">
        <x:v>80578149d99d8d19960522a7ad446f1da1464c98f5d7ab300f2e8083ba6f3a30</x:v>
      </x:c>
      <x:c r="L238" s="26" t="str">
        <x:v>DG-049</x:v>
      </x:c>
      <x:c r="M238" s="26" t="n">
        <x:v>2</x:v>
      </x:c>
      <x:c r="N238" s="26" t="str">
        <x:v>DUPLICATE GROUP REPRESENTATIVE</x:v>
      </x:c>
      <x:c r="O238" s="26"/>
      <x:c r="P238" s="26"/>
      <x:c r="Q238" s="26" t="str">
        <x:v>Historical baseline support</x:v>
      </x:c>
      <x:c r="R238" s="26" t="str">
        <x:v>RETAIN AS SUPPORTING HISTORY</x:v>
      </x:c>
      <x:c r="S238" s="26" t="str">
        <x:v>00_Official_Baseline/v0.5/06_Development_Records/Sprints/Sprint_05/Documentation/S5_5.4_PostImplementation_Record.md</x:v>
      </x:c>
      <x:c r="T238" s="26" t="str">
        <x:v>Historical path preserved verbatim; hash calculated from supplied pre-regeneration project.</x:v>
      </x:c>
    </x:row>
    <x:row r="239" ht="30" customHeight="1">
      <x:c r="A239" s="26" t="str">
        <x:v>H-0235</x:v>
      </x:c>
      <x:c r="B239" s="26" t="str">
        <x:v>Official Baseline</x:v>
      </x:c>
      <x:c r="C239" s="26" t="str">
        <x:v>v0.5</x:v>
      </x:c>
      <x:c r="D239" s="26" t="str">
        <x:v>v0.5</x:v>
      </x:c>
      <x:c r="E239" s="26" t="str">
        <x:v>06_Development_Records</x:v>
      </x:c>
      <x:c r="F239" s="26" t="str">
        <x:v>Sprint 05</x:v>
      </x:c>
      <x:c r="G239" s="26" t="str">
        <x:v>S5_Living_Documentation_Update.md</x:v>
      </x:c>
      <x:c r="H239" s="26" t="str">
        <x:v>Markdown</x:v>
      </x:c>
      <x:c r="I239" s="26" t="str">
        <x:v>Living documentation update</x:v>
      </x:c>
      <x:c r="J239" s="26" t="n">
        <x:v>1402</x:v>
      </x:c>
      <x:c r="K239" s="26" t="str">
        <x:v>6398fa2f46e55bb31a76c426e72b13ed617745fa8b8ac6d2f44ff00aaae9f5ea</x:v>
      </x:c>
      <x:c r="L239" s="26" t="str">
        <x:v>DG-040</x:v>
      </x:c>
      <x:c r="M239" s="26" t="n">
        <x:v>2</x:v>
      </x:c>
      <x:c r="N239" s="26" t="str">
        <x:v>DUPLICATE GROUP REPRESENTATIVE</x:v>
      </x:c>
      <x:c r="O239" s="26"/>
      <x:c r="P239" s="26"/>
      <x:c r="Q239" s="26" t="str">
        <x:v>Historical baseline support</x:v>
      </x:c>
      <x:c r="R239" s="26" t="str">
        <x:v>RETAIN AS SUPPORTING HISTORY</x:v>
      </x:c>
      <x:c r="S239" s="26" t="str">
        <x:v>00_Official_Baseline/v0.5/06_Development_Records/Sprints/Sprint_05/Documentation/S5_Living_Documentation_Update.md</x:v>
      </x:c>
      <x:c r="T239" s="26" t="str">
        <x:v>Historical path preserved verbatim; hash calculated from supplied pre-regeneration project.</x:v>
      </x:c>
    </x:row>
    <x:row r="240" ht="30" customHeight="1">
      <x:c r="A240" s="26" t="str">
        <x:v>H-0236</x:v>
      </x:c>
      <x:c r="B240" s="26" t="str">
        <x:v>Official Baseline</x:v>
      </x:c>
      <x:c r="C240" s="26" t="str">
        <x:v>v0.5</x:v>
      </x:c>
      <x:c r="D240" s="26" t="str">
        <x:v>v0.5</x:v>
      </x:c>
      <x:c r="E240" s="26" t="str">
        <x:v>06_Development_Records</x:v>
      </x:c>
      <x:c r="F240" s="26" t="str">
        <x:v>Sprint 05</x:v>
      </x:c>
      <x:c r="G240" s="26" t="str">
        <x:v>ADR-0020_Initial_Store_Shell_Dimensions_And_Entrance.md</x:v>
      </x:c>
      <x:c r="H240" s="26" t="str">
        <x:v>Markdown</x:v>
      </x:c>
      <x:c r="I240" s="26" t="str">
        <x:v>ADR</x:v>
      </x:c>
      <x:c r="J240" s="26" t="n">
        <x:v>870</x:v>
      </x:c>
      <x:c r="K240" s="26" t="str">
        <x:v>af706a1741b657833a36805700e10d25e2b66264438b488c1a8983e883799e3d</x:v>
      </x:c>
      <x:c r="L240" s="26" t="str">
        <x:v>DG-068</x:v>
      </x:c>
      <x:c r="M240" s="26" t="n">
        <x:v>2</x:v>
      </x:c>
      <x:c r="N240" s="26" t="str">
        <x:v>DUPLICATE GROUP REPRESENTATIVE</x:v>
      </x:c>
      <x:c r="O240" s="26"/>
      <x:c r="P240" s="26"/>
      <x:c r="Q240" s="26" t="str">
        <x:v>Historical baseline support</x:v>
      </x:c>
      <x:c r="R240" s="26" t="str">
        <x:v>RETAIN AS SUPPORTING HISTORY</x:v>
      </x:c>
      <x:c r="S240" s="26" t="str">
        <x:v>00_Official_Baseline/v0.5/06_Development_Records/Sprints/Sprint_05/Governance/ADR-0020_Initial_Store_Shell_Dimensions_And_Entrance.md</x:v>
      </x:c>
      <x:c r="T240" s="26" t="str">
        <x:v>Historical path preserved verbatim; hash calculated from supplied pre-regeneration project.</x:v>
      </x:c>
    </x:row>
    <x:row r="241" ht="30" customHeight="1">
      <x:c r="A241" s="26" t="str">
        <x:v>H-0237</x:v>
      </x:c>
      <x:c r="B241" s="26" t="str">
        <x:v>Official Baseline</x:v>
      </x:c>
      <x:c r="C241" s="26" t="str">
        <x:v>v0.5</x:v>
      </x:c>
      <x:c r="D241" s="26" t="str">
        <x:v>v0.5</x:v>
      </x:c>
      <x:c r="E241" s="26" t="str">
        <x:v>06_Development_Records</x:v>
      </x:c>
      <x:c r="F241" s="26" t="str">
        <x:v>Sprint 05</x:v>
      </x:c>
      <x:c r="G241" s="26" t="str">
        <x:v>ADR-0021_Logical_Store_Access_Validation.md</x:v>
      </x:c>
      <x:c r="H241" s="26" t="str">
        <x:v>Markdown</x:v>
      </x:c>
      <x:c r="I241" s="26" t="str">
        <x:v>ADR</x:v>
      </x:c>
      <x:c r="J241" s="26" t="n">
        <x:v>1131</x:v>
      </x:c>
      <x:c r="K241" s="26" t="str">
        <x:v>079eab3c8041ef624f17ba35976f8ac46627ed9ff192a910e1f0f4f63fee5fe7</x:v>
      </x:c>
      <x:c r="L241" s="26" t="str">
        <x:v>DG-003</x:v>
      </x:c>
      <x:c r="M241" s="26" t="n">
        <x:v>2</x:v>
      </x:c>
      <x:c r="N241" s="26" t="str">
        <x:v>DUPLICATE GROUP REPRESENTATIVE</x:v>
      </x:c>
      <x:c r="O241" s="26"/>
      <x:c r="P241" s="26"/>
      <x:c r="Q241" s="26" t="str">
        <x:v>Historical baseline support</x:v>
      </x:c>
      <x:c r="R241" s="26" t="str">
        <x:v>RETAIN AS SUPPORTING HISTORY</x:v>
      </x:c>
      <x:c r="S241" s="26" t="str">
        <x:v>00_Official_Baseline/v0.5/06_Development_Records/Sprints/Sprint_05/Governance/ADR-0021_Logical_Store_Access_Validation.md</x:v>
      </x:c>
      <x:c r="T241" s="26" t="str">
        <x:v>Historical path preserved verbatim; hash calculated from supplied pre-regeneration project.</x:v>
      </x:c>
    </x:row>
    <x:row r="242" ht="30" customHeight="1">
      <x:c r="A242" s="26" t="str">
        <x:v>H-0238</x:v>
      </x:c>
      <x:c r="B242" s="26" t="str">
        <x:v>Official Baseline</x:v>
      </x:c>
      <x:c r="C242" s="26" t="str">
        <x:v>v0.5</x:v>
      </x:c>
      <x:c r="D242" s="26" t="str">
        <x:v>v0.5</x:v>
      </x:c>
      <x:c r="E242" s="26" t="str">
        <x:v>06_Development_Records</x:v>
      </x:c>
      <x:c r="F242" s="26" t="str">
        <x:v>Sprint 05</x:v>
      </x:c>
      <x:c r="G242" s="26" t="str">
        <x:v>ADR-0022_Store_Placement_And_Access_Integration.md</x:v>
      </x:c>
      <x:c r="H242" s="26" t="str">
        <x:v>Markdown</x:v>
      </x:c>
      <x:c r="I242" s="26" t="str">
        <x:v>ADR</x:v>
      </x:c>
      <x:c r="J242" s="26" t="n">
        <x:v>1085</x:v>
      </x:c>
      <x:c r="K242" s="26" t="str">
        <x:v>f180b5eac43281274d001667b8fc49f39febfbacfeb78fec7d686b9e07546524</x:v>
      </x:c>
      <x:c r="L242" s="26" t="str">
        <x:v>DG-094</x:v>
      </x:c>
      <x:c r="M242" s="26" t="n">
        <x:v>2</x:v>
      </x:c>
      <x:c r="N242" s="26" t="str">
        <x:v>DUPLICATE GROUP REPRESENTATIVE</x:v>
      </x:c>
      <x:c r="O242" s="26"/>
      <x:c r="P242" s="26"/>
      <x:c r="Q242" s="26" t="str">
        <x:v>Historical baseline support</x:v>
      </x:c>
      <x:c r="R242" s="26" t="str">
        <x:v>RETAIN AS SUPPORTING HISTORY</x:v>
      </x:c>
      <x:c r="S242" s="26" t="str">
        <x:v>00_Official_Baseline/v0.5/06_Development_Records/Sprints/Sprint_05/Governance/ADR-0022_Store_Placement_And_Access_Integration.md</x:v>
      </x:c>
      <x:c r="T242" s="26" t="str">
        <x:v>Historical path preserved verbatim; hash calculated from supplied pre-regeneration project.</x:v>
      </x:c>
    </x:row>
    <x:row r="243" ht="30" customHeight="1">
      <x:c r="A243" s="26" t="str">
        <x:v>H-0239</x:v>
      </x:c>
      <x:c r="B243" s="26" t="str">
        <x:v>Official Baseline</x:v>
      </x:c>
      <x:c r="C243" s="26" t="str">
        <x:v>v0.5</x:v>
      </x:c>
      <x:c r="D243" s="26" t="str">
        <x:v>v0.5</x:v>
      </x:c>
      <x:c r="E243" s="26" t="str">
        <x:v>06_Development_Records</x:v>
      </x:c>
      <x:c r="F243" s="26" t="str">
        <x:v>Sprint 05</x:v>
      </x:c>
      <x:c r="G243" s="26" t="str">
        <x:v>ADR-0023_Sprint_05_Final_Integration_And_Build_Gate.md</x:v>
      </x:c>
      <x:c r="H243" s="26" t="str">
        <x:v>Markdown</x:v>
      </x:c>
      <x:c r="I243" s="26" t="str">
        <x:v>ADR</x:v>
      </x:c>
      <x:c r="J243" s="26" t="n">
        <x:v>972</x:v>
      </x:c>
      <x:c r="K243" s="26" t="str">
        <x:v>86eaea910888d35b0bb89c6a30aef788d767f38b95283339487890c29844f476</x:v>
      </x:c>
      <x:c r="L243" s="26" t="str">
        <x:v>DG-053</x:v>
      </x:c>
      <x:c r="M243" s="26" t="n">
        <x:v>2</x:v>
      </x:c>
      <x:c r="N243" s="26" t="str">
        <x:v>DUPLICATE GROUP REPRESENTATIVE</x:v>
      </x:c>
      <x:c r="O243" s="26"/>
      <x:c r="P243" s="26"/>
      <x:c r="Q243" s="26" t="str">
        <x:v>Historical baseline support</x:v>
      </x:c>
      <x:c r="R243" s="26" t="str">
        <x:v>RETAIN AS SUPPORTING HISTORY</x:v>
      </x:c>
      <x:c r="S243" s="26" t="str">
        <x:v>00_Official_Baseline/v0.5/06_Development_Records/Sprints/Sprint_05/Governance/ADR-0023_Sprint_05_Final_Integration_And_Build_Gate.md</x:v>
      </x:c>
      <x:c r="T243" s="26" t="str">
        <x:v>Historical path preserved verbatim; hash calculated from supplied pre-regeneration project.</x:v>
      </x:c>
    </x:row>
    <x:row r="244" ht="30" customHeight="1">
      <x:c r="A244" s="26" t="str">
        <x:v>H-0240</x:v>
      </x:c>
      <x:c r="B244" s="26" t="str">
        <x:v>Official Baseline</x:v>
      </x:c>
      <x:c r="C244" s="26" t="str">
        <x:v>v0.5</x:v>
      </x:c>
      <x:c r="D244" s="26" t="str">
        <x:v>v0.5</x:v>
      </x:c>
      <x:c r="E244" s="26" t="str">
        <x:v>06_Development_Records</x:v>
      </x:c>
      <x:c r="F244" s="26" t="str">
        <x:v>Sprint 05</x:v>
      </x:c>
      <x:c r="G244" s="26" t="str">
        <x:v>Sprint_05_Charter.md</x:v>
      </x:c>
      <x:c r="H244" s="26" t="str">
        <x:v>Markdown</x:v>
      </x:c>
      <x:c r="I244" s="26" t="str">
        <x:v>Sprint charter</x:v>
      </x:c>
      <x:c r="J244" s="26" t="n">
        <x:v>1571</x:v>
      </x:c>
      <x:c r="K244" s="26" t="str">
        <x:v>0d05eccfe0a61885dd779cb55bb2179cfadc7cbfdc730c697eea516d0b603632</x:v>
      </x:c>
      <x:c r="L244" s="26" t="str">
        <x:v>DG-005</x:v>
      </x:c>
      <x:c r="M244" s="26" t="n">
        <x:v>2</x:v>
      </x:c>
      <x:c r="N244" s="26" t="str">
        <x:v>DUPLICATE GROUP REPRESENTATIVE</x:v>
      </x:c>
      <x:c r="O244" s="26"/>
      <x:c r="P244" s="26"/>
      <x:c r="Q244" s="26" t="str">
        <x:v>Historical baseline support</x:v>
      </x:c>
      <x:c r="R244" s="26" t="str">
        <x:v>RETAIN AS SUPPORTING HISTORY</x:v>
      </x:c>
      <x:c r="S244" s="26" t="str">
        <x:v>00_Official_Baseline/v0.5/06_Development_Records/Sprints/Sprint_05/Governance/Sprint_05_Charter.md</x:v>
      </x:c>
      <x:c r="T244" s="26" t="str">
        <x:v>Historical path preserved verbatim; hash calculated from supplied pre-regeneration project.</x:v>
      </x:c>
    </x:row>
    <x:row r="245" ht="30" customHeight="1">
      <x:c r="A245" s="26" t="str">
        <x:v>H-0241</x:v>
      </x:c>
      <x:c r="B245" s="26" t="str">
        <x:v>Official Baseline</x:v>
      </x:c>
      <x:c r="C245" s="26" t="str">
        <x:v>v0.5</x:v>
      </x:c>
      <x:c r="D245" s="26" t="str">
        <x:v>v0.5</x:v>
      </x:c>
      <x:c r="E245" s="26" t="str">
        <x:v>06_Development_Records</x:v>
      </x:c>
      <x:c r="F245" s="26" t="str">
        <x:v>Sprint 05</x:v>
      </x:c>
      <x:c r="G245" s="26" t="str">
        <x:v>Sprint_05_Current_Status.md</x:v>
      </x:c>
      <x:c r="H245" s="26" t="str">
        <x:v>Markdown</x:v>
      </x:c>
      <x:c r="I245" s="26" t="str">
        <x:v>Current status</x:v>
      </x:c>
      <x:c r="J245" s="26" t="n">
        <x:v>2280</x:v>
      </x:c>
      <x:c r="K245" s="26" t="str">
        <x:v>2a2ca166756565fd85ea0bcbd05a5025bc352562fb251a42050ab35e9809b241</x:v>
      </x:c>
      <x:c r="L245" s="26" t="str">
        <x:v>DG-015</x:v>
      </x:c>
      <x:c r="M245" s="26" t="n">
        <x:v>2</x:v>
      </x:c>
      <x:c r="N245" s="26" t="str">
        <x:v>DUPLICATE GROUP REPRESENTATIVE</x:v>
      </x:c>
      <x:c r="O245" s="26"/>
      <x:c r="P245" s="26"/>
      <x:c r="Q245" s="26" t="str">
        <x:v>Historical baseline support</x:v>
      </x:c>
      <x:c r="R245" s="26" t="str">
        <x:v>RETAIN AS SUPPORTING HISTORY</x:v>
      </x:c>
      <x:c r="S245" s="26" t="str">
        <x:v>00_Official_Baseline/v0.5/06_Development_Records/Sprints/Sprint_05/Governance/Sprint_05_Current_Status.md</x:v>
      </x:c>
      <x:c r="T245" s="26" t="str">
        <x:v>Historical path preserved verbatim; hash calculated from supplied pre-regeneration project.</x:v>
      </x:c>
    </x:row>
    <x:row r="246" ht="30" customHeight="1">
      <x:c r="A246" s="26" t="str">
        <x:v>H-0242</x:v>
      </x:c>
      <x:c r="B246" s="26" t="str">
        <x:v>Official Baseline</x:v>
      </x:c>
      <x:c r="C246" s="26" t="str">
        <x:v>v0.5</x:v>
      </x:c>
      <x:c r="D246" s="26" t="str">
        <x:v>v0.5</x:v>
      </x:c>
      <x:c r="E246" s="26" t="str">
        <x:v>06_Development_Records</x:v>
      </x:c>
      <x:c r="F246" s="26" t="str">
        <x:v>Sprint 05</x:v>
      </x:c>
      <x:c r="G246" s="26" t="str">
        <x:v>S5.1_Validation_Checklist.md</x:v>
      </x:c>
      <x:c r="H246" s="26" t="str">
        <x:v>Markdown</x:v>
      </x:c>
      <x:c r="I246" s="26" t="str">
        <x:v>Validation checklist</x:v>
      </x:c>
      <x:c r="J246" s="26" t="n">
        <x:v>871</x:v>
      </x:c>
      <x:c r="K246" s="26" t="str">
        <x:v>dba681ba566172cebf50f3be75fb1945018e196ebe93fcd9b4407267bb699c08</x:v>
      </x:c>
      <x:c r="L246" s="26" t="str">
        <x:v>DG-088</x:v>
      </x:c>
      <x:c r="M246" s="26" t="n">
        <x:v>2</x:v>
      </x:c>
      <x:c r="N246" s="26" t="str">
        <x:v>DUPLICATE GROUP REPRESENTATIVE</x:v>
      </x:c>
      <x:c r="O246" s="26" t="str">
        <x:v>31</x:v>
      </x:c>
      <x:c r="P246" s="26" t="str">
        <x:v>02, 07, 08, 11, 13, 16, 31</x:v>
      </x:c>
      <x:c r="Q246" s="26" t="str">
        <x:v>Historical baseline support</x:v>
      </x:c>
      <x:c r="R246" s="26" t="str">
        <x:v>RETAIN AS SUPPORTING HISTORY</x:v>
      </x:c>
      <x:c r="S246" s="26" t="str">
        <x:v>00_Official_Baseline/v0.5/06_Development_Records/Sprints/Sprint_05/QA/S5.1_Validation_Checklist.md</x:v>
      </x:c>
      <x:c r="T246" s="26" t="str">
        <x:v>Historical path preserved verbatim; hash calculated from supplied pre-regeneration project.</x:v>
      </x:c>
    </x:row>
    <x:row r="247" ht="30" customHeight="1">
      <x:c r="A247" s="26" t="str">
        <x:v>H-0243</x:v>
      </x:c>
      <x:c r="B247" s="26" t="str">
        <x:v>Official Baseline</x:v>
      </x:c>
      <x:c r="C247" s="26" t="str">
        <x:v>v0.5</x:v>
      </x:c>
      <x:c r="D247" s="26" t="str">
        <x:v>v0.5</x:v>
      </x:c>
      <x:c r="E247" s="26" t="str">
        <x:v>06_Development_Records</x:v>
      </x:c>
      <x:c r="F247" s="26" t="str">
        <x:v>Sprint 05</x:v>
      </x:c>
      <x:c r="G247" s="26" t="str">
        <x:v>S5.2_Validation_Checklist.md</x:v>
      </x:c>
      <x:c r="H247" s="26" t="str">
        <x:v>Markdown</x:v>
      </x:c>
      <x:c r="I247" s="26" t="str">
        <x:v>Validation checklist</x:v>
      </x:c>
      <x:c r="J247" s="26" t="n">
        <x:v>1340</x:v>
      </x:c>
      <x:c r="K247" s="26" t="str">
        <x:v>b5397d64a2dd02e76abf1c6a2a2f1b8be245c7b0993593de4d9d0147c22e39c0</x:v>
      </x:c>
      <x:c r="L247" s="26" t="str">
        <x:v>DG-071</x:v>
      </x:c>
      <x:c r="M247" s="26" t="n">
        <x:v>2</x:v>
      </x:c>
      <x:c r="N247" s="26" t="str">
        <x:v>DUPLICATE GROUP REPRESENTATIVE</x:v>
      </x:c>
      <x:c r="O247" s="26" t="str">
        <x:v>31</x:v>
      </x:c>
      <x:c r="P247" s="26" t="str">
        <x:v>02, 07, 08, 11, 13, 16, 31</x:v>
      </x:c>
      <x:c r="Q247" s="26" t="str">
        <x:v>Historical baseline support</x:v>
      </x:c>
      <x:c r="R247" s="26" t="str">
        <x:v>RETAIN AS SUPPORTING HISTORY</x:v>
      </x:c>
      <x:c r="S247" s="26" t="str">
        <x:v>00_Official_Baseline/v0.5/06_Development_Records/Sprints/Sprint_05/QA/S5.2_Validation_Checklist.md</x:v>
      </x:c>
      <x:c r="T247" s="26" t="str">
        <x:v>Historical path preserved verbatim; hash calculated from supplied pre-regeneration project.</x:v>
      </x:c>
    </x:row>
    <x:row r="248" ht="30" customHeight="1">
      <x:c r="A248" s="26" t="str">
        <x:v>H-0244</x:v>
      </x:c>
      <x:c r="B248" s="26" t="str">
        <x:v>Official Baseline</x:v>
      </x:c>
      <x:c r="C248" s="26" t="str">
        <x:v>v0.5</x:v>
      </x:c>
      <x:c r="D248" s="26" t="str">
        <x:v>v0.5</x:v>
      </x:c>
      <x:c r="E248" s="26" t="str">
        <x:v>06_Development_Records</x:v>
      </x:c>
      <x:c r="F248" s="26" t="str">
        <x:v>Sprint 05</x:v>
      </x:c>
      <x:c r="G248" s="26" t="str">
        <x:v>S5.3_Validation_Checklist.md</x:v>
      </x:c>
      <x:c r="H248" s="26" t="str">
        <x:v>Markdown</x:v>
      </x:c>
      <x:c r="I248" s="26" t="str">
        <x:v>Validation checklist</x:v>
      </x:c>
      <x:c r="J248" s="26" t="n">
        <x:v>1306</x:v>
      </x:c>
      <x:c r="K248" s="26" t="str">
        <x:v>e443533c5c2372eb4f308301e7b20c93c2c64f44c55738dda64bb5c7510ce209</x:v>
      </x:c>
      <x:c r="L248" s="26" t="str">
        <x:v>DG-093</x:v>
      </x:c>
      <x:c r="M248" s="26" t="n">
        <x:v>2</x:v>
      </x:c>
      <x:c r="N248" s="26" t="str">
        <x:v>DUPLICATE GROUP REPRESENTATIVE</x:v>
      </x:c>
      <x:c r="O248" s="26" t="str">
        <x:v>31</x:v>
      </x:c>
      <x:c r="P248" s="26" t="str">
        <x:v>02, 07, 08, 11, 13, 16, 31</x:v>
      </x:c>
      <x:c r="Q248" s="26" t="str">
        <x:v>Historical baseline support</x:v>
      </x:c>
      <x:c r="R248" s="26" t="str">
        <x:v>RETAIN AS SUPPORTING HISTORY</x:v>
      </x:c>
      <x:c r="S248" s="26" t="str">
        <x:v>00_Official_Baseline/v0.5/06_Development_Records/Sprints/Sprint_05/QA/S5.3_Validation_Checklist.md</x:v>
      </x:c>
      <x:c r="T248" s="26" t="str">
        <x:v>Historical path preserved verbatim; hash calculated from supplied pre-regeneration project.</x:v>
      </x:c>
    </x:row>
    <x:row r="249" ht="30" customHeight="1">
      <x:c r="A249" s="26" t="str">
        <x:v>H-0245</x:v>
      </x:c>
      <x:c r="B249" s="26" t="str">
        <x:v>Official Baseline</x:v>
      </x:c>
      <x:c r="C249" s="26" t="str">
        <x:v>v0.5</x:v>
      </x:c>
      <x:c r="D249" s="26" t="str">
        <x:v>v0.5</x:v>
      </x:c>
      <x:c r="E249" s="26" t="str">
        <x:v>06_Development_Records</x:v>
      </x:c>
      <x:c r="F249" s="26" t="str">
        <x:v>Sprint 05</x:v>
      </x:c>
      <x:c r="G249" s="26" t="str">
        <x:v>S5.4_Build_Execution_Record.md</x:v>
      </x:c>
      <x:c r="H249" s="26" t="str">
        <x:v>Markdown</x:v>
      </x:c>
      <x:c r="I249" s="26" t="str">
        <x:v>Build execution evidence</x:v>
      </x:c>
      <x:c r="J249" s="26" t="n">
        <x:v>1347</x:v>
      </x:c>
      <x:c r="K249" s="26" t="str">
        <x:v>83700192228af99fb4487bdf4cdd1332d13a194be7cd5fb197278013952f8fe1</x:v>
      </x:c>
      <x:c r="L249" s="26" t="str">
        <x:v>DG-051</x:v>
      </x:c>
      <x:c r="M249" s="26" t="n">
        <x:v>2</x:v>
      </x:c>
      <x:c r="N249" s="26" t="str">
        <x:v>DUPLICATE GROUP REPRESENTATIVE</x:v>
      </x:c>
      <x:c r="O249" s="26" t="str">
        <x:v>31</x:v>
      </x:c>
      <x:c r="P249" s="26" t="str">
        <x:v>02, 07, 08, 11, 13, 16, 31</x:v>
      </x:c>
      <x:c r="Q249" s="26" t="str">
        <x:v>Historical baseline support</x:v>
      </x:c>
      <x:c r="R249" s="26" t="str">
        <x:v>RETAIN AS SUPPORTING HISTORY</x:v>
      </x:c>
      <x:c r="S249" s="26" t="str">
        <x:v>00_Official_Baseline/v0.5/06_Development_Records/Sprints/Sprint_05/QA/S5.4_Build_Execution_Record.md</x:v>
      </x:c>
      <x:c r="T249" s="26" t="str">
        <x:v>Historical path preserved verbatim; hash calculated from supplied pre-regeneration project.</x:v>
      </x:c>
    </x:row>
    <x:row r="250" ht="30" customHeight="1">
      <x:c r="A250" s="26" t="str">
        <x:v>H-0246</x:v>
      </x:c>
      <x:c r="B250" s="26" t="str">
        <x:v>Official Baseline</x:v>
      </x:c>
      <x:c r="C250" s="26" t="str">
        <x:v>v0.5</x:v>
      </x:c>
      <x:c r="D250" s="26" t="str">
        <x:v>v0.5</x:v>
      </x:c>
      <x:c r="E250" s="26" t="str">
        <x:v>06_Development_Records</x:v>
      </x:c>
      <x:c r="F250" s="26" t="str">
        <x:v>Sprint 05</x:v>
      </x:c>
      <x:c r="G250" s="26" t="str">
        <x:v>S5.4_Validation_Checklist.md</x:v>
      </x:c>
      <x:c r="H250" s="26" t="str">
        <x:v>Markdown</x:v>
      </x:c>
      <x:c r="I250" s="26" t="str">
        <x:v>Validation checklist</x:v>
      </x:c>
      <x:c r="J250" s="26" t="n">
        <x:v>1839</x:v>
      </x:c>
      <x:c r="K250" s="26" t="str">
        <x:v>99d648322bc2b6f6ca1dff0fae525dae89f84c6726bf4ed749bb09bd1a1f155c</x:v>
      </x:c>
      <x:c r="L250" s="26" t="str">
        <x:v>DG-058</x:v>
      </x:c>
      <x:c r="M250" s="26" t="n">
        <x:v>2</x:v>
      </x:c>
      <x:c r="N250" s="26" t="str">
        <x:v>DUPLICATE GROUP REPRESENTATIVE</x:v>
      </x:c>
      <x:c r="O250" s="26" t="str">
        <x:v>31</x:v>
      </x:c>
      <x:c r="P250" s="26" t="str">
        <x:v>02, 07, 08, 11, 13, 16, 31</x:v>
      </x:c>
      <x:c r="Q250" s="26" t="str">
        <x:v>Historical baseline support</x:v>
      </x:c>
      <x:c r="R250" s="26" t="str">
        <x:v>RETAIN AS SUPPORTING HISTORY</x:v>
      </x:c>
      <x:c r="S250" s="26" t="str">
        <x:v>00_Official_Baseline/v0.5/06_Development_Records/Sprints/Sprint_05/QA/S5.4_Validation_Checklist.md</x:v>
      </x:c>
      <x:c r="T250" s="26" t="str">
        <x:v>Historical path preserved verbatim; hash calculated from supplied pre-regeneration project.</x:v>
      </x:c>
    </x:row>
    <x:row r="251" ht="30" customHeight="1">
      <x:c r="A251" s="26" t="str">
        <x:v>H-0247</x:v>
      </x:c>
      <x:c r="B251" s="26" t="str">
        <x:v>Official Baseline</x:v>
      </x:c>
      <x:c r="C251" s="26" t="str">
        <x:v>v0.5</x:v>
      </x:c>
      <x:c r="D251" s="26" t="str">
        <x:v>v0.5</x:v>
      </x:c>
      <x:c r="E251" s="26" t="str">
        <x:v>06_Development_Records</x:v>
      </x:c>
      <x:c r="F251" s="26" t="str">
        <x:v>Sprint 05</x:v>
      </x:c>
      <x:c r="G251" s="26" t="str">
        <x:v>S5_Acceptance_Matrix.md</x:v>
      </x:c>
      <x:c r="H251" s="26" t="str">
        <x:v>Markdown</x:v>
      </x:c>
      <x:c r="I251" s="26" t="str">
        <x:v>Acceptance matrix</x:v>
      </x:c>
      <x:c r="J251" s="26" t="n">
        <x:v>2498</x:v>
      </x:c>
      <x:c r="K251" s="26" t="str">
        <x:v>3c265e9509b133370788c1ea024e4de481f773b526a524f2ec880d60abe053b6</x:v>
      </x:c>
      <x:c r="L251" s="26" t="str">
        <x:v>DG-023</x:v>
      </x:c>
      <x:c r="M251" s="26" t="n">
        <x:v>2</x:v>
      </x:c>
      <x:c r="N251" s="26" t="str">
        <x:v>DUPLICATE GROUP REPRESENTATIVE</x:v>
      </x:c>
      <x:c r="O251" s="26" t="str">
        <x:v>31</x:v>
      </x:c>
      <x:c r="P251" s="26" t="str">
        <x:v>02, 07, 08, 11, 13, 16, 31</x:v>
      </x:c>
      <x:c r="Q251" s="26" t="str">
        <x:v>Historical baseline support</x:v>
      </x:c>
      <x:c r="R251" s="26" t="str">
        <x:v>RETAIN AS SUPPORTING HISTORY</x:v>
      </x:c>
      <x:c r="S251" s="26" t="str">
        <x:v>00_Official_Baseline/v0.5/06_Development_Records/Sprints/Sprint_05/QA/S5_Acceptance_Matrix.md</x:v>
      </x:c>
      <x:c r="T251" s="26" t="str">
        <x:v>Historical path preserved verbatim; hash calculated from supplied pre-regeneration project.</x:v>
      </x:c>
    </x:row>
    <x:row r="252" ht="30" customHeight="1">
      <x:c r="A252" s="26" t="str">
        <x:v>H-0248</x:v>
      </x:c>
      <x:c r="B252" s="26" t="str">
        <x:v>Official Baseline</x:v>
      </x:c>
      <x:c r="C252" s="26" t="str">
        <x:v>v0.5</x:v>
      </x:c>
      <x:c r="D252" s="26" t="str">
        <x:v>v0.5</x:v>
      </x:c>
      <x:c r="E252" s="26" t="str">
        <x:v>06_Development_Records</x:v>
      </x:c>
      <x:c r="F252" s="26" t="str">
        <x:v>Sprint 05</x:v>
      </x:c>
      <x:c r="G252" s="26" t="str">
        <x:v>S5_QA_Execution_Record.md</x:v>
      </x:c>
      <x:c r="H252" s="26" t="str">
        <x:v>Markdown</x:v>
      </x:c>
      <x:c r="I252" s="26" t="str">
        <x:v>QA execution evidence</x:v>
      </x:c>
      <x:c r="J252" s="26" t="n">
        <x:v>2607</x:v>
      </x:c>
      <x:c r="K252" s="26" t="str">
        <x:v>28e52cfc1189efc63cafabf899b0b94924bf2fb3edb92a43973797fcb77616d4</x:v>
      </x:c>
      <x:c r="L252" s="26" t="str">
        <x:v>DG-013</x:v>
      </x:c>
      <x:c r="M252" s="26" t="n">
        <x:v>2</x:v>
      </x:c>
      <x:c r="N252" s="26" t="str">
        <x:v>DUPLICATE GROUP REPRESENTATIVE</x:v>
      </x:c>
      <x:c r="O252" s="26" t="str">
        <x:v>31</x:v>
      </x:c>
      <x:c r="P252" s="26" t="str">
        <x:v>02, 07, 08, 11, 13, 16, 31</x:v>
      </x:c>
      <x:c r="Q252" s="26" t="str">
        <x:v>Historical baseline support</x:v>
      </x:c>
      <x:c r="R252" s="26" t="str">
        <x:v>RETAIN AS SUPPORTING HISTORY</x:v>
      </x:c>
      <x:c r="S252" s="26" t="str">
        <x:v>00_Official_Baseline/v0.5/06_Development_Records/Sprints/Sprint_05/QA/S5_QA_Execution_Record.md</x:v>
      </x:c>
      <x:c r="T252" s="26" t="str">
        <x:v>Historical path preserved verbatim; hash calculated from supplied pre-regeneration project.</x:v>
      </x:c>
    </x:row>
    <x:row r="253" ht="30" customHeight="1">
      <x:c r="A253" s="26" t="str">
        <x:v>H-0249</x:v>
      </x:c>
      <x:c r="B253" s="26" t="str">
        <x:v>Official Baseline</x:v>
      </x:c>
      <x:c r="C253" s="26" t="str">
        <x:v>v0.5</x:v>
      </x:c>
      <x:c r="D253" s="26" t="str">
        <x:v>v0.5</x:v>
      </x:c>
      <x:c r="E253" s="26" t="str">
        <x:v>06_Development_Records</x:v>
      </x:c>
      <x:c r="F253" s="26" t="str">
        <x:v>Sprint 05</x:v>
      </x:c>
      <x:c r="G253" s="26" t="str">
        <x:v>S5_Applied_Changes_Report.md</x:v>
      </x:c>
      <x:c r="H253" s="26" t="str">
        <x:v>Markdown</x:v>
      </x:c>
      <x:c r="I253" s="26" t="str">
        <x:v>Applied change report</x:v>
      </x:c>
      <x:c r="J253" s="26" t="n">
        <x:v>2024</x:v>
      </x:c>
      <x:c r="K253" s="26" t="str">
        <x:v>cd78c06fec02733a316a904135cabc94d84af31640488c558d62da9227708c72</x:v>
      </x:c>
      <x:c r="L253" s="26" t="str">
        <x:v>DG-083</x:v>
      </x:c>
      <x:c r="M253" s="26" t="n">
        <x:v>2</x:v>
      </x:c>
      <x:c r="N253" s="26" t="str">
        <x:v>DUPLICATE GROUP REPRESENTATIVE</x:v>
      </x:c>
      <x:c r="O253" s="26"/>
      <x:c r="P253" s="26"/>
      <x:c r="Q253" s="26" t="str">
        <x:v>Historical baseline support</x:v>
      </x:c>
      <x:c r="R253" s="26" t="str">
        <x:v>RETAIN AS SUPPORTING HISTORY</x:v>
      </x:c>
      <x:c r="S253" s="26" t="str">
        <x:v>00_Official_Baseline/v0.5/06_Development_Records/Sprints/Sprint_05/S5_Applied_Changes_Report.md</x:v>
      </x:c>
      <x:c r="T253" s="26" t="str">
        <x:v>Historical path preserved verbatim; hash calculated from supplied pre-regeneration project.</x:v>
      </x:c>
    </x:row>
    <x:row r="254" ht="30" customHeight="1">
      <x:c r="A254" s="26" t="str">
        <x:v>H-0250</x:v>
      </x:c>
      <x:c r="B254" s="26" t="str">
        <x:v>Official Baseline</x:v>
      </x:c>
      <x:c r="C254" s="26" t="str">
        <x:v>v0.5</x:v>
      </x:c>
      <x:c r="D254" s="26" t="str">
        <x:v>v0.5</x:v>
      </x:c>
      <x:c r="E254" s="26" t="str">
        <x:v>06_Development_Records</x:v>
      </x:c>
      <x:c r="F254" s="26" t="str">
        <x:v>Sprint 05</x:v>
      </x:c>
      <x:c r="G254" s="26" t="str">
        <x:v>Sprint_05_Closure_Report.md</x:v>
      </x:c>
      <x:c r="H254" s="26" t="str">
        <x:v>Markdown</x:v>
      </x:c>
      <x:c r="I254" s="26" t="str">
        <x:v>Sprint closure</x:v>
      </x:c>
      <x:c r="J254" s="26" t="n">
        <x:v>2620</x:v>
      </x:c>
      <x:c r="K254" s="26" t="str">
        <x:v>8065ffa0649ba8c67d0c754cc551d1db3f721aeedc071e9f8317a9c97264e11c</x:v>
      </x:c>
      <x:c r="L254" s="26" t="str">
        <x:v>DG-050</x:v>
      </x:c>
      <x:c r="M254" s="26" t="n">
        <x:v>2</x:v>
      </x:c>
      <x:c r="N254" s="26" t="str">
        <x:v>DUPLICATE GROUP REPRESENTATIVE</x:v>
      </x:c>
      <x:c r="O254" s="26"/>
      <x:c r="P254" s="26"/>
      <x:c r="Q254" s="26" t="str">
        <x:v>Historical baseline support</x:v>
      </x:c>
      <x:c r="R254" s="26" t="str">
        <x:v>RETAIN AS SUPPORTING HISTORY</x:v>
      </x:c>
      <x:c r="S254" s="26" t="str">
        <x:v>00_Official_Baseline/v0.5/06_Development_Records/Sprints/Sprint_05/Sprint_05_Closure_Report.md</x:v>
      </x:c>
      <x:c r="T254" s="26" t="str">
        <x:v>Historical path preserved verbatim; hash calculated from supplied pre-regeneration project.</x:v>
      </x:c>
    </x:row>
    <x:row r="255" ht="30" customHeight="1">
      <x:c r="A255" s="26" t="str">
        <x:v>H-0251</x:v>
      </x:c>
      <x:c r="B255" s="26" t="str">
        <x:v>Official Baseline</x:v>
      </x:c>
      <x:c r="C255" s="26" t="str">
        <x:v>v0.5</x:v>
      </x:c>
      <x:c r="D255" s="26" t="str">
        <x:v>v0.5</x:v>
      </x:c>
      <x:c r="E255" s="26" t="str">
        <x:v>06_Development_Records</x:v>
      </x:c>
      <x:c r="F255" s="26" t="str">
        <x:v>Sprint 05</x:v>
      </x:c>
      <x:c r="G255" s="26" t="str">
        <x:v>S5_Document_Impact_Working_Matrix.md</x:v>
      </x:c>
      <x:c r="H255" s="26" t="str">
        <x:v>Markdown</x:v>
      </x:c>
      <x:c r="I255" s="26" t="str">
        <x:v>Traceability entry</x:v>
      </x:c>
      <x:c r="J255" s="26" t="n">
        <x:v>1243</x:v>
      </x:c>
      <x:c r="K255" s="26" t="str">
        <x:v>3383c88a53d814e3d128959ce907fc91d89eae8adbe22d936baa9408fec79b14</x:v>
      </x:c>
      <x:c r="L255" s="26" t="str">
        <x:v>DG-019</x:v>
      </x:c>
      <x:c r="M255" s="26" t="n">
        <x:v>2</x:v>
      </x:c>
      <x:c r="N255" s="26" t="str">
        <x:v>DUPLICATE GROUP REPRESENTATIVE</x:v>
      </x:c>
      <x:c r="O255" s="26"/>
      <x:c r="P255" s="26"/>
      <x:c r="Q255" s="26" t="str">
        <x:v>Historical baseline support</x:v>
      </x:c>
      <x:c r="R255" s="26" t="str">
        <x:v>RETAIN AS SUPPORTING HISTORY</x:v>
      </x:c>
      <x:c r="S255" s="26" t="str">
        <x:v>00_Official_Baseline/v0.5/06_Development_Records/Sprints/Sprint_05/Traceability/S5_Document_Impact_Working_Matrix.md</x:v>
      </x:c>
      <x:c r="T255" s="26" t="str">
        <x:v>Historical path preserved verbatim; hash calculated from supplied pre-regeneration project.</x:v>
      </x:c>
    </x:row>
    <x:row r="256" ht="30" customHeight="1">
      <x:c r="A256" s="26" t="str">
        <x:v>H-0252</x:v>
      </x:c>
      <x:c r="B256" s="26" t="str">
        <x:v>Official Baseline</x:v>
      </x:c>
      <x:c r="C256" s="26" t="str">
        <x:v>v0.5</x:v>
      </x:c>
      <x:c r="D256" s="26" t="str">
        <x:v>v0.5</x:v>
      </x:c>
      <x:c r="E256" s="26" t="str">
        <x:v>06_Development_Records</x:v>
      </x:c>
      <x:c r="F256" s="26" t="str">
        <x:v>Sprint 05</x:v>
      </x:c>
      <x:c r="G256" s="26" t="str">
        <x:v>S5_Traceability_Entries.csv</x:v>
      </x:c>
      <x:c r="H256" s="26" t="str">
        <x:v>CSV</x:v>
      </x:c>
      <x:c r="I256" s="26" t="str">
        <x:v>Traceability entry</x:v>
      </x:c>
      <x:c r="J256" s="26" t="n">
        <x:v>1761</x:v>
      </x:c>
      <x:c r="K256" s="26" t="str">
        <x:v>c7135697cfaadadf20f3639103c0bfdadbed24fc67a499aff27b460cffb2602b</x:v>
      </x:c>
      <x:c r="L256" s="26" t="str">
        <x:v>DG-078</x:v>
      </x:c>
      <x:c r="M256" s="26" t="n">
        <x:v>2</x:v>
      </x:c>
      <x:c r="N256" s="26" t="str">
        <x:v>DUPLICATE GROUP REPRESENTATIVE</x:v>
      </x:c>
      <x:c r="O256" s="26"/>
      <x:c r="P256" s="26"/>
      <x:c r="Q256" s="26" t="str">
        <x:v>Historical baseline support</x:v>
      </x:c>
      <x:c r="R256" s="26" t="str">
        <x:v>RETAIN AS SUPPORTING HISTORY</x:v>
      </x:c>
      <x:c r="S256" s="26" t="str">
        <x:v>00_Official_Baseline/v0.5/06_Development_Records/Sprints/Sprint_05/Traceability/S5_Traceability_Entries.csv</x:v>
      </x:c>
      <x:c r="T256" s="26" t="str">
        <x:v>Historical path preserved verbatim; hash calculated from supplied pre-regeneration project.</x:v>
      </x:c>
    </x:row>
    <x:row r="257" ht="30" customHeight="1">
      <x:c r="A257" s="26" t="str">
        <x:v>H-0253</x:v>
      </x:c>
      <x:c r="B257" s="26" t="str">
        <x:v>Official Baseline</x:v>
      </x:c>
      <x:c r="C257" s="26" t="str">
        <x:v>v0.5</x:v>
      </x:c>
      <x:c r="D257" s="26" t="str">
        <x:v>v0.5</x:v>
      </x:c>
      <x:c r="E257" s="26" t="str">
        <x:v>99_Source_Markdown</x:v>
      </x:c>
      <x:c r="F257" s="26"/>
      <x:c r="G257" s="26" t="str">
        <x:v>00_Cartridge_And_Cloud_Guide_v0.5.md</x:v>
      </x:c>
      <x:c r="H257" s="26" t="str">
        <x:v>Markdown</x:v>
      </x:c>
      <x:c r="I257" s="26" t="str">
        <x:v>Authoring source</x:v>
      </x:c>
      <x:c r="J257" s="26" t="n">
        <x:v>6916</x:v>
      </x:c>
      <x:c r="K257" s="26" t="str">
        <x:v>1774286d76e6fef44bd4f38f054ed334ae6bf969fe9b477fc81d7392f9033e54</x:v>
      </x:c>
      <x:c r="L257" s="26"/>
      <x:c r="M257" s="26" t="n">
        <x:v>1</x:v>
      </x:c>
      <x:c r="N257" s="26" t="str">
        <x:v>UNIQUE</x:v>
      </x:c>
      <x:c r="O257" s="26" t="str">
        <x:v>15</x:v>
      </x:c>
      <x:c r="P257" s="26" t="str">
        <x:v>15</x:v>
      </x:c>
      <x:c r="Q257" s="26" t="str">
        <x:v>Source equivalent — paired with published artifact</x:v>
      </x:c>
      <x:c r="R257" s="26" t="str">
        <x:v>RETAIN AS AUTHORING SOURCE / HISTORICAL EQUIVALENT</x:v>
      </x:c>
      <x:c r="S257" s="26" t="str">
        <x:v>00_Official_Baseline/v0.5/99_Source_Markdown/00_Cartridge_And_Cloud_Guide_v0.5.md</x:v>
      </x:c>
      <x:c r="T257" s="26" t="str">
        <x:v>Historical path preserved verbatim; hash calculated from supplied pre-regeneration project.</x:v>
      </x:c>
    </x:row>
    <x:row r="258" ht="30" customHeight="1">
      <x:c r="A258" s="26" t="str">
        <x:v>H-0254</x:v>
      </x:c>
      <x:c r="B258" s="26" t="str">
        <x:v>Official Baseline</x:v>
      </x:c>
      <x:c r="C258" s="26" t="str">
        <x:v>v0.5</x:v>
      </x:c>
      <x:c r="D258" s="26" t="str">
        <x:v>v0.5</x:v>
      </x:c>
      <x:c r="E258" s="26" t="str">
        <x:v>99_Source_Markdown</x:v>
      </x:c>
      <x:c r="F258" s="26"/>
      <x:c r="G258" s="26" t="str">
        <x:v>Cartridge_And_Cloud_Art_Bible_v0.4.md</x:v>
      </x:c>
      <x:c r="H258" s="26" t="str">
        <x:v>Markdown</x:v>
      </x:c>
      <x:c r="I258" s="26" t="str">
        <x:v>Authoring source</x:v>
      </x:c>
      <x:c r="J258" s="26" t="n">
        <x:v>2426</x:v>
      </x:c>
      <x:c r="K258" s="26" t="str">
        <x:v>85241caca78cbac42e40a735b73a116ee47e5937605952cebb092272bb3a1979</x:v>
      </x:c>
      <x:c r="L258" s="26"/>
      <x:c r="M258" s="26" t="n">
        <x:v>1</x:v>
      </x:c>
      <x:c r="N258" s="26" t="str">
        <x:v>UNIQUE</x:v>
      </x:c>
      <x:c r="O258" s="26" t="str">
        <x:v>17</x:v>
      </x:c>
      <x:c r="P258" s="26" t="str">
        <x:v>17</x:v>
      </x:c>
      <x:c r="Q258" s="26" t="str">
        <x:v>Source equivalent — paired with published artifact</x:v>
      </x:c>
      <x:c r="R258" s="26" t="str">
        <x:v>RETAIN AS AUTHORING SOURCE / HISTORICAL EQUIVALENT</x:v>
      </x:c>
      <x:c r="S258" s="26" t="str">
        <x:v>00_Official_Baseline/v0.5/99_Source_Markdown/Cartridge_And_Cloud_Art_Bible_v0.4.md</x:v>
      </x:c>
      <x:c r="T258" s="26" t="str">
        <x:v>Historical path preserved verbatim; hash calculated from supplied pre-regeneration project.</x:v>
      </x:c>
    </x:row>
    <x:row r="259" ht="30" customHeight="1">
      <x:c r="A259" s="26" t="str">
        <x:v>H-0255</x:v>
      </x:c>
      <x:c r="B259" s="26" t="str">
        <x:v>Official Baseline</x:v>
      </x:c>
      <x:c r="C259" s="26" t="str">
        <x:v>v0.5</x:v>
      </x:c>
      <x:c r="D259" s="26" t="str">
        <x:v>v0.5</x:v>
      </x:c>
      <x:c r="E259" s="26" t="str">
        <x:v>99_Source_Markdown</x:v>
      </x:c>
      <x:c r="F259" s="26"/>
      <x:c r="G259" s="26" t="str">
        <x:v>Cartridge_And_Cloud_Audio_Bible_v0.4.md</x:v>
      </x:c>
      <x:c r="H259" s="26" t="str">
        <x:v>Markdown</x:v>
      </x:c>
      <x:c r="I259" s="26" t="str">
        <x:v>Authoring source</x:v>
      </x:c>
      <x:c r="J259" s="26" t="n">
        <x:v>1955</x:v>
      </x:c>
      <x:c r="K259" s="26" t="str">
        <x:v>b63eff2e7197d01df8375a9d815ddf046d123a222fdaf70079a8356d58c9e092</x:v>
      </x:c>
      <x:c r="L259" s="26"/>
      <x:c r="M259" s="26" t="n">
        <x:v>1</x:v>
      </x:c>
      <x:c r="N259" s="26" t="str">
        <x:v>UNIQUE</x:v>
      </x:c>
      <x:c r="O259" s="26" t="str">
        <x:v>18</x:v>
      </x:c>
      <x:c r="P259" s="26" t="str">
        <x:v>18</x:v>
      </x:c>
      <x:c r="Q259" s="26" t="str">
        <x:v>Source equivalent — paired with published artifact</x:v>
      </x:c>
      <x:c r="R259" s="26" t="str">
        <x:v>RETAIN AS AUTHORING SOURCE / HISTORICAL EQUIVALENT</x:v>
      </x:c>
      <x:c r="S259" s="26" t="str">
        <x:v>00_Official_Baseline/v0.5/99_Source_Markdown/Cartridge_And_Cloud_Audio_Bible_v0.4.md</x:v>
      </x:c>
      <x:c r="T259" s="26" t="str">
        <x:v>Historical path preserved verbatim; hash calculated from supplied pre-regeneration project.</x:v>
      </x:c>
    </x:row>
    <x:row r="260" ht="30" customHeight="1">
      <x:c r="A260" s="26" t="str">
        <x:v>H-0256</x:v>
      </x:c>
      <x:c r="B260" s="26" t="str">
        <x:v>Official Baseline</x:v>
      </x:c>
      <x:c r="C260" s="26" t="str">
        <x:v>v0.5</x:v>
      </x:c>
      <x:c r="D260" s="26" t="str">
        <x:v>v0.5</x:v>
      </x:c>
      <x:c r="E260" s="26" t="str">
        <x:v>99_Source_Markdown</x:v>
      </x:c>
      <x:c r="F260" s="26"/>
      <x:c r="G260" s="26" t="str">
        <x:v>Cartridge_And_Cloud_Build_Versioning_Guide_v0.5.md</x:v>
      </x:c>
      <x:c r="H260" s="26" t="str">
        <x:v>Markdown</x:v>
      </x:c>
      <x:c r="I260" s="26" t="str">
        <x:v>Authoring source</x:v>
      </x:c>
      <x:c r="J260" s="26" t="n">
        <x:v>2384</x:v>
      </x:c>
      <x:c r="K260" s="26" t="str">
        <x:v>3df0fc5321a57c528f6386bcd922c2e930ba194736af94f064262c371bb63be6</x:v>
      </x:c>
      <x:c r="L260" s="26"/>
      <x:c r="M260" s="26" t="n">
        <x:v>1</x:v>
      </x:c>
      <x:c r="N260" s="26" t="str">
        <x:v>UNIQUE</x:v>
      </x:c>
      <x:c r="O260" s="26" t="str">
        <x:v>11</x:v>
      </x:c>
      <x:c r="P260" s="26" t="str">
        <x:v>11</x:v>
      </x:c>
      <x:c r="Q260" s="26" t="str">
        <x:v>Source equivalent — paired with published artifact</x:v>
      </x:c>
      <x:c r="R260" s="26" t="str">
        <x:v>RETAIN AS AUTHORING SOURCE / HISTORICAL EQUIVALENT</x:v>
      </x:c>
      <x:c r="S260" s="26" t="str">
        <x:v>00_Official_Baseline/v0.5/99_Source_Markdown/Cartridge_And_Cloud_Build_Versioning_Guide_v0.5.md</x:v>
      </x:c>
      <x:c r="T260" s="26" t="str">
        <x:v>Historical path preserved verbatim; hash calculated from supplied pre-regeneration project.</x:v>
      </x:c>
    </x:row>
    <x:row r="261" ht="30" customHeight="1">
      <x:c r="A261" s="26" t="str">
        <x:v>H-0257</x:v>
      </x:c>
      <x:c r="B261" s="26" t="str">
        <x:v>Official Baseline</x:v>
      </x:c>
      <x:c r="C261" s="26" t="str">
        <x:v>v0.5</x:v>
      </x:c>
      <x:c r="D261" s="26" t="str">
        <x:v>v0.5</x:v>
      </x:c>
      <x:c r="E261" s="26" t="str">
        <x:v>99_Source_Markdown</x:v>
      </x:c>
      <x:c r="F261" s="26"/>
      <x:c r="G261" s="26" t="str">
        <x:v>Cartridge_And_Cloud_CSharp_Coding_Standards_v0.4.md</x:v>
      </x:c>
      <x:c r="H261" s="26" t="str">
        <x:v>Markdown</x:v>
      </x:c>
      <x:c r="I261" s="26" t="str">
        <x:v>Authoring source</x:v>
      </x:c>
      <x:c r="J261" s="26" t="n">
        <x:v>2940</x:v>
      </x:c>
      <x:c r="K261" s="26" t="str">
        <x:v>e83ba0009eda604345b2939a8cddf7f8d1a4b8b3ab2445bfcf79996889844e6d</x:v>
      </x:c>
      <x:c r="L261" s="26"/>
      <x:c r="M261" s="26" t="n">
        <x:v>1</x:v>
      </x:c>
      <x:c r="N261" s="26" t="str">
        <x:v>UNIQUE</x:v>
      </x:c>
      <x:c r="O261" s="26" t="str">
        <x:v>09</x:v>
      </x:c>
      <x:c r="P261" s="26" t="str">
        <x:v>09</x:v>
      </x:c>
      <x:c r="Q261" s="26" t="str">
        <x:v>Source equivalent — paired with published artifact</x:v>
      </x:c>
      <x:c r="R261" s="26" t="str">
        <x:v>RETAIN AS AUTHORING SOURCE / HISTORICAL EQUIVALENT</x:v>
      </x:c>
      <x:c r="S261" s="26" t="str">
        <x:v>00_Official_Baseline/v0.5/99_Source_Markdown/Cartridge_And_Cloud_CSharp_Coding_Standards_v0.4.md</x:v>
      </x:c>
      <x:c r="T261" s="26" t="str">
        <x:v>Historical path preserved verbatim; hash calculated from supplied pre-regeneration project.</x:v>
      </x:c>
    </x:row>
    <x:row r="262" ht="30" customHeight="1">
      <x:c r="A262" s="26" t="str">
        <x:v>H-0258</x:v>
      </x:c>
      <x:c r="B262" s="26" t="str">
        <x:v>Official Baseline</x:v>
      </x:c>
      <x:c r="C262" s="26" t="str">
        <x:v>v0.5</x:v>
      </x:c>
      <x:c r="D262" s="26" t="str">
        <x:v>v0.5</x:v>
      </x:c>
      <x:c r="E262" s="26" t="str">
        <x:v>99_Source_Markdown</x:v>
      </x:c>
      <x:c r="F262" s="26"/>
      <x:c r="G262" s="26" t="str">
        <x:v>Cartridge_And_Cloud_Document_Migration_Plan_v0.2.md</x:v>
      </x:c>
      <x:c r="H262" s="26" t="str">
        <x:v>Markdown</x:v>
      </x:c>
      <x:c r="I262" s="26" t="str">
        <x:v>Migration record</x:v>
      </x:c>
      <x:c r="J262" s="26" t="n">
        <x:v>2508</x:v>
      </x:c>
      <x:c r="K262" s="26" t="str">
        <x:v>125794b93ecfa0ba466066a84f7b543b8fbcf2407d577d2583211db9e0c09ae1</x:v>
      </x:c>
      <x:c r="L262" s="26"/>
      <x:c r="M262" s="26" t="n">
        <x:v>1</x:v>
      </x:c>
      <x:c r="N262" s="26" t="str">
        <x:v>UNIQUE</x:v>
      </x:c>
      <x:c r="O262" s="26" t="str">
        <x:v>32</x:v>
      </x:c>
      <x:c r="P262" s="26" t="str">
        <x:v>13, 14, 15, 16, 32</x:v>
      </x:c>
      <x:c r="Q262" s="26" t="str">
        <x:v>Source equivalent — paired with published artifact</x:v>
      </x:c>
      <x:c r="R262" s="26" t="str">
        <x:v>RETAIN AS AUTHORING SOURCE / HISTORICAL EQUIVALENT</x:v>
      </x:c>
      <x:c r="S262" s="26" t="str">
        <x:v>00_Official_Baseline/v0.5/99_Source_Markdown/Cartridge_And_Cloud_Document_Migration_Plan_v0.2.md</x:v>
      </x:c>
      <x:c r="T262" s="26" t="str">
        <x:v>Historical path preserved verbatim; hash calculated from supplied pre-regeneration project.</x:v>
      </x:c>
    </x:row>
    <x:row r="263" ht="30" customHeight="1">
      <x:c r="A263" s="26" t="str">
        <x:v>H-0259</x:v>
      </x:c>
      <x:c r="B263" s="26" t="str">
        <x:v>Official Baseline</x:v>
      </x:c>
      <x:c r="C263" s="26" t="str">
        <x:v>v0.5</x:v>
      </x:c>
      <x:c r="D263" s="26" t="str">
        <x:v>v0.5</x:v>
      </x:c>
      <x:c r="E263" s="26" t="str">
        <x:v>99_Source_Markdown</x:v>
      </x:c>
      <x:c r="F263" s="26"/>
      <x:c r="G263" s="26" t="str">
        <x:v>Cartridge_And_Cloud_Documentation_Validation_Report_v0.3.md</x:v>
      </x:c>
      <x:c r="H263" s="26" t="str">
        <x:v>Markdown</x:v>
      </x:c>
      <x:c r="I263" s="26" t="str">
        <x:v>Validation report</x:v>
      </x:c>
      <x:c r="J263" s="26" t="n">
        <x:v>1944</x:v>
      </x:c>
      <x:c r="K263" s="26" t="str">
        <x:v>f0580c1ab55321eefc1ff3f1f57ec2337ca1c313c1c98f24b19d2967f73cf010</x:v>
      </x:c>
      <x:c r="L263" s="26"/>
      <x:c r="M263" s="26" t="n">
        <x:v>1</x:v>
      </x:c>
      <x:c r="N263" s="26" t="str">
        <x:v>UNIQUE</x:v>
      </x:c>
      <x:c r="O263" s="26" t="str">
        <x:v>16</x:v>
      </x:c>
      <x:c r="P263" s="26" t="str">
        <x:v>16</x:v>
      </x:c>
      <x:c r="Q263" s="26" t="str">
        <x:v>Source equivalent — paired with published artifact</x:v>
      </x:c>
      <x:c r="R263" s="26" t="str">
        <x:v>RETAIN AS AUTHORING SOURCE / HISTORICAL EQUIVALENT</x:v>
      </x:c>
      <x:c r="S263" s="26" t="str">
        <x:v>00_Official_Baseline/v0.5/99_Source_Markdown/Cartridge_And_Cloud_Documentation_Validation_Report_v0.3.md</x:v>
      </x:c>
      <x:c r="T263" s="26" t="str">
        <x:v>Historical path preserved verbatim; hash calculated from supplied pre-regeneration project.</x:v>
      </x:c>
    </x:row>
    <x:row r="264" ht="30" customHeight="1">
      <x:c r="A264" s="26" t="str">
        <x:v>H-0260</x:v>
      </x:c>
      <x:c r="B264" s="26" t="str">
        <x:v>Official Baseline</x:v>
      </x:c>
      <x:c r="C264" s="26" t="str">
        <x:v>v0.5</x:v>
      </x:c>
      <x:c r="D264" s="26" t="str">
        <x:v>v0.5</x:v>
      </x:c>
      <x:c r="E264" s="26" t="str">
        <x:v>99_Source_Markdown</x:v>
      </x:c>
      <x:c r="F264" s="26"/>
      <x:c r="G264" s="26" t="str">
        <x:v>Cartridge_And_Cloud_Economy_Balance_Specification_v0.2.md</x:v>
      </x:c>
      <x:c r="H264" s="26" t="str">
        <x:v>Markdown</x:v>
      </x:c>
      <x:c r="I264" s="26" t="str">
        <x:v>Authoring source</x:v>
      </x:c>
      <x:c r="J264" s="26" t="n">
        <x:v>2773</x:v>
      </x:c>
      <x:c r="K264" s="26" t="str">
        <x:v>06c11a0e1ea6a93a2f3fd18794007ce2160fbbee1658d43456d4b16fecd8c484</x:v>
      </x:c>
      <x:c r="L264" s="26"/>
      <x:c r="M264" s="26" t="n">
        <x:v>1</x:v>
      </x:c>
      <x:c r="N264" s="26" t="str">
        <x:v>UNIQUE</x:v>
      </x:c>
      <x:c r="O264" s="26" t="str">
        <x:v>20</x:v>
      </x:c>
      <x:c r="P264" s="26" t="str">
        <x:v>20</x:v>
      </x:c>
      <x:c r="Q264" s="26" t="str">
        <x:v>Source equivalent — paired with published artifact</x:v>
      </x:c>
      <x:c r="R264" s="26" t="str">
        <x:v>RETAIN AS AUTHORING SOURCE / HISTORICAL EQUIVALENT</x:v>
      </x:c>
      <x:c r="S264" s="26" t="str">
        <x:v>00_Official_Baseline/v0.5/99_Source_Markdown/Cartridge_And_Cloud_Economy_Balance_Specification_v0.2.md</x:v>
      </x:c>
      <x:c r="T264" s="26" t="str">
        <x:v>Historical path preserved verbatim; hash calculated from supplied pre-regeneration project.</x:v>
      </x:c>
    </x:row>
    <x:row r="265" ht="30" customHeight="1">
      <x:c r="A265" s="26" t="str">
        <x:v>H-0261</x:v>
      </x:c>
      <x:c r="B265" s="26" t="str">
        <x:v>Official Baseline</x:v>
      </x:c>
      <x:c r="C265" s="26" t="str">
        <x:v>v0.5</x:v>
      </x:c>
      <x:c r="D265" s="26" t="str">
        <x:v>v0.5</x:v>
      </x:c>
      <x:c r="E265" s="26" t="str">
        <x:v>99_Source_Markdown</x:v>
      </x:c>
      <x:c r="F265" s="26"/>
      <x:c r="G265" s="26" t="str">
        <x:v>Cartridge_And_Cloud_Enfoque_v0.7.md</x:v>
      </x:c>
      <x:c r="H265" s="26" t="str">
        <x:v>Markdown</x:v>
      </x:c>
      <x:c r="I265" s="26" t="str">
        <x:v>Authoring source</x:v>
      </x:c>
      <x:c r="J265" s="26" t="n">
        <x:v>4112</x:v>
      </x:c>
      <x:c r="K265" s="26" t="str">
        <x:v>dff2fd6d5ae6a688ae147c6eebc2e81b5667cf2433198204867ed51559cc11ea</x:v>
      </x:c>
      <x:c r="L265" s="26" t="str">
        <x:v>DG-091</x:v>
      </x:c>
      <x:c r="M265" s="26" t="n">
        <x:v>2</x:v>
      </x:c>
      <x:c r="N265" s="26" t="str">
        <x:v>IDENTICAL COPY</x:v>
      </x:c>
      <x:c r="O265" s="26" t="str">
        <x:v>00</x:v>
      </x:c>
      <x:c r="P265" s="26" t="str">
        <x:v>00</x:v>
      </x:c>
      <x:c r="Q265" s="26" t="str">
        <x:v>Source equivalent — paired with published artifact</x:v>
      </x:c>
      <x:c r="R265" s="26" t="str">
        <x:v>RETAIN AS AUTHORING SOURCE / HISTORICAL EQUIVALENT</x:v>
      </x:c>
      <x:c r="S265" s="26" t="str">
        <x:v>00_Official_Baseline/v0.5/99_Source_Markdown/Cartridge_And_Cloud_Enfoque_v0.7.md</x:v>
      </x:c>
      <x:c r="T265" s="26" t="str">
        <x:v>Historical path preserved verbatim; hash calculated from supplied pre-regeneration project.</x:v>
      </x:c>
    </x:row>
    <x:row r="266" ht="30" customHeight="1">
      <x:c r="A266" s="26" t="str">
        <x:v>H-0262</x:v>
      </x:c>
      <x:c r="B266" s="26" t="str">
        <x:v>Official Baseline</x:v>
      </x:c>
      <x:c r="C266" s="26" t="str">
        <x:v>v0.5</x:v>
      </x:c>
      <x:c r="D266" s="26" t="str">
        <x:v>v0.5</x:v>
      </x:c>
      <x:c r="E266" s="26" t="str">
        <x:v>99_Source_Markdown</x:v>
      </x:c>
      <x:c r="F266" s="26"/>
      <x:c r="G266" s="26" t="str">
        <x:v>Cartridge_And_Cloud_GDD_v0.5_PCSteam.md</x:v>
      </x:c>
      <x:c r="H266" s="26" t="str">
        <x:v>Markdown</x:v>
      </x:c>
      <x:c r="I266" s="26" t="str">
        <x:v>Authoring source</x:v>
      </x:c>
      <x:c r="J266" s="26" t="n">
        <x:v>4208</x:v>
      </x:c>
      <x:c r="K266" s="26" t="str">
        <x:v>17284e1e8d67332d5a8e76e56d194b7e176225dfb49e2729caf6664a96c6aa09</x:v>
      </x:c>
      <x:c r="L266" s="26"/>
      <x:c r="M266" s="26" t="n">
        <x:v>1</x:v>
      </x:c>
      <x:c r="N266" s="26" t="str">
        <x:v>UNIQUE</x:v>
      </x:c>
      <x:c r="O266" s="26" t="str">
        <x:v>01</x:v>
      </x:c>
      <x:c r="P266" s="26" t="str">
        <x:v>01</x:v>
      </x:c>
      <x:c r="Q266" s="26" t="str">
        <x:v>Source equivalent — paired with published artifact</x:v>
      </x:c>
      <x:c r="R266" s="26" t="str">
        <x:v>RETAIN AS AUTHORING SOURCE / HISTORICAL EQUIVALENT</x:v>
      </x:c>
      <x:c r="S266" s="26" t="str">
        <x:v>00_Official_Baseline/v0.5/99_Source_Markdown/Cartridge_And_Cloud_GDD_v0.5_PCSteam.md</x:v>
      </x:c>
      <x:c r="T266" s="26" t="str">
        <x:v>Historical path preserved verbatim; hash calculated from supplied pre-regeneration project.</x:v>
      </x:c>
    </x:row>
    <x:row r="267" ht="30" customHeight="1">
      <x:c r="A267" s="26" t="str">
        <x:v>H-0263</x:v>
      </x:c>
      <x:c r="B267" s="26" t="str">
        <x:v>Official Baseline</x:v>
      </x:c>
      <x:c r="C267" s="26" t="str">
        <x:v>v0.5</x:v>
      </x:c>
      <x:c r="D267" s="26" t="str">
        <x:v>v0.5</x:v>
      </x:c>
      <x:c r="E267" s="26" t="str">
        <x:v>99_Source_Markdown</x:v>
      </x:c>
      <x:c r="F267" s="26"/>
      <x:c r="G267" s="26" t="str">
        <x:v>Cartridge_And_Cloud_Initial_Content_Catalog_v0.2.md</x:v>
      </x:c>
      <x:c r="H267" s="26" t="str">
        <x:v>Markdown</x:v>
      </x:c>
      <x:c r="I267" s="26" t="str">
        <x:v>Authoring source</x:v>
      </x:c>
      <x:c r="J267" s="26" t="n">
        <x:v>2513</x:v>
      </x:c>
      <x:c r="K267" s="26" t="str">
        <x:v>02439c64569896a24e292ec42717612412828e784bf7c1c701fbc477d57b0d51</x:v>
      </x:c>
      <x:c r="L267" s="26"/>
      <x:c r="M267" s="26" t="n">
        <x:v>1</x:v>
      </x:c>
      <x:c r="N267" s="26" t="str">
        <x:v>UNIQUE</x:v>
      </x:c>
      <x:c r="O267" s="26" t="str">
        <x:v>21</x:v>
      </x:c>
      <x:c r="P267" s="26" t="str">
        <x:v>21</x:v>
      </x:c>
      <x:c r="Q267" s="26" t="str">
        <x:v>Source equivalent — paired with published artifact</x:v>
      </x:c>
      <x:c r="R267" s="26" t="str">
        <x:v>RETAIN AS AUTHORING SOURCE / HISTORICAL EQUIVALENT</x:v>
      </x:c>
      <x:c r="S267" s="26" t="str">
        <x:v>00_Official_Baseline/v0.5/99_Source_Markdown/Cartridge_And_Cloud_Initial_Content_Catalog_v0.2.md</x:v>
      </x:c>
      <x:c r="T267" s="26" t="str">
        <x:v>Historical path preserved verbatim; hash calculated from supplied pre-regeneration project.</x:v>
      </x:c>
    </x:row>
    <x:row r="268" ht="30" customHeight="1">
      <x:c r="A268" s="26" t="str">
        <x:v>H-0264</x:v>
      </x:c>
      <x:c r="B268" s="26" t="str">
        <x:v>Official Baseline</x:v>
      </x:c>
      <x:c r="C268" s="26" t="str">
        <x:v>v0.5</x:v>
      </x:c>
      <x:c r="D268" s="26" t="str">
        <x:v>v0.5</x:v>
      </x:c>
      <x:c r="E268" s="26" t="str">
        <x:v>99_Source_Markdown</x:v>
      </x:c>
      <x:c r="F268" s="26"/>
      <x:c r="G268" s="26" t="str">
        <x:v>Cartridge_And_Cloud_Legal_Credits_Licenses_Register_v0.4.md</x:v>
      </x:c>
      <x:c r="H268" s="26" t="str">
        <x:v>Markdown</x:v>
      </x:c>
      <x:c r="I268" s="26" t="str">
        <x:v>Authoring source</x:v>
      </x:c>
      <x:c r="J268" s="26" t="n">
        <x:v>2001</x:v>
      </x:c>
      <x:c r="K268" s="26" t="str">
        <x:v>18f78b69a56edee6f8783d32859d6e231d061422d24abd6feefdbf06fe68567b</x:v>
      </x:c>
      <x:c r="L268" s="26"/>
      <x:c r="M268" s="26" t="n">
        <x:v>1</x:v>
      </x:c>
      <x:c r="N268" s="26" t="str">
        <x:v>UNIQUE</x:v>
      </x:c>
      <x:c r="O268" s="26" t="str">
        <x:v>23</x:v>
      </x:c>
      <x:c r="P268" s="26" t="str">
        <x:v>23</x:v>
      </x:c>
      <x:c r="Q268" s="26" t="str">
        <x:v>Source equivalent — paired with published artifact</x:v>
      </x:c>
      <x:c r="R268" s="26" t="str">
        <x:v>RETAIN AS AUTHORING SOURCE / HISTORICAL EQUIVALENT</x:v>
      </x:c>
      <x:c r="S268" s="26" t="str">
        <x:v>00_Official_Baseline/v0.5/99_Source_Markdown/Cartridge_And_Cloud_Legal_Credits_Licenses_Register_v0.4.md</x:v>
      </x:c>
      <x:c r="T268" s="26" t="str">
        <x:v>Historical path preserved verbatim; hash calculated from supplied pre-regeneration project.</x:v>
      </x:c>
    </x:row>
    <x:row r="269" ht="30" customHeight="1">
      <x:c r="A269" s="26" t="str">
        <x:v>H-0265</x:v>
      </x:c>
      <x:c r="B269" s="26" t="str">
        <x:v>Official Baseline</x:v>
      </x:c>
      <x:c r="C269" s="26" t="str">
        <x:v>v0.5</x:v>
      </x:c>
      <x:c r="D269" s="26" t="str">
        <x:v>v0.5</x:v>
      </x:c>
      <x:c r="E269" s="26" t="str">
        <x:v>99_Source_Markdown</x:v>
      </x:c>
      <x:c r="F269" s="26"/>
      <x:c r="G269" s="26" t="str">
        <x:v>Cartridge_And_Cloud_Localization_Plan_v0.4.md</x:v>
      </x:c>
      <x:c r="H269" s="26" t="str">
        <x:v>Markdown</x:v>
      </x:c>
      <x:c r="I269" s="26" t="str">
        <x:v>Authoring source</x:v>
      </x:c>
      <x:c r="J269" s="26" t="n">
        <x:v>1892</x:v>
      </x:c>
      <x:c r="K269" s="26" t="str">
        <x:v>01a3ddb286f975644985bc0c034eab75ef2ba4a283cd200f2e5dfd673732839f</x:v>
      </x:c>
      <x:c r="L269" s="26"/>
      <x:c r="M269" s="26" t="n">
        <x:v>1</x:v>
      </x:c>
      <x:c r="N269" s="26" t="str">
        <x:v>UNIQUE</x:v>
      </x:c>
      <x:c r="O269" s="26" t="str">
        <x:v>22</x:v>
      </x:c>
      <x:c r="P269" s="26" t="str">
        <x:v>22</x:v>
      </x:c>
      <x:c r="Q269" s="26" t="str">
        <x:v>Source equivalent — paired with published artifact</x:v>
      </x:c>
      <x:c r="R269" s="26" t="str">
        <x:v>RETAIN AS AUTHORING SOURCE / HISTORICAL EQUIVALENT</x:v>
      </x:c>
      <x:c r="S269" s="26" t="str">
        <x:v>00_Official_Baseline/v0.5/99_Source_Markdown/Cartridge_And_Cloud_Localization_Plan_v0.4.md</x:v>
      </x:c>
      <x:c r="T269" s="26" t="str">
        <x:v>Historical path preserved verbatim; hash calculated from supplied pre-regeneration project.</x:v>
      </x:c>
    </x:row>
    <x:row r="270" ht="30" customHeight="1">
      <x:c r="A270" s="26" t="str">
        <x:v>H-0266</x:v>
      </x:c>
      <x:c r="B270" s="26" t="str">
        <x:v>Official Baseline</x:v>
      </x:c>
      <x:c r="C270" s="26" t="str">
        <x:v>v0.5</x:v>
      </x:c>
      <x:c r="D270" s="26" t="str">
        <x:v>v0.5</x:v>
      </x:c>
      <x:c r="E270" s="26" t="str">
        <x:v>99_Source_Markdown</x:v>
      </x:c>
      <x:c r="F270" s="26"/>
      <x:c r="G270" s="26" t="str">
        <x:v>Cartridge_And_Cloud_Marketing_Plan_v0.4.md</x:v>
      </x:c>
      <x:c r="H270" s="26" t="str">
        <x:v>Markdown</x:v>
      </x:c>
      <x:c r="I270" s="26" t="str">
        <x:v>Authoring source</x:v>
      </x:c>
      <x:c r="J270" s="26" t="n">
        <x:v>2049</x:v>
      </x:c>
      <x:c r="K270" s="26" t="str">
        <x:v>dad726385bd8f67c059d6a77413a82accff668d5502367f7dee52b5dfbb2ac59</x:v>
      </x:c>
      <x:c r="L270" s="26"/>
      <x:c r="M270" s="26" t="n">
        <x:v>1</x:v>
      </x:c>
      <x:c r="N270" s="26" t="str">
        <x:v>UNIQUE</x:v>
      </x:c>
      <x:c r="O270" s="26" t="str">
        <x:v>28</x:v>
      </x:c>
      <x:c r="P270" s="26" t="str">
        <x:v>28</x:v>
      </x:c>
      <x:c r="Q270" s="26" t="str">
        <x:v>Source equivalent — paired with published artifact</x:v>
      </x:c>
      <x:c r="R270" s="26" t="str">
        <x:v>RETAIN AS AUTHORING SOURCE / HISTORICAL EQUIVALENT</x:v>
      </x:c>
      <x:c r="S270" s="26" t="str">
        <x:v>00_Official_Baseline/v0.5/99_Source_Markdown/Cartridge_And_Cloud_Marketing_Plan_v0.4.md</x:v>
      </x:c>
      <x:c r="T270" s="26" t="str">
        <x:v>Historical path preserved verbatim; hash calculated from supplied pre-regeneration project.</x:v>
      </x:c>
    </x:row>
    <x:row r="271" ht="30" customHeight="1">
      <x:c r="A271" s="26" t="str">
        <x:v>H-0267</x:v>
      </x:c>
      <x:c r="B271" s="26" t="str">
        <x:v>Official Baseline</x:v>
      </x:c>
      <x:c r="C271" s="26" t="str">
        <x:v>v0.5</x:v>
      </x:c>
      <x:c r="D271" s="26" t="str">
        <x:v>v0.5</x:v>
      </x:c>
      <x:c r="E271" s="26" t="str">
        <x:v>99_Source_Markdown</x:v>
      </x:c>
      <x:c r="F271" s="26"/>
      <x:c r="G271" s="26" t="str">
        <x:v>Cartridge_And_Cloud_Modelo_de_Datos_v0.4.md</x:v>
      </x:c>
      <x:c r="H271" s="26" t="str">
        <x:v>Markdown</x:v>
      </x:c>
      <x:c r="I271" s="26" t="str">
        <x:v>Authoring source</x:v>
      </x:c>
      <x:c r="J271" s="26" t="n">
        <x:v>3193</x:v>
      </x:c>
      <x:c r="K271" s="26" t="str">
        <x:v>e657c304a8f9572abfd1e8240c23860b4feb42b9b314f6384d31993f2f5a01a3</x:v>
      </x:c>
      <x:c r="L271" s="26"/>
      <x:c r="M271" s="26" t="n">
        <x:v>1</x:v>
      </x:c>
      <x:c r="N271" s="26" t="str">
        <x:v>UNIQUE</x:v>
      </x:c>
      <x:c r="O271" s="26" t="str">
        <x:v>04</x:v>
      </x:c>
      <x:c r="P271" s="26" t="str">
        <x:v>04</x:v>
      </x:c>
      <x:c r="Q271" s="26" t="str">
        <x:v>Source equivalent — paired with published artifact</x:v>
      </x:c>
      <x:c r="R271" s="26" t="str">
        <x:v>RETAIN AS AUTHORING SOURCE / HISTORICAL EQUIVALENT</x:v>
      </x:c>
      <x:c r="S271" s="26" t="str">
        <x:v>00_Official_Baseline/v0.5/99_Source_Markdown/Cartridge_And_Cloud_Modelo_de_Datos_v0.4.md</x:v>
      </x:c>
      <x:c r="T271" s="26" t="str">
        <x:v>Historical path preserved verbatim; hash calculated from supplied pre-regeneration project.</x:v>
      </x:c>
    </x:row>
    <x:row r="272" ht="30" customHeight="1">
      <x:c r="A272" s="26" t="str">
        <x:v>H-0268</x:v>
      </x:c>
      <x:c r="B272" s="26" t="str">
        <x:v>Official Baseline</x:v>
      </x:c>
      <x:c r="C272" s="26" t="str">
        <x:v>v0.5</x:v>
      </x:c>
      <x:c r="D272" s="26" t="str">
        <x:v>v0.5</x:v>
      </x:c>
      <x:c r="E272" s="26" t="str">
        <x:v>99_Source_Markdown</x:v>
      </x:c>
      <x:c r="F272" s="26"/>
      <x:c r="G272" s="26" t="str">
        <x:v>Cartridge_And_Cloud_Package_Manifest_v0.3.md</x:v>
      </x:c>
      <x:c r="H272" s="26" t="str">
        <x:v>Markdown</x:v>
      </x:c>
      <x:c r="I272" s="26" t="str">
        <x:v>Package manifest</x:v>
      </x:c>
      <x:c r="J272" s="26" t="n">
        <x:v>1783</x:v>
      </x:c>
      <x:c r="K272" s="26" t="str">
        <x:v>7ae705ca39b1e39345748c208af4274cbbe9eaf887a249e5666bceefadf9d0d2</x:v>
      </x:c>
      <x:c r="L272" s="26"/>
      <x:c r="M272" s="26" t="n">
        <x:v>1</x:v>
      </x:c>
      <x:c r="N272" s="26" t="str">
        <x:v>UNIQUE</x:v>
      </x:c>
      <x:c r="O272" s="26" t="str">
        <x:v>32</x:v>
      </x:c>
      <x:c r="P272" s="26" t="str">
        <x:v>13, 14, 15, 16, 32</x:v>
      </x:c>
      <x:c r="Q272" s="26" t="str">
        <x:v>Source equivalent — paired with published artifact</x:v>
      </x:c>
      <x:c r="R272" s="26" t="str">
        <x:v>RETAIN AS AUTHORING SOURCE / HISTORICAL EQUIVALENT</x:v>
      </x:c>
      <x:c r="S272" s="26" t="str">
        <x:v>00_Official_Baseline/v0.5/99_Source_Markdown/Cartridge_And_Cloud_Package_Manifest_v0.3.md</x:v>
      </x:c>
      <x:c r="T272" s="26" t="str">
        <x:v>Historical path preserved verbatim; hash calculated from supplied pre-regeneration project.</x:v>
      </x:c>
    </x:row>
    <x:row r="273" ht="30" customHeight="1">
      <x:c r="A273" s="26" t="str">
        <x:v>H-0269</x:v>
      </x:c>
      <x:c r="B273" s="26" t="str">
        <x:v>Official Baseline</x:v>
      </x:c>
      <x:c r="C273" s="26" t="str">
        <x:v>v0.5</x:v>
      </x:c>
      <x:c r="D273" s="26" t="str">
        <x:v>v0.5</x:v>
      </x:c>
      <x:c r="E273" s="26" t="str">
        <x:v>99_Source_Markdown</x:v>
      </x:c>
      <x:c r="F273" s="26"/>
      <x:c r="G273" s="26" t="str">
        <x:v>Cartridge_And_Cloud_Production_Roadmap_Sprint_Plan_v0.5.md</x:v>
      </x:c>
      <x:c r="H273" s="26" t="str">
        <x:v>Markdown</x:v>
      </x:c>
      <x:c r="I273" s="26" t="str">
        <x:v>Authoring source</x:v>
      </x:c>
      <x:c r="J273" s="26" t="n">
        <x:v>3654</x:v>
      </x:c>
      <x:c r="K273" s="26" t="str">
        <x:v>d0623a03b2ff75fa95ecd6bbaa5fcba0fa8faada31fc2a6b4a569caa50f0e285</x:v>
      </x:c>
      <x:c r="L273" s="26"/>
      <x:c r="M273" s="26" t="n">
        <x:v>1</x:v>
      </x:c>
      <x:c r="N273" s="26" t="str">
        <x:v>UNIQUE</x:v>
      </x:c>
      <x:c r="O273" s="26" t="str">
        <x:v>06</x:v>
      </x:c>
      <x:c r="P273" s="26" t="str">
        <x:v>06</x:v>
      </x:c>
      <x:c r="Q273" s="26" t="str">
        <x:v>Source equivalent — paired with published artifact</x:v>
      </x:c>
      <x:c r="R273" s="26" t="str">
        <x:v>RETAIN AS AUTHORING SOURCE / HISTORICAL EQUIVALENT</x:v>
      </x:c>
      <x:c r="S273" s="26" t="str">
        <x:v>00_Official_Baseline/v0.5/99_Source_Markdown/Cartridge_And_Cloud_Production_Roadmap_Sprint_Plan_v0.5.md</x:v>
      </x:c>
      <x:c r="T273" s="26" t="str">
        <x:v>Historical path preserved verbatim; hash calculated from supplied pre-regeneration project.</x:v>
      </x:c>
    </x:row>
    <x:row r="274" ht="30" customHeight="1">
      <x:c r="A274" s="26" t="str">
        <x:v>H-0270</x:v>
      </x:c>
      <x:c r="B274" s="26" t="str">
        <x:v>Official Baseline</x:v>
      </x:c>
      <x:c r="C274" s="26" t="str">
        <x:v>v0.5</x:v>
      </x:c>
      <x:c r="D274" s="26" t="str">
        <x:v>v0.5</x:v>
      </x:c>
      <x:c r="E274" s="26" t="str">
        <x:v>99_Source_Markdown</x:v>
      </x:c>
      <x:c r="F274" s="26"/>
      <x:c r="G274" s="26" t="str">
        <x:v>Cartridge_And_Cloud_Project_Binder_Indice_Maestro_v0.5.md</x:v>
      </x:c>
      <x:c r="H274" s="26" t="str">
        <x:v>Markdown</x:v>
      </x:c>
      <x:c r="I274" s="26" t="str">
        <x:v>Authoring source</x:v>
      </x:c>
      <x:c r="J274" s="26" t="n">
        <x:v>2844</x:v>
      </x:c>
      <x:c r="K274" s="26" t="str">
        <x:v>fa8494254188fa107542500dc097635c85cdc6b92152b41538cb61af7f7f4802</x:v>
      </x:c>
      <x:c r="L274" s="26"/>
      <x:c r="M274" s="26" t="n">
        <x:v>1</x:v>
      </x:c>
      <x:c r="N274" s="26" t="str">
        <x:v>UNIQUE</x:v>
      </x:c>
      <x:c r="O274" s="26" t="str">
        <x:v>14</x:v>
      </x:c>
      <x:c r="P274" s="26" t="str">
        <x:v>14</x:v>
      </x:c>
      <x:c r="Q274" s="26" t="str">
        <x:v>Source equivalent — paired with published artifact</x:v>
      </x:c>
      <x:c r="R274" s="26" t="str">
        <x:v>RETAIN AS AUTHORING SOURCE / HISTORICAL EQUIVALENT</x:v>
      </x:c>
      <x:c r="S274" s="26" t="str">
        <x:v>00_Official_Baseline/v0.5/99_Source_Markdown/Cartridge_And_Cloud_Project_Binder_Indice_Maestro_v0.5.md</x:v>
      </x:c>
      <x:c r="T274" s="26" t="str">
        <x:v>Historical path preserved verbatim; hash calculated from supplied pre-regeneration project.</x:v>
      </x:c>
    </x:row>
    <x:row r="275" ht="30" customHeight="1">
      <x:c r="A275" s="26" t="str">
        <x:v>H-0271</x:v>
      </x:c>
      <x:c r="B275" s="26" t="str">
        <x:v>Official Baseline</x:v>
      </x:c>
      <x:c r="C275" s="26" t="str">
        <x:v>v0.5</x:v>
      </x:c>
      <x:c r="D275" s="26" t="str">
        <x:v>v0.5</x:v>
      </x:c>
      <x:c r="E275" s="26" t="str">
        <x:v>99_Source_Markdown</x:v>
      </x:c>
      <x:c r="F275" s="26"/>
      <x:c r="G275" s="26" t="str">
        <x:v>Cartridge_And_Cloud_QA_Testing_Plan_v0.5.md</x:v>
      </x:c>
      <x:c r="H275" s="26" t="str">
        <x:v>Markdown</x:v>
      </x:c>
      <x:c r="I275" s="26" t="str">
        <x:v>Authoring source</x:v>
      </x:c>
      <x:c r="J275" s="26" t="n">
        <x:v>2853</x:v>
      </x:c>
      <x:c r="K275" s="26" t="str">
        <x:v>c19ab67f26aae4b44fd5c6d431fb163ddbfccefcbcc0ca68518826040b534f1c</x:v>
      </x:c>
      <x:c r="L275" s="26"/>
      <x:c r="M275" s="26" t="n">
        <x:v>1</x:v>
      </x:c>
      <x:c r="N275" s="26" t="str">
        <x:v>UNIQUE</x:v>
      </x:c>
      <x:c r="O275" s="26" t="str">
        <x:v>07</x:v>
      </x:c>
      <x:c r="P275" s="26" t="str">
        <x:v>07</x:v>
      </x:c>
      <x:c r="Q275" s="26" t="str">
        <x:v>Source equivalent — paired with published artifact</x:v>
      </x:c>
      <x:c r="R275" s="26" t="str">
        <x:v>RETAIN AS AUTHORING SOURCE / HISTORICAL EQUIVALENT</x:v>
      </x:c>
      <x:c r="S275" s="26" t="str">
        <x:v>00_Official_Baseline/v0.5/99_Source_Markdown/Cartridge_And_Cloud_QA_Testing_Plan_v0.5.md</x:v>
      </x:c>
      <x:c r="T275" s="26" t="str">
        <x:v>Historical path preserved verbatim; hash calculated from supplied pre-regeneration project.</x:v>
      </x:c>
    </x:row>
    <x:row r="276" ht="30" customHeight="1">
      <x:c r="A276" s="26" t="str">
        <x:v>H-0272</x:v>
      </x:c>
      <x:c r="B276" s="26" t="str">
        <x:v>Official Baseline</x:v>
      </x:c>
      <x:c r="C276" s="26" t="str">
        <x:v>v0.5</x:v>
      </x:c>
      <x:c r="D276" s="26" t="str">
        <x:v>v0.5</x:v>
      </x:c>
      <x:c r="E276" s="26" t="str">
        <x:v>99_Source_Markdown</x:v>
      </x:c>
      <x:c r="F276" s="26"/>
      <x:c r="G276" s="26" t="str">
        <x:v>Cartridge_And_Cloud_Steam_Publishing_Plan_v0.4.md</x:v>
      </x:c>
      <x:c r="H276" s="26" t="str">
        <x:v>Markdown</x:v>
      </x:c>
      <x:c r="I276" s="26" t="str">
        <x:v>Authoring source</x:v>
      </x:c>
      <x:c r="J276" s="26" t="n">
        <x:v>2025</x:v>
      </x:c>
      <x:c r="K276" s="26" t="str">
        <x:v>19664d4092ea89898c5bc37483a0b1aba6f473abbfa02c2794df8f2dd482058d</x:v>
      </x:c>
      <x:c r="L276" s="26"/>
      <x:c r="M276" s="26" t="n">
        <x:v>1</x:v>
      </x:c>
      <x:c r="N276" s="26" t="str">
        <x:v>UNIQUE</x:v>
      </x:c>
      <x:c r="O276" s="26" t="str">
        <x:v>24</x:v>
      </x:c>
      <x:c r="P276" s="26" t="str">
        <x:v>24</x:v>
      </x:c>
      <x:c r="Q276" s="26" t="str">
        <x:v>Source equivalent — paired with published artifact</x:v>
      </x:c>
      <x:c r="R276" s="26" t="str">
        <x:v>RETAIN AS AUTHORING SOURCE / HISTORICAL EQUIVALENT</x:v>
      </x:c>
      <x:c r="S276" s="26" t="str">
        <x:v>00_Official_Baseline/v0.5/99_Source_Markdown/Cartridge_And_Cloud_Steam_Publishing_Plan_v0.4.md</x:v>
      </x:c>
      <x:c r="T276" s="26" t="str">
        <x:v>Historical path preserved verbatim; hash calculated from supplied pre-regeneration project.</x:v>
      </x:c>
    </x:row>
    <x:row r="277" ht="30" customHeight="1">
      <x:c r="A277" s="26" t="str">
        <x:v>H-0273</x:v>
      </x:c>
      <x:c r="B277" s="26" t="str">
        <x:v>Official Baseline</x:v>
      </x:c>
      <x:c r="C277" s="26" t="str">
        <x:v>v0.5</x:v>
      </x:c>
      <x:c r="D277" s="26" t="str">
        <x:v>v0.5</x:v>
      </x:c>
      <x:c r="E277" s="26" t="str">
        <x:v>99_Source_Markdown</x:v>
      </x:c>
      <x:c r="F277" s="26"/>
      <x:c r="G277" s="26" t="str">
        <x:v>Cartridge_And_Cloud_TDD_v0.5_Technical_Design_Document.md</x:v>
      </x:c>
      <x:c r="H277" s="26" t="str">
        <x:v>Markdown</x:v>
      </x:c>
      <x:c r="I277" s="26" t="str">
        <x:v>Authoring source</x:v>
      </x:c>
      <x:c r="J277" s="26" t="n">
        <x:v>4246</x:v>
      </x:c>
      <x:c r="K277" s="26" t="str">
        <x:v>2067d16cac0aae694c69895371dca234c4daaa5258f13922844214283bd09e25</x:v>
      </x:c>
      <x:c r="L277" s="26"/>
      <x:c r="M277" s="26" t="n">
        <x:v>1</x:v>
      </x:c>
      <x:c r="N277" s="26" t="str">
        <x:v>UNIQUE</x:v>
      </x:c>
      <x:c r="O277" s="26" t="str">
        <x:v>03</x:v>
      </x:c>
      <x:c r="P277" s="26" t="str">
        <x:v>03</x:v>
      </x:c>
      <x:c r="Q277" s="26" t="str">
        <x:v>Source equivalent — paired with published artifact</x:v>
      </x:c>
      <x:c r="R277" s="26" t="str">
        <x:v>RETAIN AS AUTHORING SOURCE / HISTORICAL EQUIVALENT</x:v>
      </x:c>
      <x:c r="S277" s="26" t="str">
        <x:v>00_Official_Baseline/v0.5/99_Source_Markdown/Cartridge_And_Cloud_TDD_v0.5_Technical_Design_Document.md</x:v>
      </x:c>
      <x:c r="T277" s="26" t="str">
        <x:v>Historical path preserved verbatim; hash calculated from supplied pre-regeneration project.</x:v>
      </x:c>
    </x:row>
    <x:row r="278" ht="30" customHeight="1">
      <x:c r="A278" s="26" t="str">
        <x:v>H-0274</x:v>
      </x:c>
      <x:c r="B278" s="26" t="str">
        <x:v>Official Baseline</x:v>
      </x:c>
      <x:c r="C278" s="26" t="str">
        <x:v>v0.5</x:v>
      </x:c>
      <x:c r="D278" s="26" t="str">
        <x:v>v0.5</x:v>
      </x:c>
      <x:c r="E278" s="26" t="str">
        <x:v>99_Source_Markdown</x:v>
      </x:c>
      <x:c r="F278" s="26"/>
      <x:c r="G278" s="26" t="str">
        <x:v>Cartridge_And_Cloud_UI_Style_Guide_v0.4.md</x:v>
      </x:c>
      <x:c r="H278" s="26" t="str">
        <x:v>Markdown</x:v>
      </x:c>
      <x:c r="I278" s="26" t="str">
        <x:v>Authoring source</x:v>
      </x:c>
      <x:c r="J278" s="26" t="n">
        <x:v>2262</x:v>
      </x:c>
      <x:c r="K278" s="26" t="str">
        <x:v>8b3346d21414eb370a5e98eb7871f5083cf7bc8d4214ab5cff7ae87ff0b46a22</x:v>
      </x:c>
      <x:c r="L278" s="26"/>
      <x:c r="M278" s="26" t="n">
        <x:v>1</x:v>
      </x:c>
      <x:c r="N278" s="26" t="str">
        <x:v>UNIQUE</x:v>
      </x:c>
      <x:c r="O278" s="26" t="str">
        <x:v>19</x:v>
      </x:c>
      <x:c r="P278" s="26" t="str">
        <x:v>19</x:v>
      </x:c>
      <x:c r="Q278" s="26" t="str">
        <x:v>Source equivalent — paired with published artifact</x:v>
      </x:c>
      <x:c r="R278" s="26" t="str">
        <x:v>RETAIN AS AUTHORING SOURCE / HISTORICAL EQUIVALENT</x:v>
      </x:c>
      <x:c r="S278" s="26" t="str">
        <x:v>00_Official_Baseline/v0.5/99_Source_Markdown/Cartridge_And_Cloud_UI_Style_Guide_v0.4.md</x:v>
      </x:c>
      <x:c r="T278" s="26" t="str">
        <x:v>Historical path preserved verbatim; hash calculated from supplied pre-regeneration project.</x:v>
      </x:c>
    </x:row>
    <x:row r="279" ht="30" customHeight="1">
      <x:c r="A279" s="26" t="str">
        <x:v>H-0275</x:v>
      </x:c>
      <x:c r="B279" s="26" t="str">
        <x:v>Official Baseline</x:v>
      </x:c>
      <x:c r="C279" s="26" t="str">
        <x:v>v0.5</x:v>
      </x:c>
      <x:c r="D279" s="26" t="str">
        <x:v>v0.5</x:v>
      </x:c>
      <x:c r="E279" s="26" t="str">
        <x:v>99_Source_Markdown</x:v>
      </x:c>
      <x:c r="F279" s="26"/>
      <x:c r="G279" s="26" t="str">
        <x:v>Cartridge_And_Cloud_Unity_Project_Setup_Guide_v0.5.md</x:v>
      </x:c>
      <x:c r="H279" s="26" t="str">
        <x:v>Markdown</x:v>
      </x:c>
      <x:c r="I279" s="26" t="str">
        <x:v>Authoring source</x:v>
      </x:c>
      <x:c r="J279" s="26" t="n">
        <x:v>2491</x:v>
      </x:c>
      <x:c r="K279" s="26" t="str">
        <x:v>cb4a9ea65fc1c8b95df59019c3bf6887cf220606980d221904494dfb057cf6ca</x:v>
      </x:c>
      <x:c r="L279" s="26"/>
      <x:c r="M279" s="26" t="n">
        <x:v>1</x:v>
      </x:c>
      <x:c r="N279" s="26" t="str">
        <x:v>UNIQUE</x:v>
      </x:c>
      <x:c r="O279" s="26" t="str">
        <x:v>10</x:v>
      </x:c>
      <x:c r="P279" s="26" t="str">
        <x:v>10</x:v>
      </x:c>
      <x:c r="Q279" s="26" t="str">
        <x:v>Source equivalent — paired with published artifact</x:v>
      </x:c>
      <x:c r="R279" s="26" t="str">
        <x:v>RETAIN AS AUTHORING SOURCE / HISTORICAL EQUIVALENT</x:v>
      </x:c>
      <x:c r="S279" s="26" t="str">
        <x:v>00_Official_Baseline/v0.5/99_Source_Markdown/Cartridge_And_Cloud_Unity_Project_Setup_Guide_v0.5.md</x:v>
      </x:c>
      <x:c r="T279" s="26" t="str">
        <x:v>Historical path preserved verbatim; hash calculated from supplied pre-regeneration project.</x:v>
      </x:c>
    </x:row>
    <x:row r="280" ht="30" customHeight="1">
      <x:c r="A280" s="26" t="str">
        <x:v>H-0276</x:v>
      </x:c>
      <x:c r="B280" s="26" t="str">
        <x:v>Official Baseline</x:v>
      </x:c>
      <x:c r="C280" s="26" t="str">
        <x:v>v0.5</x:v>
      </x:c>
      <x:c r="D280" s="26" t="str">
        <x:v>v0.5</x:v>
      </x:c>
      <x:c r="E280" s="26" t="str">
        <x:v>99_Source_Markdown</x:v>
      </x:c>
      <x:c r="F280" s="26"/>
      <x:c r="G280" s="26" t="str">
        <x:v>Cartridge_And_Cloud_UX_Flow_v0.4.md</x:v>
      </x:c>
      <x:c r="H280" s="26" t="str">
        <x:v>Markdown</x:v>
      </x:c>
      <x:c r="I280" s="26" t="str">
        <x:v>Authoring source</x:v>
      </x:c>
      <x:c r="J280" s="26" t="n">
        <x:v>3023</x:v>
      </x:c>
      <x:c r="K280" s="26" t="str">
        <x:v>43143ab9e7504624ffdb4a2e9612332ee795f91ae05ea5d6448e5ce2f018bba8</x:v>
      </x:c>
      <x:c r="L280" s="26"/>
      <x:c r="M280" s="26" t="n">
        <x:v>1</x:v>
      </x:c>
      <x:c r="N280" s="26" t="str">
        <x:v>UNIQUE</x:v>
      </x:c>
      <x:c r="O280" s="26" t="str">
        <x:v>05</x:v>
      </x:c>
      <x:c r="P280" s="26" t="str">
        <x:v>05</x:v>
      </x:c>
      <x:c r="Q280" s="26" t="str">
        <x:v>Source equivalent — paired with published artifact</x:v>
      </x:c>
      <x:c r="R280" s="26" t="str">
        <x:v>RETAIN AS AUTHORING SOURCE / HISTORICAL EQUIVALENT</x:v>
      </x:c>
      <x:c r="S280" s="26" t="str">
        <x:v>00_Official_Baseline/v0.5/99_Source_Markdown/Cartridge_And_Cloud_UX_Flow_v0.4.md</x:v>
      </x:c>
      <x:c r="T280" s="26" t="str">
        <x:v>Historical path preserved verbatim; hash calculated from supplied pre-regeneration project.</x:v>
      </x:c>
    </x:row>
    <x:row r="281" ht="30" customHeight="1">
      <x:c r="A281" s="26" t="str">
        <x:v>H-0277</x:v>
      </x:c>
      <x:c r="B281" s="26" t="str">
        <x:v>Official Baseline</x:v>
      </x:c>
      <x:c r="C281" s="26" t="str">
        <x:v>v0.5</x:v>
      </x:c>
      <x:c r="D281" s="26" t="str">
        <x:v>v0.5</x:v>
      </x:c>
      <x:c r="E281" s="26" t="str">
        <x:v>99_Source_Markdown</x:v>
      </x:c>
      <x:c r="F281" s="26"/>
      <x:c r="G281" s="26" t="str">
        <x:v>Cartridge_And_Cloud_Vertical_Slice_Specification_v0.3.md</x:v>
      </x:c>
      <x:c r="H281" s="26" t="str">
        <x:v>Markdown</x:v>
      </x:c>
      <x:c r="I281" s="26" t="str">
        <x:v>Authoring source</x:v>
      </x:c>
      <x:c r="J281" s="26" t="n">
        <x:v>2813</x:v>
      </x:c>
      <x:c r="K281" s="26" t="str">
        <x:v>17213417be3b7b2b95f8e3841d09a6679eee689bb62a35335e3f318135c15e46</x:v>
      </x:c>
      <x:c r="L281" s="26"/>
      <x:c r="M281" s="26" t="n">
        <x:v>1</x:v>
      </x:c>
      <x:c r="N281" s="26" t="str">
        <x:v>UNIQUE</x:v>
      </x:c>
      <x:c r="O281" s="26" t="str">
        <x:v>02</x:v>
      </x:c>
      <x:c r="P281" s="26" t="str">
        <x:v>02</x:v>
      </x:c>
      <x:c r="Q281" s="26" t="str">
        <x:v>Source equivalent — paired with published artifact</x:v>
      </x:c>
      <x:c r="R281" s="26" t="str">
        <x:v>RETAIN AS AUTHORING SOURCE / HISTORICAL EQUIVALENT</x:v>
      </x:c>
      <x:c r="S281" s="26" t="str">
        <x:v>00_Official_Baseline/v0.5/99_Source_Markdown/Cartridge_And_Cloud_Vertical_Slice_Specification_v0.3.md</x:v>
      </x:c>
      <x:c r="T281" s="26" t="str">
        <x:v>Historical path preserved verbatim; hash calculated from supplied pre-regeneration project.</x:v>
      </x:c>
    </x:row>
    <x:row r="282" ht="30" customHeight="1">
      <x:c r="A282" s="26" t="str">
        <x:v>H-0278</x:v>
      </x:c>
      <x:c r="B282" s="26" t="str">
        <x:v>Official Baseline</x:v>
      </x:c>
      <x:c r="C282" s="26" t="str">
        <x:v>v0.5</x:v>
      </x:c>
      <x:c r="D282" s="26" t="str">
        <x:v>v0.5</x:v>
      </x:c>
      <x:c r="E282" s="26" t="str">
        <x:v>99_Source_Markdown</x:v>
      </x:c>
      <x:c r="F282" s="26"/>
      <x:c r="G282" s="26" t="str">
        <x:v>cc_pdf.css</x:v>
      </x:c>
      <x:c r="H282" s="26" t="str">
        <x:v>CSS</x:v>
      </x:c>
      <x:c r="I282" s="26" t="str">
        <x:v>Authoring source</x:v>
      </x:c>
      <x:c r="J282" s="26" t="n">
        <x:v>1616</x:v>
      </x:c>
      <x:c r="K282" s="26" t="str">
        <x:v>536f2b11a0c24e052a559a7376f714389a4f6f6f533fc40d5fdbf82054dd7a34</x:v>
      </x:c>
      <x:c r="L282" s="26"/>
      <x:c r="M282" s="26" t="n">
        <x:v>1</x:v>
      </x:c>
      <x:c r="N282" s="26" t="str">
        <x:v>UNIQUE</x:v>
      </x:c>
      <x:c r="O282" s="26"/>
      <x:c r="P282" s="26"/>
      <x:c r="Q282" s="26" t="str">
        <x:v>Source equivalent — paired with published artifact</x:v>
      </x:c>
      <x:c r="R282" s="26" t="str">
        <x:v>RETAIN AS AUTHORING SOURCE / HISTORICAL EQUIVALENT</x:v>
      </x:c>
      <x:c r="S282" s="26" t="str">
        <x:v>00_Official_Baseline/v0.5/99_Source_Markdown/cc_pdf.css</x:v>
      </x:c>
      <x:c r="T282" s="26" t="str">
        <x:v>Historical path preserved verbatim; hash calculated from supplied pre-regeneration project.</x:v>
      </x:c>
    </x:row>
    <x:row r="283" ht="30" customHeight="1">
      <x:c r="A283" s="26" t="str">
        <x:v>H-0279</x:v>
      </x:c>
      <x:c r="B283" s="26" t="str">
        <x:v>Official Baseline</x:v>
      </x:c>
      <x:c r="C283" s="26" t="str">
        <x:v>v0.5</x:v>
      </x:c>
      <x:c r="D283" s="26" t="str">
        <x:v>v0.5</x:v>
      </x:c>
      <x:c r="E283" s="26" t="str">
        <x:v>99_Source_Markdown</x:v>
      </x:c>
      <x:c r="F283" s="26"/>
      <x:c r="G283" s="26" t="str">
        <x:v>cc_style.css</x:v>
      </x:c>
      <x:c r="H283" s="26" t="str">
        <x:v>CSS</x:v>
      </x:c>
      <x:c r="I283" s="26" t="str">
        <x:v>Authoring source</x:v>
      </x:c>
      <x:c r="J283" s="26" t="n">
        <x:v>197</x:v>
      </x:c>
      <x:c r="K283" s="26" t="str">
        <x:v>67c21749d4e37c23fdef4c0916f4429f2519aa7c8f69730b6cfcabc5fac488b8</x:v>
      </x:c>
      <x:c r="L283" s="26"/>
      <x:c r="M283" s="26" t="n">
        <x:v>1</x:v>
      </x:c>
      <x:c r="N283" s="26" t="str">
        <x:v>UNIQUE</x:v>
      </x:c>
      <x:c r="O283" s="26"/>
      <x:c r="P283" s="26"/>
      <x:c r="Q283" s="26" t="str">
        <x:v>Source equivalent — paired with published artifact</x:v>
      </x:c>
      <x:c r="R283" s="26" t="str">
        <x:v>RETAIN AS AUTHORING SOURCE / HISTORICAL EQUIVALENT</x:v>
      </x:c>
      <x:c r="S283" s="26" t="str">
        <x:v>00_Official_Baseline/v0.5/99_Source_Markdown/cc_style.css</x:v>
      </x:c>
      <x:c r="T283" s="26" t="str">
        <x:v>Historical path preserved verbatim; hash calculated from supplied pre-regeneration project.</x:v>
      </x:c>
    </x:row>
    <x:row r="284" ht="30" customHeight="1">
      <x:c r="A284" s="26" t="str">
        <x:v>H-0280</x:v>
      </x:c>
      <x:c r="B284" s="26" t="str">
        <x:v>Official Baseline</x:v>
      </x:c>
      <x:c r="C284" s="26" t="str">
        <x:v>v0.5</x:v>
      </x:c>
      <x:c r="D284" s="26" t="str">
        <x:v>v0.5</x:v>
      </x:c>
      <x:c r="E284" s="26" t="str">
        <x:v>BASELINE_CHANGELOG_v0.4_to_v0.5.md</x:v>
      </x:c>
      <x:c r="F284" s="26"/>
      <x:c r="G284" s="26" t="str">
        <x:v>BASELINE_CHANGELOG_v0.4_to_v0.5.md</x:v>
      </x:c>
      <x:c r="H284" s="26" t="str">
        <x:v>Markdown</x:v>
      </x:c>
      <x:c r="I284" s="26" t="str">
        <x:v>Historical document / record</x:v>
      </x:c>
      <x:c r="J284" s="26" t="n">
        <x:v>624</x:v>
      </x:c>
      <x:c r="K284" s="26" t="str">
        <x:v>8d6ba200548c298501c95844d723d79a3337a66cf1ae15b5b9937981325884d9</x:v>
      </x:c>
      <x:c r="L284" s="26"/>
      <x:c r="M284" s="26" t="n">
        <x:v>1</x:v>
      </x:c>
      <x:c r="N284" s="26" t="str">
        <x:v>UNIQUE</x:v>
      </x:c>
      <x:c r="O284" s="26"/>
      <x:c r="P284" s="26"/>
      <x:c r="Q284" s="26" t="str">
        <x:v>Historical baseline support</x:v>
      </x:c>
      <x:c r="R284" s="26" t="str">
        <x:v>RETAIN AS SUPPORTING HISTORY</x:v>
      </x:c>
      <x:c r="S284" s="26" t="str">
        <x:v>00_Official_Baseline/v0.5/BASELINE_CHANGELOG_v0.4_to_v0.5.md</x:v>
      </x:c>
      <x:c r="T284" s="26" t="str">
        <x:v>Historical path preserved verbatim; hash calculated from supplied pre-regeneration project.</x:v>
      </x:c>
    </x:row>
    <x:row r="285" ht="30" customHeight="1">
      <x:c r="A285" s="26" t="str">
        <x:v>H-0281</x:v>
      </x:c>
      <x:c r="B285" s="26" t="str">
        <x:v>Official Baseline</x:v>
      </x:c>
      <x:c r="C285" s="26" t="str">
        <x:v>v0.5</x:v>
      </x:c>
      <x:c r="D285" s="26" t="str">
        <x:v>v0.5</x:v>
      </x:c>
      <x:c r="E285" s="26" t="str">
        <x:v>BASELINE_INTEGRITY_REPORT.md</x:v>
      </x:c>
      <x:c r="F285" s="26"/>
      <x:c r="G285" s="26" t="str">
        <x:v>BASELINE_INTEGRITY_REPORT.md</x:v>
      </x:c>
      <x:c r="H285" s="26" t="str">
        <x:v>Markdown</x:v>
      </x:c>
      <x:c r="I285" s="26" t="str">
        <x:v>Historical document / record</x:v>
      </x:c>
      <x:c r="J285" s="26" t="n">
        <x:v>585</x:v>
      </x:c>
      <x:c r="K285" s="26" t="str">
        <x:v>efe1e38cdfc54408e0a2aac6479630dee539d8d41c4422b17eed6b9dfa87fd7c</x:v>
      </x:c>
      <x:c r="L285" s="26"/>
      <x:c r="M285" s="26" t="n">
        <x:v>1</x:v>
      </x:c>
      <x:c r="N285" s="26" t="str">
        <x:v>UNIQUE</x:v>
      </x:c>
      <x:c r="O285" s="26"/>
      <x:c r="P285" s="26"/>
      <x:c r="Q285" s="26" t="str">
        <x:v>Historical baseline support</x:v>
      </x:c>
      <x:c r="R285" s="26" t="str">
        <x:v>RETAIN AS SUPPORTING HISTORY</x:v>
      </x:c>
      <x:c r="S285" s="26" t="str">
        <x:v>00_Official_Baseline/v0.5/BASELINE_INTEGRITY_REPORT.md</x:v>
      </x:c>
      <x:c r="T285" s="26" t="str">
        <x:v>Historical path preserved verbatim; hash calculated from supplied pre-regeneration project.</x:v>
      </x:c>
    </x:row>
    <x:row r="286" ht="30" customHeight="1">
      <x:c r="A286" s="26" t="str">
        <x:v>H-0282</x:v>
      </x:c>
      <x:c r="B286" s="26" t="str">
        <x:v>Official Baseline</x:v>
      </x:c>
      <x:c r="C286" s="26" t="str">
        <x:v>v0.5</x:v>
      </x:c>
      <x:c r="D286" s="26" t="str">
        <x:v>v0.5</x:v>
      </x:c>
      <x:c r="E286" s="26" t="str">
        <x:v>BASELINE_MANIFEST.csv</x:v>
      </x:c>
      <x:c r="F286" s="26"/>
      <x:c r="G286" s="26" t="str">
        <x:v>BASELINE_MANIFEST.csv</x:v>
      </x:c>
      <x:c r="H286" s="26" t="str">
        <x:v>CSV</x:v>
      </x:c>
      <x:c r="I286" s="26" t="str">
        <x:v>Tabular traceability evidence</x:v>
      </x:c>
      <x:c r="J286" s="26" t="n">
        <x:v>21914</x:v>
      </x:c>
      <x:c r="K286" s="26" t="str">
        <x:v>775d794b8a609f349a0047372613fd3a88fa4bb818e28a030c81f45ec6f36370</x:v>
      </x:c>
      <x:c r="L286" s="26"/>
      <x:c r="M286" s="26" t="n">
        <x:v>1</x:v>
      </x:c>
      <x:c r="N286" s="26" t="str">
        <x:v>UNIQUE</x:v>
      </x:c>
      <x:c r="O286" s="26"/>
      <x:c r="P286" s="26"/>
      <x:c r="Q286" s="26" t="str">
        <x:v>Historical baseline support</x:v>
      </x:c>
      <x:c r="R286" s="26" t="str">
        <x:v>RETAIN AS SUPPORTING HISTORY</x:v>
      </x:c>
      <x:c r="S286" s="26" t="str">
        <x:v>00_Official_Baseline/v0.5/BASELINE_MANIFEST.csv</x:v>
      </x:c>
      <x:c r="T286" s="26" t="str">
        <x:v>Historical path preserved verbatim; hash calculated from supplied pre-regeneration project.</x:v>
      </x:c>
    </x:row>
    <x:row r="287" ht="30" customHeight="1">
      <x:c r="A287" s="26" t="str">
        <x:v>H-0283</x:v>
      </x:c>
      <x:c r="B287" s="26" t="str">
        <x:v>Official Baseline</x:v>
      </x:c>
      <x:c r="C287" s="26" t="str">
        <x:v>v0.5</x:v>
      </x:c>
      <x:c r="D287" s="26" t="str">
        <x:v>v0.5</x:v>
      </x:c>
      <x:c r="E287" s="26" t="str">
        <x:v>CHECKSUMS_SHA256.txt</x:v>
      </x:c>
      <x:c r="F287" s="26"/>
      <x:c r="G287" s="26" t="str">
        <x:v>CHECKSUMS_SHA256.txt</x:v>
      </x:c>
      <x:c r="H287" s="26" t="str">
        <x:v>Text</x:v>
      </x:c>
      <x:c r="I287" s="26" t="str">
        <x:v>Checksum register</x:v>
      </x:c>
      <x:c r="J287" s="26" t="n">
        <x:v>20623</x:v>
      </x:c>
      <x:c r="K287" s="26" t="str">
        <x:v>14fd238f4a1c84ac2414fb856bb69b84b18f008e1c23de6e08b6122e9e822b46</x:v>
      </x:c>
      <x:c r="L287" s="26"/>
      <x:c r="M287" s="26" t="n">
        <x:v>1</x:v>
      </x:c>
      <x:c r="N287" s="26" t="str">
        <x:v>UNIQUE</x:v>
      </x:c>
      <x:c r="O287" s="26" t="str">
        <x:v>32</x:v>
      </x:c>
      <x:c r="P287" s="26" t="str">
        <x:v>13, 14, 15, 16, 32</x:v>
      </x:c>
      <x:c r="Q287" s="26" t="str">
        <x:v>Published historical baseline</x:v>
      </x:c>
      <x:c r="R287" s="26" t="str">
        <x:v>SUPERSEDED AS AUTHORITY — RETAIN AS IMMUTABLE HISTORY</x:v>
      </x:c>
      <x:c r="S287" s="26" t="str">
        <x:v>00_Official_Baseline/v0.5/CHECKSUMS_SHA256.txt</x:v>
      </x:c>
      <x:c r="T287" s="26" t="str">
        <x:v>Historical path preserved verbatim; hash calculated from supplied pre-regeneration project.</x:v>
      </x:c>
    </x:row>
    <x:row r="288" ht="30" customHeight="1">
      <x:c r="A288" s="26" t="str">
        <x:v>H-0284</x:v>
      </x:c>
      <x:c r="B288" s="26" t="str">
        <x:v>Official Baseline</x:v>
      </x:c>
      <x:c r="C288" s="26" t="str">
        <x:v>v0.5</x:v>
      </x:c>
      <x:c r="D288" s="26" t="str">
        <x:v>v0.5</x:v>
      </x:c>
      <x:c r="E288" s="26" t="str">
        <x:v>CURRENT_PROJECT_HANDOFF.md</x:v>
      </x:c>
      <x:c r="F288" s="26"/>
      <x:c r="G288" s="26" t="str">
        <x:v>CURRENT_PROJECT_HANDOFF.md</x:v>
      </x:c>
      <x:c r="H288" s="26" t="str">
        <x:v>Markdown</x:v>
      </x:c>
      <x:c r="I288" s="26" t="str">
        <x:v>Handoff record</x:v>
      </x:c>
      <x:c r="J288" s="26" t="n">
        <x:v>2275</x:v>
      </x:c>
      <x:c r="K288" s="26" t="str">
        <x:v>9c251d0f3c14584f5da35a50ab3a5b62564e6f1f656d903fa2590eda74e2e396</x:v>
      </x:c>
      <x:c r="L288" s="26" t="str">
        <x:v>DG-060</x:v>
      </x:c>
      <x:c r="M288" s="26" t="n">
        <x:v>2</x:v>
      </x:c>
      <x:c r="N288" s="26" t="str">
        <x:v>IDENTICAL COPY</x:v>
      </x:c>
      <x:c r="O288" s="26" t="str">
        <x:v>34</x:v>
      </x:c>
      <x:c r="P288" s="26" t="str">
        <x:v>14, 15, 34</x:v>
      </x:c>
      <x:c r="Q288" s="26" t="str">
        <x:v>Historical baseline support</x:v>
      </x:c>
      <x:c r="R288" s="26" t="str">
        <x:v>RETAIN AS SUPPORTING HISTORY</x:v>
      </x:c>
      <x:c r="S288" s="26" t="str">
        <x:v>00_Official_Baseline/v0.5/CURRENT_PROJECT_HANDOFF.md</x:v>
      </x:c>
      <x:c r="T288" s="26" t="str">
        <x:v>Historical path preserved verbatim; hash calculated from supplied pre-regeneration project.</x:v>
      </x:c>
    </x:row>
    <x:row r="289" ht="30" customHeight="1">
      <x:c r="A289" s="26" t="str">
        <x:v>H-0285</x:v>
      </x:c>
      <x:c r="B289" s="26" t="str">
        <x:v>Official Baseline</x:v>
      </x:c>
      <x:c r="C289" s="26" t="str">
        <x:v>v0.5</x:v>
      </x:c>
      <x:c r="D289" s="26" t="str">
        <x:v>v0.5</x:v>
      </x:c>
      <x:c r="E289" s="26" t="str">
        <x:v>DOCUMENT_LIFECYCLE_POLICY.md</x:v>
      </x:c>
      <x:c r="F289" s="26"/>
      <x:c r="G289" s="26" t="str">
        <x:v>DOCUMENT_LIFECYCLE_POLICY.md</x:v>
      </x:c>
      <x:c r="H289" s="26" t="str">
        <x:v>Markdown</x:v>
      </x:c>
      <x:c r="I289" s="26" t="str">
        <x:v>Historical document / record</x:v>
      </x:c>
      <x:c r="J289" s="26" t="n">
        <x:v>309</x:v>
      </x:c>
      <x:c r="K289" s="26" t="str">
        <x:v>840f727bf9425d743103ba2048e16c458b378fcd0951fbc44bd1eedb4792a98a</x:v>
      </x:c>
      <x:c r="L289" s="26"/>
      <x:c r="M289" s="26" t="n">
        <x:v>1</x:v>
      </x:c>
      <x:c r="N289" s="26" t="str">
        <x:v>UNIQUE</x:v>
      </x:c>
      <x:c r="O289" s="26"/>
      <x:c r="P289" s="26"/>
      <x:c r="Q289" s="26" t="str">
        <x:v>Historical baseline support</x:v>
      </x:c>
      <x:c r="R289" s="26" t="str">
        <x:v>RETAIN AS SUPPORTING HISTORY</x:v>
      </x:c>
      <x:c r="S289" s="26" t="str">
        <x:v>00_Official_Baseline/v0.5/DOCUMENT_LIFECYCLE_POLICY.md</x:v>
      </x:c>
      <x:c r="T289" s="26" t="str">
        <x:v>Historical path preserved verbatim; hash calculated from supplied pre-regeneration project.</x:v>
      </x:c>
    </x:row>
    <x:row r="290" ht="30" customHeight="1">
      <x:c r="A290" s="26" t="str">
        <x:v>H-0286</x:v>
      </x:c>
      <x:c r="B290" s="26" t="str">
        <x:v>Official Baseline</x:v>
      </x:c>
      <x:c r="C290" s="26" t="str">
        <x:v>v0.5</x:v>
      </x:c>
      <x:c r="D290" s="26" t="str">
        <x:v>v0.5</x:v>
      </x:c>
      <x:c r="E290" s="26" t="str">
        <x:v>DOCUMENTATION_VALIDATION_REPORT.md</x:v>
      </x:c>
      <x:c r="F290" s="26"/>
      <x:c r="G290" s="26" t="str">
        <x:v>DOCUMENTATION_VALIDATION_REPORT.md</x:v>
      </x:c>
      <x:c r="H290" s="26" t="str">
        <x:v>Markdown</x:v>
      </x:c>
      <x:c r="I290" s="26" t="str">
        <x:v>Validation report</x:v>
      </x:c>
      <x:c r="J290" s="26" t="n">
        <x:v>862</x:v>
      </x:c>
      <x:c r="K290" s="26" t="str">
        <x:v>b608e9caaaec26accc854775997781e2c88f32385160430c8ae5092fbe0ae0a8</x:v>
      </x:c>
      <x:c r="L290" s="26"/>
      <x:c r="M290" s="26" t="n">
        <x:v>1</x:v>
      </x:c>
      <x:c r="N290" s="26" t="str">
        <x:v>UNIQUE</x:v>
      </x:c>
      <x:c r="O290" s="26" t="str">
        <x:v>16</x:v>
      </x:c>
      <x:c r="P290" s="26" t="str">
        <x:v>16</x:v>
      </x:c>
      <x:c r="Q290" s="26" t="str">
        <x:v>Published historical baseline</x:v>
      </x:c>
      <x:c r="R290" s="26" t="str">
        <x:v>SUPERSEDED AS AUTHORITY — RETAIN AS IMMUTABLE HISTORY</x:v>
      </x:c>
      <x:c r="S290" s="26" t="str">
        <x:v>00_Official_Baseline/v0.5/DOCUMENTATION_VALIDATION_REPORT.md</x:v>
      </x:c>
      <x:c r="T290" s="26" t="str">
        <x:v>Historical path preserved verbatim; hash calculated from supplied pre-regeneration project.</x:v>
      </x:c>
    </x:row>
    <x:row r="291" ht="30" customHeight="1">
      <x:c r="A291" s="26" t="str">
        <x:v>H-0287</x:v>
      </x:c>
      <x:c r="B291" s="26" t="str">
        <x:v>Official Baseline</x:v>
      </x:c>
      <x:c r="C291" s="26" t="str">
        <x:v>v0.5</x:v>
      </x:c>
      <x:c r="D291" s="26" t="str">
        <x:v>v0.5</x:v>
      </x:c>
      <x:c r="E291" s="26" t="str">
        <x:v>MIGRATION_SUMMARY.md</x:v>
      </x:c>
      <x:c r="F291" s="26"/>
      <x:c r="G291" s="26" t="str">
        <x:v>MIGRATION_SUMMARY.md</x:v>
      </x:c>
      <x:c r="H291" s="26" t="str">
        <x:v>Markdown</x:v>
      </x:c>
      <x:c r="I291" s="26" t="str">
        <x:v>Migration record</x:v>
      </x:c>
      <x:c r="J291" s="26" t="n">
        <x:v>243</x:v>
      </x:c>
      <x:c r="K291" s="26" t="str">
        <x:v>7dcfcc5f92c1e3f1960661e9c9996c4a7a9e18e6d2d8f2977befa991b61269c7</x:v>
      </x:c>
      <x:c r="L291" s="26"/>
      <x:c r="M291" s="26" t="n">
        <x:v>1</x:v>
      </x:c>
      <x:c r="N291" s="26" t="str">
        <x:v>UNIQUE</x:v>
      </x:c>
      <x:c r="O291" s="26" t="str">
        <x:v>32</x:v>
      </x:c>
      <x:c r="P291" s="26" t="str">
        <x:v>13, 14, 15, 16, 32</x:v>
      </x:c>
      <x:c r="Q291" s="26" t="str">
        <x:v>Published historical baseline</x:v>
      </x:c>
      <x:c r="R291" s="26" t="str">
        <x:v>SUPERSEDED AS AUTHORITY — RETAIN AS IMMUTABLE HISTORY</x:v>
      </x:c>
      <x:c r="S291" s="26" t="str">
        <x:v>00_Official_Baseline/v0.5/MIGRATION_SUMMARY.md</x:v>
      </x:c>
      <x:c r="T291" s="26" t="str">
        <x:v>Historical path preserved verbatim; hash calculated from supplied pre-regeneration project.</x:v>
      </x:c>
    </x:row>
    <x:row r="292" ht="30" customHeight="1">
      <x:c r="A292" s="26" t="str">
        <x:v>H-0288</x:v>
      </x:c>
      <x:c r="B292" s="26" t="str">
        <x:v>Official Baseline</x:v>
      </x:c>
      <x:c r="C292" s="26" t="str">
        <x:v>v0.5</x:v>
      </x:c>
      <x:c r="D292" s="26" t="str">
        <x:v>v0.5</x:v>
      </x:c>
      <x:c r="E292" s="26" t="str">
        <x:v>PACKAGE_MANIFEST.md</x:v>
      </x:c>
      <x:c r="F292" s="26"/>
      <x:c r="G292" s="26" t="str">
        <x:v>PACKAGE_MANIFEST.md</x:v>
      </x:c>
      <x:c r="H292" s="26" t="str">
        <x:v>Markdown</x:v>
      </x:c>
      <x:c r="I292" s="26" t="str">
        <x:v>Package manifest</x:v>
      </x:c>
      <x:c r="J292" s="26" t="n">
        <x:v>814</x:v>
      </x:c>
      <x:c r="K292" s="26" t="str">
        <x:v>8bb540cf6f6eb6e6f079cf55786ab3b53f4ec042bb1dd01147edb03222f306c5</x:v>
      </x:c>
      <x:c r="L292" s="26"/>
      <x:c r="M292" s="26" t="n">
        <x:v>1</x:v>
      </x:c>
      <x:c r="N292" s="26" t="str">
        <x:v>UNIQUE</x:v>
      </x:c>
      <x:c r="O292" s="26" t="str">
        <x:v>32</x:v>
      </x:c>
      <x:c r="P292" s="26" t="str">
        <x:v>13, 14, 15, 16, 32</x:v>
      </x:c>
      <x:c r="Q292" s="26" t="str">
        <x:v>Published historical baseline</x:v>
      </x:c>
      <x:c r="R292" s="26" t="str">
        <x:v>SUPERSEDED AS AUTHORITY — RETAIN AS IMMUTABLE HISTORY</x:v>
      </x:c>
      <x:c r="S292" s="26" t="str">
        <x:v>00_Official_Baseline/v0.5/PACKAGE_MANIFEST.md</x:v>
      </x:c>
      <x:c r="T292" s="26" t="str">
        <x:v>Historical path preserved verbatim; hash calculated from supplied pre-regeneration project.</x:v>
      </x:c>
    </x:row>
    <x:row r="293" ht="30" customHeight="1">
      <x:c r="A293" s="26" t="str">
        <x:v>H-0289</x:v>
      </x:c>
      <x:c r="B293" s="26" t="str">
        <x:v>Official Baseline</x:v>
      </x:c>
      <x:c r="C293" s="26" t="str">
        <x:v>v0.5</x:v>
      </x:c>
      <x:c r="D293" s="26" t="str">
        <x:v>v0.5</x:v>
      </x:c>
      <x:c r="E293" s="26" t="str">
        <x:v>PDF_VALIDATION_REPORT.md</x:v>
      </x:c>
      <x:c r="F293" s="26"/>
      <x:c r="G293" s="26" t="str">
        <x:v>PDF_VALIDATION_REPORT.md</x:v>
      </x:c>
      <x:c r="H293" s="26" t="str">
        <x:v>Markdown</x:v>
      </x:c>
      <x:c r="I293" s="26" t="str">
        <x:v>Validation report</x:v>
      </x:c>
      <x:c r="J293" s="26" t="n">
        <x:v>2614</x:v>
      </x:c>
      <x:c r="K293" s="26" t="str">
        <x:v>c87154f12568ab9fd42365b3d59de5a41944370240380aea1058870ee3004ff5</x:v>
      </x:c>
      <x:c r="L293" s="26"/>
      <x:c r="M293" s="26" t="n">
        <x:v>1</x:v>
      </x:c>
      <x:c r="N293" s="26" t="str">
        <x:v>UNIQUE</x:v>
      </x:c>
      <x:c r="O293" s="26"/>
      <x:c r="P293" s="26"/>
      <x:c r="Q293" s="26" t="str">
        <x:v>Historical baseline support</x:v>
      </x:c>
      <x:c r="R293" s="26" t="str">
        <x:v>RETAIN AS SUPPORTING HISTORY</x:v>
      </x:c>
      <x:c r="S293" s="26" t="str">
        <x:v>00_Official_Baseline/v0.5/PDF_VALIDATION_REPORT.md</x:v>
      </x:c>
      <x:c r="T293" s="26" t="str">
        <x:v>Historical path preserved verbatim; hash calculated from supplied pre-regeneration project.</x:v>
      </x:c>
    </x:row>
    <x:row r="294" ht="30" customHeight="1">
      <x:c r="A294" s="26" t="str">
        <x:v>H-0290</x:v>
      </x:c>
      <x:c r="B294" s="26" t="str">
        <x:v>Official Baseline</x:v>
      </x:c>
      <x:c r="C294" s="26" t="str">
        <x:v>v0.5</x:v>
      </x:c>
      <x:c r="D294" s="26" t="str">
        <x:v>v0.5</x:v>
      </x:c>
      <x:c r="E294" s="26" t="str">
        <x:v>README.en.md</x:v>
      </x:c>
      <x:c r="F294" s="26"/>
      <x:c r="G294" s="26" t="str">
        <x:v>README.en.md</x:v>
      </x:c>
      <x:c r="H294" s="26" t="str">
        <x:v>Markdown</x:v>
      </x:c>
      <x:c r="I294" s="26" t="str">
        <x:v>README / navigation</x:v>
      </x:c>
      <x:c r="J294" s="26" t="n">
        <x:v>143</x:v>
      </x:c>
      <x:c r="K294" s="26" t="str">
        <x:v>4dc27a1de6f10067695431be262b50332b621f9cf09891d1b02e136ef1d634f6</x:v>
      </x:c>
      <x:c r="L294" s="26"/>
      <x:c r="M294" s="26" t="n">
        <x:v>1</x:v>
      </x:c>
      <x:c r="N294" s="26" t="str">
        <x:v>UNIQUE</x:v>
      </x:c>
      <x:c r="O294" s="26" t="str">
        <x:v>15</x:v>
      </x:c>
      <x:c r="P294" s="26" t="str">
        <x:v>15</x:v>
      </x:c>
      <x:c r="Q294" s="26" t="str">
        <x:v>Published historical baseline</x:v>
      </x:c>
      <x:c r="R294" s="26" t="str">
        <x:v>SUPERSEDED AS AUTHORITY — RETAIN AS IMMUTABLE HISTORY</x:v>
      </x:c>
      <x:c r="S294" s="26" t="str">
        <x:v>00_Official_Baseline/v0.5/README.en.md</x:v>
      </x:c>
      <x:c r="T294" s="26" t="str">
        <x:v>Historical path preserved verbatim; hash calculated from supplied pre-regeneration project.</x:v>
      </x:c>
    </x:row>
    <x:row r="295" ht="30" customHeight="1">
      <x:c r="A295" s="26" t="str">
        <x:v>H-0291</x:v>
      </x:c>
      <x:c r="B295" s="26" t="str">
        <x:v>Official Baseline</x:v>
      </x:c>
      <x:c r="C295" s="26" t="str">
        <x:v>v0.5</x:v>
      </x:c>
      <x:c r="D295" s="26" t="str">
        <x:v>v0.5</x:v>
      </x:c>
      <x:c r="E295" s="26" t="str">
        <x:v>README.md</x:v>
      </x:c>
      <x:c r="F295" s="26"/>
      <x:c r="G295" s="26" t="str">
        <x:v>README.md</x:v>
      </x:c>
      <x:c r="H295" s="26" t="str">
        <x:v>Markdown</x:v>
      </x:c>
      <x:c r="I295" s="26" t="str">
        <x:v>README / navigation</x:v>
      </x:c>
      <x:c r="J295" s="26" t="n">
        <x:v>780</x:v>
      </x:c>
      <x:c r="K295" s="26" t="str">
        <x:v>083a4ce23e27a2551535bff94edd4af1b95bb0d025d11b859bd8ba1b32b75784</x:v>
      </x:c>
      <x:c r="L295" s="26"/>
      <x:c r="M295" s="26" t="n">
        <x:v>1</x:v>
      </x:c>
      <x:c r="N295" s="26" t="str">
        <x:v>UNIQUE</x:v>
      </x:c>
      <x:c r="O295" s="26" t="str">
        <x:v>15</x:v>
      </x:c>
      <x:c r="P295" s="26" t="str">
        <x:v>15</x:v>
      </x:c>
      <x:c r="Q295" s="26" t="str">
        <x:v>Published historical baseline</x:v>
      </x:c>
      <x:c r="R295" s="26" t="str">
        <x:v>SUPERSEDED AS AUTHORITY — RETAIN AS IMMUTABLE HISTORY</x:v>
      </x:c>
      <x:c r="S295" s="26" t="str">
        <x:v>00_Official_Baseline/v0.5/README.md</x:v>
      </x:c>
      <x:c r="T295" s="26" t="str">
        <x:v>Historical path preserved verbatim; hash calculated from supplied pre-regeneration project.</x:v>
      </x:c>
    </x:row>
    <x:row r="296" ht="30" customHeight="1">
      <x:c r="A296" s="26" t="str">
        <x:v>H-0292</x:v>
      </x:c>
      <x:c r="B296" s="26" t="str">
        <x:v>Official Baseline</x:v>
      </x:c>
      <x:c r="C296" s="26" t="str">
        <x:v>v0.5</x:v>
      </x:c>
      <x:c r="D296" s="26" t="str">
        <x:v>v0.5</x:v>
      </x:c>
      <x:c r="E296" s="26" t="str">
        <x:v>SPRINTS_0_5_DOCUMENT_IMPACT_MATRIX.md</x:v>
      </x:c>
      <x:c r="F296" s="26"/>
      <x:c r="G296" s="26" t="str">
        <x:v>SPRINTS_0_5_DOCUMENT_IMPACT_MATRIX.md</x:v>
      </x:c>
      <x:c r="H296" s="26" t="str">
        <x:v>Markdown</x:v>
      </x:c>
      <x:c r="I296" s="26" t="str">
        <x:v>Historical document / record</x:v>
      </x:c>
      <x:c r="J296" s="26" t="n">
        <x:v>611</x:v>
      </x:c>
      <x:c r="K296" s="26" t="str">
        <x:v>3ed048afa596e014a886bd5380026a63bb8915357e5bc06b9ff5dd771d8b6f8b</x:v>
      </x:c>
      <x:c r="L296" s="26"/>
      <x:c r="M296" s="26" t="n">
        <x:v>1</x:v>
      </x:c>
      <x:c r="N296" s="26" t="str">
        <x:v>UNIQUE</x:v>
      </x:c>
      <x:c r="O296" s="26"/>
      <x:c r="P296" s="26"/>
      <x:c r="Q296" s="26" t="str">
        <x:v>Historical baseline support</x:v>
      </x:c>
      <x:c r="R296" s="26" t="str">
        <x:v>RETAIN AS SUPPORTING HISTORY</x:v>
      </x:c>
      <x:c r="S296" s="26" t="str">
        <x:v>00_Official_Baseline/v0.5/SPRINTS_0_5_DOCUMENT_IMPACT_MATRIX.md</x:v>
      </x:c>
      <x:c r="T296" s="26" t="str">
        <x:v>Historical path preserved verbatim; hash calculated from supplied pre-regeneration project.</x:v>
      </x:c>
    </x:row>
    <x:row r="297" ht="30" customHeight="1">
      <x:c r="A297" s="26" t="str">
        <x:v>H-0293</x:v>
      </x:c>
      <x:c r="B297" s="26" t="str">
        <x:v>Official Baseline</x:v>
      </x:c>
      <x:c r="C297" s="26" t="str">
        <x:v>v0.6</x:v>
      </x:c>
      <x:c r="D297" s="26" t="str">
        <x:v>v0.6</x:v>
      </x:c>
      <x:c r="E297" s="26" t="str">
        <x:v>00_Project_Governance</x:v>
      </x:c>
      <x:c r="F297" s="26"/>
      <x:c r="G297" s="26" t="str">
        <x:v>00_Cartridge_And_Cloud_Guide_v0.6.pdf</x:v>
      </x:c>
      <x:c r="H297" s="26" t="str">
        <x:v>PDF</x:v>
      </x:c>
      <x:c r="I297" s="26" t="str">
        <x:v>Published baseline rendering</x:v>
      </x:c>
      <x:c r="J297" s="26" t="n">
        <x:v>53846</x:v>
      </x:c>
      <x:c r="K297" s="26" t="str">
        <x:v>62da82c424e2544d77c40b8bcca4226fcd1173eaee00bed0834b1f031304b27f</x:v>
      </x:c>
      <x:c r="L297" s="26"/>
      <x:c r="M297" s="26" t="n">
        <x:v>1</x:v>
      </x:c>
      <x:c r="N297" s="26" t="str">
        <x:v>UNIQUE</x:v>
      </x:c>
      <x:c r="O297" s="26" t="str">
        <x:v>15</x:v>
      </x:c>
      <x:c r="P297" s="26" t="str">
        <x:v>15</x:v>
      </x:c>
      <x:c r="Q297" s="26" t="str">
        <x:v>Published historical baseline</x:v>
      </x:c>
      <x:c r="R297" s="26" t="str">
        <x:v>SUPERSEDED AS AUTHORITY — RETAIN AS IMMUTABLE HISTORY</x:v>
      </x:c>
      <x:c r="S297" s="26" t="str">
        <x:v>00_Official_Baseline/v0.6/00_Project_Governance/00_Cartridge_And_Cloud_Guide_v0.6.pdf</x:v>
      </x:c>
      <x:c r="T297" s="26" t="str">
        <x:v>Historical path preserved verbatim; hash calculated from supplied pre-regeneration project.</x:v>
      </x:c>
    </x:row>
    <x:row r="298" ht="30" customHeight="1">
      <x:c r="A298" s="26" t="str">
        <x:v>H-0294</x:v>
      </x:c>
      <x:c r="B298" s="26" t="str">
        <x:v>Official Baseline</x:v>
      </x:c>
      <x:c r="C298" s="26" t="str">
        <x:v>v0.6</x:v>
      </x:c>
      <x:c r="D298" s="26" t="str">
        <x:v>v0.6</x:v>
      </x:c>
      <x:c r="E298" s="26" t="str">
        <x:v>00_Project_Governance</x:v>
      </x:c>
      <x:c r="F298" s="26"/>
      <x:c r="G298" s="26" t="str">
        <x:v>Cartridge_And_Cloud_Document_Migration_Plan_v0.3.pdf</x:v>
      </x:c>
      <x:c r="H298" s="26" t="str">
        <x:v>PDF</x:v>
      </x:c>
      <x:c r="I298" s="26" t="str">
        <x:v>Migration record</x:v>
      </x:c>
      <x:c r="J298" s="26" t="n">
        <x:v>36820</x:v>
      </x:c>
      <x:c r="K298" s="26" t="str">
        <x:v>ec3fd62d6af2a6b049db86df7dfe1269aaec60f150b4010ea77f4c78513a6197</x:v>
      </x:c>
      <x:c r="L298" s="26"/>
      <x:c r="M298" s="26" t="n">
        <x:v>1</x:v>
      </x:c>
      <x:c r="N298" s="26" t="str">
        <x:v>UNIQUE</x:v>
      </x:c>
      <x:c r="O298" s="26" t="str">
        <x:v>32</x:v>
      </x:c>
      <x:c r="P298" s="26" t="str">
        <x:v>13, 14, 15, 16, 32</x:v>
      </x:c>
      <x:c r="Q298" s="26" t="str">
        <x:v>Published historical baseline</x:v>
      </x:c>
      <x:c r="R298" s="26" t="str">
        <x:v>SUPERSEDED AS AUTHORITY — RETAIN AS IMMUTABLE HISTORY</x:v>
      </x:c>
      <x:c r="S298" s="26" t="str">
        <x:v>00_Official_Baseline/v0.6/00_Project_Governance/Cartridge_And_Cloud_Document_Migration_Plan_v0.3.pdf</x:v>
      </x:c>
      <x:c r="T298" s="26" t="str">
        <x:v>Historical path preserved verbatim; hash calculated from supplied pre-regeneration project.</x:v>
      </x:c>
    </x:row>
    <x:row r="299" ht="30" customHeight="1">
      <x:c r="A299" s="26" t="str">
        <x:v>H-0295</x:v>
      </x:c>
      <x:c r="B299" s="26" t="str">
        <x:v>Official Baseline</x:v>
      </x:c>
      <x:c r="C299" s="26" t="str">
        <x:v>v0.6</x:v>
      </x:c>
      <x:c r="D299" s="26" t="str">
        <x:v>v0.6</x:v>
      </x:c>
      <x:c r="E299" s="26" t="str">
        <x:v>00_Project_Governance</x:v>
      </x:c>
      <x:c r="F299" s="26"/>
      <x:c r="G299" s="26" t="str">
        <x:v>Cartridge_And_Cloud_Documentation_Validation_Report_v0.4.pdf</x:v>
      </x:c>
      <x:c r="H299" s="26" t="str">
        <x:v>PDF</x:v>
      </x:c>
      <x:c r="I299" s="26" t="str">
        <x:v>Validation report</x:v>
      </x:c>
      <x:c r="J299" s="26" t="n">
        <x:v>31493</x:v>
      </x:c>
      <x:c r="K299" s="26" t="str">
        <x:v>5a65390d74b595633ab09e1e3f050b09a219c76bd0cbcb22b3f1b92224536ced</x:v>
      </x:c>
      <x:c r="L299" s="26"/>
      <x:c r="M299" s="26" t="n">
        <x:v>1</x:v>
      </x:c>
      <x:c r="N299" s="26" t="str">
        <x:v>UNIQUE</x:v>
      </x:c>
      <x:c r="O299" s="26" t="str">
        <x:v>16</x:v>
      </x:c>
      <x:c r="P299" s="26" t="str">
        <x:v>16</x:v>
      </x:c>
      <x:c r="Q299" s="26" t="str">
        <x:v>Published historical baseline</x:v>
      </x:c>
      <x:c r="R299" s="26" t="str">
        <x:v>SUPERSEDED AS AUTHORITY — RETAIN AS IMMUTABLE HISTORY</x:v>
      </x:c>
      <x:c r="S299" s="26" t="str">
        <x:v>00_Official_Baseline/v0.6/00_Project_Governance/Cartridge_And_Cloud_Documentation_Validation_Report_v0.4.pdf</x:v>
      </x:c>
      <x:c r="T299" s="26" t="str">
        <x:v>Historical path preserved verbatim; hash calculated from supplied pre-regeneration project.</x:v>
      </x:c>
    </x:row>
    <x:row r="300" ht="30" customHeight="1">
      <x:c r="A300" s="26" t="str">
        <x:v>H-0296</x:v>
      </x:c>
      <x:c r="B300" s="26" t="str">
        <x:v>Official Baseline</x:v>
      </x:c>
      <x:c r="C300" s="26" t="str">
        <x:v>v0.6</x:v>
      </x:c>
      <x:c r="D300" s="26" t="str">
        <x:v>v0.6</x:v>
      </x:c>
      <x:c r="E300" s="26" t="str">
        <x:v>00_Project_Governance</x:v>
      </x:c>
      <x:c r="F300" s="26"/>
      <x:c r="G300" s="26" t="str">
        <x:v>Cartridge_And_Cloud_Enfoque_v0.8.pdf</x:v>
      </x:c>
      <x:c r="H300" s="26" t="str">
        <x:v>PDF</x:v>
      </x:c>
      <x:c r="I300" s="26" t="str">
        <x:v>Published baseline rendering</x:v>
      </x:c>
      <x:c r="J300" s="26" t="n">
        <x:v>38515</x:v>
      </x:c>
      <x:c r="K300" s="26" t="str">
        <x:v>ee80fd31e71e506c52780363b771af767b9d36ddcd4b645b3b1eb11e9d26945b</x:v>
      </x:c>
      <x:c r="L300" s="26"/>
      <x:c r="M300" s="26" t="n">
        <x:v>1</x:v>
      </x:c>
      <x:c r="N300" s="26" t="str">
        <x:v>UNIQUE</x:v>
      </x:c>
      <x:c r="O300" s="26" t="str">
        <x:v>00</x:v>
      </x:c>
      <x:c r="P300" s="26" t="str">
        <x:v>00</x:v>
      </x:c>
      <x:c r="Q300" s="26" t="str">
        <x:v>Published historical baseline</x:v>
      </x:c>
      <x:c r="R300" s="26" t="str">
        <x:v>SUPERSEDED AS AUTHORITY — RETAIN AS IMMUTABLE HISTORY</x:v>
      </x:c>
      <x:c r="S300" s="26" t="str">
        <x:v>00_Official_Baseline/v0.6/00_Project_Governance/Cartridge_And_Cloud_Enfoque_v0.8.pdf</x:v>
      </x:c>
      <x:c r="T300" s="26" t="str">
        <x:v>Historical path preserved verbatim; hash calculated from supplied pre-regeneration project.</x:v>
      </x:c>
    </x:row>
    <x:row r="301" ht="30" customHeight="1">
      <x:c r="A301" s="26" t="str">
        <x:v>H-0297</x:v>
      </x:c>
      <x:c r="B301" s="26" t="str">
        <x:v>Official Baseline</x:v>
      </x:c>
      <x:c r="C301" s="26" t="str">
        <x:v>v0.6</x:v>
      </x:c>
      <x:c r="D301" s="26" t="str">
        <x:v>v0.6</x:v>
      </x:c>
      <x:c r="E301" s="26" t="str">
        <x:v>00_Project_Governance</x:v>
      </x:c>
      <x:c r="F301" s="26"/>
      <x:c r="G301" s="26" t="str">
        <x:v>Cartridge_And_Cloud_Package_Manifest_v0.4.pdf</x:v>
      </x:c>
      <x:c r="H301" s="26" t="str">
        <x:v>PDF</x:v>
      </x:c>
      <x:c r="I301" s="26" t="str">
        <x:v>Package manifest</x:v>
      </x:c>
      <x:c r="J301" s="26" t="n">
        <x:v>31216</x:v>
      </x:c>
      <x:c r="K301" s="26" t="str">
        <x:v>e2b87252fcc868ccf8c9bd6b7e9737260653ed2ae07d2eb86394cb503d64f48c</x:v>
      </x:c>
      <x:c r="L301" s="26"/>
      <x:c r="M301" s="26" t="n">
        <x:v>1</x:v>
      </x:c>
      <x:c r="N301" s="26" t="str">
        <x:v>UNIQUE</x:v>
      </x:c>
      <x:c r="O301" s="26" t="str">
        <x:v>32</x:v>
      </x:c>
      <x:c r="P301" s="26" t="str">
        <x:v>13, 14, 15, 16, 32</x:v>
      </x:c>
      <x:c r="Q301" s="26" t="str">
        <x:v>Published historical baseline</x:v>
      </x:c>
      <x:c r="R301" s="26" t="str">
        <x:v>SUPERSEDED AS AUTHORITY — RETAIN AS IMMUTABLE HISTORY</x:v>
      </x:c>
      <x:c r="S301" s="26" t="str">
        <x:v>00_Official_Baseline/v0.6/00_Project_Governance/Cartridge_And_Cloud_Package_Manifest_v0.4.pdf</x:v>
      </x:c>
      <x:c r="T301" s="26" t="str">
        <x:v>Historical path preserved verbatim; hash calculated from supplied pre-regeneration project.</x:v>
      </x:c>
    </x:row>
    <x:row r="302" ht="30" customHeight="1">
      <x:c r="A302" s="26" t="str">
        <x:v>H-0298</x:v>
      </x:c>
      <x:c r="B302" s="26" t="str">
        <x:v>Official Baseline</x:v>
      </x:c>
      <x:c r="C302" s="26" t="str">
        <x:v>v0.6</x:v>
      </x:c>
      <x:c r="D302" s="26" t="str">
        <x:v>v0.6</x:v>
      </x:c>
      <x:c r="E302" s="26" t="str">
        <x:v>00_Project_Governance</x:v>
      </x:c>
      <x:c r="F302" s="26"/>
      <x:c r="G302" s="26" t="str">
        <x:v>Cartridge_And_Cloud_Project_Binder_Indice_Maestro_v0.6.pdf</x:v>
      </x:c>
      <x:c r="H302" s="26" t="str">
        <x:v>PDF</x:v>
      </x:c>
      <x:c r="I302" s="26" t="str">
        <x:v>Published baseline rendering</x:v>
      </x:c>
      <x:c r="J302" s="26" t="n">
        <x:v>40686</x:v>
      </x:c>
      <x:c r="K302" s="26" t="str">
        <x:v>e2ae658017c7deb8055e886df6dd66707fbff8d1db4752d5b98c982e54631469</x:v>
      </x:c>
      <x:c r="L302" s="26"/>
      <x:c r="M302" s="26" t="n">
        <x:v>1</x:v>
      </x:c>
      <x:c r="N302" s="26" t="str">
        <x:v>UNIQUE</x:v>
      </x:c>
      <x:c r="O302" s="26" t="str">
        <x:v>14</x:v>
      </x:c>
      <x:c r="P302" s="26" t="str">
        <x:v>14</x:v>
      </x:c>
      <x:c r="Q302" s="26" t="str">
        <x:v>Published historical baseline</x:v>
      </x:c>
      <x:c r="R302" s="26" t="str">
        <x:v>SUPERSEDED AS AUTHORITY — RETAIN AS IMMUTABLE HISTORY</x:v>
      </x:c>
      <x:c r="S302" s="26" t="str">
        <x:v>00_Official_Baseline/v0.6/00_Project_Governance/Cartridge_And_Cloud_Project_Binder_Indice_Maestro_v0.6.pdf</x:v>
      </x:c>
      <x:c r="T302" s="26" t="str">
        <x:v>Historical path preserved verbatim; hash calculated from supplied pre-regeneration project.</x:v>
      </x:c>
    </x:row>
    <x:row r="303" ht="30" customHeight="1">
      <x:c r="A303" s="26" t="str">
        <x:v>H-0299</x:v>
      </x:c>
      <x:c r="B303" s="26" t="str">
        <x:v>Official Baseline</x:v>
      </x:c>
      <x:c r="C303" s="26" t="str">
        <x:v>v0.6</x:v>
      </x:c>
      <x:c r="D303" s="26" t="str">
        <x:v>v0.6</x:v>
      </x:c>
      <x:c r="E303" s="26" t="str">
        <x:v>00_Project_Governance</x:v>
      </x:c>
      <x:c r="F303" s="26"/>
      <x:c r="G303" s="26" t="str">
        <x:v>Enfoque_v0.8.md</x:v>
      </x:c>
      <x:c r="H303" s="26" t="str">
        <x:v>Markdown</x:v>
      </x:c>
      <x:c r="I303" s="26" t="str">
        <x:v>Historical document / record</x:v>
      </x:c>
      <x:c r="J303" s="26" t="n">
        <x:v>3665</x:v>
      </x:c>
      <x:c r="K303" s="26" t="str">
        <x:v>7723b3a72d7b63ace8f1401c9eb2ed250a671e6a49e867f134583c4572ce524c</x:v>
      </x:c>
      <x:c r="L303" s="26" t="str">
        <x:v>DG-046</x:v>
      </x:c>
      <x:c r="M303" s="26" t="n">
        <x:v>2</x:v>
      </x:c>
      <x:c r="N303" s="26" t="str">
        <x:v>DUPLICATE GROUP REPRESENTATIVE</x:v>
      </x:c>
      <x:c r="O303" s="26" t="str">
        <x:v>00</x:v>
      </x:c>
      <x:c r="P303" s="26" t="str">
        <x:v>00</x:v>
      </x:c>
      <x:c r="Q303" s="26" t="str">
        <x:v>Historical baseline support</x:v>
      </x:c>
      <x:c r="R303" s="26" t="str">
        <x:v>RETAIN AS SUPPORTING HISTORY</x:v>
      </x:c>
      <x:c r="S303" s="26" t="str">
        <x:v>00_Official_Baseline/v0.6/00_Project_Governance/Enfoque_v0.8.md</x:v>
      </x:c>
      <x:c r="T303" s="26" t="str">
        <x:v>Historical path preserved verbatim; hash calculated from supplied pre-regeneration project.</x:v>
      </x:c>
    </x:row>
    <x:row r="304" ht="30" customHeight="1">
      <x:c r="A304" s="26" t="str">
        <x:v>H-0300</x:v>
      </x:c>
      <x:c r="B304" s="26" t="str">
        <x:v>Official Baseline</x:v>
      </x:c>
      <x:c r="C304" s="26" t="str">
        <x:v>v0.6</x:v>
      </x:c>
      <x:c r="D304" s="26" t="str">
        <x:v>v0.6</x:v>
      </x:c>
      <x:c r="E304" s="26" t="str">
        <x:v>01_Design</x:v>
      </x:c>
      <x:c r="F304" s="26"/>
      <x:c r="G304" s="26" t="str">
        <x:v>Cartridge_And_Cloud_Economy_Balance_Specification_v0.3.pdf</x:v>
      </x:c>
      <x:c r="H304" s="26" t="str">
        <x:v>PDF</x:v>
      </x:c>
      <x:c r="I304" s="26" t="str">
        <x:v>Published baseline rendering</x:v>
      </x:c>
      <x:c r="J304" s="26" t="n">
        <x:v>37357</x:v>
      </x:c>
      <x:c r="K304" s="26" t="str">
        <x:v>814b045831b60bd22488cbb9b255a87e9c714abb9f0c9716227004af6334b38b</x:v>
      </x:c>
      <x:c r="L304" s="26"/>
      <x:c r="M304" s="26" t="n">
        <x:v>1</x:v>
      </x:c>
      <x:c r="N304" s="26" t="str">
        <x:v>UNIQUE</x:v>
      </x:c>
      <x:c r="O304" s="26" t="str">
        <x:v>20</x:v>
      </x:c>
      <x:c r="P304" s="26" t="str">
        <x:v>20</x:v>
      </x:c>
      <x:c r="Q304" s="26" t="str">
        <x:v>Published historical baseline</x:v>
      </x:c>
      <x:c r="R304" s="26" t="str">
        <x:v>SUPERSEDED AS AUTHORITY — RETAIN AS IMMUTABLE HISTORY</x:v>
      </x:c>
      <x:c r="S304" s="26" t="str">
        <x:v>00_Official_Baseline/v0.6/01_Design/Cartridge_And_Cloud_Economy_Balance_Specification_v0.3.pdf</x:v>
      </x:c>
      <x:c r="T304" s="26" t="str">
        <x:v>Historical path preserved verbatim; hash calculated from supplied pre-regeneration project.</x:v>
      </x:c>
    </x:row>
    <x:row r="305" ht="30" customHeight="1">
      <x:c r="A305" s="26" t="str">
        <x:v>H-0301</x:v>
      </x:c>
      <x:c r="B305" s="26" t="str">
        <x:v>Official Baseline</x:v>
      </x:c>
      <x:c r="C305" s="26" t="str">
        <x:v>v0.6</x:v>
      </x:c>
      <x:c r="D305" s="26" t="str">
        <x:v>v0.6</x:v>
      </x:c>
      <x:c r="E305" s="26" t="str">
        <x:v>01_Design</x:v>
      </x:c>
      <x:c r="F305" s="26"/>
      <x:c r="G305" s="26" t="str">
        <x:v>Cartridge_And_Cloud_GDD_v0.6_PCSteam.pdf</x:v>
      </x:c>
      <x:c r="H305" s="26" t="str">
        <x:v>PDF</x:v>
      </x:c>
      <x:c r="I305" s="26" t="str">
        <x:v>Published baseline rendering</x:v>
      </x:c>
      <x:c r="J305" s="26" t="n">
        <x:v>43453</x:v>
      </x:c>
      <x:c r="K305" s="26" t="str">
        <x:v>f7002d60df83e5ed854264b4a802324de145e6389d3ec1de3b9f02ca4f619acd</x:v>
      </x:c>
      <x:c r="L305" s="26"/>
      <x:c r="M305" s="26" t="n">
        <x:v>1</x:v>
      </x:c>
      <x:c r="N305" s="26" t="str">
        <x:v>UNIQUE</x:v>
      </x:c>
      <x:c r="O305" s="26" t="str">
        <x:v>01</x:v>
      </x:c>
      <x:c r="P305" s="26" t="str">
        <x:v>01</x:v>
      </x:c>
      <x:c r="Q305" s="26" t="str">
        <x:v>Published historical baseline</x:v>
      </x:c>
      <x:c r="R305" s="26" t="str">
        <x:v>SUPERSEDED AS AUTHORITY — RETAIN AS IMMUTABLE HISTORY</x:v>
      </x:c>
      <x:c r="S305" s="26" t="str">
        <x:v>00_Official_Baseline/v0.6/01_Design/Cartridge_And_Cloud_GDD_v0.6_PCSteam.pdf</x:v>
      </x:c>
      <x:c r="T305" s="26" t="str">
        <x:v>Historical path preserved verbatim; hash calculated from supplied pre-regeneration project.</x:v>
      </x:c>
    </x:row>
    <x:row r="306" ht="30" customHeight="1">
      <x:c r="A306" s="26" t="str">
        <x:v>H-0302</x:v>
      </x:c>
      <x:c r="B306" s="26" t="str">
        <x:v>Official Baseline</x:v>
      </x:c>
      <x:c r="C306" s="26" t="str">
        <x:v>v0.6</x:v>
      </x:c>
      <x:c r="D306" s="26" t="str">
        <x:v>v0.6</x:v>
      </x:c>
      <x:c r="E306" s="26" t="str">
        <x:v>01_Design</x:v>
      </x:c>
      <x:c r="F306" s="26"/>
      <x:c r="G306" s="26" t="str">
        <x:v>Cartridge_And_Cloud_Initial_Content_Catalog_v0.3.pdf</x:v>
      </x:c>
      <x:c r="H306" s="26" t="str">
        <x:v>PDF</x:v>
      </x:c>
      <x:c r="I306" s="26" t="str">
        <x:v>Published baseline rendering</x:v>
      </x:c>
      <x:c r="J306" s="26" t="n">
        <x:v>37702</x:v>
      </x:c>
      <x:c r="K306" s="26" t="str">
        <x:v>9566db558196999b36eaff6c58b48adaf7cbbf005544cca3692ce2bbdfa216e8</x:v>
      </x:c>
      <x:c r="L306" s="26"/>
      <x:c r="M306" s="26" t="n">
        <x:v>1</x:v>
      </x:c>
      <x:c r="N306" s="26" t="str">
        <x:v>UNIQUE</x:v>
      </x:c>
      <x:c r="O306" s="26" t="str">
        <x:v>21</x:v>
      </x:c>
      <x:c r="P306" s="26" t="str">
        <x:v>21</x:v>
      </x:c>
      <x:c r="Q306" s="26" t="str">
        <x:v>Published historical baseline</x:v>
      </x:c>
      <x:c r="R306" s="26" t="str">
        <x:v>SUPERSEDED AS AUTHORITY — RETAIN AS IMMUTABLE HISTORY</x:v>
      </x:c>
      <x:c r="S306" s="26" t="str">
        <x:v>00_Official_Baseline/v0.6/01_Design/Cartridge_And_Cloud_Initial_Content_Catalog_v0.3.pdf</x:v>
      </x:c>
      <x:c r="T306" s="26" t="str">
        <x:v>Historical path preserved verbatim; hash calculated from supplied pre-regeneration project.</x:v>
      </x:c>
    </x:row>
    <x:row r="307" ht="30" customHeight="1">
      <x:c r="A307" s="26" t="str">
        <x:v>H-0303</x:v>
      </x:c>
      <x:c r="B307" s="26" t="str">
        <x:v>Official Baseline</x:v>
      </x:c>
      <x:c r="C307" s="26" t="str">
        <x:v>v0.6</x:v>
      </x:c>
      <x:c r="D307" s="26" t="str">
        <x:v>v0.6</x:v>
      </x:c>
      <x:c r="E307" s="26" t="str">
        <x:v>01_Design</x:v>
      </x:c>
      <x:c r="F307" s="26"/>
      <x:c r="G307" s="26" t="str">
        <x:v>Cartridge_And_Cloud_UX_Flow_v0.5.pdf</x:v>
      </x:c>
      <x:c r="H307" s="26" t="str">
        <x:v>PDF</x:v>
      </x:c>
      <x:c r="I307" s="26" t="str">
        <x:v>Published baseline rendering</x:v>
      </x:c>
      <x:c r="J307" s="26" t="n">
        <x:v>42891</x:v>
      </x:c>
      <x:c r="K307" s="26" t="str">
        <x:v>59f5922437a9c5cd0719b49c14beb50d5a7a74d5ee5d863ba2763153a7c378db</x:v>
      </x:c>
      <x:c r="L307" s="26"/>
      <x:c r="M307" s="26" t="n">
        <x:v>1</x:v>
      </x:c>
      <x:c r="N307" s="26" t="str">
        <x:v>UNIQUE</x:v>
      </x:c>
      <x:c r="O307" s="26" t="str">
        <x:v>05</x:v>
      </x:c>
      <x:c r="P307" s="26" t="str">
        <x:v>05</x:v>
      </x:c>
      <x:c r="Q307" s="26" t="str">
        <x:v>Published historical baseline</x:v>
      </x:c>
      <x:c r="R307" s="26" t="str">
        <x:v>SUPERSEDED AS AUTHORITY — RETAIN AS IMMUTABLE HISTORY</x:v>
      </x:c>
      <x:c r="S307" s="26" t="str">
        <x:v>00_Official_Baseline/v0.6/01_Design/Cartridge_And_Cloud_UX_Flow_v0.5.pdf</x:v>
      </x:c>
      <x:c r="T307" s="26" t="str">
        <x:v>Historical path preserved verbatim; hash calculated from supplied pre-regeneration project.</x:v>
      </x:c>
    </x:row>
    <x:row r="308" ht="30" customHeight="1">
      <x:c r="A308" s="26" t="str">
        <x:v>H-0304</x:v>
      </x:c>
      <x:c r="B308" s="26" t="str">
        <x:v>Official Baseline</x:v>
      </x:c>
      <x:c r="C308" s="26" t="str">
        <x:v>v0.6</x:v>
      </x:c>
      <x:c r="D308" s="26" t="str">
        <x:v>v0.6</x:v>
      </x:c>
      <x:c r="E308" s="26" t="str">
        <x:v>01_Design</x:v>
      </x:c>
      <x:c r="F308" s="26"/>
      <x:c r="G308" s="26" t="str">
        <x:v>Cartridge_And_Cloud_Vertical_Slice_Specification_v0.4.pdf</x:v>
      </x:c>
      <x:c r="H308" s="26" t="str">
        <x:v>PDF</x:v>
      </x:c>
      <x:c r="I308" s="26" t="str">
        <x:v>Published baseline rendering</x:v>
      </x:c>
      <x:c r="J308" s="26" t="n">
        <x:v>38854</x:v>
      </x:c>
      <x:c r="K308" s="26" t="str">
        <x:v>326720d1a0d1302142034421279586f319992a9ecd3772c1922b6f5be085a692</x:v>
      </x:c>
      <x:c r="L308" s="26"/>
      <x:c r="M308" s="26" t="n">
        <x:v>1</x:v>
      </x:c>
      <x:c r="N308" s="26" t="str">
        <x:v>UNIQUE</x:v>
      </x:c>
      <x:c r="O308" s="26" t="str">
        <x:v>02</x:v>
      </x:c>
      <x:c r="P308" s="26" t="str">
        <x:v>02</x:v>
      </x:c>
      <x:c r="Q308" s="26" t="str">
        <x:v>Published historical baseline</x:v>
      </x:c>
      <x:c r="R308" s="26" t="str">
        <x:v>SUPERSEDED AS AUTHORITY — RETAIN AS IMMUTABLE HISTORY</x:v>
      </x:c>
      <x:c r="S308" s="26" t="str">
        <x:v>00_Official_Baseline/v0.6/01_Design/Cartridge_And_Cloud_Vertical_Slice_Specification_v0.4.pdf</x:v>
      </x:c>
      <x:c r="T308" s="26" t="str">
        <x:v>Historical path preserved verbatim; hash calculated from supplied pre-regeneration project.</x:v>
      </x:c>
    </x:row>
    <x:row r="309" ht="30" customHeight="1">
      <x:c r="A309" s="26" t="str">
        <x:v>H-0305</x:v>
      </x:c>
      <x:c r="B309" s="26" t="str">
        <x:v>Official Baseline</x:v>
      </x:c>
      <x:c r="C309" s="26" t="str">
        <x:v>v0.6</x:v>
      </x:c>
      <x:c r="D309" s="26" t="str">
        <x:v>v0.6</x:v>
      </x:c>
      <x:c r="E309" s="26" t="str">
        <x:v>02_Technical</x:v>
      </x:c>
      <x:c r="F309" s="26"/>
      <x:c r="G309" s="26" t="str">
        <x:v>Cartridge_And_Cloud_Build_Versioning_Guide_v0.6.pdf</x:v>
      </x:c>
      <x:c r="H309" s="26" t="str">
        <x:v>PDF</x:v>
      </x:c>
      <x:c r="I309" s="26" t="str">
        <x:v>Published baseline rendering</x:v>
      </x:c>
      <x:c r="J309" s="26" t="n">
        <x:v>37901</x:v>
      </x:c>
      <x:c r="K309" s="26" t="str">
        <x:v>758372f65f3e817c8cc192d557cac69f2ecb2b22d0705e8feeac9e5034cf0a02</x:v>
      </x:c>
      <x:c r="L309" s="26"/>
      <x:c r="M309" s="26" t="n">
        <x:v>1</x:v>
      </x:c>
      <x:c r="N309" s="26" t="str">
        <x:v>UNIQUE</x:v>
      </x:c>
      <x:c r="O309" s="26" t="str">
        <x:v>11</x:v>
      </x:c>
      <x:c r="P309" s="26" t="str">
        <x:v>11</x:v>
      </x:c>
      <x:c r="Q309" s="26" t="str">
        <x:v>Published historical baseline</x:v>
      </x:c>
      <x:c r="R309" s="26" t="str">
        <x:v>SUPERSEDED AS AUTHORITY — RETAIN AS IMMUTABLE HISTORY</x:v>
      </x:c>
      <x:c r="S309" s="26" t="str">
        <x:v>00_Official_Baseline/v0.6/02_Technical/Cartridge_And_Cloud_Build_Versioning_Guide_v0.6.pdf</x:v>
      </x:c>
      <x:c r="T309" s="26" t="str">
        <x:v>Historical path preserved verbatim; hash calculated from supplied pre-regeneration project.</x:v>
      </x:c>
    </x:row>
    <x:row r="310" ht="30" customHeight="1">
      <x:c r="A310" s="26" t="str">
        <x:v>H-0306</x:v>
      </x:c>
      <x:c r="B310" s="26" t="str">
        <x:v>Official Baseline</x:v>
      </x:c>
      <x:c r="C310" s="26" t="str">
        <x:v>v0.6</x:v>
      </x:c>
      <x:c r="D310" s="26" t="str">
        <x:v>v0.6</x:v>
      </x:c>
      <x:c r="E310" s="26" t="str">
        <x:v>02_Technical</x:v>
      </x:c>
      <x:c r="F310" s="26"/>
      <x:c r="G310" s="26" t="str">
        <x:v>Cartridge_And_Cloud_CSharp_Coding_Standards_v0.5.pdf</x:v>
      </x:c>
      <x:c r="H310" s="26" t="str">
        <x:v>PDF</x:v>
      </x:c>
      <x:c r="I310" s="26" t="str">
        <x:v>Published baseline rendering</x:v>
      </x:c>
      <x:c r="J310" s="26" t="n">
        <x:v>38900</x:v>
      </x:c>
      <x:c r="K310" s="26" t="str">
        <x:v>bcbd99d67deb5d0d1f6a3e90a8fb6058cbd4798b1b011ff6ad4e0980642383ad</x:v>
      </x:c>
      <x:c r="L310" s="26"/>
      <x:c r="M310" s="26" t="n">
        <x:v>1</x:v>
      </x:c>
      <x:c r="N310" s="26" t="str">
        <x:v>UNIQUE</x:v>
      </x:c>
      <x:c r="O310" s="26" t="str">
        <x:v>09</x:v>
      </x:c>
      <x:c r="P310" s="26" t="str">
        <x:v>09</x:v>
      </x:c>
      <x:c r="Q310" s="26" t="str">
        <x:v>Published historical baseline</x:v>
      </x:c>
      <x:c r="R310" s="26" t="str">
        <x:v>SUPERSEDED AS AUTHORITY — RETAIN AS IMMUTABLE HISTORY</x:v>
      </x:c>
      <x:c r="S310" s="26" t="str">
        <x:v>00_Official_Baseline/v0.6/02_Technical/Cartridge_And_Cloud_CSharp_Coding_Standards_v0.5.pdf</x:v>
      </x:c>
      <x:c r="T310" s="26" t="str">
        <x:v>Historical path preserved verbatim; hash calculated from supplied pre-regeneration project.</x:v>
      </x:c>
    </x:row>
    <x:row r="311" ht="30" customHeight="1">
      <x:c r="A311" s="26" t="str">
        <x:v>H-0307</x:v>
      </x:c>
      <x:c r="B311" s="26" t="str">
        <x:v>Official Baseline</x:v>
      </x:c>
      <x:c r="C311" s="26" t="str">
        <x:v>v0.6</x:v>
      </x:c>
      <x:c r="D311" s="26" t="str">
        <x:v>v0.6</x:v>
      </x:c>
      <x:c r="E311" s="26" t="str">
        <x:v>02_Technical</x:v>
      </x:c>
      <x:c r="F311" s="26"/>
      <x:c r="G311" s="26" t="str">
        <x:v>Cartridge_And_Cloud_Modelo_de_Datos_v0.5.pdf</x:v>
      </x:c>
      <x:c r="H311" s="26" t="str">
        <x:v>PDF</x:v>
      </x:c>
      <x:c r="I311" s="26" t="str">
        <x:v>Published baseline rendering</x:v>
      </x:c>
      <x:c r="J311" s="26" t="n">
        <x:v>38808</x:v>
      </x:c>
      <x:c r="K311" s="26" t="str">
        <x:v>296fbc062ddb5cb16dad4f5c98bccb1301c437eaeac7b58a23d51009d8f32fe3</x:v>
      </x:c>
      <x:c r="L311" s="26"/>
      <x:c r="M311" s="26" t="n">
        <x:v>1</x:v>
      </x:c>
      <x:c r="N311" s="26" t="str">
        <x:v>UNIQUE</x:v>
      </x:c>
      <x:c r="O311" s="26" t="str">
        <x:v>04</x:v>
      </x:c>
      <x:c r="P311" s="26" t="str">
        <x:v>04</x:v>
      </x:c>
      <x:c r="Q311" s="26" t="str">
        <x:v>Published historical baseline</x:v>
      </x:c>
      <x:c r="R311" s="26" t="str">
        <x:v>SUPERSEDED AS AUTHORITY — RETAIN AS IMMUTABLE HISTORY</x:v>
      </x:c>
      <x:c r="S311" s="26" t="str">
        <x:v>00_Official_Baseline/v0.6/02_Technical/Cartridge_And_Cloud_Modelo_de_Datos_v0.5.pdf</x:v>
      </x:c>
      <x:c r="T311" s="26" t="str">
        <x:v>Historical path preserved verbatim; hash calculated from supplied pre-regeneration project.</x:v>
      </x:c>
    </x:row>
    <x:row r="312" ht="30" customHeight="1">
      <x:c r="A312" s="26" t="str">
        <x:v>H-0308</x:v>
      </x:c>
      <x:c r="B312" s="26" t="str">
        <x:v>Official Baseline</x:v>
      </x:c>
      <x:c r="C312" s="26" t="str">
        <x:v>v0.6</x:v>
      </x:c>
      <x:c r="D312" s="26" t="str">
        <x:v>v0.6</x:v>
      </x:c>
      <x:c r="E312" s="26" t="str">
        <x:v>02_Technical</x:v>
      </x:c>
      <x:c r="F312" s="26"/>
      <x:c r="G312" s="26" t="str">
        <x:v>Cartridge_And_Cloud_TDD_v0.6_Technical_Design_Document.pdf</x:v>
      </x:c>
      <x:c r="H312" s="26" t="str">
        <x:v>PDF</x:v>
      </x:c>
      <x:c r="I312" s="26" t="str">
        <x:v>Published baseline rendering</x:v>
      </x:c>
      <x:c r="J312" s="26" t="n">
        <x:v>44591</x:v>
      </x:c>
      <x:c r="K312" s="26" t="str">
        <x:v>47cb69c540b382355f767b5cef1cbecc0f4ed29cf5711be34cefe196007b50d9</x:v>
      </x:c>
      <x:c r="L312" s="26"/>
      <x:c r="M312" s="26" t="n">
        <x:v>1</x:v>
      </x:c>
      <x:c r="N312" s="26" t="str">
        <x:v>UNIQUE</x:v>
      </x:c>
      <x:c r="O312" s="26" t="str">
        <x:v>03</x:v>
      </x:c>
      <x:c r="P312" s="26" t="str">
        <x:v>03</x:v>
      </x:c>
      <x:c r="Q312" s="26" t="str">
        <x:v>Published historical baseline</x:v>
      </x:c>
      <x:c r="R312" s="26" t="str">
        <x:v>SUPERSEDED AS AUTHORITY — RETAIN AS IMMUTABLE HISTORY</x:v>
      </x:c>
      <x:c r="S312" s="26" t="str">
        <x:v>00_Official_Baseline/v0.6/02_Technical/Cartridge_And_Cloud_TDD_v0.6_Technical_Design_Document.pdf</x:v>
      </x:c>
      <x:c r="T312" s="26" t="str">
        <x:v>Historical path preserved verbatim; hash calculated from supplied pre-regeneration project.</x:v>
      </x:c>
    </x:row>
    <x:row r="313" ht="30" customHeight="1">
      <x:c r="A313" s="26" t="str">
        <x:v>H-0309</x:v>
      </x:c>
      <x:c r="B313" s="26" t="str">
        <x:v>Official Baseline</x:v>
      </x:c>
      <x:c r="C313" s="26" t="str">
        <x:v>v0.6</x:v>
      </x:c>
      <x:c r="D313" s="26" t="str">
        <x:v>v0.6</x:v>
      </x:c>
      <x:c r="E313" s="26" t="str">
        <x:v>02_Technical</x:v>
      </x:c>
      <x:c r="F313" s="26"/>
      <x:c r="G313" s="26" t="str">
        <x:v>Cartridge_And_Cloud_Unity_Project_Setup_Guide_v0.6.pdf</x:v>
      </x:c>
      <x:c r="H313" s="26" t="str">
        <x:v>PDF</x:v>
      </x:c>
      <x:c r="I313" s="26" t="str">
        <x:v>Published baseline rendering</x:v>
      </x:c>
      <x:c r="J313" s="26" t="n">
        <x:v>40504</x:v>
      </x:c>
      <x:c r="K313" s="26" t="str">
        <x:v>415fcd4c16c68e395c49179492c10db67374b3fb1c28257ec41987b2735d7ba8</x:v>
      </x:c>
      <x:c r="L313" s="26"/>
      <x:c r="M313" s="26" t="n">
        <x:v>1</x:v>
      </x:c>
      <x:c r="N313" s="26" t="str">
        <x:v>UNIQUE</x:v>
      </x:c>
      <x:c r="O313" s="26" t="str">
        <x:v>10</x:v>
      </x:c>
      <x:c r="P313" s="26" t="str">
        <x:v>10</x:v>
      </x:c>
      <x:c r="Q313" s="26" t="str">
        <x:v>Published historical baseline</x:v>
      </x:c>
      <x:c r="R313" s="26" t="str">
        <x:v>SUPERSEDED AS AUTHORITY — RETAIN AS IMMUTABLE HISTORY</x:v>
      </x:c>
      <x:c r="S313" s="26" t="str">
        <x:v>00_Official_Baseline/v0.6/02_Technical/Cartridge_And_Cloud_Unity_Project_Setup_Guide_v0.6.pdf</x:v>
      </x:c>
      <x:c r="T313" s="26" t="str">
        <x:v>Historical path preserved verbatim; hash calculated from supplied pre-regeneration project.</x:v>
      </x:c>
    </x:row>
    <x:row r="314" ht="30" customHeight="1">
      <x:c r="A314" s="26" t="str">
        <x:v>H-0310</x:v>
      </x:c>
      <x:c r="B314" s="26" t="str">
        <x:v>Official Baseline</x:v>
      </x:c>
      <x:c r="C314" s="26" t="str">
        <x:v>v0.6</x:v>
      </x:c>
      <x:c r="D314" s="26" t="str">
        <x:v>v0.6</x:v>
      </x:c>
      <x:c r="E314" s="26" t="str">
        <x:v>03_Visual_Audio</x:v>
      </x:c>
      <x:c r="F314" s="26"/>
      <x:c r="G314" s="26" t="str">
        <x:v>Cartridge_And_Cloud_Art_Bible_v0.5.pdf</x:v>
      </x:c>
      <x:c r="H314" s="26" t="str">
        <x:v>PDF</x:v>
      </x:c>
      <x:c r="I314" s="26" t="str">
        <x:v>Published baseline rendering</x:v>
      </x:c>
      <x:c r="J314" s="26" t="n">
        <x:v>35406</x:v>
      </x:c>
      <x:c r="K314" s="26" t="str">
        <x:v>ab41d9f663bddc58edd4d1591281b74097f0b3a4cd772706d923cf275222f414</x:v>
      </x:c>
      <x:c r="L314" s="26"/>
      <x:c r="M314" s="26" t="n">
        <x:v>1</x:v>
      </x:c>
      <x:c r="N314" s="26" t="str">
        <x:v>UNIQUE</x:v>
      </x:c>
      <x:c r="O314" s="26" t="str">
        <x:v>17</x:v>
      </x:c>
      <x:c r="P314" s="26" t="str">
        <x:v>17</x:v>
      </x:c>
      <x:c r="Q314" s="26" t="str">
        <x:v>Published historical baseline</x:v>
      </x:c>
      <x:c r="R314" s="26" t="str">
        <x:v>SUPERSEDED AS AUTHORITY — RETAIN AS IMMUTABLE HISTORY</x:v>
      </x:c>
      <x:c r="S314" s="26" t="str">
        <x:v>00_Official_Baseline/v0.6/03_Visual_Audio/Cartridge_And_Cloud_Art_Bible_v0.5.pdf</x:v>
      </x:c>
      <x:c r="T314" s="26" t="str">
        <x:v>Historical path preserved verbatim; hash calculated from supplied pre-regeneration project.</x:v>
      </x:c>
    </x:row>
    <x:row r="315" ht="30" customHeight="1">
      <x:c r="A315" s="26" t="str">
        <x:v>H-0311</x:v>
      </x:c>
      <x:c r="B315" s="26" t="str">
        <x:v>Official Baseline</x:v>
      </x:c>
      <x:c r="C315" s="26" t="str">
        <x:v>v0.6</x:v>
      </x:c>
      <x:c r="D315" s="26" t="str">
        <x:v>v0.6</x:v>
      </x:c>
      <x:c r="E315" s="26" t="str">
        <x:v>03_Visual_Audio</x:v>
      </x:c>
      <x:c r="F315" s="26"/>
      <x:c r="G315" s="26" t="str">
        <x:v>Cartridge_And_Cloud_Audio_Bible_v0.5.pdf</x:v>
      </x:c>
      <x:c r="H315" s="26" t="str">
        <x:v>PDF</x:v>
      </x:c>
      <x:c r="I315" s="26" t="str">
        <x:v>Published baseline rendering</x:v>
      </x:c>
      <x:c r="J315" s="26" t="n">
        <x:v>31080</x:v>
      </x:c>
      <x:c r="K315" s="26" t="str">
        <x:v>1266f4f2b51202caa9eccfec07800cd089001a454ce72e90a205aa093b21198f</x:v>
      </x:c>
      <x:c r="L315" s="26"/>
      <x:c r="M315" s="26" t="n">
        <x:v>1</x:v>
      </x:c>
      <x:c r="N315" s="26" t="str">
        <x:v>UNIQUE</x:v>
      </x:c>
      <x:c r="O315" s="26" t="str">
        <x:v>18</x:v>
      </x:c>
      <x:c r="P315" s="26" t="str">
        <x:v>18</x:v>
      </x:c>
      <x:c r="Q315" s="26" t="str">
        <x:v>Published historical baseline</x:v>
      </x:c>
      <x:c r="R315" s="26" t="str">
        <x:v>SUPERSEDED AS AUTHORITY — RETAIN AS IMMUTABLE HISTORY</x:v>
      </x:c>
      <x:c r="S315" s="26" t="str">
        <x:v>00_Official_Baseline/v0.6/03_Visual_Audio/Cartridge_And_Cloud_Audio_Bible_v0.5.pdf</x:v>
      </x:c>
      <x:c r="T315" s="26" t="str">
        <x:v>Historical path preserved verbatim; hash calculated from supplied pre-regeneration project.</x:v>
      </x:c>
    </x:row>
    <x:row r="316" ht="30" customHeight="1">
      <x:c r="A316" s="26" t="str">
        <x:v>H-0312</x:v>
      </x:c>
      <x:c r="B316" s="26" t="str">
        <x:v>Official Baseline</x:v>
      </x:c>
      <x:c r="C316" s="26" t="str">
        <x:v>v0.6</x:v>
      </x:c>
      <x:c r="D316" s="26" t="str">
        <x:v>v0.6</x:v>
      </x:c>
      <x:c r="E316" s="26" t="str">
        <x:v>03_Visual_Audio</x:v>
      </x:c>
      <x:c r="F316" s="26"/>
      <x:c r="G316" s="26" t="str">
        <x:v>Cartridge_And_Cloud_UI_Style_Guide_v0.5.pdf</x:v>
      </x:c>
      <x:c r="H316" s="26" t="str">
        <x:v>PDF</x:v>
      </x:c>
      <x:c r="I316" s="26" t="str">
        <x:v>Published baseline rendering</x:v>
      </x:c>
      <x:c r="J316" s="26" t="n">
        <x:v>31466</x:v>
      </x:c>
      <x:c r="K316" s="26" t="str">
        <x:v>a1898f385154ecfbb12b0106ed150e6ac0307d2987650fe8d2397c0e428c5da7</x:v>
      </x:c>
      <x:c r="L316" s="26"/>
      <x:c r="M316" s="26" t="n">
        <x:v>1</x:v>
      </x:c>
      <x:c r="N316" s="26" t="str">
        <x:v>UNIQUE</x:v>
      </x:c>
      <x:c r="O316" s="26" t="str">
        <x:v>19</x:v>
      </x:c>
      <x:c r="P316" s="26" t="str">
        <x:v>19</x:v>
      </x:c>
      <x:c r="Q316" s="26" t="str">
        <x:v>Published historical baseline</x:v>
      </x:c>
      <x:c r="R316" s="26" t="str">
        <x:v>SUPERSEDED AS AUTHORITY — RETAIN AS IMMUTABLE HISTORY</x:v>
      </x:c>
      <x:c r="S316" s="26" t="str">
        <x:v>00_Official_Baseline/v0.6/03_Visual_Audio/Cartridge_And_Cloud_UI_Style_Guide_v0.5.pdf</x:v>
      </x:c>
      <x:c r="T316" s="26" t="str">
        <x:v>Historical path preserved verbatim; hash calculated from supplied pre-regeneration project.</x:v>
      </x:c>
    </x:row>
    <x:row r="317" ht="30" customHeight="1">
      <x:c r="A317" s="26" t="str">
        <x:v>H-0313</x:v>
      </x:c>
      <x:c r="B317" s="26" t="str">
        <x:v>Official Baseline</x:v>
      </x:c>
      <x:c r="C317" s="26" t="str">
        <x:v>v0.6</x:v>
      </x:c>
      <x:c r="D317" s="26" t="str">
        <x:v>v0.6</x:v>
      </x:c>
      <x:c r="E317" s="26" t="str">
        <x:v>04_QA_Production</x:v>
      </x:c>
      <x:c r="F317" s="26"/>
      <x:c r="G317" s="26" t="str">
        <x:v>Cartridge_And_Cloud_Excel_Maestro_Produccion_v0.6.xlsx</x:v>
      </x:c>
      <x:c r="H317" s="26" t="str">
        <x:v>Excel</x:v>
      </x:c>
      <x:c r="I317" s="26" t="str">
        <x:v>Operational spreadsheet</x:v>
      </x:c>
      <x:c r="J317" s="26" t="n">
        <x:v>12166</x:v>
      </x:c>
      <x:c r="K317" s="26" t="str">
        <x:v>90e3ccee5e392f8471b66090d99c97dcff596256cd7a65f3b1919376f346eb6a</x:v>
      </x:c>
      <x:c r="L317" s="26"/>
      <x:c r="M317" s="26" t="n">
        <x:v>1</x:v>
      </x:c>
      <x:c r="N317" s="26" t="str">
        <x:v>UNIQUE</x:v>
      </x:c>
      <x:c r="O317" s="26" t="str">
        <x:v>12</x:v>
      </x:c>
      <x:c r="P317" s="26" t="str">
        <x:v>12</x:v>
      </x:c>
      <x:c r="Q317" s="26" t="str">
        <x:v>Published historical baseline</x:v>
      </x:c>
      <x:c r="R317" s="26" t="str">
        <x:v>SUPERSEDED AS AUTHORITY — RETAIN AS IMMUTABLE HISTORY</x:v>
      </x:c>
      <x:c r="S317" s="26" t="str">
        <x:v>00_Official_Baseline/v0.6/04_QA_Production/Cartridge_And_Cloud_Excel_Maestro_Produccion_v0.6.xlsx</x:v>
      </x:c>
      <x:c r="T317" s="26" t="str">
        <x:v>Historical path preserved verbatim; hash calculated from supplied pre-regeneration project.</x:v>
      </x:c>
    </x:row>
    <x:row r="318" ht="30" customHeight="1">
      <x:c r="A318" s="26" t="str">
        <x:v>H-0314</x:v>
      </x:c>
      <x:c r="B318" s="26" t="str">
        <x:v>Official Baseline</x:v>
      </x:c>
      <x:c r="C318" s="26" t="str">
        <x:v>v0.6</x:v>
      </x:c>
      <x:c r="D318" s="26" t="str">
        <x:v>v0.6</x:v>
      </x:c>
      <x:c r="E318" s="26" t="str">
        <x:v>04_QA_Production</x:v>
      </x:c>
      <x:c r="F318" s="26"/>
      <x:c r="G318" s="26" t="str">
        <x:v>Cartridge_And_Cloud_Production_Roadmap_Sprint_Plan_v0.6.pdf</x:v>
      </x:c>
      <x:c r="H318" s="26" t="str">
        <x:v>PDF</x:v>
      </x:c>
      <x:c r="I318" s="26" t="str">
        <x:v>Published baseline rendering</x:v>
      </x:c>
      <x:c r="J318" s="26" t="n">
        <x:v>37116</x:v>
      </x:c>
      <x:c r="K318" s="26" t="str">
        <x:v>5e1a0fea9e45f7af252162baba7544778134216c0f9c839aaabdd48687b3c370</x:v>
      </x:c>
      <x:c r="L318" s="26"/>
      <x:c r="M318" s="26" t="n">
        <x:v>1</x:v>
      </x:c>
      <x:c r="N318" s="26" t="str">
        <x:v>UNIQUE</x:v>
      </x:c>
      <x:c r="O318" s="26" t="str">
        <x:v>06</x:v>
      </x:c>
      <x:c r="P318" s="26" t="str">
        <x:v>06</x:v>
      </x:c>
      <x:c r="Q318" s="26" t="str">
        <x:v>Published historical baseline</x:v>
      </x:c>
      <x:c r="R318" s="26" t="str">
        <x:v>SUPERSEDED AS AUTHORITY — RETAIN AS IMMUTABLE HISTORY</x:v>
      </x:c>
      <x:c r="S318" s="26" t="str">
        <x:v>00_Official_Baseline/v0.6/04_QA_Production/Cartridge_And_Cloud_Production_Roadmap_Sprint_Plan_v0.6.pdf</x:v>
      </x:c>
      <x:c r="T318" s="26" t="str">
        <x:v>Historical path preserved verbatim; hash calculated from supplied pre-regeneration project.</x:v>
      </x:c>
    </x:row>
    <x:row r="319" ht="30" customHeight="1">
      <x:c r="A319" s="26" t="str">
        <x:v>H-0315</x:v>
      </x:c>
      <x:c r="B319" s="26" t="str">
        <x:v>Official Baseline</x:v>
      </x:c>
      <x:c r="C319" s="26" t="str">
        <x:v>v0.6</x:v>
      </x:c>
      <x:c r="D319" s="26" t="str">
        <x:v>v0.6</x:v>
      </x:c>
      <x:c r="E319" s="26" t="str">
        <x:v>04_QA_Production</x:v>
      </x:c>
      <x:c r="F319" s="26"/>
      <x:c r="G319" s="26" t="str">
        <x:v>Cartridge_And_Cloud_QA_Testing_Matrix_v0.6.xlsx</x:v>
      </x:c>
      <x:c r="H319" s="26" t="str">
        <x:v>Excel</x:v>
      </x:c>
      <x:c r="I319" s="26" t="str">
        <x:v>Operational spreadsheet</x:v>
      </x:c>
      <x:c r="J319" s="26" t="n">
        <x:v>8110</x:v>
      </x:c>
      <x:c r="K319" s="26" t="str">
        <x:v>96a6eb8272a2c9a42f718f71406a1b8d770e2d7cf0d96d2c3d0a0c418445d681</x:v>
      </x:c>
      <x:c r="L319" s="26"/>
      <x:c r="M319" s="26" t="n">
        <x:v>1</x:v>
      </x:c>
      <x:c r="N319" s="26" t="str">
        <x:v>UNIQUE</x:v>
      </x:c>
      <x:c r="O319" s="26" t="str">
        <x:v>08</x:v>
      </x:c>
      <x:c r="P319" s="26" t="str">
        <x:v>08</x:v>
      </x:c>
      <x:c r="Q319" s="26" t="str">
        <x:v>Published historical baseline</x:v>
      </x:c>
      <x:c r="R319" s="26" t="str">
        <x:v>SUPERSEDED AS AUTHORITY — RETAIN AS IMMUTABLE HISTORY</x:v>
      </x:c>
      <x:c r="S319" s="26" t="str">
        <x:v>00_Official_Baseline/v0.6/04_QA_Production/Cartridge_And_Cloud_QA_Testing_Matrix_v0.6.xlsx</x:v>
      </x:c>
      <x:c r="T319" s="26" t="str">
        <x:v>Historical path preserved verbatim; hash calculated from supplied pre-regeneration project.</x:v>
      </x:c>
    </x:row>
    <x:row r="320" ht="30" customHeight="1">
      <x:c r="A320" s="26" t="str">
        <x:v>H-0316</x:v>
      </x:c>
      <x:c r="B320" s="26" t="str">
        <x:v>Official Baseline</x:v>
      </x:c>
      <x:c r="C320" s="26" t="str">
        <x:v>v0.6</x:v>
      </x:c>
      <x:c r="D320" s="26" t="str">
        <x:v>v0.6</x:v>
      </x:c>
      <x:c r="E320" s="26" t="str">
        <x:v>04_QA_Production</x:v>
      </x:c>
      <x:c r="F320" s="26"/>
      <x:c r="G320" s="26" t="str">
        <x:v>Cartridge_And_Cloud_QA_Testing_Plan_v0.6.pdf</x:v>
      </x:c>
      <x:c r="H320" s="26" t="str">
        <x:v>PDF</x:v>
      </x:c>
      <x:c r="I320" s="26" t="str">
        <x:v>Published baseline rendering</x:v>
      </x:c>
      <x:c r="J320" s="26" t="n">
        <x:v>38292</x:v>
      </x:c>
      <x:c r="K320" s="26" t="str">
        <x:v>ff451a919545374e6bd22a44efd7f8e65d3e9001741a2ddcac58b4f339052c04</x:v>
      </x:c>
      <x:c r="L320" s="26"/>
      <x:c r="M320" s="26" t="n">
        <x:v>1</x:v>
      </x:c>
      <x:c r="N320" s="26" t="str">
        <x:v>UNIQUE</x:v>
      </x:c>
      <x:c r="O320" s="26" t="str">
        <x:v>07</x:v>
      </x:c>
      <x:c r="P320" s="26" t="str">
        <x:v>07</x:v>
      </x:c>
      <x:c r="Q320" s="26" t="str">
        <x:v>Published historical baseline</x:v>
      </x:c>
      <x:c r="R320" s="26" t="str">
        <x:v>SUPERSEDED AS AUTHORITY — RETAIN AS IMMUTABLE HISTORY</x:v>
      </x:c>
      <x:c r="S320" s="26" t="str">
        <x:v>00_Official_Baseline/v0.6/04_QA_Production/Cartridge_And_Cloud_QA_Testing_Plan_v0.6.pdf</x:v>
      </x:c>
      <x:c r="T320" s="26" t="str">
        <x:v>Historical path preserved verbatim; hash calculated from supplied pre-regeneration project.</x:v>
      </x:c>
    </x:row>
    <x:row r="321" ht="30" customHeight="1">
      <x:c r="A321" s="26" t="str">
        <x:v>H-0317</x:v>
      </x:c>
      <x:c r="B321" s="26" t="str">
        <x:v>Official Baseline</x:v>
      </x:c>
      <x:c r="C321" s="26" t="str">
        <x:v>v0.6</x:v>
      </x:c>
      <x:c r="D321" s="26" t="str">
        <x:v>v0.6</x:v>
      </x:c>
      <x:c r="E321" s="26" t="str">
        <x:v>04_QA_Production</x:v>
      </x:c>
      <x:c r="F321" s="26"/>
      <x:c r="G321" s="26" t="str">
        <x:v>Cartridge_And_Cloud_Trazabilidad_Control_Cambios_v0.6.xlsx</x:v>
      </x:c>
      <x:c r="H321" s="26" t="str">
        <x:v>Excel</x:v>
      </x:c>
      <x:c r="I321" s="26" t="str">
        <x:v>Operational spreadsheet</x:v>
      </x:c>
      <x:c r="J321" s="26" t="n">
        <x:v>6699</x:v>
      </x:c>
      <x:c r="K321" s="26" t="str">
        <x:v>fb8eb9ca993738f590fb5978de9f4eea8224730540cb3af9d2324cd96b646e32</x:v>
      </x:c>
      <x:c r="L321" s="26"/>
      <x:c r="M321" s="26" t="n">
        <x:v>1</x:v>
      </x:c>
      <x:c r="N321" s="26" t="str">
        <x:v>UNIQUE</x:v>
      </x:c>
      <x:c r="O321" s="26" t="str">
        <x:v>13</x:v>
      </x:c>
      <x:c r="P321" s="26" t="str">
        <x:v>13</x:v>
      </x:c>
      <x:c r="Q321" s="26" t="str">
        <x:v>Published historical baseline</x:v>
      </x:c>
      <x:c r="R321" s="26" t="str">
        <x:v>SUPERSEDED AS AUTHORITY — RETAIN AS IMMUTABLE HISTORY</x:v>
      </x:c>
      <x:c r="S321" s="26" t="str">
        <x:v>00_Official_Baseline/v0.6/04_QA_Production/Cartridge_And_Cloud_Trazabilidad_Control_Cambios_v0.6.xlsx</x:v>
      </x:c>
      <x:c r="T321" s="26" t="str">
        <x:v>Historical path preserved verbatim; hash calculated from supplied pre-regeneration project.</x:v>
      </x:c>
    </x:row>
    <x:row r="322" ht="30" customHeight="1">
      <x:c r="A322" s="26" t="str">
        <x:v>H-0318</x:v>
      </x:c>
      <x:c r="B322" s="26" t="str">
        <x:v>Official Baseline</x:v>
      </x:c>
      <x:c r="C322" s="26" t="str">
        <x:v>v0.6</x:v>
      </x:c>
      <x:c r="D322" s="26" t="str">
        <x:v>v0.6</x:v>
      </x:c>
      <x:c r="E322" s="26" t="str">
        <x:v>05_Business_Release</x:v>
      </x:c>
      <x:c r="F322" s="26"/>
      <x:c r="G322" s="26" t="str">
        <x:v>Cartridge_And_Cloud_Legal_Credits_Licenses_Register_v0.5.pdf</x:v>
      </x:c>
      <x:c r="H322" s="26" t="str">
        <x:v>PDF</x:v>
      </x:c>
      <x:c r="I322" s="26" t="str">
        <x:v>Published baseline rendering</x:v>
      </x:c>
      <x:c r="J322" s="26" t="n">
        <x:v>28754</x:v>
      </x:c>
      <x:c r="K322" s="26" t="str">
        <x:v>eee199263d089442dc5ea6228b10b562d7930163c707a7e90402e734bf94db51</x:v>
      </x:c>
      <x:c r="L322" s="26"/>
      <x:c r="M322" s="26" t="n">
        <x:v>1</x:v>
      </x:c>
      <x:c r="N322" s="26" t="str">
        <x:v>UNIQUE</x:v>
      </x:c>
      <x:c r="O322" s="26" t="str">
        <x:v>23</x:v>
      </x:c>
      <x:c r="P322" s="26" t="str">
        <x:v>23</x:v>
      </x:c>
      <x:c r="Q322" s="26" t="str">
        <x:v>Published historical baseline</x:v>
      </x:c>
      <x:c r="R322" s="26" t="str">
        <x:v>SUPERSEDED AS AUTHORITY — RETAIN AS IMMUTABLE HISTORY</x:v>
      </x:c>
      <x:c r="S322" s="26" t="str">
        <x:v>00_Official_Baseline/v0.6/05_Business_Release/Cartridge_And_Cloud_Legal_Credits_Licenses_Register_v0.5.pdf</x:v>
      </x:c>
      <x:c r="T322" s="26" t="str">
        <x:v>Historical path preserved verbatim; hash calculated from supplied pre-regeneration project.</x:v>
      </x:c>
    </x:row>
    <x:row r="323" ht="30" customHeight="1">
      <x:c r="A323" s="26" t="str">
        <x:v>H-0319</x:v>
      </x:c>
      <x:c r="B323" s="26" t="str">
        <x:v>Official Baseline</x:v>
      </x:c>
      <x:c r="C323" s="26" t="str">
        <x:v>v0.6</x:v>
      </x:c>
      <x:c r="D323" s="26" t="str">
        <x:v>v0.6</x:v>
      </x:c>
      <x:c r="E323" s="26" t="str">
        <x:v>05_Business_Release</x:v>
      </x:c>
      <x:c r="F323" s="26"/>
      <x:c r="G323" s="26" t="str">
        <x:v>Cartridge_And_Cloud_Localization_Plan_v0.5.pdf</x:v>
      </x:c>
      <x:c r="H323" s="26" t="str">
        <x:v>PDF</x:v>
      </x:c>
      <x:c r="I323" s="26" t="str">
        <x:v>Published baseline rendering</x:v>
      </x:c>
      <x:c r="J323" s="26" t="n">
        <x:v>28785</x:v>
      </x:c>
      <x:c r="K323" s="26" t="str">
        <x:v>0a7e40cfb0a39f46a303f93fd89ea65073e507955c15d89a67639ae1f445aaf8</x:v>
      </x:c>
      <x:c r="L323" s="26"/>
      <x:c r="M323" s="26" t="n">
        <x:v>1</x:v>
      </x:c>
      <x:c r="N323" s="26" t="str">
        <x:v>UNIQUE</x:v>
      </x:c>
      <x:c r="O323" s="26" t="str">
        <x:v>22</x:v>
      </x:c>
      <x:c r="P323" s="26" t="str">
        <x:v>22</x:v>
      </x:c>
      <x:c r="Q323" s="26" t="str">
        <x:v>Published historical baseline</x:v>
      </x:c>
      <x:c r="R323" s="26" t="str">
        <x:v>SUPERSEDED AS AUTHORITY — RETAIN AS IMMUTABLE HISTORY</x:v>
      </x:c>
      <x:c r="S323" s="26" t="str">
        <x:v>00_Official_Baseline/v0.6/05_Business_Release/Cartridge_And_Cloud_Localization_Plan_v0.5.pdf</x:v>
      </x:c>
      <x:c r="T323" s="26" t="str">
        <x:v>Historical path preserved verbatim; hash calculated from supplied pre-regeneration project.</x:v>
      </x:c>
    </x:row>
    <x:row r="324" ht="30" customHeight="1">
      <x:c r="A324" s="26" t="str">
        <x:v>H-0320</x:v>
      </x:c>
      <x:c r="B324" s="26" t="str">
        <x:v>Official Baseline</x:v>
      </x:c>
      <x:c r="C324" s="26" t="str">
        <x:v>v0.6</x:v>
      </x:c>
      <x:c r="D324" s="26" t="str">
        <x:v>v0.6</x:v>
      </x:c>
      <x:c r="E324" s="26" t="str">
        <x:v>05_Business_Release</x:v>
      </x:c>
      <x:c r="F324" s="26"/>
      <x:c r="G324" s="26" t="str">
        <x:v>Cartridge_And_Cloud_Marketing_Plan_v0.5.pdf</x:v>
      </x:c>
      <x:c r="H324" s="26" t="str">
        <x:v>PDF</x:v>
      </x:c>
      <x:c r="I324" s="26" t="str">
        <x:v>Published baseline rendering</x:v>
      </x:c>
      <x:c r="J324" s="26" t="n">
        <x:v>28482</x:v>
      </x:c>
      <x:c r="K324" s="26" t="str">
        <x:v>ee3aba1109fbbde0c6773080e32064694f3eaffd20d557fa941cab855120a9e6</x:v>
      </x:c>
      <x:c r="L324" s="26"/>
      <x:c r="M324" s="26" t="n">
        <x:v>1</x:v>
      </x:c>
      <x:c r="N324" s="26" t="str">
        <x:v>UNIQUE</x:v>
      </x:c>
      <x:c r="O324" s="26" t="str">
        <x:v>28</x:v>
      </x:c>
      <x:c r="P324" s="26" t="str">
        <x:v>28</x:v>
      </x:c>
      <x:c r="Q324" s="26" t="str">
        <x:v>Published historical baseline</x:v>
      </x:c>
      <x:c r="R324" s="26" t="str">
        <x:v>SUPERSEDED AS AUTHORITY — RETAIN AS IMMUTABLE HISTORY</x:v>
      </x:c>
      <x:c r="S324" s="26" t="str">
        <x:v>00_Official_Baseline/v0.6/05_Business_Release/Cartridge_And_Cloud_Marketing_Plan_v0.5.pdf</x:v>
      </x:c>
      <x:c r="T324" s="26" t="str">
        <x:v>Historical path preserved verbatim; hash calculated from supplied pre-regeneration project.</x:v>
      </x:c>
    </x:row>
    <x:row r="325" ht="30" customHeight="1">
      <x:c r="A325" s="26" t="str">
        <x:v>H-0321</x:v>
      </x:c>
      <x:c r="B325" s="26" t="str">
        <x:v>Official Baseline</x:v>
      </x:c>
      <x:c r="C325" s="26" t="str">
        <x:v>v0.6</x:v>
      </x:c>
      <x:c r="D325" s="26" t="str">
        <x:v>v0.6</x:v>
      </x:c>
      <x:c r="E325" s="26" t="str">
        <x:v>05_Business_Release</x:v>
      </x:c>
      <x:c r="F325" s="26"/>
      <x:c r="G325" s="26" t="str">
        <x:v>Cartridge_And_Cloud_Steam_Publishing_Plan_v0.5.pdf</x:v>
      </x:c>
      <x:c r="H325" s="26" t="str">
        <x:v>PDF</x:v>
      </x:c>
      <x:c r="I325" s="26" t="str">
        <x:v>Published baseline rendering</x:v>
      </x:c>
      <x:c r="J325" s="26" t="n">
        <x:v>28734</x:v>
      </x:c>
      <x:c r="K325" s="26" t="str">
        <x:v>a21ea9abe67f1d825731d25b8608c8f7b67e5e1b437356e0e1ee3d97870d7728</x:v>
      </x:c>
      <x:c r="L325" s="26"/>
      <x:c r="M325" s="26" t="n">
        <x:v>1</x:v>
      </x:c>
      <x:c r="N325" s="26" t="str">
        <x:v>UNIQUE</x:v>
      </x:c>
      <x:c r="O325" s="26" t="str">
        <x:v>24</x:v>
      </x:c>
      <x:c r="P325" s="26" t="str">
        <x:v>24</x:v>
      </x:c>
      <x:c r="Q325" s="26" t="str">
        <x:v>Published historical baseline</x:v>
      </x:c>
      <x:c r="R325" s="26" t="str">
        <x:v>SUPERSEDED AS AUTHORITY — RETAIN AS IMMUTABLE HISTORY</x:v>
      </x:c>
      <x:c r="S325" s="26" t="str">
        <x:v>00_Official_Baseline/v0.6/05_Business_Release/Cartridge_And_Cloud_Steam_Publishing_Plan_v0.5.pdf</x:v>
      </x:c>
      <x:c r="T325" s="26" t="str">
        <x:v>Historical path preserved verbatim; hash calculated from supplied pre-regeneration project.</x:v>
      </x:c>
    </x:row>
    <x:row r="326" ht="30" customHeight="1">
      <x:c r="A326" s="26" t="str">
        <x:v>H-0322</x:v>
      </x:c>
      <x:c r="B326" s="26" t="str">
        <x:v>Official Baseline</x:v>
      </x:c>
      <x:c r="C326" s="26" t="str">
        <x:v>v0.6</x:v>
      </x:c>
      <x:c r="D326" s="26" t="str">
        <x:v>v0.6</x:v>
      </x:c>
      <x:c r="E326" s="26" t="str">
        <x:v>06_Development_Records</x:v>
      </x:c>
      <x:c r="F326" s="26"/>
      <x:c r="G326" s="26" t="str">
        <x:v>ADR-0035_StoreInitial_Manual_Scene_Authoring.md</x:v>
      </x:c>
      <x:c r="H326" s="26" t="str">
        <x:v>Markdown</x:v>
      </x:c>
      <x:c r="I326" s="26" t="str">
        <x:v>ADR</x:v>
      </x:c>
      <x:c r="J326" s="26" t="n">
        <x:v>847</x:v>
      </x:c>
      <x:c r="K326" s="26" t="str">
        <x:v>0e69d8b664239477738f3dcce96eb5cfce2ff6e3db8817261f639ac4d64092b3</x:v>
      </x:c>
      <x:c r="L326" s="26"/>
      <x:c r="M326" s="26" t="n">
        <x:v>1</x:v>
      </x:c>
      <x:c r="N326" s="26" t="str">
        <x:v>UNIQUE</x:v>
      </x:c>
      <x:c r="O326" s="26"/>
      <x:c r="P326" s="26"/>
      <x:c r="Q326" s="26" t="str">
        <x:v>Historical baseline support</x:v>
      </x:c>
      <x:c r="R326" s="26" t="str">
        <x:v>RETAIN AS SUPPORTING HISTORY</x:v>
      </x:c>
      <x:c r="S326" s="26" t="str">
        <x:v>00_Official_Baseline/v0.6/06_Development_Records/Governance/ADR-0035_StoreInitial_Manual_Scene_Authoring.md</x:v>
      </x:c>
      <x:c r="T326" s="26" t="str">
        <x:v>Historical path preserved verbatim; hash calculated from supplied pre-regeneration project.</x:v>
      </x:c>
    </x:row>
    <x:row r="327" ht="30" customHeight="1">
      <x:c r="A327" s="26" t="str">
        <x:v>H-0323</x:v>
      </x:c>
      <x:c r="B327" s="26" t="str">
        <x:v>Official Baseline</x:v>
      </x:c>
      <x:c r="C327" s="26" t="str">
        <x:v>v0.6</x:v>
      </x:c>
      <x:c r="D327" s="26" t="str">
        <x:v>v0.6</x:v>
      </x:c>
      <x:c r="E327" s="26" t="str">
        <x:v>06_Development_Records</x:v>
      </x:c>
      <x:c r="F327" s="26"/>
      <x:c r="G327" s="26" t="str">
        <x:v>ADR_Index_Sprints_0_16.md</x:v>
      </x:c>
      <x:c r="H327" s="26" t="str">
        <x:v>Markdown</x:v>
      </x:c>
      <x:c r="I327" s="26" t="str">
        <x:v>Historical document / record</x:v>
      </x:c>
      <x:c r="J327" s="26" t="n">
        <x:v>1380</x:v>
      </x:c>
      <x:c r="K327" s="26" t="str">
        <x:v>ed97af0cf722cf8b37cd3c6c2a0ba79c7594bc94eb698c8bcfbf022ccff0c3ed</x:v>
      </x:c>
      <x:c r="L327" s="26"/>
      <x:c r="M327" s="26" t="n">
        <x:v>1</x:v>
      </x:c>
      <x:c r="N327" s="26" t="str">
        <x:v>UNIQUE</x:v>
      </x:c>
      <x:c r="O327" s="26"/>
      <x:c r="P327" s="26"/>
      <x:c r="Q327" s="26" t="str">
        <x:v>Historical baseline support</x:v>
      </x:c>
      <x:c r="R327" s="26" t="str">
        <x:v>RETAIN AS SUPPORTING HISTORY</x:v>
      </x:c>
      <x:c r="S327" s="26" t="str">
        <x:v>00_Official_Baseline/v0.6/06_Development_Records/Governance/ADR_Index_Sprints_0_16.md</x:v>
      </x:c>
      <x:c r="T327" s="26" t="str">
        <x:v>Historical path preserved verbatim; hash calculated from supplied pre-regeneration project.</x:v>
      </x:c>
    </x:row>
    <x:row r="328" ht="30" customHeight="1">
      <x:c r="A328" s="26" t="str">
        <x:v>H-0324</x:v>
      </x:c>
      <x:c r="B328" s="26" t="str">
        <x:v>Official Baseline</x:v>
      </x:c>
      <x:c r="C328" s="26" t="str">
        <x:v>v0.6</x:v>
      </x:c>
      <x:c r="D328" s="26" t="str">
        <x:v>v0.6</x:v>
      </x:c>
      <x:c r="E328" s="26" t="str">
        <x:v>06_Development_Records</x:v>
      </x:c>
      <x:c r="F328" s="26"/>
      <x:c r="G328" s="26" t="str">
        <x:v>Current_Project_Baseline_Record.md</x:v>
      </x:c>
      <x:c r="H328" s="26" t="str">
        <x:v>Markdown</x:v>
      </x:c>
      <x:c r="I328" s="26" t="str">
        <x:v>Historical document / record</x:v>
      </x:c>
      <x:c r="J328" s="26" t="n">
        <x:v>605</x:v>
      </x:c>
      <x:c r="K328" s="26" t="str">
        <x:v>98e04d98696a645237fcf80cbca55467a16a09e6bd0d46df1a74637a222ca2e4</x:v>
      </x:c>
      <x:c r="L328" s="26"/>
      <x:c r="M328" s="26" t="n">
        <x:v>1</x:v>
      </x:c>
      <x:c r="N328" s="26" t="str">
        <x:v>UNIQUE</x:v>
      </x:c>
      <x:c r="O328" s="26"/>
      <x:c r="P328" s="26"/>
      <x:c r="Q328" s="26" t="str">
        <x:v>Historical baseline support</x:v>
      </x:c>
      <x:c r="R328" s="26" t="str">
        <x:v>RETAIN AS SUPPORTING HISTORY</x:v>
      </x:c>
      <x:c r="S328" s="26" t="str">
        <x:v>00_Official_Baseline/v0.6/06_Development_Records/Governance/Current_Project_Baseline_Record.md</x:v>
      </x:c>
      <x:c r="T328" s="26" t="str">
        <x:v>Historical path preserved verbatim; hash calculated from supplied pre-regeneration project.</x:v>
      </x:c>
    </x:row>
    <x:row r="329" ht="30" customHeight="1">
      <x:c r="A329" s="26" t="str">
        <x:v>H-0325</x:v>
      </x:c>
      <x:c r="B329" s="26" t="str">
        <x:v>Official Baseline</x:v>
      </x:c>
      <x:c r="C329" s="26" t="str">
        <x:v>v0.6</x:v>
      </x:c>
      <x:c r="D329" s="26" t="str">
        <x:v>v0.6</x:v>
      </x:c>
      <x:c r="E329" s="26" t="str">
        <x:v>06_Development_Records</x:v>
      </x:c>
      <x:c r="F329" s="26"/>
      <x:c r="G329" s="26" t="str">
        <x:v>Sprint_History_Summary.md</x:v>
      </x:c>
      <x:c r="H329" s="26" t="str">
        <x:v>Markdown</x:v>
      </x:c>
      <x:c r="I329" s="26" t="str">
        <x:v>Historical document / record</x:v>
      </x:c>
      <x:c r="J329" s="26" t="n">
        <x:v>858</x:v>
      </x:c>
      <x:c r="K329" s="26" t="str">
        <x:v>db3967d73cb90a9879c223328a922431bf3685b1a8e57afa190511403dc9d1eb</x:v>
      </x:c>
      <x:c r="L329" s="26"/>
      <x:c r="M329" s="26" t="n">
        <x:v>1</x:v>
      </x:c>
      <x:c r="N329" s="26" t="str">
        <x:v>UNIQUE</x:v>
      </x:c>
      <x:c r="O329" s="26"/>
      <x:c r="P329" s="26"/>
      <x:c r="Q329" s="26" t="str">
        <x:v>Historical baseline support</x:v>
      </x:c>
      <x:c r="R329" s="26" t="str">
        <x:v>RETAIN AS SUPPORTING HISTORY</x:v>
      </x:c>
      <x:c r="S329" s="26" t="str">
        <x:v>00_Official_Baseline/v0.6/06_Development_Records/Governance/Sprint_History_Summary.md</x:v>
      </x:c>
      <x:c r="T329" s="26" t="str">
        <x:v>Historical path preserved verbatim; hash calculated from supplied pre-regeneration project.</x:v>
      </x:c>
    </x:row>
    <x:row r="330" ht="30" customHeight="1">
      <x:c r="A330" s="26" t="str">
        <x:v>H-0326</x:v>
      </x:c>
      <x:c r="B330" s="26" t="str">
        <x:v>Official Baseline</x:v>
      </x:c>
      <x:c r="C330" s="26" t="str">
        <x:v>v0.6</x:v>
      </x:c>
      <x:c r="D330" s="26" t="str">
        <x:v>v0.6</x:v>
      </x:c>
      <x:c r="E330" s="26" t="str">
        <x:v>06_Development_Records</x:v>
      </x:c>
      <x:c r="F330" s="26"/>
      <x:c r="G330" s="26" t="str">
        <x:v>CURRENT_PROJECT_HANDOFF.md</x:v>
      </x:c>
      <x:c r="H330" s="26" t="str">
        <x:v>Markdown</x:v>
      </x:c>
      <x:c r="I330" s="26" t="str">
        <x:v>Handoff record</x:v>
      </x:c>
      <x:c r="J330" s="26" t="n">
        <x:v>1241</x:v>
      </x:c>
      <x:c r="K330" s="26" t="str">
        <x:v>7a297d84a36ecdd9e4296a631fc5acbff882218d125e63312850e8f28b46cd87</x:v>
      </x:c>
      <x:c r="L330" s="26" t="str">
        <x:v>DG-048</x:v>
      </x:c>
      <x:c r="M330" s="26" t="n">
        <x:v>2</x:v>
      </x:c>
      <x:c r="N330" s="26" t="str">
        <x:v>DUPLICATE GROUP REPRESENTATIVE</x:v>
      </x:c>
      <x:c r="O330" s="26" t="str">
        <x:v>34</x:v>
      </x:c>
      <x:c r="P330" s="26" t="str">
        <x:v>14, 15, 34</x:v>
      </x:c>
      <x:c r="Q330" s="26" t="str">
        <x:v>Historical baseline support</x:v>
      </x:c>
      <x:c r="R330" s="26" t="str">
        <x:v>RETAIN AS SUPPORTING HISTORY</x:v>
      </x:c>
      <x:c r="S330" s="26" t="str">
        <x:v>00_Official_Baseline/v0.6/06_Development_Records/Handoff/CURRENT_PROJECT_HANDOFF.md</x:v>
      </x:c>
      <x:c r="T330" s="26" t="str">
        <x:v>Historical path preserved verbatim; hash calculated from supplied pre-regeneration project.</x:v>
      </x:c>
    </x:row>
    <x:row r="331" ht="30" customHeight="1">
      <x:c r="A331" s="26" t="str">
        <x:v>H-0327</x:v>
      </x:c>
      <x:c r="B331" s="26" t="str">
        <x:v>Official Baseline</x:v>
      </x:c>
      <x:c r="C331" s="26" t="str">
        <x:v>v0.6</x:v>
      </x:c>
      <x:c r="D331" s="26" t="str">
        <x:v>v0.6</x:v>
      </x:c>
      <x:c r="E331" s="26" t="str">
        <x:v>06_Development_Records</x:v>
      </x:c>
      <x:c r="F331" s="26"/>
      <x:c r="G331" s="26" t="str">
        <x:v>NEXT_CHAT_START_HERE.md</x:v>
      </x:c>
      <x:c r="H331" s="26" t="str">
        <x:v>Markdown</x:v>
      </x:c>
      <x:c r="I331" s="26" t="str">
        <x:v>Handoff record</x:v>
      </x:c>
      <x:c r="J331" s="26" t="n">
        <x:v>896</x:v>
      </x:c>
      <x:c r="K331" s="26" t="str">
        <x:v>e0cca56b839dc2071363b310c06543178dbf978622990fc7f4be301e077fc754</x:v>
      </x:c>
      <x:c r="L331" s="26"/>
      <x:c r="M331" s="26" t="n">
        <x:v>1</x:v>
      </x:c>
      <x:c r="N331" s="26" t="str">
        <x:v>UNIQUE</x:v>
      </x:c>
      <x:c r="O331" s="26" t="str">
        <x:v>34</x:v>
      </x:c>
      <x:c r="P331" s="26" t="str">
        <x:v>14, 15, 34</x:v>
      </x:c>
      <x:c r="Q331" s="26" t="str">
        <x:v>Historical baseline support</x:v>
      </x:c>
      <x:c r="R331" s="26" t="str">
        <x:v>RETAIN AS SUPPORTING HISTORY</x:v>
      </x:c>
      <x:c r="S331" s="26" t="str">
        <x:v>00_Official_Baseline/v0.6/06_Development_Records/Handoff/NEXT_CHAT_START_HERE.md</x:v>
      </x:c>
      <x:c r="T331" s="26" t="str">
        <x:v>Historical path preserved verbatim; hash calculated from supplied pre-regeneration project.</x:v>
      </x:c>
    </x:row>
    <x:row r="332" ht="30" customHeight="1">
      <x:c r="A332" s="26" t="str">
        <x:v>H-0328</x:v>
      </x:c>
      <x:c r="B332" s="26" t="str">
        <x:v>Official Baseline</x:v>
      </x:c>
      <x:c r="C332" s="26" t="str">
        <x:v>v0.6</x:v>
      </x:c>
      <x:c r="D332" s="26" t="str">
        <x:v>v0.6</x:v>
      </x:c>
      <x:c r="E332" s="26" t="str">
        <x:v>06_Development_Records</x:v>
      </x:c>
      <x:c r="F332" s="26" t="str">
        <x:v>Sprint 16</x:v>
      </x:c>
      <x:c r="G332" s="26" t="str">
        <x:v>Sprint_16_Integration_Timeline.md</x:v>
      </x:c>
      <x:c r="H332" s="26" t="str">
        <x:v>Markdown</x:v>
      </x:c>
      <x:c r="I332" s="26" t="str">
        <x:v>Historical document / record</x:v>
      </x:c>
      <x:c r="J332" s="26" t="n">
        <x:v>1783</x:v>
      </x:c>
      <x:c r="K332" s="26" t="str">
        <x:v>89fde821c460328fbb8700022883006d2eb8a1ab892c266972b7a1cc207cbcc0</x:v>
      </x:c>
      <x:c r="L332" s="26"/>
      <x:c r="M332" s="26" t="n">
        <x:v>1</x:v>
      </x:c>
      <x:c r="N332" s="26" t="str">
        <x:v>UNIQUE</x:v>
      </x:c>
      <x:c r="O332" s="26"/>
      <x:c r="P332" s="26"/>
      <x:c r="Q332" s="26" t="str">
        <x:v>Historical baseline support</x:v>
      </x:c>
      <x:c r="R332" s="26" t="str">
        <x:v>RETAIN AS SUPPORTING HISTORY</x:v>
      </x:c>
      <x:c r="S332" s="26" t="str">
        <x:v>00_Official_Baseline/v0.6/06_Development_Records/Historical/Sprint_16_Integration_Timeline.md</x:v>
      </x:c>
      <x:c r="T332" s="26" t="str">
        <x:v>Historical path preserved verbatim; hash calculated from supplied pre-regeneration project.</x:v>
      </x:c>
    </x:row>
    <x:row r="333" ht="30" customHeight="1">
      <x:c r="A333" s="26" t="str">
        <x:v>H-0329</x:v>
      </x:c>
      <x:c r="B333" s="26" t="str">
        <x:v>Official Baseline</x:v>
      </x:c>
      <x:c r="C333" s="26" t="str">
        <x:v>v0.6</x:v>
      </x:c>
      <x:c r="D333" s="26" t="str">
        <x:v>v0.6</x:v>
      </x:c>
      <x:c r="E333" s="26" t="str">
        <x:v>06_Development_Records</x:v>
      </x:c>
      <x:c r="F333" s="26"/>
      <x:c r="G333" s="26" t="str">
        <x:v>Sprints_00_15_Consolidated_Closure_Ledger.md</x:v>
      </x:c>
      <x:c r="H333" s="26" t="str">
        <x:v>Markdown</x:v>
      </x:c>
      <x:c r="I333" s="26" t="str">
        <x:v>Sprint closure</x:v>
      </x:c>
      <x:c r="J333" s="26" t="n">
        <x:v>3630</x:v>
      </x:c>
      <x:c r="K333" s="26" t="str">
        <x:v>17c317dacaec6438f7a1180b6b2811184a0d995fb41964ed2fe9ab46e1d35aab</x:v>
      </x:c>
      <x:c r="L333" s="26"/>
      <x:c r="M333" s="26" t="n">
        <x:v>1</x:v>
      </x:c>
      <x:c r="N333" s="26" t="str">
        <x:v>UNIQUE</x:v>
      </x:c>
      <x:c r="O333" s="26"/>
      <x:c r="P333" s="26"/>
      <x:c r="Q333" s="26" t="str">
        <x:v>Historical baseline support</x:v>
      </x:c>
      <x:c r="R333" s="26" t="str">
        <x:v>RETAIN AS SUPPORTING HISTORY</x:v>
      </x:c>
      <x:c r="S333" s="26" t="str">
        <x:v>00_Official_Baseline/v0.6/06_Development_Records/Historical/Sprints_00_15_Consolidated_Closure_Ledger.md</x:v>
      </x:c>
      <x:c r="T333" s="26" t="str">
        <x:v>Historical path preserved verbatim; hash calculated from supplied pre-regeneration project.</x:v>
      </x:c>
    </x:row>
    <x:row r="334" ht="30" customHeight="1">
      <x:c r="A334" s="26" t="str">
        <x:v>H-0330</x:v>
      </x:c>
      <x:c r="B334" s="26" t="str">
        <x:v>Official Baseline</x:v>
      </x:c>
      <x:c r="C334" s="26" t="str">
        <x:v>v0.6</x:v>
      </x:c>
      <x:c r="D334" s="26" t="str">
        <x:v>v0.6</x:v>
      </x:c>
      <x:c r="E334" s="26" t="str">
        <x:v>06_Development_Records</x:v>
      </x:c>
      <x:c r="F334" s="26"/>
      <x:c r="G334" s="26" t="str">
        <x:v>KNOWN_ISSUES_v0.6.md</x:v>
      </x:c>
      <x:c r="H334" s="26" t="str">
        <x:v>Markdown</x:v>
      </x:c>
      <x:c r="I334" s="26" t="str">
        <x:v>Historical document / record</x:v>
      </x:c>
      <x:c r="J334" s="26" t="n">
        <x:v>625</x:v>
      </x:c>
      <x:c r="K334" s="26" t="str">
        <x:v>cafa5a86bea24229e6306b324d1511e08d663f0b1ef97925be6de562f50ab5ec</x:v>
      </x:c>
      <x:c r="L334" s="26"/>
      <x:c r="M334" s="26" t="n">
        <x:v>1</x:v>
      </x:c>
      <x:c r="N334" s="26" t="str">
        <x:v>UNIQUE</x:v>
      </x:c>
      <x:c r="O334" s="26"/>
      <x:c r="P334" s="26"/>
      <x:c r="Q334" s="26" t="str">
        <x:v>Historical baseline support</x:v>
      </x:c>
      <x:c r="R334" s="26" t="str">
        <x:v>RETAIN AS SUPPORTING HISTORY</x:v>
      </x:c>
      <x:c r="S334" s="26" t="str">
        <x:v>00_Official_Baseline/v0.6/06_Development_Records/Known_Issues/KNOWN_ISSUES_v0.6.md</x:v>
      </x:c>
      <x:c r="T334" s="26" t="str">
        <x:v>Historical path preserved verbatim; hash calculated from supplied pre-regeneration project.</x:v>
      </x:c>
    </x:row>
    <x:row r="335" ht="30" customHeight="1">
      <x:c r="A335" s="26" t="str">
        <x:v>H-0331</x:v>
      </x:c>
      <x:c r="B335" s="26" t="str">
        <x:v>Official Baseline</x:v>
      </x:c>
      <x:c r="C335" s="26" t="str">
        <x:v>v0.6</x:v>
      </x:c>
      <x:c r="D335" s="26" t="str">
        <x:v>v0.6</x:v>
      </x:c>
      <x:c r="E335" s="26" t="str">
        <x:v>06_Development_Records</x:v>
      </x:c>
      <x:c r="F335" s="26" t="str">
        <x:v>Sprint 16</x:v>
      </x:c>
      <x:c r="G335" s="26" t="str">
        <x:v>StoreInitial_Authoring_Plan.md</x:v>
      </x:c>
      <x:c r="H335" s="26" t="str">
        <x:v>Markdown</x:v>
      </x:c>
      <x:c r="I335" s="26" t="str">
        <x:v>Historical document / record</x:v>
      </x:c>
      <x:c r="J335" s="26" t="n">
        <x:v>741</x:v>
      </x:c>
      <x:c r="K335" s="26" t="str">
        <x:v>f67d195bcda2bd1f861dcf5c53d0a299260c1f04c2f299250856a76616131eba</x:v>
      </x:c>
      <x:c r="L335" s="26"/>
      <x:c r="M335" s="26" t="n">
        <x:v>1</x:v>
      </x:c>
      <x:c r="N335" s="26" t="str">
        <x:v>UNIQUE</x:v>
      </x:c>
      <x:c r="O335" s="26"/>
      <x:c r="P335" s="26"/>
      <x:c r="Q335" s="26" t="str">
        <x:v>Historical baseline support</x:v>
      </x:c>
      <x:c r="R335" s="26" t="str">
        <x:v>RETAIN AS SUPPORTING HISTORY</x:v>
      </x:c>
      <x:c r="S335" s="26" t="str">
        <x:v>00_Official_Baseline/v0.6/06_Development_Records/Sprints/Sprint_16/Documentation/StoreInitial_Authoring_Plan.md</x:v>
      </x:c>
      <x:c r="T335" s="26" t="str">
        <x:v>Historical path preserved verbatim; hash calculated from supplied pre-regeneration project.</x:v>
      </x:c>
    </x:row>
    <x:row r="336" ht="30" customHeight="1">
      <x:c r="A336" s="26" t="str">
        <x:v>H-0332</x:v>
      </x:c>
      <x:c r="B336" s="26" t="str">
        <x:v>Official Baseline</x:v>
      </x:c>
      <x:c r="C336" s="26" t="str">
        <x:v>v0.6</x:v>
      </x:c>
      <x:c r="D336" s="26" t="str">
        <x:v>v0.6</x:v>
      </x:c>
      <x:c r="E336" s="26" t="str">
        <x:v>06_Development_Records</x:v>
      </x:c>
      <x:c r="F336" s="26" t="str">
        <x:v>Sprint 16</x:v>
      </x:c>
      <x:c r="G336" s="26" t="str">
        <x:v>Sprint_16_Current_Status.md</x:v>
      </x:c>
      <x:c r="H336" s="26" t="str">
        <x:v>Markdown</x:v>
      </x:c>
      <x:c r="I336" s="26" t="str">
        <x:v>Current status</x:v>
      </x:c>
      <x:c r="J336" s="26" t="n">
        <x:v>665</x:v>
      </x:c>
      <x:c r="K336" s="26" t="str">
        <x:v>bc336c8bf852d942d1b0289cebfdde9db889088990fcc6151df5db559e94d1a9</x:v>
      </x:c>
      <x:c r="L336" s="26"/>
      <x:c r="M336" s="26" t="n">
        <x:v>1</x:v>
      </x:c>
      <x:c r="N336" s="26" t="str">
        <x:v>UNIQUE</x:v>
      </x:c>
      <x:c r="O336" s="26"/>
      <x:c r="P336" s="26"/>
      <x:c r="Q336" s="26" t="str">
        <x:v>Historical baseline support</x:v>
      </x:c>
      <x:c r="R336" s="26" t="str">
        <x:v>RETAIN AS SUPPORTING HISTORY</x:v>
      </x:c>
      <x:c r="S336" s="26" t="str">
        <x:v>00_Official_Baseline/v0.6/06_Development_Records/Sprints/Sprint_16/Governance/Sprint_16_Current_Status.md</x:v>
      </x:c>
      <x:c r="T336" s="26" t="str">
        <x:v>Historical path preserved verbatim; hash calculated from supplied pre-regeneration project.</x:v>
      </x:c>
    </x:row>
    <x:row r="337" ht="30" customHeight="1">
      <x:c r="A337" s="26" t="str">
        <x:v>H-0333</x:v>
      </x:c>
      <x:c r="B337" s="26" t="str">
        <x:v>Official Baseline</x:v>
      </x:c>
      <x:c r="C337" s="26" t="str">
        <x:v>v0.6</x:v>
      </x:c>
      <x:c r="D337" s="26" t="str">
        <x:v>v0.6</x:v>
      </x:c>
      <x:c r="E337" s="26" t="str">
        <x:v>06_Development_Records</x:v>
      </x:c>
      <x:c r="F337" s="26" t="str">
        <x:v>Sprint 16</x:v>
      </x:c>
      <x:c r="G337" s="26" t="str">
        <x:v>Sprint_16_Representative_Asset_Integration_Record.md</x:v>
      </x:c>
      <x:c r="H337" s="26" t="str">
        <x:v>Markdown</x:v>
      </x:c>
      <x:c r="I337" s="26" t="str">
        <x:v>Historical document / record</x:v>
      </x:c>
      <x:c r="J337" s="26" t="n">
        <x:v>554</x:v>
      </x:c>
      <x:c r="K337" s="26" t="str">
        <x:v>91133cf2823d732d58fcd23601d6816e610e00375cc38e39737929d88fc4ec54</x:v>
      </x:c>
      <x:c r="L337" s="26"/>
      <x:c r="M337" s="26" t="n">
        <x:v>1</x:v>
      </x:c>
      <x:c r="N337" s="26" t="str">
        <x:v>UNIQUE</x:v>
      </x:c>
      <x:c r="O337" s="26"/>
      <x:c r="P337" s="26"/>
      <x:c r="Q337" s="26" t="str">
        <x:v>Historical baseline support</x:v>
      </x:c>
      <x:c r="R337" s="26" t="str">
        <x:v>RETAIN AS SUPPORTING HISTORY</x:v>
      </x:c>
      <x:c r="S337" s="26" t="str">
        <x:v>00_Official_Baseline/v0.6/06_Development_Records/Sprints/Sprint_16/Governance/Sprint_16_Representative_Asset_Integration_Record.md</x:v>
      </x:c>
      <x:c r="T337" s="26" t="str">
        <x:v>Historical path preserved verbatim; hash calculated from supplied pre-regeneration project.</x:v>
      </x:c>
    </x:row>
    <x:row r="338" ht="30" customHeight="1">
      <x:c r="A338" s="26" t="str">
        <x:v>H-0334</x:v>
      </x:c>
      <x:c r="B338" s="26" t="str">
        <x:v>Official Baseline</x:v>
      </x:c>
      <x:c r="C338" s="26" t="str">
        <x:v>v0.6</x:v>
      </x:c>
      <x:c r="D338" s="26" t="str">
        <x:v>v0.6</x:v>
      </x:c>
      <x:c r="E338" s="26" t="str">
        <x:v>06_Development_Records</x:v>
      </x:c>
      <x:c r="F338" s="26" t="str">
        <x:v>Sprint 16</x:v>
      </x:c>
      <x:c r="G338" s="26" t="str">
        <x:v>S16_Acceptance_Matrix.md</x:v>
      </x:c>
      <x:c r="H338" s="26" t="str">
        <x:v>Markdown</x:v>
      </x:c>
      <x:c r="I338" s="26" t="str">
        <x:v>Acceptance matrix</x:v>
      </x:c>
      <x:c r="J338" s="26" t="n">
        <x:v>572</x:v>
      </x:c>
      <x:c r="K338" s="26" t="str">
        <x:v>4ad529aceeaf7e2ea87def0e0be2f8f3998d6218f6ac11a06b40f770e66c44fd</x:v>
      </x:c>
      <x:c r="L338" s="26"/>
      <x:c r="M338" s="26" t="n">
        <x:v>1</x:v>
      </x:c>
      <x:c r="N338" s="26" t="str">
        <x:v>UNIQUE</x:v>
      </x:c>
      <x:c r="O338" s="26" t="str">
        <x:v>31</x:v>
      </x:c>
      <x:c r="P338" s="26" t="str">
        <x:v>02, 07, 08, 11, 13, 16, 31</x:v>
      </x:c>
      <x:c r="Q338" s="26" t="str">
        <x:v>Historical baseline support</x:v>
      </x:c>
      <x:c r="R338" s="26" t="str">
        <x:v>RETAIN AS SUPPORTING HISTORY</x:v>
      </x:c>
      <x:c r="S338" s="26" t="str">
        <x:v>00_Official_Baseline/v0.6/06_Development_Records/Sprints/Sprint_16/QA/S16_Acceptance_Matrix.md</x:v>
      </x:c>
      <x:c r="T338" s="26" t="str">
        <x:v>Historical path preserved verbatim; hash calculated from supplied pre-regeneration project.</x:v>
      </x:c>
    </x:row>
    <x:row r="339" ht="30" customHeight="1">
      <x:c r="A339" s="26" t="str">
        <x:v>H-0335</x:v>
      </x:c>
      <x:c r="B339" s="26" t="str">
        <x:v>Official Baseline</x:v>
      </x:c>
      <x:c r="C339" s="26" t="str">
        <x:v>v0.6</x:v>
      </x:c>
      <x:c r="D339" s="26" t="str">
        <x:v>v0.6</x:v>
      </x:c>
      <x:c r="E339" s="26" t="str">
        <x:v>06_Development_Records</x:v>
      </x:c>
      <x:c r="F339" s="26" t="str">
        <x:v>Sprint 16</x:v>
      </x:c>
      <x:c r="G339" s="26" t="str">
        <x:v>S16_QA_Execution_Record.md</x:v>
      </x:c>
      <x:c r="H339" s="26" t="str">
        <x:v>Markdown</x:v>
      </x:c>
      <x:c r="I339" s="26" t="str">
        <x:v>QA execution evidence</x:v>
      </x:c>
      <x:c r="J339" s="26" t="n">
        <x:v>328</x:v>
      </x:c>
      <x:c r="K339" s="26" t="str">
        <x:v>40c6de3168db5dcf5c71afc166c0a3a2bf34f2dc3e71344c3ccea6176d573766</x:v>
      </x:c>
      <x:c r="L339" s="26"/>
      <x:c r="M339" s="26" t="n">
        <x:v>1</x:v>
      </x:c>
      <x:c r="N339" s="26" t="str">
        <x:v>UNIQUE</x:v>
      </x:c>
      <x:c r="O339" s="26" t="str">
        <x:v>31</x:v>
      </x:c>
      <x:c r="P339" s="26" t="str">
        <x:v>02, 07, 08, 11, 13, 16, 31</x:v>
      </x:c>
      <x:c r="Q339" s="26" t="str">
        <x:v>Historical baseline support</x:v>
      </x:c>
      <x:c r="R339" s="26" t="str">
        <x:v>RETAIN AS SUPPORTING HISTORY</x:v>
      </x:c>
      <x:c r="S339" s="26" t="str">
        <x:v>00_Official_Baseline/v0.6/06_Development_Records/Sprints/Sprint_16/QA/S16_QA_Execution_Record.md</x:v>
      </x:c>
      <x:c r="T339" s="26" t="str">
        <x:v>Historical path preserved verbatim; hash calculated from supplied pre-regeneration project.</x:v>
      </x:c>
    </x:row>
    <x:row r="340" ht="30" customHeight="1">
      <x:c r="A340" s="26" t="str">
        <x:v>H-0336</x:v>
      </x:c>
      <x:c r="B340" s="26" t="str">
        <x:v>Official Baseline</x:v>
      </x:c>
      <x:c r="C340" s="26" t="str">
        <x:v>v0.6</x:v>
      </x:c>
      <x:c r="D340" s="26" t="str">
        <x:v>v0.6</x:v>
      </x:c>
      <x:c r="E340" s="26" t="str">
        <x:v>06_Development_Records</x:v>
      </x:c>
      <x:c r="F340" s="26" t="str">
        <x:v>Sprint 16</x:v>
      </x:c>
      <x:c r="G340" s="26" t="str">
        <x:v>S16_Traceability_Entries.csv</x:v>
      </x:c>
      <x:c r="H340" s="26" t="str">
        <x:v>CSV</x:v>
      </x:c>
      <x:c r="I340" s="26" t="str">
        <x:v>Traceability entry</x:v>
      </x:c>
      <x:c r="J340" s="26" t="n">
        <x:v>460</x:v>
      </x:c>
      <x:c r="K340" s="26" t="str">
        <x:v>3263ee5adec14e81588139e9c291ae973115ac75bef79233e6a514ac3643fd67</x:v>
      </x:c>
      <x:c r="L340" s="26"/>
      <x:c r="M340" s="26" t="n">
        <x:v>1</x:v>
      </x:c>
      <x:c r="N340" s="26" t="str">
        <x:v>UNIQUE</x:v>
      </x:c>
      <x:c r="O340" s="26"/>
      <x:c r="P340" s="26"/>
      <x:c r="Q340" s="26" t="str">
        <x:v>Historical baseline support</x:v>
      </x:c>
      <x:c r="R340" s="26" t="str">
        <x:v>RETAIN AS SUPPORTING HISTORY</x:v>
      </x:c>
      <x:c r="S340" s="26" t="str">
        <x:v>00_Official_Baseline/v0.6/06_Development_Records/Sprints/Sprint_16/Traceability/S16_Traceability_Entries.csv</x:v>
      </x:c>
      <x:c r="T340" s="26" t="str">
        <x:v>Historical path preserved verbatim; hash calculated from supplied pre-regeneration project.</x:v>
      </x:c>
    </x:row>
    <x:row r="341" ht="30" customHeight="1">
      <x:c r="A341" s="26" t="str">
        <x:v>H-0337</x:v>
      </x:c>
      <x:c r="B341" s="26" t="str">
        <x:v>Official Baseline</x:v>
      </x:c>
      <x:c r="C341" s="26" t="str">
        <x:v>v0.6</x:v>
      </x:c>
      <x:c r="D341" s="26" t="str">
        <x:v>v0.6</x:v>
      </x:c>
      <x:c r="E341" s="26" t="str">
        <x:v>06_Development_Records</x:v>
      </x:c>
      <x:c r="F341" s="26" t="str">
        <x:v>Sprint 17</x:v>
      </x:c>
      <x:c r="G341" s="26" t="str">
        <x:v>Sprint_17_Opening_Brief.md</x:v>
      </x:c>
      <x:c r="H341" s="26" t="str">
        <x:v>Markdown</x:v>
      </x:c>
      <x:c r="I341" s="26" t="str">
        <x:v>Historical document / record</x:v>
      </x:c>
      <x:c r="J341" s="26" t="n">
        <x:v>239</x:v>
      </x:c>
      <x:c r="K341" s="26" t="str">
        <x:v>fb2c1a557e3b6cd765497315fa554eacc048c2fd21a2be9c7f5f28895a189ac1</x:v>
      </x:c>
      <x:c r="L341" s="26"/>
      <x:c r="M341" s="26" t="n">
        <x:v>1</x:v>
      </x:c>
      <x:c r="N341" s="26" t="str">
        <x:v>UNIQUE</x:v>
      </x:c>
      <x:c r="O341" s="26"/>
      <x:c r="P341" s="26"/>
      <x:c r="Q341" s="26" t="str">
        <x:v>Historical baseline support</x:v>
      </x:c>
      <x:c r="R341" s="26" t="str">
        <x:v>RETAIN AS SUPPORTING HISTORY</x:v>
      </x:c>
      <x:c r="S341" s="26" t="str">
        <x:v>00_Official_Baseline/v0.6/06_Development_Records/Sprints/Sprint_17/Governance/Sprint_17_Opening_Brief.md</x:v>
      </x:c>
      <x:c r="T341" s="26" t="str">
        <x:v>Historical path preserved verbatim; hash calculated from supplied pre-regeneration project.</x:v>
      </x:c>
    </x:row>
    <x:row r="342" ht="30" customHeight="1">
      <x:c r="A342" s="26" t="str">
        <x:v>H-0338</x:v>
      </x:c>
      <x:c r="B342" s="26" t="str">
        <x:v>Official Baseline</x:v>
      </x:c>
      <x:c r="C342" s="26" t="str">
        <x:v>v0.6</x:v>
      </x:c>
      <x:c r="D342" s="26" t="str">
        <x:v>v0.6</x:v>
      </x:c>
      <x:c r="E342" s="26" t="str">
        <x:v>99_Source_Markdown</x:v>
      </x:c>
      <x:c r="F342" s="26"/>
      <x:c r="G342" s="26" t="str">
        <x:v>00_Cartridge_And_Cloud_Guide_v0.6.md</x:v>
      </x:c>
      <x:c r="H342" s="26" t="str">
        <x:v>Markdown</x:v>
      </x:c>
      <x:c r="I342" s="26" t="str">
        <x:v>Authoring source</x:v>
      </x:c>
      <x:c r="J342" s="26" t="n">
        <x:v>8360</x:v>
      </x:c>
      <x:c r="K342" s="26" t="str">
        <x:v>ea57886a818c892391b8bc669d5248c91d83500526d31d38550ad3da92552428</x:v>
      </x:c>
      <x:c r="L342" s="26"/>
      <x:c r="M342" s="26" t="n">
        <x:v>1</x:v>
      </x:c>
      <x:c r="N342" s="26" t="str">
        <x:v>UNIQUE</x:v>
      </x:c>
      <x:c r="O342" s="26" t="str">
        <x:v>15</x:v>
      </x:c>
      <x:c r="P342" s="26" t="str">
        <x:v>15</x:v>
      </x:c>
      <x:c r="Q342" s="26" t="str">
        <x:v>Source equivalent — paired with published artifact</x:v>
      </x:c>
      <x:c r="R342" s="26" t="str">
        <x:v>RETAIN AS AUTHORING SOURCE / HISTORICAL EQUIVALENT</x:v>
      </x:c>
      <x:c r="S342" s="26" t="str">
        <x:v>00_Official_Baseline/v0.6/99_Source_Markdown/00_Cartridge_And_Cloud_Guide_v0.6.md</x:v>
      </x:c>
      <x:c r="T342" s="26" t="str">
        <x:v>Historical path preserved verbatim; hash calculated from supplied pre-regeneration project.</x:v>
      </x:c>
    </x:row>
    <x:row r="343" ht="30" customHeight="1">
      <x:c r="A343" s="26" t="str">
        <x:v>H-0339</x:v>
      </x:c>
      <x:c r="B343" s="26" t="str">
        <x:v>Official Baseline</x:v>
      </x:c>
      <x:c r="C343" s="26" t="str">
        <x:v>v0.6</x:v>
      </x:c>
      <x:c r="D343" s="26" t="str">
        <x:v>v0.6</x:v>
      </x:c>
      <x:c r="E343" s="26" t="str">
        <x:v>99_Source_Markdown</x:v>
      </x:c>
      <x:c r="F343" s="26"/>
      <x:c r="G343" s="26" t="str">
        <x:v>Cartridge_And_Cloud_Art_Bible_v0.5.md</x:v>
      </x:c>
      <x:c r="H343" s="26" t="str">
        <x:v>Markdown</x:v>
      </x:c>
      <x:c r="I343" s="26" t="str">
        <x:v>Authoring source</x:v>
      </x:c>
      <x:c r="J343" s="26" t="n">
        <x:v>2501</x:v>
      </x:c>
      <x:c r="K343" s="26" t="str">
        <x:v>27d4fe8de7bd166329880e6975b1bf90883cd92ca7133b667f1036b09816ca42</x:v>
      </x:c>
      <x:c r="L343" s="26"/>
      <x:c r="M343" s="26" t="n">
        <x:v>1</x:v>
      </x:c>
      <x:c r="N343" s="26" t="str">
        <x:v>UNIQUE</x:v>
      </x:c>
      <x:c r="O343" s="26" t="str">
        <x:v>17</x:v>
      </x:c>
      <x:c r="P343" s="26" t="str">
        <x:v>17</x:v>
      </x:c>
      <x:c r="Q343" s="26" t="str">
        <x:v>Source equivalent — paired with published artifact</x:v>
      </x:c>
      <x:c r="R343" s="26" t="str">
        <x:v>RETAIN AS AUTHORING SOURCE / HISTORICAL EQUIVALENT</x:v>
      </x:c>
      <x:c r="S343" s="26" t="str">
        <x:v>00_Official_Baseline/v0.6/99_Source_Markdown/Cartridge_And_Cloud_Art_Bible_v0.5.md</x:v>
      </x:c>
      <x:c r="T343" s="26" t="str">
        <x:v>Historical path preserved verbatim; hash calculated from supplied pre-regeneration project.</x:v>
      </x:c>
    </x:row>
    <x:row r="344" ht="30" customHeight="1">
      <x:c r="A344" s="26" t="str">
        <x:v>H-0340</x:v>
      </x:c>
      <x:c r="B344" s="26" t="str">
        <x:v>Official Baseline</x:v>
      </x:c>
      <x:c r="C344" s="26" t="str">
        <x:v>v0.6</x:v>
      </x:c>
      <x:c r="D344" s="26" t="str">
        <x:v>v0.6</x:v>
      </x:c>
      <x:c r="E344" s="26" t="str">
        <x:v>99_Source_Markdown</x:v>
      </x:c>
      <x:c r="F344" s="26"/>
      <x:c r="G344" s="26" t="str">
        <x:v>Cartridge_And_Cloud_Audio_Bible_v0.5.md</x:v>
      </x:c>
      <x:c r="H344" s="26" t="str">
        <x:v>Markdown</x:v>
      </x:c>
      <x:c r="I344" s="26" t="str">
        <x:v>Authoring source</x:v>
      </x:c>
      <x:c r="J344" s="26" t="n">
        <x:v>2018</x:v>
      </x:c>
      <x:c r="K344" s="26" t="str">
        <x:v>3edc3d0db88a36ac7726381883bbf4ffb5f5260a6cb5d972ecf659fbd5116aed</x:v>
      </x:c>
      <x:c r="L344" s="26"/>
      <x:c r="M344" s="26" t="n">
        <x:v>1</x:v>
      </x:c>
      <x:c r="N344" s="26" t="str">
        <x:v>UNIQUE</x:v>
      </x:c>
      <x:c r="O344" s="26" t="str">
        <x:v>18</x:v>
      </x:c>
      <x:c r="P344" s="26" t="str">
        <x:v>18</x:v>
      </x:c>
      <x:c r="Q344" s="26" t="str">
        <x:v>Source equivalent — paired with published artifact</x:v>
      </x:c>
      <x:c r="R344" s="26" t="str">
        <x:v>RETAIN AS AUTHORING SOURCE / HISTORICAL EQUIVALENT</x:v>
      </x:c>
      <x:c r="S344" s="26" t="str">
        <x:v>00_Official_Baseline/v0.6/99_Source_Markdown/Cartridge_And_Cloud_Audio_Bible_v0.5.md</x:v>
      </x:c>
      <x:c r="T344" s="26" t="str">
        <x:v>Historical path preserved verbatim; hash calculated from supplied pre-regeneration project.</x:v>
      </x:c>
    </x:row>
    <x:row r="345" ht="30" customHeight="1">
      <x:c r="A345" s="26" t="str">
        <x:v>H-0341</x:v>
      </x:c>
      <x:c r="B345" s="26" t="str">
        <x:v>Official Baseline</x:v>
      </x:c>
      <x:c r="C345" s="26" t="str">
        <x:v>v0.6</x:v>
      </x:c>
      <x:c r="D345" s="26" t="str">
        <x:v>v0.6</x:v>
      </x:c>
      <x:c r="E345" s="26" t="str">
        <x:v>99_Source_Markdown</x:v>
      </x:c>
      <x:c r="F345" s="26"/>
      <x:c r="G345" s="26" t="str">
        <x:v>Cartridge_And_Cloud_Build_Versioning_Guide_v0.6.md</x:v>
      </x:c>
      <x:c r="H345" s="26" t="str">
        <x:v>Markdown</x:v>
      </x:c>
      <x:c r="I345" s="26" t="str">
        <x:v>Authoring source</x:v>
      </x:c>
      <x:c r="J345" s="26" t="n">
        <x:v>2462</x:v>
      </x:c>
      <x:c r="K345" s="26" t="str">
        <x:v>8cd0f62e233cfbad2bed3a07122696e2ea81b4fd5280987cffb9a8a2a1e98d43</x:v>
      </x:c>
      <x:c r="L345" s="26"/>
      <x:c r="M345" s="26" t="n">
        <x:v>1</x:v>
      </x:c>
      <x:c r="N345" s="26" t="str">
        <x:v>UNIQUE</x:v>
      </x:c>
      <x:c r="O345" s="26" t="str">
        <x:v>11</x:v>
      </x:c>
      <x:c r="P345" s="26" t="str">
        <x:v>11</x:v>
      </x:c>
      <x:c r="Q345" s="26" t="str">
        <x:v>Source equivalent — paired with published artifact</x:v>
      </x:c>
      <x:c r="R345" s="26" t="str">
        <x:v>RETAIN AS AUTHORING SOURCE / HISTORICAL EQUIVALENT</x:v>
      </x:c>
      <x:c r="S345" s="26" t="str">
        <x:v>00_Official_Baseline/v0.6/99_Source_Markdown/Cartridge_And_Cloud_Build_Versioning_Guide_v0.6.md</x:v>
      </x:c>
      <x:c r="T345" s="26" t="str">
        <x:v>Historical path preserved verbatim; hash calculated from supplied pre-regeneration project.</x:v>
      </x:c>
    </x:row>
    <x:row r="346" ht="30" customHeight="1">
      <x:c r="A346" s="26" t="str">
        <x:v>H-0342</x:v>
      </x:c>
      <x:c r="B346" s="26" t="str">
        <x:v>Official Baseline</x:v>
      </x:c>
      <x:c r="C346" s="26" t="str">
        <x:v>v0.6</x:v>
      </x:c>
      <x:c r="D346" s="26" t="str">
        <x:v>v0.6</x:v>
      </x:c>
      <x:c r="E346" s="26" t="str">
        <x:v>99_Source_Markdown</x:v>
      </x:c>
      <x:c r="F346" s="26"/>
      <x:c r="G346" s="26" t="str">
        <x:v>Cartridge_And_Cloud_CSharp_Coding_Standards_v0.5.md</x:v>
      </x:c>
      <x:c r="H346" s="26" t="str">
        <x:v>Markdown</x:v>
      </x:c>
      <x:c r="I346" s="26" t="str">
        <x:v>Authoring source</x:v>
      </x:c>
      <x:c r="J346" s="26" t="n">
        <x:v>2690</x:v>
      </x:c>
      <x:c r="K346" s="26" t="str">
        <x:v>99f4cf1616d3c5e3d825ce713c6996928a09fa5c28c43802c4104336a28bfe57</x:v>
      </x:c>
      <x:c r="L346" s="26"/>
      <x:c r="M346" s="26" t="n">
        <x:v>1</x:v>
      </x:c>
      <x:c r="N346" s="26" t="str">
        <x:v>UNIQUE</x:v>
      </x:c>
      <x:c r="O346" s="26" t="str">
        <x:v>09</x:v>
      </x:c>
      <x:c r="P346" s="26" t="str">
        <x:v>09</x:v>
      </x:c>
      <x:c r="Q346" s="26" t="str">
        <x:v>Source equivalent — paired with published artifact</x:v>
      </x:c>
      <x:c r="R346" s="26" t="str">
        <x:v>RETAIN AS AUTHORING SOURCE / HISTORICAL EQUIVALENT</x:v>
      </x:c>
      <x:c r="S346" s="26" t="str">
        <x:v>00_Official_Baseline/v0.6/99_Source_Markdown/Cartridge_And_Cloud_CSharp_Coding_Standards_v0.5.md</x:v>
      </x:c>
      <x:c r="T346" s="26" t="str">
        <x:v>Historical path preserved verbatim; hash calculated from supplied pre-regeneration project.</x:v>
      </x:c>
    </x:row>
    <x:row r="347" ht="30" customHeight="1">
      <x:c r="A347" s="26" t="str">
        <x:v>H-0343</x:v>
      </x:c>
      <x:c r="B347" s="26" t="str">
        <x:v>Official Baseline</x:v>
      </x:c>
      <x:c r="C347" s="26" t="str">
        <x:v>v0.6</x:v>
      </x:c>
      <x:c r="D347" s="26" t="str">
        <x:v>v0.6</x:v>
      </x:c>
      <x:c r="E347" s="26" t="str">
        <x:v>99_Source_Markdown</x:v>
      </x:c>
      <x:c r="F347" s="26"/>
      <x:c r="G347" s="26" t="str">
        <x:v>Cartridge_And_Cloud_Document_Migration_Plan_v0.3.md</x:v>
      </x:c>
      <x:c r="H347" s="26" t="str">
        <x:v>Markdown</x:v>
      </x:c>
      <x:c r="I347" s="26" t="str">
        <x:v>Migration record</x:v>
      </x:c>
      <x:c r="J347" s="26" t="n">
        <x:v>2740</x:v>
      </x:c>
      <x:c r="K347" s="26" t="str">
        <x:v>e72d9cd5b5f41609df36f157d26025eb93cb707e433341a939a4b5201cb725c8</x:v>
      </x:c>
      <x:c r="L347" s="26"/>
      <x:c r="M347" s="26" t="n">
        <x:v>1</x:v>
      </x:c>
      <x:c r="N347" s="26" t="str">
        <x:v>UNIQUE</x:v>
      </x:c>
      <x:c r="O347" s="26" t="str">
        <x:v>32</x:v>
      </x:c>
      <x:c r="P347" s="26" t="str">
        <x:v>13, 14, 15, 16, 32</x:v>
      </x:c>
      <x:c r="Q347" s="26" t="str">
        <x:v>Source equivalent — paired with published artifact</x:v>
      </x:c>
      <x:c r="R347" s="26" t="str">
        <x:v>RETAIN AS AUTHORING SOURCE / HISTORICAL EQUIVALENT</x:v>
      </x:c>
      <x:c r="S347" s="26" t="str">
        <x:v>00_Official_Baseline/v0.6/99_Source_Markdown/Cartridge_And_Cloud_Document_Migration_Plan_v0.3.md</x:v>
      </x:c>
      <x:c r="T347" s="26" t="str">
        <x:v>Historical path preserved verbatim; hash calculated from supplied pre-regeneration project.</x:v>
      </x:c>
    </x:row>
    <x:row r="348" ht="30" customHeight="1">
      <x:c r="A348" s="26" t="str">
        <x:v>H-0344</x:v>
      </x:c>
      <x:c r="B348" s="26" t="str">
        <x:v>Official Baseline</x:v>
      </x:c>
      <x:c r="C348" s="26" t="str">
        <x:v>v0.6</x:v>
      </x:c>
      <x:c r="D348" s="26" t="str">
        <x:v>v0.6</x:v>
      </x:c>
      <x:c r="E348" s="26" t="str">
        <x:v>99_Source_Markdown</x:v>
      </x:c>
      <x:c r="F348" s="26"/>
      <x:c r="G348" s="26" t="str">
        <x:v>Cartridge_And_Cloud_Documentation_Validation_Report_v0.4.md</x:v>
      </x:c>
      <x:c r="H348" s="26" t="str">
        <x:v>Markdown</x:v>
      </x:c>
      <x:c r="I348" s="26" t="str">
        <x:v>Validation report</x:v>
      </x:c>
      <x:c r="J348" s="26" t="n">
        <x:v>2021</x:v>
      </x:c>
      <x:c r="K348" s="26" t="str">
        <x:v>a08d4ff750799f8b8d4cf0bd9412f4e6c5c7258055d089a896d0abaf8bf52d69</x:v>
      </x:c>
      <x:c r="L348" s="26"/>
      <x:c r="M348" s="26" t="n">
        <x:v>1</x:v>
      </x:c>
      <x:c r="N348" s="26" t="str">
        <x:v>UNIQUE</x:v>
      </x:c>
      <x:c r="O348" s="26" t="str">
        <x:v>16</x:v>
      </x:c>
      <x:c r="P348" s="26" t="str">
        <x:v>16</x:v>
      </x:c>
      <x:c r="Q348" s="26" t="str">
        <x:v>Source equivalent — paired with published artifact</x:v>
      </x:c>
      <x:c r="R348" s="26" t="str">
        <x:v>RETAIN AS AUTHORING SOURCE / HISTORICAL EQUIVALENT</x:v>
      </x:c>
      <x:c r="S348" s="26" t="str">
        <x:v>00_Official_Baseline/v0.6/99_Source_Markdown/Cartridge_And_Cloud_Documentation_Validation_Report_v0.4.md</x:v>
      </x:c>
      <x:c r="T348" s="26" t="str">
        <x:v>Historical path preserved verbatim; hash calculated from supplied pre-regeneration project.</x:v>
      </x:c>
    </x:row>
    <x:row r="349" ht="30" customHeight="1">
      <x:c r="A349" s="26" t="str">
        <x:v>H-0345</x:v>
      </x:c>
      <x:c r="B349" s="26" t="str">
        <x:v>Official Baseline</x:v>
      </x:c>
      <x:c r="C349" s="26" t="str">
        <x:v>v0.6</x:v>
      </x:c>
      <x:c r="D349" s="26" t="str">
        <x:v>v0.6</x:v>
      </x:c>
      <x:c r="E349" s="26" t="str">
        <x:v>99_Source_Markdown</x:v>
      </x:c>
      <x:c r="F349" s="26"/>
      <x:c r="G349" s="26" t="str">
        <x:v>Cartridge_And_Cloud_Economy_Balance_Specification_v0.3.md</x:v>
      </x:c>
      <x:c r="H349" s="26" t="str">
        <x:v>Markdown</x:v>
      </x:c>
      <x:c r="I349" s="26" t="str">
        <x:v>Authoring source</x:v>
      </x:c>
      <x:c r="J349" s="26" t="n">
        <x:v>2564</x:v>
      </x:c>
      <x:c r="K349" s="26" t="str">
        <x:v>0f3a938d2dcfb83e03b20cc8b7902342d8124f42965cb9585c81a8854ce16abc</x:v>
      </x:c>
      <x:c r="L349" s="26"/>
      <x:c r="M349" s="26" t="n">
        <x:v>1</x:v>
      </x:c>
      <x:c r="N349" s="26" t="str">
        <x:v>UNIQUE</x:v>
      </x:c>
      <x:c r="O349" s="26" t="str">
        <x:v>20</x:v>
      </x:c>
      <x:c r="P349" s="26" t="str">
        <x:v>20</x:v>
      </x:c>
      <x:c r="Q349" s="26" t="str">
        <x:v>Source equivalent — paired with published artifact</x:v>
      </x:c>
      <x:c r="R349" s="26" t="str">
        <x:v>RETAIN AS AUTHORING SOURCE / HISTORICAL EQUIVALENT</x:v>
      </x:c>
      <x:c r="S349" s="26" t="str">
        <x:v>00_Official_Baseline/v0.6/99_Source_Markdown/Cartridge_And_Cloud_Economy_Balance_Specification_v0.3.md</x:v>
      </x:c>
      <x:c r="T349" s="26" t="str">
        <x:v>Historical path preserved verbatim; hash calculated from supplied pre-regeneration project.</x:v>
      </x:c>
    </x:row>
    <x:row r="350" ht="30" customHeight="1">
      <x:c r="A350" s="26" t="str">
        <x:v>H-0346</x:v>
      </x:c>
      <x:c r="B350" s="26" t="str">
        <x:v>Official Baseline</x:v>
      </x:c>
      <x:c r="C350" s="26" t="str">
        <x:v>v0.6</x:v>
      </x:c>
      <x:c r="D350" s="26" t="str">
        <x:v>v0.6</x:v>
      </x:c>
      <x:c r="E350" s="26" t="str">
        <x:v>99_Source_Markdown</x:v>
      </x:c>
      <x:c r="F350" s="26"/>
      <x:c r="G350" s="26" t="str">
        <x:v>Cartridge_And_Cloud_Enfoque_v0.8.md</x:v>
      </x:c>
      <x:c r="H350" s="26" t="str">
        <x:v>Markdown</x:v>
      </x:c>
      <x:c r="I350" s="26" t="str">
        <x:v>Authoring source</x:v>
      </x:c>
      <x:c r="J350" s="26" t="n">
        <x:v>3665</x:v>
      </x:c>
      <x:c r="K350" s="26" t="str">
        <x:v>7723b3a72d7b63ace8f1401c9eb2ed250a671e6a49e867f134583c4572ce524c</x:v>
      </x:c>
      <x:c r="L350" s="26" t="str">
        <x:v>DG-046</x:v>
      </x:c>
      <x:c r="M350" s="26" t="n">
        <x:v>2</x:v>
      </x:c>
      <x:c r="N350" s="26" t="str">
        <x:v>IDENTICAL COPY</x:v>
      </x:c>
      <x:c r="O350" s="26" t="str">
        <x:v>00</x:v>
      </x:c>
      <x:c r="P350" s="26" t="str">
        <x:v>00</x:v>
      </x:c>
      <x:c r="Q350" s="26" t="str">
        <x:v>Source equivalent — paired with published artifact</x:v>
      </x:c>
      <x:c r="R350" s="26" t="str">
        <x:v>RETAIN AS AUTHORING SOURCE / HISTORICAL EQUIVALENT</x:v>
      </x:c>
      <x:c r="S350" s="26" t="str">
        <x:v>00_Official_Baseline/v0.6/99_Source_Markdown/Cartridge_And_Cloud_Enfoque_v0.8.md</x:v>
      </x:c>
      <x:c r="T350" s="26" t="str">
        <x:v>Historical path preserved verbatim; hash calculated from supplied pre-regeneration project.</x:v>
      </x:c>
    </x:row>
    <x:row r="351" ht="30" customHeight="1">
      <x:c r="A351" s="26" t="str">
        <x:v>H-0347</x:v>
      </x:c>
      <x:c r="B351" s="26" t="str">
        <x:v>Official Baseline</x:v>
      </x:c>
      <x:c r="C351" s="26" t="str">
        <x:v>v0.6</x:v>
      </x:c>
      <x:c r="D351" s="26" t="str">
        <x:v>v0.6</x:v>
      </x:c>
      <x:c r="E351" s="26" t="str">
        <x:v>99_Source_Markdown</x:v>
      </x:c>
      <x:c r="F351" s="26"/>
      <x:c r="G351" s="26" t="str">
        <x:v>Cartridge_And_Cloud_GDD_v0.6_PCSteam.md</x:v>
      </x:c>
      <x:c r="H351" s="26" t="str">
        <x:v>Markdown</x:v>
      </x:c>
      <x:c r="I351" s="26" t="str">
        <x:v>Authoring source</x:v>
      </x:c>
      <x:c r="J351" s="26" t="n">
        <x:v>4005</x:v>
      </x:c>
      <x:c r="K351" s="26" t="str">
        <x:v>333c7777584bcdee29c1caa8f90f4e43e3013e88cc339466a1a51f5bdd42c0d7</x:v>
      </x:c>
      <x:c r="L351" s="26"/>
      <x:c r="M351" s="26" t="n">
        <x:v>1</x:v>
      </x:c>
      <x:c r="N351" s="26" t="str">
        <x:v>UNIQUE</x:v>
      </x:c>
      <x:c r="O351" s="26" t="str">
        <x:v>01</x:v>
      </x:c>
      <x:c r="P351" s="26" t="str">
        <x:v>01</x:v>
      </x:c>
      <x:c r="Q351" s="26" t="str">
        <x:v>Source equivalent — paired with published artifact</x:v>
      </x:c>
      <x:c r="R351" s="26" t="str">
        <x:v>RETAIN AS AUTHORING SOURCE / HISTORICAL EQUIVALENT</x:v>
      </x:c>
      <x:c r="S351" s="26" t="str">
        <x:v>00_Official_Baseline/v0.6/99_Source_Markdown/Cartridge_And_Cloud_GDD_v0.6_PCSteam.md</x:v>
      </x:c>
      <x:c r="T351" s="26" t="str">
        <x:v>Historical path preserved verbatim; hash calculated from supplied pre-regeneration project.</x:v>
      </x:c>
    </x:row>
    <x:row r="352" ht="30" customHeight="1">
      <x:c r="A352" s="26" t="str">
        <x:v>H-0348</x:v>
      </x:c>
      <x:c r="B352" s="26" t="str">
        <x:v>Official Baseline</x:v>
      </x:c>
      <x:c r="C352" s="26" t="str">
        <x:v>v0.6</x:v>
      </x:c>
      <x:c r="D352" s="26" t="str">
        <x:v>v0.6</x:v>
      </x:c>
      <x:c r="E352" s="26" t="str">
        <x:v>99_Source_Markdown</x:v>
      </x:c>
      <x:c r="F352" s="26"/>
      <x:c r="G352" s="26" t="str">
        <x:v>Cartridge_And_Cloud_Initial_Content_Catalog_v0.3.md</x:v>
      </x:c>
      <x:c r="H352" s="26" t="str">
        <x:v>Markdown</x:v>
      </x:c>
      <x:c r="I352" s="26" t="str">
        <x:v>Authoring source</x:v>
      </x:c>
      <x:c r="J352" s="26" t="n">
        <x:v>2784</x:v>
      </x:c>
      <x:c r="K352" s="26" t="str">
        <x:v>68f8841d7f5e83b1078bbf8c110e799165b74f5d75a823839d0acfd3086b333e</x:v>
      </x:c>
      <x:c r="L352" s="26"/>
      <x:c r="M352" s="26" t="n">
        <x:v>1</x:v>
      </x:c>
      <x:c r="N352" s="26" t="str">
        <x:v>UNIQUE</x:v>
      </x:c>
      <x:c r="O352" s="26" t="str">
        <x:v>21</x:v>
      </x:c>
      <x:c r="P352" s="26" t="str">
        <x:v>21</x:v>
      </x:c>
      <x:c r="Q352" s="26" t="str">
        <x:v>Source equivalent — paired with published artifact</x:v>
      </x:c>
      <x:c r="R352" s="26" t="str">
        <x:v>RETAIN AS AUTHORING SOURCE / HISTORICAL EQUIVALENT</x:v>
      </x:c>
      <x:c r="S352" s="26" t="str">
        <x:v>00_Official_Baseline/v0.6/99_Source_Markdown/Cartridge_And_Cloud_Initial_Content_Catalog_v0.3.md</x:v>
      </x:c>
      <x:c r="T352" s="26" t="str">
        <x:v>Historical path preserved verbatim; hash calculated from supplied pre-regeneration project.</x:v>
      </x:c>
    </x:row>
    <x:row r="353" ht="30" customHeight="1">
      <x:c r="A353" s="26" t="str">
        <x:v>H-0349</x:v>
      </x:c>
      <x:c r="B353" s="26" t="str">
        <x:v>Official Baseline</x:v>
      </x:c>
      <x:c r="C353" s="26" t="str">
        <x:v>v0.6</x:v>
      </x:c>
      <x:c r="D353" s="26" t="str">
        <x:v>v0.6</x:v>
      </x:c>
      <x:c r="E353" s="26" t="str">
        <x:v>99_Source_Markdown</x:v>
      </x:c>
      <x:c r="F353" s="26"/>
      <x:c r="G353" s="26" t="str">
        <x:v>Cartridge_And_Cloud_Legal_Credits_Licenses_Register_v0.5.md</x:v>
      </x:c>
      <x:c r="H353" s="26" t="str">
        <x:v>Markdown</x:v>
      </x:c>
      <x:c r="I353" s="26" t="str">
        <x:v>Authoring source</x:v>
      </x:c>
      <x:c r="J353" s="26" t="n">
        <x:v>1951</x:v>
      </x:c>
      <x:c r="K353" s="26" t="str">
        <x:v>610fc2ca1dd8ea1859fb779039e5de841610646d1e5601d316b2fe34410c3c81</x:v>
      </x:c>
      <x:c r="L353" s="26"/>
      <x:c r="M353" s="26" t="n">
        <x:v>1</x:v>
      </x:c>
      <x:c r="N353" s="26" t="str">
        <x:v>UNIQUE</x:v>
      </x:c>
      <x:c r="O353" s="26" t="str">
        <x:v>23</x:v>
      </x:c>
      <x:c r="P353" s="26" t="str">
        <x:v>23</x:v>
      </x:c>
      <x:c r="Q353" s="26" t="str">
        <x:v>Source equivalent — paired with published artifact</x:v>
      </x:c>
      <x:c r="R353" s="26" t="str">
        <x:v>RETAIN AS AUTHORING SOURCE / HISTORICAL EQUIVALENT</x:v>
      </x:c>
      <x:c r="S353" s="26" t="str">
        <x:v>00_Official_Baseline/v0.6/99_Source_Markdown/Cartridge_And_Cloud_Legal_Credits_Licenses_Register_v0.5.md</x:v>
      </x:c>
      <x:c r="T353" s="26" t="str">
        <x:v>Historical path preserved verbatim; hash calculated from supplied pre-regeneration project.</x:v>
      </x:c>
    </x:row>
    <x:row r="354" ht="30" customHeight="1">
      <x:c r="A354" s="26" t="str">
        <x:v>H-0350</x:v>
      </x:c>
      <x:c r="B354" s="26" t="str">
        <x:v>Official Baseline</x:v>
      </x:c>
      <x:c r="C354" s="26" t="str">
        <x:v>v0.6</x:v>
      </x:c>
      <x:c r="D354" s="26" t="str">
        <x:v>v0.6</x:v>
      </x:c>
      <x:c r="E354" s="26" t="str">
        <x:v>99_Source_Markdown</x:v>
      </x:c>
      <x:c r="F354" s="26"/>
      <x:c r="G354" s="26" t="str">
        <x:v>Cartridge_And_Cloud_Localization_Plan_v0.5.md</x:v>
      </x:c>
      <x:c r="H354" s="26" t="str">
        <x:v>Markdown</x:v>
      </x:c>
      <x:c r="I354" s="26" t="str">
        <x:v>Authoring source</x:v>
      </x:c>
      <x:c r="J354" s="26" t="n">
        <x:v>1891</x:v>
      </x:c>
      <x:c r="K354" s="26" t="str">
        <x:v>e8c63ec8a67f5d87f5dcec078c94ac08620b27a064a5a6866a20fa78de1becf9</x:v>
      </x:c>
      <x:c r="L354" s="26"/>
      <x:c r="M354" s="26" t="n">
        <x:v>1</x:v>
      </x:c>
      <x:c r="N354" s="26" t="str">
        <x:v>UNIQUE</x:v>
      </x:c>
      <x:c r="O354" s="26" t="str">
        <x:v>22</x:v>
      </x:c>
      <x:c r="P354" s="26" t="str">
        <x:v>22</x:v>
      </x:c>
      <x:c r="Q354" s="26" t="str">
        <x:v>Source equivalent — paired with published artifact</x:v>
      </x:c>
      <x:c r="R354" s="26" t="str">
        <x:v>RETAIN AS AUTHORING SOURCE / HISTORICAL EQUIVALENT</x:v>
      </x:c>
      <x:c r="S354" s="26" t="str">
        <x:v>00_Official_Baseline/v0.6/99_Source_Markdown/Cartridge_And_Cloud_Localization_Plan_v0.5.md</x:v>
      </x:c>
      <x:c r="T354" s="26" t="str">
        <x:v>Historical path preserved verbatim; hash calculated from supplied pre-regeneration project.</x:v>
      </x:c>
    </x:row>
    <x:row r="355" ht="30" customHeight="1">
      <x:c r="A355" s="26" t="str">
        <x:v>H-0351</x:v>
      </x:c>
      <x:c r="B355" s="26" t="str">
        <x:v>Official Baseline</x:v>
      </x:c>
      <x:c r="C355" s="26" t="str">
        <x:v>v0.6</x:v>
      </x:c>
      <x:c r="D355" s="26" t="str">
        <x:v>v0.6</x:v>
      </x:c>
      <x:c r="E355" s="26" t="str">
        <x:v>99_Source_Markdown</x:v>
      </x:c>
      <x:c r="F355" s="26"/>
      <x:c r="G355" s="26" t="str">
        <x:v>Cartridge_And_Cloud_Marketing_Plan_v0.5.md</x:v>
      </x:c>
      <x:c r="H355" s="26" t="str">
        <x:v>Markdown</x:v>
      </x:c>
      <x:c r="I355" s="26" t="str">
        <x:v>Authoring source</x:v>
      </x:c>
      <x:c r="J355" s="26" t="n">
        <x:v>1864</x:v>
      </x:c>
      <x:c r="K355" s="26" t="str">
        <x:v>96b3223429d38a0c83f4c89f07b63e3c258a72cbc76ada7c5e8e5991b62ab1ea</x:v>
      </x:c>
      <x:c r="L355" s="26"/>
      <x:c r="M355" s="26" t="n">
        <x:v>1</x:v>
      </x:c>
      <x:c r="N355" s="26" t="str">
        <x:v>UNIQUE</x:v>
      </x:c>
      <x:c r="O355" s="26" t="str">
        <x:v>28</x:v>
      </x:c>
      <x:c r="P355" s="26" t="str">
        <x:v>28</x:v>
      </x:c>
      <x:c r="Q355" s="26" t="str">
        <x:v>Source equivalent — paired with published artifact</x:v>
      </x:c>
      <x:c r="R355" s="26" t="str">
        <x:v>RETAIN AS AUTHORING SOURCE / HISTORICAL EQUIVALENT</x:v>
      </x:c>
      <x:c r="S355" s="26" t="str">
        <x:v>00_Official_Baseline/v0.6/99_Source_Markdown/Cartridge_And_Cloud_Marketing_Plan_v0.5.md</x:v>
      </x:c>
      <x:c r="T355" s="26" t="str">
        <x:v>Historical path preserved verbatim; hash calculated from supplied pre-regeneration project.</x:v>
      </x:c>
    </x:row>
    <x:row r="356" ht="30" customHeight="1">
      <x:c r="A356" s="26" t="str">
        <x:v>H-0352</x:v>
      </x:c>
      <x:c r="B356" s="26" t="str">
        <x:v>Official Baseline</x:v>
      </x:c>
      <x:c r="C356" s="26" t="str">
        <x:v>v0.6</x:v>
      </x:c>
      <x:c r="D356" s="26" t="str">
        <x:v>v0.6</x:v>
      </x:c>
      <x:c r="E356" s="26" t="str">
        <x:v>99_Source_Markdown</x:v>
      </x:c>
      <x:c r="F356" s="26"/>
      <x:c r="G356" s="26" t="str">
        <x:v>Cartridge_And_Cloud_Modelo_de_Datos_v0.5.md</x:v>
      </x:c>
      <x:c r="H356" s="26" t="str">
        <x:v>Markdown</x:v>
      </x:c>
      <x:c r="I356" s="26" t="str">
        <x:v>Authoring source</x:v>
      </x:c>
      <x:c r="J356" s="26" t="n">
        <x:v>3168</x:v>
      </x:c>
      <x:c r="K356" s="26" t="str">
        <x:v>409201b990309744b05a65a3306034e605e7254d10a5d4232b707cdbc8779b4a</x:v>
      </x:c>
      <x:c r="L356" s="26"/>
      <x:c r="M356" s="26" t="n">
        <x:v>1</x:v>
      </x:c>
      <x:c r="N356" s="26" t="str">
        <x:v>UNIQUE</x:v>
      </x:c>
      <x:c r="O356" s="26" t="str">
        <x:v>04</x:v>
      </x:c>
      <x:c r="P356" s="26" t="str">
        <x:v>04</x:v>
      </x:c>
      <x:c r="Q356" s="26" t="str">
        <x:v>Source equivalent — paired with published artifact</x:v>
      </x:c>
      <x:c r="R356" s="26" t="str">
        <x:v>RETAIN AS AUTHORING SOURCE / HISTORICAL EQUIVALENT</x:v>
      </x:c>
      <x:c r="S356" s="26" t="str">
        <x:v>00_Official_Baseline/v0.6/99_Source_Markdown/Cartridge_And_Cloud_Modelo_de_Datos_v0.5.md</x:v>
      </x:c>
      <x:c r="T356" s="26" t="str">
        <x:v>Historical path preserved verbatim; hash calculated from supplied pre-regeneration project.</x:v>
      </x:c>
    </x:row>
    <x:row r="357" ht="30" customHeight="1">
      <x:c r="A357" s="26" t="str">
        <x:v>H-0353</x:v>
      </x:c>
      <x:c r="B357" s="26" t="str">
        <x:v>Official Baseline</x:v>
      </x:c>
      <x:c r="C357" s="26" t="str">
        <x:v>v0.6</x:v>
      </x:c>
      <x:c r="D357" s="26" t="str">
        <x:v>v0.6</x:v>
      </x:c>
      <x:c r="E357" s="26" t="str">
        <x:v>99_Source_Markdown</x:v>
      </x:c>
      <x:c r="F357" s="26"/>
      <x:c r="G357" s="26" t="str">
        <x:v>Cartridge_And_Cloud_Package_Manifest_v0.4.md</x:v>
      </x:c>
      <x:c r="H357" s="26" t="str">
        <x:v>Markdown</x:v>
      </x:c>
      <x:c r="I357" s="26" t="str">
        <x:v>Package manifest</x:v>
      </x:c>
      <x:c r="J357" s="26" t="n">
        <x:v>1910</x:v>
      </x:c>
      <x:c r="K357" s="26" t="str">
        <x:v>89ae5a7d733d8d70f36b64cfe3653aed99149827155fcddec0cadf650fd38acb</x:v>
      </x:c>
      <x:c r="L357" s="26"/>
      <x:c r="M357" s="26" t="n">
        <x:v>1</x:v>
      </x:c>
      <x:c r="N357" s="26" t="str">
        <x:v>UNIQUE</x:v>
      </x:c>
      <x:c r="O357" s="26" t="str">
        <x:v>32</x:v>
      </x:c>
      <x:c r="P357" s="26" t="str">
        <x:v>13, 14, 15, 16, 32</x:v>
      </x:c>
      <x:c r="Q357" s="26" t="str">
        <x:v>Source equivalent — paired with published artifact</x:v>
      </x:c>
      <x:c r="R357" s="26" t="str">
        <x:v>RETAIN AS AUTHORING SOURCE / HISTORICAL EQUIVALENT</x:v>
      </x:c>
      <x:c r="S357" s="26" t="str">
        <x:v>00_Official_Baseline/v0.6/99_Source_Markdown/Cartridge_And_Cloud_Package_Manifest_v0.4.md</x:v>
      </x:c>
      <x:c r="T357" s="26" t="str">
        <x:v>Historical path preserved verbatim; hash calculated from supplied pre-regeneration project.</x:v>
      </x:c>
    </x:row>
    <x:row r="358" ht="30" customHeight="1">
      <x:c r="A358" s="26" t="str">
        <x:v>H-0354</x:v>
      </x:c>
      <x:c r="B358" s="26" t="str">
        <x:v>Official Baseline</x:v>
      </x:c>
      <x:c r="C358" s="26" t="str">
        <x:v>v0.6</x:v>
      </x:c>
      <x:c r="D358" s="26" t="str">
        <x:v>v0.6</x:v>
      </x:c>
      <x:c r="E358" s="26" t="str">
        <x:v>99_Source_Markdown</x:v>
      </x:c>
      <x:c r="F358" s="26"/>
      <x:c r="G358" s="26" t="str">
        <x:v>Cartridge_And_Cloud_Production_Roadmap_Sprint_Plan_v0.6.md</x:v>
      </x:c>
      <x:c r="H358" s="26" t="str">
        <x:v>Markdown</x:v>
      </x:c>
      <x:c r="I358" s="26" t="str">
        <x:v>Authoring source</x:v>
      </x:c>
      <x:c r="J358" s="26" t="n">
        <x:v>3191</x:v>
      </x:c>
      <x:c r="K358" s="26" t="str">
        <x:v>f7b50c87cbc0faa2478f677f868e2e29dd1e74abfe74c1cbb30aed74ab7ac70a</x:v>
      </x:c>
      <x:c r="L358" s="26"/>
      <x:c r="M358" s="26" t="n">
        <x:v>1</x:v>
      </x:c>
      <x:c r="N358" s="26" t="str">
        <x:v>UNIQUE</x:v>
      </x:c>
      <x:c r="O358" s="26" t="str">
        <x:v>06</x:v>
      </x:c>
      <x:c r="P358" s="26" t="str">
        <x:v>06</x:v>
      </x:c>
      <x:c r="Q358" s="26" t="str">
        <x:v>Source equivalent — paired with published artifact</x:v>
      </x:c>
      <x:c r="R358" s="26" t="str">
        <x:v>RETAIN AS AUTHORING SOURCE / HISTORICAL EQUIVALENT</x:v>
      </x:c>
      <x:c r="S358" s="26" t="str">
        <x:v>00_Official_Baseline/v0.6/99_Source_Markdown/Cartridge_And_Cloud_Production_Roadmap_Sprint_Plan_v0.6.md</x:v>
      </x:c>
      <x:c r="T358" s="26" t="str">
        <x:v>Historical path preserved verbatim; hash calculated from supplied pre-regeneration project.</x:v>
      </x:c>
    </x:row>
    <x:row r="359" ht="30" customHeight="1">
      <x:c r="A359" s="26" t="str">
        <x:v>H-0355</x:v>
      </x:c>
      <x:c r="B359" s="26" t="str">
        <x:v>Official Baseline</x:v>
      </x:c>
      <x:c r="C359" s="26" t="str">
        <x:v>v0.6</x:v>
      </x:c>
      <x:c r="D359" s="26" t="str">
        <x:v>v0.6</x:v>
      </x:c>
      <x:c r="E359" s="26" t="str">
        <x:v>99_Source_Markdown</x:v>
      </x:c>
      <x:c r="F359" s="26"/>
      <x:c r="G359" s="26" t="str">
        <x:v>Cartridge_And_Cloud_Project_Binder_Indice_Maestro_v0.6.md</x:v>
      </x:c>
      <x:c r="H359" s="26" t="str">
        <x:v>Markdown</x:v>
      </x:c>
      <x:c r="I359" s="26" t="str">
        <x:v>Authoring source</x:v>
      </x:c>
      <x:c r="J359" s="26" t="n">
        <x:v>3763</x:v>
      </x:c>
      <x:c r="K359" s="26" t="str">
        <x:v>04094957ed2328e54337bc8fc2d0822abb440a4602ee9d4055d358d0c165669f</x:v>
      </x:c>
      <x:c r="L359" s="26"/>
      <x:c r="M359" s="26" t="n">
        <x:v>1</x:v>
      </x:c>
      <x:c r="N359" s="26" t="str">
        <x:v>UNIQUE</x:v>
      </x:c>
      <x:c r="O359" s="26" t="str">
        <x:v>14</x:v>
      </x:c>
      <x:c r="P359" s="26" t="str">
        <x:v>14</x:v>
      </x:c>
      <x:c r="Q359" s="26" t="str">
        <x:v>Source equivalent — paired with published artifact</x:v>
      </x:c>
      <x:c r="R359" s="26" t="str">
        <x:v>RETAIN AS AUTHORING SOURCE / HISTORICAL EQUIVALENT</x:v>
      </x:c>
      <x:c r="S359" s="26" t="str">
        <x:v>00_Official_Baseline/v0.6/99_Source_Markdown/Cartridge_And_Cloud_Project_Binder_Indice_Maestro_v0.6.md</x:v>
      </x:c>
      <x:c r="T359" s="26" t="str">
        <x:v>Historical path preserved verbatim; hash calculated from supplied pre-regeneration project.</x:v>
      </x:c>
    </x:row>
    <x:row r="360" ht="30" customHeight="1">
      <x:c r="A360" s="26" t="str">
        <x:v>H-0356</x:v>
      </x:c>
      <x:c r="B360" s="26" t="str">
        <x:v>Official Baseline</x:v>
      </x:c>
      <x:c r="C360" s="26" t="str">
        <x:v>v0.6</x:v>
      </x:c>
      <x:c r="D360" s="26" t="str">
        <x:v>v0.6</x:v>
      </x:c>
      <x:c r="E360" s="26" t="str">
        <x:v>99_Source_Markdown</x:v>
      </x:c>
      <x:c r="F360" s="26"/>
      <x:c r="G360" s="26" t="str">
        <x:v>Cartridge_And_Cloud_QA_Testing_Plan_v0.6.md</x:v>
      </x:c>
      <x:c r="H360" s="26" t="str">
        <x:v>Markdown</x:v>
      </x:c>
      <x:c r="I360" s="26" t="str">
        <x:v>Authoring source</x:v>
      </x:c>
      <x:c r="J360" s="26" t="n">
        <x:v>2637</x:v>
      </x:c>
      <x:c r="K360" s="26" t="str">
        <x:v>7659a777a9aa78f083d8a6d577898bec89430cae108b079ee7137c769da7f069</x:v>
      </x:c>
      <x:c r="L360" s="26"/>
      <x:c r="M360" s="26" t="n">
        <x:v>1</x:v>
      </x:c>
      <x:c r="N360" s="26" t="str">
        <x:v>UNIQUE</x:v>
      </x:c>
      <x:c r="O360" s="26" t="str">
        <x:v>07</x:v>
      </x:c>
      <x:c r="P360" s="26" t="str">
        <x:v>07</x:v>
      </x:c>
      <x:c r="Q360" s="26" t="str">
        <x:v>Source equivalent — paired with published artifact</x:v>
      </x:c>
      <x:c r="R360" s="26" t="str">
        <x:v>RETAIN AS AUTHORING SOURCE / HISTORICAL EQUIVALENT</x:v>
      </x:c>
      <x:c r="S360" s="26" t="str">
        <x:v>00_Official_Baseline/v0.6/99_Source_Markdown/Cartridge_And_Cloud_QA_Testing_Plan_v0.6.md</x:v>
      </x:c>
      <x:c r="T360" s="26" t="str">
        <x:v>Historical path preserved verbatim; hash calculated from supplied pre-regeneration project.</x:v>
      </x:c>
    </x:row>
    <x:row r="361" ht="30" customHeight="1">
      <x:c r="A361" s="26" t="str">
        <x:v>H-0357</x:v>
      </x:c>
      <x:c r="B361" s="26" t="str">
        <x:v>Official Baseline</x:v>
      </x:c>
      <x:c r="C361" s="26" t="str">
        <x:v>v0.6</x:v>
      </x:c>
      <x:c r="D361" s="26" t="str">
        <x:v>v0.6</x:v>
      </x:c>
      <x:c r="E361" s="26" t="str">
        <x:v>99_Source_Markdown</x:v>
      </x:c>
      <x:c r="F361" s="26"/>
      <x:c r="G361" s="26" t="str">
        <x:v>Cartridge_And_Cloud_Steam_Publishing_Plan_v0.5.md</x:v>
      </x:c>
      <x:c r="H361" s="26" t="str">
        <x:v>Markdown</x:v>
      </x:c>
      <x:c r="I361" s="26" t="str">
        <x:v>Authoring source</x:v>
      </x:c>
      <x:c r="J361" s="26" t="n">
        <x:v>1866</x:v>
      </x:c>
      <x:c r="K361" s="26" t="str">
        <x:v>f7840ee791e07430dd750500421dc6e262d21d5119e634634919247ff13cf8d0</x:v>
      </x:c>
      <x:c r="L361" s="26"/>
      <x:c r="M361" s="26" t="n">
        <x:v>1</x:v>
      </x:c>
      <x:c r="N361" s="26" t="str">
        <x:v>UNIQUE</x:v>
      </x:c>
      <x:c r="O361" s="26" t="str">
        <x:v>24</x:v>
      </x:c>
      <x:c r="P361" s="26" t="str">
        <x:v>24</x:v>
      </x:c>
      <x:c r="Q361" s="26" t="str">
        <x:v>Source equivalent — paired with published artifact</x:v>
      </x:c>
      <x:c r="R361" s="26" t="str">
        <x:v>RETAIN AS AUTHORING SOURCE / HISTORICAL EQUIVALENT</x:v>
      </x:c>
      <x:c r="S361" s="26" t="str">
        <x:v>00_Official_Baseline/v0.6/99_Source_Markdown/Cartridge_And_Cloud_Steam_Publishing_Plan_v0.5.md</x:v>
      </x:c>
      <x:c r="T361" s="26" t="str">
        <x:v>Historical path preserved verbatim; hash calculated from supplied pre-regeneration project.</x:v>
      </x:c>
    </x:row>
    <x:row r="362" ht="30" customHeight="1">
      <x:c r="A362" s="26" t="str">
        <x:v>H-0358</x:v>
      </x:c>
      <x:c r="B362" s="26" t="str">
        <x:v>Official Baseline</x:v>
      </x:c>
      <x:c r="C362" s="26" t="str">
        <x:v>v0.6</x:v>
      </x:c>
      <x:c r="D362" s="26" t="str">
        <x:v>v0.6</x:v>
      </x:c>
      <x:c r="E362" s="26" t="str">
        <x:v>99_Source_Markdown</x:v>
      </x:c>
      <x:c r="F362" s="26"/>
      <x:c r="G362" s="26" t="str">
        <x:v>Cartridge_And_Cloud_TDD_v0.6_Technical_Design_Document.md</x:v>
      </x:c>
      <x:c r="H362" s="26" t="str">
        <x:v>Markdown</x:v>
      </x:c>
      <x:c r="I362" s="26" t="str">
        <x:v>Authoring source</x:v>
      </x:c>
      <x:c r="J362" s="26" t="n">
        <x:v>4268</x:v>
      </x:c>
      <x:c r="K362" s="26" t="str">
        <x:v>daa5578e670e61ffe40db754ef512d02885d1bb7600c74487194ad8ec27cb2ce</x:v>
      </x:c>
      <x:c r="L362" s="26"/>
      <x:c r="M362" s="26" t="n">
        <x:v>1</x:v>
      </x:c>
      <x:c r="N362" s="26" t="str">
        <x:v>UNIQUE</x:v>
      </x:c>
      <x:c r="O362" s="26" t="str">
        <x:v>03</x:v>
      </x:c>
      <x:c r="P362" s="26" t="str">
        <x:v>03</x:v>
      </x:c>
      <x:c r="Q362" s="26" t="str">
        <x:v>Source equivalent — paired with published artifact</x:v>
      </x:c>
      <x:c r="R362" s="26" t="str">
        <x:v>RETAIN AS AUTHORING SOURCE / HISTORICAL EQUIVALENT</x:v>
      </x:c>
      <x:c r="S362" s="26" t="str">
        <x:v>00_Official_Baseline/v0.6/99_Source_Markdown/Cartridge_And_Cloud_TDD_v0.6_Technical_Design_Document.md</x:v>
      </x:c>
      <x:c r="T362" s="26" t="str">
        <x:v>Historical path preserved verbatim; hash calculated from supplied pre-regeneration project.</x:v>
      </x:c>
    </x:row>
    <x:row r="363" ht="30" customHeight="1">
      <x:c r="A363" s="26" t="str">
        <x:v>H-0359</x:v>
      </x:c>
      <x:c r="B363" s="26" t="str">
        <x:v>Official Baseline</x:v>
      </x:c>
      <x:c r="C363" s="26" t="str">
        <x:v>v0.6</x:v>
      </x:c>
      <x:c r="D363" s="26" t="str">
        <x:v>v0.6</x:v>
      </x:c>
      <x:c r="E363" s="26" t="str">
        <x:v>99_Source_Markdown</x:v>
      </x:c>
      <x:c r="F363" s="26"/>
      <x:c r="G363" s="26" t="str">
        <x:v>Cartridge_And_Cloud_UI_Style_Guide_v0.5.md</x:v>
      </x:c>
      <x:c r="H363" s="26" t="str">
        <x:v>Markdown</x:v>
      </x:c>
      <x:c r="I363" s="26" t="str">
        <x:v>Authoring source</x:v>
      </x:c>
      <x:c r="J363" s="26" t="n">
        <x:v>2181</x:v>
      </x:c>
      <x:c r="K363" s="26" t="str">
        <x:v>857f070207a752796ff5c21968020d3230a8c357d84a140593c74c47c59ee645</x:v>
      </x:c>
      <x:c r="L363" s="26"/>
      <x:c r="M363" s="26" t="n">
        <x:v>1</x:v>
      </x:c>
      <x:c r="N363" s="26" t="str">
        <x:v>UNIQUE</x:v>
      </x:c>
      <x:c r="O363" s="26" t="str">
        <x:v>19</x:v>
      </x:c>
      <x:c r="P363" s="26" t="str">
        <x:v>19</x:v>
      </x:c>
      <x:c r="Q363" s="26" t="str">
        <x:v>Source equivalent — paired with published artifact</x:v>
      </x:c>
      <x:c r="R363" s="26" t="str">
        <x:v>RETAIN AS AUTHORING SOURCE / HISTORICAL EQUIVALENT</x:v>
      </x:c>
      <x:c r="S363" s="26" t="str">
        <x:v>00_Official_Baseline/v0.6/99_Source_Markdown/Cartridge_And_Cloud_UI_Style_Guide_v0.5.md</x:v>
      </x:c>
      <x:c r="T363" s="26" t="str">
        <x:v>Historical path preserved verbatim; hash calculated from supplied pre-regeneration project.</x:v>
      </x:c>
    </x:row>
    <x:row r="364" ht="30" customHeight="1">
      <x:c r="A364" s="26" t="str">
        <x:v>H-0360</x:v>
      </x:c>
      <x:c r="B364" s="26" t="str">
        <x:v>Official Baseline</x:v>
      </x:c>
      <x:c r="C364" s="26" t="str">
        <x:v>v0.6</x:v>
      </x:c>
      <x:c r="D364" s="26" t="str">
        <x:v>v0.6</x:v>
      </x:c>
      <x:c r="E364" s="26" t="str">
        <x:v>99_Source_Markdown</x:v>
      </x:c>
      <x:c r="F364" s="26"/>
      <x:c r="G364" s="26" t="str">
        <x:v>Cartridge_And_Cloud_Unity_Project_Setup_Guide_v0.6.md</x:v>
      </x:c>
      <x:c r="H364" s="26" t="str">
        <x:v>Markdown</x:v>
      </x:c>
      <x:c r="I364" s="26" t="str">
        <x:v>Authoring source</x:v>
      </x:c>
      <x:c r="J364" s="26" t="n">
        <x:v>2805</x:v>
      </x:c>
      <x:c r="K364" s="26" t="str">
        <x:v>e0ba621f7cbd548da5ffa6484a1c2a0c91b820f845e5d410e318f01c34547497</x:v>
      </x:c>
      <x:c r="L364" s="26"/>
      <x:c r="M364" s="26" t="n">
        <x:v>1</x:v>
      </x:c>
      <x:c r="N364" s="26" t="str">
        <x:v>UNIQUE</x:v>
      </x:c>
      <x:c r="O364" s="26" t="str">
        <x:v>10</x:v>
      </x:c>
      <x:c r="P364" s="26" t="str">
        <x:v>10</x:v>
      </x:c>
      <x:c r="Q364" s="26" t="str">
        <x:v>Source equivalent — paired with published artifact</x:v>
      </x:c>
      <x:c r="R364" s="26" t="str">
        <x:v>RETAIN AS AUTHORING SOURCE / HISTORICAL EQUIVALENT</x:v>
      </x:c>
      <x:c r="S364" s="26" t="str">
        <x:v>00_Official_Baseline/v0.6/99_Source_Markdown/Cartridge_And_Cloud_Unity_Project_Setup_Guide_v0.6.md</x:v>
      </x:c>
      <x:c r="T364" s="26" t="str">
        <x:v>Historical path preserved verbatim; hash calculated from supplied pre-regeneration project.</x:v>
      </x:c>
    </x:row>
    <x:row r="365" ht="30" customHeight="1">
      <x:c r="A365" s="26" t="str">
        <x:v>H-0361</x:v>
      </x:c>
      <x:c r="B365" s="26" t="str">
        <x:v>Official Baseline</x:v>
      </x:c>
      <x:c r="C365" s="26" t="str">
        <x:v>v0.6</x:v>
      </x:c>
      <x:c r="D365" s="26" t="str">
        <x:v>v0.6</x:v>
      </x:c>
      <x:c r="E365" s="26" t="str">
        <x:v>99_Source_Markdown</x:v>
      </x:c>
      <x:c r="F365" s="26"/>
      <x:c r="G365" s="26" t="str">
        <x:v>Cartridge_And_Cloud_UX_Flow_v0.5.md</x:v>
      </x:c>
      <x:c r="H365" s="26" t="str">
        <x:v>Markdown</x:v>
      </x:c>
      <x:c r="I365" s="26" t="str">
        <x:v>Authoring source</x:v>
      </x:c>
      <x:c r="J365" s="26" t="n">
        <x:v>2707</x:v>
      </x:c>
      <x:c r="K365" s="26" t="str">
        <x:v>5c755541bbc69510af12839f8435e090972edc7b7bb484139683614f69fcb85c</x:v>
      </x:c>
      <x:c r="L365" s="26"/>
      <x:c r="M365" s="26" t="n">
        <x:v>1</x:v>
      </x:c>
      <x:c r="N365" s="26" t="str">
        <x:v>UNIQUE</x:v>
      </x:c>
      <x:c r="O365" s="26" t="str">
        <x:v>05</x:v>
      </x:c>
      <x:c r="P365" s="26" t="str">
        <x:v>05</x:v>
      </x:c>
      <x:c r="Q365" s="26" t="str">
        <x:v>Source equivalent — paired with published artifact</x:v>
      </x:c>
      <x:c r="R365" s="26" t="str">
        <x:v>RETAIN AS AUTHORING SOURCE / HISTORICAL EQUIVALENT</x:v>
      </x:c>
      <x:c r="S365" s="26" t="str">
        <x:v>00_Official_Baseline/v0.6/99_Source_Markdown/Cartridge_And_Cloud_UX_Flow_v0.5.md</x:v>
      </x:c>
      <x:c r="T365" s="26" t="str">
        <x:v>Historical path preserved verbatim; hash calculated from supplied pre-regeneration project.</x:v>
      </x:c>
    </x:row>
    <x:row r="366" ht="30" customHeight="1">
      <x:c r="A366" s="26" t="str">
        <x:v>H-0362</x:v>
      </x:c>
      <x:c r="B366" s="26" t="str">
        <x:v>Official Baseline</x:v>
      </x:c>
      <x:c r="C366" s="26" t="str">
        <x:v>v0.6</x:v>
      </x:c>
      <x:c r="D366" s="26" t="str">
        <x:v>v0.6</x:v>
      </x:c>
      <x:c r="E366" s="26" t="str">
        <x:v>99_Source_Markdown</x:v>
      </x:c>
      <x:c r="F366" s="26"/>
      <x:c r="G366" s="26" t="str">
        <x:v>Cartridge_And_Cloud_Vertical_Slice_Specification_v0.4.md</x:v>
      </x:c>
      <x:c r="H366" s="26" t="str">
        <x:v>Markdown</x:v>
      </x:c>
      <x:c r="I366" s="26" t="str">
        <x:v>Authoring source</x:v>
      </x:c>
      <x:c r="J366" s="26" t="n">
        <x:v>3027</x:v>
      </x:c>
      <x:c r="K366" s="26" t="str">
        <x:v>efff0d3056515ad3e71a9c751f7ec86ce932d3098fb5870b246c04559695a3f5</x:v>
      </x:c>
      <x:c r="L366" s="26"/>
      <x:c r="M366" s="26" t="n">
        <x:v>1</x:v>
      </x:c>
      <x:c r="N366" s="26" t="str">
        <x:v>UNIQUE</x:v>
      </x:c>
      <x:c r="O366" s="26" t="str">
        <x:v>02</x:v>
      </x:c>
      <x:c r="P366" s="26" t="str">
        <x:v>02</x:v>
      </x:c>
      <x:c r="Q366" s="26" t="str">
        <x:v>Source equivalent — paired with published artifact</x:v>
      </x:c>
      <x:c r="R366" s="26" t="str">
        <x:v>RETAIN AS AUTHORING SOURCE / HISTORICAL EQUIVALENT</x:v>
      </x:c>
      <x:c r="S366" s="26" t="str">
        <x:v>00_Official_Baseline/v0.6/99_Source_Markdown/Cartridge_And_Cloud_Vertical_Slice_Specification_v0.4.md</x:v>
      </x:c>
      <x:c r="T366" s="26" t="str">
        <x:v>Historical path preserved verbatim; hash calculated from supplied pre-regeneration project.</x:v>
      </x:c>
    </x:row>
    <x:row r="367" ht="30" customHeight="1">
      <x:c r="A367" s="26" t="str">
        <x:v>H-0363</x:v>
      </x:c>
      <x:c r="B367" s="26" t="str">
        <x:v>Official Baseline</x:v>
      </x:c>
      <x:c r="C367" s="26" t="str">
        <x:v>v0.6</x:v>
      </x:c>
      <x:c r="D367" s="26" t="str">
        <x:v>v0.6</x:v>
      </x:c>
      <x:c r="E367" s="26" t="str">
        <x:v>BASELINE_CHANGELOG_v0.5_to_v0.6.md</x:v>
      </x:c>
      <x:c r="F367" s="26"/>
      <x:c r="G367" s="26" t="str">
        <x:v>BASELINE_CHANGELOG_v0.5_to_v0.6.md</x:v>
      </x:c>
      <x:c r="H367" s="26" t="str">
        <x:v>Markdown</x:v>
      </x:c>
      <x:c r="I367" s="26" t="str">
        <x:v>Historical document / record</x:v>
      </x:c>
      <x:c r="J367" s="26" t="n">
        <x:v>477</x:v>
      </x:c>
      <x:c r="K367" s="26" t="str">
        <x:v>04ef84bbe6d5aadc3bec5cce41fd0bcefe9d23ea8f7263febc5bd97bae97aa4a</x:v>
      </x:c>
      <x:c r="L367" s="26"/>
      <x:c r="M367" s="26" t="n">
        <x:v>1</x:v>
      </x:c>
      <x:c r="N367" s="26" t="str">
        <x:v>UNIQUE</x:v>
      </x:c>
      <x:c r="O367" s="26"/>
      <x:c r="P367" s="26"/>
      <x:c r="Q367" s="26" t="str">
        <x:v>Historical baseline support</x:v>
      </x:c>
      <x:c r="R367" s="26" t="str">
        <x:v>RETAIN AS SUPPORTING HISTORY</x:v>
      </x:c>
      <x:c r="S367" s="26" t="str">
        <x:v>00_Official_Baseline/v0.6/BASELINE_CHANGELOG_v0.5_to_v0.6.md</x:v>
      </x:c>
      <x:c r="T367" s="26" t="str">
        <x:v>Historical path preserved verbatim; hash calculated from supplied pre-regeneration project.</x:v>
      </x:c>
    </x:row>
    <x:row r="368" ht="30" customHeight="1">
      <x:c r="A368" s="26" t="str">
        <x:v>H-0364</x:v>
      </x:c>
      <x:c r="B368" s="26" t="str">
        <x:v>Official Baseline</x:v>
      </x:c>
      <x:c r="C368" s="26" t="str">
        <x:v>v0.6</x:v>
      </x:c>
      <x:c r="D368" s="26" t="str">
        <x:v>v0.6</x:v>
      </x:c>
      <x:c r="E368" s="26" t="str">
        <x:v>BASELINE_INTEGRITY_REPORT.md</x:v>
      </x:c>
      <x:c r="F368" s="26"/>
      <x:c r="G368" s="26" t="str">
        <x:v>BASELINE_INTEGRITY_REPORT.md</x:v>
      </x:c>
      <x:c r="H368" s="26" t="str">
        <x:v>Markdown</x:v>
      </x:c>
      <x:c r="I368" s="26" t="str">
        <x:v>Historical document / record</x:v>
      </x:c>
      <x:c r="J368" s="26" t="n">
        <x:v>978</x:v>
      </x:c>
      <x:c r="K368" s="26" t="str">
        <x:v>8c99d82b6fa2e1633f3acabe5cd051d846dd0c8f36dc3814e4b5fc7445b0068f</x:v>
      </x:c>
      <x:c r="L368" s="26"/>
      <x:c r="M368" s="26" t="n">
        <x:v>1</x:v>
      </x:c>
      <x:c r="N368" s="26" t="str">
        <x:v>UNIQUE</x:v>
      </x:c>
      <x:c r="O368" s="26"/>
      <x:c r="P368" s="26"/>
      <x:c r="Q368" s="26" t="str">
        <x:v>Historical baseline support</x:v>
      </x:c>
      <x:c r="R368" s="26" t="str">
        <x:v>RETAIN AS SUPPORTING HISTORY</x:v>
      </x:c>
      <x:c r="S368" s="26" t="str">
        <x:v>00_Official_Baseline/v0.6/BASELINE_INTEGRITY_REPORT.md</x:v>
      </x:c>
      <x:c r="T368" s="26" t="str">
        <x:v>Historical path preserved verbatim; hash calculated from supplied pre-regeneration project.</x:v>
      </x:c>
    </x:row>
    <x:row r="369" ht="30" customHeight="1">
      <x:c r="A369" s="26" t="str">
        <x:v>H-0365</x:v>
      </x:c>
      <x:c r="B369" s="26" t="str">
        <x:v>Official Baseline</x:v>
      </x:c>
      <x:c r="C369" s="26" t="str">
        <x:v>v0.6</x:v>
      </x:c>
      <x:c r="D369" s="26" t="str">
        <x:v>v0.6</x:v>
      </x:c>
      <x:c r="E369" s="26" t="str">
        <x:v>BASELINE_MANIFEST.csv</x:v>
      </x:c>
      <x:c r="F369" s="26"/>
      <x:c r="G369" s="26" t="str">
        <x:v>BASELINE_MANIFEST.csv</x:v>
      </x:c>
      <x:c r="H369" s="26" t="str">
        <x:v>CSV</x:v>
      </x:c>
      <x:c r="I369" s="26" t="str">
        <x:v>Tabular traceability evidence</x:v>
      </x:c>
      <x:c r="J369" s="26" t="n">
        <x:v>11095</x:v>
      </x:c>
      <x:c r="K369" s="26" t="str">
        <x:v>2a5fc9a5d9e79f83e3103bd49084dcd5db0582bf911a2201e1dbc1c94b80d628</x:v>
      </x:c>
      <x:c r="L369" s="26"/>
      <x:c r="M369" s="26" t="n">
        <x:v>1</x:v>
      </x:c>
      <x:c r="N369" s="26" t="str">
        <x:v>UNIQUE</x:v>
      </x:c>
      <x:c r="O369" s="26"/>
      <x:c r="P369" s="26"/>
      <x:c r="Q369" s="26" t="str">
        <x:v>Historical baseline support</x:v>
      </x:c>
      <x:c r="R369" s="26" t="str">
        <x:v>RETAIN AS SUPPORTING HISTORY</x:v>
      </x:c>
      <x:c r="S369" s="26" t="str">
        <x:v>00_Official_Baseline/v0.6/BASELINE_MANIFEST.csv</x:v>
      </x:c>
      <x:c r="T369" s="26" t="str">
        <x:v>Historical path preserved verbatim; hash calculated from supplied pre-regeneration project.</x:v>
      </x:c>
    </x:row>
    <x:row r="370" ht="30" customHeight="1">
      <x:c r="A370" s="26" t="str">
        <x:v>H-0366</x:v>
      </x:c>
      <x:c r="B370" s="26" t="str">
        <x:v>Official Baseline</x:v>
      </x:c>
      <x:c r="C370" s="26" t="str">
        <x:v>v0.6</x:v>
      </x:c>
      <x:c r="D370" s="26" t="str">
        <x:v>v0.6</x:v>
      </x:c>
      <x:c r="E370" s="26" t="str">
        <x:v>CHECKSUMS_SHA256.txt</x:v>
      </x:c>
      <x:c r="F370" s="26"/>
      <x:c r="G370" s="26" t="str">
        <x:v>CHECKSUMS_SHA256.txt</x:v>
      </x:c>
      <x:c r="H370" s="26" t="str">
        <x:v>Text</x:v>
      </x:c>
      <x:c r="I370" s="26" t="str">
        <x:v>Checksum register</x:v>
      </x:c>
      <x:c r="J370" s="26" t="n">
        <x:v>10464</x:v>
      </x:c>
      <x:c r="K370" s="26" t="str">
        <x:v>129b78704f6af279a789ad01988ca19be78fcd30d3952202633cfd061b5e4b86</x:v>
      </x:c>
      <x:c r="L370" s="26"/>
      <x:c r="M370" s="26" t="n">
        <x:v>1</x:v>
      </x:c>
      <x:c r="N370" s="26" t="str">
        <x:v>UNIQUE</x:v>
      </x:c>
      <x:c r="O370" s="26" t="str">
        <x:v>32</x:v>
      </x:c>
      <x:c r="P370" s="26" t="str">
        <x:v>13, 14, 15, 16, 32</x:v>
      </x:c>
      <x:c r="Q370" s="26" t="str">
        <x:v>Published historical baseline</x:v>
      </x:c>
      <x:c r="R370" s="26" t="str">
        <x:v>SUPERSEDED AS AUTHORITY — RETAIN AS IMMUTABLE HISTORY</x:v>
      </x:c>
      <x:c r="S370" s="26" t="str">
        <x:v>00_Official_Baseline/v0.6/CHECKSUMS_SHA256.txt</x:v>
      </x:c>
      <x:c r="T370" s="26" t="str">
        <x:v>Historical path preserved verbatim; hash calculated from supplied pre-regeneration project.</x:v>
      </x:c>
    </x:row>
    <x:row r="371" ht="30" customHeight="1">
      <x:c r="A371" s="26" t="str">
        <x:v>H-0367</x:v>
      </x:c>
      <x:c r="B371" s="26" t="str">
        <x:v>Official Baseline</x:v>
      </x:c>
      <x:c r="C371" s="26" t="str">
        <x:v>v0.6</x:v>
      </x:c>
      <x:c r="D371" s="26" t="str">
        <x:v>v0.6</x:v>
      </x:c>
      <x:c r="E371" s="26" t="str">
        <x:v>CURRENT_PROJECT_HANDOFF.md</x:v>
      </x:c>
      <x:c r="F371" s="26"/>
      <x:c r="G371" s="26" t="str">
        <x:v>CURRENT_PROJECT_HANDOFF.md</x:v>
      </x:c>
      <x:c r="H371" s="26" t="str">
        <x:v>Markdown</x:v>
      </x:c>
      <x:c r="I371" s="26" t="str">
        <x:v>Handoff record</x:v>
      </x:c>
      <x:c r="J371" s="26" t="n">
        <x:v>1241</x:v>
      </x:c>
      <x:c r="K371" s="26" t="str">
        <x:v>7a297d84a36ecdd9e4296a631fc5acbff882218d125e63312850e8f28b46cd87</x:v>
      </x:c>
      <x:c r="L371" s="26" t="str">
        <x:v>DG-048</x:v>
      </x:c>
      <x:c r="M371" s="26" t="n">
        <x:v>2</x:v>
      </x:c>
      <x:c r="N371" s="26" t="str">
        <x:v>IDENTICAL COPY</x:v>
      </x:c>
      <x:c r="O371" s="26" t="str">
        <x:v>34</x:v>
      </x:c>
      <x:c r="P371" s="26" t="str">
        <x:v>14, 15, 34</x:v>
      </x:c>
      <x:c r="Q371" s="26" t="str">
        <x:v>Historical baseline support</x:v>
      </x:c>
      <x:c r="R371" s="26" t="str">
        <x:v>RETAIN AS SUPPORTING HISTORY</x:v>
      </x:c>
      <x:c r="S371" s="26" t="str">
        <x:v>00_Official_Baseline/v0.6/CURRENT_PROJECT_HANDOFF.md</x:v>
      </x:c>
      <x:c r="T371" s="26" t="str">
        <x:v>Historical path preserved verbatim; hash calculated from supplied pre-regeneration project.</x:v>
      </x:c>
    </x:row>
    <x:row r="372" ht="30" customHeight="1">
      <x:c r="A372" s="26" t="str">
        <x:v>H-0368</x:v>
      </x:c>
      <x:c r="B372" s="26" t="str">
        <x:v>Official Baseline</x:v>
      </x:c>
      <x:c r="C372" s="26" t="str">
        <x:v>v0.6</x:v>
      </x:c>
      <x:c r="D372" s="26" t="str">
        <x:v>v0.6</x:v>
      </x:c>
      <x:c r="E372" s="26" t="str">
        <x:v>DOCUMENT_LIFECYCLE_POLICY.md</x:v>
      </x:c>
      <x:c r="F372" s="26"/>
      <x:c r="G372" s="26" t="str">
        <x:v>DOCUMENT_LIFECYCLE_POLICY.md</x:v>
      </x:c>
      <x:c r="H372" s="26" t="str">
        <x:v>Markdown</x:v>
      </x:c>
      <x:c r="I372" s="26" t="str">
        <x:v>Historical document / record</x:v>
      </x:c>
      <x:c r="J372" s="26" t="n">
        <x:v>219</x:v>
      </x:c>
      <x:c r="K372" s="26" t="str">
        <x:v>2d1fc818cf2dd136bc27c5920c1eecf0cd0e4d11c1e725930f06b8954074b3b9</x:v>
      </x:c>
      <x:c r="L372" s="26"/>
      <x:c r="M372" s="26" t="n">
        <x:v>1</x:v>
      </x:c>
      <x:c r="N372" s="26" t="str">
        <x:v>UNIQUE</x:v>
      </x:c>
      <x:c r="O372" s="26"/>
      <x:c r="P372" s="26"/>
      <x:c r="Q372" s="26" t="str">
        <x:v>Historical baseline support</x:v>
      </x:c>
      <x:c r="R372" s="26" t="str">
        <x:v>RETAIN AS SUPPORTING HISTORY</x:v>
      </x:c>
      <x:c r="S372" s="26" t="str">
        <x:v>00_Official_Baseline/v0.6/DOCUMENT_LIFECYCLE_POLICY.md</x:v>
      </x:c>
      <x:c r="T372" s="26" t="str">
        <x:v>Historical path preserved verbatim; hash calculated from supplied pre-regeneration project.</x:v>
      </x:c>
    </x:row>
    <x:row r="373" ht="30" customHeight="1">
      <x:c r="A373" s="26" t="str">
        <x:v>H-0369</x:v>
      </x:c>
      <x:c r="B373" s="26" t="str">
        <x:v>Official Baseline</x:v>
      </x:c>
      <x:c r="C373" s="26" t="str">
        <x:v>v0.6</x:v>
      </x:c>
      <x:c r="D373" s="26" t="str">
        <x:v>v0.6</x:v>
      </x:c>
      <x:c r="E373" s="26" t="str">
        <x:v>DOCUMENTATION_VALIDATION_REPORT.md</x:v>
      </x:c>
      <x:c r="F373" s="26"/>
      <x:c r="G373" s="26" t="str">
        <x:v>DOCUMENTATION_VALIDATION_REPORT.md</x:v>
      </x:c>
      <x:c r="H373" s="26" t="str">
        <x:v>Markdown</x:v>
      </x:c>
      <x:c r="I373" s="26" t="str">
        <x:v>Validation report</x:v>
      </x:c>
      <x:c r="J373" s="26" t="n">
        <x:v>1370</x:v>
      </x:c>
      <x:c r="K373" s="26" t="str">
        <x:v>689cecc2f66971314e99bd44ba378e6a58c676813359778b191f0759f1a36553</x:v>
      </x:c>
      <x:c r="L373" s="26"/>
      <x:c r="M373" s="26" t="n">
        <x:v>1</x:v>
      </x:c>
      <x:c r="N373" s="26" t="str">
        <x:v>UNIQUE</x:v>
      </x:c>
      <x:c r="O373" s="26" t="str">
        <x:v>16</x:v>
      </x:c>
      <x:c r="P373" s="26" t="str">
        <x:v>16</x:v>
      </x:c>
      <x:c r="Q373" s="26" t="str">
        <x:v>Published historical baseline</x:v>
      </x:c>
      <x:c r="R373" s="26" t="str">
        <x:v>SUPERSEDED AS AUTHORITY — RETAIN AS IMMUTABLE HISTORY</x:v>
      </x:c>
      <x:c r="S373" s="26" t="str">
        <x:v>00_Official_Baseline/v0.6/DOCUMENTATION_VALIDATION_REPORT.md</x:v>
      </x:c>
      <x:c r="T373" s="26" t="str">
        <x:v>Historical path preserved verbatim; hash calculated from supplied pre-regeneration project.</x:v>
      </x:c>
    </x:row>
    <x:row r="374" ht="30" customHeight="1">
      <x:c r="A374" s="26" t="str">
        <x:v>H-0370</x:v>
      </x:c>
      <x:c r="B374" s="26" t="str">
        <x:v>Official Baseline</x:v>
      </x:c>
      <x:c r="C374" s="26" t="str">
        <x:v>v0.6</x:v>
      </x:c>
      <x:c r="D374" s="26" t="str">
        <x:v>v0.6</x:v>
      </x:c>
      <x:c r="E374" s="26" t="str">
        <x:v>MIGRATION_SUMMARY.md</x:v>
      </x:c>
      <x:c r="F374" s="26"/>
      <x:c r="G374" s="26" t="str">
        <x:v>MIGRATION_SUMMARY.md</x:v>
      </x:c>
      <x:c r="H374" s="26" t="str">
        <x:v>Markdown</x:v>
      </x:c>
      <x:c r="I374" s="26" t="str">
        <x:v>Migration record</x:v>
      </x:c>
      <x:c r="J374" s="26" t="n">
        <x:v>107</x:v>
      </x:c>
      <x:c r="K374" s="26" t="str">
        <x:v>cb45adf79a97128907b2823f5bdba02c56ddeadcedf13771a8908aa9597c7117</x:v>
      </x:c>
      <x:c r="L374" s="26"/>
      <x:c r="M374" s="26" t="n">
        <x:v>1</x:v>
      </x:c>
      <x:c r="N374" s="26" t="str">
        <x:v>UNIQUE</x:v>
      </x:c>
      <x:c r="O374" s="26" t="str">
        <x:v>32</x:v>
      </x:c>
      <x:c r="P374" s="26" t="str">
        <x:v>13, 14, 15, 16, 32</x:v>
      </x:c>
      <x:c r="Q374" s="26" t="str">
        <x:v>Published historical baseline</x:v>
      </x:c>
      <x:c r="R374" s="26" t="str">
        <x:v>SUPERSEDED AS AUTHORITY — RETAIN AS IMMUTABLE HISTORY</x:v>
      </x:c>
      <x:c r="S374" s="26" t="str">
        <x:v>00_Official_Baseline/v0.6/MIGRATION_SUMMARY.md</x:v>
      </x:c>
      <x:c r="T374" s="26" t="str">
        <x:v>Historical path preserved verbatim; hash calculated from supplied pre-regeneration project.</x:v>
      </x:c>
    </x:row>
    <x:row r="375" ht="30" customHeight="1">
      <x:c r="A375" s="26" t="str">
        <x:v>H-0371</x:v>
      </x:c>
      <x:c r="B375" s="26" t="str">
        <x:v>Official Baseline</x:v>
      </x:c>
      <x:c r="C375" s="26" t="str">
        <x:v>v0.6</x:v>
      </x:c>
      <x:c r="D375" s="26" t="str">
        <x:v>v0.6</x:v>
      </x:c>
      <x:c r="E375" s="26" t="str">
        <x:v>PACKAGE_MANIFEST.md</x:v>
      </x:c>
      <x:c r="F375" s="26"/>
      <x:c r="G375" s="26" t="str">
        <x:v>PACKAGE_MANIFEST.md</x:v>
      </x:c>
      <x:c r="H375" s="26" t="str">
        <x:v>Markdown</x:v>
      </x:c>
      <x:c r="I375" s="26" t="str">
        <x:v>Package manifest</x:v>
      </x:c>
      <x:c r="J375" s="26" t="n">
        <x:v>876</x:v>
      </x:c>
      <x:c r="K375" s="26" t="str">
        <x:v>c25b2f638ce7814f8f2d9a153481efe6891a01b7e873f1a3251775ee51b922dd</x:v>
      </x:c>
      <x:c r="L375" s="26"/>
      <x:c r="M375" s="26" t="n">
        <x:v>1</x:v>
      </x:c>
      <x:c r="N375" s="26" t="str">
        <x:v>UNIQUE</x:v>
      </x:c>
      <x:c r="O375" s="26" t="str">
        <x:v>32</x:v>
      </x:c>
      <x:c r="P375" s="26" t="str">
        <x:v>13, 14, 15, 16, 32</x:v>
      </x:c>
      <x:c r="Q375" s="26" t="str">
        <x:v>Published historical baseline</x:v>
      </x:c>
      <x:c r="R375" s="26" t="str">
        <x:v>SUPERSEDED AS AUTHORITY — RETAIN AS IMMUTABLE HISTORY</x:v>
      </x:c>
      <x:c r="S375" s="26" t="str">
        <x:v>00_Official_Baseline/v0.6/PACKAGE_MANIFEST.md</x:v>
      </x:c>
      <x:c r="T375" s="26" t="str">
        <x:v>Historical path preserved verbatim; hash calculated from supplied pre-regeneration project.</x:v>
      </x:c>
    </x:row>
    <x:row r="376" ht="30" customHeight="1">
      <x:c r="A376" s="26" t="str">
        <x:v>H-0372</x:v>
      </x:c>
      <x:c r="B376" s="26" t="str">
        <x:v>Official Baseline</x:v>
      </x:c>
      <x:c r="C376" s="26" t="str">
        <x:v>v0.6</x:v>
      </x:c>
      <x:c r="D376" s="26" t="str">
        <x:v>v0.6</x:v>
      </x:c>
      <x:c r="E376" s="26" t="str">
        <x:v>PDF_VALIDATION_REPORT.md</x:v>
      </x:c>
      <x:c r="F376" s="26"/>
      <x:c r="G376" s="26" t="str">
        <x:v>PDF_VALIDATION_REPORT.md</x:v>
      </x:c>
      <x:c r="H376" s="26" t="str">
        <x:v>Markdown</x:v>
      </x:c>
      <x:c r="I376" s="26" t="str">
        <x:v>Validation report</x:v>
      </x:c>
      <x:c r="J376" s="26" t="n">
        <x:v>2561</x:v>
      </x:c>
      <x:c r="K376" s="26" t="str">
        <x:v>9bdd1e982f2dba4c51c17e30800fff385bfc5140adcf48714367e8831b84b438</x:v>
      </x:c>
      <x:c r="L376" s="26"/>
      <x:c r="M376" s="26" t="n">
        <x:v>1</x:v>
      </x:c>
      <x:c r="N376" s="26" t="str">
        <x:v>UNIQUE</x:v>
      </x:c>
      <x:c r="O376" s="26"/>
      <x:c r="P376" s="26"/>
      <x:c r="Q376" s="26" t="str">
        <x:v>Historical baseline support</x:v>
      </x:c>
      <x:c r="R376" s="26" t="str">
        <x:v>RETAIN AS SUPPORTING HISTORY</x:v>
      </x:c>
      <x:c r="S376" s="26" t="str">
        <x:v>00_Official_Baseline/v0.6/PDF_VALIDATION_REPORT.md</x:v>
      </x:c>
      <x:c r="T376" s="26" t="str">
        <x:v>Historical path preserved verbatim; hash calculated from supplied pre-regeneration project.</x:v>
      </x:c>
    </x:row>
    <x:row r="377" ht="30" customHeight="1">
      <x:c r="A377" s="26" t="str">
        <x:v>H-0373</x:v>
      </x:c>
      <x:c r="B377" s="26" t="str">
        <x:v>Official Baseline</x:v>
      </x:c>
      <x:c r="C377" s="26" t="str">
        <x:v>v0.6</x:v>
      </x:c>
      <x:c r="D377" s="26" t="str">
        <x:v>v0.6</x:v>
      </x:c>
      <x:c r="E377" s="26" t="str">
        <x:v>README.en.md</x:v>
      </x:c>
      <x:c r="F377" s="26"/>
      <x:c r="G377" s="26" t="str">
        <x:v>README.en.md</x:v>
      </x:c>
      <x:c r="H377" s="26" t="str">
        <x:v>Markdown</x:v>
      </x:c>
      <x:c r="I377" s="26" t="str">
        <x:v>README / navigation</x:v>
      </x:c>
      <x:c r="J377" s="26" t="n">
        <x:v>124</x:v>
      </x:c>
      <x:c r="K377" s="26" t="str">
        <x:v>44459d4d622f5c66ee3848ff0e1a0a0fa8879f97af60e3f619092cb84cb1fd7e</x:v>
      </x:c>
      <x:c r="L377" s="26"/>
      <x:c r="M377" s="26" t="n">
        <x:v>1</x:v>
      </x:c>
      <x:c r="N377" s="26" t="str">
        <x:v>UNIQUE</x:v>
      </x:c>
      <x:c r="O377" s="26" t="str">
        <x:v>15</x:v>
      </x:c>
      <x:c r="P377" s="26" t="str">
        <x:v>15</x:v>
      </x:c>
      <x:c r="Q377" s="26" t="str">
        <x:v>Published historical baseline</x:v>
      </x:c>
      <x:c r="R377" s="26" t="str">
        <x:v>SUPERSEDED AS AUTHORITY — RETAIN AS IMMUTABLE HISTORY</x:v>
      </x:c>
      <x:c r="S377" s="26" t="str">
        <x:v>00_Official_Baseline/v0.6/README.en.md</x:v>
      </x:c>
      <x:c r="T377" s="26" t="str">
        <x:v>Historical path preserved verbatim; hash calculated from supplied pre-regeneration project.</x:v>
      </x:c>
    </x:row>
    <x:row r="378" ht="30" customHeight="1">
      <x:c r="A378" s="26" t="str">
        <x:v>H-0374</x:v>
      </x:c>
      <x:c r="B378" s="26" t="str">
        <x:v>Official Baseline</x:v>
      </x:c>
      <x:c r="C378" s="26" t="str">
        <x:v>v0.6</x:v>
      </x:c>
      <x:c r="D378" s="26" t="str">
        <x:v>v0.6</x:v>
      </x:c>
      <x:c r="E378" s="26" t="str">
        <x:v>README.md</x:v>
      </x:c>
      <x:c r="F378" s="26"/>
      <x:c r="G378" s="26" t="str">
        <x:v>README.md</x:v>
      </x:c>
      <x:c r="H378" s="26" t="str">
        <x:v>Markdown</x:v>
      </x:c>
      <x:c r="I378" s="26" t="str">
        <x:v>README / navigation</x:v>
      </x:c>
      <x:c r="J378" s="26" t="n">
        <x:v>471</x:v>
      </x:c>
      <x:c r="K378" s="26" t="str">
        <x:v>ac0e90bdca7aa7a46b4affcd7ff9b755586339a228473d3b4eb1645eeca82a79</x:v>
      </x:c>
      <x:c r="L378" s="26"/>
      <x:c r="M378" s="26" t="n">
        <x:v>1</x:v>
      </x:c>
      <x:c r="N378" s="26" t="str">
        <x:v>UNIQUE</x:v>
      </x:c>
      <x:c r="O378" s="26" t="str">
        <x:v>15</x:v>
      </x:c>
      <x:c r="P378" s="26" t="str">
        <x:v>15</x:v>
      </x:c>
      <x:c r="Q378" s="26" t="str">
        <x:v>Published historical baseline</x:v>
      </x:c>
      <x:c r="R378" s="26" t="str">
        <x:v>SUPERSEDED AS AUTHORITY — RETAIN AS IMMUTABLE HISTORY</x:v>
      </x:c>
      <x:c r="S378" s="26" t="str">
        <x:v>00_Official_Baseline/v0.6/README.md</x:v>
      </x:c>
      <x:c r="T378" s="26" t="str">
        <x:v>Historical path preserved verbatim; hash calculated from supplied pre-regeneration project.</x:v>
      </x:c>
    </x:row>
    <x:row r="379" ht="30" customHeight="1">
      <x:c r="A379" s="26" t="str">
        <x:v>H-0375</x:v>
      </x:c>
      <x:c r="B379" s="26" t="str">
        <x:v>Official Baseline</x:v>
      </x:c>
      <x:c r="C379" s="26" t="str">
        <x:v>v0.6</x:v>
      </x:c>
      <x:c r="D379" s="26" t="str">
        <x:v>v0.6</x:v>
      </x:c>
      <x:c r="E379" s="26" t="str">
        <x:v>SPRINTS_0_16_DOCUMENT_IMPACT_MATRIX.md</x:v>
      </x:c>
      <x:c r="F379" s="26"/>
      <x:c r="G379" s="26" t="str">
        <x:v>SPRINTS_0_16_DOCUMENT_IMPACT_MATRIX.md</x:v>
      </x:c>
      <x:c r="H379" s="26" t="str">
        <x:v>Markdown</x:v>
      </x:c>
      <x:c r="I379" s="26" t="str">
        <x:v>Historical document / record</x:v>
      </x:c>
      <x:c r="J379" s="26" t="n">
        <x:v>293</x:v>
      </x:c>
      <x:c r="K379" s="26" t="str">
        <x:v>5b16179ec39a2a7c460824cc9e821c2f9856adcae3aaf4cc57ce43d280ac05e2</x:v>
      </x:c>
      <x:c r="L379" s="26"/>
      <x:c r="M379" s="26" t="n">
        <x:v>1</x:v>
      </x:c>
      <x:c r="N379" s="26" t="str">
        <x:v>UNIQUE</x:v>
      </x:c>
      <x:c r="O379" s="26"/>
      <x:c r="P379" s="26"/>
      <x:c r="Q379" s="26" t="str">
        <x:v>Historical baseline support</x:v>
      </x:c>
      <x:c r="R379" s="26" t="str">
        <x:v>RETAIN AS SUPPORTING HISTORY</x:v>
      </x:c>
      <x:c r="S379" s="26" t="str">
        <x:v>00_Official_Baseline/v0.6/SPRINTS_0_16_DOCUMENT_IMPACT_MATRIX.md</x:v>
      </x:c>
      <x:c r="T379" s="26" t="str">
        <x:v>Historical path preserved verbatim; hash calculated from supplied pre-regeneration project.</x:v>
      </x:c>
    </x:row>
    <x:row r="380" ht="30" customHeight="1">
      <x:c r="A380" s="26" t="str">
        <x:v>H-0376</x:v>
      </x:c>
      <x:c r="B380" s="26" t="str">
        <x:v>Working Documents</x:v>
      </x:c>
      <x:c r="C380" s="26"/>
      <x:c r="D380" s="26" t="str">
        <x:v>Sprint_16</x:v>
      </x:c>
      <x:c r="E380" s="26" t="str">
        <x:v>Art_3D</x:v>
      </x:c>
      <x:c r="F380" s="26" t="str">
        <x:v>Sprint 16</x:v>
      </x:c>
      <x:c r="G380" s="26" t="str">
        <x:v>ChatGPT Image 29 jun 2026, 21_37_54.png</x:v>
      </x:c>
      <x:c r="H380" s="26" t="str">
        <x:v>PNG evidence</x:v>
      </x:c>
      <x:c r="I380" s="26" t="str">
        <x:v>Art working evidence</x:v>
      </x:c>
      <x:c r="J380" s="26" t="n">
        <x:v>1977934</x:v>
      </x:c>
      <x:c r="K380" s="26" t="str">
        <x:v>cfdd490b742396ac2fff6ba0b1e6cea8d71fb2005305ddd9c82487ec7ea88b84</x:v>
      </x:c>
      <x:c r="L380" s="26"/>
      <x:c r="M380" s="26" t="n">
        <x:v>1</x:v>
      </x:c>
      <x:c r="N380" s="26" t="str">
        <x:v>UNIQUE</x:v>
      </x:c>
      <x:c r="O380" s="26"/>
      <x:c r="P380" s="26"/>
      <x:c r="Q380" s="26" t="str">
        <x:v>Working evidence</x:v>
      </x:c>
      <x:c r="R380" s="26" t="str">
        <x:v>RETAIN UNTIL CLOSURE / ARCHIVE DECISION</x:v>
      </x:c>
      <x:c r="S380" s="26" t="str">
        <x:v>01_Working_Documents/Sprint_16/Art_3D/Concept_Art/00_Visual_Targets/ChatGPT Image 29 jun 2026, 21_37_54.png</x:v>
      </x:c>
      <x:c r="T380" s="26" t="str">
        <x:v>Historical path preserved verbatim; hash calculated from supplied pre-regeneration project.</x:v>
      </x:c>
    </x:row>
    <x:row r="381" ht="30" customHeight="1">
      <x:c r="A381" s="26" t="str">
        <x:v>H-0377</x:v>
      </x:c>
      <x:c r="B381" s="26" t="str">
        <x:v>Working Documents</x:v>
      </x:c>
      <x:c r="C381" s="26"/>
      <x:c r="D381" s="26" t="str">
        <x:v>Sprint_16</x:v>
      </x:c>
      <x:c r="E381" s="26" t="str">
        <x:v>Art_3D</x:v>
      </x:c>
      <x:c r="F381" s="26" t="str">
        <x:v>Sprint 16</x:v>
      </x:c>
      <x:c r="G381" s="26" t="str">
        <x:v>.gitkeep</x:v>
      </x:c>
      <x:c r="H381" s="26" t="str">
        <x:v>Extensionless record</x:v>
      </x:c>
      <x:c r="I381" s="26" t="str">
        <x:v>Art working evidence</x:v>
      </x:c>
      <x:c r="J381" s="26" t="n">
        <x:v>0</x:v>
      </x:c>
      <x:c r="K381" s="26" t="str">
        <x:v>e3b0c44298fc1c149afbf4c8996fb92427ae41e4649b934ca495991b7852b855</x:v>
      </x:c>
      <x:c r="L381" s="26" t="str">
        <x:v>DG-092</x:v>
      </x:c>
      <x:c r="M381" s="26" t="n">
        <x:v>6</x:v>
      </x:c>
      <x:c r="N381" s="26" t="str">
        <x:v>IDENTICAL COPY</x:v>
      </x:c>
      <x:c r="O381" s="26"/>
      <x:c r="P381" s="26"/>
      <x:c r="Q381" s="26" t="str">
        <x:v>Working evidence</x:v>
      </x:c>
      <x:c r="R381" s="26" t="str">
        <x:v>RETAIN UNTIL CLOSURE / ARCHIVE DECISION</x:v>
      </x:c>
      <x:c r="S381" s="26" t="str">
        <x:v>01_Working_Documents/Sprint_16/Art_3D/Concept_Art/01_Architecture/.gitkeep</x:v>
      </x:c>
      <x:c r="T381" s="26" t="str">
        <x:v>Historical path preserved verbatim; hash calculated from supplied pre-regeneration project.</x:v>
      </x:c>
    </x:row>
    <x:row r="382" ht="30" customHeight="1">
      <x:c r="A382" s="26" t="str">
        <x:v>H-0378</x:v>
      </x:c>
      <x:c r="B382" s="26" t="str">
        <x:v>Working Documents</x:v>
      </x:c>
      <x:c r="C382" s="26"/>
      <x:c r="D382" s="26" t="str">
        <x:v>Sprint_16</x:v>
      </x:c>
      <x:c r="E382" s="26" t="str">
        <x:v>Art_3D</x:v>
      </x:c>
      <x:c r="F382" s="26" t="str">
        <x:v>Sprint 16</x:v>
      </x:c>
      <x:c r="G382" s="26" t="str">
        <x:v>ChatGPT Image 29 jun 2026, 21_38_14 (10).png</x:v>
      </x:c>
      <x:c r="H382" s="26" t="str">
        <x:v>PNG evidence</x:v>
      </x:c>
      <x:c r="I382" s="26" t="str">
        <x:v>Art working evidence</x:v>
      </x:c>
      <x:c r="J382" s="26" t="n">
        <x:v>1767735</x:v>
      </x:c>
      <x:c r="K382" s="26" t="str">
        <x:v>42175ffa89a40d6bfb57217b38a5dfee04e337bc44b838ca8db01812e56454e5</x:v>
      </x:c>
      <x:c r="L382" s="26"/>
      <x:c r="M382" s="26" t="n">
        <x:v>1</x:v>
      </x:c>
      <x:c r="N382" s="26" t="str">
        <x:v>UNIQUE</x:v>
      </x:c>
      <x:c r="O382" s="26"/>
      <x:c r="P382" s="26"/>
      <x:c r="Q382" s="26" t="str">
        <x:v>Working evidence</x:v>
      </x:c>
      <x:c r="R382" s="26" t="str">
        <x:v>RETAIN UNTIL CLOSURE / ARCHIVE DECISION</x:v>
      </x:c>
      <x:c r="S382" s="26" t="str">
        <x:v>01_Working_Documents/Sprint_16/Art_3D/Concept_Art/02_Furniture/ChatGPT Image 29 jun 2026, 21_38_14 (10).png</x:v>
      </x:c>
      <x:c r="T382" s="26" t="str">
        <x:v>Historical path preserved verbatim; hash calculated from supplied pre-regeneration project.</x:v>
      </x:c>
    </x:row>
    <x:row r="383" ht="30" customHeight="1">
      <x:c r="A383" s="26" t="str">
        <x:v>H-0379</x:v>
      </x:c>
      <x:c r="B383" s="26" t="str">
        <x:v>Working Documents</x:v>
      </x:c>
      <x:c r="C383" s="26"/>
      <x:c r="D383" s="26" t="str">
        <x:v>Sprint_16</x:v>
      </x:c>
      <x:c r="E383" s="26" t="str">
        <x:v>Art_3D</x:v>
      </x:c>
      <x:c r="F383" s="26" t="str">
        <x:v>Sprint 16</x:v>
      </x:c>
      <x:c r="G383" s="26" t="str">
        <x:v>ChatGPT Image 29 jun 2026, 21_38_14 (7).png</x:v>
      </x:c>
      <x:c r="H383" s="26" t="str">
        <x:v>PNG evidence</x:v>
      </x:c>
      <x:c r="I383" s="26" t="str">
        <x:v>Art working evidence</x:v>
      </x:c>
      <x:c r="J383" s="26" t="n">
        <x:v>1670316</x:v>
      </x:c>
      <x:c r="K383" s="26" t="str">
        <x:v>6d5032c38dc50979430763f7ee18a84deee243325d3400affc2012551864ee1a</x:v>
      </x:c>
      <x:c r="L383" s="26"/>
      <x:c r="M383" s="26" t="n">
        <x:v>1</x:v>
      </x:c>
      <x:c r="N383" s="26" t="str">
        <x:v>UNIQUE</x:v>
      </x:c>
      <x:c r="O383" s="26"/>
      <x:c r="P383" s="26"/>
      <x:c r="Q383" s="26" t="str">
        <x:v>Working evidence</x:v>
      </x:c>
      <x:c r="R383" s="26" t="str">
        <x:v>RETAIN UNTIL CLOSURE / ARCHIVE DECISION</x:v>
      </x:c>
      <x:c r="S383" s="26" t="str">
        <x:v>01_Working_Documents/Sprint_16/Art_3D/Concept_Art/02_Furniture/ChatGPT Image 29 jun 2026, 21_38_14 (7).png</x:v>
      </x:c>
      <x:c r="T383" s="26" t="str">
        <x:v>Historical path preserved verbatim; hash calculated from supplied pre-regeneration project.</x:v>
      </x:c>
    </x:row>
    <x:row r="384" ht="30" customHeight="1">
      <x:c r="A384" s="26" t="str">
        <x:v>H-0380</x:v>
      </x:c>
      <x:c r="B384" s="26" t="str">
        <x:v>Working Documents</x:v>
      </x:c>
      <x:c r="C384" s="26"/>
      <x:c r="D384" s="26" t="str">
        <x:v>Sprint_16</x:v>
      </x:c>
      <x:c r="E384" s="26" t="str">
        <x:v>Art_3D</x:v>
      </x:c>
      <x:c r="F384" s="26" t="str">
        <x:v>Sprint 16</x:v>
      </x:c>
      <x:c r="G384" s="26" t="str">
        <x:v>ChatGPT Image 29 jun 2026, 21_38_14 (8).png</x:v>
      </x:c>
      <x:c r="H384" s="26" t="str">
        <x:v>PNG evidence</x:v>
      </x:c>
      <x:c r="I384" s="26" t="str">
        <x:v>Art working evidence</x:v>
      </x:c>
      <x:c r="J384" s="26" t="n">
        <x:v>1996425</x:v>
      </x:c>
      <x:c r="K384" s="26" t="str">
        <x:v>78f6c5d8ecc65077ee7191715e71f31b15a7ce22b59becf54e69dcca19bded48</x:v>
      </x:c>
      <x:c r="L384" s="26"/>
      <x:c r="M384" s="26" t="n">
        <x:v>1</x:v>
      </x:c>
      <x:c r="N384" s="26" t="str">
        <x:v>UNIQUE</x:v>
      </x:c>
      <x:c r="O384" s="26"/>
      <x:c r="P384" s="26"/>
      <x:c r="Q384" s="26" t="str">
        <x:v>Working evidence</x:v>
      </x:c>
      <x:c r="R384" s="26" t="str">
        <x:v>RETAIN UNTIL CLOSURE / ARCHIVE DECISION</x:v>
      </x:c>
      <x:c r="S384" s="26" t="str">
        <x:v>01_Working_Documents/Sprint_16/Art_3D/Concept_Art/02_Furniture/ChatGPT Image 29 jun 2026, 21_38_14 (8).png</x:v>
      </x:c>
      <x:c r="T384" s="26" t="str">
        <x:v>Historical path preserved verbatim; hash calculated from supplied pre-regeneration project.</x:v>
      </x:c>
    </x:row>
    <x:row r="385" ht="30" customHeight="1">
      <x:c r="A385" s="26" t="str">
        <x:v>H-0381</x:v>
      </x:c>
      <x:c r="B385" s="26" t="str">
        <x:v>Working Documents</x:v>
      </x:c>
      <x:c r="C385" s="26"/>
      <x:c r="D385" s="26" t="str">
        <x:v>Sprint_16</x:v>
      </x:c>
      <x:c r="E385" s="26" t="str">
        <x:v>Art_3D</x:v>
      </x:c>
      <x:c r="F385" s="26" t="str">
        <x:v>Sprint 16</x:v>
      </x:c>
      <x:c r="G385" s="26" t="str">
        <x:v>ChatGPT Image 29 jun 2026, 21_38_14 (9).png</x:v>
      </x:c>
      <x:c r="H385" s="26" t="str">
        <x:v>PNG evidence</x:v>
      </x:c>
      <x:c r="I385" s="26" t="str">
        <x:v>Art working evidence</x:v>
      </x:c>
      <x:c r="J385" s="26" t="n">
        <x:v>1575644</x:v>
      </x:c>
      <x:c r="K385" s="26" t="str">
        <x:v>16f940c84ce6c14a277a5ed236d1306df17d80419e118507f0f2032f0b4ad558</x:v>
      </x:c>
      <x:c r="L385" s="26"/>
      <x:c r="M385" s="26" t="n">
        <x:v>1</x:v>
      </x:c>
      <x:c r="N385" s="26" t="str">
        <x:v>UNIQUE</x:v>
      </x:c>
      <x:c r="O385" s="26"/>
      <x:c r="P385" s="26"/>
      <x:c r="Q385" s="26" t="str">
        <x:v>Working evidence</x:v>
      </x:c>
      <x:c r="R385" s="26" t="str">
        <x:v>RETAIN UNTIL CLOSURE / ARCHIVE DECISION</x:v>
      </x:c>
      <x:c r="S385" s="26" t="str">
        <x:v>01_Working_Documents/Sprint_16/Art_3D/Concept_Art/02_Furniture/ChatGPT Image 29 jun 2026, 21_38_14 (9).png</x:v>
      </x:c>
      <x:c r="T385" s="26" t="str">
        <x:v>Historical path preserved verbatim; hash calculated from supplied pre-regeneration project.</x:v>
      </x:c>
    </x:row>
    <x:row r="386" ht="30" customHeight="1">
      <x:c r="A386" s="26" t="str">
        <x:v>H-0382</x:v>
      </x:c>
      <x:c r="B386" s="26" t="str">
        <x:v>Working Documents</x:v>
      </x:c>
      <x:c r="C386" s="26"/>
      <x:c r="D386" s="26" t="str">
        <x:v>Sprint_16</x:v>
      </x:c>
      <x:c r="E386" s="26" t="str">
        <x:v>Art_3D</x:v>
      </x:c>
      <x:c r="F386" s="26" t="str">
        <x:v>Sprint 16</x:v>
      </x:c>
      <x:c r="G386" s="26" t="str">
        <x:v>ChatGPT Image 29 jun 2026, 21_38_14 (1).png</x:v>
      </x:c>
      <x:c r="H386" s="26" t="str">
        <x:v>PNG evidence</x:v>
      </x:c>
      <x:c r="I386" s="26" t="str">
        <x:v>Art working evidence</x:v>
      </x:c>
      <x:c r="J386" s="26" t="n">
        <x:v>1590353</x:v>
      </x:c>
      <x:c r="K386" s="26" t="str">
        <x:v>410d0bf38ab8848df5a496e250786d793d1d45bf8bbeab48c8f8ca83fa91d8fd</x:v>
      </x:c>
      <x:c r="L386" s="26"/>
      <x:c r="M386" s="26" t="n">
        <x:v>1</x:v>
      </x:c>
      <x:c r="N386" s="26" t="str">
        <x:v>UNIQUE</x:v>
      </x:c>
      <x:c r="O386" s="26"/>
      <x:c r="P386" s="26"/>
      <x:c r="Q386" s="26" t="str">
        <x:v>Working evidence</x:v>
      </x:c>
      <x:c r="R386" s="26" t="str">
        <x:v>RETAIN UNTIL CLOSURE / ARCHIVE DECISION</x:v>
      </x:c>
      <x:c r="S386" s="26" t="str">
        <x:v>01_Working_Documents/Sprint_16/Art_3D/Concept_Art/03_Products/ChatGPT Image 29 jun 2026, 21_38_14 (1).png</x:v>
      </x:c>
      <x:c r="T386" s="26" t="str">
        <x:v>Historical path preserved verbatim; hash calculated from supplied pre-regeneration project.</x:v>
      </x:c>
    </x:row>
    <x:row r="387" ht="30" customHeight="1">
      <x:c r="A387" s="26" t="str">
        <x:v>H-0383</x:v>
      </x:c>
      <x:c r="B387" s="26" t="str">
        <x:v>Working Documents</x:v>
      </x:c>
      <x:c r="C387" s="26"/>
      <x:c r="D387" s="26" t="str">
        <x:v>Sprint_16</x:v>
      </x:c>
      <x:c r="E387" s="26" t="str">
        <x:v>Art_3D</x:v>
      </x:c>
      <x:c r="F387" s="26" t="str">
        <x:v>Sprint 16</x:v>
      </x:c>
      <x:c r="G387" s="26" t="str">
        <x:v>ChatGPT Image 29 jun 2026, 21_38_14 (2).png</x:v>
      </x:c>
      <x:c r="H387" s="26" t="str">
        <x:v>PNG evidence</x:v>
      </x:c>
      <x:c r="I387" s="26" t="str">
        <x:v>Art working evidence</x:v>
      </x:c>
      <x:c r="J387" s="26" t="n">
        <x:v>1786999</x:v>
      </x:c>
      <x:c r="K387" s="26" t="str">
        <x:v>6107ce0119514adab534d271d224c0a3b9b2006eebe551cc43297299a9edc404</x:v>
      </x:c>
      <x:c r="L387" s="26"/>
      <x:c r="M387" s="26" t="n">
        <x:v>1</x:v>
      </x:c>
      <x:c r="N387" s="26" t="str">
        <x:v>UNIQUE</x:v>
      </x:c>
      <x:c r="O387" s="26"/>
      <x:c r="P387" s="26"/>
      <x:c r="Q387" s="26" t="str">
        <x:v>Working evidence</x:v>
      </x:c>
      <x:c r="R387" s="26" t="str">
        <x:v>RETAIN UNTIL CLOSURE / ARCHIVE DECISION</x:v>
      </x:c>
      <x:c r="S387" s="26" t="str">
        <x:v>01_Working_Documents/Sprint_16/Art_3D/Concept_Art/03_Products/ChatGPT Image 29 jun 2026, 21_38_14 (2).png</x:v>
      </x:c>
      <x:c r="T387" s="26" t="str">
        <x:v>Historical path preserved verbatim; hash calculated from supplied pre-regeneration project.</x:v>
      </x:c>
    </x:row>
    <x:row r="388" ht="30" customHeight="1">
      <x:c r="A388" s="26" t="str">
        <x:v>H-0384</x:v>
      </x:c>
      <x:c r="B388" s="26" t="str">
        <x:v>Working Documents</x:v>
      </x:c>
      <x:c r="C388" s="26"/>
      <x:c r="D388" s="26" t="str">
        <x:v>Sprint_16</x:v>
      </x:c>
      <x:c r="E388" s="26" t="str">
        <x:v>Art_3D</x:v>
      </x:c>
      <x:c r="F388" s="26" t="str">
        <x:v>Sprint 16</x:v>
      </x:c>
      <x:c r="G388" s="26" t="str">
        <x:v>ChatGPT Image 29 jun 2026, 21_38_14 (3).png</x:v>
      </x:c>
      <x:c r="H388" s="26" t="str">
        <x:v>PNG evidence</x:v>
      </x:c>
      <x:c r="I388" s="26" t="str">
        <x:v>Art working evidence</x:v>
      </x:c>
      <x:c r="J388" s="26" t="n">
        <x:v>1954907</x:v>
      </x:c>
      <x:c r="K388" s="26" t="str">
        <x:v>27639fb594bb9c24fc20403cbcf15a683b91af6b12250d3062fb2d0ec054528c</x:v>
      </x:c>
      <x:c r="L388" s="26"/>
      <x:c r="M388" s="26" t="n">
        <x:v>1</x:v>
      </x:c>
      <x:c r="N388" s="26" t="str">
        <x:v>UNIQUE</x:v>
      </x:c>
      <x:c r="O388" s="26"/>
      <x:c r="P388" s="26"/>
      <x:c r="Q388" s="26" t="str">
        <x:v>Working evidence</x:v>
      </x:c>
      <x:c r="R388" s="26" t="str">
        <x:v>RETAIN UNTIL CLOSURE / ARCHIVE DECISION</x:v>
      </x:c>
      <x:c r="S388" s="26" t="str">
        <x:v>01_Working_Documents/Sprint_16/Art_3D/Concept_Art/03_Products/ChatGPT Image 29 jun 2026, 21_38_14 (3).png</x:v>
      </x:c>
      <x:c r="T388" s="26" t="str">
        <x:v>Historical path preserved verbatim; hash calculated from supplied pre-regeneration project.</x:v>
      </x:c>
    </x:row>
    <x:row r="389" ht="30" customHeight="1">
      <x:c r="A389" s="26" t="str">
        <x:v>H-0385</x:v>
      </x:c>
      <x:c r="B389" s="26" t="str">
        <x:v>Working Documents</x:v>
      </x:c>
      <x:c r="C389" s="26"/>
      <x:c r="D389" s="26" t="str">
        <x:v>Sprint_16</x:v>
      </x:c>
      <x:c r="E389" s="26" t="str">
        <x:v>Art_3D</x:v>
      </x:c>
      <x:c r="F389" s="26" t="str">
        <x:v>Sprint 16</x:v>
      </x:c>
      <x:c r="G389" s="26" t="str">
        <x:v>ChatGPT Image 29 jun 2026, 21_38_14 (4).png</x:v>
      </x:c>
      <x:c r="H389" s="26" t="str">
        <x:v>PNG evidence</x:v>
      </x:c>
      <x:c r="I389" s="26" t="str">
        <x:v>Art working evidence</x:v>
      </x:c>
      <x:c r="J389" s="26" t="n">
        <x:v>1939499</x:v>
      </x:c>
      <x:c r="K389" s="26" t="str">
        <x:v>7ade04828ed3b7623c7e7dc271adde637cdcbf746c6a78566a3faa3cb5073e63</x:v>
      </x:c>
      <x:c r="L389" s="26"/>
      <x:c r="M389" s="26" t="n">
        <x:v>1</x:v>
      </x:c>
      <x:c r="N389" s="26" t="str">
        <x:v>UNIQUE</x:v>
      </x:c>
      <x:c r="O389" s="26"/>
      <x:c r="P389" s="26"/>
      <x:c r="Q389" s="26" t="str">
        <x:v>Working evidence</x:v>
      </x:c>
      <x:c r="R389" s="26" t="str">
        <x:v>RETAIN UNTIL CLOSURE / ARCHIVE DECISION</x:v>
      </x:c>
      <x:c r="S389" s="26" t="str">
        <x:v>01_Working_Documents/Sprint_16/Art_3D/Concept_Art/03_Products/ChatGPT Image 29 jun 2026, 21_38_14 (4).png</x:v>
      </x:c>
      <x:c r="T389" s="26" t="str">
        <x:v>Historical path preserved verbatim; hash calculated from supplied pre-regeneration project.</x:v>
      </x:c>
    </x:row>
    <x:row r="390" ht="30" customHeight="1">
      <x:c r="A390" s="26" t="str">
        <x:v>H-0386</x:v>
      </x:c>
      <x:c r="B390" s="26" t="str">
        <x:v>Working Documents</x:v>
      </x:c>
      <x:c r="C390" s="26"/>
      <x:c r="D390" s="26" t="str">
        <x:v>Sprint_16</x:v>
      </x:c>
      <x:c r="E390" s="26" t="str">
        <x:v>Art_3D</x:v>
      </x:c>
      <x:c r="F390" s="26" t="str">
        <x:v>Sprint 16</x:v>
      </x:c>
      <x:c r="G390" s="26" t="str">
        <x:v>ChatGPT Image 29 jun 2026, 21_38_14 (5).png</x:v>
      </x:c>
      <x:c r="H390" s="26" t="str">
        <x:v>PNG evidence</x:v>
      </x:c>
      <x:c r="I390" s="26" t="str">
        <x:v>Art working evidence</x:v>
      </x:c>
      <x:c r="J390" s="26" t="n">
        <x:v>1901472</x:v>
      </x:c>
      <x:c r="K390" s="26" t="str">
        <x:v>48be40e282d818092991e3f24d9e6b21e324025374a15ae762faf4fca8762779</x:v>
      </x:c>
      <x:c r="L390" s="26"/>
      <x:c r="M390" s="26" t="n">
        <x:v>1</x:v>
      </x:c>
      <x:c r="N390" s="26" t="str">
        <x:v>UNIQUE</x:v>
      </x:c>
      <x:c r="O390" s="26"/>
      <x:c r="P390" s="26"/>
      <x:c r="Q390" s="26" t="str">
        <x:v>Working evidence</x:v>
      </x:c>
      <x:c r="R390" s="26" t="str">
        <x:v>RETAIN UNTIL CLOSURE / ARCHIVE DECISION</x:v>
      </x:c>
      <x:c r="S390" s="26" t="str">
        <x:v>01_Working_Documents/Sprint_16/Art_3D/Concept_Art/03_Products/ChatGPT Image 29 jun 2026, 21_38_14 (5).png</x:v>
      </x:c>
      <x:c r="T390" s="26" t="str">
        <x:v>Historical path preserved verbatim; hash calculated from supplied pre-regeneration project.</x:v>
      </x:c>
    </x:row>
    <x:row r="391" ht="30" customHeight="1">
      <x:c r="A391" s="26" t="str">
        <x:v>H-0387</x:v>
      </x:c>
      <x:c r="B391" s="26" t="str">
        <x:v>Working Documents</x:v>
      </x:c>
      <x:c r="C391" s="26"/>
      <x:c r="D391" s="26" t="str">
        <x:v>Sprint_16</x:v>
      </x:c>
      <x:c r="E391" s="26" t="str">
        <x:v>Art_3D</x:v>
      </x:c>
      <x:c r="F391" s="26" t="str">
        <x:v>Sprint 16</x:v>
      </x:c>
      <x:c r="G391" s="26" t="str">
        <x:v>ChatGPT Image 29 jun 2026, 21_38_14 (6).png</x:v>
      </x:c>
      <x:c r="H391" s="26" t="str">
        <x:v>PNG evidence</x:v>
      </x:c>
      <x:c r="I391" s="26" t="str">
        <x:v>Art working evidence</x:v>
      </x:c>
      <x:c r="J391" s="26" t="n">
        <x:v>1774013</x:v>
      </x:c>
      <x:c r="K391" s="26" t="str">
        <x:v>56891223f619f891a523c01037823ca04fa386cc2b0963858c6115e9984df4bd</x:v>
      </x:c>
      <x:c r="L391" s="26"/>
      <x:c r="M391" s="26" t="n">
        <x:v>1</x:v>
      </x:c>
      <x:c r="N391" s="26" t="str">
        <x:v>UNIQUE</x:v>
      </x:c>
      <x:c r="O391" s="26"/>
      <x:c r="P391" s="26"/>
      <x:c r="Q391" s="26" t="str">
        <x:v>Working evidence</x:v>
      </x:c>
      <x:c r="R391" s="26" t="str">
        <x:v>RETAIN UNTIL CLOSURE / ARCHIVE DECISION</x:v>
      </x:c>
      <x:c r="S391" s="26" t="str">
        <x:v>01_Working_Documents/Sprint_16/Art_3D/Concept_Art/03_Products/ChatGPT Image 29 jun 2026, 21_38_14 (6).png</x:v>
      </x:c>
      <x:c r="T391" s="26" t="str">
        <x:v>Historical path preserved verbatim; hash calculated from supplied pre-regeneration project.</x:v>
      </x:c>
    </x:row>
    <x:row r="392" ht="30" customHeight="1">
      <x:c r="A392" s="26" t="str">
        <x:v>H-0388</x:v>
      </x:c>
      <x:c r="B392" s="26" t="str">
        <x:v>Working Documents</x:v>
      </x:c>
      <x:c r="C392" s="26"/>
      <x:c r="D392" s="26" t="str">
        <x:v>Sprint_16</x:v>
      </x:c>
      <x:c r="E392" s="26" t="str">
        <x:v>Art_3D</x:v>
      </x:c>
      <x:c r="F392" s="26" t="str">
        <x:v>Sprint 16</x:v>
      </x:c>
      <x:c r="G392" s="26" t="str">
        <x:v>ChatGPT Image 29 jun 2026, 21_38_50 (1).png</x:v>
      </x:c>
      <x:c r="H392" s="26" t="str">
        <x:v>PNG evidence</x:v>
      </x:c>
      <x:c r="I392" s="26" t="str">
        <x:v>Art working evidence</x:v>
      </x:c>
      <x:c r="J392" s="26" t="n">
        <x:v>1728315</x:v>
      </x:c>
      <x:c r="K392" s="26" t="str">
        <x:v>fd439e31144c41f1eedd8d417911c1f78fbdbe02623b4859535db50082e8a491</x:v>
      </x:c>
      <x:c r="L392" s="26"/>
      <x:c r="M392" s="26" t="n">
        <x:v>1</x:v>
      </x:c>
      <x:c r="N392" s="26" t="str">
        <x:v>UNIQUE</x:v>
      </x:c>
      <x:c r="O392" s="26"/>
      <x:c r="P392" s="26"/>
      <x:c r="Q392" s="26" t="str">
        <x:v>Working evidence</x:v>
      </x:c>
      <x:c r="R392" s="26" t="str">
        <x:v>RETAIN UNTIL CLOSURE / ARCHIVE DECISION</x:v>
      </x:c>
      <x:c r="S392" s="26" t="str">
        <x:v>01_Working_Documents/Sprint_16/Art_3D/Concept_Art/04_Characters/ChatGPT Image 29 jun 2026, 21_38_50 (1).png</x:v>
      </x:c>
      <x:c r="T392" s="26" t="str">
        <x:v>Historical path preserved verbatim; hash calculated from supplied pre-regeneration project.</x:v>
      </x:c>
    </x:row>
    <x:row r="393" ht="30" customHeight="1">
      <x:c r="A393" s="26" t="str">
        <x:v>H-0389</x:v>
      </x:c>
      <x:c r="B393" s="26" t="str">
        <x:v>Working Documents</x:v>
      </x:c>
      <x:c r="C393" s="26"/>
      <x:c r="D393" s="26" t="str">
        <x:v>Sprint_16</x:v>
      </x:c>
      <x:c r="E393" s="26" t="str">
        <x:v>Art_3D</x:v>
      </x:c>
      <x:c r="F393" s="26" t="str">
        <x:v>Sprint 16</x:v>
      </x:c>
      <x:c r="G393" s="26" t="str">
        <x:v>ChatGPT Image 29 jun 2026, 21_38_50 (2).png</x:v>
      </x:c>
      <x:c r="H393" s="26" t="str">
        <x:v>PNG evidence</x:v>
      </x:c>
      <x:c r="I393" s="26" t="str">
        <x:v>Art working evidence</x:v>
      </x:c>
      <x:c r="J393" s="26" t="n">
        <x:v>1685372</x:v>
      </x:c>
      <x:c r="K393" s="26" t="str">
        <x:v>e5bca43f10a16a56d793260cf1bad77fa308db981207d5e6d37325159e6d8a11</x:v>
      </x:c>
      <x:c r="L393" s="26"/>
      <x:c r="M393" s="26" t="n">
        <x:v>1</x:v>
      </x:c>
      <x:c r="N393" s="26" t="str">
        <x:v>UNIQUE</x:v>
      </x:c>
      <x:c r="O393" s="26"/>
      <x:c r="P393" s="26"/>
      <x:c r="Q393" s="26" t="str">
        <x:v>Working evidence</x:v>
      </x:c>
      <x:c r="R393" s="26" t="str">
        <x:v>RETAIN UNTIL CLOSURE / ARCHIVE DECISION</x:v>
      </x:c>
      <x:c r="S393" s="26" t="str">
        <x:v>01_Working_Documents/Sprint_16/Art_3D/Concept_Art/04_Characters/ChatGPT Image 29 jun 2026, 21_38_50 (2).png</x:v>
      </x:c>
      <x:c r="T393" s="26" t="str">
        <x:v>Historical path preserved verbatim; hash calculated from supplied pre-regeneration project.</x:v>
      </x:c>
    </x:row>
    <x:row r="394" ht="30" customHeight="1">
      <x:c r="A394" s="26" t="str">
        <x:v>H-0390</x:v>
      </x:c>
      <x:c r="B394" s="26" t="str">
        <x:v>Working Documents</x:v>
      </x:c>
      <x:c r="C394" s="26"/>
      <x:c r="D394" s="26" t="str">
        <x:v>Sprint_16</x:v>
      </x:c>
      <x:c r="E394" s="26" t="str">
        <x:v>Art_3D</x:v>
      </x:c>
      <x:c r="F394" s="26" t="str">
        <x:v>Sprint 16</x:v>
      </x:c>
      <x:c r="G394" s="26" t="str">
        <x:v>ChatGPT Image 29 jun 2026, 21_38_50 (3).png</x:v>
      </x:c>
      <x:c r="H394" s="26" t="str">
        <x:v>PNG evidence</x:v>
      </x:c>
      <x:c r="I394" s="26" t="str">
        <x:v>Art working evidence</x:v>
      </x:c>
      <x:c r="J394" s="26" t="n">
        <x:v>1651401</x:v>
      </x:c>
      <x:c r="K394" s="26" t="str">
        <x:v>093b91e470d56a2609622789d9955d99f700014a6e9733fb4dc32da839d6d7e2</x:v>
      </x:c>
      <x:c r="L394" s="26"/>
      <x:c r="M394" s="26" t="n">
        <x:v>1</x:v>
      </x:c>
      <x:c r="N394" s="26" t="str">
        <x:v>UNIQUE</x:v>
      </x:c>
      <x:c r="O394" s="26"/>
      <x:c r="P394" s="26"/>
      <x:c r="Q394" s="26" t="str">
        <x:v>Working evidence</x:v>
      </x:c>
      <x:c r="R394" s="26" t="str">
        <x:v>RETAIN UNTIL CLOSURE / ARCHIVE DECISION</x:v>
      </x:c>
      <x:c r="S394" s="26" t="str">
        <x:v>01_Working_Documents/Sprint_16/Art_3D/Concept_Art/04_Characters/ChatGPT Image 29 jun 2026, 21_38_50 (3).png</x:v>
      </x:c>
      <x:c r="T394" s="26" t="str">
        <x:v>Historical path preserved verbatim; hash calculated from supplied pre-regeneration project.</x:v>
      </x:c>
    </x:row>
    <x:row r="395" ht="30" customHeight="1">
      <x:c r="A395" s="26" t="str">
        <x:v>H-0391</x:v>
      </x:c>
      <x:c r="B395" s="26" t="str">
        <x:v>Working Documents</x:v>
      </x:c>
      <x:c r="C395" s="26"/>
      <x:c r="D395" s="26" t="str">
        <x:v>Sprint_16</x:v>
      </x:c>
      <x:c r="E395" s="26" t="str">
        <x:v>Art_3D</x:v>
      </x:c>
      <x:c r="F395" s="26" t="str">
        <x:v>Sprint 16</x:v>
      </x:c>
      <x:c r="G395" s="26" t="str">
        <x:v>ChatGPT Image 29 jun 2026, 21_38_50 (4).png</x:v>
      </x:c>
      <x:c r="H395" s="26" t="str">
        <x:v>PNG evidence</x:v>
      </x:c>
      <x:c r="I395" s="26" t="str">
        <x:v>Art working evidence</x:v>
      </x:c>
      <x:c r="J395" s="26" t="n">
        <x:v>1521051</x:v>
      </x:c>
      <x:c r="K395" s="26" t="str">
        <x:v>546539231dbaf0ac0f0d3bd92bd4349e7ea7c13bee7dd1aa0768363529198c07</x:v>
      </x:c>
      <x:c r="L395" s="26"/>
      <x:c r="M395" s="26" t="n">
        <x:v>1</x:v>
      </x:c>
      <x:c r="N395" s="26" t="str">
        <x:v>UNIQUE</x:v>
      </x:c>
      <x:c r="O395" s="26"/>
      <x:c r="P395" s="26"/>
      <x:c r="Q395" s="26" t="str">
        <x:v>Working evidence</x:v>
      </x:c>
      <x:c r="R395" s="26" t="str">
        <x:v>RETAIN UNTIL CLOSURE / ARCHIVE DECISION</x:v>
      </x:c>
      <x:c r="S395" s="26" t="str">
        <x:v>01_Working_Documents/Sprint_16/Art_3D/Concept_Art/04_Characters/ChatGPT Image 29 jun 2026, 21_38_50 (4).png</x:v>
      </x:c>
      <x:c r="T395" s="26" t="str">
        <x:v>Historical path preserved verbatim; hash calculated from supplied pre-regeneration project.</x:v>
      </x:c>
    </x:row>
    <x:row r="396" ht="30" customHeight="1">
      <x:c r="A396" s="26" t="str">
        <x:v>H-0392</x:v>
      </x:c>
      <x:c r="B396" s="26" t="str">
        <x:v>Working Documents</x:v>
      </x:c>
      <x:c r="C396" s="26"/>
      <x:c r="D396" s="26" t="str">
        <x:v>Sprint_16</x:v>
      </x:c>
      <x:c r="E396" s="26" t="str">
        <x:v>Art_3D</x:v>
      </x:c>
      <x:c r="F396" s="26" t="str">
        <x:v>Sprint 16</x:v>
      </x:c>
      <x:c r="G396" s="26" t="str">
        <x:v>ChatGPT Image 29 jun 2026, 21_38_50 (5).png</x:v>
      </x:c>
      <x:c r="H396" s="26" t="str">
        <x:v>PNG evidence</x:v>
      </x:c>
      <x:c r="I396" s="26" t="str">
        <x:v>Art working evidence</x:v>
      </x:c>
      <x:c r="J396" s="26" t="n">
        <x:v>1854890</x:v>
      </x:c>
      <x:c r="K396" s="26" t="str">
        <x:v>1d02083cf9c0736568b4fbefea98d57e1104d84e1def585b1c8bf87fec8462d1</x:v>
      </x:c>
      <x:c r="L396" s="26"/>
      <x:c r="M396" s="26" t="n">
        <x:v>1</x:v>
      </x:c>
      <x:c r="N396" s="26" t="str">
        <x:v>UNIQUE</x:v>
      </x:c>
      <x:c r="O396" s="26"/>
      <x:c r="P396" s="26"/>
      <x:c r="Q396" s="26" t="str">
        <x:v>Working evidence</x:v>
      </x:c>
      <x:c r="R396" s="26" t="str">
        <x:v>RETAIN UNTIL CLOSURE / ARCHIVE DECISION</x:v>
      </x:c>
      <x:c r="S396" s="26" t="str">
        <x:v>01_Working_Documents/Sprint_16/Art_3D/Concept_Art/04_Characters/ChatGPT Image 29 jun 2026, 21_38_50 (5).png</x:v>
      </x:c>
      <x:c r="T396" s="26" t="str">
        <x:v>Historical path preserved verbatim; hash calculated from supplied pre-regeneration project.</x:v>
      </x:c>
    </x:row>
    <x:row r="397" ht="30" customHeight="1">
      <x:c r="A397" s="26" t="str">
        <x:v>H-0393</x:v>
      </x:c>
      <x:c r="B397" s="26" t="str">
        <x:v>Working Documents</x:v>
      </x:c>
      <x:c r="C397" s="26"/>
      <x:c r="D397" s="26" t="str">
        <x:v>Sprint_16</x:v>
      </x:c>
      <x:c r="E397" s="26" t="str">
        <x:v>Art_3D</x:v>
      </x:c>
      <x:c r="F397" s="26" t="str">
        <x:v>Sprint 16</x:v>
      </x:c>
      <x:c r="G397" s="26" t="str">
        <x:v>ChatGPT Image 29 jun 2026, 21_38_50 (6).png</x:v>
      </x:c>
      <x:c r="H397" s="26" t="str">
        <x:v>PNG evidence</x:v>
      </x:c>
      <x:c r="I397" s="26" t="str">
        <x:v>Art working evidence</x:v>
      </x:c>
      <x:c r="J397" s="26" t="n">
        <x:v>1675117</x:v>
      </x:c>
      <x:c r="K397" s="26" t="str">
        <x:v>6f0416232df549d46156a2f6ff92d039b785cf7aa44f82f17c840d05bc1927a6</x:v>
      </x:c>
      <x:c r="L397" s="26"/>
      <x:c r="M397" s="26" t="n">
        <x:v>1</x:v>
      </x:c>
      <x:c r="N397" s="26" t="str">
        <x:v>UNIQUE</x:v>
      </x:c>
      <x:c r="O397" s="26"/>
      <x:c r="P397" s="26"/>
      <x:c r="Q397" s="26" t="str">
        <x:v>Working evidence</x:v>
      </x:c>
      <x:c r="R397" s="26" t="str">
        <x:v>RETAIN UNTIL CLOSURE / ARCHIVE DECISION</x:v>
      </x:c>
      <x:c r="S397" s="26" t="str">
        <x:v>01_Working_Documents/Sprint_16/Art_3D/Concept_Art/04_Characters/ChatGPT Image 29 jun 2026, 21_38_50 (6).png</x:v>
      </x:c>
      <x:c r="T397" s="26" t="str">
        <x:v>Historical path preserved verbatim; hash calculated from supplied pre-regeneration project.</x:v>
      </x:c>
    </x:row>
    <x:row r="398" ht="30" customHeight="1">
      <x:c r="A398" s="26" t="str">
        <x:v>H-0394</x:v>
      </x:c>
      <x:c r="B398" s="26" t="str">
        <x:v>Working Documents</x:v>
      </x:c>
      <x:c r="C398" s="26"/>
      <x:c r="D398" s="26" t="str">
        <x:v>Sprint_16</x:v>
      </x:c>
      <x:c r="E398" s="26" t="str">
        <x:v>Art_3D</x:v>
      </x:c>
      <x:c r="F398" s="26" t="str">
        <x:v>Sprint 16</x:v>
      </x:c>
      <x:c r="G398" s="26" t="str">
        <x:v>ChatGPT Image 29 jun 2026, 21_38_50 (7).png</x:v>
      </x:c>
      <x:c r="H398" s="26" t="str">
        <x:v>PNG evidence</x:v>
      </x:c>
      <x:c r="I398" s="26" t="str">
        <x:v>Art working evidence</x:v>
      </x:c>
      <x:c r="J398" s="26" t="n">
        <x:v>1684465</x:v>
      </x:c>
      <x:c r="K398" s="26" t="str">
        <x:v>ebb549522b8d6ac4ca57d47c8bf1d8cd0e96608824dfb5f0f2d7bd51b6c2dd98</x:v>
      </x:c>
      <x:c r="L398" s="26"/>
      <x:c r="M398" s="26" t="n">
        <x:v>1</x:v>
      </x:c>
      <x:c r="N398" s="26" t="str">
        <x:v>UNIQUE</x:v>
      </x:c>
      <x:c r="O398" s="26"/>
      <x:c r="P398" s="26"/>
      <x:c r="Q398" s="26" t="str">
        <x:v>Working evidence</x:v>
      </x:c>
      <x:c r="R398" s="26" t="str">
        <x:v>RETAIN UNTIL CLOSURE / ARCHIVE DECISION</x:v>
      </x:c>
      <x:c r="S398" s="26" t="str">
        <x:v>01_Working_Documents/Sprint_16/Art_3D/Concept_Art/04_Characters/ChatGPT Image 29 jun 2026, 21_38_50 (7).png</x:v>
      </x:c>
      <x:c r="T398" s="26" t="str">
        <x:v>Historical path preserved verbatim; hash calculated from supplied pre-regeneration project.</x:v>
      </x:c>
    </x:row>
    <x:row r="399" ht="30" customHeight="1">
      <x:c r="A399" s="26" t="str">
        <x:v>H-0395</x:v>
      </x:c>
      <x:c r="B399" s="26" t="str">
        <x:v>Working Documents</x:v>
      </x:c>
      <x:c r="C399" s="26"/>
      <x:c r="D399" s="26" t="str">
        <x:v>Sprint_16</x:v>
      </x:c>
      <x:c r="E399" s="26" t="str">
        <x:v>Art_3D</x:v>
      </x:c>
      <x:c r="F399" s="26" t="str">
        <x:v>Sprint 16</x:v>
      </x:c>
      <x:c r="G399" s="26" t="str">
        <x:v>ChatGPT Image 29 jun 2026, 21_38_50 (8).png</x:v>
      </x:c>
      <x:c r="H399" s="26" t="str">
        <x:v>PNG evidence</x:v>
      </x:c>
      <x:c r="I399" s="26" t="str">
        <x:v>Art working evidence</x:v>
      </x:c>
      <x:c r="J399" s="26" t="n">
        <x:v>1902077</x:v>
      </x:c>
      <x:c r="K399" s="26" t="str">
        <x:v>3f1d37c6c690d4173bc0067a6460e29bc5bce2e8911c965d6a7b8aae05d296cf</x:v>
      </x:c>
      <x:c r="L399" s="26"/>
      <x:c r="M399" s="26" t="n">
        <x:v>1</x:v>
      </x:c>
      <x:c r="N399" s="26" t="str">
        <x:v>UNIQUE</x:v>
      </x:c>
      <x:c r="O399" s="26"/>
      <x:c r="P399" s="26"/>
      <x:c r="Q399" s="26" t="str">
        <x:v>Working evidence</x:v>
      </x:c>
      <x:c r="R399" s="26" t="str">
        <x:v>RETAIN UNTIL CLOSURE / ARCHIVE DECISION</x:v>
      </x:c>
      <x:c r="S399" s="26" t="str">
        <x:v>01_Working_Documents/Sprint_16/Art_3D/Concept_Art/04_Characters/ChatGPT Image 29 jun 2026, 21_38_50 (8).png</x:v>
      </x:c>
      <x:c r="T399" s="26" t="str">
        <x:v>Historical path preserved verbatim; hash calculated from supplied pre-regeneration project.</x:v>
      </x:c>
    </x:row>
    <x:row r="400" ht="30" customHeight="1">
      <x:c r="A400" s="26" t="str">
        <x:v>H-0396</x:v>
      </x:c>
      <x:c r="B400" s="26" t="str">
        <x:v>Working Documents</x:v>
      </x:c>
      <x:c r="C400" s="26"/>
      <x:c r="D400" s="26" t="str">
        <x:v>Sprint_16</x:v>
      </x:c>
      <x:c r="E400" s="26" t="str">
        <x:v>Art_3D</x:v>
      </x:c>
      <x:c r="F400" s="26" t="str">
        <x:v>Sprint 16</x:v>
      </x:c>
      <x:c r="G400" s="26" t="str">
        <x:v>ChatGPT Image 29 jun 2026, 21_39_17 (1).png</x:v>
      </x:c>
      <x:c r="H400" s="26" t="str">
        <x:v>PNG evidence</x:v>
      </x:c>
      <x:c r="I400" s="26" t="str">
        <x:v>Art working evidence</x:v>
      </x:c>
      <x:c r="J400" s="26" t="n">
        <x:v>2230307</x:v>
      </x:c>
      <x:c r="K400" s="26" t="str">
        <x:v>ce23b3b1e2bf6186ab627de7247b794ea9ed6f8b80bd8d4cb02df94619801f09</x:v>
      </x:c>
      <x:c r="L400" s="26"/>
      <x:c r="M400" s="26" t="n">
        <x:v>1</x:v>
      </x:c>
      <x:c r="N400" s="26" t="str">
        <x:v>UNIQUE</x:v>
      </x:c>
      <x:c r="O400" s="26"/>
      <x:c r="P400" s="26"/>
      <x:c r="Q400" s="26" t="str">
        <x:v>Working evidence</x:v>
      </x:c>
      <x:c r="R400" s="26" t="str">
        <x:v>RETAIN UNTIL CLOSURE / ARCHIVE DECISION</x:v>
      </x:c>
      <x:c r="S400" s="26" t="str">
        <x:v>01_Working_Documents/Sprint_16/Art_3D/Concept_Art/05_Expansion_Concepts/ChatGPT Image 29 jun 2026, 21_39_17 (1).png</x:v>
      </x:c>
      <x:c r="T400" s="26" t="str">
        <x:v>Historical path preserved verbatim; hash calculated from supplied pre-regeneration project.</x:v>
      </x:c>
    </x:row>
    <x:row r="401" ht="30" customHeight="1">
      <x:c r="A401" s="26" t="str">
        <x:v>H-0397</x:v>
      </x:c>
      <x:c r="B401" s="26" t="str">
        <x:v>Working Documents</x:v>
      </x:c>
      <x:c r="C401" s="26"/>
      <x:c r="D401" s="26" t="str">
        <x:v>Sprint_16</x:v>
      </x:c>
      <x:c r="E401" s="26" t="str">
        <x:v>Art_3D</x:v>
      </x:c>
      <x:c r="F401" s="26" t="str">
        <x:v>Sprint 16</x:v>
      </x:c>
      <x:c r="G401" s="26" t="str">
        <x:v>ChatGPT Image 29 jun 2026, 21_39_17 (2).png</x:v>
      </x:c>
      <x:c r="H401" s="26" t="str">
        <x:v>PNG evidence</x:v>
      </x:c>
      <x:c r="I401" s="26" t="str">
        <x:v>Art working evidence</x:v>
      </x:c>
      <x:c r="J401" s="26" t="n">
        <x:v>2385231</x:v>
      </x:c>
      <x:c r="K401" s="26" t="str">
        <x:v>79e9ccc8ba8126f7a63b5f38fdc4bafcbab5479b39e6882de1add15f66529e7f</x:v>
      </x:c>
      <x:c r="L401" s="26"/>
      <x:c r="M401" s="26" t="n">
        <x:v>1</x:v>
      </x:c>
      <x:c r="N401" s="26" t="str">
        <x:v>UNIQUE</x:v>
      </x:c>
      <x:c r="O401" s="26"/>
      <x:c r="P401" s="26"/>
      <x:c r="Q401" s="26" t="str">
        <x:v>Working evidence</x:v>
      </x:c>
      <x:c r="R401" s="26" t="str">
        <x:v>RETAIN UNTIL CLOSURE / ARCHIVE DECISION</x:v>
      </x:c>
      <x:c r="S401" s="26" t="str">
        <x:v>01_Working_Documents/Sprint_16/Art_3D/Concept_Art/05_Expansion_Concepts/ChatGPT Image 29 jun 2026, 21_39_17 (2).png</x:v>
      </x:c>
      <x:c r="T401" s="26" t="str">
        <x:v>Historical path preserved verbatim; hash calculated from supplied pre-regeneration project.</x:v>
      </x:c>
    </x:row>
    <x:row r="402" ht="30" customHeight="1">
      <x:c r="A402" s="26" t="str">
        <x:v>H-0398</x:v>
      </x:c>
      <x:c r="B402" s="26" t="str">
        <x:v>Working Documents</x:v>
      </x:c>
      <x:c r="C402" s="26"/>
      <x:c r="D402" s="26" t="str">
        <x:v>Sprint_16</x:v>
      </x:c>
      <x:c r="E402" s="26" t="str">
        <x:v>Art_3D</x:v>
      </x:c>
      <x:c r="F402" s="26" t="str">
        <x:v>Sprint 16</x:v>
      </x:c>
      <x:c r="G402" s="26" t="str">
        <x:v>ChatGPT Image 29 jun 2026, 21_39_17 (3).png</x:v>
      </x:c>
      <x:c r="H402" s="26" t="str">
        <x:v>PNG evidence</x:v>
      </x:c>
      <x:c r="I402" s="26" t="str">
        <x:v>Art working evidence</x:v>
      </x:c>
      <x:c r="J402" s="26" t="n">
        <x:v>2195489</x:v>
      </x:c>
      <x:c r="K402" s="26" t="str">
        <x:v>78cb05222f8155d5bd9e709e8e214f4517023444ed79538c3693bb0b09ea232f</x:v>
      </x:c>
      <x:c r="L402" s="26"/>
      <x:c r="M402" s="26" t="n">
        <x:v>1</x:v>
      </x:c>
      <x:c r="N402" s="26" t="str">
        <x:v>UNIQUE</x:v>
      </x:c>
      <x:c r="O402" s="26"/>
      <x:c r="P402" s="26"/>
      <x:c r="Q402" s="26" t="str">
        <x:v>Working evidence</x:v>
      </x:c>
      <x:c r="R402" s="26" t="str">
        <x:v>RETAIN UNTIL CLOSURE / ARCHIVE DECISION</x:v>
      </x:c>
      <x:c r="S402" s="26" t="str">
        <x:v>01_Working_Documents/Sprint_16/Art_3D/Concept_Art/05_Expansion_Concepts/ChatGPT Image 29 jun 2026, 21_39_17 (3).png</x:v>
      </x:c>
      <x:c r="T402" s="26" t="str">
        <x:v>Historical path preserved verbatim; hash calculated from supplied pre-regeneration project.</x:v>
      </x:c>
    </x:row>
    <x:row r="403" ht="30" customHeight="1">
      <x:c r="A403" s="26" t="str">
        <x:v>H-0399</x:v>
      </x:c>
      <x:c r="B403" s="26" t="str">
        <x:v>Working Documents</x:v>
      </x:c>
      <x:c r="C403" s="26"/>
      <x:c r="D403" s="26" t="str">
        <x:v>Sprint_16</x:v>
      </x:c>
      <x:c r="E403" s="26" t="str">
        <x:v>Art_3D</x:v>
      </x:c>
      <x:c r="F403" s="26" t="str">
        <x:v>Sprint 16</x:v>
      </x:c>
      <x:c r="G403" s="26" t="str">
        <x:v>ChatGPT Image 29 jun 2026, 21_39_17 (4).png</x:v>
      </x:c>
      <x:c r="H403" s="26" t="str">
        <x:v>PNG evidence</x:v>
      </x:c>
      <x:c r="I403" s="26" t="str">
        <x:v>Art working evidence</x:v>
      </x:c>
      <x:c r="J403" s="26" t="n">
        <x:v>2065962</x:v>
      </x:c>
      <x:c r="K403" s="26" t="str">
        <x:v>1074b34d1051c2e32fa23325f042158d04e7497b54d61c44f4cc1c3b4505b1f5</x:v>
      </x:c>
      <x:c r="L403" s="26"/>
      <x:c r="M403" s="26" t="n">
        <x:v>1</x:v>
      </x:c>
      <x:c r="N403" s="26" t="str">
        <x:v>UNIQUE</x:v>
      </x:c>
      <x:c r="O403" s="26"/>
      <x:c r="P403" s="26"/>
      <x:c r="Q403" s="26" t="str">
        <x:v>Working evidence</x:v>
      </x:c>
      <x:c r="R403" s="26" t="str">
        <x:v>RETAIN UNTIL CLOSURE / ARCHIVE DECISION</x:v>
      </x:c>
      <x:c r="S403" s="26" t="str">
        <x:v>01_Working_Documents/Sprint_16/Art_3D/Concept_Art/05_Expansion_Concepts/ChatGPT Image 29 jun 2026, 21_39_17 (4).png</x:v>
      </x:c>
      <x:c r="T403" s="26" t="str">
        <x:v>Historical path preserved verbatim; hash calculated from supplied pre-regeneration project.</x:v>
      </x:c>
    </x:row>
    <x:row r="404" ht="30" customHeight="1">
      <x:c r="A404" s="26" t="str">
        <x:v>H-0400</x:v>
      </x:c>
      <x:c r="B404" s="26" t="str">
        <x:v>Working Documents</x:v>
      </x:c>
      <x:c r="C404" s="26"/>
      <x:c r="D404" s="26" t="str">
        <x:v>Sprint_16</x:v>
      </x:c>
      <x:c r="E404" s="26" t="str">
        <x:v>Art_3D</x:v>
      </x:c>
      <x:c r="F404" s="26" t="str">
        <x:v>Sprint 16</x:v>
      </x:c>
      <x:c r="G404" s="26" t="str">
        <x:v>ChatGPT Image 29 jun 2026, 21_39_17 (5).png</x:v>
      </x:c>
      <x:c r="H404" s="26" t="str">
        <x:v>PNG evidence</x:v>
      </x:c>
      <x:c r="I404" s="26" t="str">
        <x:v>Art working evidence</x:v>
      </x:c>
      <x:c r="J404" s="26" t="n">
        <x:v>2198732</x:v>
      </x:c>
      <x:c r="K404" s="26" t="str">
        <x:v>686585e4a4b1054b23cdea08297e28ddd0df211d966dc0ab8a6116ce9c17ca25</x:v>
      </x:c>
      <x:c r="L404" s="26"/>
      <x:c r="M404" s="26" t="n">
        <x:v>1</x:v>
      </x:c>
      <x:c r="N404" s="26" t="str">
        <x:v>UNIQUE</x:v>
      </x:c>
      <x:c r="O404" s="26"/>
      <x:c r="P404" s="26"/>
      <x:c r="Q404" s="26" t="str">
        <x:v>Working evidence</x:v>
      </x:c>
      <x:c r="R404" s="26" t="str">
        <x:v>RETAIN UNTIL CLOSURE / ARCHIVE DECISION</x:v>
      </x:c>
      <x:c r="S404" s="26" t="str">
        <x:v>01_Working_Documents/Sprint_16/Art_3D/Concept_Art/05_Expansion_Concepts/ChatGPT Image 29 jun 2026, 21_39_17 (5).png</x:v>
      </x:c>
      <x:c r="T404" s="26" t="str">
        <x:v>Historical path preserved verbatim; hash calculated from supplied pre-regeneration project.</x:v>
      </x:c>
    </x:row>
    <x:row r="405" ht="30" customHeight="1">
      <x:c r="A405" s="26" t="str">
        <x:v>H-0401</x:v>
      </x:c>
      <x:c r="B405" s="26" t="str">
        <x:v>Working Documents</x:v>
      </x:c>
      <x:c r="C405" s="26"/>
      <x:c r="D405" s="26" t="str">
        <x:v>Sprint_16</x:v>
      </x:c>
      <x:c r="E405" s="26" t="str">
        <x:v>Art_3D</x:v>
      </x:c>
      <x:c r="F405" s="26" t="str">
        <x:v>Sprint 16</x:v>
      </x:c>
      <x:c r="G405" s="26" t="str">
        <x:v>ChatGPT Image 29 jun 2026, 21_39_17 (6).png</x:v>
      </x:c>
      <x:c r="H405" s="26" t="str">
        <x:v>PNG evidence</x:v>
      </x:c>
      <x:c r="I405" s="26" t="str">
        <x:v>Art working evidence</x:v>
      </x:c>
      <x:c r="J405" s="26" t="n">
        <x:v>2232046</x:v>
      </x:c>
      <x:c r="K405" s="26" t="str">
        <x:v>7c349ed7b9258e832c0e7c3f3529fb4fe8ea322f9d7c52ef004d98a741b21519</x:v>
      </x:c>
      <x:c r="L405" s="26"/>
      <x:c r="M405" s="26" t="n">
        <x:v>1</x:v>
      </x:c>
      <x:c r="N405" s="26" t="str">
        <x:v>UNIQUE</x:v>
      </x:c>
      <x:c r="O405" s="26"/>
      <x:c r="P405" s="26"/>
      <x:c r="Q405" s="26" t="str">
        <x:v>Working evidence</x:v>
      </x:c>
      <x:c r="R405" s="26" t="str">
        <x:v>RETAIN UNTIL CLOSURE / ARCHIVE DECISION</x:v>
      </x:c>
      <x:c r="S405" s="26" t="str">
        <x:v>01_Working_Documents/Sprint_16/Art_3D/Concept_Art/05_Expansion_Concepts/ChatGPT Image 29 jun 2026, 21_39_17 (6).png</x:v>
      </x:c>
      <x:c r="T405" s="26" t="str">
        <x:v>Historical path preserved verbatim; hash calculated from supplied pre-regeneration project.</x:v>
      </x:c>
    </x:row>
    <x:row r="406" ht="30" customHeight="1">
      <x:c r="A406" s="26" t="str">
        <x:v>H-0402</x:v>
      </x:c>
      <x:c r="B406" s="26" t="str">
        <x:v>Working Documents</x:v>
      </x:c>
      <x:c r="C406" s="26"/>
      <x:c r="D406" s="26" t="str">
        <x:v>Sprint_16</x:v>
      </x:c>
      <x:c r="E406" s="26" t="str">
        <x:v>Art_3D</x:v>
      </x:c>
      <x:c r="F406" s="26" t="str">
        <x:v>Sprint 16</x:v>
      </x:c>
      <x:c r="G406" s="26" t="str">
        <x:v>ChatGPT Image 29 jun 2026, 21_39_17 (7).png</x:v>
      </x:c>
      <x:c r="H406" s="26" t="str">
        <x:v>PNG evidence</x:v>
      </x:c>
      <x:c r="I406" s="26" t="str">
        <x:v>Art working evidence</x:v>
      </x:c>
      <x:c r="J406" s="26" t="n">
        <x:v>2038776</x:v>
      </x:c>
      <x:c r="K406" s="26" t="str">
        <x:v>cf9a87944e4aaff1730c4162d300a6204d248f4e6a62f8c0fe46ee7152819ff5</x:v>
      </x:c>
      <x:c r="L406" s="26"/>
      <x:c r="M406" s="26" t="n">
        <x:v>1</x:v>
      </x:c>
      <x:c r="N406" s="26" t="str">
        <x:v>UNIQUE</x:v>
      </x:c>
      <x:c r="O406" s="26"/>
      <x:c r="P406" s="26"/>
      <x:c r="Q406" s="26" t="str">
        <x:v>Working evidence</x:v>
      </x:c>
      <x:c r="R406" s="26" t="str">
        <x:v>RETAIN UNTIL CLOSURE / ARCHIVE DECISION</x:v>
      </x:c>
      <x:c r="S406" s="26" t="str">
        <x:v>01_Working_Documents/Sprint_16/Art_3D/Concept_Art/05_Expansion_Concepts/ChatGPT Image 29 jun 2026, 21_39_17 (7).png</x:v>
      </x:c>
      <x:c r="T406" s="26" t="str">
        <x:v>Historical path preserved verbatim; hash calculated from supplied pre-regeneration project.</x:v>
      </x:c>
    </x:row>
    <x:row r="407" ht="30" customHeight="1">
      <x:c r="A407" s="26" t="str">
        <x:v>H-0403</x:v>
      </x:c>
      <x:c r="B407" s="26" t="str">
        <x:v>Working Documents</x:v>
      </x:c>
      <x:c r="C407" s="26"/>
      <x:c r="D407" s="26" t="str">
        <x:v>Sprint_16</x:v>
      </x:c>
      <x:c r="E407" s="26" t="str">
        <x:v>Art_3D</x:v>
      </x:c>
      <x:c r="F407" s="26" t="str">
        <x:v>Sprint 16</x:v>
      </x:c>
      <x:c r="G407" s="26" t="str">
        <x:v>ChatGPT Image 29 jun 2026, 21_39_17 (8).png</x:v>
      </x:c>
      <x:c r="H407" s="26" t="str">
        <x:v>PNG evidence</x:v>
      </x:c>
      <x:c r="I407" s="26" t="str">
        <x:v>Art working evidence</x:v>
      </x:c>
      <x:c r="J407" s="26" t="n">
        <x:v>1962162</x:v>
      </x:c>
      <x:c r="K407" s="26" t="str">
        <x:v>cb6d28e87a016aa78cb5b6d1d84dbe42368fadc7b50f3ef8345214bf1e6a59dd</x:v>
      </x:c>
      <x:c r="L407" s="26"/>
      <x:c r="M407" s="26" t="n">
        <x:v>1</x:v>
      </x:c>
      <x:c r="N407" s="26" t="str">
        <x:v>UNIQUE</x:v>
      </x:c>
      <x:c r="O407" s="26"/>
      <x:c r="P407" s="26"/>
      <x:c r="Q407" s="26" t="str">
        <x:v>Working evidence</x:v>
      </x:c>
      <x:c r="R407" s="26" t="str">
        <x:v>RETAIN UNTIL CLOSURE / ARCHIVE DECISION</x:v>
      </x:c>
      <x:c r="S407" s="26" t="str">
        <x:v>01_Working_Documents/Sprint_16/Art_3D/Concept_Art/05_Expansion_Concepts/ChatGPT Image 29 jun 2026, 21_39_17 (8).png</x:v>
      </x:c>
      <x:c r="T407" s="26" t="str">
        <x:v>Historical path preserved verbatim; hash calculated from supplied pre-regeneration project.</x:v>
      </x:c>
    </x:row>
    <x:row r="408" ht="30" customHeight="1">
      <x:c r="A408" s="26" t="str">
        <x:v>H-0404</x:v>
      </x:c>
      <x:c r="B408" s="26" t="str">
        <x:v>Development Records</x:v>
      </x:c>
      <x:c r="C408" s="26"/>
      <x:c r="D408" s="26" t="str">
        <x:v>ADR</x:v>
      </x:c>
      <x:c r="E408" s="26" t="str">
        <x:v>ADR-0001-Unity-and-Package-Baseline.md</x:v>
      </x:c>
      <x:c r="F408" s="26"/>
      <x:c r="G408" s="26" t="str">
        <x:v>ADR-0001-Unity-and-Package-Baseline.md</x:v>
      </x:c>
      <x:c r="H408" s="26" t="str">
        <x:v>Markdown</x:v>
      </x:c>
      <x:c r="I408" s="26" t="str">
        <x:v>ADR</x:v>
      </x:c>
      <x:c r="J408" s="26" t="n">
        <x:v>831</x:v>
      </x:c>
      <x:c r="K408" s="26" t="str">
        <x:v>196d02854bf9a34c0e4c2acd7056cde24e0a232c74d345f900997fff9689f853</x:v>
      </x:c>
      <x:c r="L408" s="26"/>
      <x:c r="M408" s="26" t="n">
        <x:v>1</x:v>
      </x:c>
      <x:c r="N408" s="26" t="str">
        <x:v>UNIQUE</x:v>
      </x:c>
      <x:c r="O408" s="26"/>
      <x:c r="P408" s="26"/>
      <x:c r="Q408" s="26" t="str">
        <x:v>Development evidence</x:v>
      </x:c>
      <x:c r="R408" s="26" t="str">
        <x:v>RETAIN AS EVIDENCE — NOT REPLACED BY SUMMARY</x:v>
      </x:c>
      <x:c r="S408" s="26" t="str">
        <x:v>10_Development_Records/ADR/ADR-0001-Unity-and-Package-Baseline.md</x:v>
      </x:c>
      <x:c r="T408" s="26" t="str">
        <x:v>Historical path preserved verbatim; hash calculated from supplied pre-regeneration project.</x:v>
      </x:c>
    </x:row>
    <x:row r="409" ht="30" customHeight="1">
      <x:c r="A409" s="26" t="str">
        <x:v>H-0405</x:v>
      </x:c>
      <x:c r="B409" s="26" t="str">
        <x:v>Development Records</x:v>
      </x:c>
      <x:c r="C409" s="26"/>
      <x:c r="D409" s="26" t="str">
        <x:v>ADR</x:v>
      </x:c>
      <x:c r="E409" s="26" t="str">
        <x:v>ADR-0002-Version-Control-and-Repository-Workflow.md</x:v>
      </x:c>
      <x:c r="F409" s="26"/>
      <x:c r="G409" s="26" t="str">
        <x:v>ADR-0002-Version-Control-and-Repository-Workflow.md</x:v>
      </x:c>
      <x:c r="H409" s="26" t="str">
        <x:v>Markdown</x:v>
      </x:c>
      <x:c r="I409" s="26" t="str">
        <x:v>ADR</x:v>
      </x:c>
      <x:c r="J409" s="26" t="n">
        <x:v>701</x:v>
      </x:c>
      <x:c r="K409" s="26" t="str">
        <x:v>53e4ccc17554147c05af07525dbbe96401d99cc339774c075dffbd835edfb099</x:v>
      </x:c>
      <x:c r="L409" s="26"/>
      <x:c r="M409" s="26" t="n">
        <x:v>1</x:v>
      </x:c>
      <x:c r="N409" s="26" t="str">
        <x:v>UNIQUE</x:v>
      </x:c>
      <x:c r="O409" s="26"/>
      <x:c r="P409" s="26"/>
      <x:c r="Q409" s="26" t="str">
        <x:v>Development evidence</x:v>
      </x:c>
      <x:c r="R409" s="26" t="str">
        <x:v>RETAIN AS EVIDENCE — NOT REPLACED BY SUMMARY</x:v>
      </x:c>
      <x:c r="S409" s="26" t="str">
        <x:v>10_Development_Records/ADR/ADR-0002-Version-Control-and-Repository-Workflow.md</x:v>
      </x:c>
      <x:c r="T409" s="26" t="str">
        <x:v>Historical path preserved verbatim; hash calculated from supplied pre-regeneration project.</x:v>
      </x:c>
    </x:row>
    <x:row r="410" ht="30" customHeight="1">
      <x:c r="A410" s="26" t="str">
        <x:v>H-0406</x:v>
      </x:c>
      <x:c r="B410" s="26" t="str">
        <x:v>Development Records</x:v>
      </x:c>
      <x:c r="C410" s="26"/>
      <x:c r="D410" s="26" t="str">
        <x:v>ADR</x:v>
      </x:c>
      <x:c r="E410" s="26" t="str">
        <x:v>ADR-0003-Documentation-Baseline-and-Operational-Layer.md</x:v>
      </x:c>
      <x:c r="F410" s="26"/>
      <x:c r="G410" s="26" t="str">
        <x:v>ADR-0003-Documentation-Baseline-and-Operational-Layer.md</x:v>
      </x:c>
      <x:c r="H410" s="26" t="str">
        <x:v>Markdown</x:v>
      </x:c>
      <x:c r="I410" s="26" t="str">
        <x:v>ADR</x:v>
      </x:c>
      <x:c r="J410" s="26" t="n">
        <x:v>808</x:v>
      </x:c>
      <x:c r="K410" s="26" t="str">
        <x:v>18a0308055e403fabd0e9b7a3d60910d22f9ba4dd2a35317408c441e905c605f</x:v>
      </x:c>
      <x:c r="L410" s="26"/>
      <x:c r="M410" s="26" t="n">
        <x:v>1</x:v>
      </x:c>
      <x:c r="N410" s="26" t="str">
        <x:v>UNIQUE</x:v>
      </x:c>
      <x:c r="O410" s="26"/>
      <x:c r="P410" s="26"/>
      <x:c r="Q410" s="26" t="str">
        <x:v>Development evidence</x:v>
      </x:c>
      <x:c r="R410" s="26" t="str">
        <x:v>RETAIN AS EVIDENCE — NOT REPLACED BY SUMMARY</x:v>
      </x:c>
      <x:c r="S410" s="26" t="str">
        <x:v>10_Development_Records/ADR/ADR-0003-Documentation-Baseline-and-Operational-Layer.md</x:v>
      </x:c>
      <x:c r="T410" s="26" t="str">
        <x:v>Historical path preserved verbatim; hash calculated from supplied pre-regeneration project.</x:v>
      </x:c>
    </x:row>
    <x:row r="411" ht="30" customHeight="1">
      <x:c r="A411" s="26" t="str">
        <x:v>H-0407</x:v>
      </x:c>
      <x:c r="B411" s="26" t="str">
        <x:v>Development Records</x:v>
      </x:c>
      <x:c r="C411" s="26"/>
      <x:c r="D411" s="26" t="str">
        <x:v>ADR</x:v>
      </x:c>
      <x:c r="E411" s="26" t="str">
        <x:v>ADR-0004-Assembly-Dependency-Boundaries.md</x:v>
      </x:c>
      <x:c r="F411" s="26"/>
      <x:c r="G411" s="26" t="str">
        <x:v>ADR-0004-Assembly-Dependency-Boundaries.md</x:v>
      </x:c>
      <x:c r="H411" s="26" t="str">
        <x:v>Markdown</x:v>
      </x:c>
      <x:c r="I411" s="26" t="str">
        <x:v>ADR</x:v>
      </x:c>
      <x:c r="J411" s="26" t="n">
        <x:v>792</x:v>
      </x:c>
      <x:c r="K411" s="26" t="str">
        <x:v>8eea405d40efbffd5f51ad2c945994ffd82165bb5fef57900518c94fc23ac800</x:v>
      </x:c>
      <x:c r="L411" s="26"/>
      <x:c r="M411" s="26" t="n">
        <x:v>1</x:v>
      </x:c>
      <x:c r="N411" s="26" t="str">
        <x:v>UNIQUE</x:v>
      </x:c>
      <x:c r="O411" s="26"/>
      <x:c r="P411" s="26"/>
      <x:c r="Q411" s="26" t="str">
        <x:v>Development evidence</x:v>
      </x:c>
      <x:c r="R411" s="26" t="str">
        <x:v>RETAIN AS EVIDENCE — NOT REPLACED BY SUMMARY</x:v>
      </x:c>
      <x:c r="S411" s="26" t="str">
        <x:v>10_Development_Records/ADR/ADR-0004-Assembly-Dependency-Boundaries.md</x:v>
      </x:c>
      <x:c r="T411" s="26" t="str">
        <x:v>Historical path preserved verbatim; hash calculated from supplied pre-regeneration project.</x:v>
      </x:c>
    </x:row>
    <x:row r="412" ht="30" customHeight="1">
      <x:c r="A412" s="26" t="str">
        <x:v>H-0408</x:v>
      </x:c>
      <x:c r="B412" s="26" t="str">
        <x:v>Development Records</x:v>
      </x:c>
      <x:c r="C412" s="26"/>
      <x:c r="D412" s="26" t="str">
        <x:v>ADR</x:v>
      </x:c>
      <x:c r="E412" s="26" t="str">
        <x:v>ADR-0005-Scene-Baseline-and-Build-Order.md</x:v>
      </x:c>
      <x:c r="F412" s="26"/>
      <x:c r="G412" s="26" t="str">
        <x:v>ADR-0005-Scene-Baseline-and-Build-Order.md</x:v>
      </x:c>
      <x:c r="H412" s="26" t="str">
        <x:v>Markdown</x:v>
      </x:c>
      <x:c r="I412" s="26" t="str">
        <x:v>ADR</x:v>
      </x:c>
      <x:c r="J412" s="26" t="n">
        <x:v>1662</x:v>
      </x:c>
      <x:c r="K412" s="26" t="str">
        <x:v>e83bbf7ee82448366ccdd997c18b11a620016ba4ea70b4576f8b159930db8880</x:v>
      </x:c>
      <x:c r="L412" s="26"/>
      <x:c r="M412" s="26" t="n">
        <x:v>1</x:v>
      </x:c>
      <x:c r="N412" s="26" t="str">
        <x:v>UNIQUE</x:v>
      </x:c>
      <x:c r="O412" s="26"/>
      <x:c r="P412" s="26"/>
      <x:c r="Q412" s="26" t="str">
        <x:v>Development evidence</x:v>
      </x:c>
      <x:c r="R412" s="26" t="str">
        <x:v>RETAIN AS EVIDENCE — NOT REPLACED BY SUMMARY</x:v>
      </x:c>
      <x:c r="S412" s="26" t="str">
        <x:v>10_Development_Records/ADR/ADR-0005-Scene-Baseline-and-Build-Order.md</x:v>
      </x:c>
      <x:c r="T412" s="26" t="str">
        <x:v>Historical path preserved verbatim; hash calculated from supplied pre-regeneration project.</x:v>
      </x:c>
    </x:row>
    <x:row r="413" ht="30" customHeight="1">
      <x:c r="A413" s="26" t="str">
        <x:v>H-0409</x:v>
      </x:c>
      <x:c r="B413" s="26" t="str">
        <x:v>Development Records</x:v>
      </x:c>
      <x:c r="C413" s="26"/>
      <x:c r="D413" s="26" t="str">
        <x:v>ADR</x:v>
      </x:c>
      <x:c r="E413" s="26" t="str">
        <x:v>ADR-0006-Smoke-Test-Baseline-and-Execution-Policy.md</x:v>
      </x:c>
      <x:c r="F413" s="26"/>
      <x:c r="G413" s="26" t="str">
        <x:v>ADR-0006-Smoke-Test-Baseline-and-Execution-Policy.md</x:v>
      </x:c>
      <x:c r="H413" s="26" t="str">
        <x:v>Markdown</x:v>
      </x:c>
      <x:c r="I413" s="26" t="str">
        <x:v>ADR</x:v>
      </x:c>
      <x:c r="J413" s="26" t="n">
        <x:v>1527</x:v>
      </x:c>
      <x:c r="K413" s="26" t="str">
        <x:v>e2b6c379f89de34cfbf3064b62dad675d85560a4a0117ebc634cd49d703ab97a</x:v>
      </x:c>
      <x:c r="L413" s="26"/>
      <x:c r="M413" s="26" t="n">
        <x:v>1</x:v>
      </x:c>
      <x:c r="N413" s="26" t="str">
        <x:v>UNIQUE</x:v>
      </x:c>
      <x:c r="O413" s="26"/>
      <x:c r="P413" s="26"/>
      <x:c r="Q413" s="26" t="str">
        <x:v>Development evidence</x:v>
      </x:c>
      <x:c r="R413" s="26" t="str">
        <x:v>RETAIN AS EVIDENCE — NOT REPLACED BY SUMMARY</x:v>
      </x:c>
      <x:c r="S413" s="26" t="str">
        <x:v>10_Development_Records/ADR/ADR-0006-Smoke-Test-Baseline-and-Execution-Policy.md</x:v>
      </x:c>
      <x:c r="T413" s="26" t="str">
        <x:v>Historical path preserved verbatim; hash calculated from supplied pre-regeneration project.</x:v>
      </x:c>
    </x:row>
    <x:row r="414" ht="30" customHeight="1">
      <x:c r="A414" s="26" t="str">
        <x:v>H-0410</x:v>
      </x:c>
      <x:c r="B414" s="26" t="str">
        <x:v>Development Records</x:v>
      </x:c>
      <x:c r="C414" s="26"/>
      <x:c r="D414" s="26" t="str">
        <x:v>ADR</x:v>
      </x:c>
      <x:c r="E414" s="26" t="str">
        <x:v>ADR-0007-Windows-Development-Build-Baseline.md</x:v>
      </x:c>
      <x:c r="F414" s="26"/>
      <x:c r="G414" s="26" t="str">
        <x:v>ADR-0007-Windows-Development-Build-Baseline.md</x:v>
      </x:c>
      <x:c r="H414" s="26" t="str">
        <x:v>Markdown</x:v>
      </x:c>
      <x:c r="I414" s="26" t="str">
        <x:v>ADR</x:v>
      </x:c>
      <x:c r="J414" s="26" t="n">
        <x:v>2251</x:v>
      </x:c>
      <x:c r="K414" s="26" t="str">
        <x:v>e62888a6608c248e56868b73025bd7044c455528178984f410f53fa18e942641</x:v>
      </x:c>
      <x:c r="L414" s="26"/>
      <x:c r="M414" s="26" t="n">
        <x:v>1</x:v>
      </x:c>
      <x:c r="N414" s="26" t="str">
        <x:v>UNIQUE</x:v>
      </x:c>
      <x:c r="O414" s="26"/>
      <x:c r="P414" s="26"/>
      <x:c r="Q414" s="26" t="str">
        <x:v>Development evidence</x:v>
      </x:c>
      <x:c r="R414" s="26" t="str">
        <x:v>RETAIN AS EVIDENCE — NOT REPLACED BY SUMMARY</x:v>
      </x:c>
      <x:c r="S414" s="26" t="str">
        <x:v>10_Development_Records/ADR/ADR-0007-Windows-Development-Build-Baseline.md</x:v>
      </x:c>
      <x:c r="T414" s="26" t="str">
        <x:v>Historical path preserved verbatim; hash calculated from supplied pre-regeneration project.</x:v>
      </x:c>
    </x:row>
    <x:row r="415" ht="30" customHeight="1">
      <x:c r="A415" s="26" t="str">
        <x:v>H-0411</x:v>
      </x:c>
      <x:c r="B415" s="26" t="str">
        <x:v>Development Records</x:v>
      </x:c>
      <x:c r="C415" s="26"/>
      <x:c r="D415" s="26" t="str">
        <x:v>ADR</x:v>
      </x:c>
      <x:c r="E415" s="26" t="str">
        <x:v>ADR-0008-Sprint-0-Foundation-Closure-Policy.md</x:v>
      </x:c>
      <x:c r="F415" s="26"/>
      <x:c r="G415" s="26" t="str">
        <x:v>ADR-0008-Sprint-0-Foundation-Closure-Policy.md</x:v>
      </x:c>
      <x:c r="H415" s="26" t="str">
        <x:v>Markdown</x:v>
      </x:c>
      <x:c r="I415" s="26" t="str">
        <x:v>ADR</x:v>
      </x:c>
      <x:c r="J415" s="26" t="n">
        <x:v>1341</x:v>
      </x:c>
      <x:c r="K415" s="26" t="str">
        <x:v>76b9266ef045590959eef0187fff7fa2c4dcbfa7f6cf173159873e39cdaca757</x:v>
      </x:c>
      <x:c r="L415" s="26"/>
      <x:c r="M415" s="26" t="n">
        <x:v>1</x:v>
      </x:c>
      <x:c r="N415" s="26" t="str">
        <x:v>UNIQUE</x:v>
      </x:c>
      <x:c r="O415" s="26"/>
      <x:c r="P415" s="26"/>
      <x:c r="Q415" s="26" t="str">
        <x:v>Development evidence</x:v>
      </x:c>
      <x:c r="R415" s="26" t="str">
        <x:v>RETAIN AS EVIDENCE — NOT REPLACED BY SUMMARY</x:v>
      </x:c>
      <x:c r="S415" s="26" t="str">
        <x:v>10_Development_Records/ADR/ADR-0008-Sprint-0-Foundation-Closure-Policy.md</x:v>
      </x:c>
      <x:c r="T415" s="26" t="str">
        <x:v>Historical path preserved verbatim; hash calculated from supplied pre-regeneration project.</x:v>
      </x:c>
    </x:row>
    <x:row r="416" ht="30" customHeight="1">
      <x:c r="A416" s="26" t="str">
        <x:v>H-0412</x:v>
      </x:c>
      <x:c r="B416" s="26" t="str">
        <x:v>Development Records</x:v>
      </x:c>
      <x:c r="C416" s="26"/>
      <x:c r="D416" s="26" t="str">
        <x:v>Builds</x:v>
      </x:c>
      <x:c r="E416" s="26" t="str">
        <x:v>S0.10_Windows_Final_Build_Record.md</x:v>
      </x:c>
      <x:c r="F416" s="26"/>
      <x:c r="G416" s="26" t="str">
        <x:v>S0.10_Windows_Final_Build_Record.md</x:v>
      </x:c>
      <x:c r="H416" s="26" t="str">
        <x:v>Markdown</x:v>
      </x:c>
      <x:c r="I416" s="26" t="str">
        <x:v>Historical document / record</x:v>
      </x:c>
      <x:c r="J416" s="26" t="n">
        <x:v>1484</x:v>
      </x:c>
      <x:c r="K416" s="26" t="str">
        <x:v>2bdddb6ad5bff23d564e9d179c0b31b5baa4dcf00624539571485725734231a2</x:v>
      </x:c>
      <x:c r="L416" s="26" t="str">
        <x:v>DG-017</x:v>
      </x:c>
      <x:c r="M416" s="26" t="n">
        <x:v>2</x:v>
      </x:c>
      <x:c r="N416" s="26" t="str">
        <x:v>IDENTICAL COPY</x:v>
      </x:c>
      <x:c r="O416" s="26" t="str">
        <x:v>31</x:v>
      </x:c>
      <x:c r="P416" s="26" t="str">
        <x:v>02, 07, 08, 11, 13, 16, 31</x:v>
      </x:c>
      <x:c r="Q416" s="26" t="str">
        <x:v>Development evidence</x:v>
      </x:c>
      <x:c r="R416" s="26" t="str">
        <x:v>RETAIN AS EVIDENCE — NOT REPLACED BY SUMMARY</x:v>
      </x:c>
      <x:c r="S416" s="26" t="str">
        <x:v>10_Development_Records/Builds/S0.10_Windows_Final_Build_Record.md</x:v>
      </x:c>
      <x:c r="T416" s="26" t="str">
        <x:v>Historical path preserved verbatim; hash calculated from supplied pre-regeneration project.</x:v>
      </x:c>
    </x:row>
    <x:row r="417" ht="30" customHeight="1">
      <x:c r="A417" s="26" t="str">
        <x:v>H-0413</x:v>
      </x:c>
      <x:c r="B417" s="26" t="str">
        <x:v>Development Records</x:v>
      </x:c>
      <x:c r="C417" s="26"/>
      <x:c r="D417" s="26" t="str">
        <x:v>Builds</x:v>
      </x:c>
      <x:c r="E417" s="26" t="str">
        <x:v>S0.9_Windows_Development_Build_Record.md</x:v>
      </x:c>
      <x:c r="F417" s="26"/>
      <x:c r="G417" s="26" t="str">
        <x:v>S0.9_Windows_Development_Build_Record.md</x:v>
      </x:c>
      <x:c r="H417" s="26" t="str">
        <x:v>Markdown</x:v>
      </x:c>
      <x:c r="I417" s="26" t="str">
        <x:v>Historical document / record</x:v>
      </x:c>
      <x:c r="J417" s="26" t="n">
        <x:v>3786</x:v>
      </x:c>
      <x:c r="K417" s="26" t="str">
        <x:v>740b19ff9c450ae57b34c0cf73c850db19365dacc250c4ebfd9c0e581e06a3b8</x:v>
      </x:c>
      <x:c r="L417" s="26"/>
      <x:c r="M417" s="26" t="n">
        <x:v>1</x:v>
      </x:c>
      <x:c r="N417" s="26" t="str">
        <x:v>UNIQUE</x:v>
      </x:c>
      <x:c r="O417" s="26"/>
      <x:c r="P417" s="26"/>
      <x:c r="Q417" s="26" t="str">
        <x:v>Development evidence</x:v>
      </x:c>
      <x:c r="R417" s="26" t="str">
        <x:v>RETAIN AS EVIDENCE — NOT REPLACED BY SUMMARY</x:v>
      </x:c>
      <x:c r="S417" s="26" t="str">
        <x:v>10_Development_Records/Builds/S0.9_Windows_Development_Build_Record.md</x:v>
      </x:c>
      <x:c r="T417" s="26" t="str">
        <x:v>Historical path preserved verbatim; hash calculated from supplied pre-regeneration project.</x:v>
      </x:c>
    </x:row>
    <x:row r="418" ht="30" customHeight="1">
      <x:c r="A418" s="26" t="str">
        <x:v>H-0414</x:v>
      </x:c>
      <x:c r="B418" s="26" t="str">
        <x:v>Development Records</x:v>
      </x:c>
      <x:c r="C418" s="26"/>
      <x:c r="D418" s="26" t="str">
        <x:v>Change_Control</x:v>
      </x:c>
      <x:c r="E418" s="26" t="str">
        <x:v>Sprint_00_Traceability_Entries.csv</x:v>
      </x:c>
      <x:c r="F418" s="26" t="str">
        <x:v>Sprint 00</x:v>
      </x:c>
      <x:c r="G418" s="26" t="str">
        <x:v>Sprint_00_Traceability_Entries.csv</x:v>
      </x:c>
      <x:c r="H418" s="26" t="str">
        <x:v>CSV</x:v>
      </x:c>
      <x:c r="I418" s="26" t="str">
        <x:v>Traceability entry</x:v>
      </x:c>
      <x:c r="J418" s="26" t="n">
        <x:v>1389</x:v>
      </x:c>
      <x:c r="K418" s="26" t="str">
        <x:v>96349754d326421496811db64723ac62e6deff616bd1c0064ab0983eae625c79</x:v>
      </x:c>
      <x:c r="L418" s="26"/>
      <x:c r="M418" s="26" t="n">
        <x:v>1</x:v>
      </x:c>
      <x:c r="N418" s="26" t="str">
        <x:v>UNIQUE</x:v>
      </x:c>
      <x:c r="O418" s="26"/>
      <x:c r="P418" s="26"/>
      <x:c r="Q418" s="26" t="str">
        <x:v>Development evidence</x:v>
      </x:c>
      <x:c r="R418" s="26" t="str">
        <x:v>RETAIN AS EVIDENCE — NOT REPLACED BY SUMMARY</x:v>
      </x:c>
      <x:c r="S418" s="26" t="str">
        <x:v>10_Development_Records/Change_Control/Sprint_00_Traceability_Entries.csv</x:v>
      </x:c>
      <x:c r="T418" s="26" t="str">
        <x:v>Historical path preserved verbatim; hash calculated from supplied pre-regeneration project.</x:v>
      </x:c>
    </x:row>
    <x:row r="419" ht="30" customHeight="1">
      <x:c r="A419" s="26" t="str">
        <x:v>H-0415</x:v>
      </x:c>
      <x:c r="B419" s="26" t="str">
        <x:v>Development Records</x:v>
      </x:c>
      <x:c r="C419" s="26" t="str">
        <x:v>v0.3</x:v>
      </x:c>
      <x:c r="D419" s="26" t="str">
        <x:v>Document_Location_Map_v0.3.csv</x:v>
      </x:c>
      <x:c r="E419" s="26"/>
      <x:c r="F419" s="26"/>
      <x:c r="G419" s="26" t="str">
        <x:v>Document_Location_Map_v0.3.csv</x:v>
      </x:c>
      <x:c r="H419" s="26" t="str">
        <x:v>CSV</x:v>
      </x:c>
      <x:c r="I419" s="26" t="str">
        <x:v>Tabular traceability evidence</x:v>
      </x:c>
      <x:c r="J419" s="26" t="n">
        <x:v>13090</x:v>
      </x:c>
      <x:c r="K419" s="26" t="str">
        <x:v>c7ceec36eb4f097416d9f7a2452d0d56a1877cc24e3b14598c1f3f92fb354d5e</x:v>
      </x:c>
      <x:c r="L419" s="26"/>
      <x:c r="M419" s="26" t="n">
        <x:v>1</x:v>
      </x:c>
      <x:c r="N419" s="26" t="str">
        <x:v>UNIQUE</x:v>
      </x:c>
      <x:c r="O419" s="26"/>
      <x:c r="P419" s="26"/>
      <x:c r="Q419" s="26" t="str">
        <x:v>Development evidence</x:v>
      </x:c>
      <x:c r="R419" s="26" t="str">
        <x:v>RETAIN AS EVIDENCE — NOT REPLACED BY SUMMARY</x:v>
      </x:c>
      <x:c r="S419" s="26" t="str">
        <x:v>10_Development_Records/Document_Location_Map_v0.3.csv</x:v>
      </x:c>
      <x:c r="T419" s="26" t="str">
        <x:v>Historical path preserved verbatim; hash calculated from supplied pre-regeneration project.</x:v>
      </x:c>
    </x:row>
    <x:row r="420" ht="30" customHeight="1">
      <x:c r="A420" s="26" t="str">
        <x:v>H-0416</x:v>
      </x:c>
      <x:c r="B420" s="26" t="str">
        <x:v>Development Records</x:v>
      </x:c>
      <x:c r="C420" s="26"/>
      <x:c r="D420" s="26" t="str">
        <x:v>Documentation_Audit_Sprint_00.md</x:v>
      </x:c>
      <x:c r="E420" s="26"/>
      <x:c r="F420" s="26" t="str">
        <x:v>Sprint 00</x:v>
      </x:c>
      <x:c r="G420" s="26" t="str">
        <x:v>Documentation_Audit_Sprint_00.md</x:v>
      </x:c>
      <x:c r="H420" s="26" t="str">
        <x:v>Markdown</x:v>
      </x:c>
      <x:c r="I420" s="26" t="str">
        <x:v>Historical document / record</x:v>
      </x:c>
      <x:c r="J420" s="26" t="n">
        <x:v>1781</x:v>
      </x:c>
      <x:c r="K420" s="26" t="str">
        <x:v>60c000c0ffc0c06a3ae184e4c845b5224b02a42c053448f0a5d84bc0cb222b64</x:v>
      </x:c>
      <x:c r="L420" s="26"/>
      <x:c r="M420" s="26" t="n">
        <x:v>1</x:v>
      </x:c>
      <x:c r="N420" s="26" t="str">
        <x:v>UNIQUE</x:v>
      </x:c>
      <x:c r="O420" s="26"/>
      <x:c r="P420" s="26"/>
      <x:c r="Q420" s="26" t="str">
        <x:v>Development evidence</x:v>
      </x:c>
      <x:c r="R420" s="26" t="str">
        <x:v>RETAIN AS EVIDENCE — NOT REPLACED BY SUMMARY</x:v>
      </x:c>
      <x:c r="S420" s="26" t="str">
        <x:v>10_Development_Records/Documentation_Audit_Sprint_00.md</x:v>
      </x:c>
      <x:c r="T420" s="26" t="str">
        <x:v>Historical path preserved verbatim; hash calculated from supplied pre-regeneration project.</x:v>
      </x:c>
    </x:row>
    <x:row r="421" ht="30" customHeight="1">
      <x:c r="A421" s="26" t="str">
        <x:v>H-0417</x:v>
      </x:c>
      <x:c r="B421" s="26" t="str">
        <x:v>Development Records</x:v>
      </x:c>
      <x:c r="C421" s="26"/>
      <x:c r="D421" s="26" t="str">
        <x:v>Environment</x:v>
      </x:c>
      <x:c r="E421" s="26" t="str">
        <x:v>.gitkeep</x:v>
      </x:c>
      <x:c r="F421" s="26"/>
      <x:c r="G421" s="26" t="str">
        <x:v>.gitkeep</x:v>
      </x:c>
      <x:c r="H421" s="26" t="str">
        <x:v>Extensionless record</x:v>
      </x:c>
      <x:c r="I421" s="26" t="str">
        <x:v>Environment record</x:v>
      </x:c>
      <x:c r="J421" s="26" t="n">
        <x:v>0</x:v>
      </x:c>
      <x:c r="K421" s="26" t="str">
        <x:v>e3b0c44298fc1c149afbf4c8996fb92427ae41e4649b934ca495991b7852b855</x:v>
      </x:c>
      <x:c r="L421" s="26" t="str">
        <x:v>DG-092</x:v>
      </x:c>
      <x:c r="M421" s="26" t="n">
        <x:v>6</x:v>
      </x:c>
      <x:c r="N421" s="26" t="str">
        <x:v>IDENTICAL COPY</x:v>
      </x:c>
      <x:c r="O421" s="26"/>
      <x:c r="P421" s="26"/>
      <x:c r="Q421" s="26" t="str">
        <x:v>Development evidence</x:v>
      </x:c>
      <x:c r="R421" s="26" t="str">
        <x:v>RETAIN AS EVIDENCE — NOT REPLACED BY SUMMARY</x:v>
      </x:c>
      <x:c r="S421" s="26" t="str">
        <x:v>10_Development_Records/Environment/.gitkeep</x:v>
      </x:c>
      <x:c r="T421" s="26" t="str">
        <x:v>Historical path preserved verbatim; hash calculated from supplied pre-regeneration project.</x:v>
      </x:c>
    </x:row>
    <x:row r="422" ht="30" customHeight="1">
      <x:c r="A422" s="26" t="str">
        <x:v>H-0418</x:v>
      </x:c>
      <x:c r="B422" s="26" t="str">
        <x:v>Development Records</x:v>
      </x:c>
      <x:c r="C422" s="26"/>
      <x:c r="D422" s="26" t="str">
        <x:v>Environment</x:v>
      </x:c>
      <x:c r="E422" s="26" t="str">
        <x:v>DevelopmentEnvironment_Record.md</x:v>
      </x:c>
      <x:c r="F422" s="26"/>
      <x:c r="G422" s="26" t="str">
        <x:v>DevelopmentEnvironment_Record.md</x:v>
      </x:c>
      <x:c r="H422" s="26" t="str">
        <x:v>Markdown</x:v>
      </x:c>
      <x:c r="I422" s="26" t="str">
        <x:v>Environment record</x:v>
      </x:c>
      <x:c r="J422" s="26" t="n">
        <x:v>1978</x:v>
      </x:c>
      <x:c r="K422" s="26" t="str">
        <x:v>34906df25b05006e5bf449ee1ee1a00a2ee89ba58b8b1b8f3c7a3b3ea9cc5906</x:v>
      </x:c>
      <x:c r="L422" s="26" t="str">
        <x:v>DG-020</x:v>
      </x:c>
      <x:c r="M422" s="26" t="n">
        <x:v>2</x:v>
      </x:c>
      <x:c r="N422" s="26" t="str">
        <x:v>IDENTICAL COPY</x:v>
      </x:c>
      <x:c r="O422" s="26"/>
      <x:c r="P422" s="26"/>
      <x:c r="Q422" s="26" t="str">
        <x:v>Development evidence</x:v>
      </x:c>
      <x:c r="R422" s="26" t="str">
        <x:v>RETAIN AS EVIDENCE — NOT REPLACED BY SUMMARY</x:v>
      </x:c>
      <x:c r="S422" s="26" t="str">
        <x:v>10_Development_Records/Environment/DevelopmentEnvironment_Record.md</x:v>
      </x:c>
      <x:c r="T422" s="26" t="str">
        <x:v>Historical path preserved verbatim; hash calculated from supplied pre-regeneration project.</x:v>
      </x:c>
    </x:row>
    <x:row r="423" ht="30" customHeight="1">
      <x:c r="A423" s="26" t="str">
        <x:v>H-0419</x:v>
      </x:c>
      <x:c r="B423" s="26" t="str">
        <x:v>Development Records</x:v>
      </x:c>
      <x:c r="C423" s="26"/>
      <x:c r="D423" s="26" t="str">
        <x:v>Handoff</x:v>
      </x:c>
      <x:c r="E423" s="26" t="str">
        <x:v>CURRENT_PROJECT_HANDOFF.md</x:v>
      </x:c>
      <x:c r="F423" s="26"/>
      <x:c r="G423" s="26" t="str">
        <x:v>CURRENT_PROJECT_HANDOFF.md</x:v>
      </x:c>
      <x:c r="H423" s="26" t="str">
        <x:v>Markdown</x:v>
      </x:c>
      <x:c r="I423" s="26" t="str">
        <x:v>Handoff record</x:v>
      </x:c>
      <x:c r="J423" s="26" t="n">
        <x:v>1168</x:v>
      </x:c>
      <x:c r="K423" s="26" t="str">
        <x:v>ea48666ee43dbf978bef364ee645cd3ff32f31e4e6dfbd96b9edfab316546028</x:v>
      </x:c>
      <x:c r="L423" s="26"/>
      <x:c r="M423" s="26" t="n">
        <x:v>1</x:v>
      </x:c>
      <x:c r="N423" s="26" t="str">
        <x:v>UNIQUE</x:v>
      </x:c>
      <x:c r="O423" s="26" t="str">
        <x:v>34</x:v>
      </x:c>
      <x:c r="P423" s="26" t="str">
        <x:v>14, 15, 34</x:v>
      </x:c>
      <x:c r="Q423" s="26" t="str">
        <x:v>Development evidence</x:v>
      </x:c>
      <x:c r="R423" s="26" t="str">
        <x:v>RETAIN AS EVIDENCE — NOT REPLACED BY SUMMARY</x:v>
      </x:c>
      <x:c r="S423" s="26" t="str">
        <x:v>10_Development_Records/Handoff/CURRENT_PROJECT_HANDOFF.md</x:v>
      </x:c>
      <x:c r="T423" s="26" t="str">
        <x:v>Historical path preserved verbatim; hash calculated from supplied pre-regeneration project.</x:v>
      </x:c>
    </x:row>
    <x:row r="424" ht="30" customHeight="1">
      <x:c r="A424" s="26" t="str">
        <x:v>H-0420</x:v>
      </x:c>
      <x:c r="B424" s="26" t="str">
        <x:v>Development Records</x:v>
      </x:c>
      <x:c r="C424" s="26"/>
      <x:c r="D424" s="26" t="str">
        <x:v>Packages</x:v>
      </x:c>
      <x:c r="E424" s="26" t="str">
        <x:v>S0.10_Package_Review_Record.md</x:v>
      </x:c>
      <x:c r="F424" s="26"/>
      <x:c r="G424" s="26" t="str">
        <x:v>S0.10_Package_Review_Record.md</x:v>
      </x:c>
      <x:c r="H424" s="26" t="str">
        <x:v>Markdown</x:v>
      </x:c>
      <x:c r="I424" s="26" t="str">
        <x:v>Historical document / record</x:v>
      </x:c>
      <x:c r="J424" s="26" t="n">
        <x:v>1315</x:v>
      </x:c>
      <x:c r="K424" s="26" t="str">
        <x:v>6caa7be0ef49e9fa2fd1719400d3190cfdcf47ef7f3ff9211ef6560b4233a71a</x:v>
      </x:c>
      <x:c r="L424" s="26" t="str">
        <x:v>DG-042</x:v>
      </x:c>
      <x:c r="M424" s="26" t="n">
        <x:v>2</x:v>
      </x:c>
      <x:c r="N424" s="26" t="str">
        <x:v>IDENTICAL COPY</x:v>
      </x:c>
      <x:c r="O424" s="26"/>
      <x:c r="P424" s="26"/>
      <x:c r="Q424" s="26" t="str">
        <x:v>Development evidence</x:v>
      </x:c>
      <x:c r="R424" s="26" t="str">
        <x:v>RETAIN AS EVIDENCE — NOT REPLACED BY SUMMARY</x:v>
      </x:c>
      <x:c r="S424" s="26" t="str">
        <x:v>10_Development_Records/Packages/S0.10_Package_Review_Record.md</x:v>
      </x:c>
      <x:c r="T424" s="26" t="str">
        <x:v>Historical path preserved verbatim; hash calculated from supplied pre-regeneration project.</x:v>
      </x:c>
    </x:row>
    <x:row r="425" ht="30" customHeight="1">
      <x:c r="A425" s="26" t="str">
        <x:v>H-0421</x:v>
      </x:c>
      <x:c r="B425" s="26" t="str">
        <x:v>Development Records</x:v>
      </x:c>
      <x:c r="C425" s="26" t="str">
        <x:v>v0.3.9</x:v>
      </x:c>
      <x:c r="D425" s="26" t="str">
        <x:v>Production_Tracking</x:v>
      </x:c>
      <x:c r="E425" s="26" t="str">
        <x:v>Cartridge_And_Cloud_Production_Tracking_Operational_v0.3.9.xlsx</x:v>
      </x:c>
      <x:c r="F425" s="26"/>
      <x:c r="G425" s="26" t="str">
        <x:v>Cartridge_And_Cloud_Production_Tracking_Operational_v0.3.9.xlsx</x:v>
      </x:c>
      <x:c r="H425" s="26" t="str">
        <x:v>Excel</x:v>
      </x:c>
      <x:c r="I425" s="26" t="str">
        <x:v>Production tracking</x:v>
      </x:c>
      <x:c r="J425" s="26" t="n">
        <x:v>23710</x:v>
      </x:c>
      <x:c r="K425" s="26" t="str">
        <x:v>7d9a25ae4fd823d8bc8e2f23ba37604cd30a92eb8a464f8bd07eedcffa88012e</x:v>
      </x:c>
      <x:c r="L425" s="26"/>
      <x:c r="M425" s="26" t="n">
        <x:v>1</x:v>
      </x:c>
      <x:c r="N425" s="26" t="str">
        <x:v>UNIQUE</x:v>
      </x:c>
      <x:c r="O425" s="26" t="str">
        <x:v>12</x:v>
      </x:c>
      <x:c r="P425" s="26" t="str">
        <x:v>12</x:v>
      </x:c>
      <x:c r="Q425" s="26" t="str">
        <x:v>Development evidence</x:v>
      </x:c>
      <x:c r="R425" s="26" t="str">
        <x:v>RETAIN AS EVIDENCE — NOT REPLACED BY SUMMARY</x:v>
      </x:c>
      <x:c r="S425" s="26" t="str">
        <x:v>10_Development_Records/Production_Tracking/Cartridge_And_Cloud_Production_Tracking_Operational_v0.3.9.xlsx</x:v>
      </x:c>
      <x:c r="T425" s="26" t="str">
        <x:v>Historical path preserved verbatim; hash calculated from supplied pre-regeneration project.</x:v>
      </x:c>
    </x:row>
    <x:row r="426" ht="30" customHeight="1">
      <x:c r="A426" s="26" t="str">
        <x:v>H-0422</x:v>
      </x:c>
      <x:c r="B426" s="26" t="str">
        <x:v>Development Records</x:v>
      </x:c>
      <x:c r="C426" s="26" t="str">
        <x:v>v0.5.0</x:v>
      </x:c>
      <x:c r="D426" s="26" t="str">
        <x:v>Production_Tracking</x:v>
      </x:c>
      <x:c r="E426" s="26" t="str">
        <x:v>Cartridge_And_Cloud_Production_Tracking_Operational_v0.5.0.xlsx</x:v>
      </x:c>
      <x:c r="F426" s="26"/>
      <x:c r="G426" s="26" t="str">
        <x:v>Cartridge_And_Cloud_Production_Tracking_Operational_v0.5.0.xlsx</x:v>
      </x:c>
      <x:c r="H426" s="26" t="str">
        <x:v>Excel</x:v>
      </x:c>
      <x:c r="I426" s="26" t="str">
        <x:v>Production tracking</x:v>
      </x:c>
      <x:c r="J426" s="26" t="n">
        <x:v>11471</x:v>
      </x:c>
      <x:c r="K426" s="26" t="str">
        <x:v>d6a252b5afeaa9a51a7ccd160d3e4f2c4f5dead46cd5a3677df095a669181d4c</x:v>
      </x:c>
      <x:c r="L426" s="26" t="str">
        <x:v>DG-086</x:v>
      </x:c>
      <x:c r="M426" s="26" t="n">
        <x:v>2</x:v>
      </x:c>
      <x:c r="N426" s="26" t="str">
        <x:v>IDENTICAL COPY</x:v>
      </x:c>
      <x:c r="O426" s="26" t="str">
        <x:v>12</x:v>
      </x:c>
      <x:c r="P426" s="26" t="str">
        <x:v>12</x:v>
      </x:c>
      <x:c r="Q426" s="26" t="str">
        <x:v>Development evidence</x:v>
      </x:c>
      <x:c r="R426" s="26" t="str">
        <x:v>RETAIN AS EVIDENCE — NOT REPLACED BY SUMMARY</x:v>
      </x:c>
      <x:c r="S426" s="26" t="str">
        <x:v>10_Development_Records/Production_Tracking/Cartridge_And_Cloud_Production_Tracking_Operational_v0.5.0.xlsx</x:v>
      </x:c>
      <x:c r="T426" s="26" t="str">
        <x:v>Historical path preserved verbatim; hash calculated from supplied pre-regeneration project.</x:v>
      </x:c>
    </x:row>
    <x:row r="427" ht="30" customHeight="1">
      <x:c r="A427" s="26" t="str">
        <x:v>H-0423</x:v>
      </x:c>
      <x:c r="B427" s="26" t="str">
        <x:v>Development Records</x:v>
      </x:c>
      <x:c r="C427" s="26" t="str">
        <x:v>v0.3.9</x:v>
      </x:c>
      <x:c r="D427" s="26" t="str">
        <x:v>Production_Tracking</x:v>
      </x:c>
      <x:c r="E427" s="26" t="str">
        <x:v>Cartridge_And_Cloud_QA_Operational_v0.3.9.xlsx</x:v>
      </x:c>
      <x:c r="F427" s="26"/>
      <x:c r="G427" s="26" t="str">
        <x:v>Cartridge_And_Cloud_QA_Operational_v0.3.9.xlsx</x:v>
      </x:c>
      <x:c r="H427" s="26" t="str">
        <x:v>Excel</x:v>
      </x:c>
      <x:c r="I427" s="26" t="str">
        <x:v>Production tracking</x:v>
      </x:c>
      <x:c r="J427" s="26" t="n">
        <x:v>26038</x:v>
      </x:c>
      <x:c r="K427" s="26" t="str">
        <x:v>80084cd5532d9f79a59f03210f1cf9ce3b828cd13b58cc80678b5887a5b06a07</x:v>
      </x:c>
      <x:c r="L427" s="26"/>
      <x:c r="M427" s="26" t="n">
        <x:v>1</x:v>
      </x:c>
      <x:c r="N427" s="26" t="str">
        <x:v>UNIQUE</x:v>
      </x:c>
      <x:c r="O427" s="26" t="str">
        <x:v>08</x:v>
      </x:c>
      <x:c r="P427" s="26" t="str">
        <x:v>08</x:v>
      </x:c>
      <x:c r="Q427" s="26" t="str">
        <x:v>Development evidence</x:v>
      </x:c>
      <x:c r="R427" s="26" t="str">
        <x:v>RETAIN AS EVIDENCE — NOT REPLACED BY SUMMARY</x:v>
      </x:c>
      <x:c r="S427" s="26" t="str">
        <x:v>10_Development_Records/Production_Tracking/Cartridge_And_Cloud_QA_Operational_v0.3.9.xlsx</x:v>
      </x:c>
      <x:c r="T427" s="26" t="str">
        <x:v>Historical path preserved verbatim; hash calculated from supplied pre-regeneration project.</x:v>
      </x:c>
    </x:row>
    <x:row r="428" ht="30" customHeight="1">
      <x:c r="A428" s="26" t="str">
        <x:v>H-0424</x:v>
      </x:c>
      <x:c r="B428" s="26" t="str">
        <x:v>Development Records</x:v>
      </x:c>
      <x:c r="C428" s="26" t="str">
        <x:v>v0.5.0</x:v>
      </x:c>
      <x:c r="D428" s="26" t="str">
        <x:v>Production_Tracking</x:v>
      </x:c>
      <x:c r="E428" s="26" t="str">
        <x:v>Cartridge_And_Cloud_QA_Operational_v0.5.0.xlsx</x:v>
      </x:c>
      <x:c r="F428" s="26"/>
      <x:c r="G428" s="26" t="str">
        <x:v>Cartridge_And_Cloud_QA_Operational_v0.5.0.xlsx</x:v>
      </x:c>
      <x:c r="H428" s="26" t="str">
        <x:v>Excel</x:v>
      </x:c>
      <x:c r="I428" s="26" t="str">
        <x:v>Production tracking</x:v>
      </x:c>
      <x:c r="J428" s="26" t="n">
        <x:v>8327</x:v>
      </x:c>
      <x:c r="K428" s="26" t="str">
        <x:v>dbff9b69bb8edae19c2158fb4293aaf574a584a407cca672cf6f89dabae6690e</x:v>
      </x:c>
      <x:c r="L428" s="26" t="str">
        <x:v>DG-089</x:v>
      </x:c>
      <x:c r="M428" s="26" t="n">
        <x:v>2</x:v>
      </x:c>
      <x:c r="N428" s="26" t="str">
        <x:v>IDENTICAL COPY</x:v>
      </x:c>
      <x:c r="O428" s="26" t="str">
        <x:v>08</x:v>
      </x:c>
      <x:c r="P428" s="26" t="str">
        <x:v>08</x:v>
      </x:c>
      <x:c r="Q428" s="26" t="str">
        <x:v>Development evidence</x:v>
      </x:c>
      <x:c r="R428" s="26" t="str">
        <x:v>RETAIN AS EVIDENCE — NOT REPLACED BY SUMMARY</x:v>
      </x:c>
      <x:c r="S428" s="26" t="str">
        <x:v>10_Development_Records/Production_Tracking/Cartridge_And_Cloud_QA_Operational_v0.5.0.xlsx</x:v>
      </x:c>
      <x:c r="T428" s="26" t="str">
        <x:v>Historical path preserved verbatim; hash calculated from supplied pre-regeneration project.</x:v>
      </x:c>
    </x:row>
    <x:row r="429" ht="30" customHeight="1">
      <x:c r="A429" s="26" t="str">
        <x:v>H-0425</x:v>
      </x:c>
      <x:c r="B429" s="26" t="str">
        <x:v>Development Records</x:v>
      </x:c>
      <x:c r="C429" s="26" t="str">
        <x:v>v0.3.9</x:v>
      </x:c>
      <x:c r="D429" s="26" t="str">
        <x:v>Production_Tracking</x:v>
      </x:c>
      <x:c r="E429" s="26" t="str">
        <x:v>Cartridge_And_Cloud_Traceability_Operational_v0.3.9.xlsx</x:v>
      </x:c>
      <x:c r="F429" s="26"/>
      <x:c r="G429" s="26" t="str">
        <x:v>Cartridge_And_Cloud_Traceability_Operational_v0.3.9.xlsx</x:v>
      </x:c>
      <x:c r="H429" s="26" t="str">
        <x:v>Excel</x:v>
      </x:c>
      <x:c r="I429" s="26" t="str">
        <x:v>Traceability entry</x:v>
      </x:c>
      <x:c r="J429" s="26" t="n">
        <x:v>26270</x:v>
      </x:c>
      <x:c r="K429" s="26" t="str">
        <x:v>ad72213e64e596c8d3540e8d20d84c75d0a1e7399efc5e0f1d09b4ca5af55ca4</x:v>
      </x:c>
      <x:c r="L429" s="26"/>
      <x:c r="M429" s="26" t="n">
        <x:v>1</x:v>
      </x:c>
      <x:c r="N429" s="26" t="str">
        <x:v>UNIQUE</x:v>
      </x:c>
      <x:c r="O429" s="26" t="str">
        <x:v>13</x:v>
      </x:c>
      <x:c r="P429" s="26" t="str">
        <x:v>13</x:v>
      </x:c>
      <x:c r="Q429" s="26" t="str">
        <x:v>Development evidence</x:v>
      </x:c>
      <x:c r="R429" s="26" t="str">
        <x:v>RETAIN AS EVIDENCE — NOT REPLACED BY SUMMARY</x:v>
      </x:c>
      <x:c r="S429" s="26" t="str">
        <x:v>10_Development_Records/Production_Tracking/Cartridge_And_Cloud_Traceability_Operational_v0.3.9.xlsx</x:v>
      </x:c>
      <x:c r="T429" s="26" t="str">
        <x:v>Historical path preserved verbatim; hash calculated from supplied pre-regeneration project.</x:v>
      </x:c>
    </x:row>
    <x:row r="430" ht="30" customHeight="1">
      <x:c r="A430" s="26" t="str">
        <x:v>H-0426</x:v>
      </x:c>
      <x:c r="B430" s="26" t="str">
        <x:v>Development Records</x:v>
      </x:c>
      <x:c r="C430" s="26" t="str">
        <x:v>v0.5.0</x:v>
      </x:c>
      <x:c r="D430" s="26" t="str">
        <x:v>Production_Tracking</x:v>
      </x:c>
      <x:c r="E430" s="26" t="str">
        <x:v>Cartridge_And_Cloud_Traceability_Operational_v0.5.0.xlsx</x:v>
      </x:c>
      <x:c r="F430" s="26"/>
      <x:c r="G430" s="26" t="str">
        <x:v>Cartridge_And_Cloud_Traceability_Operational_v0.5.0.xlsx</x:v>
      </x:c>
      <x:c r="H430" s="26" t="str">
        <x:v>Excel</x:v>
      </x:c>
      <x:c r="I430" s="26" t="str">
        <x:v>Traceability entry</x:v>
      </x:c>
      <x:c r="J430" s="26" t="n">
        <x:v>8674</x:v>
      </x:c>
      <x:c r="K430" s="26" t="str">
        <x:v>da5c5afe865e1ae53df4c3453485263fe0dec512d824e2cefdd1d973566c6734</x:v>
      </x:c>
      <x:c r="L430" s="26" t="str">
        <x:v>DG-087</x:v>
      </x:c>
      <x:c r="M430" s="26" t="n">
        <x:v>2</x:v>
      </x:c>
      <x:c r="N430" s="26" t="str">
        <x:v>IDENTICAL COPY</x:v>
      </x:c>
      <x:c r="O430" s="26" t="str">
        <x:v>13</x:v>
      </x:c>
      <x:c r="P430" s="26" t="str">
        <x:v>13</x:v>
      </x:c>
      <x:c r="Q430" s="26" t="str">
        <x:v>Development evidence</x:v>
      </x:c>
      <x:c r="R430" s="26" t="str">
        <x:v>RETAIN AS EVIDENCE — NOT REPLACED BY SUMMARY</x:v>
      </x:c>
      <x:c r="S430" s="26" t="str">
        <x:v>10_Development_Records/Production_Tracking/Cartridge_And_Cloud_Traceability_Operational_v0.5.0.xlsx</x:v>
      </x:c>
      <x:c r="T430" s="26" t="str">
        <x:v>Historical path preserved verbatim; hash calculated from supplied pre-regeneration project.</x:v>
      </x:c>
    </x:row>
    <x:row r="431" ht="30" customHeight="1">
      <x:c r="A431" s="26" t="str">
        <x:v>H-0427</x:v>
      </x:c>
      <x:c r="B431" s="26" t="str">
        <x:v>Development Records</x:v>
      </x:c>
      <x:c r="C431" s="26"/>
      <x:c r="D431" s="26" t="str">
        <x:v>Production_Tracking</x:v>
      </x:c>
      <x:c r="E431" s="26" t="str">
        <x:v>README_Production_Tracking.md</x:v>
      </x:c>
      <x:c r="F431" s="26"/>
      <x:c r="G431" s="26" t="str">
        <x:v>README_Production_Tracking.md</x:v>
      </x:c>
      <x:c r="H431" s="26" t="str">
        <x:v>Markdown</x:v>
      </x:c>
      <x:c r="I431" s="26" t="str">
        <x:v>README / navigation</x:v>
      </x:c>
      <x:c r="J431" s="26" t="n">
        <x:v>452</x:v>
      </x:c>
      <x:c r="K431" s="26" t="str">
        <x:v>5c4df824d89d85e6f8885cd5285412412ef3e3f943e85f6ffe1f4b3cbd3f73e0</x:v>
      </x:c>
      <x:c r="L431" s="26"/>
      <x:c r="M431" s="26" t="n">
        <x:v>1</x:v>
      </x:c>
      <x:c r="N431" s="26" t="str">
        <x:v>UNIQUE</x:v>
      </x:c>
      <x:c r="O431" s="26" t="str">
        <x:v>15</x:v>
      </x:c>
      <x:c r="P431" s="26" t="str">
        <x:v>15</x:v>
      </x:c>
      <x:c r="Q431" s="26" t="str">
        <x:v>Development evidence</x:v>
      </x:c>
      <x:c r="R431" s="26" t="str">
        <x:v>RETAIN AS EVIDENCE — NOT REPLACED BY SUMMARY</x:v>
      </x:c>
      <x:c r="S431" s="26" t="str">
        <x:v>10_Development_Records/Production_Tracking/README_Production_Tracking.md</x:v>
      </x:c>
      <x:c r="T431" s="26" t="str">
        <x:v>Historical path preserved verbatim; hash calculated from supplied pre-regeneration project.</x:v>
      </x:c>
    </x:row>
    <x:row r="432" ht="30" customHeight="1">
      <x:c r="A432" s="26" t="str">
        <x:v>H-0428</x:v>
      </x:c>
      <x:c r="B432" s="26" t="str">
        <x:v>Development Records</x:v>
      </x:c>
      <x:c r="C432" s="26"/>
      <x:c r="D432" s="26" t="str">
        <x:v>Sprint_01</x:v>
      </x:c>
      <x:c r="E432" s="26" t="str">
        <x:v>Documentation</x:v>
      </x:c>
      <x:c r="F432" s="26" t="str">
        <x:v>Sprint 01</x:v>
      </x:c>
      <x:c r="G432" s="26" t="str">
        <x:v>S1_Living_Documentation_Update.md</x:v>
      </x:c>
      <x:c r="H432" s="26" t="str">
        <x:v>Markdown</x:v>
      </x:c>
      <x:c r="I432" s="26" t="str">
        <x:v>Living documentation update</x:v>
      </x:c>
      <x:c r="J432" s="26" t="n">
        <x:v>1377</x:v>
      </x:c>
      <x:c r="K432" s="26" t="str">
        <x:v>bff8a2c5c399246aa8f20ca9963bd203a5f636ed5ab7c7a2dddd048037828646</x:v>
      </x:c>
      <x:c r="L432" s="26" t="str">
        <x:v>DG-074</x:v>
      </x:c>
      <x:c r="M432" s="26" t="n">
        <x:v>2</x:v>
      </x:c>
      <x:c r="N432" s="26" t="str">
        <x:v>IDENTICAL COPY</x:v>
      </x:c>
      <x:c r="O432" s="26"/>
      <x:c r="P432" s="26"/>
      <x:c r="Q432" s="26" t="str">
        <x:v>Development evidence</x:v>
      </x:c>
      <x:c r="R432" s="26" t="str">
        <x:v>RETAIN AS EVIDENCE — NOT REPLACED BY SUMMARY</x:v>
      </x:c>
      <x:c r="S432" s="26" t="str">
        <x:v>10_Development_Records/Sprint_01/Documentation/S1_Living_Documentation_Update.md</x:v>
      </x:c>
      <x:c r="T432" s="26" t="str">
        <x:v>Historical path preserved verbatim; hash calculated from supplied pre-regeneration project.</x:v>
      </x:c>
    </x:row>
    <x:row r="433" ht="30" customHeight="1">
      <x:c r="A433" s="26" t="str">
        <x:v>H-0429</x:v>
      </x:c>
      <x:c r="B433" s="26" t="str">
        <x:v>Development Records</x:v>
      </x:c>
      <x:c r="C433" s="26"/>
      <x:c r="D433" s="26" t="str">
        <x:v>Sprint_01</x:v>
      </x:c>
      <x:c r="E433" s="26" t="str">
        <x:v>Governance</x:v>
      </x:c>
      <x:c r="F433" s="26" t="str">
        <x:v>Sprint 01</x:v>
      </x:c>
      <x:c r="G433" s="26" t="str">
        <x:v>ADR-0009_Bootstrap_Owned_Scene_Flow.md</x:v>
      </x:c>
      <x:c r="H433" s="26" t="str">
        <x:v>Markdown</x:v>
      </x:c>
      <x:c r="I433" s="26" t="str">
        <x:v>ADR</x:v>
      </x:c>
      <x:c r="J433" s="26" t="n">
        <x:v>1410</x:v>
      </x:c>
      <x:c r="K433" s="26" t="str">
        <x:v>15408cc4633c35efc6f8b622230184e1636f9140898e48811a2f3498a0e0e2b5</x:v>
      </x:c>
      <x:c r="L433" s="26"/>
      <x:c r="M433" s="26" t="n">
        <x:v>1</x:v>
      </x:c>
      <x:c r="N433" s="26" t="str">
        <x:v>UNIQUE</x:v>
      </x:c>
      <x:c r="O433" s="26"/>
      <x:c r="P433" s="26"/>
      <x:c r="Q433" s="26" t="str">
        <x:v>Development evidence</x:v>
      </x:c>
      <x:c r="R433" s="26" t="str">
        <x:v>RETAIN AS EVIDENCE — NOT REPLACED BY SUMMARY</x:v>
      </x:c>
      <x:c r="S433" s="26" t="str">
        <x:v>10_Development_Records/Sprint_01/Governance/ADR-0009_Bootstrap_Owned_Scene_Flow.md</x:v>
      </x:c>
      <x:c r="T433" s="26" t="str">
        <x:v>Historical path preserved verbatim; hash calculated from supplied pre-regeneration project.</x:v>
      </x:c>
    </x:row>
    <x:row r="434" ht="30" customHeight="1">
      <x:c r="A434" s="26" t="str">
        <x:v>H-0430</x:v>
      </x:c>
      <x:c r="B434" s="26" t="str">
        <x:v>Development Records</x:v>
      </x:c>
      <x:c r="C434" s="26"/>
      <x:c r="D434" s="26" t="str">
        <x:v>Sprint_01</x:v>
      </x:c>
      <x:c r="E434" s="26" t="str">
        <x:v>Governance</x:v>
      </x:c>
      <x:c r="F434" s="26" t="str">
        <x:v>Sprint 01</x:v>
      </x:c>
      <x:c r="G434" s="26" t="str">
        <x:v>ADR-0010_Phase_Level_Build_Evidence_and_Release_Policy.md</x:v>
      </x:c>
      <x:c r="H434" s="26" t="str">
        <x:v>Markdown</x:v>
      </x:c>
      <x:c r="I434" s="26" t="str">
        <x:v>ADR</x:v>
      </x:c>
      <x:c r="J434" s="26" t="n">
        <x:v>2861</x:v>
      </x:c>
      <x:c r="K434" s="26" t="str">
        <x:v>ad328a9eabc2302b0688591df010650b693d9423f0f485eb1000e24d50475184</x:v>
      </x:c>
      <x:c r="L434" s="26" t="str">
        <x:v>DG-066</x:v>
      </x:c>
      <x:c r="M434" s="26" t="n">
        <x:v>2</x:v>
      </x:c>
      <x:c r="N434" s="26" t="str">
        <x:v>IDENTICAL COPY</x:v>
      </x:c>
      <x:c r="O434" s="26"/>
      <x:c r="P434" s="26"/>
      <x:c r="Q434" s="26" t="str">
        <x:v>Development evidence</x:v>
      </x:c>
      <x:c r="R434" s="26" t="str">
        <x:v>RETAIN AS EVIDENCE — NOT REPLACED BY SUMMARY</x:v>
      </x:c>
      <x:c r="S434" s="26" t="str">
        <x:v>10_Development_Records/Sprint_01/Governance/ADR-0010_Phase_Level_Build_Evidence_and_Release_Policy.md</x:v>
      </x:c>
      <x:c r="T434" s="26" t="str">
        <x:v>Historical path preserved verbatim; hash calculated from supplied pre-regeneration project.</x:v>
      </x:c>
    </x:row>
    <x:row r="435" ht="30" customHeight="1">
      <x:c r="A435" s="26" t="str">
        <x:v>H-0431</x:v>
      </x:c>
      <x:c r="B435" s="26" t="str">
        <x:v>Development Records</x:v>
      </x:c>
      <x:c r="C435" s="26"/>
      <x:c r="D435" s="26" t="str">
        <x:v>Sprint_01</x:v>
      </x:c>
      <x:c r="E435" s="26" t="str">
        <x:v>Governance</x:v>
      </x:c>
      <x:c r="F435" s="26" t="str">
        <x:v>Sprint 01</x:v>
      </x:c>
      <x:c r="G435" s="26" t="str">
        <x:v>Sprint_01_Charter.md</x:v>
      </x:c>
      <x:c r="H435" s="26" t="str">
        <x:v>Markdown</x:v>
      </x:c>
      <x:c r="I435" s="26" t="str">
        <x:v>Sprint charter</x:v>
      </x:c>
      <x:c r="J435" s="26" t="n">
        <x:v>1301</x:v>
      </x:c>
      <x:c r="K435" s="26" t="str">
        <x:v>f3c7f38b6a040ce84e1b25dcea67964610a2c033f44d73c181db1446a63cf380</x:v>
      </x:c>
      <x:c r="L435" s="26"/>
      <x:c r="M435" s="26" t="n">
        <x:v>1</x:v>
      </x:c>
      <x:c r="N435" s="26" t="str">
        <x:v>UNIQUE</x:v>
      </x:c>
      <x:c r="O435" s="26"/>
      <x:c r="P435" s="26"/>
      <x:c r="Q435" s="26" t="str">
        <x:v>Development evidence</x:v>
      </x:c>
      <x:c r="R435" s="26" t="str">
        <x:v>RETAIN AS EVIDENCE — NOT REPLACED BY SUMMARY</x:v>
      </x:c>
      <x:c r="S435" s="26" t="str">
        <x:v>10_Development_Records/Sprint_01/Governance/Sprint_01_Charter.md</x:v>
      </x:c>
      <x:c r="T435" s="26" t="str">
        <x:v>Historical path preserved verbatim; hash calculated from supplied pre-regeneration project.</x:v>
      </x:c>
    </x:row>
    <x:row r="436" ht="30" customHeight="1">
      <x:c r="A436" s="26" t="str">
        <x:v>H-0432</x:v>
      </x:c>
      <x:c r="B436" s="26" t="str">
        <x:v>Development Records</x:v>
      </x:c>
      <x:c r="C436" s="26"/>
      <x:c r="D436" s="26" t="str">
        <x:v>Sprint_01</x:v>
      </x:c>
      <x:c r="E436" s="26" t="str">
        <x:v>Governance</x:v>
      </x:c>
      <x:c r="F436" s="26" t="str">
        <x:v>Sprint 01</x:v>
      </x:c>
      <x:c r="G436" s="26" t="str">
        <x:v>Sprint_01_Current_Status.md</x:v>
      </x:c>
      <x:c r="H436" s="26" t="str">
        <x:v>Markdown</x:v>
      </x:c>
      <x:c r="I436" s="26" t="str">
        <x:v>Current status</x:v>
      </x:c>
      <x:c r="J436" s="26" t="n">
        <x:v>1684</x:v>
      </x:c>
      <x:c r="K436" s="26" t="str">
        <x:v>3cef15c3e2f9c35c725c4a00cc366321fef51e35e9b4802713e8527dbe7ccf35</x:v>
      </x:c>
      <x:c r="L436" s="26" t="str">
        <x:v>DG-025</x:v>
      </x:c>
      <x:c r="M436" s="26" t="n">
        <x:v>2</x:v>
      </x:c>
      <x:c r="N436" s="26" t="str">
        <x:v>IDENTICAL COPY</x:v>
      </x:c>
      <x:c r="O436" s="26"/>
      <x:c r="P436" s="26"/>
      <x:c r="Q436" s="26" t="str">
        <x:v>Development evidence</x:v>
      </x:c>
      <x:c r="R436" s="26" t="str">
        <x:v>RETAIN AS EVIDENCE — NOT REPLACED BY SUMMARY</x:v>
      </x:c>
      <x:c r="S436" s="26" t="str">
        <x:v>10_Development_Records/Sprint_01/Governance/Sprint_01_Current_Status.md</x:v>
      </x:c>
      <x:c r="T436" s="26" t="str">
        <x:v>Historical path preserved verbatim; hash calculated from supplied pre-regeneration project.</x:v>
      </x:c>
    </x:row>
    <x:row r="437" ht="30" customHeight="1">
      <x:c r="A437" s="26" t="str">
        <x:v>H-0433</x:v>
      </x:c>
      <x:c r="B437" s="26" t="str">
        <x:v>Development Records</x:v>
      </x:c>
      <x:c r="C437" s="26"/>
      <x:c r="D437" s="26" t="str">
        <x:v>Sprint_01</x:v>
      </x:c>
      <x:c r="E437" s="26" t="str">
        <x:v>QA</x:v>
      </x:c>
      <x:c r="F437" s="26" t="str">
        <x:v>Sprint 01</x:v>
      </x:c>
      <x:c r="G437" s="26" t="str">
        <x:v>S1_Acceptance_Matrix.md</x:v>
      </x:c>
      <x:c r="H437" s="26" t="str">
        <x:v>Markdown</x:v>
      </x:c>
      <x:c r="I437" s="26" t="str">
        <x:v>Acceptance matrix</x:v>
      </x:c>
      <x:c r="J437" s="26" t="n">
        <x:v>1455</x:v>
      </x:c>
      <x:c r="K437" s="26" t="str">
        <x:v>a5a4e0a192fe33559c582efd9ee4d53170e26af9e07db63aae1e22b1f5c66f49</x:v>
      </x:c>
      <x:c r="L437" s="26" t="str">
        <x:v>DG-063</x:v>
      </x:c>
      <x:c r="M437" s="26" t="n">
        <x:v>2</x:v>
      </x:c>
      <x:c r="N437" s="26" t="str">
        <x:v>IDENTICAL COPY</x:v>
      </x:c>
      <x:c r="O437" s="26" t="str">
        <x:v>31</x:v>
      </x:c>
      <x:c r="P437" s="26" t="str">
        <x:v>02, 07, 08, 11, 13, 16, 31</x:v>
      </x:c>
      <x:c r="Q437" s="26" t="str">
        <x:v>Development evidence</x:v>
      </x:c>
      <x:c r="R437" s="26" t="str">
        <x:v>RETAIN AS EVIDENCE — NOT REPLACED BY SUMMARY</x:v>
      </x:c>
      <x:c r="S437" s="26" t="str">
        <x:v>10_Development_Records/Sprint_01/QA/S1_Acceptance_Matrix.md</x:v>
      </x:c>
      <x:c r="T437" s="26" t="str">
        <x:v>Historical path preserved verbatim; hash calculated from supplied pre-regeneration project.</x:v>
      </x:c>
    </x:row>
    <x:row r="438" ht="30" customHeight="1">
      <x:c r="A438" s="26" t="str">
        <x:v>H-0434</x:v>
      </x:c>
      <x:c r="B438" s="26" t="str">
        <x:v>Development Records</x:v>
      </x:c>
      <x:c r="C438" s="26"/>
      <x:c r="D438" s="26" t="str">
        <x:v>Sprint_01</x:v>
      </x:c>
      <x:c r="E438" s="26" t="str">
        <x:v>QA</x:v>
      </x:c>
      <x:c r="F438" s="26" t="str">
        <x:v>Sprint 01</x:v>
      </x:c>
      <x:c r="G438" s="26" t="str">
        <x:v>S1_QA_Execution_Record.md</x:v>
      </x:c>
      <x:c r="H438" s="26" t="str">
        <x:v>Markdown</x:v>
      </x:c>
      <x:c r="I438" s="26" t="str">
        <x:v>QA execution evidence</x:v>
      </x:c>
      <x:c r="J438" s="26" t="n">
        <x:v>1065</x:v>
      </x:c>
      <x:c r="K438" s="26" t="str">
        <x:v>f9ae3d8cb7bd112af8d518e93ccfe03fbce2309d555f3130b0325427ef68daad</x:v>
      </x:c>
      <x:c r="L438" s="26" t="str">
        <x:v>DG-097</x:v>
      </x:c>
      <x:c r="M438" s="26" t="n">
        <x:v>2</x:v>
      </x:c>
      <x:c r="N438" s="26" t="str">
        <x:v>IDENTICAL COPY</x:v>
      </x:c>
      <x:c r="O438" s="26" t="str">
        <x:v>31</x:v>
      </x:c>
      <x:c r="P438" s="26" t="str">
        <x:v>02, 07, 08, 11, 13, 16, 31</x:v>
      </x:c>
      <x:c r="Q438" s="26" t="str">
        <x:v>Development evidence</x:v>
      </x:c>
      <x:c r="R438" s="26" t="str">
        <x:v>RETAIN AS EVIDENCE — NOT REPLACED BY SUMMARY</x:v>
      </x:c>
      <x:c r="S438" s="26" t="str">
        <x:v>10_Development_Records/Sprint_01/QA/S1_QA_Execution_Record.md</x:v>
      </x:c>
      <x:c r="T438" s="26" t="str">
        <x:v>Historical path preserved verbatim; hash calculated from supplied pre-regeneration project.</x:v>
      </x:c>
    </x:row>
    <x:row r="439" ht="30" customHeight="1">
      <x:c r="A439" s="26" t="str">
        <x:v>H-0435</x:v>
      </x:c>
      <x:c r="B439" s="26" t="str">
        <x:v>Development Records</x:v>
      </x:c>
      <x:c r="C439" s="26"/>
      <x:c r="D439" s="26" t="str">
        <x:v>Sprint_01</x:v>
      </x:c>
      <x:c r="E439" s="26" t="str">
        <x:v>QA</x:v>
      </x:c>
      <x:c r="F439" s="26" t="str">
        <x:v>Sprint 01</x:v>
      </x:c>
      <x:c r="G439" s="26" t="str">
        <x:v>S1_Test_Plan.md</x:v>
      </x:c>
      <x:c r="H439" s="26" t="str">
        <x:v>Markdown</x:v>
      </x:c>
      <x:c r="I439" s="26" t="str">
        <x:v>Historical document / record</x:v>
      </x:c>
      <x:c r="J439" s="26" t="n">
        <x:v>849</x:v>
      </x:c>
      <x:c r="K439" s="26" t="str">
        <x:v>a56d1b7284d6d12babe25a9a564ecd4ef8d2ef68d3aa82829460e09ea4b64afd</x:v>
      </x:c>
      <x:c r="L439" s="26"/>
      <x:c r="M439" s="26" t="n">
        <x:v>1</x:v>
      </x:c>
      <x:c r="N439" s="26" t="str">
        <x:v>UNIQUE</x:v>
      </x:c>
      <x:c r="O439" s="26"/>
      <x:c r="P439" s="26"/>
      <x:c r="Q439" s="26" t="str">
        <x:v>Development evidence</x:v>
      </x:c>
      <x:c r="R439" s="26" t="str">
        <x:v>RETAIN AS EVIDENCE — NOT REPLACED BY SUMMARY</x:v>
      </x:c>
      <x:c r="S439" s="26" t="str">
        <x:v>10_Development_Records/Sprint_01/QA/S1_Test_Plan.md</x:v>
      </x:c>
      <x:c r="T439" s="26" t="str">
        <x:v>Historical path preserved verbatim; hash calculated from supplied pre-regeneration project.</x:v>
      </x:c>
    </x:row>
    <x:row r="440" ht="30" customHeight="1">
      <x:c r="A440" s="26" t="str">
        <x:v>H-0436</x:v>
      </x:c>
      <x:c r="B440" s="26" t="str">
        <x:v>Development Records</x:v>
      </x:c>
      <x:c r="C440" s="26"/>
      <x:c r="D440" s="26" t="str">
        <x:v>Sprint_01</x:v>
      </x:c>
      <x:c r="E440" s="26" t="str">
        <x:v>QA</x:v>
      </x:c>
      <x:c r="F440" s="26" t="str">
        <x:v>Sprint 01</x:v>
      </x:c>
      <x:c r="G440" s="26" t="str">
        <x:v>S1_Validation_Checklist.md</x:v>
      </x:c>
      <x:c r="H440" s="26" t="str">
        <x:v>Markdown</x:v>
      </x:c>
      <x:c r="I440" s="26" t="str">
        <x:v>Validation checklist</x:v>
      </x:c>
      <x:c r="J440" s="26" t="n">
        <x:v>1591</x:v>
      </x:c>
      <x:c r="K440" s="26" t="str">
        <x:v>a6538450622d348cafd5964a5af26d84ce9b5aa1890a06af6789b8bb4fd9dc9c</x:v>
      </x:c>
      <x:c r="L440" s="26" t="str">
        <x:v>DG-064</x:v>
      </x:c>
      <x:c r="M440" s="26" t="n">
        <x:v>2</x:v>
      </x:c>
      <x:c r="N440" s="26" t="str">
        <x:v>IDENTICAL COPY</x:v>
      </x:c>
      <x:c r="O440" s="26" t="str">
        <x:v>31</x:v>
      </x:c>
      <x:c r="P440" s="26" t="str">
        <x:v>02, 07, 08, 11, 13, 16, 31</x:v>
      </x:c>
      <x:c r="Q440" s="26" t="str">
        <x:v>Development evidence</x:v>
      </x:c>
      <x:c r="R440" s="26" t="str">
        <x:v>RETAIN AS EVIDENCE — NOT REPLACED BY SUMMARY</x:v>
      </x:c>
      <x:c r="S440" s="26" t="str">
        <x:v>10_Development_Records/Sprint_01/QA/S1_Validation_Checklist.md</x:v>
      </x:c>
      <x:c r="T440" s="26" t="str">
        <x:v>Historical path preserved verbatim; hash calculated from supplied pre-regeneration project.</x:v>
      </x:c>
    </x:row>
    <x:row r="441" ht="30" customHeight="1">
      <x:c r="A441" s="26" t="str">
        <x:v>H-0437</x:v>
      </x:c>
      <x:c r="B441" s="26" t="str">
        <x:v>Development Records</x:v>
      </x:c>
      <x:c r="C441" s="26"/>
      <x:c r="D441" s="26" t="str">
        <x:v>Sprint_01</x:v>
      </x:c>
      <x:c r="E441" s="26" t="str">
        <x:v>S1_Applied_Changes_Report.md</x:v>
      </x:c>
      <x:c r="F441" s="26" t="str">
        <x:v>Sprint 01</x:v>
      </x:c>
      <x:c r="G441" s="26" t="str">
        <x:v>S1_Applied_Changes_Report.md</x:v>
      </x:c>
      <x:c r="H441" s="26" t="str">
        <x:v>Markdown</x:v>
      </x:c>
      <x:c r="I441" s="26" t="str">
        <x:v>Applied change report</x:v>
      </x:c>
      <x:c r="J441" s="26" t="n">
        <x:v>1306</x:v>
      </x:c>
      <x:c r="K441" s="26" t="str">
        <x:v>d557d2ff80e615e43f1a11dcbb40a4dc3fd70427a2df9662b8676b5e0dbfe6e3</x:v>
      </x:c>
      <x:c r="L441" s="26" t="str">
        <x:v>DG-085</x:v>
      </x:c>
      <x:c r="M441" s="26" t="n">
        <x:v>2</x:v>
      </x:c>
      <x:c r="N441" s="26" t="str">
        <x:v>IDENTICAL COPY</x:v>
      </x:c>
      <x:c r="O441" s="26"/>
      <x:c r="P441" s="26"/>
      <x:c r="Q441" s="26" t="str">
        <x:v>Development evidence</x:v>
      </x:c>
      <x:c r="R441" s="26" t="str">
        <x:v>RETAIN AS EVIDENCE — NOT REPLACED BY SUMMARY</x:v>
      </x:c>
      <x:c r="S441" s="26" t="str">
        <x:v>10_Development_Records/Sprint_01/S1_Applied_Changes_Report.md</x:v>
      </x:c>
      <x:c r="T441" s="26" t="str">
        <x:v>Historical path preserved verbatim; hash calculated from supplied pre-regeneration project.</x:v>
      </x:c>
    </x:row>
    <x:row r="442" ht="30" customHeight="1">
      <x:c r="A442" s="26" t="str">
        <x:v>H-0438</x:v>
      </x:c>
      <x:c r="B442" s="26" t="str">
        <x:v>Development Records</x:v>
      </x:c>
      <x:c r="C442" s="26"/>
      <x:c r="D442" s="26" t="str">
        <x:v>Sprint_01</x:v>
      </x:c>
      <x:c r="E442" s="26" t="str">
        <x:v>Sprint_01_Closure_Record.md</x:v>
      </x:c>
      <x:c r="F442" s="26" t="str">
        <x:v>Sprint 01</x:v>
      </x:c>
      <x:c r="G442" s="26" t="str">
        <x:v>Sprint_01_Closure_Record.md</x:v>
      </x:c>
      <x:c r="H442" s="26" t="str">
        <x:v>Markdown</x:v>
      </x:c>
      <x:c r="I442" s="26" t="str">
        <x:v>Sprint closure</x:v>
      </x:c>
      <x:c r="J442" s="26" t="n">
        <x:v>1841</x:v>
      </x:c>
      <x:c r="K442" s="26" t="str">
        <x:v>2b8dccc6fe9f2b2d9adff4bb17403626e70f533157a89d558c15549d2aaef69e</x:v>
      </x:c>
      <x:c r="L442" s="26" t="str">
        <x:v>DG-016</x:v>
      </x:c>
      <x:c r="M442" s="26" t="n">
        <x:v>2</x:v>
      </x:c>
      <x:c r="N442" s="26" t="str">
        <x:v>IDENTICAL COPY</x:v>
      </x:c>
      <x:c r="O442" s="26"/>
      <x:c r="P442" s="26"/>
      <x:c r="Q442" s="26" t="str">
        <x:v>Development evidence</x:v>
      </x:c>
      <x:c r="R442" s="26" t="str">
        <x:v>RETAIN AS EVIDENCE — NOT REPLACED BY SUMMARY</x:v>
      </x:c>
      <x:c r="S442" s="26" t="str">
        <x:v>10_Development_Records/Sprint_01/Sprint_01_Closure_Record.md</x:v>
      </x:c>
      <x:c r="T442" s="26" t="str">
        <x:v>Historical path preserved verbatim; hash calculated from supplied pre-regeneration project.</x:v>
      </x:c>
    </x:row>
    <x:row r="443" ht="30" customHeight="1">
      <x:c r="A443" s="26" t="str">
        <x:v>H-0439</x:v>
      </x:c>
      <x:c r="B443" s="26" t="str">
        <x:v>Development Records</x:v>
      </x:c>
      <x:c r="C443" s="26"/>
      <x:c r="D443" s="26" t="str">
        <x:v>Sprint_01</x:v>
      </x:c>
      <x:c r="E443" s="26" t="str">
        <x:v>Traceability</x:v>
      </x:c>
      <x:c r="F443" s="26" t="str">
        <x:v>Sprint 01</x:v>
      </x:c>
      <x:c r="G443" s="26" t="str">
        <x:v>S1_Document_Impact_Working_Matrix.md</x:v>
      </x:c>
      <x:c r="H443" s="26" t="str">
        <x:v>Markdown</x:v>
      </x:c>
      <x:c r="I443" s="26" t="str">
        <x:v>Traceability entry</x:v>
      </x:c>
      <x:c r="J443" s="26" t="n">
        <x:v>2145</x:v>
      </x:c>
      <x:c r="K443" s="26" t="str">
        <x:v>954a2469df0ccd8fda09a9a22ac33abadd2c59aedfeaed3597633c449f244648</x:v>
      </x:c>
      <x:c r="L443" s="26" t="str">
        <x:v>DG-056</x:v>
      </x:c>
      <x:c r="M443" s="26" t="n">
        <x:v>2</x:v>
      </x:c>
      <x:c r="N443" s="26" t="str">
        <x:v>IDENTICAL COPY</x:v>
      </x:c>
      <x:c r="O443" s="26"/>
      <x:c r="P443" s="26"/>
      <x:c r="Q443" s="26" t="str">
        <x:v>Development evidence</x:v>
      </x:c>
      <x:c r="R443" s="26" t="str">
        <x:v>RETAIN AS EVIDENCE — NOT REPLACED BY SUMMARY</x:v>
      </x:c>
      <x:c r="S443" s="26" t="str">
        <x:v>10_Development_Records/Sprint_01/Traceability/S1_Document_Impact_Working_Matrix.md</x:v>
      </x:c>
      <x:c r="T443" s="26" t="str">
        <x:v>Historical path preserved verbatim; hash calculated from supplied pre-regeneration project.</x:v>
      </x:c>
    </x:row>
    <x:row r="444" ht="30" customHeight="1">
      <x:c r="A444" s="26" t="str">
        <x:v>H-0440</x:v>
      </x:c>
      <x:c r="B444" s="26" t="str">
        <x:v>Development Records</x:v>
      </x:c>
      <x:c r="C444" s="26"/>
      <x:c r="D444" s="26" t="str">
        <x:v>Sprint_01</x:v>
      </x:c>
      <x:c r="E444" s="26" t="str">
        <x:v>Traceability</x:v>
      </x:c>
      <x:c r="F444" s="26" t="str">
        <x:v>Sprint 01</x:v>
      </x:c>
      <x:c r="G444" s="26" t="str">
        <x:v>S1_Traceability_Entries.csv</x:v>
      </x:c>
      <x:c r="H444" s="26" t="str">
        <x:v>CSV</x:v>
      </x:c>
      <x:c r="I444" s="26" t="str">
        <x:v>Traceability entry</x:v>
      </x:c>
      <x:c r="J444" s="26" t="n">
        <x:v>1155</x:v>
      </x:c>
      <x:c r="K444" s="26" t="str">
        <x:v>aedac227bd8d99487c25becdb16546b4804200243132e405a6262c7d779fc1b7</x:v>
      </x:c>
      <x:c r="L444" s="26" t="str">
        <x:v>DG-067</x:v>
      </x:c>
      <x:c r="M444" s="26" t="n">
        <x:v>2</x:v>
      </x:c>
      <x:c r="N444" s="26" t="str">
        <x:v>IDENTICAL COPY</x:v>
      </x:c>
      <x:c r="O444" s="26"/>
      <x:c r="P444" s="26"/>
      <x:c r="Q444" s="26" t="str">
        <x:v>Development evidence</x:v>
      </x:c>
      <x:c r="R444" s="26" t="str">
        <x:v>RETAIN AS EVIDENCE — NOT REPLACED BY SUMMARY</x:v>
      </x:c>
      <x:c r="S444" s="26" t="str">
        <x:v>10_Development_Records/Sprint_01/Traceability/S1_Traceability_Entries.csv</x:v>
      </x:c>
      <x:c r="T444" s="26" t="str">
        <x:v>Historical path preserved verbatim; hash calculated from supplied pre-regeneration project.</x:v>
      </x:c>
    </x:row>
    <x:row r="445" ht="30" customHeight="1">
      <x:c r="A445" s="26" t="str">
        <x:v>H-0441</x:v>
      </x:c>
      <x:c r="B445" s="26" t="str">
        <x:v>Development Records</x:v>
      </x:c>
      <x:c r="C445" s="26"/>
      <x:c r="D445" s="26" t="str">
        <x:v>Sprint_02</x:v>
      </x:c>
      <x:c r="E445" s="26" t="str">
        <x:v>Documentation</x:v>
      </x:c>
      <x:c r="F445" s="26" t="str">
        <x:v>Sprint 02</x:v>
      </x:c>
      <x:c r="G445" s="26" t="str">
        <x:v>S2_2.4_PostImplementation_Record.md</x:v>
      </x:c>
      <x:c r="H445" s="26" t="str">
        <x:v>Markdown</x:v>
      </x:c>
      <x:c r="I445" s="26" t="str">
        <x:v>Historical document / record</x:v>
      </x:c>
      <x:c r="J445" s="26" t="n">
        <x:v>1370</x:v>
      </x:c>
      <x:c r="K445" s="26" t="str">
        <x:v>6d8abe4b6e4fda5c39ffd60d97011f543f82a7a104941401d40120785709fc4b</x:v>
      </x:c>
      <x:c r="L445" s="26" t="str">
        <x:v>DG-043</x:v>
      </x:c>
      <x:c r="M445" s="26" t="n">
        <x:v>2</x:v>
      </x:c>
      <x:c r="N445" s="26" t="str">
        <x:v>IDENTICAL COPY</x:v>
      </x:c>
      <x:c r="O445" s="26"/>
      <x:c r="P445" s="26"/>
      <x:c r="Q445" s="26" t="str">
        <x:v>Development evidence</x:v>
      </x:c>
      <x:c r="R445" s="26" t="str">
        <x:v>RETAIN AS EVIDENCE — NOT REPLACED BY SUMMARY</x:v>
      </x:c>
      <x:c r="S445" s="26" t="str">
        <x:v>10_Development_Records/Sprint_02/Documentation/S2_2.4_PostImplementation_Record.md</x:v>
      </x:c>
      <x:c r="T445" s="26" t="str">
        <x:v>Historical path preserved verbatim; hash calculated from supplied pre-regeneration project.</x:v>
      </x:c>
    </x:row>
    <x:row r="446" ht="30" customHeight="1">
      <x:c r="A446" s="26" t="str">
        <x:v>H-0442</x:v>
      </x:c>
      <x:c r="B446" s="26" t="str">
        <x:v>Development Records</x:v>
      </x:c>
      <x:c r="C446" s="26"/>
      <x:c r="D446" s="26" t="str">
        <x:v>Sprint_02</x:v>
      </x:c>
      <x:c r="E446" s="26" t="str">
        <x:v>Documentation</x:v>
      </x:c>
      <x:c r="F446" s="26" t="str">
        <x:v>Sprint 02</x:v>
      </x:c>
      <x:c r="G446" s="26" t="str">
        <x:v>S2_2.4_PostImplementation_Template.md</x:v>
      </x:c>
      <x:c r="H446" s="26" t="str">
        <x:v>Markdown</x:v>
      </x:c>
      <x:c r="I446" s="26" t="str">
        <x:v>Historical document / record</x:v>
      </x:c>
      <x:c r="J446" s="26" t="n">
        <x:v>460</x:v>
      </x:c>
      <x:c r="K446" s="26" t="str">
        <x:v>b03fed839b37fa856b30c1b9255248bbe9363ac314b43fe8a737bcee151c1c01</x:v>
      </x:c>
      <x:c r="L446" s="26"/>
      <x:c r="M446" s="26" t="n">
        <x:v>1</x:v>
      </x:c>
      <x:c r="N446" s="26" t="str">
        <x:v>UNIQUE</x:v>
      </x:c>
      <x:c r="O446" s="26"/>
      <x:c r="P446" s="26"/>
      <x:c r="Q446" s="26" t="str">
        <x:v>Development evidence</x:v>
      </x:c>
      <x:c r="R446" s="26" t="str">
        <x:v>RETAIN AS EVIDENCE — NOT REPLACED BY SUMMARY</x:v>
      </x:c>
      <x:c r="S446" s="26" t="str">
        <x:v>10_Development_Records/Sprint_02/Documentation/S2_2.4_PostImplementation_Template.md</x:v>
      </x:c>
      <x:c r="T446" s="26" t="str">
        <x:v>Historical path preserved verbatim; hash calculated from supplied pre-regeneration project.</x:v>
      </x:c>
    </x:row>
    <x:row r="447" ht="30" customHeight="1">
      <x:c r="A447" s="26" t="str">
        <x:v>H-0443</x:v>
      </x:c>
      <x:c r="B447" s="26" t="str">
        <x:v>Development Records</x:v>
      </x:c>
      <x:c r="C447" s="26"/>
      <x:c r="D447" s="26" t="str">
        <x:v>Sprint_02</x:v>
      </x:c>
      <x:c r="E447" s="26" t="str">
        <x:v>Documentation</x:v>
      </x:c>
      <x:c r="F447" s="26" t="str">
        <x:v>Sprint 02</x:v>
      </x:c>
      <x:c r="G447" s="26" t="str">
        <x:v>S2_Living_Documentation_Update.md</x:v>
      </x:c>
      <x:c r="H447" s="26" t="str">
        <x:v>Markdown</x:v>
      </x:c>
      <x:c r="I447" s="26" t="str">
        <x:v>Living documentation update</x:v>
      </x:c>
      <x:c r="J447" s="26" t="n">
        <x:v>1460</x:v>
      </x:c>
      <x:c r="K447" s="26" t="str">
        <x:v>2557d0a124f811aab18e38c5a5e6aebd1545e0befd0ed9d5e5d2bbb64b0b6902</x:v>
      </x:c>
      <x:c r="L447" s="26" t="str">
        <x:v>DG-012</x:v>
      </x:c>
      <x:c r="M447" s="26" t="n">
        <x:v>2</x:v>
      </x:c>
      <x:c r="N447" s="26" t="str">
        <x:v>IDENTICAL COPY</x:v>
      </x:c>
      <x:c r="O447" s="26"/>
      <x:c r="P447" s="26"/>
      <x:c r="Q447" s="26" t="str">
        <x:v>Development evidence</x:v>
      </x:c>
      <x:c r="R447" s="26" t="str">
        <x:v>RETAIN AS EVIDENCE — NOT REPLACED BY SUMMARY</x:v>
      </x:c>
      <x:c r="S447" s="26" t="str">
        <x:v>10_Development_Records/Sprint_02/Documentation/S2_Living_Documentation_Update.md</x:v>
      </x:c>
      <x:c r="T447" s="26" t="str">
        <x:v>Historical path preserved verbatim; hash calculated from supplied pre-regeneration project.</x:v>
      </x:c>
    </x:row>
    <x:row r="448" ht="30" customHeight="1">
      <x:c r="A448" s="26" t="str">
        <x:v>H-0444</x:v>
      </x:c>
      <x:c r="B448" s="26" t="str">
        <x:v>Development Records</x:v>
      </x:c>
      <x:c r="C448" s="26"/>
      <x:c r="D448" s="26" t="str">
        <x:v>Sprint_02</x:v>
      </x:c>
      <x:c r="E448" s="26" t="str">
        <x:v>Governance</x:v>
      </x:c>
      <x:c r="F448" s="26" t="str">
        <x:v>Sprint 02</x:v>
      </x:c>
      <x:c r="G448" s="26" t="str">
        <x:v>ADR-0011_Minimal_Versioned_Save_Skeleton.md</x:v>
      </x:c>
      <x:c r="H448" s="26" t="str">
        <x:v>Markdown</x:v>
      </x:c>
      <x:c r="I448" s="26" t="str">
        <x:v>ADR</x:v>
      </x:c>
      <x:c r="J448" s="26" t="n">
        <x:v>2505</x:v>
      </x:c>
      <x:c r="K448" s="26" t="str">
        <x:v>4048b071ec41b0d5caf4beb0d5a4ff7547e409f566a403d0e9331a604de076dd</x:v>
      </x:c>
      <x:c r="L448" s="26" t="str">
        <x:v>DG-027</x:v>
      </x:c>
      <x:c r="M448" s="26" t="n">
        <x:v>2</x:v>
      </x:c>
      <x:c r="N448" s="26" t="str">
        <x:v>IDENTICAL COPY</x:v>
      </x:c>
      <x:c r="O448" s="26"/>
      <x:c r="P448" s="26"/>
      <x:c r="Q448" s="26" t="str">
        <x:v>Development evidence</x:v>
      </x:c>
      <x:c r="R448" s="26" t="str">
        <x:v>RETAIN AS EVIDENCE — NOT REPLACED BY SUMMARY</x:v>
      </x:c>
      <x:c r="S448" s="26" t="str">
        <x:v>10_Development_Records/Sprint_02/Governance/ADR-0011_Minimal_Versioned_Save_Skeleton.md</x:v>
      </x:c>
      <x:c r="T448" s="26" t="str">
        <x:v>Historical path preserved verbatim; hash calculated from supplied pre-regeneration project.</x:v>
      </x:c>
    </x:row>
    <x:row r="449" ht="30" customHeight="1">
      <x:c r="A449" s="26" t="str">
        <x:v>H-0445</x:v>
      </x:c>
      <x:c r="B449" s="26" t="str">
        <x:v>Development Records</x:v>
      </x:c>
      <x:c r="C449" s="26"/>
      <x:c r="D449" s="26" t="str">
        <x:v>Sprint_02</x:v>
      </x:c>
      <x:c r="E449" s="26" t="str">
        <x:v>Governance</x:v>
      </x:c>
      <x:c r="F449" s="26" t="str">
        <x:v>Sprint 02</x:v>
      </x:c>
      <x:c r="G449" s="26" t="str">
        <x:v>Sprint_02_Charter.md</x:v>
      </x:c>
      <x:c r="H449" s="26" t="str">
        <x:v>Markdown</x:v>
      </x:c>
      <x:c r="I449" s="26" t="str">
        <x:v>Sprint charter</x:v>
      </x:c>
      <x:c r="J449" s="26" t="n">
        <x:v>1126</x:v>
      </x:c>
      <x:c r="K449" s="26" t="str">
        <x:v>1b8188ebbe5e23566a34e61d6d6871f98977434424cb98e246a55649685c73d8</x:v>
      </x:c>
      <x:c r="L449" s="26"/>
      <x:c r="M449" s="26" t="n">
        <x:v>1</x:v>
      </x:c>
      <x:c r="N449" s="26" t="str">
        <x:v>UNIQUE</x:v>
      </x:c>
      <x:c r="O449" s="26"/>
      <x:c r="P449" s="26"/>
      <x:c r="Q449" s="26" t="str">
        <x:v>Development evidence</x:v>
      </x:c>
      <x:c r="R449" s="26" t="str">
        <x:v>RETAIN AS EVIDENCE — NOT REPLACED BY SUMMARY</x:v>
      </x:c>
      <x:c r="S449" s="26" t="str">
        <x:v>10_Development_Records/Sprint_02/Governance/Sprint_02_Charter.md</x:v>
      </x:c>
      <x:c r="T449" s="26" t="str">
        <x:v>Historical path preserved verbatim; hash calculated from supplied pre-regeneration project.</x:v>
      </x:c>
    </x:row>
    <x:row r="450" ht="30" customHeight="1">
      <x:c r="A450" s="26" t="str">
        <x:v>H-0446</x:v>
      </x:c>
      <x:c r="B450" s="26" t="str">
        <x:v>Development Records</x:v>
      </x:c>
      <x:c r="C450" s="26"/>
      <x:c r="D450" s="26" t="str">
        <x:v>Sprint_02</x:v>
      </x:c>
      <x:c r="E450" s="26" t="str">
        <x:v>Governance</x:v>
      </x:c>
      <x:c r="F450" s="26" t="str">
        <x:v>Sprint 02</x:v>
      </x:c>
      <x:c r="G450" s="26" t="str">
        <x:v>Sprint_02_Current_Status.md</x:v>
      </x:c>
      <x:c r="H450" s="26" t="str">
        <x:v>Markdown</x:v>
      </x:c>
      <x:c r="I450" s="26" t="str">
        <x:v>Current status</x:v>
      </x:c>
      <x:c r="J450" s="26" t="n">
        <x:v>1868</x:v>
      </x:c>
      <x:c r="K450" s="26" t="str">
        <x:v>5af2cc8138ca5ef7d49e84c24974f5d1c5939f84dc9f356d6563c417067c3ef7</x:v>
      </x:c>
      <x:c r="L450" s="26" t="str">
        <x:v>DG-037</x:v>
      </x:c>
      <x:c r="M450" s="26" t="n">
        <x:v>2</x:v>
      </x:c>
      <x:c r="N450" s="26" t="str">
        <x:v>IDENTICAL COPY</x:v>
      </x:c>
      <x:c r="O450" s="26"/>
      <x:c r="P450" s="26"/>
      <x:c r="Q450" s="26" t="str">
        <x:v>Development evidence</x:v>
      </x:c>
      <x:c r="R450" s="26" t="str">
        <x:v>RETAIN AS EVIDENCE — NOT REPLACED BY SUMMARY</x:v>
      </x:c>
      <x:c r="S450" s="26" t="str">
        <x:v>10_Development_Records/Sprint_02/Governance/Sprint_02_Current_Status.md</x:v>
      </x:c>
      <x:c r="T450" s="26" t="str">
        <x:v>Historical path preserved verbatim; hash calculated from supplied pre-regeneration project.</x:v>
      </x:c>
    </x:row>
    <x:row r="451" ht="30" customHeight="1">
      <x:c r="A451" s="26" t="str">
        <x:v>H-0447</x:v>
      </x:c>
      <x:c r="B451" s="26" t="str">
        <x:v>Development Records</x:v>
      </x:c>
      <x:c r="C451" s="26"/>
      <x:c r="D451" s="26" t="str">
        <x:v>Sprint_02</x:v>
      </x:c>
      <x:c r="E451" s="26" t="str">
        <x:v>QA</x:v>
      </x:c>
      <x:c r="F451" s="26" t="str">
        <x:v>Sprint 02</x:v>
      </x:c>
      <x:c r="G451" s="26" t="str">
        <x:v>S2_Acceptance_Matrix.md</x:v>
      </x:c>
      <x:c r="H451" s="26" t="str">
        <x:v>Markdown</x:v>
      </x:c>
      <x:c r="I451" s="26" t="str">
        <x:v>Acceptance matrix</x:v>
      </x:c>
      <x:c r="J451" s="26" t="n">
        <x:v>993</x:v>
      </x:c>
      <x:c r="K451" s="26" t="str">
        <x:v>1c184fd5c44de6051e83614676a1571d4d49e7cd8b4d68c8ef85167b64e2692f</x:v>
      </x:c>
      <x:c r="L451" s="26" t="str">
        <x:v>DG-010</x:v>
      </x:c>
      <x:c r="M451" s="26" t="n">
        <x:v>2</x:v>
      </x:c>
      <x:c r="N451" s="26" t="str">
        <x:v>IDENTICAL COPY</x:v>
      </x:c>
      <x:c r="O451" s="26" t="str">
        <x:v>31</x:v>
      </x:c>
      <x:c r="P451" s="26" t="str">
        <x:v>02, 07, 08, 11, 13, 16, 31</x:v>
      </x:c>
      <x:c r="Q451" s="26" t="str">
        <x:v>Development evidence</x:v>
      </x:c>
      <x:c r="R451" s="26" t="str">
        <x:v>RETAIN AS EVIDENCE — NOT REPLACED BY SUMMARY</x:v>
      </x:c>
      <x:c r="S451" s="26" t="str">
        <x:v>10_Development_Records/Sprint_02/QA/S2_Acceptance_Matrix.md</x:v>
      </x:c>
      <x:c r="T451" s="26" t="str">
        <x:v>Historical path preserved verbatim; hash calculated from supplied pre-regeneration project.</x:v>
      </x:c>
    </x:row>
    <x:row r="452" ht="30" customHeight="1">
      <x:c r="A452" s="26" t="str">
        <x:v>H-0448</x:v>
      </x:c>
      <x:c r="B452" s="26" t="str">
        <x:v>Development Records</x:v>
      </x:c>
      <x:c r="C452" s="26"/>
      <x:c r="D452" s="26" t="str">
        <x:v>Sprint_02</x:v>
      </x:c>
      <x:c r="E452" s="26" t="str">
        <x:v>QA</x:v>
      </x:c>
      <x:c r="F452" s="26" t="str">
        <x:v>Sprint 02</x:v>
      </x:c>
      <x:c r="G452" s="26" t="str">
        <x:v>S2_QA_Execution_Record.md</x:v>
      </x:c>
      <x:c r="H452" s="26" t="str">
        <x:v>Markdown</x:v>
      </x:c>
      <x:c r="I452" s="26" t="str">
        <x:v>QA execution evidence</x:v>
      </x:c>
      <x:c r="J452" s="26" t="n">
        <x:v>1827</x:v>
      </x:c>
      <x:c r="K452" s="26" t="str">
        <x:v>70ad9d5ab6b32071b69fcbb35e7f76889b95b4d84ec6c6e6174ab2d793ccea4f</x:v>
      </x:c>
      <x:c r="L452" s="26" t="str">
        <x:v>DG-045</x:v>
      </x:c>
      <x:c r="M452" s="26" t="n">
        <x:v>2</x:v>
      </x:c>
      <x:c r="N452" s="26" t="str">
        <x:v>IDENTICAL COPY</x:v>
      </x:c>
      <x:c r="O452" s="26" t="str">
        <x:v>31</x:v>
      </x:c>
      <x:c r="P452" s="26" t="str">
        <x:v>02, 07, 08, 11, 13, 16, 31</x:v>
      </x:c>
      <x:c r="Q452" s="26" t="str">
        <x:v>Development evidence</x:v>
      </x:c>
      <x:c r="R452" s="26" t="str">
        <x:v>RETAIN AS EVIDENCE — NOT REPLACED BY SUMMARY</x:v>
      </x:c>
      <x:c r="S452" s="26" t="str">
        <x:v>10_Development_Records/Sprint_02/QA/S2_QA_Execution_Record.md</x:v>
      </x:c>
      <x:c r="T452" s="26" t="str">
        <x:v>Historical path preserved verbatim; hash calculated from supplied pre-regeneration project.</x:v>
      </x:c>
    </x:row>
    <x:row r="453" ht="30" customHeight="1">
      <x:c r="A453" s="26" t="str">
        <x:v>H-0449</x:v>
      </x:c>
      <x:c r="B453" s="26" t="str">
        <x:v>Development Records</x:v>
      </x:c>
      <x:c r="C453" s="26"/>
      <x:c r="D453" s="26" t="str">
        <x:v>Sprint_02</x:v>
      </x:c>
      <x:c r="E453" s="26" t="str">
        <x:v>QA</x:v>
      </x:c>
      <x:c r="F453" s="26" t="str">
        <x:v>Sprint 02</x:v>
      </x:c>
      <x:c r="G453" s="26" t="str">
        <x:v>S2_Test_Plan.md</x:v>
      </x:c>
      <x:c r="H453" s="26" t="str">
        <x:v>Markdown</x:v>
      </x:c>
      <x:c r="I453" s="26" t="str">
        <x:v>Historical document / record</x:v>
      </x:c>
      <x:c r="J453" s="26" t="n">
        <x:v>602</x:v>
      </x:c>
      <x:c r="K453" s="26" t="str">
        <x:v>3f95a04a925fcad042d844730b40372f0f5704adb450918cbcf555f874f0c332</x:v>
      </x:c>
      <x:c r="L453" s="26"/>
      <x:c r="M453" s="26" t="n">
        <x:v>1</x:v>
      </x:c>
      <x:c r="N453" s="26" t="str">
        <x:v>UNIQUE</x:v>
      </x:c>
      <x:c r="O453" s="26"/>
      <x:c r="P453" s="26"/>
      <x:c r="Q453" s="26" t="str">
        <x:v>Development evidence</x:v>
      </x:c>
      <x:c r="R453" s="26" t="str">
        <x:v>RETAIN AS EVIDENCE — NOT REPLACED BY SUMMARY</x:v>
      </x:c>
      <x:c r="S453" s="26" t="str">
        <x:v>10_Development_Records/Sprint_02/QA/S2_Test_Plan.md</x:v>
      </x:c>
      <x:c r="T453" s="26" t="str">
        <x:v>Historical path preserved verbatim; hash calculated from supplied pre-regeneration project.</x:v>
      </x:c>
    </x:row>
    <x:row r="454" ht="30" customHeight="1">
      <x:c r="A454" s="26" t="str">
        <x:v>H-0450</x:v>
      </x:c>
      <x:c r="B454" s="26" t="str">
        <x:v>Development Records</x:v>
      </x:c>
      <x:c r="C454" s="26"/>
      <x:c r="D454" s="26" t="str">
        <x:v>Sprint_02</x:v>
      </x:c>
      <x:c r="E454" s="26" t="str">
        <x:v>QA</x:v>
      </x:c>
      <x:c r="F454" s="26" t="str">
        <x:v>Sprint 02</x:v>
      </x:c>
      <x:c r="G454" s="26" t="str">
        <x:v>S2_Validation_Checklist.md</x:v>
      </x:c>
      <x:c r="H454" s="26" t="str">
        <x:v>Markdown</x:v>
      </x:c>
      <x:c r="I454" s="26" t="str">
        <x:v>Validation checklist</x:v>
      </x:c>
      <x:c r="J454" s="26" t="n">
        <x:v>1272</x:v>
      </x:c>
      <x:c r="K454" s="26" t="str">
        <x:v>c0a872b546a633fd2774377e613690ce0b756b0acb22eecc799f2083cb294606</x:v>
      </x:c>
      <x:c r="L454" s="26" t="str">
        <x:v>DG-075</x:v>
      </x:c>
      <x:c r="M454" s="26" t="n">
        <x:v>2</x:v>
      </x:c>
      <x:c r="N454" s="26" t="str">
        <x:v>IDENTICAL COPY</x:v>
      </x:c>
      <x:c r="O454" s="26" t="str">
        <x:v>31</x:v>
      </x:c>
      <x:c r="P454" s="26" t="str">
        <x:v>02, 07, 08, 11, 13, 16, 31</x:v>
      </x:c>
      <x:c r="Q454" s="26" t="str">
        <x:v>Development evidence</x:v>
      </x:c>
      <x:c r="R454" s="26" t="str">
        <x:v>RETAIN AS EVIDENCE — NOT REPLACED BY SUMMARY</x:v>
      </x:c>
      <x:c r="S454" s="26" t="str">
        <x:v>10_Development_Records/Sprint_02/QA/S2_Validation_Checklist.md</x:v>
      </x:c>
      <x:c r="T454" s="26" t="str">
        <x:v>Historical path preserved verbatim; hash calculated from supplied pre-regeneration project.</x:v>
      </x:c>
    </x:row>
    <x:row r="455" ht="30" customHeight="1">
      <x:c r="A455" s="26" t="str">
        <x:v>H-0451</x:v>
      </x:c>
      <x:c r="B455" s="26" t="str">
        <x:v>Development Records</x:v>
      </x:c>
      <x:c r="C455" s="26"/>
      <x:c r="D455" s="26" t="str">
        <x:v>Sprint_02</x:v>
      </x:c>
      <x:c r="E455" s="26" t="str">
        <x:v>S2_Applied_Changes_Report.md</x:v>
      </x:c>
      <x:c r="F455" s="26" t="str">
        <x:v>Sprint 02</x:v>
      </x:c>
      <x:c r="G455" s="26" t="str">
        <x:v>S2_Applied_Changes_Report.md</x:v>
      </x:c>
      <x:c r="H455" s="26" t="str">
        <x:v>Markdown</x:v>
      </x:c>
      <x:c r="I455" s="26" t="str">
        <x:v>Applied change report</x:v>
      </x:c>
      <x:c r="J455" s="26" t="n">
        <x:v>1915</x:v>
      </x:c>
      <x:c r="K455" s="26" t="str">
        <x:v>0798b0b347296ca20893768eb0865f0e4b6eeb18d6f99df19cf436122da8285f</x:v>
      </x:c>
      <x:c r="L455" s="26" t="str">
        <x:v>DG-002</x:v>
      </x:c>
      <x:c r="M455" s="26" t="n">
        <x:v>2</x:v>
      </x:c>
      <x:c r="N455" s="26" t="str">
        <x:v>IDENTICAL COPY</x:v>
      </x:c>
      <x:c r="O455" s="26"/>
      <x:c r="P455" s="26"/>
      <x:c r="Q455" s="26" t="str">
        <x:v>Development evidence</x:v>
      </x:c>
      <x:c r="R455" s="26" t="str">
        <x:v>RETAIN AS EVIDENCE — NOT REPLACED BY SUMMARY</x:v>
      </x:c>
      <x:c r="S455" s="26" t="str">
        <x:v>10_Development_Records/Sprint_02/S2_Applied_Changes_Report.md</x:v>
      </x:c>
      <x:c r="T455" s="26" t="str">
        <x:v>Historical path preserved verbatim; hash calculated from supplied pre-regeneration project.</x:v>
      </x:c>
    </x:row>
    <x:row r="456" ht="30" customHeight="1">
      <x:c r="A456" s="26" t="str">
        <x:v>H-0452</x:v>
      </x:c>
      <x:c r="B456" s="26" t="str">
        <x:v>Development Records</x:v>
      </x:c>
      <x:c r="C456" s="26"/>
      <x:c r="D456" s="26" t="str">
        <x:v>Sprint_02</x:v>
      </x:c>
      <x:c r="E456" s="26" t="str">
        <x:v>Sprint_02_Closure_Record.md</x:v>
      </x:c>
      <x:c r="F456" s="26" t="str">
        <x:v>Sprint 02</x:v>
      </x:c>
      <x:c r="G456" s="26" t="str">
        <x:v>Sprint_02_Closure_Record.md</x:v>
      </x:c>
      <x:c r="H456" s="26" t="str">
        <x:v>Markdown</x:v>
      </x:c>
      <x:c r="I456" s="26" t="str">
        <x:v>Sprint closure</x:v>
      </x:c>
      <x:c r="J456" s="26" t="n">
        <x:v>1900</x:v>
      </x:c>
      <x:c r="K456" s="26" t="str">
        <x:v>5be13768cf7133b2e1ccaf90c13f0fbac1186bb46125b2512559a0943d2d3bf9</x:v>
      </x:c>
      <x:c r="L456" s="26" t="str">
        <x:v>DG-038</x:v>
      </x:c>
      <x:c r="M456" s="26" t="n">
        <x:v>2</x:v>
      </x:c>
      <x:c r="N456" s="26" t="str">
        <x:v>IDENTICAL COPY</x:v>
      </x:c>
      <x:c r="O456" s="26"/>
      <x:c r="P456" s="26"/>
      <x:c r="Q456" s="26" t="str">
        <x:v>Development evidence</x:v>
      </x:c>
      <x:c r="R456" s="26" t="str">
        <x:v>RETAIN AS EVIDENCE — NOT REPLACED BY SUMMARY</x:v>
      </x:c>
      <x:c r="S456" s="26" t="str">
        <x:v>10_Development_Records/Sprint_02/Sprint_02_Closure_Record.md</x:v>
      </x:c>
      <x:c r="T456" s="26" t="str">
        <x:v>Historical path preserved verbatim; hash calculated from supplied pre-regeneration project.</x:v>
      </x:c>
    </x:row>
    <x:row r="457" ht="30" customHeight="1">
      <x:c r="A457" s="26" t="str">
        <x:v>H-0453</x:v>
      </x:c>
      <x:c r="B457" s="26" t="str">
        <x:v>Development Records</x:v>
      </x:c>
      <x:c r="C457" s="26"/>
      <x:c r="D457" s="26" t="str">
        <x:v>Sprint_02</x:v>
      </x:c>
      <x:c r="E457" s="26" t="str">
        <x:v>Traceability</x:v>
      </x:c>
      <x:c r="F457" s="26" t="str">
        <x:v>Sprint 02</x:v>
      </x:c>
      <x:c r="G457" s="26" t="str">
        <x:v>S2_Document_Impact_Working_Matrix.md</x:v>
      </x:c>
      <x:c r="H457" s="26" t="str">
        <x:v>Markdown</x:v>
      </x:c>
      <x:c r="I457" s="26" t="str">
        <x:v>Traceability entry</x:v>
      </x:c>
      <x:c r="J457" s="26" t="n">
        <x:v>1594</x:v>
      </x:c>
      <x:c r="K457" s="26" t="str">
        <x:v>b43e047a96a94ab7edc30626030648f1c5c159e8d7522afc10f107f2b0e38852</x:v>
      </x:c>
      <x:c r="L457" s="26" t="str">
        <x:v>DG-070</x:v>
      </x:c>
      <x:c r="M457" s="26" t="n">
        <x:v>2</x:v>
      </x:c>
      <x:c r="N457" s="26" t="str">
        <x:v>IDENTICAL COPY</x:v>
      </x:c>
      <x:c r="O457" s="26"/>
      <x:c r="P457" s="26"/>
      <x:c r="Q457" s="26" t="str">
        <x:v>Development evidence</x:v>
      </x:c>
      <x:c r="R457" s="26" t="str">
        <x:v>RETAIN AS EVIDENCE — NOT REPLACED BY SUMMARY</x:v>
      </x:c>
      <x:c r="S457" s="26" t="str">
        <x:v>10_Development_Records/Sprint_02/Traceability/S2_Document_Impact_Working_Matrix.md</x:v>
      </x:c>
      <x:c r="T457" s="26" t="str">
        <x:v>Historical path preserved verbatim; hash calculated from supplied pre-regeneration project.</x:v>
      </x:c>
    </x:row>
    <x:row r="458" ht="30" customHeight="1">
      <x:c r="A458" s="26" t="str">
        <x:v>H-0454</x:v>
      </x:c>
      <x:c r="B458" s="26" t="str">
        <x:v>Development Records</x:v>
      </x:c>
      <x:c r="C458" s="26"/>
      <x:c r="D458" s="26" t="str">
        <x:v>Sprint_02</x:v>
      </x:c>
      <x:c r="E458" s="26" t="str">
        <x:v>Traceability</x:v>
      </x:c>
      <x:c r="F458" s="26" t="str">
        <x:v>Sprint 02</x:v>
      </x:c>
      <x:c r="G458" s="26" t="str">
        <x:v>S2_Traceability_Entries.csv</x:v>
      </x:c>
      <x:c r="H458" s="26" t="str">
        <x:v>CSV</x:v>
      </x:c>
      <x:c r="I458" s="26" t="str">
        <x:v>Traceability entry</x:v>
      </x:c>
      <x:c r="J458" s="26" t="n">
        <x:v>1154</x:v>
      </x:c>
      <x:c r="K458" s="26" t="str">
        <x:v>f1d0d1ccab1084dd3975ab05236e9d7d9768595ebd5570f3fdd2e2075e0f9c50</x:v>
      </x:c>
      <x:c r="L458" s="26" t="str">
        <x:v>DG-095</x:v>
      </x:c>
      <x:c r="M458" s="26" t="n">
        <x:v>2</x:v>
      </x:c>
      <x:c r="N458" s="26" t="str">
        <x:v>IDENTICAL COPY</x:v>
      </x:c>
      <x:c r="O458" s="26"/>
      <x:c r="P458" s="26"/>
      <x:c r="Q458" s="26" t="str">
        <x:v>Development evidence</x:v>
      </x:c>
      <x:c r="R458" s="26" t="str">
        <x:v>RETAIN AS EVIDENCE — NOT REPLACED BY SUMMARY</x:v>
      </x:c>
      <x:c r="S458" s="26" t="str">
        <x:v>10_Development_Records/Sprint_02/Traceability/S2_Traceability_Entries.csv</x:v>
      </x:c>
      <x:c r="T458" s="26" t="str">
        <x:v>Historical path preserved verbatim; hash calculated from supplied pre-regeneration project.</x:v>
      </x:c>
    </x:row>
    <x:row r="459" ht="30" customHeight="1">
      <x:c r="A459" s="26" t="str">
        <x:v>H-0455</x:v>
      </x:c>
      <x:c r="B459" s="26" t="str">
        <x:v>Development Records</x:v>
      </x:c>
      <x:c r="C459" s="26"/>
      <x:c r="D459" s="26" t="str">
        <x:v>Sprint_03</x:v>
      </x:c>
      <x:c r="E459" s="26" t="str">
        <x:v>Documentation</x:v>
      </x:c>
      <x:c r="F459" s="26" t="str">
        <x:v>Sprint 03</x:v>
      </x:c>
      <x:c r="G459" s="26" t="str">
        <x:v>S3_3.4_PostImplementation_Record.md</x:v>
      </x:c>
      <x:c r="H459" s="26" t="str">
        <x:v>Markdown</x:v>
      </x:c>
      <x:c r="I459" s="26" t="str">
        <x:v>Historical document / record</x:v>
      </x:c>
      <x:c r="J459" s="26" t="n">
        <x:v>1620</x:v>
      </x:c>
      <x:c r="K459" s="26" t="str">
        <x:v>cf1d302783bfb7156655cc269fad60d1457fbac83048709a2d2e5b3591111969</x:v>
      </x:c>
      <x:c r="L459" s="26" t="str">
        <x:v>DG-084</x:v>
      </x:c>
      <x:c r="M459" s="26" t="n">
        <x:v>2</x:v>
      </x:c>
      <x:c r="N459" s="26" t="str">
        <x:v>IDENTICAL COPY</x:v>
      </x:c>
      <x:c r="O459" s="26"/>
      <x:c r="P459" s="26"/>
      <x:c r="Q459" s="26" t="str">
        <x:v>Development evidence</x:v>
      </x:c>
      <x:c r="R459" s="26" t="str">
        <x:v>RETAIN AS EVIDENCE — NOT REPLACED BY SUMMARY</x:v>
      </x:c>
      <x:c r="S459" s="26" t="str">
        <x:v>10_Development_Records/Sprint_03/Documentation/S3_3.4_PostImplementation_Record.md</x:v>
      </x:c>
      <x:c r="T459" s="26" t="str">
        <x:v>Historical path preserved verbatim; hash calculated from supplied pre-regeneration project.</x:v>
      </x:c>
    </x:row>
    <x:row r="460" ht="30" customHeight="1">
      <x:c r="A460" s="26" t="str">
        <x:v>H-0456</x:v>
      </x:c>
      <x:c r="B460" s="26" t="str">
        <x:v>Development Records</x:v>
      </x:c>
      <x:c r="C460" s="26"/>
      <x:c r="D460" s="26" t="str">
        <x:v>Sprint_03</x:v>
      </x:c>
      <x:c r="E460" s="26" t="str">
        <x:v>Documentation</x:v>
      </x:c>
      <x:c r="F460" s="26" t="str">
        <x:v>Sprint 03</x:v>
      </x:c>
      <x:c r="G460" s="26" t="str">
        <x:v>S3_Living_Documentation_Update.md</x:v>
      </x:c>
      <x:c r="H460" s="26" t="str">
        <x:v>Markdown</x:v>
      </x:c>
      <x:c r="I460" s="26" t="str">
        <x:v>Living documentation update</x:v>
      </x:c>
      <x:c r="J460" s="26" t="n">
        <x:v>1924</x:v>
      </x:c>
      <x:c r="K460" s="26" t="str">
        <x:v>06304b6d9cb64a6550920e046f4b0a04edf2e210e85ab19afb2631bd07f12138</x:v>
      </x:c>
      <x:c r="L460" s="26" t="str">
        <x:v>DG-001</x:v>
      </x:c>
      <x:c r="M460" s="26" t="n">
        <x:v>2</x:v>
      </x:c>
      <x:c r="N460" s="26" t="str">
        <x:v>IDENTICAL COPY</x:v>
      </x:c>
      <x:c r="O460" s="26"/>
      <x:c r="P460" s="26"/>
      <x:c r="Q460" s="26" t="str">
        <x:v>Development evidence</x:v>
      </x:c>
      <x:c r="R460" s="26" t="str">
        <x:v>RETAIN AS EVIDENCE — NOT REPLACED BY SUMMARY</x:v>
      </x:c>
      <x:c r="S460" s="26" t="str">
        <x:v>10_Development_Records/Sprint_03/Documentation/S3_Living_Documentation_Update.md</x:v>
      </x:c>
      <x:c r="T460" s="26" t="str">
        <x:v>Historical path preserved verbatim; hash calculated from supplied pre-regeneration project.</x:v>
      </x:c>
    </x:row>
    <x:row r="461" ht="30" customHeight="1">
      <x:c r="A461" s="26" t="str">
        <x:v>H-0457</x:v>
      </x:c>
      <x:c r="B461" s="26" t="str">
        <x:v>Development Records</x:v>
      </x:c>
      <x:c r="C461" s="26"/>
      <x:c r="D461" s="26" t="str">
        <x:v>Sprint_03</x:v>
      </x:c>
      <x:c r="E461" s="26" t="str">
        <x:v>Governance</x:v>
      </x:c>
      <x:c r="F461" s="26" t="str">
        <x:v>Sprint 03</x:v>
      </x:c>
      <x:c r="G461" s="26" t="str">
        <x:v>ADR-0012_Scene_Driven_Input_Contexts.md</x:v>
      </x:c>
      <x:c r="H461" s="26" t="str">
        <x:v>Markdown</x:v>
      </x:c>
      <x:c r="I461" s="26" t="str">
        <x:v>ADR</x:v>
      </x:c>
      <x:c r="J461" s="26" t="n">
        <x:v>1159</x:v>
      </x:c>
      <x:c r="K461" s="26" t="str">
        <x:v>13c16537cc90fb0cdf3e74d588a585635c8b7b998433a1ed52501aad1d89af0f</x:v>
      </x:c>
      <x:c r="L461" s="26" t="str">
        <x:v>DG-009</x:v>
      </x:c>
      <x:c r="M461" s="26" t="n">
        <x:v>2</x:v>
      </x:c>
      <x:c r="N461" s="26" t="str">
        <x:v>IDENTICAL COPY</x:v>
      </x:c>
      <x:c r="O461" s="26"/>
      <x:c r="P461" s="26"/>
      <x:c r="Q461" s="26" t="str">
        <x:v>Development evidence</x:v>
      </x:c>
      <x:c r="R461" s="26" t="str">
        <x:v>RETAIN AS EVIDENCE — NOT REPLACED BY SUMMARY</x:v>
      </x:c>
      <x:c r="S461" s="26" t="str">
        <x:v>10_Development_Records/Sprint_03/Governance/ADR-0012_Scene_Driven_Input_Contexts.md</x:v>
      </x:c>
      <x:c r="T461" s="26" t="str">
        <x:v>Historical path preserved verbatim; hash calculated from supplied pre-regeneration project.</x:v>
      </x:c>
    </x:row>
    <x:row r="462" ht="30" customHeight="1">
      <x:c r="A462" s="26" t="str">
        <x:v>H-0458</x:v>
      </x:c>
      <x:c r="B462" s="26" t="str">
        <x:v>Development Records</x:v>
      </x:c>
      <x:c r="C462" s="26"/>
      <x:c r="D462" s="26" t="str">
        <x:v>Sprint_03</x:v>
      </x:c>
      <x:c r="E462" s="26" t="str">
        <x:v>Governance</x:v>
      </x:c>
      <x:c r="F462" s="26" t="str">
        <x:v>Sprint 03</x:v>
      </x:c>
      <x:c r="G462" s="26" t="str">
        <x:v>ADR-0013_Direct_Planar_Click_To_Move_Foundation.md</x:v>
      </x:c>
      <x:c r="H462" s="26" t="str">
        <x:v>Markdown</x:v>
      </x:c>
      <x:c r="I462" s="26" t="str">
        <x:v>ADR</x:v>
      </x:c>
      <x:c r="J462" s="26" t="n">
        <x:v>1449</x:v>
      </x:c>
      <x:c r="K462" s="26" t="str">
        <x:v>24601e21279c905274e2c7092c1504eae9f72be23477d15741fab33d79971059</x:v>
      </x:c>
      <x:c r="L462" s="26" t="str">
        <x:v>DG-011</x:v>
      </x:c>
      <x:c r="M462" s="26" t="n">
        <x:v>2</x:v>
      </x:c>
      <x:c r="N462" s="26" t="str">
        <x:v>IDENTICAL COPY</x:v>
      </x:c>
      <x:c r="O462" s="26"/>
      <x:c r="P462" s="26"/>
      <x:c r="Q462" s="26" t="str">
        <x:v>Development evidence</x:v>
      </x:c>
      <x:c r="R462" s="26" t="str">
        <x:v>RETAIN AS EVIDENCE — NOT REPLACED BY SUMMARY</x:v>
      </x:c>
      <x:c r="S462" s="26" t="str">
        <x:v>10_Development_Records/Sprint_03/Governance/ADR-0013_Direct_Planar_Click_To_Move_Foundation.md</x:v>
      </x:c>
      <x:c r="T462" s="26" t="str">
        <x:v>Historical path preserved verbatim; hash calculated from supplied pre-regeneration project.</x:v>
      </x:c>
    </x:row>
    <x:row r="463" ht="30" customHeight="1">
      <x:c r="A463" s="26" t="str">
        <x:v>H-0459</x:v>
      </x:c>
      <x:c r="B463" s="26" t="str">
        <x:v>Development Records</x:v>
      </x:c>
      <x:c r="C463" s="26"/>
      <x:c r="D463" s="26" t="str">
        <x:v>Sprint_03</x:v>
      </x:c>
      <x:c r="E463" s="26" t="str">
        <x:v>Governance</x:v>
      </x:c>
      <x:c r="F463" s="26" t="str">
        <x:v>Sprint 03</x:v>
      </x:c>
      <x:c r="G463" s="26" t="str">
        <x:v>ADR-0014_Orbit_Zoom_Follow_Camera.md</x:v>
      </x:c>
      <x:c r="H463" s="26" t="str">
        <x:v>Markdown</x:v>
      </x:c>
      <x:c r="I463" s="26" t="str">
        <x:v>ADR</x:v>
      </x:c>
      <x:c r="J463" s="26" t="n">
        <x:v>1331</x:v>
      </x:c>
      <x:c r="K463" s="26" t="str">
        <x:v>c7bcb3d83c5544605bac741e625f1a441f5ba10047e204e4ce6dbd9eb7468a77</x:v>
      </x:c>
      <x:c r="L463" s="26" t="str">
        <x:v>DG-079</x:v>
      </x:c>
      <x:c r="M463" s="26" t="n">
        <x:v>2</x:v>
      </x:c>
      <x:c r="N463" s="26" t="str">
        <x:v>IDENTICAL COPY</x:v>
      </x:c>
      <x:c r="O463" s="26"/>
      <x:c r="P463" s="26"/>
      <x:c r="Q463" s="26" t="str">
        <x:v>Development evidence</x:v>
      </x:c>
      <x:c r="R463" s="26" t="str">
        <x:v>RETAIN AS EVIDENCE — NOT REPLACED BY SUMMARY</x:v>
      </x:c>
      <x:c r="S463" s="26" t="str">
        <x:v>10_Development_Records/Sprint_03/Governance/ADR-0014_Orbit_Zoom_Follow_Camera.md</x:v>
      </x:c>
      <x:c r="T463" s="26" t="str">
        <x:v>Historical path preserved verbatim; hash calculated from supplied pre-regeneration project.</x:v>
      </x:c>
    </x:row>
    <x:row r="464" ht="30" customHeight="1">
      <x:c r="A464" s="26" t="str">
        <x:v>H-0460</x:v>
      </x:c>
      <x:c r="B464" s="26" t="str">
        <x:v>Development Records</x:v>
      </x:c>
      <x:c r="C464" s="26"/>
      <x:c r="D464" s="26" t="str">
        <x:v>Sprint_03</x:v>
      </x:c>
      <x:c r="E464" s="26" t="str">
        <x:v>Governance</x:v>
      </x:c>
      <x:c r="F464" s="26" t="str">
        <x:v>Sprint 03</x:v>
      </x:c>
      <x:c r="G464" s="26" t="str">
        <x:v>ADR-0015_Project_Input_Actions_And_Context_Routing.md</x:v>
      </x:c>
      <x:c r="H464" s="26" t="str">
        <x:v>Markdown</x:v>
      </x:c>
      <x:c r="I464" s="26" t="str">
        <x:v>ADR</x:v>
      </x:c>
      <x:c r="J464" s="26" t="n">
        <x:v>1653</x:v>
      </x:c>
      <x:c r="K464" s="26" t="str">
        <x:v>b665c0f33852bfb4ae7d0de42fac1636487181e19c28593c1d728d412e21954e</x:v>
      </x:c>
      <x:c r="L464" s="26" t="str">
        <x:v>DG-072</x:v>
      </x:c>
      <x:c r="M464" s="26" t="n">
        <x:v>2</x:v>
      </x:c>
      <x:c r="N464" s="26" t="str">
        <x:v>IDENTICAL COPY</x:v>
      </x:c>
      <x:c r="O464" s="26"/>
      <x:c r="P464" s="26"/>
      <x:c r="Q464" s="26" t="str">
        <x:v>Development evidence</x:v>
      </x:c>
      <x:c r="R464" s="26" t="str">
        <x:v>RETAIN AS EVIDENCE — NOT REPLACED BY SUMMARY</x:v>
      </x:c>
      <x:c r="S464" s="26" t="str">
        <x:v>10_Development_Records/Sprint_03/Governance/ADR-0015_Project_Input_Actions_And_Context_Routing.md</x:v>
      </x:c>
      <x:c r="T464" s="26" t="str">
        <x:v>Historical path preserved verbatim; hash calculated from supplied pre-regeneration project.</x:v>
      </x:c>
    </x:row>
    <x:row r="465" ht="30" customHeight="1">
      <x:c r="A465" s="26" t="str">
        <x:v>H-0461</x:v>
      </x:c>
      <x:c r="B465" s="26" t="str">
        <x:v>Development Records</x:v>
      </x:c>
      <x:c r="C465" s="26"/>
      <x:c r="D465" s="26" t="str">
        <x:v>Sprint_03</x:v>
      </x:c>
      <x:c r="E465" s="26" t="str">
        <x:v>Governance</x:v>
      </x:c>
      <x:c r="F465" s="26" t="str">
        <x:v>Sprint 03</x:v>
      </x:c>
      <x:c r="G465" s="26" t="str">
        <x:v>Sprint_03_Charter.md</x:v>
      </x:c>
      <x:c r="H465" s="26" t="str">
        <x:v>Markdown</x:v>
      </x:c>
      <x:c r="I465" s="26" t="str">
        <x:v>Sprint charter</x:v>
      </x:c>
      <x:c r="J465" s="26" t="n">
        <x:v>1705</x:v>
      </x:c>
      <x:c r="K465" s="26" t="str">
        <x:v>126a9ef68bf789045c3ec9d23b5e8a1643ebe6023784c6d9b43df1e9aa8fd15c</x:v>
      </x:c>
      <x:c r="L465" s="26" t="str">
        <x:v>DG-007</x:v>
      </x:c>
      <x:c r="M465" s="26" t="n">
        <x:v>2</x:v>
      </x:c>
      <x:c r="N465" s="26" t="str">
        <x:v>IDENTICAL COPY</x:v>
      </x:c>
      <x:c r="O465" s="26"/>
      <x:c r="P465" s="26"/>
      <x:c r="Q465" s="26" t="str">
        <x:v>Development evidence</x:v>
      </x:c>
      <x:c r="R465" s="26" t="str">
        <x:v>RETAIN AS EVIDENCE — NOT REPLACED BY SUMMARY</x:v>
      </x:c>
      <x:c r="S465" s="26" t="str">
        <x:v>10_Development_Records/Sprint_03/Governance/Sprint_03_Charter.md</x:v>
      </x:c>
      <x:c r="T465" s="26" t="str">
        <x:v>Historical path preserved verbatim; hash calculated from supplied pre-regeneration project.</x:v>
      </x:c>
    </x:row>
    <x:row r="466" ht="30" customHeight="1">
      <x:c r="A466" s="26" t="str">
        <x:v>H-0462</x:v>
      </x:c>
      <x:c r="B466" s="26" t="str">
        <x:v>Development Records</x:v>
      </x:c>
      <x:c r="C466" s="26"/>
      <x:c r="D466" s="26" t="str">
        <x:v>Sprint_03</x:v>
      </x:c>
      <x:c r="E466" s="26" t="str">
        <x:v>Governance</x:v>
      </x:c>
      <x:c r="F466" s="26" t="str">
        <x:v>Sprint 03</x:v>
      </x:c>
      <x:c r="G466" s="26" t="str">
        <x:v>Sprint_03_Current_Status.md</x:v>
      </x:c>
      <x:c r="H466" s="26" t="str">
        <x:v>Markdown</x:v>
      </x:c>
      <x:c r="I466" s="26" t="str">
        <x:v>Current status</x:v>
      </x:c>
      <x:c r="J466" s="26" t="n">
        <x:v>1914</x:v>
      </x:c>
      <x:c r="K466" s="26" t="str">
        <x:v>45e1fcd518bdb144ab357425bf1e3e37b14f33f61900b34942835d4f3a568235</x:v>
      </x:c>
      <x:c r="L466" s="26" t="str">
        <x:v>DG-030</x:v>
      </x:c>
      <x:c r="M466" s="26" t="n">
        <x:v>2</x:v>
      </x:c>
      <x:c r="N466" s="26" t="str">
        <x:v>IDENTICAL COPY</x:v>
      </x:c>
      <x:c r="O466" s="26"/>
      <x:c r="P466" s="26"/>
      <x:c r="Q466" s="26" t="str">
        <x:v>Development evidence</x:v>
      </x:c>
      <x:c r="R466" s="26" t="str">
        <x:v>RETAIN AS EVIDENCE — NOT REPLACED BY SUMMARY</x:v>
      </x:c>
      <x:c r="S466" s="26" t="str">
        <x:v>10_Development_Records/Sprint_03/Governance/Sprint_03_Current_Status.md</x:v>
      </x:c>
      <x:c r="T466" s="26" t="str">
        <x:v>Historical path preserved verbatim; hash calculated from supplied pre-regeneration project.</x:v>
      </x:c>
    </x:row>
    <x:row r="467" ht="30" customHeight="1">
      <x:c r="A467" s="26" t="str">
        <x:v>H-0463</x:v>
      </x:c>
      <x:c r="B467" s="26" t="str">
        <x:v>Development Records</x:v>
      </x:c>
      <x:c r="C467" s="26"/>
      <x:c r="D467" s="26" t="str">
        <x:v>Sprint_03</x:v>
      </x:c>
      <x:c r="E467" s="26" t="str">
        <x:v>QA</x:v>
      </x:c>
      <x:c r="F467" s="26" t="str">
        <x:v>Sprint 03</x:v>
      </x:c>
      <x:c r="G467" s="26" t="str">
        <x:v>S3.1_Validation_Checklist.md</x:v>
      </x:c>
      <x:c r="H467" s="26" t="str">
        <x:v>Markdown</x:v>
      </x:c>
      <x:c r="I467" s="26" t="str">
        <x:v>Validation checklist</x:v>
      </x:c>
      <x:c r="J467" s="26" t="n">
        <x:v>572</x:v>
      </x:c>
      <x:c r="K467" s="26" t="str">
        <x:v>504a5c5285be528dd826475d48095d89f3e9ef702c59ebab2408debe90246aa7</x:v>
      </x:c>
      <x:c r="L467" s="26" t="str">
        <x:v>DG-034</x:v>
      </x:c>
      <x:c r="M467" s="26" t="n">
        <x:v>2</x:v>
      </x:c>
      <x:c r="N467" s="26" t="str">
        <x:v>IDENTICAL COPY</x:v>
      </x:c>
      <x:c r="O467" s="26" t="str">
        <x:v>31</x:v>
      </x:c>
      <x:c r="P467" s="26" t="str">
        <x:v>02, 07, 08, 11, 13, 16, 31</x:v>
      </x:c>
      <x:c r="Q467" s="26" t="str">
        <x:v>Development evidence</x:v>
      </x:c>
      <x:c r="R467" s="26" t="str">
        <x:v>RETAIN AS EVIDENCE — NOT REPLACED BY SUMMARY</x:v>
      </x:c>
      <x:c r="S467" s="26" t="str">
        <x:v>10_Development_Records/Sprint_03/QA/S3.1_Validation_Checklist.md</x:v>
      </x:c>
      <x:c r="T467" s="26" t="str">
        <x:v>Historical path preserved verbatim; hash calculated from supplied pre-regeneration project.</x:v>
      </x:c>
    </x:row>
    <x:row r="468" ht="30" customHeight="1">
      <x:c r="A468" s="26" t="str">
        <x:v>H-0464</x:v>
      </x:c>
      <x:c r="B468" s="26" t="str">
        <x:v>Development Records</x:v>
      </x:c>
      <x:c r="C468" s="26"/>
      <x:c r="D468" s="26" t="str">
        <x:v>Sprint_03</x:v>
      </x:c>
      <x:c r="E468" s="26" t="str">
        <x:v>QA</x:v>
      </x:c>
      <x:c r="F468" s="26" t="str">
        <x:v>Sprint 03</x:v>
      </x:c>
      <x:c r="G468" s="26" t="str">
        <x:v>S3.2_Validation_Checklist.md</x:v>
      </x:c>
      <x:c r="H468" s="26" t="str">
        <x:v>Markdown</x:v>
      </x:c>
      <x:c r="I468" s="26" t="str">
        <x:v>Validation checklist</x:v>
      </x:c>
      <x:c r="J468" s="26" t="n">
        <x:v>869</x:v>
      </x:c>
      <x:c r="K468" s="26" t="str">
        <x:v>40c1fcb0f866cbe4f549fdd6fb510200c537a172b368c89cb851be0e75d7d6ba</x:v>
      </x:c>
      <x:c r="L468" s="26" t="str">
        <x:v>DG-028</x:v>
      </x:c>
      <x:c r="M468" s="26" t="n">
        <x:v>2</x:v>
      </x:c>
      <x:c r="N468" s="26" t="str">
        <x:v>IDENTICAL COPY</x:v>
      </x:c>
      <x:c r="O468" s="26" t="str">
        <x:v>31</x:v>
      </x:c>
      <x:c r="P468" s="26" t="str">
        <x:v>02, 07, 08, 11, 13, 16, 31</x:v>
      </x:c>
      <x:c r="Q468" s="26" t="str">
        <x:v>Development evidence</x:v>
      </x:c>
      <x:c r="R468" s="26" t="str">
        <x:v>RETAIN AS EVIDENCE — NOT REPLACED BY SUMMARY</x:v>
      </x:c>
      <x:c r="S468" s="26" t="str">
        <x:v>10_Development_Records/Sprint_03/QA/S3.2_Validation_Checklist.md</x:v>
      </x:c>
      <x:c r="T468" s="26" t="str">
        <x:v>Historical path preserved verbatim; hash calculated from supplied pre-regeneration project.</x:v>
      </x:c>
    </x:row>
    <x:row r="469" ht="30" customHeight="1">
      <x:c r="A469" s="26" t="str">
        <x:v>H-0465</x:v>
      </x:c>
      <x:c r="B469" s="26" t="str">
        <x:v>Development Records</x:v>
      </x:c>
      <x:c r="C469" s="26"/>
      <x:c r="D469" s="26" t="str">
        <x:v>Sprint_03</x:v>
      </x:c>
      <x:c r="E469" s="26" t="str">
        <x:v>QA</x:v>
      </x:c>
      <x:c r="F469" s="26" t="str">
        <x:v>Sprint 03</x:v>
      </x:c>
      <x:c r="G469" s="26" t="str">
        <x:v>S3.3_Validation_Checklist.md</x:v>
      </x:c>
      <x:c r="H469" s="26" t="str">
        <x:v>Markdown</x:v>
      </x:c>
      <x:c r="I469" s="26" t="str">
        <x:v>Validation checklist</x:v>
      </x:c>
      <x:c r="J469" s="26" t="n">
        <x:v>848</x:v>
      </x:c>
      <x:c r="K469" s="26" t="str">
        <x:v>9ba60442d1b478ccf14f8185361528a5bedb267e7102ea8a963696dc6eee0123</x:v>
      </x:c>
      <x:c r="L469" s="26" t="str">
        <x:v>DG-059</x:v>
      </x:c>
      <x:c r="M469" s="26" t="n">
        <x:v>2</x:v>
      </x:c>
      <x:c r="N469" s="26" t="str">
        <x:v>IDENTICAL COPY</x:v>
      </x:c>
      <x:c r="O469" s="26" t="str">
        <x:v>31</x:v>
      </x:c>
      <x:c r="P469" s="26" t="str">
        <x:v>02, 07, 08, 11, 13, 16, 31</x:v>
      </x:c>
      <x:c r="Q469" s="26" t="str">
        <x:v>Development evidence</x:v>
      </x:c>
      <x:c r="R469" s="26" t="str">
        <x:v>RETAIN AS EVIDENCE — NOT REPLACED BY SUMMARY</x:v>
      </x:c>
      <x:c r="S469" s="26" t="str">
        <x:v>10_Development_Records/Sprint_03/QA/S3.3_Validation_Checklist.md</x:v>
      </x:c>
      <x:c r="T469" s="26" t="str">
        <x:v>Historical path preserved verbatim; hash calculated from supplied pre-regeneration project.</x:v>
      </x:c>
    </x:row>
    <x:row r="470" ht="30" customHeight="1">
      <x:c r="A470" s="26" t="str">
        <x:v>H-0466</x:v>
      </x:c>
      <x:c r="B470" s="26" t="str">
        <x:v>Development Records</x:v>
      </x:c>
      <x:c r="C470" s="26"/>
      <x:c r="D470" s="26" t="str">
        <x:v>Sprint_03</x:v>
      </x:c>
      <x:c r="E470" s="26" t="str">
        <x:v>QA</x:v>
      </x:c>
      <x:c r="F470" s="26" t="str">
        <x:v>Sprint 03</x:v>
      </x:c>
      <x:c r="G470" s="26" t="str">
        <x:v>S3.4_Build_Execution_Record.md</x:v>
      </x:c>
      <x:c r="H470" s="26" t="str">
        <x:v>Markdown</x:v>
      </x:c>
      <x:c r="I470" s="26" t="str">
        <x:v>Build execution evidence</x:v>
      </x:c>
      <x:c r="J470" s="26" t="n">
        <x:v>1303</x:v>
      </x:c>
      <x:c r="K470" s="26" t="str">
        <x:v>bdbcbe899c627a7abf1f302f7db42ce29de1f0809c8373a454e3bc070984ab7d</x:v>
      </x:c>
      <x:c r="L470" s="26" t="str">
        <x:v>DG-073</x:v>
      </x:c>
      <x:c r="M470" s="26" t="n">
        <x:v>2</x:v>
      </x:c>
      <x:c r="N470" s="26" t="str">
        <x:v>IDENTICAL COPY</x:v>
      </x:c>
      <x:c r="O470" s="26" t="str">
        <x:v>31</x:v>
      </x:c>
      <x:c r="P470" s="26" t="str">
        <x:v>02, 07, 08, 11, 13, 16, 31</x:v>
      </x:c>
      <x:c r="Q470" s="26" t="str">
        <x:v>Development evidence</x:v>
      </x:c>
      <x:c r="R470" s="26" t="str">
        <x:v>RETAIN AS EVIDENCE — NOT REPLACED BY SUMMARY</x:v>
      </x:c>
      <x:c r="S470" s="26" t="str">
        <x:v>10_Development_Records/Sprint_03/QA/S3.4_Build_Execution_Record.md</x:v>
      </x:c>
      <x:c r="T470" s="26" t="str">
        <x:v>Historical path preserved verbatim; hash calculated from supplied pre-regeneration project.</x:v>
      </x:c>
    </x:row>
    <x:row r="471" ht="30" customHeight="1">
      <x:c r="A471" s="26" t="str">
        <x:v>H-0467</x:v>
      </x:c>
      <x:c r="B471" s="26" t="str">
        <x:v>Development Records</x:v>
      </x:c>
      <x:c r="C471" s="26"/>
      <x:c r="D471" s="26" t="str">
        <x:v>Sprint_03</x:v>
      </x:c>
      <x:c r="E471" s="26" t="str">
        <x:v>QA</x:v>
      </x:c>
      <x:c r="F471" s="26" t="str">
        <x:v>Sprint 03</x:v>
      </x:c>
      <x:c r="G471" s="26" t="str">
        <x:v>S3.4_Validation_Checklist.md</x:v>
      </x:c>
      <x:c r="H471" s="26" t="str">
        <x:v>Markdown</x:v>
      </x:c>
      <x:c r="I471" s="26" t="str">
        <x:v>Validation checklist</x:v>
      </x:c>
      <x:c r="J471" s="26" t="n">
        <x:v>1892</x:v>
      </x:c>
      <x:c r="K471" s="26" t="str">
        <x:v>52fce0bcde72678d3b864e12c3ab0a0a39eef2f3d1c321d94d7c55c21ab65027</x:v>
      </x:c>
      <x:c r="L471" s="26" t="str">
        <x:v>DG-035</x:v>
      </x:c>
      <x:c r="M471" s="26" t="n">
        <x:v>2</x:v>
      </x:c>
      <x:c r="N471" s="26" t="str">
        <x:v>IDENTICAL COPY</x:v>
      </x:c>
      <x:c r="O471" s="26" t="str">
        <x:v>31</x:v>
      </x:c>
      <x:c r="P471" s="26" t="str">
        <x:v>02, 07, 08, 11, 13, 16, 31</x:v>
      </x:c>
      <x:c r="Q471" s="26" t="str">
        <x:v>Development evidence</x:v>
      </x:c>
      <x:c r="R471" s="26" t="str">
        <x:v>RETAIN AS EVIDENCE — NOT REPLACED BY SUMMARY</x:v>
      </x:c>
      <x:c r="S471" s="26" t="str">
        <x:v>10_Development_Records/Sprint_03/QA/S3.4_Validation_Checklist.md</x:v>
      </x:c>
      <x:c r="T471" s="26" t="str">
        <x:v>Historical path preserved verbatim; hash calculated from supplied pre-regeneration project.</x:v>
      </x:c>
    </x:row>
    <x:row r="472" ht="30" customHeight="1">
      <x:c r="A472" s="26" t="str">
        <x:v>H-0468</x:v>
      </x:c>
      <x:c r="B472" s="26" t="str">
        <x:v>Development Records</x:v>
      </x:c>
      <x:c r="C472" s="26"/>
      <x:c r="D472" s="26" t="str">
        <x:v>Sprint_03</x:v>
      </x:c>
      <x:c r="E472" s="26" t="str">
        <x:v>QA</x:v>
      </x:c>
      <x:c r="F472" s="26" t="str">
        <x:v>Sprint 03</x:v>
      </x:c>
      <x:c r="G472" s="26" t="str">
        <x:v>S3_Acceptance_Matrix.md</x:v>
      </x:c>
      <x:c r="H472" s="26" t="str">
        <x:v>Markdown</x:v>
      </x:c>
      <x:c r="I472" s="26" t="str">
        <x:v>Acceptance matrix</x:v>
      </x:c>
      <x:c r="J472" s="26" t="n">
        <x:v>1643</x:v>
      </x:c>
      <x:c r="K472" s="26" t="str">
        <x:v>dcd3a753ec03bf462ed61fee96f551716970f05a54702fcec5ebdc271bda15b7</x:v>
      </x:c>
      <x:c r="L472" s="26" t="str">
        <x:v>DG-090</x:v>
      </x:c>
      <x:c r="M472" s="26" t="n">
        <x:v>2</x:v>
      </x:c>
      <x:c r="N472" s="26" t="str">
        <x:v>IDENTICAL COPY</x:v>
      </x:c>
      <x:c r="O472" s="26" t="str">
        <x:v>31</x:v>
      </x:c>
      <x:c r="P472" s="26" t="str">
        <x:v>02, 07, 08, 11, 13, 16, 31</x:v>
      </x:c>
      <x:c r="Q472" s="26" t="str">
        <x:v>Development evidence</x:v>
      </x:c>
      <x:c r="R472" s="26" t="str">
        <x:v>RETAIN AS EVIDENCE — NOT REPLACED BY SUMMARY</x:v>
      </x:c>
      <x:c r="S472" s="26" t="str">
        <x:v>10_Development_Records/Sprint_03/QA/S3_Acceptance_Matrix.md</x:v>
      </x:c>
      <x:c r="T472" s="26" t="str">
        <x:v>Historical path preserved verbatim; hash calculated from supplied pre-regeneration project.</x:v>
      </x:c>
    </x:row>
    <x:row r="473" ht="30" customHeight="1">
      <x:c r="A473" s="26" t="str">
        <x:v>H-0469</x:v>
      </x:c>
      <x:c r="B473" s="26" t="str">
        <x:v>Development Records</x:v>
      </x:c>
      <x:c r="C473" s="26"/>
      <x:c r="D473" s="26" t="str">
        <x:v>Sprint_03</x:v>
      </x:c>
      <x:c r="E473" s="26" t="str">
        <x:v>QA</x:v>
      </x:c>
      <x:c r="F473" s="26" t="str">
        <x:v>Sprint 03</x:v>
      </x:c>
      <x:c r="G473" s="26" t="str">
        <x:v>S3_QA_Execution_Record.md</x:v>
      </x:c>
      <x:c r="H473" s="26" t="str">
        <x:v>Markdown</x:v>
      </x:c>
      <x:c r="I473" s="26" t="str">
        <x:v>QA execution evidence</x:v>
      </x:c>
      <x:c r="J473" s="26" t="n">
        <x:v>2573</x:v>
      </x:c>
      <x:c r="K473" s="26" t="str">
        <x:v>c36caf9cccc1d762ab9f201d7eaedf2e07ae88f1787d7ed0df6bf13305850116</x:v>
      </x:c>
      <x:c r="L473" s="26" t="str">
        <x:v>DG-077</x:v>
      </x:c>
      <x:c r="M473" s="26" t="n">
        <x:v>2</x:v>
      </x:c>
      <x:c r="N473" s="26" t="str">
        <x:v>IDENTICAL COPY</x:v>
      </x:c>
      <x:c r="O473" s="26" t="str">
        <x:v>31</x:v>
      </x:c>
      <x:c r="P473" s="26" t="str">
        <x:v>02, 07, 08, 11, 13, 16, 31</x:v>
      </x:c>
      <x:c r="Q473" s="26" t="str">
        <x:v>Development evidence</x:v>
      </x:c>
      <x:c r="R473" s="26" t="str">
        <x:v>RETAIN AS EVIDENCE — NOT REPLACED BY SUMMARY</x:v>
      </x:c>
      <x:c r="S473" s="26" t="str">
        <x:v>10_Development_Records/Sprint_03/QA/S3_QA_Execution_Record.md</x:v>
      </x:c>
      <x:c r="T473" s="26" t="str">
        <x:v>Historical path preserved verbatim; hash calculated from supplied pre-regeneration project.</x:v>
      </x:c>
    </x:row>
    <x:row r="474" ht="30" customHeight="1">
      <x:c r="A474" s="26" t="str">
        <x:v>H-0470</x:v>
      </x:c>
      <x:c r="B474" s="26" t="str">
        <x:v>Development Records</x:v>
      </x:c>
      <x:c r="C474" s="26"/>
      <x:c r="D474" s="26" t="str">
        <x:v>Sprint_03</x:v>
      </x:c>
      <x:c r="E474" s="26" t="str">
        <x:v>S3_Applied_Changes_Report.md</x:v>
      </x:c>
      <x:c r="F474" s="26" t="str">
        <x:v>Sprint 03</x:v>
      </x:c>
      <x:c r="G474" s="26" t="str">
        <x:v>S3_Applied_Changes_Report.md</x:v>
      </x:c>
      <x:c r="H474" s="26" t="str">
        <x:v>Markdown</x:v>
      </x:c>
      <x:c r="I474" s="26" t="str">
        <x:v>Applied change report</x:v>
      </x:c>
      <x:c r="J474" s="26" t="n">
        <x:v>2337</x:v>
      </x:c>
      <x:c r="K474" s="26" t="str">
        <x:v>4c3a236418697f0ad9746eb7042a6beca9a5df75d617a6f814f2c042b1f38a44</x:v>
      </x:c>
      <x:c r="L474" s="26" t="str">
        <x:v>DG-032</x:v>
      </x:c>
      <x:c r="M474" s="26" t="n">
        <x:v>2</x:v>
      </x:c>
      <x:c r="N474" s="26" t="str">
        <x:v>IDENTICAL COPY</x:v>
      </x:c>
      <x:c r="O474" s="26"/>
      <x:c r="P474" s="26"/>
      <x:c r="Q474" s="26" t="str">
        <x:v>Development evidence</x:v>
      </x:c>
      <x:c r="R474" s="26" t="str">
        <x:v>RETAIN AS EVIDENCE — NOT REPLACED BY SUMMARY</x:v>
      </x:c>
      <x:c r="S474" s="26" t="str">
        <x:v>10_Development_Records/Sprint_03/S3_Applied_Changes_Report.md</x:v>
      </x:c>
      <x:c r="T474" s="26" t="str">
        <x:v>Historical path preserved verbatim; hash calculated from supplied pre-regeneration project.</x:v>
      </x:c>
    </x:row>
    <x:row r="475" ht="30" customHeight="1">
      <x:c r="A475" s="26" t="str">
        <x:v>H-0471</x:v>
      </x:c>
      <x:c r="B475" s="26" t="str">
        <x:v>Development Records</x:v>
      </x:c>
      <x:c r="C475" s="26"/>
      <x:c r="D475" s="26" t="str">
        <x:v>Sprint_03</x:v>
      </x:c>
      <x:c r="E475" s="26" t="str">
        <x:v>Sprint_03_Closure_Report.md</x:v>
      </x:c>
      <x:c r="F475" s="26" t="str">
        <x:v>Sprint 03</x:v>
      </x:c>
      <x:c r="G475" s="26" t="str">
        <x:v>Sprint_03_Closure_Report.md</x:v>
      </x:c>
      <x:c r="H475" s="26" t="str">
        <x:v>Markdown</x:v>
      </x:c>
      <x:c r="I475" s="26" t="str">
        <x:v>Sprint closure</x:v>
      </x:c>
      <x:c r="J475" s="26" t="n">
        <x:v>2034</x:v>
      </x:c>
      <x:c r="K475" s="26" t="str">
        <x:v>48d29b9fe0b1c87abd372919283cf390565a14d55092d5793e178cf431b1795a</x:v>
      </x:c>
      <x:c r="L475" s="26" t="str">
        <x:v>DG-031</x:v>
      </x:c>
      <x:c r="M475" s="26" t="n">
        <x:v>2</x:v>
      </x:c>
      <x:c r="N475" s="26" t="str">
        <x:v>IDENTICAL COPY</x:v>
      </x:c>
      <x:c r="O475" s="26"/>
      <x:c r="P475" s="26"/>
      <x:c r="Q475" s="26" t="str">
        <x:v>Development evidence</x:v>
      </x:c>
      <x:c r="R475" s="26" t="str">
        <x:v>RETAIN AS EVIDENCE — NOT REPLACED BY SUMMARY</x:v>
      </x:c>
      <x:c r="S475" s="26" t="str">
        <x:v>10_Development_Records/Sprint_03/Sprint_03_Closure_Report.md</x:v>
      </x:c>
      <x:c r="T475" s="26" t="str">
        <x:v>Historical path preserved verbatim; hash calculated from supplied pre-regeneration project.</x:v>
      </x:c>
    </x:row>
    <x:row r="476" ht="30" customHeight="1">
      <x:c r="A476" s="26" t="str">
        <x:v>H-0472</x:v>
      </x:c>
      <x:c r="B476" s="26" t="str">
        <x:v>Development Records</x:v>
      </x:c>
      <x:c r="C476" s="26"/>
      <x:c r="D476" s="26" t="str">
        <x:v>Sprint_03</x:v>
      </x:c>
      <x:c r="E476" s="26" t="str">
        <x:v>Traceability</x:v>
      </x:c>
      <x:c r="F476" s="26" t="str">
        <x:v>Sprint 03</x:v>
      </x:c>
      <x:c r="G476" s="26" t="str">
        <x:v>S3_Document_Impact_Working_Matrix.md</x:v>
      </x:c>
      <x:c r="H476" s="26" t="str">
        <x:v>Markdown</x:v>
      </x:c>
      <x:c r="I476" s="26" t="str">
        <x:v>Traceability entry</x:v>
      </x:c>
      <x:c r="J476" s="26" t="n">
        <x:v>1866</x:v>
      </x:c>
      <x:c r="K476" s="26" t="str">
        <x:v>fe4330b2e7baf6e2285595b8373e6859890c24fd5cc358c71752bb41ba471ecf</x:v>
      </x:c>
      <x:c r="L476" s="26" t="str">
        <x:v>DG-098</x:v>
      </x:c>
      <x:c r="M476" s="26" t="n">
        <x:v>2</x:v>
      </x:c>
      <x:c r="N476" s="26" t="str">
        <x:v>IDENTICAL COPY</x:v>
      </x:c>
      <x:c r="O476" s="26"/>
      <x:c r="P476" s="26"/>
      <x:c r="Q476" s="26" t="str">
        <x:v>Development evidence</x:v>
      </x:c>
      <x:c r="R476" s="26" t="str">
        <x:v>RETAIN AS EVIDENCE — NOT REPLACED BY SUMMARY</x:v>
      </x:c>
      <x:c r="S476" s="26" t="str">
        <x:v>10_Development_Records/Sprint_03/Traceability/S3_Document_Impact_Working_Matrix.md</x:v>
      </x:c>
      <x:c r="T476" s="26" t="str">
        <x:v>Historical path preserved verbatim; hash calculated from supplied pre-regeneration project.</x:v>
      </x:c>
    </x:row>
    <x:row r="477" ht="30" customHeight="1">
      <x:c r="A477" s="26" t="str">
        <x:v>H-0473</x:v>
      </x:c>
      <x:c r="B477" s="26" t="str">
        <x:v>Development Records</x:v>
      </x:c>
      <x:c r="C477" s="26"/>
      <x:c r="D477" s="26" t="str">
        <x:v>Sprint_03</x:v>
      </x:c>
      <x:c r="E477" s="26" t="str">
        <x:v>Traceability</x:v>
      </x:c>
      <x:c r="F477" s="26" t="str">
        <x:v>Sprint 03</x:v>
      </x:c>
      <x:c r="G477" s="26" t="str">
        <x:v>S3_Traceability_Entries.csv</x:v>
      </x:c>
      <x:c r="H477" s="26" t="str">
        <x:v>CSV</x:v>
      </x:c>
      <x:c r="I477" s="26" t="str">
        <x:v>Traceability entry</x:v>
      </x:c>
      <x:c r="J477" s="26" t="n">
        <x:v>2919</x:v>
      </x:c>
      <x:c r="K477" s="26" t="str">
        <x:v>1291d4483711d8633014f762760dfa4fb29be3ff6a0888daa49f304618a29e9e</x:v>
      </x:c>
      <x:c r="L477" s="26" t="str">
        <x:v>DG-008</x:v>
      </x:c>
      <x:c r="M477" s="26" t="n">
        <x:v>2</x:v>
      </x:c>
      <x:c r="N477" s="26" t="str">
        <x:v>IDENTICAL COPY</x:v>
      </x:c>
      <x:c r="O477" s="26"/>
      <x:c r="P477" s="26"/>
      <x:c r="Q477" s="26" t="str">
        <x:v>Development evidence</x:v>
      </x:c>
      <x:c r="R477" s="26" t="str">
        <x:v>RETAIN AS EVIDENCE — NOT REPLACED BY SUMMARY</x:v>
      </x:c>
      <x:c r="S477" s="26" t="str">
        <x:v>10_Development_Records/Sprint_03/Traceability/S3_Traceability_Entries.csv</x:v>
      </x:c>
      <x:c r="T477" s="26" t="str">
        <x:v>Historical path preserved verbatim; hash calculated from supplied pre-regeneration project.</x:v>
      </x:c>
    </x:row>
    <x:row r="478" ht="30" customHeight="1">
      <x:c r="A478" s="26" t="str">
        <x:v>H-0474</x:v>
      </x:c>
      <x:c r="B478" s="26" t="str">
        <x:v>Development Records</x:v>
      </x:c>
      <x:c r="C478" s="26"/>
      <x:c r="D478" s="26" t="str">
        <x:v>Sprint_04</x:v>
      </x:c>
      <x:c r="E478" s="26" t="str">
        <x:v>Documentation</x:v>
      </x:c>
      <x:c r="F478" s="26" t="str">
        <x:v>Sprint 04</x:v>
      </x:c>
      <x:c r="G478" s="26" t="str">
        <x:v>S4_4.4_PostImplementation_Record.md</x:v>
      </x:c>
      <x:c r="H478" s="26" t="str">
        <x:v>Markdown</x:v>
      </x:c>
      <x:c r="I478" s="26" t="str">
        <x:v>Historical document / record</x:v>
      </x:c>
      <x:c r="J478" s="26" t="n">
        <x:v>1186</x:v>
      </x:c>
      <x:c r="K478" s="26" t="str">
        <x:v>561dc5549c7c89740905004bd43c03d73737f0c5b8c63843784712cebcf07828</x:v>
      </x:c>
      <x:c r="L478" s="26" t="str">
        <x:v>DG-036</x:v>
      </x:c>
      <x:c r="M478" s="26" t="n">
        <x:v>2</x:v>
      </x:c>
      <x:c r="N478" s="26" t="str">
        <x:v>IDENTICAL COPY</x:v>
      </x:c>
      <x:c r="O478" s="26"/>
      <x:c r="P478" s="26"/>
      <x:c r="Q478" s="26" t="str">
        <x:v>Development evidence</x:v>
      </x:c>
      <x:c r="R478" s="26" t="str">
        <x:v>RETAIN AS EVIDENCE — NOT REPLACED BY SUMMARY</x:v>
      </x:c>
      <x:c r="S478" s="26" t="str">
        <x:v>10_Development_Records/Sprint_04/Documentation/S4_4.4_PostImplementation_Record.md</x:v>
      </x:c>
      <x:c r="T478" s="26" t="str">
        <x:v>Historical path preserved verbatim; hash calculated from supplied pre-regeneration project.</x:v>
      </x:c>
    </x:row>
    <x:row r="479" ht="30" customHeight="1">
      <x:c r="A479" s="26" t="str">
        <x:v>H-0475</x:v>
      </x:c>
      <x:c r="B479" s="26" t="str">
        <x:v>Development Records</x:v>
      </x:c>
      <x:c r="C479" s="26"/>
      <x:c r="D479" s="26" t="str">
        <x:v>Sprint_04</x:v>
      </x:c>
      <x:c r="E479" s="26" t="str">
        <x:v>Documentation</x:v>
      </x:c>
      <x:c r="F479" s="26" t="str">
        <x:v>Sprint 04</x:v>
      </x:c>
      <x:c r="G479" s="26" t="str">
        <x:v>S4_Living_Documentation_Update.md</x:v>
      </x:c>
      <x:c r="H479" s="26" t="str">
        <x:v>Markdown</x:v>
      </x:c>
      <x:c r="I479" s="26" t="str">
        <x:v>Living documentation update</x:v>
      </x:c>
      <x:c r="J479" s="26" t="n">
        <x:v>1127</x:v>
      </x:c>
      <x:c r="K479" s="26" t="str">
        <x:v>8a1bf9903a94e17fe199a67468adf1c986bc2e7a5593413d737e8eefdbb4ab84</x:v>
      </x:c>
      <x:c r="L479" s="26" t="str">
        <x:v>DG-055</x:v>
      </x:c>
      <x:c r="M479" s="26" t="n">
        <x:v>2</x:v>
      </x:c>
      <x:c r="N479" s="26" t="str">
        <x:v>IDENTICAL COPY</x:v>
      </x:c>
      <x:c r="O479" s="26"/>
      <x:c r="P479" s="26"/>
      <x:c r="Q479" s="26" t="str">
        <x:v>Development evidence</x:v>
      </x:c>
      <x:c r="R479" s="26" t="str">
        <x:v>RETAIN AS EVIDENCE — NOT REPLACED BY SUMMARY</x:v>
      </x:c>
      <x:c r="S479" s="26" t="str">
        <x:v>10_Development_Records/Sprint_04/Documentation/S4_Living_Documentation_Update.md</x:v>
      </x:c>
      <x:c r="T479" s="26" t="str">
        <x:v>Historical path preserved verbatim; hash calculated from supplied pre-regeneration project.</x:v>
      </x:c>
    </x:row>
    <x:row r="480" ht="30" customHeight="1">
      <x:c r="A480" s="26" t="str">
        <x:v>H-0476</x:v>
      </x:c>
      <x:c r="B480" s="26" t="str">
        <x:v>Development Records</x:v>
      </x:c>
      <x:c r="C480" s="26"/>
      <x:c r="D480" s="26" t="str">
        <x:v>Sprint_04</x:v>
      </x:c>
      <x:c r="E480" s="26" t="str">
        <x:v>Governance</x:v>
      </x:c>
      <x:c r="F480" s="26" t="str">
        <x:v>Sprint 04</x:v>
      </x:c>
      <x:c r="G480" s="26" t="str">
        <x:v>ADR-0016_Grid_Coordinate_And_Footprint_Foundation.md</x:v>
      </x:c>
      <x:c r="H480" s="26" t="str">
        <x:v>Markdown</x:v>
      </x:c>
      <x:c r="I480" s="26" t="str">
        <x:v>ADR</x:v>
      </x:c>
      <x:c r="J480" s="26" t="n">
        <x:v>1157</x:v>
      </x:c>
      <x:c r="K480" s="26" t="str">
        <x:v>84ffb0f806ec18937785dc30f5410a0be471ea75deeeb3d23021657ff513d622</x:v>
      </x:c>
      <x:c r="L480" s="26" t="str">
        <x:v>DG-052</x:v>
      </x:c>
      <x:c r="M480" s="26" t="n">
        <x:v>2</x:v>
      </x:c>
      <x:c r="N480" s="26" t="str">
        <x:v>IDENTICAL COPY</x:v>
      </x:c>
      <x:c r="O480" s="26"/>
      <x:c r="P480" s="26"/>
      <x:c r="Q480" s="26" t="str">
        <x:v>Development evidence</x:v>
      </x:c>
      <x:c r="R480" s="26" t="str">
        <x:v>RETAIN AS EVIDENCE — NOT REPLACED BY SUMMARY</x:v>
      </x:c>
      <x:c r="S480" s="26" t="str">
        <x:v>10_Development_Records/Sprint_04/Governance/ADR-0016_Grid_Coordinate_And_Footprint_Foundation.md</x:v>
      </x:c>
      <x:c r="T480" s="26" t="str">
        <x:v>Historical path preserved verbatim; hash calculated from supplied pre-regeneration project.</x:v>
      </x:c>
    </x:row>
    <x:row r="481" ht="30" customHeight="1">
      <x:c r="A481" s="26" t="str">
        <x:v>H-0477</x:v>
      </x:c>
      <x:c r="B481" s="26" t="str">
        <x:v>Development Records</x:v>
      </x:c>
      <x:c r="C481" s="26"/>
      <x:c r="D481" s="26" t="str">
        <x:v>Sprint_04</x:v>
      </x:c>
      <x:c r="E481" s="26" t="str">
        <x:v>Governance</x:v>
      </x:c>
      <x:c r="F481" s="26" t="str">
        <x:v>Sprint 04</x:v>
      </x:c>
      <x:c r="G481" s="26" t="str">
        <x:v>ADR-0017_Placement_Preview_And_Rotation.md</x:v>
      </x:c>
      <x:c r="H481" s="26" t="str">
        <x:v>Markdown</x:v>
      </x:c>
      <x:c r="I481" s="26" t="str">
        <x:v>ADR</x:v>
      </x:c>
      <x:c r="J481" s="26" t="n">
        <x:v>1125</x:v>
      </x:c>
      <x:c r="K481" s="26" t="str">
        <x:v>996ccbe4400bc1971fea44b1d1e89b7a0cbe30437fa660283af16e79b8f18965</x:v>
      </x:c>
      <x:c r="L481" s="26" t="str">
        <x:v>DG-057</x:v>
      </x:c>
      <x:c r="M481" s="26" t="n">
        <x:v>2</x:v>
      </x:c>
      <x:c r="N481" s="26" t="str">
        <x:v>IDENTICAL COPY</x:v>
      </x:c>
      <x:c r="O481" s="26"/>
      <x:c r="P481" s="26"/>
      <x:c r="Q481" s="26" t="str">
        <x:v>Development evidence</x:v>
      </x:c>
      <x:c r="R481" s="26" t="str">
        <x:v>RETAIN AS EVIDENCE — NOT REPLACED BY SUMMARY</x:v>
      </x:c>
      <x:c r="S481" s="26" t="str">
        <x:v>10_Development_Records/Sprint_04/Governance/ADR-0017_Placement_Preview_And_Rotation.md</x:v>
      </x:c>
      <x:c r="T481" s="26" t="str">
        <x:v>Historical path preserved verbatim; hash calculated from supplied pre-regeneration project.</x:v>
      </x:c>
    </x:row>
    <x:row r="482" ht="30" customHeight="1">
      <x:c r="A482" s="26" t="str">
        <x:v>H-0478</x:v>
      </x:c>
      <x:c r="B482" s="26" t="str">
        <x:v>Development Records</x:v>
      </x:c>
      <x:c r="C482" s="26"/>
      <x:c r="D482" s="26" t="str">
        <x:v>Sprint_04</x:v>
      </x:c>
      <x:c r="E482" s="26" t="str">
        <x:v>Governance</x:v>
      </x:c>
      <x:c r="F482" s="26" t="str">
        <x:v>Sprint 04</x:v>
      </x:c>
      <x:c r="G482" s="26" t="str">
        <x:v>ADR-0018_Atomic_Occupancy_And_Placement_Mode.md</x:v>
      </x:c>
      <x:c r="H482" s="26" t="str">
        <x:v>Markdown</x:v>
      </x:c>
      <x:c r="I482" s="26" t="str">
        <x:v>ADR</x:v>
      </x:c>
      <x:c r="J482" s="26" t="n">
        <x:v>1439</x:v>
      </x:c>
      <x:c r="K482" s="26" t="str">
        <x:v>3cdafe143aedd7a015756ec256b6c92be2aaaa918c33499421589d3fb51177e1</x:v>
      </x:c>
      <x:c r="L482" s="26" t="str">
        <x:v>DG-024</x:v>
      </x:c>
      <x:c r="M482" s="26" t="n">
        <x:v>2</x:v>
      </x:c>
      <x:c r="N482" s="26" t="str">
        <x:v>IDENTICAL COPY</x:v>
      </x:c>
      <x:c r="O482" s="26"/>
      <x:c r="P482" s="26"/>
      <x:c r="Q482" s="26" t="str">
        <x:v>Development evidence</x:v>
      </x:c>
      <x:c r="R482" s="26" t="str">
        <x:v>RETAIN AS EVIDENCE — NOT REPLACED BY SUMMARY</x:v>
      </x:c>
      <x:c r="S482" s="26" t="str">
        <x:v>10_Development_Records/Sprint_04/Governance/ADR-0018_Atomic_Occupancy_And_Placement_Mode.md</x:v>
      </x:c>
      <x:c r="T482" s="26" t="str">
        <x:v>Historical path preserved verbatim; hash calculated from supplied pre-regeneration project.</x:v>
      </x:c>
    </x:row>
    <x:row r="483" ht="30" customHeight="1">
      <x:c r="A483" s="26" t="str">
        <x:v>H-0479</x:v>
      </x:c>
      <x:c r="B483" s="26" t="str">
        <x:v>Development Records</x:v>
      </x:c>
      <x:c r="C483" s="26"/>
      <x:c r="D483" s="26" t="str">
        <x:v>Sprint_04</x:v>
      </x:c>
      <x:c r="E483" s="26" t="str">
        <x:v>Governance</x:v>
      </x:c>
      <x:c r="F483" s="26" t="str">
        <x:v>Sprint 04</x:v>
      </x:c>
      <x:c r="G483" s="26" t="str">
        <x:v>ADR-0019_Sprint_04_Final_Integration_And_Build_Gate.md</x:v>
      </x:c>
      <x:c r="H483" s="26" t="str">
        <x:v>Markdown</x:v>
      </x:c>
      <x:c r="I483" s="26" t="str">
        <x:v>ADR</x:v>
      </x:c>
      <x:c r="J483" s="26" t="n">
        <x:v>1324</x:v>
      </x:c>
      <x:c r="K483" s="26" t="str">
        <x:v>f78c4971ab6969d8d3f302b93ceb5dbf30f2d553f433122bd8d24eb12fa7dff3</x:v>
      </x:c>
      <x:c r="L483" s="26" t="str">
        <x:v>DG-096</x:v>
      </x:c>
      <x:c r="M483" s="26" t="n">
        <x:v>2</x:v>
      </x:c>
      <x:c r="N483" s="26" t="str">
        <x:v>IDENTICAL COPY</x:v>
      </x:c>
      <x:c r="O483" s="26"/>
      <x:c r="P483" s="26"/>
      <x:c r="Q483" s="26" t="str">
        <x:v>Development evidence</x:v>
      </x:c>
      <x:c r="R483" s="26" t="str">
        <x:v>RETAIN AS EVIDENCE — NOT REPLACED BY SUMMARY</x:v>
      </x:c>
      <x:c r="S483" s="26" t="str">
        <x:v>10_Development_Records/Sprint_04/Governance/ADR-0019_Sprint_04_Final_Integration_And_Build_Gate.md</x:v>
      </x:c>
      <x:c r="T483" s="26" t="str">
        <x:v>Historical path preserved verbatim; hash calculated from supplied pre-regeneration project.</x:v>
      </x:c>
    </x:row>
    <x:row r="484" ht="30" customHeight="1">
      <x:c r="A484" s="26" t="str">
        <x:v>H-0480</x:v>
      </x:c>
      <x:c r="B484" s="26" t="str">
        <x:v>Development Records</x:v>
      </x:c>
      <x:c r="C484" s="26"/>
      <x:c r="D484" s="26" t="str">
        <x:v>Sprint_04</x:v>
      </x:c>
      <x:c r="E484" s="26" t="str">
        <x:v>Governance</x:v>
      </x:c>
      <x:c r="F484" s="26" t="str">
        <x:v>Sprint 04</x:v>
      </x:c>
      <x:c r="G484" s="26" t="str">
        <x:v>Sprint_04_Charter.md</x:v>
      </x:c>
      <x:c r="H484" s="26" t="str">
        <x:v>Markdown</x:v>
      </x:c>
      <x:c r="I484" s="26" t="str">
        <x:v>Sprint charter</x:v>
      </x:c>
      <x:c r="J484" s="26" t="n">
        <x:v>2582</x:v>
      </x:c>
      <x:c r="K484" s="26" t="str">
        <x:v>637c1436311f22acccbe165c186729d1f652a84a9c913eda06e0b4124ce90aa7</x:v>
      </x:c>
      <x:c r="L484" s="26" t="str">
        <x:v>DG-039</x:v>
      </x:c>
      <x:c r="M484" s="26" t="n">
        <x:v>2</x:v>
      </x:c>
      <x:c r="N484" s="26" t="str">
        <x:v>IDENTICAL COPY</x:v>
      </x:c>
      <x:c r="O484" s="26"/>
      <x:c r="P484" s="26"/>
      <x:c r="Q484" s="26" t="str">
        <x:v>Development evidence</x:v>
      </x:c>
      <x:c r="R484" s="26" t="str">
        <x:v>RETAIN AS EVIDENCE — NOT REPLACED BY SUMMARY</x:v>
      </x:c>
      <x:c r="S484" s="26" t="str">
        <x:v>10_Development_Records/Sprint_04/Governance/Sprint_04_Charter.md</x:v>
      </x:c>
      <x:c r="T484" s="26" t="str">
        <x:v>Historical path preserved verbatim; hash calculated from supplied pre-regeneration project.</x:v>
      </x:c>
    </x:row>
    <x:row r="485" ht="30" customHeight="1">
      <x:c r="A485" s="26" t="str">
        <x:v>H-0481</x:v>
      </x:c>
      <x:c r="B485" s="26" t="str">
        <x:v>Development Records</x:v>
      </x:c>
      <x:c r="C485" s="26"/>
      <x:c r="D485" s="26" t="str">
        <x:v>Sprint_04</x:v>
      </x:c>
      <x:c r="E485" s="26" t="str">
        <x:v>Governance</x:v>
      </x:c>
      <x:c r="F485" s="26" t="str">
        <x:v>Sprint 04</x:v>
      </x:c>
      <x:c r="G485" s="26" t="str">
        <x:v>Sprint_04_Current_Status.md</x:v>
      </x:c>
      <x:c r="H485" s="26" t="str">
        <x:v>Markdown</x:v>
      </x:c>
      <x:c r="I485" s="26" t="str">
        <x:v>Current status</x:v>
      </x:c>
      <x:c r="J485" s="26" t="n">
        <x:v>2339</x:v>
      </x:c>
      <x:c r="K485" s="26" t="str">
        <x:v>aa5c70956ee39b9b3d3ac6bfa075cc267f0544f776de636fb49e5abe03d8998d</x:v>
      </x:c>
      <x:c r="L485" s="26" t="str">
        <x:v>DG-065</x:v>
      </x:c>
      <x:c r="M485" s="26" t="n">
        <x:v>2</x:v>
      </x:c>
      <x:c r="N485" s="26" t="str">
        <x:v>IDENTICAL COPY</x:v>
      </x:c>
      <x:c r="O485" s="26"/>
      <x:c r="P485" s="26"/>
      <x:c r="Q485" s="26" t="str">
        <x:v>Development evidence</x:v>
      </x:c>
      <x:c r="R485" s="26" t="str">
        <x:v>RETAIN AS EVIDENCE — NOT REPLACED BY SUMMARY</x:v>
      </x:c>
      <x:c r="S485" s="26" t="str">
        <x:v>10_Development_Records/Sprint_04/Governance/Sprint_04_Current_Status.md</x:v>
      </x:c>
      <x:c r="T485" s="26" t="str">
        <x:v>Historical path preserved verbatim; hash calculated from supplied pre-regeneration project.</x:v>
      </x:c>
    </x:row>
    <x:row r="486" ht="30" customHeight="1">
      <x:c r="A486" s="26" t="str">
        <x:v>H-0482</x:v>
      </x:c>
      <x:c r="B486" s="26" t="str">
        <x:v>Development Records</x:v>
      </x:c>
      <x:c r="C486" s="26"/>
      <x:c r="D486" s="26" t="str">
        <x:v>Sprint_04</x:v>
      </x:c>
      <x:c r="E486" s="26" t="str">
        <x:v>QA</x:v>
      </x:c>
      <x:c r="F486" s="26" t="str">
        <x:v>Sprint 04</x:v>
      </x:c>
      <x:c r="G486" s="26" t="str">
        <x:v>S4.1_Validation_Checklist.md</x:v>
      </x:c>
      <x:c r="H486" s="26" t="str">
        <x:v>Markdown</x:v>
      </x:c>
      <x:c r="I486" s="26" t="str">
        <x:v>Validation checklist</x:v>
      </x:c>
      <x:c r="J486" s="26" t="n">
        <x:v>594</x:v>
      </x:c>
      <x:c r="K486" s="26" t="str">
        <x:v>4daee65527260559801d1bcb435232c0c1f15966f4f45bde43628a95c577dbe8</x:v>
      </x:c>
      <x:c r="L486" s="26" t="str">
        <x:v>DG-033</x:v>
      </x:c>
      <x:c r="M486" s="26" t="n">
        <x:v>2</x:v>
      </x:c>
      <x:c r="N486" s="26" t="str">
        <x:v>IDENTICAL COPY</x:v>
      </x:c>
      <x:c r="O486" s="26" t="str">
        <x:v>31</x:v>
      </x:c>
      <x:c r="P486" s="26" t="str">
        <x:v>02, 07, 08, 11, 13, 16, 31</x:v>
      </x:c>
      <x:c r="Q486" s="26" t="str">
        <x:v>Development evidence</x:v>
      </x:c>
      <x:c r="R486" s="26" t="str">
        <x:v>RETAIN AS EVIDENCE — NOT REPLACED BY SUMMARY</x:v>
      </x:c>
      <x:c r="S486" s="26" t="str">
        <x:v>10_Development_Records/Sprint_04/QA/S4.1_Validation_Checklist.md</x:v>
      </x:c>
      <x:c r="T486" s="26" t="str">
        <x:v>Historical path preserved verbatim; hash calculated from supplied pre-regeneration project.</x:v>
      </x:c>
    </x:row>
    <x:row r="487" ht="30" customHeight="1">
      <x:c r="A487" s="26" t="str">
        <x:v>H-0483</x:v>
      </x:c>
      <x:c r="B487" s="26" t="str">
        <x:v>Development Records</x:v>
      </x:c>
      <x:c r="C487" s="26"/>
      <x:c r="D487" s="26" t="str">
        <x:v>Sprint_04</x:v>
      </x:c>
      <x:c r="E487" s="26" t="str">
        <x:v>QA</x:v>
      </x:c>
      <x:c r="F487" s="26" t="str">
        <x:v>Sprint 04</x:v>
      </x:c>
      <x:c r="G487" s="26" t="str">
        <x:v>S4.2_Validation_Checklist.md</x:v>
      </x:c>
      <x:c r="H487" s="26" t="str">
        <x:v>Markdown</x:v>
      </x:c>
      <x:c r="I487" s="26" t="str">
        <x:v>Validation checklist</x:v>
      </x:c>
      <x:c r="J487" s="26" t="n">
        <x:v>672</x:v>
      </x:c>
      <x:c r="K487" s="26" t="str">
        <x:v>7947d8708859cc6b5175331acf6e36cf44438788f243c179b53e6818cdb7f466</x:v>
      </x:c>
      <x:c r="L487" s="26" t="str">
        <x:v>DG-047</x:v>
      </x:c>
      <x:c r="M487" s="26" t="n">
        <x:v>2</x:v>
      </x:c>
      <x:c r="N487" s="26" t="str">
        <x:v>IDENTICAL COPY</x:v>
      </x:c>
      <x:c r="O487" s="26" t="str">
        <x:v>31</x:v>
      </x:c>
      <x:c r="P487" s="26" t="str">
        <x:v>02, 07, 08, 11, 13, 16, 31</x:v>
      </x:c>
      <x:c r="Q487" s="26" t="str">
        <x:v>Development evidence</x:v>
      </x:c>
      <x:c r="R487" s="26" t="str">
        <x:v>RETAIN AS EVIDENCE — NOT REPLACED BY SUMMARY</x:v>
      </x:c>
      <x:c r="S487" s="26" t="str">
        <x:v>10_Development_Records/Sprint_04/QA/S4.2_Validation_Checklist.md</x:v>
      </x:c>
      <x:c r="T487" s="26" t="str">
        <x:v>Historical path preserved verbatim; hash calculated from supplied pre-regeneration project.</x:v>
      </x:c>
    </x:row>
    <x:row r="488" ht="30" customHeight="1">
      <x:c r="A488" s="26" t="str">
        <x:v>H-0484</x:v>
      </x:c>
      <x:c r="B488" s="26" t="str">
        <x:v>Development Records</x:v>
      </x:c>
      <x:c r="C488" s="26"/>
      <x:c r="D488" s="26" t="str">
        <x:v>Sprint_04</x:v>
      </x:c>
      <x:c r="E488" s="26" t="str">
        <x:v>QA</x:v>
      </x:c>
      <x:c r="F488" s="26" t="str">
        <x:v>Sprint 04</x:v>
      </x:c>
      <x:c r="G488" s="26" t="str">
        <x:v>S4.3_Validation_Checklist.md</x:v>
      </x:c>
      <x:c r="H488" s="26" t="str">
        <x:v>Markdown</x:v>
      </x:c>
      <x:c r="I488" s="26" t="str">
        <x:v>Validation checklist</x:v>
      </x:c>
      <x:c r="J488" s="26" t="n">
        <x:v>830</x:v>
      </x:c>
      <x:c r="K488" s="26" t="str">
        <x:v>9d54905170c7ae7daffda84bc479882bd5b7a25667e30ce31dd4aadf38a1cdda</x:v>
      </x:c>
      <x:c r="L488" s="26" t="str">
        <x:v>DG-061</x:v>
      </x:c>
      <x:c r="M488" s="26" t="n">
        <x:v>2</x:v>
      </x:c>
      <x:c r="N488" s="26" t="str">
        <x:v>IDENTICAL COPY</x:v>
      </x:c>
      <x:c r="O488" s="26" t="str">
        <x:v>31</x:v>
      </x:c>
      <x:c r="P488" s="26" t="str">
        <x:v>02, 07, 08, 11, 13, 16, 31</x:v>
      </x:c>
      <x:c r="Q488" s="26" t="str">
        <x:v>Development evidence</x:v>
      </x:c>
      <x:c r="R488" s="26" t="str">
        <x:v>RETAIN AS EVIDENCE — NOT REPLACED BY SUMMARY</x:v>
      </x:c>
      <x:c r="S488" s="26" t="str">
        <x:v>10_Development_Records/Sprint_04/QA/S4.3_Validation_Checklist.md</x:v>
      </x:c>
      <x:c r="T488" s="26" t="str">
        <x:v>Historical path preserved verbatim; hash calculated from supplied pre-regeneration project.</x:v>
      </x:c>
    </x:row>
    <x:row r="489" ht="30" customHeight="1">
      <x:c r="A489" s="26" t="str">
        <x:v>H-0485</x:v>
      </x:c>
      <x:c r="B489" s="26" t="str">
        <x:v>Development Records</x:v>
      </x:c>
      <x:c r="C489" s="26"/>
      <x:c r="D489" s="26" t="str">
        <x:v>Sprint_04</x:v>
      </x:c>
      <x:c r="E489" s="26" t="str">
        <x:v>QA</x:v>
      </x:c>
      <x:c r="F489" s="26" t="str">
        <x:v>Sprint 04</x:v>
      </x:c>
      <x:c r="G489" s="26" t="str">
        <x:v>S4.4_Build_Execution_Record.md</x:v>
      </x:c>
      <x:c r="H489" s="26" t="str">
        <x:v>Markdown</x:v>
      </x:c>
      <x:c r="I489" s="26" t="str">
        <x:v>Build execution evidence</x:v>
      </x:c>
      <x:c r="J489" s="26" t="n">
        <x:v>1164</x:v>
      </x:c>
      <x:c r="K489" s="26" t="str">
        <x:v>6f662c5fe7ccef7a3080584798ccf51c720d4ade1dc50b1be2f8c4c107da529d</x:v>
      </x:c>
      <x:c r="L489" s="26" t="str">
        <x:v>DG-044</x:v>
      </x:c>
      <x:c r="M489" s="26" t="n">
        <x:v>2</x:v>
      </x:c>
      <x:c r="N489" s="26" t="str">
        <x:v>IDENTICAL COPY</x:v>
      </x:c>
      <x:c r="O489" s="26" t="str">
        <x:v>31</x:v>
      </x:c>
      <x:c r="P489" s="26" t="str">
        <x:v>02, 07, 08, 11, 13, 16, 31</x:v>
      </x:c>
      <x:c r="Q489" s="26" t="str">
        <x:v>Development evidence</x:v>
      </x:c>
      <x:c r="R489" s="26" t="str">
        <x:v>RETAIN AS EVIDENCE — NOT REPLACED BY SUMMARY</x:v>
      </x:c>
      <x:c r="S489" s="26" t="str">
        <x:v>10_Development_Records/Sprint_04/QA/S4.4_Build_Execution_Record.md</x:v>
      </x:c>
      <x:c r="T489" s="26" t="str">
        <x:v>Historical path preserved verbatim; hash calculated from supplied pre-regeneration project.</x:v>
      </x:c>
    </x:row>
    <x:row r="490" ht="30" customHeight="1">
      <x:c r="A490" s="26" t="str">
        <x:v>H-0486</x:v>
      </x:c>
      <x:c r="B490" s="26" t="str">
        <x:v>Development Records</x:v>
      </x:c>
      <x:c r="C490" s="26"/>
      <x:c r="D490" s="26" t="str">
        <x:v>Sprint_04</x:v>
      </x:c>
      <x:c r="E490" s="26" t="str">
        <x:v>QA</x:v>
      </x:c>
      <x:c r="F490" s="26" t="str">
        <x:v>Sprint 04</x:v>
      </x:c>
      <x:c r="G490" s="26" t="str">
        <x:v>S4.4_Validation_Checklist.md</x:v>
      </x:c>
      <x:c r="H490" s="26" t="str">
        <x:v>Markdown</x:v>
      </x:c>
      <x:c r="I490" s="26" t="str">
        <x:v>Validation checklist</x:v>
      </x:c>
      <x:c r="J490" s="26" t="n">
        <x:v>1638</x:v>
      </x:c>
      <x:c r="K490" s="26" t="str">
        <x:v>b24bd7794a9e1143df30f7930936e6e08dbd8e4a6614384b13e493fbd31972a7</x:v>
      </x:c>
      <x:c r="L490" s="26" t="str">
        <x:v>DG-069</x:v>
      </x:c>
      <x:c r="M490" s="26" t="n">
        <x:v>2</x:v>
      </x:c>
      <x:c r="N490" s="26" t="str">
        <x:v>IDENTICAL COPY</x:v>
      </x:c>
      <x:c r="O490" s="26" t="str">
        <x:v>31</x:v>
      </x:c>
      <x:c r="P490" s="26" t="str">
        <x:v>02, 07, 08, 11, 13, 16, 31</x:v>
      </x:c>
      <x:c r="Q490" s="26" t="str">
        <x:v>Development evidence</x:v>
      </x:c>
      <x:c r="R490" s="26" t="str">
        <x:v>RETAIN AS EVIDENCE — NOT REPLACED BY SUMMARY</x:v>
      </x:c>
      <x:c r="S490" s="26" t="str">
        <x:v>10_Development_Records/Sprint_04/QA/S4.4_Validation_Checklist.md</x:v>
      </x:c>
      <x:c r="T490" s="26" t="str">
        <x:v>Historical path preserved verbatim; hash calculated from supplied pre-regeneration project.</x:v>
      </x:c>
    </x:row>
    <x:row r="491" ht="30" customHeight="1">
      <x:c r="A491" s="26" t="str">
        <x:v>H-0487</x:v>
      </x:c>
      <x:c r="B491" s="26" t="str">
        <x:v>Development Records</x:v>
      </x:c>
      <x:c r="C491" s="26"/>
      <x:c r="D491" s="26" t="str">
        <x:v>Sprint_04</x:v>
      </x:c>
      <x:c r="E491" s="26" t="str">
        <x:v>QA</x:v>
      </x:c>
      <x:c r="F491" s="26" t="str">
        <x:v>Sprint 04</x:v>
      </x:c>
      <x:c r="G491" s="26" t="str">
        <x:v>S4_Acceptance_Matrix.md</x:v>
      </x:c>
      <x:c r="H491" s="26" t="str">
        <x:v>Markdown</x:v>
      </x:c>
      <x:c r="I491" s="26" t="str">
        <x:v>Acceptance matrix</x:v>
      </x:c>
      <x:c r="J491" s="26" t="n">
        <x:v>2209</x:v>
      </x:c>
      <x:c r="K491" s="26" t="str">
        <x:v>30a86d51980351f806ef30aa6187ce90857bde474c163d47a6a3396b60522f89</x:v>
      </x:c>
      <x:c r="L491" s="26" t="str">
        <x:v>DG-018</x:v>
      </x:c>
      <x:c r="M491" s="26" t="n">
        <x:v>2</x:v>
      </x:c>
      <x:c r="N491" s="26" t="str">
        <x:v>IDENTICAL COPY</x:v>
      </x:c>
      <x:c r="O491" s="26" t="str">
        <x:v>31</x:v>
      </x:c>
      <x:c r="P491" s="26" t="str">
        <x:v>02, 07, 08, 11, 13, 16, 31</x:v>
      </x:c>
      <x:c r="Q491" s="26" t="str">
        <x:v>Development evidence</x:v>
      </x:c>
      <x:c r="R491" s="26" t="str">
        <x:v>RETAIN AS EVIDENCE — NOT REPLACED BY SUMMARY</x:v>
      </x:c>
      <x:c r="S491" s="26" t="str">
        <x:v>10_Development_Records/Sprint_04/QA/S4_Acceptance_Matrix.md</x:v>
      </x:c>
      <x:c r="T491" s="26" t="str">
        <x:v>Historical path preserved verbatim; hash calculated from supplied pre-regeneration project.</x:v>
      </x:c>
    </x:row>
    <x:row r="492" ht="30" customHeight="1">
      <x:c r="A492" s="26" t="str">
        <x:v>H-0488</x:v>
      </x:c>
      <x:c r="B492" s="26" t="str">
        <x:v>Development Records</x:v>
      </x:c>
      <x:c r="C492" s="26"/>
      <x:c r="D492" s="26" t="str">
        <x:v>Sprint_04</x:v>
      </x:c>
      <x:c r="E492" s="26" t="str">
        <x:v>QA</x:v>
      </x:c>
      <x:c r="F492" s="26" t="str">
        <x:v>Sprint 04</x:v>
      </x:c>
      <x:c r="G492" s="26" t="str">
        <x:v>S4_QA_Execution_Record.md</x:v>
      </x:c>
      <x:c r="H492" s="26" t="str">
        <x:v>Markdown</x:v>
      </x:c>
      <x:c r="I492" s="26" t="str">
        <x:v>QA execution evidence</x:v>
      </x:c>
      <x:c r="J492" s="26" t="n">
        <x:v>2537</x:v>
      </x:c>
      <x:c r="K492" s="26" t="str">
        <x:v>0c5ec51188fd94404436c7093e01ed0a0d0d75fc466da104e777fd7494aa0603</x:v>
      </x:c>
      <x:c r="L492" s="26" t="str">
        <x:v>DG-004</x:v>
      </x:c>
      <x:c r="M492" s="26" t="n">
        <x:v>2</x:v>
      </x:c>
      <x:c r="N492" s="26" t="str">
        <x:v>IDENTICAL COPY</x:v>
      </x:c>
      <x:c r="O492" s="26" t="str">
        <x:v>31</x:v>
      </x:c>
      <x:c r="P492" s="26" t="str">
        <x:v>02, 07, 08, 11, 13, 16, 31</x:v>
      </x:c>
      <x:c r="Q492" s="26" t="str">
        <x:v>Development evidence</x:v>
      </x:c>
      <x:c r="R492" s="26" t="str">
        <x:v>RETAIN AS EVIDENCE — NOT REPLACED BY SUMMARY</x:v>
      </x:c>
      <x:c r="S492" s="26" t="str">
        <x:v>10_Development_Records/Sprint_04/QA/S4_QA_Execution_Record.md</x:v>
      </x:c>
      <x:c r="T492" s="26" t="str">
        <x:v>Historical path preserved verbatim; hash calculated from supplied pre-regeneration project.</x:v>
      </x:c>
    </x:row>
    <x:row r="493" ht="30" customHeight="1">
      <x:c r="A493" s="26" t="str">
        <x:v>H-0489</x:v>
      </x:c>
      <x:c r="B493" s="26" t="str">
        <x:v>Development Records</x:v>
      </x:c>
      <x:c r="C493" s="26"/>
      <x:c r="D493" s="26" t="str">
        <x:v>Sprint_04</x:v>
      </x:c>
      <x:c r="E493" s="26" t="str">
        <x:v>S4_Applied_Changes_Report.md</x:v>
      </x:c>
      <x:c r="F493" s="26" t="str">
        <x:v>Sprint 04</x:v>
      </x:c>
      <x:c r="G493" s="26" t="str">
        <x:v>S4_Applied_Changes_Report.md</x:v>
      </x:c>
      <x:c r="H493" s="26" t="str">
        <x:v>Markdown</x:v>
      </x:c>
      <x:c r="I493" s="26" t="str">
        <x:v>Applied change report</x:v>
      </x:c>
      <x:c r="J493" s="26" t="n">
        <x:v>2242</x:v>
      </x:c>
      <x:c r="K493" s="26" t="str">
        <x:v>3518ed53406549356ff971505c94317e56a4630dbeb139f2f38ca1992c9aceba</x:v>
      </x:c>
      <x:c r="L493" s="26" t="str">
        <x:v>DG-022</x:v>
      </x:c>
      <x:c r="M493" s="26" t="n">
        <x:v>2</x:v>
      </x:c>
      <x:c r="N493" s="26" t="str">
        <x:v>IDENTICAL COPY</x:v>
      </x:c>
      <x:c r="O493" s="26"/>
      <x:c r="P493" s="26"/>
      <x:c r="Q493" s="26" t="str">
        <x:v>Development evidence</x:v>
      </x:c>
      <x:c r="R493" s="26" t="str">
        <x:v>RETAIN AS EVIDENCE — NOT REPLACED BY SUMMARY</x:v>
      </x:c>
      <x:c r="S493" s="26" t="str">
        <x:v>10_Development_Records/Sprint_04/S4_Applied_Changes_Report.md</x:v>
      </x:c>
      <x:c r="T493" s="26" t="str">
        <x:v>Historical path preserved verbatim; hash calculated from supplied pre-regeneration project.</x:v>
      </x:c>
    </x:row>
    <x:row r="494" ht="30" customHeight="1">
      <x:c r="A494" s="26" t="str">
        <x:v>H-0490</x:v>
      </x:c>
      <x:c r="B494" s="26" t="str">
        <x:v>Development Records</x:v>
      </x:c>
      <x:c r="C494" s="26"/>
      <x:c r="D494" s="26" t="str">
        <x:v>Sprint_04</x:v>
      </x:c>
      <x:c r="E494" s="26" t="str">
        <x:v>Sprint_04_Closure_Report.md</x:v>
      </x:c>
      <x:c r="F494" s="26" t="str">
        <x:v>Sprint 04</x:v>
      </x:c>
      <x:c r="G494" s="26" t="str">
        <x:v>Sprint_04_Closure_Report.md</x:v>
      </x:c>
      <x:c r="H494" s="26" t="str">
        <x:v>Markdown</x:v>
      </x:c>
      <x:c r="I494" s="26" t="str">
        <x:v>Sprint closure</x:v>
      </x:c>
      <x:c r="J494" s="26" t="n">
        <x:v>2350</x:v>
      </x:c>
      <x:c r="K494" s="26" t="str">
        <x:v>caa820477ab6fee79beb3b54d913463b98021e84b6e83f8cfe9f63849b577039</x:v>
      </x:c>
      <x:c r="L494" s="26" t="str">
        <x:v>DG-080</x:v>
      </x:c>
      <x:c r="M494" s="26" t="n">
        <x:v>2</x:v>
      </x:c>
      <x:c r="N494" s="26" t="str">
        <x:v>IDENTICAL COPY</x:v>
      </x:c>
      <x:c r="O494" s="26"/>
      <x:c r="P494" s="26"/>
      <x:c r="Q494" s="26" t="str">
        <x:v>Development evidence</x:v>
      </x:c>
      <x:c r="R494" s="26" t="str">
        <x:v>RETAIN AS EVIDENCE — NOT REPLACED BY SUMMARY</x:v>
      </x:c>
      <x:c r="S494" s="26" t="str">
        <x:v>10_Development_Records/Sprint_04/Sprint_04_Closure_Report.md</x:v>
      </x:c>
      <x:c r="T494" s="26" t="str">
        <x:v>Historical path preserved verbatim; hash calculated from supplied pre-regeneration project.</x:v>
      </x:c>
    </x:row>
    <x:row r="495" ht="30" customHeight="1">
      <x:c r="A495" s="26" t="str">
        <x:v>H-0491</x:v>
      </x:c>
      <x:c r="B495" s="26" t="str">
        <x:v>Development Records</x:v>
      </x:c>
      <x:c r="C495" s="26"/>
      <x:c r="D495" s="26" t="str">
        <x:v>Sprint_04</x:v>
      </x:c>
      <x:c r="E495" s="26" t="str">
        <x:v>Traceability</x:v>
      </x:c>
      <x:c r="F495" s="26" t="str">
        <x:v>Sprint 04</x:v>
      </x:c>
      <x:c r="G495" s="26" t="str">
        <x:v>S4.3_Traceability_Record.md</x:v>
      </x:c>
      <x:c r="H495" s="26" t="str">
        <x:v>Markdown</x:v>
      </x:c>
      <x:c r="I495" s="26" t="str">
        <x:v>Traceability entry</x:v>
      </x:c>
      <x:c r="J495" s="26" t="n">
        <x:v>712</x:v>
      </x:c>
      <x:c r="K495" s="26" t="str">
        <x:v>f6d4979e93524a0898a0fd44e05ecf24f3206e1d634ad563bfd49162643e3d60</x:v>
      </x:c>
      <x:c r="L495" s="26"/>
      <x:c r="M495" s="26" t="n">
        <x:v>1</x:v>
      </x:c>
      <x:c r="N495" s="26" t="str">
        <x:v>UNIQUE</x:v>
      </x:c>
      <x:c r="O495" s="26"/>
      <x:c r="P495" s="26"/>
      <x:c r="Q495" s="26" t="str">
        <x:v>Development evidence</x:v>
      </x:c>
      <x:c r="R495" s="26" t="str">
        <x:v>RETAIN AS EVIDENCE — NOT REPLACED BY SUMMARY</x:v>
      </x:c>
      <x:c r="S495" s="26" t="str">
        <x:v>10_Development_Records/Sprint_04/Traceability/S4.3_Traceability_Record.md</x:v>
      </x:c>
      <x:c r="T495" s="26" t="str">
        <x:v>Historical path preserved verbatim; hash calculated from supplied pre-regeneration project.</x:v>
      </x:c>
    </x:row>
    <x:row r="496" ht="30" customHeight="1">
      <x:c r="A496" s="26" t="str">
        <x:v>H-0492</x:v>
      </x:c>
      <x:c r="B496" s="26" t="str">
        <x:v>Development Records</x:v>
      </x:c>
      <x:c r="C496" s="26"/>
      <x:c r="D496" s="26" t="str">
        <x:v>Sprint_04</x:v>
      </x:c>
      <x:c r="E496" s="26" t="str">
        <x:v>Traceability</x:v>
      </x:c>
      <x:c r="F496" s="26" t="str">
        <x:v>Sprint 04</x:v>
      </x:c>
      <x:c r="G496" s="26" t="str">
        <x:v>S4_Document_Impact_Working_Matrix.md</x:v>
      </x:c>
      <x:c r="H496" s="26" t="str">
        <x:v>Markdown</x:v>
      </x:c>
      <x:c r="I496" s="26" t="str">
        <x:v>Traceability entry</x:v>
      </x:c>
      <x:c r="J496" s="26" t="n">
        <x:v>1258</x:v>
      </x:c>
      <x:c r="K496" s="26" t="str">
        <x:v>34ee42b468d3a8dd9246337d92843efcac8b61edb232464cc63bb3628e39b946</x:v>
      </x:c>
      <x:c r="L496" s="26" t="str">
        <x:v>DG-021</x:v>
      </x:c>
      <x:c r="M496" s="26" t="n">
        <x:v>2</x:v>
      </x:c>
      <x:c r="N496" s="26" t="str">
        <x:v>IDENTICAL COPY</x:v>
      </x:c>
      <x:c r="O496" s="26"/>
      <x:c r="P496" s="26"/>
      <x:c r="Q496" s="26" t="str">
        <x:v>Development evidence</x:v>
      </x:c>
      <x:c r="R496" s="26" t="str">
        <x:v>RETAIN AS EVIDENCE — NOT REPLACED BY SUMMARY</x:v>
      </x:c>
      <x:c r="S496" s="26" t="str">
        <x:v>10_Development_Records/Sprint_04/Traceability/S4_Document_Impact_Working_Matrix.md</x:v>
      </x:c>
      <x:c r="T496" s="26" t="str">
        <x:v>Historical path preserved verbatim; hash calculated from supplied pre-regeneration project.</x:v>
      </x:c>
    </x:row>
    <x:row r="497" ht="30" customHeight="1">
      <x:c r="A497" s="26" t="str">
        <x:v>H-0493</x:v>
      </x:c>
      <x:c r="B497" s="26" t="str">
        <x:v>Development Records</x:v>
      </x:c>
      <x:c r="C497" s="26"/>
      <x:c r="D497" s="26" t="str">
        <x:v>Sprint_04</x:v>
      </x:c>
      <x:c r="E497" s="26" t="str">
        <x:v>Traceability</x:v>
      </x:c>
      <x:c r="F497" s="26" t="str">
        <x:v>Sprint 04</x:v>
      </x:c>
      <x:c r="G497" s="26" t="str">
        <x:v>S4_Traceability_Entries.csv</x:v>
      </x:c>
      <x:c r="H497" s="26" t="str">
        <x:v>CSV</x:v>
      </x:c>
      <x:c r="I497" s="26" t="str">
        <x:v>Traceability entry</x:v>
      </x:c>
      <x:c r="J497" s="26" t="n">
        <x:v>1853</x:v>
      </x:c>
      <x:c r="K497" s="26" t="str">
        <x:v>c2dd2b16a70f7b52a38c76c67f1c0777b6e619dbdd2cf4975d7656dfb9f410ff</x:v>
      </x:c>
      <x:c r="L497" s="26" t="str">
        <x:v>DG-076</x:v>
      </x:c>
      <x:c r="M497" s="26" t="n">
        <x:v>2</x:v>
      </x:c>
      <x:c r="N497" s="26" t="str">
        <x:v>IDENTICAL COPY</x:v>
      </x:c>
      <x:c r="O497" s="26"/>
      <x:c r="P497" s="26"/>
      <x:c r="Q497" s="26" t="str">
        <x:v>Development evidence</x:v>
      </x:c>
      <x:c r="R497" s="26" t="str">
        <x:v>RETAIN AS EVIDENCE — NOT REPLACED BY SUMMARY</x:v>
      </x:c>
      <x:c r="S497" s="26" t="str">
        <x:v>10_Development_Records/Sprint_04/Traceability/S4_Traceability_Entries.csv</x:v>
      </x:c>
      <x:c r="T497" s="26" t="str">
        <x:v>Historical path preserved verbatim; hash calculated from supplied pre-regeneration project.</x:v>
      </x:c>
    </x:row>
    <x:row r="498" ht="30" customHeight="1">
      <x:c r="A498" s="26" t="str">
        <x:v>H-0494</x:v>
      </x:c>
      <x:c r="B498" s="26" t="str">
        <x:v>Development Records</x:v>
      </x:c>
      <x:c r="C498" s="26"/>
      <x:c r="D498" s="26" t="str">
        <x:v>Sprint_05</x:v>
      </x:c>
      <x:c r="E498" s="26" t="str">
        <x:v>Documentation</x:v>
      </x:c>
      <x:c r="F498" s="26" t="str">
        <x:v>Sprint 05</x:v>
      </x:c>
      <x:c r="G498" s="26" t="str">
        <x:v>S5.2_PreImplementation_Record.md</x:v>
      </x:c>
      <x:c r="H498" s="26" t="str">
        <x:v>Markdown</x:v>
      </x:c>
      <x:c r="I498" s="26" t="str">
        <x:v>Historical document / record</x:v>
      </x:c>
      <x:c r="J498" s="26" t="n">
        <x:v>759</x:v>
      </x:c>
      <x:c r="K498" s="26" t="str">
        <x:v>20fc6085c007060615ac12fcc62cf554b09f56aa9b959fa6446469a87c18203c</x:v>
      </x:c>
      <x:c r="L498" s="26"/>
      <x:c r="M498" s="26" t="n">
        <x:v>1</x:v>
      </x:c>
      <x:c r="N498" s="26" t="str">
        <x:v>UNIQUE</x:v>
      </x:c>
      <x:c r="O498" s="26"/>
      <x:c r="P498" s="26"/>
      <x:c r="Q498" s="26" t="str">
        <x:v>Development evidence</x:v>
      </x:c>
      <x:c r="R498" s="26" t="str">
        <x:v>RETAIN AS EVIDENCE — NOT REPLACED BY SUMMARY</x:v>
      </x:c>
      <x:c r="S498" s="26" t="str">
        <x:v>10_Development_Records/Sprint_05/Documentation/S5.2_PreImplementation_Record.md</x:v>
      </x:c>
      <x:c r="T498" s="26" t="str">
        <x:v>Historical path preserved verbatim; hash calculated from supplied pre-regeneration project.</x:v>
      </x:c>
    </x:row>
    <x:row r="499" ht="30" customHeight="1">
      <x:c r="A499" s="26" t="str">
        <x:v>H-0495</x:v>
      </x:c>
      <x:c r="B499" s="26" t="str">
        <x:v>Development Records</x:v>
      </x:c>
      <x:c r="C499" s="26"/>
      <x:c r="D499" s="26" t="str">
        <x:v>Sprint_05</x:v>
      </x:c>
      <x:c r="E499" s="26" t="str">
        <x:v>Documentation</x:v>
      </x:c>
      <x:c r="F499" s="26" t="str">
        <x:v>Sprint 05</x:v>
      </x:c>
      <x:c r="G499" s="26" t="str">
        <x:v>S5_5.4_PostImplementation_Record.md</x:v>
      </x:c>
      <x:c r="H499" s="26" t="str">
        <x:v>Markdown</x:v>
      </x:c>
      <x:c r="I499" s="26" t="str">
        <x:v>Historical document / record</x:v>
      </x:c>
      <x:c r="J499" s="26" t="n">
        <x:v>1625</x:v>
      </x:c>
      <x:c r="K499" s="26" t="str">
        <x:v>80578149d99d8d19960522a7ad446f1da1464c98f5d7ab300f2e8083ba6f3a30</x:v>
      </x:c>
      <x:c r="L499" s="26" t="str">
        <x:v>DG-049</x:v>
      </x:c>
      <x:c r="M499" s="26" t="n">
        <x:v>2</x:v>
      </x:c>
      <x:c r="N499" s="26" t="str">
        <x:v>IDENTICAL COPY</x:v>
      </x:c>
      <x:c r="O499" s="26"/>
      <x:c r="P499" s="26"/>
      <x:c r="Q499" s="26" t="str">
        <x:v>Development evidence</x:v>
      </x:c>
      <x:c r="R499" s="26" t="str">
        <x:v>RETAIN AS EVIDENCE — NOT REPLACED BY SUMMARY</x:v>
      </x:c>
      <x:c r="S499" s="26" t="str">
        <x:v>10_Development_Records/Sprint_05/Documentation/S5_5.4_PostImplementation_Record.md</x:v>
      </x:c>
      <x:c r="T499" s="26" t="str">
        <x:v>Historical path preserved verbatim; hash calculated from supplied pre-regeneration project.</x:v>
      </x:c>
    </x:row>
    <x:row r="500" ht="30" customHeight="1">
      <x:c r="A500" s="26" t="str">
        <x:v>H-0496</x:v>
      </x:c>
      <x:c r="B500" s="26" t="str">
        <x:v>Development Records</x:v>
      </x:c>
      <x:c r="C500" s="26"/>
      <x:c r="D500" s="26" t="str">
        <x:v>Sprint_05</x:v>
      </x:c>
      <x:c r="E500" s="26" t="str">
        <x:v>Documentation</x:v>
      </x:c>
      <x:c r="F500" s="26" t="str">
        <x:v>Sprint 05</x:v>
      </x:c>
      <x:c r="G500" s="26" t="str">
        <x:v>S5_Living_Documentation_Update.md</x:v>
      </x:c>
      <x:c r="H500" s="26" t="str">
        <x:v>Markdown</x:v>
      </x:c>
      <x:c r="I500" s="26" t="str">
        <x:v>Living documentation update</x:v>
      </x:c>
      <x:c r="J500" s="26" t="n">
        <x:v>1402</x:v>
      </x:c>
      <x:c r="K500" s="26" t="str">
        <x:v>6398fa2f46e55bb31a76c426e72b13ed617745fa8b8ac6d2f44ff00aaae9f5ea</x:v>
      </x:c>
      <x:c r="L500" s="26" t="str">
        <x:v>DG-040</x:v>
      </x:c>
      <x:c r="M500" s="26" t="n">
        <x:v>2</x:v>
      </x:c>
      <x:c r="N500" s="26" t="str">
        <x:v>IDENTICAL COPY</x:v>
      </x:c>
      <x:c r="O500" s="26"/>
      <x:c r="P500" s="26"/>
      <x:c r="Q500" s="26" t="str">
        <x:v>Development evidence</x:v>
      </x:c>
      <x:c r="R500" s="26" t="str">
        <x:v>RETAIN AS EVIDENCE — NOT REPLACED BY SUMMARY</x:v>
      </x:c>
      <x:c r="S500" s="26" t="str">
        <x:v>10_Development_Records/Sprint_05/Documentation/S5_Living_Documentation_Update.md</x:v>
      </x:c>
      <x:c r="T500" s="26" t="str">
        <x:v>Historical path preserved verbatim; hash calculated from supplied pre-regeneration project.</x:v>
      </x:c>
    </x:row>
    <x:row r="501" ht="30" customHeight="1">
      <x:c r="A501" s="26" t="str">
        <x:v>H-0497</x:v>
      </x:c>
      <x:c r="B501" s="26" t="str">
        <x:v>Development Records</x:v>
      </x:c>
      <x:c r="C501" s="26"/>
      <x:c r="D501" s="26" t="str">
        <x:v>Sprint_05</x:v>
      </x:c>
      <x:c r="E501" s="26" t="str">
        <x:v>Governance</x:v>
      </x:c>
      <x:c r="F501" s="26" t="str">
        <x:v>Sprint 05</x:v>
      </x:c>
      <x:c r="G501" s="26" t="str">
        <x:v>ADR-0020_Initial_Store_Shell_Dimensions_And_Entrance.md</x:v>
      </x:c>
      <x:c r="H501" s="26" t="str">
        <x:v>Markdown</x:v>
      </x:c>
      <x:c r="I501" s="26" t="str">
        <x:v>ADR</x:v>
      </x:c>
      <x:c r="J501" s="26" t="n">
        <x:v>870</x:v>
      </x:c>
      <x:c r="K501" s="26" t="str">
        <x:v>af706a1741b657833a36805700e10d25e2b66264438b488c1a8983e883799e3d</x:v>
      </x:c>
      <x:c r="L501" s="26" t="str">
        <x:v>DG-068</x:v>
      </x:c>
      <x:c r="M501" s="26" t="n">
        <x:v>2</x:v>
      </x:c>
      <x:c r="N501" s="26" t="str">
        <x:v>IDENTICAL COPY</x:v>
      </x:c>
      <x:c r="O501" s="26"/>
      <x:c r="P501" s="26"/>
      <x:c r="Q501" s="26" t="str">
        <x:v>Development evidence</x:v>
      </x:c>
      <x:c r="R501" s="26" t="str">
        <x:v>RETAIN AS EVIDENCE — NOT REPLACED BY SUMMARY</x:v>
      </x:c>
      <x:c r="S501" s="26" t="str">
        <x:v>10_Development_Records/Sprint_05/Governance/ADR-0020_Initial_Store_Shell_Dimensions_And_Entrance.md</x:v>
      </x:c>
      <x:c r="T501" s="26" t="str">
        <x:v>Historical path preserved verbatim; hash calculated from supplied pre-regeneration project.</x:v>
      </x:c>
    </x:row>
    <x:row r="502" ht="30" customHeight="1">
      <x:c r="A502" s="26" t="str">
        <x:v>H-0498</x:v>
      </x:c>
      <x:c r="B502" s="26" t="str">
        <x:v>Development Records</x:v>
      </x:c>
      <x:c r="C502" s="26"/>
      <x:c r="D502" s="26" t="str">
        <x:v>Sprint_05</x:v>
      </x:c>
      <x:c r="E502" s="26" t="str">
        <x:v>Governance</x:v>
      </x:c>
      <x:c r="F502" s="26" t="str">
        <x:v>Sprint 05</x:v>
      </x:c>
      <x:c r="G502" s="26" t="str">
        <x:v>ADR-0021_Logical_Store_Access_Validation.md</x:v>
      </x:c>
      <x:c r="H502" s="26" t="str">
        <x:v>Markdown</x:v>
      </x:c>
      <x:c r="I502" s="26" t="str">
        <x:v>ADR</x:v>
      </x:c>
      <x:c r="J502" s="26" t="n">
        <x:v>1131</x:v>
      </x:c>
      <x:c r="K502" s="26" t="str">
        <x:v>079eab3c8041ef624f17ba35976f8ac46627ed9ff192a910e1f0f4f63fee5fe7</x:v>
      </x:c>
      <x:c r="L502" s="26" t="str">
        <x:v>DG-003</x:v>
      </x:c>
      <x:c r="M502" s="26" t="n">
        <x:v>2</x:v>
      </x:c>
      <x:c r="N502" s="26" t="str">
        <x:v>IDENTICAL COPY</x:v>
      </x:c>
      <x:c r="O502" s="26"/>
      <x:c r="P502" s="26"/>
      <x:c r="Q502" s="26" t="str">
        <x:v>Development evidence</x:v>
      </x:c>
      <x:c r="R502" s="26" t="str">
        <x:v>RETAIN AS EVIDENCE — NOT REPLACED BY SUMMARY</x:v>
      </x:c>
      <x:c r="S502" s="26" t="str">
        <x:v>10_Development_Records/Sprint_05/Governance/ADR-0021_Logical_Store_Access_Validation.md</x:v>
      </x:c>
      <x:c r="T502" s="26" t="str">
        <x:v>Historical path preserved verbatim; hash calculated from supplied pre-regeneration project.</x:v>
      </x:c>
    </x:row>
    <x:row r="503" ht="30" customHeight="1">
      <x:c r="A503" s="26" t="str">
        <x:v>H-0499</x:v>
      </x:c>
      <x:c r="B503" s="26" t="str">
        <x:v>Development Records</x:v>
      </x:c>
      <x:c r="C503" s="26"/>
      <x:c r="D503" s="26" t="str">
        <x:v>Sprint_05</x:v>
      </x:c>
      <x:c r="E503" s="26" t="str">
        <x:v>Governance</x:v>
      </x:c>
      <x:c r="F503" s="26" t="str">
        <x:v>Sprint 05</x:v>
      </x:c>
      <x:c r="G503" s="26" t="str">
        <x:v>ADR-0022_Store_Placement_And_Access_Integration.md</x:v>
      </x:c>
      <x:c r="H503" s="26" t="str">
        <x:v>Markdown</x:v>
      </x:c>
      <x:c r="I503" s="26" t="str">
        <x:v>ADR</x:v>
      </x:c>
      <x:c r="J503" s="26" t="n">
        <x:v>1085</x:v>
      </x:c>
      <x:c r="K503" s="26" t="str">
        <x:v>f180b5eac43281274d001667b8fc49f39febfbacfeb78fec7d686b9e07546524</x:v>
      </x:c>
      <x:c r="L503" s="26" t="str">
        <x:v>DG-094</x:v>
      </x:c>
      <x:c r="M503" s="26" t="n">
        <x:v>2</x:v>
      </x:c>
      <x:c r="N503" s="26" t="str">
        <x:v>IDENTICAL COPY</x:v>
      </x:c>
      <x:c r="O503" s="26"/>
      <x:c r="P503" s="26"/>
      <x:c r="Q503" s="26" t="str">
        <x:v>Development evidence</x:v>
      </x:c>
      <x:c r="R503" s="26" t="str">
        <x:v>RETAIN AS EVIDENCE — NOT REPLACED BY SUMMARY</x:v>
      </x:c>
      <x:c r="S503" s="26" t="str">
        <x:v>10_Development_Records/Sprint_05/Governance/ADR-0022_Store_Placement_And_Access_Integration.md</x:v>
      </x:c>
      <x:c r="T503" s="26" t="str">
        <x:v>Historical path preserved verbatim; hash calculated from supplied pre-regeneration project.</x:v>
      </x:c>
    </x:row>
    <x:row r="504" ht="30" customHeight="1">
      <x:c r="A504" s="26" t="str">
        <x:v>H-0500</x:v>
      </x:c>
      <x:c r="B504" s="26" t="str">
        <x:v>Development Records</x:v>
      </x:c>
      <x:c r="C504" s="26"/>
      <x:c r="D504" s="26" t="str">
        <x:v>Sprint_05</x:v>
      </x:c>
      <x:c r="E504" s="26" t="str">
        <x:v>Governance</x:v>
      </x:c>
      <x:c r="F504" s="26" t="str">
        <x:v>Sprint 05</x:v>
      </x:c>
      <x:c r="G504" s="26" t="str">
        <x:v>ADR-0023_Sprint_05_Final_Integration_And_Build_Gate.md</x:v>
      </x:c>
      <x:c r="H504" s="26" t="str">
        <x:v>Markdown</x:v>
      </x:c>
      <x:c r="I504" s="26" t="str">
        <x:v>ADR</x:v>
      </x:c>
      <x:c r="J504" s="26" t="n">
        <x:v>972</x:v>
      </x:c>
      <x:c r="K504" s="26" t="str">
        <x:v>86eaea910888d35b0bb89c6a30aef788d767f38b95283339487890c29844f476</x:v>
      </x:c>
      <x:c r="L504" s="26" t="str">
        <x:v>DG-053</x:v>
      </x:c>
      <x:c r="M504" s="26" t="n">
        <x:v>2</x:v>
      </x:c>
      <x:c r="N504" s="26" t="str">
        <x:v>IDENTICAL COPY</x:v>
      </x:c>
      <x:c r="O504" s="26"/>
      <x:c r="P504" s="26"/>
      <x:c r="Q504" s="26" t="str">
        <x:v>Development evidence</x:v>
      </x:c>
      <x:c r="R504" s="26" t="str">
        <x:v>RETAIN AS EVIDENCE — NOT REPLACED BY SUMMARY</x:v>
      </x:c>
      <x:c r="S504" s="26" t="str">
        <x:v>10_Development_Records/Sprint_05/Governance/ADR-0023_Sprint_05_Final_Integration_And_Build_Gate.md</x:v>
      </x:c>
      <x:c r="T504" s="26" t="str">
        <x:v>Historical path preserved verbatim; hash calculated from supplied pre-regeneration project.</x:v>
      </x:c>
    </x:row>
    <x:row r="505" ht="30" customHeight="1">
      <x:c r="A505" s="26" t="str">
        <x:v>H-0501</x:v>
      </x:c>
      <x:c r="B505" s="26" t="str">
        <x:v>Development Records</x:v>
      </x:c>
      <x:c r="C505" s="26"/>
      <x:c r="D505" s="26" t="str">
        <x:v>Sprint_05</x:v>
      </x:c>
      <x:c r="E505" s="26" t="str">
        <x:v>Governance</x:v>
      </x:c>
      <x:c r="F505" s="26" t="str">
        <x:v>Sprint 05</x:v>
      </x:c>
      <x:c r="G505" s="26" t="str">
        <x:v>Sprint_05_Charter.md</x:v>
      </x:c>
      <x:c r="H505" s="26" t="str">
        <x:v>Markdown</x:v>
      </x:c>
      <x:c r="I505" s="26" t="str">
        <x:v>Sprint charter</x:v>
      </x:c>
      <x:c r="J505" s="26" t="n">
        <x:v>1571</x:v>
      </x:c>
      <x:c r="K505" s="26" t="str">
        <x:v>0d05eccfe0a61885dd779cb55bb2179cfadc7cbfdc730c697eea516d0b603632</x:v>
      </x:c>
      <x:c r="L505" s="26" t="str">
        <x:v>DG-005</x:v>
      </x:c>
      <x:c r="M505" s="26" t="n">
        <x:v>2</x:v>
      </x:c>
      <x:c r="N505" s="26" t="str">
        <x:v>IDENTICAL COPY</x:v>
      </x:c>
      <x:c r="O505" s="26"/>
      <x:c r="P505" s="26"/>
      <x:c r="Q505" s="26" t="str">
        <x:v>Development evidence</x:v>
      </x:c>
      <x:c r="R505" s="26" t="str">
        <x:v>RETAIN AS EVIDENCE — NOT REPLACED BY SUMMARY</x:v>
      </x:c>
      <x:c r="S505" s="26" t="str">
        <x:v>10_Development_Records/Sprint_05/Governance/Sprint_05_Charter.md</x:v>
      </x:c>
      <x:c r="T505" s="26" t="str">
        <x:v>Historical path preserved verbatim; hash calculated from supplied pre-regeneration project.</x:v>
      </x:c>
    </x:row>
    <x:row r="506" ht="30" customHeight="1">
      <x:c r="A506" s="26" t="str">
        <x:v>H-0502</x:v>
      </x:c>
      <x:c r="B506" s="26" t="str">
        <x:v>Development Records</x:v>
      </x:c>
      <x:c r="C506" s="26"/>
      <x:c r="D506" s="26" t="str">
        <x:v>Sprint_05</x:v>
      </x:c>
      <x:c r="E506" s="26" t="str">
        <x:v>Governance</x:v>
      </x:c>
      <x:c r="F506" s="26" t="str">
        <x:v>Sprint 05</x:v>
      </x:c>
      <x:c r="G506" s="26" t="str">
        <x:v>Sprint_05_Current_Status.md</x:v>
      </x:c>
      <x:c r="H506" s="26" t="str">
        <x:v>Markdown</x:v>
      </x:c>
      <x:c r="I506" s="26" t="str">
        <x:v>Current status</x:v>
      </x:c>
      <x:c r="J506" s="26" t="n">
        <x:v>2280</x:v>
      </x:c>
      <x:c r="K506" s="26" t="str">
        <x:v>2a2ca166756565fd85ea0bcbd05a5025bc352562fb251a42050ab35e9809b241</x:v>
      </x:c>
      <x:c r="L506" s="26" t="str">
        <x:v>DG-015</x:v>
      </x:c>
      <x:c r="M506" s="26" t="n">
        <x:v>2</x:v>
      </x:c>
      <x:c r="N506" s="26" t="str">
        <x:v>IDENTICAL COPY</x:v>
      </x:c>
      <x:c r="O506" s="26"/>
      <x:c r="P506" s="26"/>
      <x:c r="Q506" s="26" t="str">
        <x:v>Development evidence</x:v>
      </x:c>
      <x:c r="R506" s="26" t="str">
        <x:v>RETAIN AS EVIDENCE — NOT REPLACED BY SUMMARY</x:v>
      </x:c>
      <x:c r="S506" s="26" t="str">
        <x:v>10_Development_Records/Sprint_05/Governance/Sprint_05_Current_Status.md</x:v>
      </x:c>
      <x:c r="T506" s="26" t="str">
        <x:v>Historical path preserved verbatim; hash calculated from supplied pre-regeneration project.</x:v>
      </x:c>
    </x:row>
    <x:row r="507" ht="30" customHeight="1">
      <x:c r="A507" s="26" t="str">
        <x:v>H-0503</x:v>
      </x:c>
      <x:c r="B507" s="26" t="str">
        <x:v>Development Records</x:v>
      </x:c>
      <x:c r="C507" s="26"/>
      <x:c r="D507" s="26" t="str">
        <x:v>Sprint_05</x:v>
      </x:c>
      <x:c r="E507" s="26" t="str">
        <x:v>QA</x:v>
      </x:c>
      <x:c r="F507" s="26" t="str">
        <x:v>Sprint 05</x:v>
      </x:c>
      <x:c r="G507" s="26" t="str">
        <x:v>S5.1_Validation_Checklist.md</x:v>
      </x:c>
      <x:c r="H507" s="26" t="str">
        <x:v>Markdown</x:v>
      </x:c>
      <x:c r="I507" s="26" t="str">
        <x:v>Validation checklist</x:v>
      </x:c>
      <x:c r="J507" s="26" t="n">
        <x:v>871</x:v>
      </x:c>
      <x:c r="K507" s="26" t="str">
        <x:v>dba681ba566172cebf50f3be75fb1945018e196ebe93fcd9b4407267bb699c08</x:v>
      </x:c>
      <x:c r="L507" s="26" t="str">
        <x:v>DG-088</x:v>
      </x:c>
      <x:c r="M507" s="26" t="n">
        <x:v>2</x:v>
      </x:c>
      <x:c r="N507" s="26" t="str">
        <x:v>IDENTICAL COPY</x:v>
      </x:c>
      <x:c r="O507" s="26" t="str">
        <x:v>31</x:v>
      </x:c>
      <x:c r="P507" s="26" t="str">
        <x:v>02, 07, 08, 11, 13, 16, 31</x:v>
      </x:c>
      <x:c r="Q507" s="26" t="str">
        <x:v>Development evidence</x:v>
      </x:c>
      <x:c r="R507" s="26" t="str">
        <x:v>RETAIN AS EVIDENCE — NOT REPLACED BY SUMMARY</x:v>
      </x:c>
      <x:c r="S507" s="26" t="str">
        <x:v>10_Development_Records/Sprint_05/QA/S5.1_Validation_Checklist.md</x:v>
      </x:c>
      <x:c r="T507" s="26" t="str">
        <x:v>Historical path preserved verbatim; hash calculated from supplied pre-regeneration project.</x:v>
      </x:c>
    </x:row>
    <x:row r="508" ht="30" customHeight="1">
      <x:c r="A508" s="26" t="str">
        <x:v>H-0504</x:v>
      </x:c>
      <x:c r="B508" s="26" t="str">
        <x:v>Development Records</x:v>
      </x:c>
      <x:c r="C508" s="26"/>
      <x:c r="D508" s="26" t="str">
        <x:v>Sprint_05</x:v>
      </x:c>
      <x:c r="E508" s="26" t="str">
        <x:v>QA</x:v>
      </x:c>
      <x:c r="F508" s="26" t="str">
        <x:v>Sprint 05</x:v>
      </x:c>
      <x:c r="G508" s="26" t="str">
        <x:v>S5.2_Validation_Checklist.md</x:v>
      </x:c>
      <x:c r="H508" s="26" t="str">
        <x:v>Markdown</x:v>
      </x:c>
      <x:c r="I508" s="26" t="str">
        <x:v>Validation checklist</x:v>
      </x:c>
      <x:c r="J508" s="26" t="n">
        <x:v>1340</x:v>
      </x:c>
      <x:c r="K508" s="26" t="str">
        <x:v>b5397d64a2dd02e76abf1c6a2a2f1b8be245c7b0993593de4d9d0147c22e39c0</x:v>
      </x:c>
      <x:c r="L508" s="26" t="str">
        <x:v>DG-071</x:v>
      </x:c>
      <x:c r="M508" s="26" t="n">
        <x:v>2</x:v>
      </x:c>
      <x:c r="N508" s="26" t="str">
        <x:v>IDENTICAL COPY</x:v>
      </x:c>
      <x:c r="O508" s="26" t="str">
        <x:v>31</x:v>
      </x:c>
      <x:c r="P508" s="26" t="str">
        <x:v>02, 07, 08, 11, 13, 16, 31</x:v>
      </x:c>
      <x:c r="Q508" s="26" t="str">
        <x:v>Development evidence</x:v>
      </x:c>
      <x:c r="R508" s="26" t="str">
        <x:v>RETAIN AS EVIDENCE — NOT REPLACED BY SUMMARY</x:v>
      </x:c>
      <x:c r="S508" s="26" t="str">
        <x:v>10_Development_Records/Sprint_05/QA/S5.2_Validation_Checklist.md</x:v>
      </x:c>
      <x:c r="T508" s="26" t="str">
        <x:v>Historical path preserved verbatim; hash calculated from supplied pre-regeneration project.</x:v>
      </x:c>
    </x:row>
    <x:row r="509" ht="30" customHeight="1">
      <x:c r="A509" s="26" t="str">
        <x:v>H-0505</x:v>
      </x:c>
      <x:c r="B509" s="26" t="str">
        <x:v>Development Records</x:v>
      </x:c>
      <x:c r="C509" s="26"/>
      <x:c r="D509" s="26" t="str">
        <x:v>Sprint_05</x:v>
      </x:c>
      <x:c r="E509" s="26" t="str">
        <x:v>QA</x:v>
      </x:c>
      <x:c r="F509" s="26" t="str">
        <x:v>Sprint 05</x:v>
      </x:c>
      <x:c r="G509" s="26" t="str">
        <x:v>S5.3_Validation_Checklist.md</x:v>
      </x:c>
      <x:c r="H509" s="26" t="str">
        <x:v>Markdown</x:v>
      </x:c>
      <x:c r="I509" s="26" t="str">
        <x:v>Validation checklist</x:v>
      </x:c>
      <x:c r="J509" s="26" t="n">
        <x:v>1306</x:v>
      </x:c>
      <x:c r="K509" s="26" t="str">
        <x:v>e443533c5c2372eb4f308301e7b20c93c2c64f44c55738dda64bb5c7510ce209</x:v>
      </x:c>
      <x:c r="L509" s="26" t="str">
        <x:v>DG-093</x:v>
      </x:c>
      <x:c r="M509" s="26" t="n">
        <x:v>2</x:v>
      </x:c>
      <x:c r="N509" s="26" t="str">
        <x:v>IDENTICAL COPY</x:v>
      </x:c>
      <x:c r="O509" s="26" t="str">
        <x:v>31</x:v>
      </x:c>
      <x:c r="P509" s="26" t="str">
        <x:v>02, 07, 08, 11, 13, 16, 31</x:v>
      </x:c>
      <x:c r="Q509" s="26" t="str">
        <x:v>Development evidence</x:v>
      </x:c>
      <x:c r="R509" s="26" t="str">
        <x:v>RETAIN AS EVIDENCE — NOT REPLACED BY SUMMARY</x:v>
      </x:c>
      <x:c r="S509" s="26" t="str">
        <x:v>10_Development_Records/Sprint_05/QA/S5.3_Validation_Checklist.md</x:v>
      </x:c>
      <x:c r="T509" s="26" t="str">
        <x:v>Historical path preserved verbatim; hash calculated from supplied pre-regeneration project.</x:v>
      </x:c>
    </x:row>
    <x:row r="510" ht="30" customHeight="1">
      <x:c r="A510" s="26" t="str">
        <x:v>H-0506</x:v>
      </x:c>
      <x:c r="B510" s="26" t="str">
        <x:v>Development Records</x:v>
      </x:c>
      <x:c r="C510" s="26"/>
      <x:c r="D510" s="26" t="str">
        <x:v>Sprint_05</x:v>
      </x:c>
      <x:c r="E510" s="26" t="str">
        <x:v>QA</x:v>
      </x:c>
      <x:c r="F510" s="26" t="str">
        <x:v>Sprint 05</x:v>
      </x:c>
      <x:c r="G510" s="26" t="str">
        <x:v>S5.4_Build_Execution_Record.md</x:v>
      </x:c>
      <x:c r="H510" s="26" t="str">
        <x:v>Markdown</x:v>
      </x:c>
      <x:c r="I510" s="26" t="str">
        <x:v>Build execution evidence</x:v>
      </x:c>
      <x:c r="J510" s="26" t="n">
        <x:v>1347</x:v>
      </x:c>
      <x:c r="K510" s="26" t="str">
        <x:v>83700192228af99fb4487bdf4cdd1332d13a194be7cd5fb197278013952f8fe1</x:v>
      </x:c>
      <x:c r="L510" s="26" t="str">
        <x:v>DG-051</x:v>
      </x:c>
      <x:c r="M510" s="26" t="n">
        <x:v>2</x:v>
      </x:c>
      <x:c r="N510" s="26" t="str">
        <x:v>IDENTICAL COPY</x:v>
      </x:c>
      <x:c r="O510" s="26" t="str">
        <x:v>31</x:v>
      </x:c>
      <x:c r="P510" s="26" t="str">
        <x:v>02, 07, 08, 11, 13, 16, 31</x:v>
      </x:c>
      <x:c r="Q510" s="26" t="str">
        <x:v>Development evidence</x:v>
      </x:c>
      <x:c r="R510" s="26" t="str">
        <x:v>RETAIN AS EVIDENCE — NOT REPLACED BY SUMMARY</x:v>
      </x:c>
      <x:c r="S510" s="26" t="str">
        <x:v>10_Development_Records/Sprint_05/QA/S5.4_Build_Execution_Record.md</x:v>
      </x:c>
      <x:c r="T510" s="26" t="str">
        <x:v>Historical path preserved verbatim; hash calculated from supplied pre-regeneration project.</x:v>
      </x:c>
    </x:row>
    <x:row r="511" ht="30" customHeight="1">
      <x:c r="A511" s="26" t="str">
        <x:v>H-0507</x:v>
      </x:c>
      <x:c r="B511" s="26" t="str">
        <x:v>Development Records</x:v>
      </x:c>
      <x:c r="C511" s="26"/>
      <x:c r="D511" s="26" t="str">
        <x:v>Sprint_05</x:v>
      </x:c>
      <x:c r="E511" s="26" t="str">
        <x:v>QA</x:v>
      </x:c>
      <x:c r="F511" s="26" t="str">
        <x:v>Sprint 05</x:v>
      </x:c>
      <x:c r="G511" s="26" t="str">
        <x:v>S5.4_Validation_Checklist.md</x:v>
      </x:c>
      <x:c r="H511" s="26" t="str">
        <x:v>Markdown</x:v>
      </x:c>
      <x:c r="I511" s="26" t="str">
        <x:v>Validation checklist</x:v>
      </x:c>
      <x:c r="J511" s="26" t="n">
        <x:v>1839</x:v>
      </x:c>
      <x:c r="K511" s="26" t="str">
        <x:v>99d648322bc2b6f6ca1dff0fae525dae89f84c6726bf4ed749bb09bd1a1f155c</x:v>
      </x:c>
      <x:c r="L511" s="26" t="str">
        <x:v>DG-058</x:v>
      </x:c>
      <x:c r="M511" s="26" t="n">
        <x:v>2</x:v>
      </x:c>
      <x:c r="N511" s="26" t="str">
        <x:v>IDENTICAL COPY</x:v>
      </x:c>
      <x:c r="O511" s="26" t="str">
        <x:v>31</x:v>
      </x:c>
      <x:c r="P511" s="26" t="str">
        <x:v>02, 07, 08, 11, 13, 16, 31</x:v>
      </x:c>
      <x:c r="Q511" s="26" t="str">
        <x:v>Development evidence</x:v>
      </x:c>
      <x:c r="R511" s="26" t="str">
        <x:v>RETAIN AS EVIDENCE — NOT REPLACED BY SUMMARY</x:v>
      </x:c>
      <x:c r="S511" s="26" t="str">
        <x:v>10_Development_Records/Sprint_05/QA/S5.4_Validation_Checklist.md</x:v>
      </x:c>
      <x:c r="T511" s="26" t="str">
        <x:v>Historical path preserved verbatim; hash calculated from supplied pre-regeneration project.</x:v>
      </x:c>
    </x:row>
    <x:row r="512" ht="30" customHeight="1">
      <x:c r="A512" s="26" t="str">
        <x:v>H-0508</x:v>
      </x:c>
      <x:c r="B512" s="26" t="str">
        <x:v>Development Records</x:v>
      </x:c>
      <x:c r="C512" s="26"/>
      <x:c r="D512" s="26" t="str">
        <x:v>Sprint_05</x:v>
      </x:c>
      <x:c r="E512" s="26" t="str">
        <x:v>QA</x:v>
      </x:c>
      <x:c r="F512" s="26" t="str">
        <x:v>Sprint 05</x:v>
      </x:c>
      <x:c r="G512" s="26" t="str">
        <x:v>S5_Acceptance_Matrix.md</x:v>
      </x:c>
      <x:c r="H512" s="26" t="str">
        <x:v>Markdown</x:v>
      </x:c>
      <x:c r="I512" s="26" t="str">
        <x:v>Acceptance matrix</x:v>
      </x:c>
      <x:c r="J512" s="26" t="n">
        <x:v>2498</x:v>
      </x:c>
      <x:c r="K512" s="26" t="str">
        <x:v>3c265e9509b133370788c1ea024e4de481f773b526a524f2ec880d60abe053b6</x:v>
      </x:c>
      <x:c r="L512" s="26" t="str">
        <x:v>DG-023</x:v>
      </x:c>
      <x:c r="M512" s="26" t="n">
        <x:v>2</x:v>
      </x:c>
      <x:c r="N512" s="26" t="str">
        <x:v>IDENTICAL COPY</x:v>
      </x:c>
      <x:c r="O512" s="26" t="str">
        <x:v>31</x:v>
      </x:c>
      <x:c r="P512" s="26" t="str">
        <x:v>02, 07, 08, 11, 13, 16, 31</x:v>
      </x:c>
      <x:c r="Q512" s="26" t="str">
        <x:v>Development evidence</x:v>
      </x:c>
      <x:c r="R512" s="26" t="str">
        <x:v>RETAIN AS EVIDENCE — NOT REPLACED BY SUMMARY</x:v>
      </x:c>
      <x:c r="S512" s="26" t="str">
        <x:v>10_Development_Records/Sprint_05/QA/S5_Acceptance_Matrix.md</x:v>
      </x:c>
      <x:c r="T512" s="26" t="str">
        <x:v>Historical path preserved verbatim; hash calculated from supplied pre-regeneration project.</x:v>
      </x:c>
    </x:row>
    <x:row r="513" ht="30" customHeight="1">
      <x:c r="A513" s="26" t="str">
        <x:v>H-0509</x:v>
      </x:c>
      <x:c r="B513" s="26" t="str">
        <x:v>Development Records</x:v>
      </x:c>
      <x:c r="C513" s="26"/>
      <x:c r="D513" s="26" t="str">
        <x:v>Sprint_05</x:v>
      </x:c>
      <x:c r="E513" s="26" t="str">
        <x:v>QA</x:v>
      </x:c>
      <x:c r="F513" s="26" t="str">
        <x:v>Sprint 05</x:v>
      </x:c>
      <x:c r="G513" s="26" t="str">
        <x:v>S5_QA_Execution_Record.md</x:v>
      </x:c>
      <x:c r="H513" s="26" t="str">
        <x:v>Markdown</x:v>
      </x:c>
      <x:c r="I513" s="26" t="str">
        <x:v>QA execution evidence</x:v>
      </x:c>
      <x:c r="J513" s="26" t="n">
        <x:v>2607</x:v>
      </x:c>
      <x:c r="K513" s="26" t="str">
        <x:v>28e52cfc1189efc63cafabf899b0b94924bf2fb3edb92a43973797fcb77616d4</x:v>
      </x:c>
      <x:c r="L513" s="26" t="str">
        <x:v>DG-013</x:v>
      </x:c>
      <x:c r="M513" s="26" t="n">
        <x:v>2</x:v>
      </x:c>
      <x:c r="N513" s="26" t="str">
        <x:v>IDENTICAL COPY</x:v>
      </x:c>
      <x:c r="O513" s="26" t="str">
        <x:v>31</x:v>
      </x:c>
      <x:c r="P513" s="26" t="str">
        <x:v>02, 07, 08, 11, 13, 16, 31</x:v>
      </x:c>
      <x:c r="Q513" s="26" t="str">
        <x:v>Development evidence</x:v>
      </x:c>
      <x:c r="R513" s="26" t="str">
        <x:v>RETAIN AS EVIDENCE — NOT REPLACED BY SUMMARY</x:v>
      </x:c>
      <x:c r="S513" s="26" t="str">
        <x:v>10_Development_Records/Sprint_05/QA/S5_QA_Execution_Record.md</x:v>
      </x:c>
      <x:c r="T513" s="26" t="str">
        <x:v>Historical path preserved verbatim; hash calculated from supplied pre-regeneration project.</x:v>
      </x:c>
    </x:row>
    <x:row r="514" ht="30" customHeight="1">
      <x:c r="A514" s="26" t="str">
        <x:v>H-0510</x:v>
      </x:c>
      <x:c r="B514" s="26" t="str">
        <x:v>Development Records</x:v>
      </x:c>
      <x:c r="C514" s="26"/>
      <x:c r="D514" s="26" t="str">
        <x:v>Sprint_05</x:v>
      </x:c>
      <x:c r="E514" s="26" t="str">
        <x:v>S5_Applied_Changes_Report.md</x:v>
      </x:c>
      <x:c r="F514" s="26" t="str">
        <x:v>Sprint 05</x:v>
      </x:c>
      <x:c r="G514" s="26" t="str">
        <x:v>S5_Applied_Changes_Report.md</x:v>
      </x:c>
      <x:c r="H514" s="26" t="str">
        <x:v>Markdown</x:v>
      </x:c>
      <x:c r="I514" s="26" t="str">
        <x:v>Applied change report</x:v>
      </x:c>
      <x:c r="J514" s="26" t="n">
        <x:v>2024</x:v>
      </x:c>
      <x:c r="K514" s="26" t="str">
        <x:v>cd78c06fec02733a316a904135cabc94d84af31640488c558d62da9227708c72</x:v>
      </x:c>
      <x:c r="L514" s="26" t="str">
        <x:v>DG-083</x:v>
      </x:c>
      <x:c r="M514" s="26" t="n">
        <x:v>2</x:v>
      </x:c>
      <x:c r="N514" s="26" t="str">
        <x:v>IDENTICAL COPY</x:v>
      </x:c>
      <x:c r="O514" s="26"/>
      <x:c r="P514" s="26"/>
      <x:c r="Q514" s="26" t="str">
        <x:v>Development evidence</x:v>
      </x:c>
      <x:c r="R514" s="26" t="str">
        <x:v>RETAIN AS EVIDENCE — NOT REPLACED BY SUMMARY</x:v>
      </x:c>
      <x:c r="S514" s="26" t="str">
        <x:v>10_Development_Records/Sprint_05/S5_Applied_Changes_Report.md</x:v>
      </x:c>
      <x:c r="T514" s="26" t="str">
        <x:v>Historical path preserved verbatim; hash calculated from supplied pre-regeneration project.</x:v>
      </x:c>
    </x:row>
    <x:row r="515" ht="30" customHeight="1">
      <x:c r="A515" s="26" t="str">
        <x:v>H-0511</x:v>
      </x:c>
      <x:c r="B515" s="26" t="str">
        <x:v>Development Records</x:v>
      </x:c>
      <x:c r="C515" s="26"/>
      <x:c r="D515" s="26" t="str">
        <x:v>Sprint_05</x:v>
      </x:c>
      <x:c r="E515" s="26" t="str">
        <x:v>Sprint_05_Closure_Report.md</x:v>
      </x:c>
      <x:c r="F515" s="26" t="str">
        <x:v>Sprint 05</x:v>
      </x:c>
      <x:c r="G515" s="26" t="str">
        <x:v>Sprint_05_Closure_Report.md</x:v>
      </x:c>
      <x:c r="H515" s="26" t="str">
        <x:v>Markdown</x:v>
      </x:c>
      <x:c r="I515" s="26" t="str">
        <x:v>Sprint closure</x:v>
      </x:c>
      <x:c r="J515" s="26" t="n">
        <x:v>2620</x:v>
      </x:c>
      <x:c r="K515" s="26" t="str">
        <x:v>8065ffa0649ba8c67d0c754cc551d1db3f721aeedc071e9f8317a9c97264e11c</x:v>
      </x:c>
      <x:c r="L515" s="26" t="str">
        <x:v>DG-050</x:v>
      </x:c>
      <x:c r="M515" s="26" t="n">
        <x:v>2</x:v>
      </x:c>
      <x:c r="N515" s="26" t="str">
        <x:v>IDENTICAL COPY</x:v>
      </x:c>
      <x:c r="O515" s="26"/>
      <x:c r="P515" s="26"/>
      <x:c r="Q515" s="26" t="str">
        <x:v>Development evidence</x:v>
      </x:c>
      <x:c r="R515" s="26" t="str">
        <x:v>RETAIN AS EVIDENCE — NOT REPLACED BY SUMMARY</x:v>
      </x:c>
      <x:c r="S515" s="26" t="str">
        <x:v>10_Development_Records/Sprint_05/Sprint_05_Closure_Report.md</x:v>
      </x:c>
      <x:c r="T515" s="26" t="str">
        <x:v>Historical path preserved verbatim; hash calculated from supplied pre-regeneration project.</x:v>
      </x:c>
    </x:row>
    <x:row r="516" ht="30" customHeight="1">
      <x:c r="A516" s="26" t="str">
        <x:v>H-0512</x:v>
      </x:c>
      <x:c r="B516" s="26" t="str">
        <x:v>Development Records</x:v>
      </x:c>
      <x:c r="C516" s="26"/>
      <x:c r="D516" s="26" t="str">
        <x:v>Sprint_05</x:v>
      </x:c>
      <x:c r="E516" s="26" t="str">
        <x:v>Traceability</x:v>
      </x:c>
      <x:c r="F516" s="26" t="str">
        <x:v>Sprint 05</x:v>
      </x:c>
      <x:c r="G516" s="26" t="str">
        <x:v>S5.1_Traceability_Record.md</x:v>
      </x:c>
      <x:c r="H516" s="26" t="str">
        <x:v>Markdown</x:v>
      </x:c>
      <x:c r="I516" s="26" t="str">
        <x:v>Traceability entry</x:v>
      </x:c>
      <x:c r="J516" s="26" t="n">
        <x:v>715</x:v>
      </x:c>
      <x:c r="K516" s="26" t="str">
        <x:v>3b71288f79756b8e20648ac1697054c47af6939a42b0ccb5bda0bbb9ffb86380</x:v>
      </x:c>
      <x:c r="L516" s="26"/>
      <x:c r="M516" s="26" t="n">
        <x:v>1</x:v>
      </x:c>
      <x:c r="N516" s="26" t="str">
        <x:v>UNIQUE</x:v>
      </x:c>
      <x:c r="O516" s="26"/>
      <x:c r="P516" s="26"/>
      <x:c r="Q516" s="26" t="str">
        <x:v>Development evidence</x:v>
      </x:c>
      <x:c r="R516" s="26" t="str">
        <x:v>RETAIN AS EVIDENCE — NOT REPLACED BY SUMMARY</x:v>
      </x:c>
      <x:c r="S516" s="26" t="str">
        <x:v>10_Development_Records/Sprint_05/Traceability/S5.1_Traceability_Record.md</x:v>
      </x:c>
      <x:c r="T516" s="26" t="str">
        <x:v>Historical path preserved verbatim; hash calculated from supplied pre-regeneration project.</x:v>
      </x:c>
    </x:row>
    <x:row r="517" ht="30" customHeight="1">
      <x:c r="A517" s="26" t="str">
        <x:v>H-0513</x:v>
      </x:c>
      <x:c r="B517" s="26" t="str">
        <x:v>Development Records</x:v>
      </x:c>
      <x:c r="C517" s="26"/>
      <x:c r="D517" s="26" t="str">
        <x:v>Sprint_05</x:v>
      </x:c>
      <x:c r="E517" s="26" t="str">
        <x:v>Traceability</x:v>
      </x:c>
      <x:c r="F517" s="26" t="str">
        <x:v>Sprint 05</x:v>
      </x:c>
      <x:c r="G517" s="26" t="str">
        <x:v>S5.2_Traceability_Record.md</x:v>
      </x:c>
      <x:c r="H517" s="26" t="str">
        <x:v>Markdown</x:v>
      </x:c>
      <x:c r="I517" s="26" t="str">
        <x:v>Traceability entry</x:v>
      </x:c>
      <x:c r="J517" s="26" t="n">
        <x:v>688</x:v>
      </x:c>
      <x:c r="K517" s="26" t="str">
        <x:v>200e0e45abd2cc141b0bfcd715dafcb3d24d305fb0aeaa515cf7be6195fa3650</x:v>
      </x:c>
      <x:c r="L517" s="26"/>
      <x:c r="M517" s="26" t="n">
        <x:v>1</x:v>
      </x:c>
      <x:c r="N517" s="26" t="str">
        <x:v>UNIQUE</x:v>
      </x:c>
      <x:c r="O517" s="26"/>
      <x:c r="P517" s="26"/>
      <x:c r="Q517" s="26" t="str">
        <x:v>Development evidence</x:v>
      </x:c>
      <x:c r="R517" s="26" t="str">
        <x:v>RETAIN AS EVIDENCE — NOT REPLACED BY SUMMARY</x:v>
      </x:c>
      <x:c r="S517" s="26" t="str">
        <x:v>10_Development_Records/Sprint_05/Traceability/S5.2_Traceability_Record.md</x:v>
      </x:c>
      <x:c r="T517" s="26" t="str">
        <x:v>Historical path preserved verbatim; hash calculated from supplied pre-regeneration project.</x:v>
      </x:c>
    </x:row>
    <x:row r="518" ht="30" customHeight="1">
      <x:c r="A518" s="26" t="str">
        <x:v>H-0514</x:v>
      </x:c>
      <x:c r="B518" s="26" t="str">
        <x:v>Development Records</x:v>
      </x:c>
      <x:c r="C518" s="26"/>
      <x:c r="D518" s="26" t="str">
        <x:v>Sprint_05</x:v>
      </x:c>
      <x:c r="E518" s="26" t="str">
        <x:v>Traceability</x:v>
      </x:c>
      <x:c r="F518" s="26" t="str">
        <x:v>Sprint 05</x:v>
      </x:c>
      <x:c r="G518" s="26" t="str">
        <x:v>S5.3_Traceability_Record.md</x:v>
      </x:c>
      <x:c r="H518" s="26" t="str">
        <x:v>Markdown</x:v>
      </x:c>
      <x:c r="I518" s="26" t="str">
        <x:v>Traceability entry</x:v>
      </x:c>
      <x:c r="J518" s="26" t="n">
        <x:v>586</x:v>
      </x:c>
      <x:c r="K518" s="26" t="str">
        <x:v>e2eb3b8f62f48d67aa6ecae7894674b667a658f54df47e0e55d1599ef3b0e29b</x:v>
      </x:c>
      <x:c r="L518" s="26"/>
      <x:c r="M518" s="26" t="n">
        <x:v>1</x:v>
      </x:c>
      <x:c r="N518" s="26" t="str">
        <x:v>UNIQUE</x:v>
      </x:c>
      <x:c r="O518" s="26"/>
      <x:c r="P518" s="26"/>
      <x:c r="Q518" s="26" t="str">
        <x:v>Development evidence</x:v>
      </x:c>
      <x:c r="R518" s="26" t="str">
        <x:v>RETAIN AS EVIDENCE — NOT REPLACED BY SUMMARY</x:v>
      </x:c>
      <x:c r="S518" s="26" t="str">
        <x:v>10_Development_Records/Sprint_05/Traceability/S5.3_Traceability_Record.md</x:v>
      </x:c>
      <x:c r="T518" s="26" t="str">
        <x:v>Historical path preserved verbatim; hash calculated from supplied pre-regeneration project.</x:v>
      </x:c>
    </x:row>
    <x:row r="519" ht="30" customHeight="1">
      <x:c r="A519" s="26" t="str">
        <x:v>H-0515</x:v>
      </x:c>
      <x:c r="B519" s="26" t="str">
        <x:v>Development Records</x:v>
      </x:c>
      <x:c r="C519" s="26"/>
      <x:c r="D519" s="26" t="str">
        <x:v>Sprint_05</x:v>
      </x:c>
      <x:c r="E519" s="26" t="str">
        <x:v>Traceability</x:v>
      </x:c>
      <x:c r="F519" s="26" t="str">
        <x:v>Sprint 05</x:v>
      </x:c>
      <x:c r="G519" s="26" t="str">
        <x:v>S5_Document_Impact_Working_Matrix.md</x:v>
      </x:c>
      <x:c r="H519" s="26" t="str">
        <x:v>Markdown</x:v>
      </x:c>
      <x:c r="I519" s="26" t="str">
        <x:v>Traceability entry</x:v>
      </x:c>
      <x:c r="J519" s="26" t="n">
        <x:v>1243</x:v>
      </x:c>
      <x:c r="K519" s="26" t="str">
        <x:v>3383c88a53d814e3d128959ce907fc91d89eae8adbe22d936baa9408fec79b14</x:v>
      </x:c>
      <x:c r="L519" s="26" t="str">
        <x:v>DG-019</x:v>
      </x:c>
      <x:c r="M519" s="26" t="n">
        <x:v>2</x:v>
      </x:c>
      <x:c r="N519" s="26" t="str">
        <x:v>IDENTICAL COPY</x:v>
      </x:c>
      <x:c r="O519" s="26"/>
      <x:c r="P519" s="26"/>
      <x:c r="Q519" s="26" t="str">
        <x:v>Development evidence</x:v>
      </x:c>
      <x:c r="R519" s="26" t="str">
        <x:v>RETAIN AS EVIDENCE — NOT REPLACED BY SUMMARY</x:v>
      </x:c>
      <x:c r="S519" s="26" t="str">
        <x:v>10_Development_Records/Sprint_05/Traceability/S5_Document_Impact_Working_Matrix.md</x:v>
      </x:c>
      <x:c r="T519" s="26" t="str">
        <x:v>Historical path preserved verbatim; hash calculated from supplied pre-regeneration project.</x:v>
      </x:c>
    </x:row>
    <x:row r="520" ht="30" customHeight="1">
      <x:c r="A520" s="26" t="str">
        <x:v>H-0516</x:v>
      </x:c>
      <x:c r="B520" s="26" t="str">
        <x:v>Development Records</x:v>
      </x:c>
      <x:c r="C520" s="26"/>
      <x:c r="D520" s="26" t="str">
        <x:v>Sprint_05</x:v>
      </x:c>
      <x:c r="E520" s="26" t="str">
        <x:v>Traceability</x:v>
      </x:c>
      <x:c r="F520" s="26" t="str">
        <x:v>Sprint 05</x:v>
      </x:c>
      <x:c r="G520" s="26" t="str">
        <x:v>S5_Traceability_Entries.csv</x:v>
      </x:c>
      <x:c r="H520" s="26" t="str">
        <x:v>CSV</x:v>
      </x:c>
      <x:c r="I520" s="26" t="str">
        <x:v>Traceability entry</x:v>
      </x:c>
      <x:c r="J520" s="26" t="n">
        <x:v>1761</x:v>
      </x:c>
      <x:c r="K520" s="26" t="str">
        <x:v>c7135697cfaadadf20f3639103c0bfdadbed24fc67a499aff27b460cffb2602b</x:v>
      </x:c>
      <x:c r="L520" s="26" t="str">
        <x:v>DG-078</x:v>
      </x:c>
      <x:c r="M520" s="26" t="n">
        <x:v>2</x:v>
      </x:c>
      <x:c r="N520" s="26" t="str">
        <x:v>IDENTICAL COPY</x:v>
      </x:c>
      <x:c r="O520" s="26"/>
      <x:c r="P520" s="26"/>
      <x:c r="Q520" s="26" t="str">
        <x:v>Development evidence</x:v>
      </x:c>
      <x:c r="R520" s="26" t="str">
        <x:v>RETAIN AS EVIDENCE — NOT REPLACED BY SUMMARY</x:v>
      </x:c>
      <x:c r="S520" s="26" t="str">
        <x:v>10_Development_Records/Sprint_05/Traceability/S5_Traceability_Entries.csv</x:v>
      </x:c>
      <x:c r="T520" s="26" t="str">
        <x:v>Historical path preserved verbatim; hash calculated from supplied pre-regeneration project.</x:v>
      </x:c>
    </x:row>
    <x:row r="521" ht="30" customHeight="1">
      <x:c r="A521" s="26" t="str">
        <x:v>H-0517</x:v>
      </x:c>
      <x:c r="B521" s="26" t="str">
        <x:v>Development Records</x:v>
      </x:c>
      <x:c r="C521" s="26"/>
      <x:c r="D521" s="26" t="str">
        <x:v>Sprint_06</x:v>
      </x:c>
      <x:c r="E521" s="26" t="str">
        <x:v>Documentation</x:v>
      </x:c>
      <x:c r="F521" s="26" t="str">
        <x:v>Sprint 06</x:v>
      </x:c>
      <x:c r="G521" s="26" t="str">
        <x:v>S6_PostImplementation_Record.md</x:v>
      </x:c>
      <x:c r="H521" s="26" t="str">
        <x:v>Markdown</x:v>
      </x:c>
      <x:c r="I521" s="26" t="str">
        <x:v>Historical document / record</x:v>
      </x:c>
      <x:c r="J521" s="26" t="n">
        <x:v>1055</x:v>
      </x:c>
      <x:c r="K521" s="26" t="str">
        <x:v>8e05e7d148c68c5af0f700283b34d533081bc3e7ce63dea745ea2169640093f1</x:v>
      </x:c>
      <x:c r="L521" s="26"/>
      <x:c r="M521" s="26" t="n">
        <x:v>1</x:v>
      </x:c>
      <x:c r="N521" s="26" t="str">
        <x:v>UNIQUE</x:v>
      </x:c>
      <x:c r="O521" s="26"/>
      <x:c r="P521" s="26"/>
      <x:c r="Q521" s="26" t="str">
        <x:v>Development evidence</x:v>
      </x:c>
      <x:c r="R521" s="26" t="str">
        <x:v>RETAIN AS EVIDENCE — NOT REPLACED BY SUMMARY</x:v>
      </x:c>
      <x:c r="S521" s="26" t="str">
        <x:v>10_Development_Records/Sprint_06/Documentation/S6_PostImplementation_Record.md</x:v>
      </x:c>
      <x:c r="T521" s="26" t="str">
        <x:v>Historical path preserved verbatim; hash calculated from supplied pre-regeneration project.</x:v>
      </x:c>
    </x:row>
    <x:row r="522" ht="30" customHeight="1">
      <x:c r="A522" s="26" t="str">
        <x:v>H-0518</x:v>
      </x:c>
      <x:c r="B522" s="26" t="str">
        <x:v>Development Records</x:v>
      </x:c>
      <x:c r="C522" s="26"/>
      <x:c r="D522" s="26" t="str">
        <x:v>Sprint_06</x:v>
      </x:c>
      <x:c r="E522" s="26" t="str">
        <x:v>Documentation</x:v>
      </x:c>
      <x:c r="F522" s="26" t="str">
        <x:v>Sprint 06</x:v>
      </x:c>
      <x:c r="G522" s="26" t="str">
        <x:v>S6_PreImplementation_Record.md</x:v>
      </x:c>
      <x:c r="H522" s="26" t="str">
        <x:v>Markdown</x:v>
      </x:c>
      <x:c r="I522" s="26" t="str">
        <x:v>Historical document / record</x:v>
      </x:c>
      <x:c r="J522" s="26" t="n">
        <x:v>763</x:v>
      </x:c>
      <x:c r="K522" s="26" t="str">
        <x:v>5bf5d1b97e39482c4ecafad65d7d122e6d738c58a2a58c3ccf087b4057146614</x:v>
      </x:c>
      <x:c r="L522" s="26"/>
      <x:c r="M522" s="26" t="n">
        <x:v>1</x:v>
      </x:c>
      <x:c r="N522" s="26" t="str">
        <x:v>UNIQUE</x:v>
      </x:c>
      <x:c r="O522" s="26"/>
      <x:c r="P522" s="26"/>
      <x:c r="Q522" s="26" t="str">
        <x:v>Development evidence</x:v>
      </x:c>
      <x:c r="R522" s="26" t="str">
        <x:v>RETAIN AS EVIDENCE — NOT REPLACED BY SUMMARY</x:v>
      </x:c>
      <x:c r="S522" s="26" t="str">
        <x:v>10_Development_Records/Sprint_06/Documentation/S6_PreImplementation_Record.md</x:v>
      </x:c>
      <x:c r="T522" s="26" t="str">
        <x:v>Historical path preserved verbatim; hash calculated from supplied pre-regeneration project.</x:v>
      </x:c>
    </x:row>
    <x:row r="523" ht="30" customHeight="1">
      <x:c r="A523" s="26" t="str">
        <x:v>H-0519</x:v>
      </x:c>
      <x:c r="B523" s="26" t="str">
        <x:v>Development Records</x:v>
      </x:c>
      <x:c r="C523" s="26"/>
      <x:c r="D523" s="26" t="str">
        <x:v>Sprint_06</x:v>
      </x:c>
      <x:c r="E523" s="26" t="str">
        <x:v>Governance</x:v>
      </x:c>
      <x:c r="F523" s="26" t="str">
        <x:v>Sprint 06</x:v>
      </x:c>
      <x:c r="G523" s="26" t="str">
        <x:v>ADR-0024_Stack_And_Unit_Capacity_Model.md</x:v>
      </x:c>
      <x:c r="H523" s="26" t="str">
        <x:v>Markdown</x:v>
      </x:c>
      <x:c r="I523" s="26" t="str">
        <x:v>ADR</x:v>
      </x:c>
      <x:c r="J523" s="26" t="n">
        <x:v>848</x:v>
      </x:c>
      <x:c r="K523" s="26" t="str">
        <x:v>a621a76517cf2dce58d2f2a6444486853bceb8107e45e2ce0cead9da79b99f87</x:v>
      </x:c>
      <x:c r="L523" s="26"/>
      <x:c r="M523" s="26" t="n">
        <x:v>1</x:v>
      </x:c>
      <x:c r="N523" s="26" t="str">
        <x:v>UNIQUE</x:v>
      </x:c>
      <x:c r="O523" s="26"/>
      <x:c r="P523" s="26"/>
      <x:c r="Q523" s="26" t="str">
        <x:v>Development evidence</x:v>
      </x:c>
      <x:c r="R523" s="26" t="str">
        <x:v>RETAIN AS EVIDENCE — NOT REPLACED BY SUMMARY</x:v>
      </x:c>
      <x:c r="S523" s="26" t="str">
        <x:v>10_Development_Records/Sprint_06/Governance/ADR-0024_Stack_And_Unit_Capacity_Model.md</x:v>
      </x:c>
      <x:c r="T523" s="26" t="str">
        <x:v>Historical path preserved verbatim; hash calculated from supplied pre-regeneration project.</x:v>
      </x:c>
    </x:row>
    <x:row r="524" ht="30" customHeight="1">
      <x:c r="A524" s="26" t="str">
        <x:v>H-0520</x:v>
      </x:c>
      <x:c r="B524" s="26" t="str">
        <x:v>Development Records</x:v>
      </x:c>
      <x:c r="C524" s="26"/>
      <x:c r="D524" s="26" t="str">
        <x:v>Sprint_06</x:v>
      </x:c>
      <x:c r="E524" s="26" t="str">
        <x:v>Governance</x:v>
      </x:c>
      <x:c r="F524" s="26" t="str">
        <x:v>Sprint 06</x:v>
      </x:c>
      <x:c r="G524" s="26" t="str">
        <x:v>ADR-0025_Atomic_Inventory_Transfers.md</x:v>
      </x:c>
      <x:c r="H524" s="26" t="str">
        <x:v>Markdown</x:v>
      </x:c>
      <x:c r="I524" s="26" t="str">
        <x:v>ADR</x:v>
      </x:c>
      <x:c r="J524" s="26" t="n">
        <x:v>873</x:v>
      </x:c>
      <x:c r="K524" s="26" t="str">
        <x:v>4286c837998785523afe7b5818a07a7f09b63b8f94175a602f7133ae7c3df6ad</x:v>
      </x:c>
      <x:c r="L524" s="26"/>
      <x:c r="M524" s="26" t="n">
        <x:v>1</x:v>
      </x:c>
      <x:c r="N524" s="26" t="str">
        <x:v>UNIQUE</x:v>
      </x:c>
      <x:c r="O524" s="26"/>
      <x:c r="P524" s="26"/>
      <x:c r="Q524" s="26" t="str">
        <x:v>Development evidence</x:v>
      </x:c>
      <x:c r="R524" s="26" t="str">
        <x:v>RETAIN AS EVIDENCE — NOT REPLACED BY SUMMARY</x:v>
      </x:c>
      <x:c r="S524" s="26" t="str">
        <x:v>10_Development_Records/Sprint_06/Governance/ADR-0025_Atomic_Inventory_Transfers.md</x:v>
      </x:c>
      <x:c r="T524" s="26" t="str">
        <x:v>Historical path preserved verbatim; hash calculated from supplied pre-regeneration project.</x:v>
      </x:c>
    </x:row>
    <x:row r="525" ht="30" customHeight="1">
      <x:c r="A525" s="26" t="str">
        <x:v>H-0521</x:v>
      </x:c>
      <x:c r="B525" s="26" t="str">
        <x:v>Development Records</x:v>
      </x:c>
      <x:c r="C525" s="26"/>
      <x:c r="D525" s="26" t="str">
        <x:v>Sprint_06</x:v>
      </x:c>
      <x:c r="E525" s="26" t="str">
        <x:v>Governance</x:v>
      </x:c>
      <x:c r="F525" s="26" t="str">
        <x:v>Sprint 06</x:v>
      </x:c>
      <x:c r="G525" s="26" t="str">
        <x:v>ADR-0026_Sprint_06_Version_And_Persistence_Boundary.md</x:v>
      </x:c>
      <x:c r="H525" s="26" t="str">
        <x:v>Markdown</x:v>
      </x:c>
      <x:c r="I525" s="26" t="str">
        <x:v>ADR</x:v>
      </x:c>
      <x:c r="J525" s="26" t="n">
        <x:v>587</x:v>
      </x:c>
      <x:c r="K525" s="26" t="str">
        <x:v>88e809b7e5a461f57c5d9f943adaf6eeb0445f62ba3cd08440f5d2e45c48ed1f</x:v>
      </x:c>
      <x:c r="L525" s="26"/>
      <x:c r="M525" s="26" t="n">
        <x:v>1</x:v>
      </x:c>
      <x:c r="N525" s="26" t="str">
        <x:v>UNIQUE</x:v>
      </x:c>
      <x:c r="O525" s="26"/>
      <x:c r="P525" s="26"/>
      <x:c r="Q525" s="26" t="str">
        <x:v>Development evidence</x:v>
      </x:c>
      <x:c r="R525" s="26" t="str">
        <x:v>RETAIN AS EVIDENCE — NOT REPLACED BY SUMMARY</x:v>
      </x:c>
      <x:c r="S525" s="26" t="str">
        <x:v>10_Development_Records/Sprint_06/Governance/ADR-0026_Sprint_06_Version_And_Persistence_Boundary.md</x:v>
      </x:c>
      <x:c r="T525" s="26" t="str">
        <x:v>Historical path preserved verbatim; hash calculated from supplied pre-regeneration project.</x:v>
      </x:c>
    </x:row>
    <x:row r="526" ht="30" customHeight="1">
      <x:c r="A526" s="26" t="str">
        <x:v>H-0522</x:v>
      </x:c>
      <x:c r="B526" s="26" t="str">
        <x:v>Development Records</x:v>
      </x:c>
      <x:c r="C526" s="26"/>
      <x:c r="D526" s="26" t="str">
        <x:v>Sprint_06</x:v>
      </x:c>
      <x:c r="E526" s="26" t="str">
        <x:v>Governance</x:v>
      </x:c>
      <x:c r="F526" s="26" t="str">
        <x:v>Sprint 06</x:v>
      </x:c>
      <x:c r="G526" s="26" t="str">
        <x:v>Sprint_06_Charter.md</x:v>
      </x:c>
      <x:c r="H526" s="26" t="str">
        <x:v>Markdown</x:v>
      </x:c>
      <x:c r="I526" s="26" t="str">
        <x:v>Sprint charter</x:v>
      </x:c>
      <x:c r="J526" s="26" t="n">
        <x:v>2549</x:v>
      </x:c>
      <x:c r="K526" s="26" t="str">
        <x:v>bfa5a23dcdf26ffb080e01923927d7e054aa002d0fcad98196c22894c654828a</x:v>
      </x:c>
      <x:c r="L526" s="26"/>
      <x:c r="M526" s="26" t="n">
        <x:v>1</x:v>
      </x:c>
      <x:c r="N526" s="26" t="str">
        <x:v>UNIQUE</x:v>
      </x:c>
      <x:c r="O526" s="26"/>
      <x:c r="P526" s="26"/>
      <x:c r="Q526" s="26" t="str">
        <x:v>Development evidence</x:v>
      </x:c>
      <x:c r="R526" s="26" t="str">
        <x:v>RETAIN AS EVIDENCE — NOT REPLACED BY SUMMARY</x:v>
      </x:c>
      <x:c r="S526" s="26" t="str">
        <x:v>10_Development_Records/Sprint_06/Governance/Sprint_06_Charter.md</x:v>
      </x:c>
      <x:c r="T526" s="26" t="str">
        <x:v>Historical path preserved verbatim; hash calculated from supplied pre-regeneration project.</x:v>
      </x:c>
    </x:row>
    <x:row r="527" ht="30" customHeight="1">
      <x:c r="A527" s="26" t="str">
        <x:v>H-0523</x:v>
      </x:c>
      <x:c r="B527" s="26" t="str">
        <x:v>Development Records</x:v>
      </x:c>
      <x:c r="C527" s="26"/>
      <x:c r="D527" s="26" t="str">
        <x:v>Sprint_06</x:v>
      </x:c>
      <x:c r="E527" s="26" t="str">
        <x:v>Governance</x:v>
      </x:c>
      <x:c r="F527" s="26" t="str">
        <x:v>Sprint 06</x:v>
      </x:c>
      <x:c r="G527" s="26" t="str">
        <x:v>Sprint_06_Current_Status.md</x:v>
      </x:c>
      <x:c r="H527" s="26" t="str">
        <x:v>Markdown</x:v>
      </x:c>
      <x:c r="I527" s="26" t="str">
        <x:v>Current status</x:v>
      </x:c>
      <x:c r="J527" s="26" t="n">
        <x:v>1307</x:v>
      </x:c>
      <x:c r="K527" s="26" t="str">
        <x:v>393749de939a329f70e38cd7f6356f1f38f125c3a4a06495aed809813a55b401</x:v>
      </x:c>
      <x:c r="L527" s="26"/>
      <x:c r="M527" s="26" t="n">
        <x:v>1</x:v>
      </x:c>
      <x:c r="N527" s="26" t="str">
        <x:v>UNIQUE</x:v>
      </x:c>
      <x:c r="O527" s="26"/>
      <x:c r="P527" s="26"/>
      <x:c r="Q527" s="26" t="str">
        <x:v>Development evidence</x:v>
      </x:c>
      <x:c r="R527" s="26" t="str">
        <x:v>RETAIN AS EVIDENCE — NOT REPLACED BY SUMMARY</x:v>
      </x:c>
      <x:c r="S527" s="26" t="str">
        <x:v>10_Development_Records/Sprint_06/Governance/Sprint_06_Current_Status.md</x:v>
      </x:c>
      <x:c r="T527" s="26" t="str">
        <x:v>Historical path preserved verbatim; hash calculated from supplied pre-regeneration project.</x:v>
      </x:c>
    </x:row>
    <x:row r="528" ht="30" customHeight="1">
      <x:c r="A528" s="26" t="str">
        <x:v>H-0524</x:v>
      </x:c>
      <x:c r="B528" s="26" t="str">
        <x:v>Development Records</x:v>
      </x:c>
      <x:c r="C528" s="26"/>
      <x:c r="D528" s="26" t="str">
        <x:v>Sprint_06</x:v>
      </x:c>
      <x:c r="E528" s="26" t="str">
        <x:v>QA</x:v>
      </x:c>
      <x:c r="F528" s="26" t="str">
        <x:v>Sprint 06</x:v>
      </x:c>
      <x:c r="G528" s="26" t="str">
        <x:v>S6_Acceptance_Matrix.md</x:v>
      </x:c>
      <x:c r="H528" s="26" t="str">
        <x:v>Markdown</x:v>
      </x:c>
      <x:c r="I528" s="26" t="str">
        <x:v>Acceptance matrix</x:v>
      </x:c>
      <x:c r="J528" s="26" t="n">
        <x:v>3014</x:v>
      </x:c>
      <x:c r="K528" s="26" t="str">
        <x:v>b55fe039c6404ff22749ff07f20dc741ee277ece3a892d9d1a6a526eb61dab8e</x:v>
      </x:c>
      <x:c r="L528" s="26"/>
      <x:c r="M528" s="26" t="n">
        <x:v>1</x:v>
      </x:c>
      <x:c r="N528" s="26" t="str">
        <x:v>UNIQUE</x:v>
      </x:c>
      <x:c r="O528" s="26" t="str">
        <x:v>31</x:v>
      </x:c>
      <x:c r="P528" s="26" t="str">
        <x:v>02, 07, 08, 11, 13, 16, 31</x:v>
      </x:c>
      <x:c r="Q528" s="26" t="str">
        <x:v>Development evidence</x:v>
      </x:c>
      <x:c r="R528" s="26" t="str">
        <x:v>RETAIN AS EVIDENCE — NOT REPLACED BY SUMMARY</x:v>
      </x:c>
      <x:c r="S528" s="26" t="str">
        <x:v>10_Development_Records/Sprint_06/QA/S6_Acceptance_Matrix.md</x:v>
      </x:c>
      <x:c r="T528" s="26" t="str">
        <x:v>Historical path preserved verbatim; hash calculated from supplied pre-regeneration project.</x:v>
      </x:c>
    </x:row>
    <x:row r="529" ht="30" customHeight="1">
      <x:c r="A529" s="26" t="str">
        <x:v>H-0525</x:v>
      </x:c>
      <x:c r="B529" s="26" t="str">
        <x:v>Development Records</x:v>
      </x:c>
      <x:c r="C529" s="26"/>
      <x:c r="D529" s="26" t="str">
        <x:v>Sprint_06</x:v>
      </x:c>
      <x:c r="E529" s="26" t="str">
        <x:v>QA</x:v>
      </x:c>
      <x:c r="F529" s="26" t="str">
        <x:v>Sprint 06</x:v>
      </x:c>
      <x:c r="G529" s="26" t="str">
        <x:v>S6_QA_Execution_Record.md</x:v>
      </x:c>
      <x:c r="H529" s="26" t="str">
        <x:v>Markdown</x:v>
      </x:c>
      <x:c r="I529" s="26" t="str">
        <x:v>QA execution evidence</x:v>
      </x:c>
      <x:c r="J529" s="26" t="n">
        <x:v>2097</x:v>
      </x:c>
      <x:c r="K529" s="26" t="str">
        <x:v>a7a14df3c2dc18a98c1354176d48502bafbd3309a651ea8bff3846db4c348e7c</x:v>
      </x:c>
      <x:c r="L529" s="26"/>
      <x:c r="M529" s="26" t="n">
        <x:v>1</x:v>
      </x:c>
      <x:c r="N529" s="26" t="str">
        <x:v>UNIQUE</x:v>
      </x:c>
      <x:c r="O529" s="26" t="str">
        <x:v>31</x:v>
      </x:c>
      <x:c r="P529" s="26" t="str">
        <x:v>02, 07, 08, 11, 13, 16, 31</x:v>
      </x:c>
      <x:c r="Q529" s="26" t="str">
        <x:v>Development evidence</x:v>
      </x:c>
      <x:c r="R529" s="26" t="str">
        <x:v>RETAIN AS EVIDENCE — NOT REPLACED BY SUMMARY</x:v>
      </x:c>
      <x:c r="S529" s="26" t="str">
        <x:v>10_Development_Records/Sprint_06/QA/S6_QA_Execution_Record.md</x:v>
      </x:c>
      <x:c r="T529" s="26" t="str">
        <x:v>Historical path preserved verbatim; hash calculated from supplied pre-regeneration project.</x:v>
      </x:c>
    </x:row>
    <x:row r="530" ht="30" customHeight="1">
      <x:c r="A530" s="26" t="str">
        <x:v>H-0526</x:v>
      </x:c>
      <x:c r="B530" s="26" t="str">
        <x:v>Development Records</x:v>
      </x:c>
      <x:c r="C530" s="26"/>
      <x:c r="D530" s="26" t="str">
        <x:v>Sprint_06</x:v>
      </x:c>
      <x:c r="E530" s="26" t="str">
        <x:v>QA</x:v>
      </x:c>
      <x:c r="F530" s="26" t="str">
        <x:v>Sprint 06</x:v>
      </x:c>
      <x:c r="G530" s="26" t="str">
        <x:v>S6_Test_Plan.md</x:v>
      </x:c>
      <x:c r="H530" s="26" t="str">
        <x:v>Markdown</x:v>
      </x:c>
      <x:c r="I530" s="26" t="str">
        <x:v>Historical document / record</x:v>
      </x:c>
      <x:c r="J530" s="26" t="n">
        <x:v>1177</x:v>
      </x:c>
      <x:c r="K530" s="26" t="str">
        <x:v>5201945d6beb104bfe2297c7686805a78c84ba67bd51e8d6f4472d0bb762a8b0</x:v>
      </x:c>
      <x:c r="L530" s="26"/>
      <x:c r="M530" s="26" t="n">
        <x:v>1</x:v>
      </x:c>
      <x:c r="N530" s="26" t="str">
        <x:v>UNIQUE</x:v>
      </x:c>
      <x:c r="O530" s="26"/>
      <x:c r="P530" s="26"/>
      <x:c r="Q530" s="26" t="str">
        <x:v>Development evidence</x:v>
      </x:c>
      <x:c r="R530" s="26" t="str">
        <x:v>RETAIN AS EVIDENCE — NOT REPLACED BY SUMMARY</x:v>
      </x:c>
      <x:c r="S530" s="26" t="str">
        <x:v>10_Development_Records/Sprint_06/QA/S6_Test_Plan.md</x:v>
      </x:c>
      <x:c r="T530" s="26" t="str">
        <x:v>Historical path preserved verbatim; hash calculated from supplied pre-regeneration project.</x:v>
      </x:c>
    </x:row>
    <x:row r="531" ht="30" customHeight="1">
      <x:c r="A531" s="26" t="str">
        <x:v>H-0527</x:v>
      </x:c>
      <x:c r="B531" s="26" t="str">
        <x:v>Development Records</x:v>
      </x:c>
      <x:c r="C531" s="26"/>
      <x:c r="D531" s="26" t="str">
        <x:v>Sprint_06</x:v>
      </x:c>
      <x:c r="E531" s="26" t="str">
        <x:v>QA</x:v>
      </x:c>
      <x:c r="F531" s="26" t="str">
        <x:v>Sprint 06</x:v>
      </x:c>
      <x:c r="G531" s="26" t="str">
        <x:v>S6_Validation_Checklist.md</x:v>
      </x:c>
      <x:c r="H531" s="26" t="str">
        <x:v>Markdown</x:v>
      </x:c>
      <x:c r="I531" s="26" t="str">
        <x:v>Validation checklist</x:v>
      </x:c>
      <x:c r="J531" s="26" t="n">
        <x:v>1068</x:v>
      </x:c>
      <x:c r="K531" s="26" t="str">
        <x:v>723a177cac5edf16f6820ffc10dad91550e2da2eb918ddb59269ffcb0102f899</x:v>
      </x:c>
      <x:c r="L531" s="26"/>
      <x:c r="M531" s="26" t="n">
        <x:v>1</x:v>
      </x:c>
      <x:c r="N531" s="26" t="str">
        <x:v>UNIQUE</x:v>
      </x:c>
      <x:c r="O531" s="26" t="str">
        <x:v>31</x:v>
      </x:c>
      <x:c r="P531" s="26" t="str">
        <x:v>02, 07, 08, 11, 13, 16, 31</x:v>
      </x:c>
      <x:c r="Q531" s="26" t="str">
        <x:v>Development evidence</x:v>
      </x:c>
      <x:c r="R531" s="26" t="str">
        <x:v>RETAIN AS EVIDENCE — NOT REPLACED BY SUMMARY</x:v>
      </x:c>
      <x:c r="S531" s="26" t="str">
        <x:v>10_Development_Records/Sprint_06/QA/S6_Validation_Checklist.md</x:v>
      </x:c>
      <x:c r="T531" s="26" t="str">
        <x:v>Historical path preserved verbatim; hash calculated from supplied pre-regeneration project.</x:v>
      </x:c>
    </x:row>
    <x:row r="532" ht="30" customHeight="1">
      <x:c r="A532" s="26" t="str">
        <x:v>H-0528</x:v>
      </x:c>
      <x:c r="B532" s="26" t="str">
        <x:v>Development Records</x:v>
      </x:c>
      <x:c r="C532" s="26"/>
      <x:c r="D532" s="26" t="str">
        <x:v>Sprint_06</x:v>
      </x:c>
      <x:c r="E532" s="26" t="str">
        <x:v>Sprint_06_Closure_Report.md</x:v>
      </x:c>
      <x:c r="F532" s="26" t="str">
        <x:v>Sprint 06</x:v>
      </x:c>
      <x:c r="G532" s="26" t="str">
        <x:v>Sprint_06_Closure_Report.md</x:v>
      </x:c>
      <x:c r="H532" s="26" t="str">
        <x:v>Markdown</x:v>
      </x:c>
      <x:c r="I532" s="26" t="str">
        <x:v>Sprint closure</x:v>
      </x:c>
      <x:c r="J532" s="26" t="n">
        <x:v>1395</x:v>
      </x:c>
      <x:c r="K532" s="26" t="str">
        <x:v>b0997bd963c49340833d3d0e259c747f97b7ecd5574b3da5a77a8e51a4da0f60</x:v>
      </x:c>
      <x:c r="L532" s="26"/>
      <x:c r="M532" s="26" t="n">
        <x:v>1</x:v>
      </x:c>
      <x:c r="N532" s="26" t="str">
        <x:v>UNIQUE</x:v>
      </x:c>
      <x:c r="O532" s="26"/>
      <x:c r="P532" s="26"/>
      <x:c r="Q532" s="26" t="str">
        <x:v>Development evidence</x:v>
      </x:c>
      <x:c r="R532" s="26" t="str">
        <x:v>RETAIN AS EVIDENCE — NOT REPLACED BY SUMMARY</x:v>
      </x:c>
      <x:c r="S532" s="26" t="str">
        <x:v>10_Development_Records/Sprint_06/Sprint_06_Closure_Report.md</x:v>
      </x:c>
      <x:c r="T532" s="26" t="str">
        <x:v>Historical path preserved verbatim; hash calculated from supplied pre-regeneration project.</x:v>
      </x:c>
    </x:row>
    <x:row r="533" ht="30" customHeight="1">
      <x:c r="A533" s="26" t="str">
        <x:v>H-0529</x:v>
      </x:c>
      <x:c r="B533" s="26" t="str">
        <x:v>Development Records</x:v>
      </x:c>
      <x:c r="C533" s="26"/>
      <x:c r="D533" s="26" t="str">
        <x:v>Sprint_06</x:v>
      </x:c>
      <x:c r="E533" s="26" t="str">
        <x:v>Traceability</x:v>
      </x:c>
      <x:c r="F533" s="26" t="str">
        <x:v>Sprint 06</x:v>
      </x:c>
      <x:c r="G533" s="26" t="str">
        <x:v>S6_Document_Impact_Working_Matrix.md</x:v>
      </x:c>
      <x:c r="H533" s="26" t="str">
        <x:v>Markdown</x:v>
      </x:c>
      <x:c r="I533" s="26" t="str">
        <x:v>Traceability entry</x:v>
      </x:c>
      <x:c r="J533" s="26" t="n">
        <x:v>1006</x:v>
      </x:c>
      <x:c r="K533" s="26" t="str">
        <x:v>a45e511bed9c4655f09cacab2d0f800489b86c4ec6149e8b006ae1961a917d99</x:v>
      </x:c>
      <x:c r="L533" s="26"/>
      <x:c r="M533" s="26" t="n">
        <x:v>1</x:v>
      </x:c>
      <x:c r="N533" s="26" t="str">
        <x:v>UNIQUE</x:v>
      </x:c>
      <x:c r="O533" s="26"/>
      <x:c r="P533" s="26"/>
      <x:c r="Q533" s="26" t="str">
        <x:v>Development evidence</x:v>
      </x:c>
      <x:c r="R533" s="26" t="str">
        <x:v>RETAIN AS EVIDENCE — NOT REPLACED BY SUMMARY</x:v>
      </x:c>
      <x:c r="S533" s="26" t="str">
        <x:v>10_Development_Records/Sprint_06/Traceability/S6_Document_Impact_Working_Matrix.md</x:v>
      </x:c>
      <x:c r="T533" s="26" t="str">
        <x:v>Historical path preserved verbatim; hash calculated from supplied pre-regeneration project.</x:v>
      </x:c>
    </x:row>
    <x:row r="534" ht="30" customHeight="1">
      <x:c r="A534" s="26" t="str">
        <x:v>H-0530</x:v>
      </x:c>
      <x:c r="B534" s="26" t="str">
        <x:v>Development Records</x:v>
      </x:c>
      <x:c r="C534" s="26"/>
      <x:c r="D534" s="26" t="str">
        <x:v>Sprint_06</x:v>
      </x:c>
      <x:c r="E534" s="26" t="str">
        <x:v>Traceability</x:v>
      </x:c>
      <x:c r="F534" s="26" t="str">
        <x:v>Sprint 06</x:v>
      </x:c>
      <x:c r="G534" s="26" t="str">
        <x:v>S6_Traceability_Entries.csv</x:v>
      </x:c>
      <x:c r="H534" s="26" t="str">
        <x:v>CSV</x:v>
      </x:c>
      <x:c r="I534" s="26" t="str">
        <x:v>Traceability entry</x:v>
      </x:c>
      <x:c r="J534" s="26" t="n">
        <x:v>1352</x:v>
      </x:c>
      <x:c r="K534" s="26" t="str">
        <x:v>68efe978e58fc87e088b08468c575003339c190b73b92aeb9ee193772cd0459d</x:v>
      </x:c>
      <x:c r="L534" s="26"/>
      <x:c r="M534" s="26" t="n">
        <x:v>1</x:v>
      </x:c>
      <x:c r="N534" s="26" t="str">
        <x:v>UNIQUE</x:v>
      </x:c>
      <x:c r="O534" s="26"/>
      <x:c r="P534" s="26"/>
      <x:c r="Q534" s="26" t="str">
        <x:v>Development evidence</x:v>
      </x:c>
      <x:c r="R534" s="26" t="str">
        <x:v>RETAIN AS EVIDENCE — NOT REPLACED BY SUMMARY</x:v>
      </x:c>
      <x:c r="S534" s="26" t="str">
        <x:v>10_Development_Records/Sprint_06/Traceability/S6_Traceability_Entries.csv</x:v>
      </x:c>
      <x:c r="T534" s="26" t="str">
        <x:v>Historical path preserved verbatim; hash calculated from supplied pre-regeneration project.</x:v>
      </x:c>
    </x:row>
    <x:row r="535" ht="30" customHeight="1">
      <x:c r="A535" s="26" t="str">
        <x:v>H-0531</x:v>
      </x:c>
      <x:c r="B535" s="26" t="str">
        <x:v>Development Records</x:v>
      </x:c>
      <x:c r="C535" s="26"/>
      <x:c r="D535" s="26" t="str">
        <x:v>Sprint_07</x:v>
      </x:c>
      <x:c r="E535" s="26" t="str">
        <x:v>Documentation</x:v>
      </x:c>
      <x:c r="F535" s="26" t="str">
        <x:v>Sprint 07</x:v>
      </x:c>
      <x:c r="G535" s="26" t="str">
        <x:v>S7_PostImplementation_Record.md</x:v>
      </x:c>
      <x:c r="H535" s="26" t="str">
        <x:v>Markdown</x:v>
      </x:c>
      <x:c r="I535" s="26" t="str">
        <x:v>Historical document / record</x:v>
      </x:c>
      <x:c r="J535" s="26" t="n">
        <x:v>1407</x:v>
      </x:c>
      <x:c r="K535" s="26" t="str">
        <x:v>92d67e8e9150e7f53042e3bc42d69828cb73c2dde23f6730e9758e8bd6a69731</x:v>
      </x:c>
      <x:c r="L535" s="26"/>
      <x:c r="M535" s="26" t="n">
        <x:v>1</x:v>
      </x:c>
      <x:c r="N535" s="26" t="str">
        <x:v>UNIQUE</x:v>
      </x:c>
      <x:c r="O535" s="26"/>
      <x:c r="P535" s="26"/>
      <x:c r="Q535" s="26" t="str">
        <x:v>Development evidence</x:v>
      </x:c>
      <x:c r="R535" s="26" t="str">
        <x:v>RETAIN AS EVIDENCE — NOT REPLACED BY SUMMARY</x:v>
      </x:c>
      <x:c r="S535" s="26" t="str">
        <x:v>10_Development_Records/Sprint_07/Documentation/S7_PostImplementation_Record.md</x:v>
      </x:c>
      <x:c r="T535" s="26" t="str">
        <x:v>Historical path preserved verbatim; hash calculated from supplied pre-regeneration project.</x:v>
      </x:c>
    </x:row>
    <x:row r="536" ht="30" customHeight="1">
      <x:c r="A536" s="26" t="str">
        <x:v>H-0532</x:v>
      </x:c>
      <x:c r="B536" s="26" t="str">
        <x:v>Development Records</x:v>
      </x:c>
      <x:c r="C536" s="26"/>
      <x:c r="D536" s="26" t="str">
        <x:v>Sprint_07</x:v>
      </x:c>
      <x:c r="E536" s="26" t="str">
        <x:v>Documentation</x:v>
      </x:c>
      <x:c r="F536" s="26" t="str">
        <x:v>Sprint 07</x:v>
      </x:c>
      <x:c r="G536" s="26" t="str">
        <x:v>S7_PreImplementation_Record.md</x:v>
      </x:c>
      <x:c r="H536" s="26" t="str">
        <x:v>Markdown</x:v>
      </x:c>
      <x:c r="I536" s="26" t="str">
        <x:v>Historical document / record</x:v>
      </x:c>
      <x:c r="J536" s="26" t="n">
        <x:v>1559</x:v>
      </x:c>
      <x:c r="K536" s="26" t="str">
        <x:v>017500c5dd78ac6585bf53c19c3dfb2d167c7e9556976a178a74d664a70605af</x:v>
      </x:c>
      <x:c r="L536" s="26"/>
      <x:c r="M536" s="26" t="n">
        <x:v>1</x:v>
      </x:c>
      <x:c r="N536" s="26" t="str">
        <x:v>UNIQUE</x:v>
      </x:c>
      <x:c r="O536" s="26"/>
      <x:c r="P536" s="26"/>
      <x:c r="Q536" s="26" t="str">
        <x:v>Development evidence</x:v>
      </x:c>
      <x:c r="R536" s="26" t="str">
        <x:v>RETAIN AS EVIDENCE — NOT REPLACED BY SUMMARY</x:v>
      </x:c>
      <x:c r="S536" s="26" t="str">
        <x:v>10_Development_Records/Sprint_07/Documentation/S7_PreImplementation_Record.md</x:v>
      </x:c>
      <x:c r="T536" s="26" t="str">
        <x:v>Historical path preserved verbatim; hash calculated from supplied pre-regeneration project.</x:v>
      </x:c>
    </x:row>
    <x:row r="537" ht="30" customHeight="1">
      <x:c r="A537" s="26" t="str">
        <x:v>H-0533</x:v>
      </x:c>
      <x:c r="B537" s="26" t="str">
        <x:v>Development Records</x:v>
      </x:c>
      <x:c r="C537" s="26"/>
      <x:c r="D537" s="26" t="str">
        <x:v>Sprint_07</x:v>
      </x:c>
      <x:c r="E537" s="26" t="str">
        <x:v>Governance</x:v>
      </x:c>
      <x:c r="F537" s="26" t="str">
        <x:v>Sprint 07</x:v>
      </x:c>
      <x:c r="G537" s="26" t="str">
        <x:v>ADR-0027_Product_and_Supplier_Authoring.md</x:v>
      </x:c>
      <x:c r="H537" s="26" t="str">
        <x:v>Markdown</x:v>
      </x:c>
      <x:c r="I537" s="26" t="str">
        <x:v>ADR</x:v>
      </x:c>
      <x:c r="J537" s="26" t="n">
        <x:v>1065</x:v>
      </x:c>
      <x:c r="K537" s="26" t="str">
        <x:v>86a7e5e37add2c9d6fe855fef6deda2f4ddfba8f00cdb1062dfdbec3eb0dcb13</x:v>
      </x:c>
      <x:c r="L537" s="26"/>
      <x:c r="M537" s="26" t="n">
        <x:v>1</x:v>
      </x:c>
      <x:c r="N537" s="26" t="str">
        <x:v>UNIQUE</x:v>
      </x:c>
      <x:c r="O537" s="26"/>
      <x:c r="P537" s="26"/>
      <x:c r="Q537" s="26" t="str">
        <x:v>Development evidence</x:v>
      </x:c>
      <x:c r="R537" s="26" t="str">
        <x:v>RETAIN AS EVIDENCE — NOT REPLACED BY SUMMARY</x:v>
      </x:c>
      <x:c r="S537" s="26" t="str">
        <x:v>10_Development_Records/Sprint_07/Governance/ADR-0027_Product_and_Supplier_Authoring.md</x:v>
      </x:c>
      <x:c r="T537" s="26" t="str">
        <x:v>Historical path preserved verbatim; hash calculated from supplied pre-regeneration project.</x:v>
      </x:c>
    </x:row>
    <x:row r="538" ht="30" customHeight="1">
      <x:c r="A538" s="26" t="str">
        <x:v>H-0534</x:v>
      </x:c>
      <x:c r="B538" s="26" t="str">
        <x:v>Development Records</x:v>
      </x:c>
      <x:c r="C538" s="26"/>
      <x:c r="D538" s="26" t="str">
        <x:v>Sprint_07</x:v>
      </x:c>
      <x:c r="E538" s="26" t="str">
        <x:v>Governance</x:v>
      </x:c>
      <x:c r="F538" s="26" t="str">
        <x:v>Sprint 07</x:v>
      </x:c>
      <x:c r="G538" s="26" t="str">
        <x:v>ADR-0028_Box_Based_Ordering.md</x:v>
      </x:c>
      <x:c r="H538" s="26" t="str">
        <x:v>Markdown</x:v>
      </x:c>
      <x:c r="I538" s="26" t="str">
        <x:v>ADR</x:v>
      </x:c>
      <x:c r="J538" s="26" t="n">
        <x:v>870</x:v>
      </x:c>
      <x:c r="K538" s="26" t="str">
        <x:v>57af021d5e1412eadd90d34cdb62da418efa8d0bd0001d8da4c219bb9fa98f40</x:v>
      </x:c>
      <x:c r="L538" s="26"/>
      <x:c r="M538" s="26" t="n">
        <x:v>1</x:v>
      </x:c>
      <x:c r="N538" s="26" t="str">
        <x:v>UNIQUE</x:v>
      </x:c>
      <x:c r="O538" s="26"/>
      <x:c r="P538" s="26"/>
      <x:c r="Q538" s="26" t="str">
        <x:v>Development evidence</x:v>
      </x:c>
      <x:c r="R538" s="26" t="str">
        <x:v>RETAIN AS EVIDENCE — NOT REPLACED BY SUMMARY</x:v>
      </x:c>
      <x:c r="S538" s="26" t="str">
        <x:v>10_Development_Records/Sprint_07/Governance/ADR-0028_Box_Based_Ordering.md</x:v>
      </x:c>
      <x:c r="T538" s="26" t="str">
        <x:v>Historical path preserved verbatim; hash calculated from supplied pre-regeneration project.</x:v>
      </x:c>
    </x:row>
    <x:row r="539" ht="30" customHeight="1">
      <x:c r="A539" s="26" t="str">
        <x:v>H-0535</x:v>
      </x:c>
      <x:c r="B539" s="26" t="str">
        <x:v>Development Records</x:v>
      </x:c>
      <x:c r="C539" s="26"/>
      <x:c r="D539" s="26" t="str">
        <x:v>Sprint_07</x:v>
      </x:c>
      <x:c r="E539" s="26" t="str">
        <x:v>Governance</x:v>
      </x:c>
      <x:c r="F539" s="26" t="str">
        <x:v>Sprint 07</x:v>
      </x:c>
      <x:c r="G539" s="26" t="str">
        <x:v>ADR-0029_Atomic_Box_Receiving.md</x:v>
      </x:c>
      <x:c r="H539" s="26" t="str">
        <x:v>Markdown</x:v>
      </x:c>
      <x:c r="I539" s="26" t="str">
        <x:v>ADR</x:v>
      </x:c>
      <x:c r="J539" s="26" t="n">
        <x:v>1021</x:v>
      </x:c>
      <x:c r="K539" s="26" t="str">
        <x:v>bf3785f3178e96118326edaf1a4134d4300f5817a838cb24bacdd7dc6884af0d</x:v>
      </x:c>
      <x:c r="L539" s="26"/>
      <x:c r="M539" s="26" t="n">
        <x:v>1</x:v>
      </x:c>
      <x:c r="N539" s="26" t="str">
        <x:v>UNIQUE</x:v>
      </x:c>
      <x:c r="O539" s="26"/>
      <x:c r="P539" s="26"/>
      <x:c r="Q539" s="26" t="str">
        <x:v>Development evidence</x:v>
      </x:c>
      <x:c r="R539" s="26" t="str">
        <x:v>RETAIN AS EVIDENCE — NOT REPLACED BY SUMMARY</x:v>
      </x:c>
      <x:c r="S539" s="26" t="str">
        <x:v>10_Development_Records/Sprint_07/Governance/ADR-0029_Atomic_Box_Receiving.md</x:v>
      </x:c>
      <x:c r="T539" s="26" t="str">
        <x:v>Historical path preserved verbatim; hash calculated from supplied pre-regeneration project.</x:v>
      </x:c>
    </x:row>
    <x:row r="540" ht="30" customHeight="1">
      <x:c r="A540" s="26" t="str">
        <x:v>H-0536</x:v>
      </x:c>
      <x:c r="B540" s="26" t="str">
        <x:v>Development Records</x:v>
      </x:c>
      <x:c r="C540" s="26"/>
      <x:c r="D540" s="26" t="str">
        <x:v>Sprint_07</x:v>
      </x:c>
      <x:c r="E540" s="26" t="str">
        <x:v>Governance</x:v>
      </x:c>
      <x:c r="F540" s="26" t="str">
        <x:v>Sprint 07</x:v>
      </x:c>
      <x:c r="G540" s="26" t="str">
        <x:v>Sprint_07_Charter.md</x:v>
      </x:c>
      <x:c r="H540" s="26" t="str">
        <x:v>Markdown</x:v>
      </x:c>
      <x:c r="I540" s="26" t="str">
        <x:v>Sprint charter</x:v>
      </x:c>
      <x:c r="J540" s="26" t="n">
        <x:v>2558</x:v>
      </x:c>
      <x:c r="K540" s="26" t="str">
        <x:v>e19ff2151e783c464351df0d9cd21017c5eacb84816f8ff937c88ac1d563f51b</x:v>
      </x:c>
      <x:c r="L540" s="26"/>
      <x:c r="M540" s="26" t="n">
        <x:v>1</x:v>
      </x:c>
      <x:c r="N540" s="26" t="str">
        <x:v>UNIQUE</x:v>
      </x:c>
      <x:c r="O540" s="26"/>
      <x:c r="P540" s="26"/>
      <x:c r="Q540" s="26" t="str">
        <x:v>Development evidence</x:v>
      </x:c>
      <x:c r="R540" s="26" t="str">
        <x:v>RETAIN AS EVIDENCE — NOT REPLACED BY SUMMARY</x:v>
      </x:c>
      <x:c r="S540" s="26" t="str">
        <x:v>10_Development_Records/Sprint_07/Governance/Sprint_07_Charter.md</x:v>
      </x:c>
      <x:c r="T540" s="26" t="str">
        <x:v>Historical path preserved verbatim; hash calculated from supplied pre-regeneration project.</x:v>
      </x:c>
    </x:row>
    <x:row r="541" ht="30" customHeight="1">
      <x:c r="A541" s="26" t="str">
        <x:v>H-0537</x:v>
      </x:c>
      <x:c r="B541" s="26" t="str">
        <x:v>Development Records</x:v>
      </x:c>
      <x:c r="C541" s="26"/>
      <x:c r="D541" s="26" t="str">
        <x:v>Sprint_07</x:v>
      </x:c>
      <x:c r="E541" s="26" t="str">
        <x:v>Governance</x:v>
      </x:c>
      <x:c r="F541" s="26" t="str">
        <x:v>Sprint 07</x:v>
      </x:c>
      <x:c r="G541" s="26" t="str">
        <x:v>Sprint_07_Current_Status.md</x:v>
      </x:c>
      <x:c r="H541" s="26" t="str">
        <x:v>Markdown</x:v>
      </x:c>
      <x:c r="I541" s="26" t="str">
        <x:v>Current status</x:v>
      </x:c>
      <x:c r="J541" s="26" t="n">
        <x:v>1542</x:v>
      </x:c>
      <x:c r="K541" s="26" t="str">
        <x:v>28ea6d605bf2edcfd592207a4b99fae832913f988b2e6e14e2228296669b4583</x:v>
      </x:c>
      <x:c r="L541" s="26"/>
      <x:c r="M541" s="26" t="n">
        <x:v>1</x:v>
      </x:c>
      <x:c r="N541" s="26" t="str">
        <x:v>UNIQUE</x:v>
      </x:c>
      <x:c r="O541" s="26"/>
      <x:c r="P541" s="26"/>
      <x:c r="Q541" s="26" t="str">
        <x:v>Development evidence</x:v>
      </x:c>
      <x:c r="R541" s="26" t="str">
        <x:v>RETAIN AS EVIDENCE — NOT REPLACED BY SUMMARY</x:v>
      </x:c>
      <x:c r="S541" s="26" t="str">
        <x:v>10_Development_Records/Sprint_07/Governance/Sprint_07_Current_Status.md</x:v>
      </x:c>
      <x:c r="T541" s="26" t="str">
        <x:v>Historical path preserved verbatim; hash calculated from supplied pre-regeneration project.</x:v>
      </x:c>
    </x:row>
    <x:row r="542" ht="30" customHeight="1">
      <x:c r="A542" s="26" t="str">
        <x:v>H-0538</x:v>
      </x:c>
      <x:c r="B542" s="26" t="str">
        <x:v>Development Records</x:v>
      </x:c>
      <x:c r="C542" s="26"/>
      <x:c r="D542" s="26" t="str">
        <x:v>Sprint_07</x:v>
      </x:c>
      <x:c r="E542" s="26" t="str">
        <x:v>QA</x:v>
      </x:c>
      <x:c r="F542" s="26" t="str">
        <x:v>Sprint 07</x:v>
      </x:c>
      <x:c r="G542" s="26" t="str">
        <x:v>S7_Acceptance_Matrix.md</x:v>
      </x:c>
      <x:c r="H542" s="26" t="str">
        <x:v>Markdown</x:v>
      </x:c>
      <x:c r="I542" s="26" t="str">
        <x:v>Acceptance matrix</x:v>
      </x:c>
      <x:c r="J542" s="26" t="n">
        <x:v>3351</x:v>
      </x:c>
      <x:c r="K542" s="26" t="str">
        <x:v>e5517ab2f2b047aacb634c1ee7e42ea6f4b1b0f3bb6477cc7a0fb595439546b2</x:v>
      </x:c>
      <x:c r="L542" s="26"/>
      <x:c r="M542" s="26" t="n">
        <x:v>1</x:v>
      </x:c>
      <x:c r="N542" s="26" t="str">
        <x:v>UNIQUE</x:v>
      </x:c>
      <x:c r="O542" s="26" t="str">
        <x:v>31</x:v>
      </x:c>
      <x:c r="P542" s="26" t="str">
        <x:v>02, 07, 08, 11, 13, 16, 31</x:v>
      </x:c>
      <x:c r="Q542" s="26" t="str">
        <x:v>Development evidence</x:v>
      </x:c>
      <x:c r="R542" s="26" t="str">
        <x:v>RETAIN AS EVIDENCE — NOT REPLACED BY SUMMARY</x:v>
      </x:c>
      <x:c r="S542" s="26" t="str">
        <x:v>10_Development_Records/Sprint_07/QA/S7_Acceptance_Matrix.md</x:v>
      </x:c>
      <x:c r="T542" s="26" t="str">
        <x:v>Historical path preserved verbatim; hash calculated from supplied pre-regeneration project.</x:v>
      </x:c>
    </x:row>
    <x:row r="543" ht="30" customHeight="1">
      <x:c r="A543" s="26" t="str">
        <x:v>H-0539</x:v>
      </x:c>
      <x:c r="B543" s="26" t="str">
        <x:v>Development Records</x:v>
      </x:c>
      <x:c r="C543" s="26"/>
      <x:c r="D543" s="26" t="str">
        <x:v>Sprint_07</x:v>
      </x:c>
      <x:c r="E543" s="26" t="str">
        <x:v>QA</x:v>
      </x:c>
      <x:c r="F543" s="26" t="str">
        <x:v>Sprint 07</x:v>
      </x:c>
      <x:c r="G543" s="26" t="str">
        <x:v>S7_Build_And_Unity_Services_Record.md</x:v>
      </x:c>
      <x:c r="H543" s="26" t="str">
        <x:v>Markdown</x:v>
      </x:c>
      <x:c r="I543" s="26" t="str">
        <x:v>Historical document / record</x:v>
      </x:c>
      <x:c r="J543" s="26" t="n">
        <x:v>1288</x:v>
      </x:c>
      <x:c r="K543" s="26" t="str">
        <x:v>fa7507ba60b575ad8ec8b6a5e5dc6fa9531436bf0f33822e9965edef6b15bd6d</x:v>
      </x:c>
      <x:c r="L543" s="26"/>
      <x:c r="M543" s="26" t="n">
        <x:v>1</x:v>
      </x:c>
      <x:c r="N543" s="26" t="str">
        <x:v>UNIQUE</x:v>
      </x:c>
      <x:c r="O543" s="26"/>
      <x:c r="P543" s="26"/>
      <x:c r="Q543" s="26" t="str">
        <x:v>Development evidence</x:v>
      </x:c>
      <x:c r="R543" s="26" t="str">
        <x:v>RETAIN AS EVIDENCE — NOT REPLACED BY SUMMARY</x:v>
      </x:c>
      <x:c r="S543" s="26" t="str">
        <x:v>10_Development_Records/Sprint_07/QA/S7_Build_And_Unity_Services_Record.md</x:v>
      </x:c>
      <x:c r="T543" s="26" t="str">
        <x:v>Historical path preserved verbatim; hash calculated from supplied pre-regeneration project.</x:v>
      </x:c>
    </x:row>
    <x:row r="544" ht="30" customHeight="1">
      <x:c r="A544" s="26" t="str">
        <x:v>H-0540</x:v>
      </x:c>
      <x:c r="B544" s="26" t="str">
        <x:v>Development Records</x:v>
      </x:c>
      <x:c r="C544" s="26"/>
      <x:c r="D544" s="26" t="str">
        <x:v>Sprint_07</x:v>
      </x:c>
      <x:c r="E544" s="26" t="str">
        <x:v>QA</x:v>
      </x:c>
      <x:c r="F544" s="26" t="str">
        <x:v>Sprint 07</x:v>
      </x:c>
      <x:c r="G544" s="26" t="str">
        <x:v>S7_QA_Execution_Record.md</x:v>
      </x:c>
      <x:c r="H544" s="26" t="str">
        <x:v>Markdown</x:v>
      </x:c>
      <x:c r="I544" s="26" t="str">
        <x:v>QA execution evidence</x:v>
      </x:c>
      <x:c r="J544" s="26" t="n">
        <x:v>2132</x:v>
      </x:c>
      <x:c r="K544" s="26" t="str">
        <x:v>ed5696f59956c5341e66f5d4bd7c9ff10b1c2ae56c47f0e70f7acdf412d62626</x:v>
      </x:c>
      <x:c r="L544" s="26"/>
      <x:c r="M544" s="26" t="n">
        <x:v>1</x:v>
      </x:c>
      <x:c r="N544" s="26" t="str">
        <x:v>UNIQUE</x:v>
      </x:c>
      <x:c r="O544" s="26" t="str">
        <x:v>31</x:v>
      </x:c>
      <x:c r="P544" s="26" t="str">
        <x:v>02, 07, 08, 11, 13, 16, 31</x:v>
      </x:c>
      <x:c r="Q544" s="26" t="str">
        <x:v>Development evidence</x:v>
      </x:c>
      <x:c r="R544" s="26" t="str">
        <x:v>RETAIN AS EVIDENCE — NOT REPLACED BY SUMMARY</x:v>
      </x:c>
      <x:c r="S544" s="26" t="str">
        <x:v>10_Development_Records/Sprint_07/QA/S7_QA_Execution_Record.md</x:v>
      </x:c>
      <x:c r="T544" s="26" t="str">
        <x:v>Historical path preserved verbatim; hash calculated from supplied pre-regeneration project.</x:v>
      </x:c>
    </x:row>
    <x:row r="545" ht="30" customHeight="1">
      <x:c r="A545" s="26" t="str">
        <x:v>H-0541</x:v>
      </x:c>
      <x:c r="B545" s="26" t="str">
        <x:v>Development Records</x:v>
      </x:c>
      <x:c r="C545" s="26"/>
      <x:c r="D545" s="26" t="str">
        <x:v>Sprint_07</x:v>
      </x:c>
      <x:c r="E545" s="26" t="str">
        <x:v>QA</x:v>
      </x:c>
      <x:c r="F545" s="26" t="str">
        <x:v>Sprint 07</x:v>
      </x:c>
      <x:c r="G545" s="26" t="str">
        <x:v>S7_Test_Plan.md</x:v>
      </x:c>
      <x:c r="H545" s="26" t="str">
        <x:v>Markdown</x:v>
      </x:c>
      <x:c r="I545" s="26" t="str">
        <x:v>Historical document / record</x:v>
      </x:c>
      <x:c r="J545" s="26" t="n">
        <x:v>1665</x:v>
      </x:c>
      <x:c r="K545" s="26" t="str">
        <x:v>0453ad65d4af260b590eb050e0d438566b48db60470c0cbfbad3110f224f6d8f</x:v>
      </x:c>
      <x:c r="L545" s="26"/>
      <x:c r="M545" s="26" t="n">
        <x:v>1</x:v>
      </x:c>
      <x:c r="N545" s="26" t="str">
        <x:v>UNIQUE</x:v>
      </x:c>
      <x:c r="O545" s="26"/>
      <x:c r="P545" s="26"/>
      <x:c r="Q545" s="26" t="str">
        <x:v>Development evidence</x:v>
      </x:c>
      <x:c r="R545" s="26" t="str">
        <x:v>RETAIN AS EVIDENCE — NOT REPLACED BY SUMMARY</x:v>
      </x:c>
      <x:c r="S545" s="26" t="str">
        <x:v>10_Development_Records/Sprint_07/QA/S7_Test_Plan.md</x:v>
      </x:c>
      <x:c r="T545" s="26" t="str">
        <x:v>Historical path preserved verbatim; hash calculated from supplied pre-regeneration project.</x:v>
      </x:c>
    </x:row>
    <x:row r="546" ht="30" customHeight="1">
      <x:c r="A546" s="26" t="str">
        <x:v>H-0542</x:v>
      </x:c>
      <x:c r="B546" s="26" t="str">
        <x:v>Development Records</x:v>
      </x:c>
      <x:c r="C546" s="26"/>
      <x:c r="D546" s="26" t="str">
        <x:v>Sprint_07</x:v>
      </x:c>
      <x:c r="E546" s="26" t="str">
        <x:v>QA</x:v>
      </x:c>
      <x:c r="F546" s="26" t="str">
        <x:v>Sprint 07</x:v>
      </x:c>
      <x:c r="G546" s="26" t="str">
        <x:v>S7_Validation_Checklist.md</x:v>
      </x:c>
      <x:c r="H546" s="26" t="str">
        <x:v>Markdown</x:v>
      </x:c>
      <x:c r="I546" s="26" t="str">
        <x:v>Validation checklist</x:v>
      </x:c>
      <x:c r="J546" s="26" t="n">
        <x:v>1575</x:v>
      </x:c>
      <x:c r="K546" s="26" t="str">
        <x:v>df553497f162dd3f8ad2e2e315b380fa06e2a3d8d489f675eb291fdf00c7d923</x:v>
      </x:c>
      <x:c r="L546" s="26"/>
      <x:c r="M546" s="26" t="n">
        <x:v>1</x:v>
      </x:c>
      <x:c r="N546" s="26" t="str">
        <x:v>UNIQUE</x:v>
      </x:c>
      <x:c r="O546" s="26" t="str">
        <x:v>31</x:v>
      </x:c>
      <x:c r="P546" s="26" t="str">
        <x:v>02, 07, 08, 11, 13, 16, 31</x:v>
      </x:c>
      <x:c r="Q546" s="26" t="str">
        <x:v>Development evidence</x:v>
      </x:c>
      <x:c r="R546" s="26" t="str">
        <x:v>RETAIN AS EVIDENCE — NOT REPLACED BY SUMMARY</x:v>
      </x:c>
      <x:c r="S546" s="26" t="str">
        <x:v>10_Development_Records/Sprint_07/QA/S7_Validation_Checklist.md</x:v>
      </x:c>
      <x:c r="T546" s="26" t="str">
        <x:v>Historical path preserved verbatim; hash calculated from supplied pre-regeneration project.</x:v>
      </x:c>
    </x:row>
    <x:row r="547" ht="30" customHeight="1">
      <x:c r="A547" s="26" t="str">
        <x:v>H-0543</x:v>
      </x:c>
      <x:c r="B547" s="26" t="str">
        <x:v>Development Records</x:v>
      </x:c>
      <x:c r="C547" s="26"/>
      <x:c r="D547" s="26" t="str">
        <x:v>Sprint_07</x:v>
      </x:c>
      <x:c r="E547" s="26" t="str">
        <x:v>Sprint_07_Closure_Report.md</x:v>
      </x:c>
      <x:c r="F547" s="26" t="str">
        <x:v>Sprint 07</x:v>
      </x:c>
      <x:c r="G547" s="26" t="str">
        <x:v>Sprint_07_Closure_Report.md</x:v>
      </x:c>
      <x:c r="H547" s="26" t="str">
        <x:v>Markdown</x:v>
      </x:c>
      <x:c r="I547" s="26" t="str">
        <x:v>Sprint closure</x:v>
      </x:c>
      <x:c r="J547" s="26" t="n">
        <x:v>1926</x:v>
      </x:c>
      <x:c r="K547" s="26" t="str">
        <x:v>00a4116e3af46415a564444f21cb913a1f5d7fe57daa4639f8dd053cecba8ae1</x:v>
      </x:c>
      <x:c r="L547" s="26"/>
      <x:c r="M547" s="26" t="n">
        <x:v>1</x:v>
      </x:c>
      <x:c r="N547" s="26" t="str">
        <x:v>UNIQUE</x:v>
      </x:c>
      <x:c r="O547" s="26"/>
      <x:c r="P547" s="26"/>
      <x:c r="Q547" s="26" t="str">
        <x:v>Development evidence</x:v>
      </x:c>
      <x:c r="R547" s="26" t="str">
        <x:v>RETAIN AS EVIDENCE — NOT REPLACED BY SUMMARY</x:v>
      </x:c>
      <x:c r="S547" s="26" t="str">
        <x:v>10_Development_Records/Sprint_07/Sprint_07_Closure_Report.md</x:v>
      </x:c>
      <x:c r="T547" s="26" t="str">
        <x:v>Historical path preserved verbatim; hash calculated from supplied pre-regeneration project.</x:v>
      </x:c>
    </x:row>
    <x:row r="548" ht="30" customHeight="1">
      <x:c r="A548" s="26" t="str">
        <x:v>H-0544</x:v>
      </x:c>
      <x:c r="B548" s="26" t="str">
        <x:v>Development Records</x:v>
      </x:c>
      <x:c r="C548" s="26"/>
      <x:c r="D548" s="26" t="str">
        <x:v>Sprint_07</x:v>
      </x:c>
      <x:c r="E548" s="26" t="str">
        <x:v>Traceability</x:v>
      </x:c>
      <x:c r="F548" s="26" t="str">
        <x:v>Sprint 07</x:v>
      </x:c>
      <x:c r="G548" s="26" t="str">
        <x:v>S7_Document_Impact_Working_Matrix.md</x:v>
      </x:c>
      <x:c r="H548" s="26" t="str">
        <x:v>Markdown</x:v>
      </x:c>
      <x:c r="I548" s="26" t="str">
        <x:v>Traceability entry</x:v>
      </x:c>
      <x:c r="J548" s="26" t="n">
        <x:v>1084</x:v>
      </x:c>
      <x:c r="K548" s="26" t="str">
        <x:v>d16d6db2565fd1b2387959f24d842cae2fd11f1c843ccd90d692abc1c63d1fdf</x:v>
      </x:c>
      <x:c r="L548" s="26"/>
      <x:c r="M548" s="26" t="n">
        <x:v>1</x:v>
      </x:c>
      <x:c r="N548" s="26" t="str">
        <x:v>UNIQUE</x:v>
      </x:c>
      <x:c r="O548" s="26"/>
      <x:c r="P548" s="26"/>
      <x:c r="Q548" s="26" t="str">
        <x:v>Development evidence</x:v>
      </x:c>
      <x:c r="R548" s="26" t="str">
        <x:v>RETAIN AS EVIDENCE — NOT REPLACED BY SUMMARY</x:v>
      </x:c>
      <x:c r="S548" s="26" t="str">
        <x:v>10_Development_Records/Sprint_07/Traceability/S7_Document_Impact_Working_Matrix.md</x:v>
      </x:c>
      <x:c r="T548" s="26" t="str">
        <x:v>Historical path preserved verbatim; hash calculated from supplied pre-regeneration project.</x:v>
      </x:c>
    </x:row>
    <x:row r="549" ht="30" customHeight="1">
      <x:c r="A549" s="26" t="str">
        <x:v>H-0545</x:v>
      </x:c>
      <x:c r="B549" s="26" t="str">
        <x:v>Development Records</x:v>
      </x:c>
      <x:c r="C549" s="26"/>
      <x:c r="D549" s="26" t="str">
        <x:v>Sprint_07</x:v>
      </x:c>
      <x:c r="E549" s="26" t="str">
        <x:v>Traceability</x:v>
      </x:c>
      <x:c r="F549" s="26" t="str">
        <x:v>Sprint 07</x:v>
      </x:c>
      <x:c r="G549" s="26" t="str">
        <x:v>S7_Traceability_Entries.csv</x:v>
      </x:c>
      <x:c r="H549" s="26" t="str">
        <x:v>CSV</x:v>
      </x:c>
      <x:c r="I549" s="26" t="str">
        <x:v>Traceability entry</x:v>
      </x:c>
      <x:c r="J549" s="26" t="n">
        <x:v>1558</x:v>
      </x:c>
      <x:c r="K549" s="26" t="str">
        <x:v>0259742905ec026264125e409b9cc06af213d9d9d7d0c824c20baf4945e38f8a</x:v>
      </x:c>
      <x:c r="L549" s="26"/>
      <x:c r="M549" s="26" t="n">
        <x:v>1</x:v>
      </x:c>
      <x:c r="N549" s="26" t="str">
        <x:v>UNIQUE</x:v>
      </x:c>
      <x:c r="O549" s="26"/>
      <x:c r="P549" s="26"/>
      <x:c r="Q549" s="26" t="str">
        <x:v>Development evidence</x:v>
      </x:c>
      <x:c r="R549" s="26" t="str">
        <x:v>RETAIN AS EVIDENCE — NOT REPLACED BY SUMMARY</x:v>
      </x:c>
      <x:c r="S549" s="26" t="str">
        <x:v>10_Development_Records/Sprint_07/Traceability/S7_Traceability_Entries.csv</x:v>
      </x:c>
      <x:c r="T549" s="26" t="str">
        <x:v>Historical path preserved verbatim; hash calculated from supplied pre-regeneration project.</x:v>
      </x:c>
    </x:row>
    <x:row r="550" ht="30" customHeight="1">
      <x:c r="A550" s="26" t="str">
        <x:v>H-0546</x:v>
      </x:c>
      <x:c r="B550" s="26" t="str">
        <x:v>Development Records</x:v>
      </x:c>
      <x:c r="C550" s="26"/>
      <x:c r="D550" s="26" t="str">
        <x:v>Sprint_08</x:v>
      </x:c>
      <x:c r="E550" s="26" t="str">
        <x:v>Documentation</x:v>
      </x:c>
      <x:c r="F550" s="26" t="str">
        <x:v>Sprint 08</x:v>
      </x:c>
      <x:c r="G550" s="26" t="str">
        <x:v>S8_PostImplementation_Record.md</x:v>
      </x:c>
      <x:c r="H550" s="26" t="str">
        <x:v>Markdown</x:v>
      </x:c>
      <x:c r="I550" s="26" t="str">
        <x:v>Historical document / record</x:v>
      </x:c>
      <x:c r="J550" s="26" t="n">
        <x:v>2173</x:v>
      </x:c>
      <x:c r="K550" s="26" t="str">
        <x:v>34f827046ab4402cb0aca95a90695727e6a4654052245511e2130416053da878</x:v>
      </x:c>
      <x:c r="L550" s="26"/>
      <x:c r="M550" s="26" t="n">
        <x:v>1</x:v>
      </x:c>
      <x:c r="N550" s="26" t="str">
        <x:v>UNIQUE</x:v>
      </x:c>
      <x:c r="O550" s="26"/>
      <x:c r="P550" s="26"/>
      <x:c r="Q550" s="26" t="str">
        <x:v>Development evidence</x:v>
      </x:c>
      <x:c r="R550" s="26" t="str">
        <x:v>RETAIN AS EVIDENCE — NOT REPLACED BY SUMMARY</x:v>
      </x:c>
      <x:c r="S550" s="26" t="str">
        <x:v>10_Development_Records/Sprint_08/Documentation/S8_PostImplementation_Record.md</x:v>
      </x:c>
      <x:c r="T550" s="26" t="str">
        <x:v>Historical path preserved verbatim; hash calculated from supplied pre-regeneration project.</x:v>
      </x:c>
    </x:row>
    <x:row r="551" ht="30" customHeight="1">
      <x:c r="A551" s="26" t="str">
        <x:v>H-0547</x:v>
      </x:c>
      <x:c r="B551" s="26" t="str">
        <x:v>Development Records</x:v>
      </x:c>
      <x:c r="C551" s="26"/>
      <x:c r="D551" s="26" t="str">
        <x:v>Sprint_08</x:v>
      </x:c>
      <x:c r="E551" s="26" t="str">
        <x:v>Documentation</x:v>
      </x:c>
      <x:c r="F551" s="26" t="str">
        <x:v>Sprint 08</x:v>
      </x:c>
      <x:c r="G551" s="26" t="str">
        <x:v>S8_PreImplementation_Record.md</x:v>
      </x:c>
      <x:c r="H551" s="26" t="str">
        <x:v>Markdown</x:v>
      </x:c>
      <x:c r="I551" s="26" t="str">
        <x:v>Historical document / record</x:v>
      </x:c>
      <x:c r="J551" s="26" t="n">
        <x:v>496</x:v>
      </x:c>
      <x:c r="K551" s="26" t="str">
        <x:v>800dcc615cfebb4dd3ae8a0ad0fa62622d5b92beaf913e75bf93c40776331799</x:v>
      </x:c>
      <x:c r="L551" s="26"/>
      <x:c r="M551" s="26" t="n">
        <x:v>1</x:v>
      </x:c>
      <x:c r="N551" s="26" t="str">
        <x:v>UNIQUE</x:v>
      </x:c>
      <x:c r="O551" s="26"/>
      <x:c r="P551" s="26"/>
      <x:c r="Q551" s="26" t="str">
        <x:v>Development evidence</x:v>
      </x:c>
      <x:c r="R551" s="26" t="str">
        <x:v>RETAIN AS EVIDENCE — NOT REPLACED BY SUMMARY</x:v>
      </x:c>
      <x:c r="S551" s="26" t="str">
        <x:v>10_Development_Records/Sprint_08/Documentation/S8_PreImplementation_Record.md</x:v>
      </x:c>
      <x:c r="T551" s="26" t="str">
        <x:v>Historical path preserved verbatim; hash calculated from supplied pre-regeneration project.</x:v>
      </x:c>
    </x:row>
    <x:row r="552" ht="30" customHeight="1">
      <x:c r="A552" s="26" t="str">
        <x:v>H-0548</x:v>
      </x:c>
      <x:c r="B552" s="26" t="str">
        <x:v>Development Records</x:v>
      </x:c>
      <x:c r="C552" s="26"/>
      <x:c r="D552" s="26" t="str">
        <x:v>Sprint_08</x:v>
      </x:c>
      <x:c r="E552" s="26" t="str">
        <x:v>Governance</x:v>
      </x:c>
      <x:c r="F552" s="26" t="str">
        <x:v>Sprint 08</x:v>
      </x:c>
      <x:c r="G552" s="26" t="str">
        <x:v>ADR-0030_Single_Product_Display_Assignment.md</x:v>
      </x:c>
      <x:c r="H552" s="26" t="str">
        <x:v>Markdown</x:v>
      </x:c>
      <x:c r="I552" s="26" t="str">
        <x:v>ADR</x:v>
      </x:c>
      <x:c r="J552" s="26" t="n">
        <x:v>437</x:v>
      </x:c>
      <x:c r="K552" s="26" t="str">
        <x:v>ff34c07064a44ae5ffb3db2f205b4ef1fe2fd330bed57702a84f53e4f428e4a5</x:v>
      </x:c>
      <x:c r="L552" s="26"/>
      <x:c r="M552" s="26" t="n">
        <x:v>1</x:v>
      </x:c>
      <x:c r="N552" s="26" t="str">
        <x:v>UNIQUE</x:v>
      </x:c>
      <x:c r="O552" s="26"/>
      <x:c r="P552" s="26"/>
      <x:c r="Q552" s="26" t="str">
        <x:v>Development evidence</x:v>
      </x:c>
      <x:c r="R552" s="26" t="str">
        <x:v>RETAIN AS EVIDENCE — NOT REPLACED BY SUMMARY</x:v>
      </x:c>
      <x:c r="S552" s="26" t="str">
        <x:v>10_Development_Records/Sprint_08/Governance/ADR-0030_Single_Product_Display_Assignment.md</x:v>
      </x:c>
      <x:c r="T552" s="26" t="str">
        <x:v>Historical path preserved verbatim; hash calculated from supplied pre-regeneration project.</x:v>
      </x:c>
    </x:row>
    <x:row r="553" ht="30" customHeight="1">
      <x:c r="A553" s="26" t="str">
        <x:v>H-0549</x:v>
      </x:c>
      <x:c r="B553" s="26" t="str">
        <x:v>Development Records</x:v>
      </x:c>
      <x:c r="C553" s="26"/>
      <x:c r="D553" s="26" t="str">
        <x:v>Sprint_08</x:v>
      </x:c>
      <x:c r="E553" s="26" t="str">
        <x:v>Governance</x:v>
      </x:c>
      <x:c r="F553" s="26" t="str">
        <x:v>Sprint 08</x:v>
      </x:c>
      <x:c r="G553" s="26" t="str">
        <x:v>ADR-0031_Display_Capacity_and_Visible_Units.md</x:v>
      </x:c>
      <x:c r="H553" s="26" t="str">
        <x:v>Markdown</x:v>
      </x:c>
      <x:c r="I553" s="26" t="str">
        <x:v>ADR</x:v>
      </x:c>
      <x:c r="J553" s="26" t="n">
        <x:v>332</x:v>
      </x:c>
      <x:c r="K553" s="26" t="str">
        <x:v>55398e2d4b0f0989db0716a124fd96d597cfe878d561d2546f8114c74009a900</x:v>
      </x:c>
      <x:c r="L553" s="26"/>
      <x:c r="M553" s="26" t="n">
        <x:v>1</x:v>
      </x:c>
      <x:c r="N553" s="26" t="str">
        <x:v>UNIQUE</x:v>
      </x:c>
      <x:c r="O553" s="26"/>
      <x:c r="P553" s="26"/>
      <x:c r="Q553" s="26" t="str">
        <x:v>Development evidence</x:v>
      </x:c>
      <x:c r="R553" s="26" t="str">
        <x:v>RETAIN AS EVIDENCE — NOT REPLACED BY SUMMARY</x:v>
      </x:c>
      <x:c r="S553" s="26" t="str">
        <x:v>10_Development_Records/Sprint_08/Governance/ADR-0031_Display_Capacity_and_Visible_Units.md</x:v>
      </x:c>
      <x:c r="T553" s="26" t="str">
        <x:v>Historical path preserved verbatim; hash calculated from supplied pre-regeneration project.</x:v>
      </x:c>
    </x:row>
    <x:row r="554" ht="30" customHeight="1">
      <x:c r="A554" s="26" t="str">
        <x:v>H-0550</x:v>
      </x:c>
      <x:c r="B554" s="26" t="str">
        <x:v>Development Records</x:v>
      </x:c>
      <x:c r="C554" s="26"/>
      <x:c r="D554" s="26" t="str">
        <x:v>Sprint_08</x:v>
      </x:c>
      <x:c r="E554" s="26" t="str">
        <x:v>Governance</x:v>
      </x:c>
      <x:c r="F554" s="26" t="str">
        <x:v>Sprint 08</x:v>
      </x:c>
      <x:c r="G554" s="26" t="str">
        <x:v>ADR-0032_Atomic_Manual_Restocking.md</x:v>
      </x:c>
      <x:c r="H554" s="26" t="str">
        <x:v>Markdown</x:v>
      </x:c>
      <x:c r="I554" s="26" t="str">
        <x:v>ADR</x:v>
      </x:c>
      <x:c r="J554" s="26" t="n">
        <x:v>373</x:v>
      </x:c>
      <x:c r="K554" s="26" t="str">
        <x:v>3995a709fcd6235ec918570685e381fea53ef9620adb0bf10a0f25d2f0e6b970</x:v>
      </x:c>
      <x:c r="L554" s="26"/>
      <x:c r="M554" s="26" t="n">
        <x:v>1</x:v>
      </x:c>
      <x:c r="N554" s="26" t="str">
        <x:v>UNIQUE</x:v>
      </x:c>
      <x:c r="O554" s="26"/>
      <x:c r="P554" s="26"/>
      <x:c r="Q554" s="26" t="str">
        <x:v>Development evidence</x:v>
      </x:c>
      <x:c r="R554" s="26" t="str">
        <x:v>RETAIN AS EVIDENCE — NOT REPLACED BY SUMMARY</x:v>
      </x:c>
      <x:c r="S554" s="26" t="str">
        <x:v>10_Development_Records/Sprint_08/Governance/ADR-0032_Atomic_Manual_Restocking.md</x:v>
      </x:c>
      <x:c r="T554" s="26" t="str">
        <x:v>Historical path preserved verbatim; hash calculated from supplied pre-regeneration project.</x:v>
      </x:c>
    </x:row>
    <x:row r="555" ht="30" customHeight="1">
      <x:c r="A555" s="26" t="str">
        <x:v>H-0551</x:v>
      </x:c>
      <x:c r="B555" s="26" t="str">
        <x:v>Development Records</x:v>
      </x:c>
      <x:c r="C555" s="26"/>
      <x:c r="D555" s="26" t="str">
        <x:v>Sprint_08</x:v>
      </x:c>
      <x:c r="E555" s="26" t="str">
        <x:v>Governance</x:v>
      </x:c>
      <x:c r="F555" s="26" t="str">
        <x:v>Sprint 08</x:v>
      </x:c>
      <x:c r="G555" s="26" t="str">
        <x:v>ADR-0033_Display_Authoring_and_Placement_Boundary.md</x:v>
      </x:c>
      <x:c r="H555" s="26" t="str">
        <x:v>Markdown</x:v>
      </x:c>
      <x:c r="I555" s="26" t="str">
        <x:v>ADR</x:v>
      </x:c>
      <x:c r="J555" s="26" t="n">
        <x:v>406</x:v>
      </x:c>
      <x:c r="K555" s="26" t="str">
        <x:v>68b6ada32b41b33a38e6bd2e36673610f62e92d911bd9181b1cc431c25a22c77</x:v>
      </x:c>
      <x:c r="L555" s="26"/>
      <x:c r="M555" s="26" t="n">
        <x:v>1</x:v>
      </x:c>
      <x:c r="N555" s="26" t="str">
        <x:v>UNIQUE</x:v>
      </x:c>
      <x:c r="O555" s="26"/>
      <x:c r="P555" s="26"/>
      <x:c r="Q555" s="26" t="str">
        <x:v>Development evidence</x:v>
      </x:c>
      <x:c r="R555" s="26" t="str">
        <x:v>RETAIN AS EVIDENCE — NOT REPLACED BY SUMMARY</x:v>
      </x:c>
      <x:c r="S555" s="26" t="str">
        <x:v>10_Development_Records/Sprint_08/Governance/ADR-0033_Display_Authoring_and_Placement_Boundary.md</x:v>
      </x:c>
      <x:c r="T555" s="26" t="str">
        <x:v>Historical path preserved verbatim; hash calculated from supplied pre-regeneration project.</x:v>
      </x:c>
    </x:row>
    <x:row r="556" ht="30" customHeight="1">
      <x:c r="A556" s="26" t="str">
        <x:v>H-0552</x:v>
      </x:c>
      <x:c r="B556" s="26" t="str">
        <x:v>Development Records</x:v>
      </x:c>
      <x:c r="C556" s="26"/>
      <x:c r="D556" s="26" t="str">
        <x:v>Sprint_08</x:v>
      </x:c>
      <x:c r="E556" s="26" t="str">
        <x:v>Governance</x:v>
      </x:c>
      <x:c r="F556" s="26" t="str">
        <x:v>Sprint 08</x:v>
      </x:c>
      <x:c r="G556" s="26" t="str">
        <x:v>S8_Handoff_Update_Template.md</x:v>
      </x:c>
      <x:c r="H556" s="26" t="str">
        <x:v>Markdown</x:v>
      </x:c>
      <x:c r="I556" s="26" t="str">
        <x:v>Handoff record</x:v>
      </x:c>
      <x:c r="J556" s="26" t="n">
        <x:v>1297</x:v>
      </x:c>
      <x:c r="K556" s="26" t="str">
        <x:v>752c345e77607a3d096548520f2ce082a816d2eeb0d01ea0d29ddbe2bd32013a</x:v>
      </x:c>
      <x:c r="L556" s="26"/>
      <x:c r="M556" s="26" t="n">
        <x:v>1</x:v>
      </x:c>
      <x:c r="N556" s="26" t="str">
        <x:v>UNIQUE</x:v>
      </x:c>
      <x:c r="O556" s="26" t="str">
        <x:v>34</x:v>
      </x:c>
      <x:c r="P556" s="26" t="str">
        <x:v>14, 15, 34</x:v>
      </x:c>
      <x:c r="Q556" s="26" t="str">
        <x:v>Development evidence</x:v>
      </x:c>
      <x:c r="R556" s="26" t="str">
        <x:v>RETAIN AS EVIDENCE — NOT REPLACED BY SUMMARY</x:v>
      </x:c>
      <x:c r="S556" s="26" t="str">
        <x:v>10_Development_Records/Sprint_08/Governance/S8_Handoff_Update_Template.md</x:v>
      </x:c>
      <x:c r="T556" s="26" t="str">
        <x:v>Historical path preserved verbatim; hash calculated from supplied pre-regeneration project.</x:v>
      </x:c>
    </x:row>
    <x:row r="557" ht="30" customHeight="1">
      <x:c r="A557" s="26" t="str">
        <x:v>H-0553</x:v>
      </x:c>
      <x:c r="B557" s="26" t="str">
        <x:v>Development Records</x:v>
      </x:c>
      <x:c r="C557" s="26"/>
      <x:c r="D557" s="26" t="str">
        <x:v>Sprint_08</x:v>
      </x:c>
      <x:c r="E557" s="26" t="str">
        <x:v>Governance</x:v>
      </x:c>
      <x:c r="F557" s="26" t="str">
        <x:v>Sprint 08</x:v>
      </x:c>
      <x:c r="G557" s="26" t="str">
        <x:v>Sprint_08_Charter.md</x:v>
      </x:c>
      <x:c r="H557" s="26" t="str">
        <x:v>Markdown</x:v>
      </x:c>
      <x:c r="I557" s="26" t="str">
        <x:v>Sprint charter</x:v>
      </x:c>
      <x:c r="J557" s="26" t="n">
        <x:v>2480</x:v>
      </x:c>
      <x:c r="K557" s="26" t="str">
        <x:v>bd1ff89fc221568fdd4004e9a7ae504bfbb773312659345bb2cfe726e33683e9</x:v>
      </x:c>
      <x:c r="L557" s="26"/>
      <x:c r="M557" s="26" t="n">
        <x:v>1</x:v>
      </x:c>
      <x:c r="N557" s="26" t="str">
        <x:v>UNIQUE</x:v>
      </x:c>
      <x:c r="O557" s="26"/>
      <x:c r="P557" s="26"/>
      <x:c r="Q557" s="26" t="str">
        <x:v>Development evidence</x:v>
      </x:c>
      <x:c r="R557" s="26" t="str">
        <x:v>RETAIN AS EVIDENCE — NOT REPLACED BY SUMMARY</x:v>
      </x:c>
      <x:c r="S557" s="26" t="str">
        <x:v>10_Development_Records/Sprint_08/Governance/Sprint_08_Charter.md</x:v>
      </x:c>
      <x:c r="T557" s="26" t="str">
        <x:v>Historical path preserved verbatim; hash calculated from supplied pre-regeneration project.</x:v>
      </x:c>
    </x:row>
    <x:row r="558" ht="30" customHeight="1">
      <x:c r="A558" s="26" t="str">
        <x:v>H-0554</x:v>
      </x:c>
      <x:c r="B558" s="26" t="str">
        <x:v>Development Records</x:v>
      </x:c>
      <x:c r="C558" s="26"/>
      <x:c r="D558" s="26" t="str">
        <x:v>Sprint_08</x:v>
      </x:c>
      <x:c r="E558" s="26" t="str">
        <x:v>Governance</x:v>
      </x:c>
      <x:c r="F558" s="26" t="str">
        <x:v>Sprint 08</x:v>
      </x:c>
      <x:c r="G558" s="26" t="str">
        <x:v>Sprint_08_Current_Status.md</x:v>
      </x:c>
      <x:c r="H558" s="26" t="str">
        <x:v>Markdown</x:v>
      </x:c>
      <x:c r="I558" s="26" t="str">
        <x:v>Current status</x:v>
      </x:c>
      <x:c r="J558" s="26" t="n">
        <x:v>1642</x:v>
      </x:c>
      <x:c r="K558" s="26" t="str">
        <x:v>ac4bd550a7410946c583949ddc50a47efd32b921ad7b4f175568bedf7dd4101b</x:v>
      </x:c>
      <x:c r="L558" s="26"/>
      <x:c r="M558" s="26" t="n">
        <x:v>1</x:v>
      </x:c>
      <x:c r="N558" s="26" t="str">
        <x:v>UNIQUE</x:v>
      </x:c>
      <x:c r="O558" s="26"/>
      <x:c r="P558" s="26"/>
      <x:c r="Q558" s="26" t="str">
        <x:v>Development evidence</x:v>
      </x:c>
      <x:c r="R558" s="26" t="str">
        <x:v>RETAIN AS EVIDENCE — NOT REPLACED BY SUMMARY</x:v>
      </x:c>
      <x:c r="S558" s="26" t="str">
        <x:v>10_Development_Records/Sprint_08/Governance/Sprint_08_Current_Status.md</x:v>
      </x:c>
      <x:c r="T558" s="26" t="str">
        <x:v>Historical path preserved verbatim; hash calculated from supplied pre-regeneration project.</x:v>
      </x:c>
    </x:row>
    <x:row r="559" ht="30" customHeight="1">
      <x:c r="A559" s="26" t="str">
        <x:v>H-0555</x:v>
      </x:c>
      <x:c r="B559" s="26" t="str">
        <x:v>Development Records</x:v>
      </x:c>
      <x:c r="C559" s="26"/>
      <x:c r="D559" s="26" t="str">
        <x:v>Sprint_08</x:v>
      </x:c>
      <x:c r="E559" s="26" t="str">
        <x:v>QA</x:v>
      </x:c>
      <x:c r="F559" s="26" t="str">
        <x:v>Sprint 08</x:v>
      </x:c>
      <x:c r="G559" s="26" t="str">
        <x:v>S8_Acceptance_Matrix.md</x:v>
      </x:c>
      <x:c r="H559" s="26" t="str">
        <x:v>Markdown</x:v>
      </x:c>
      <x:c r="I559" s="26" t="str">
        <x:v>Acceptance matrix</x:v>
      </x:c>
      <x:c r="J559" s="26" t="n">
        <x:v>1833</x:v>
      </x:c>
      <x:c r="K559" s="26" t="str">
        <x:v>514b68f2839e76b1757df9d2d457dca9701cbe8f3de4169c6e38fe7e7c1e576c</x:v>
      </x:c>
      <x:c r="L559" s="26"/>
      <x:c r="M559" s="26" t="n">
        <x:v>1</x:v>
      </x:c>
      <x:c r="N559" s="26" t="str">
        <x:v>UNIQUE</x:v>
      </x:c>
      <x:c r="O559" s="26" t="str">
        <x:v>31</x:v>
      </x:c>
      <x:c r="P559" s="26" t="str">
        <x:v>02, 07, 08, 11, 13, 16, 31</x:v>
      </x:c>
      <x:c r="Q559" s="26" t="str">
        <x:v>Development evidence</x:v>
      </x:c>
      <x:c r="R559" s="26" t="str">
        <x:v>RETAIN AS EVIDENCE — NOT REPLACED BY SUMMARY</x:v>
      </x:c>
      <x:c r="S559" s="26" t="str">
        <x:v>10_Development_Records/Sprint_08/QA/S8_Acceptance_Matrix.md</x:v>
      </x:c>
      <x:c r="T559" s="26" t="str">
        <x:v>Historical path preserved verbatim; hash calculated from supplied pre-regeneration project.</x:v>
      </x:c>
    </x:row>
    <x:row r="560" ht="30" customHeight="1">
      <x:c r="A560" s="26" t="str">
        <x:v>H-0556</x:v>
      </x:c>
      <x:c r="B560" s="26" t="str">
        <x:v>Development Records</x:v>
      </x:c>
      <x:c r="C560" s="26"/>
      <x:c r="D560" s="26" t="str">
        <x:v>Sprint_08</x:v>
      </x:c>
      <x:c r="E560" s="26" t="str">
        <x:v>QA</x:v>
      </x:c>
      <x:c r="F560" s="26" t="str">
        <x:v>Sprint 08</x:v>
      </x:c>
      <x:c r="G560" s="26" t="str">
        <x:v>S8_Build_Execution_Record.md</x:v>
      </x:c>
      <x:c r="H560" s="26" t="str">
        <x:v>Markdown</x:v>
      </x:c>
      <x:c r="I560" s="26" t="str">
        <x:v>Build execution evidence</x:v>
      </x:c>
      <x:c r="J560" s="26" t="n">
        <x:v>1531</x:v>
      </x:c>
      <x:c r="K560" s="26" t="str">
        <x:v>975e35974c3ac193dedc354ad39f652dccd31356a4d69ec241dddcfdd84f29c1</x:v>
      </x:c>
      <x:c r="L560" s="26"/>
      <x:c r="M560" s="26" t="n">
        <x:v>1</x:v>
      </x:c>
      <x:c r="N560" s="26" t="str">
        <x:v>UNIQUE</x:v>
      </x:c>
      <x:c r="O560" s="26" t="str">
        <x:v>31</x:v>
      </x:c>
      <x:c r="P560" s="26" t="str">
        <x:v>02, 07, 08, 11, 13, 16, 31</x:v>
      </x:c>
      <x:c r="Q560" s="26" t="str">
        <x:v>Development evidence</x:v>
      </x:c>
      <x:c r="R560" s="26" t="str">
        <x:v>RETAIN AS EVIDENCE — NOT REPLACED BY SUMMARY</x:v>
      </x:c>
      <x:c r="S560" s="26" t="str">
        <x:v>10_Development_Records/Sprint_08/QA/S8_Build_Execution_Record.md</x:v>
      </x:c>
      <x:c r="T560" s="26" t="str">
        <x:v>Historical path preserved verbatim; hash calculated from supplied pre-regeneration project.</x:v>
      </x:c>
    </x:row>
    <x:row r="561" ht="30" customHeight="1">
      <x:c r="A561" s="26" t="str">
        <x:v>H-0557</x:v>
      </x:c>
      <x:c r="B561" s="26" t="str">
        <x:v>Development Records</x:v>
      </x:c>
      <x:c r="C561" s="26"/>
      <x:c r="D561" s="26" t="str">
        <x:v>Sprint_08</x:v>
      </x:c>
      <x:c r="E561" s="26" t="str">
        <x:v>QA</x:v>
      </x:c>
      <x:c r="F561" s="26" t="str">
        <x:v>Sprint 08</x:v>
      </x:c>
      <x:c r="G561" s="26" t="str">
        <x:v>S8_Compilation_Incident_001_NUnit_Assert_Multiple.md</x:v>
      </x:c>
      <x:c r="H561" s="26" t="str">
        <x:v>Markdown</x:v>
      </x:c>
      <x:c r="I561" s="26" t="str">
        <x:v>Historical document / record</x:v>
      </x:c>
      <x:c r="J561" s="26" t="n">
        <x:v>1971</x:v>
      </x:c>
      <x:c r="K561" s="26" t="str">
        <x:v>c3f9557dbe19d9326df55919c56712a4c7b57a77e3d1044708cbe974705cb69c</x:v>
      </x:c>
      <x:c r="L561" s="26"/>
      <x:c r="M561" s="26" t="n">
        <x:v>1</x:v>
      </x:c>
      <x:c r="N561" s="26" t="str">
        <x:v>UNIQUE</x:v>
      </x:c>
      <x:c r="O561" s="26"/>
      <x:c r="P561" s="26"/>
      <x:c r="Q561" s="26" t="str">
        <x:v>Development evidence</x:v>
      </x:c>
      <x:c r="R561" s="26" t="str">
        <x:v>RETAIN AS EVIDENCE — NOT REPLACED BY SUMMARY</x:v>
      </x:c>
      <x:c r="S561" s="26" t="str">
        <x:v>10_Development_Records/Sprint_08/QA/S8_Compilation_Incident_001_NUnit_Assert_Multiple.md</x:v>
      </x:c>
      <x:c r="T561" s="26" t="str">
        <x:v>Historical path preserved verbatim; hash calculated from supplied pre-regeneration project.</x:v>
      </x:c>
    </x:row>
    <x:row r="562" ht="30" customHeight="1">
      <x:c r="A562" s="26" t="str">
        <x:v>H-0558</x:v>
      </x:c>
      <x:c r="B562" s="26" t="str">
        <x:v>Development Records</x:v>
      </x:c>
      <x:c r="C562" s="26"/>
      <x:c r="D562" s="26" t="str">
        <x:v>Sprint_08</x:v>
      </x:c>
      <x:c r="E562" s="26" t="str">
        <x:v>QA</x:v>
      </x:c>
      <x:c r="F562" s="26" t="str">
        <x:v>Sprint 08</x:v>
      </x:c>
      <x:c r="G562" s="26" t="str">
        <x:v>S8_Manual_Validation_Record.md</x:v>
      </x:c>
      <x:c r="H562" s="26" t="str">
        <x:v>Markdown</x:v>
      </x:c>
      <x:c r="I562" s="26" t="str">
        <x:v>Historical document / record</x:v>
      </x:c>
      <x:c r="J562" s="26" t="n">
        <x:v>1698</x:v>
      </x:c>
      <x:c r="K562" s="26" t="str">
        <x:v>29369a792ec0f4c8d2ae2237c630eedda24f727c2c644ffcb6a2ff997927755d</x:v>
      </x:c>
      <x:c r="L562" s="26"/>
      <x:c r="M562" s="26" t="n">
        <x:v>1</x:v>
      </x:c>
      <x:c r="N562" s="26" t="str">
        <x:v>UNIQUE</x:v>
      </x:c>
      <x:c r="O562" s="26"/>
      <x:c r="P562" s="26"/>
      <x:c r="Q562" s="26" t="str">
        <x:v>Development evidence</x:v>
      </x:c>
      <x:c r="R562" s="26" t="str">
        <x:v>RETAIN AS EVIDENCE — NOT REPLACED BY SUMMARY</x:v>
      </x:c>
      <x:c r="S562" s="26" t="str">
        <x:v>10_Development_Records/Sprint_08/QA/S8_Manual_Validation_Record.md</x:v>
      </x:c>
      <x:c r="T562" s="26" t="str">
        <x:v>Historical path preserved verbatim; hash calculated from supplied pre-regeneration project.</x:v>
      </x:c>
    </x:row>
    <x:row r="563" ht="30" customHeight="1">
      <x:c r="A563" s="26" t="str">
        <x:v>H-0559</x:v>
      </x:c>
      <x:c r="B563" s="26" t="str">
        <x:v>Development Records</x:v>
      </x:c>
      <x:c r="C563" s="26"/>
      <x:c r="D563" s="26" t="str">
        <x:v>Sprint_08</x:v>
      </x:c>
      <x:c r="E563" s="26" t="str">
        <x:v>QA</x:v>
      </x:c>
      <x:c r="F563" s="26" t="str">
        <x:v>Sprint 08</x:v>
      </x:c>
      <x:c r="G563" s="26" t="str">
        <x:v>S8_QA_Execution_Record.md</x:v>
      </x:c>
      <x:c r="H563" s="26" t="str">
        <x:v>Markdown</x:v>
      </x:c>
      <x:c r="I563" s="26" t="str">
        <x:v>QA execution evidence</x:v>
      </x:c>
      <x:c r="J563" s="26" t="n">
        <x:v>1991</x:v>
      </x:c>
      <x:c r="K563" s="26" t="str">
        <x:v>6b648c6839cb4cd0f249f4318624210896b63a393cd888a3b1ac2d9f70edc61b</x:v>
      </x:c>
      <x:c r="L563" s="26"/>
      <x:c r="M563" s="26" t="n">
        <x:v>1</x:v>
      </x:c>
      <x:c r="N563" s="26" t="str">
        <x:v>UNIQUE</x:v>
      </x:c>
      <x:c r="O563" s="26" t="str">
        <x:v>31</x:v>
      </x:c>
      <x:c r="P563" s="26" t="str">
        <x:v>02, 07, 08, 11, 13, 16, 31</x:v>
      </x:c>
      <x:c r="Q563" s="26" t="str">
        <x:v>Development evidence</x:v>
      </x:c>
      <x:c r="R563" s="26" t="str">
        <x:v>RETAIN AS EVIDENCE — NOT REPLACED BY SUMMARY</x:v>
      </x:c>
      <x:c r="S563" s="26" t="str">
        <x:v>10_Development_Records/Sprint_08/QA/S8_QA_Execution_Record.md</x:v>
      </x:c>
      <x:c r="T563" s="26" t="str">
        <x:v>Historical path preserved verbatim; hash calculated from supplied pre-regeneration project.</x:v>
      </x:c>
    </x:row>
    <x:row r="564" ht="30" customHeight="1">
      <x:c r="A564" s="26" t="str">
        <x:v>H-0560</x:v>
      </x:c>
      <x:c r="B564" s="26" t="str">
        <x:v>Development Records</x:v>
      </x:c>
      <x:c r="C564" s="26"/>
      <x:c r="D564" s="26" t="str">
        <x:v>Sprint_08</x:v>
      </x:c>
      <x:c r="E564" s="26" t="str">
        <x:v>QA</x:v>
      </x:c>
      <x:c r="F564" s="26" t="str">
        <x:v>Sprint 08</x:v>
      </x:c>
      <x:c r="G564" s="26" t="str">
        <x:v>S8_Test_Plan.md</x:v>
      </x:c>
      <x:c r="H564" s="26" t="str">
        <x:v>Markdown</x:v>
      </x:c>
      <x:c r="I564" s="26" t="str">
        <x:v>Historical document / record</x:v>
      </x:c>
      <x:c r="J564" s="26" t="n">
        <x:v>813</x:v>
      </x:c>
      <x:c r="K564" s="26" t="str">
        <x:v>700cbef3a75e066574ad7b1f0c97ae0a20be0bd2f4b6bb21012f83a665268b0f</x:v>
      </x:c>
      <x:c r="L564" s="26"/>
      <x:c r="M564" s="26" t="n">
        <x:v>1</x:v>
      </x:c>
      <x:c r="N564" s="26" t="str">
        <x:v>UNIQUE</x:v>
      </x:c>
      <x:c r="O564" s="26"/>
      <x:c r="P564" s="26"/>
      <x:c r="Q564" s="26" t="str">
        <x:v>Development evidence</x:v>
      </x:c>
      <x:c r="R564" s="26" t="str">
        <x:v>RETAIN AS EVIDENCE — NOT REPLACED BY SUMMARY</x:v>
      </x:c>
      <x:c r="S564" s="26" t="str">
        <x:v>10_Development_Records/Sprint_08/QA/S8_Test_Plan.md</x:v>
      </x:c>
      <x:c r="T564" s="26" t="str">
        <x:v>Historical path preserved verbatim; hash calculated from supplied pre-regeneration project.</x:v>
      </x:c>
    </x:row>
    <x:row r="565" ht="30" customHeight="1">
      <x:c r="A565" s="26" t="str">
        <x:v>H-0561</x:v>
      </x:c>
      <x:c r="B565" s="26" t="str">
        <x:v>Development Records</x:v>
      </x:c>
      <x:c r="C565" s="26"/>
      <x:c r="D565" s="26" t="str">
        <x:v>Sprint_08</x:v>
      </x:c>
      <x:c r="E565" s="26" t="str">
        <x:v>QA</x:v>
      </x:c>
      <x:c r="F565" s="26" t="str">
        <x:v>Sprint 08</x:v>
      </x:c>
      <x:c r="G565" s="26" t="str">
        <x:v>S8_Validation_Checklist.md</x:v>
      </x:c>
      <x:c r="H565" s="26" t="str">
        <x:v>Markdown</x:v>
      </x:c>
      <x:c r="I565" s="26" t="str">
        <x:v>Validation checklist</x:v>
      </x:c>
      <x:c r="J565" s="26" t="n">
        <x:v>1593</x:v>
      </x:c>
      <x:c r="K565" s="26" t="str">
        <x:v>e78968953305cb6dc030ececd164ea1e6ac7ca13a88385f2fcadb04e22c61e88</x:v>
      </x:c>
      <x:c r="L565" s="26"/>
      <x:c r="M565" s="26" t="n">
        <x:v>1</x:v>
      </x:c>
      <x:c r="N565" s="26" t="str">
        <x:v>UNIQUE</x:v>
      </x:c>
      <x:c r="O565" s="26" t="str">
        <x:v>31</x:v>
      </x:c>
      <x:c r="P565" s="26" t="str">
        <x:v>02, 07, 08, 11, 13, 16, 31</x:v>
      </x:c>
      <x:c r="Q565" s="26" t="str">
        <x:v>Development evidence</x:v>
      </x:c>
      <x:c r="R565" s="26" t="str">
        <x:v>RETAIN AS EVIDENCE — NOT REPLACED BY SUMMARY</x:v>
      </x:c>
      <x:c r="S565" s="26" t="str">
        <x:v>10_Development_Records/Sprint_08/QA/S8_Validation_Checklist.md</x:v>
      </x:c>
      <x:c r="T565" s="26" t="str">
        <x:v>Historical path preserved verbatim; hash calculated from supplied pre-regeneration project.</x:v>
      </x:c>
    </x:row>
    <x:row r="566" ht="30" customHeight="1">
      <x:c r="A566" s="26" t="str">
        <x:v>H-0562</x:v>
      </x:c>
      <x:c r="B566" s="26" t="str">
        <x:v>Development Records</x:v>
      </x:c>
      <x:c r="C566" s="26"/>
      <x:c r="D566" s="26" t="str">
        <x:v>Sprint_08</x:v>
      </x:c>
      <x:c r="E566" s="26" t="str">
        <x:v>Sprint_08_Closure_Report.md</x:v>
      </x:c>
      <x:c r="F566" s="26" t="str">
        <x:v>Sprint 08</x:v>
      </x:c>
      <x:c r="G566" s="26" t="str">
        <x:v>Sprint_08_Closure_Report.md</x:v>
      </x:c>
      <x:c r="H566" s="26" t="str">
        <x:v>Markdown</x:v>
      </x:c>
      <x:c r="I566" s="26" t="str">
        <x:v>Sprint closure</x:v>
      </x:c>
      <x:c r="J566" s="26" t="n">
        <x:v>2446</x:v>
      </x:c>
      <x:c r="K566" s="26" t="str">
        <x:v>d6a2eee566596bde2f15c4cb2cb9fdd3ac0623bfcf6964714820d2ec1472d5f5</x:v>
      </x:c>
      <x:c r="L566" s="26"/>
      <x:c r="M566" s="26" t="n">
        <x:v>1</x:v>
      </x:c>
      <x:c r="N566" s="26" t="str">
        <x:v>UNIQUE</x:v>
      </x:c>
      <x:c r="O566" s="26"/>
      <x:c r="P566" s="26"/>
      <x:c r="Q566" s="26" t="str">
        <x:v>Development evidence</x:v>
      </x:c>
      <x:c r="R566" s="26" t="str">
        <x:v>RETAIN AS EVIDENCE — NOT REPLACED BY SUMMARY</x:v>
      </x:c>
      <x:c r="S566" s="26" t="str">
        <x:v>10_Development_Records/Sprint_08/Sprint_08_Closure_Report.md</x:v>
      </x:c>
      <x:c r="T566" s="26" t="str">
        <x:v>Historical path preserved verbatim; hash calculated from supplied pre-regeneration project.</x:v>
      </x:c>
    </x:row>
    <x:row r="567" ht="30" customHeight="1">
      <x:c r="A567" s="26" t="str">
        <x:v>H-0563</x:v>
      </x:c>
      <x:c r="B567" s="26" t="str">
        <x:v>Development Records</x:v>
      </x:c>
      <x:c r="C567" s="26"/>
      <x:c r="D567" s="26" t="str">
        <x:v>Sprint_08</x:v>
      </x:c>
      <x:c r="E567" s="26" t="str">
        <x:v>Traceability</x:v>
      </x:c>
      <x:c r="F567" s="26" t="str">
        <x:v>Sprint 08</x:v>
      </x:c>
      <x:c r="G567" s="26" t="str">
        <x:v>S8_Document_Impact_Working_Matrix.md</x:v>
      </x:c>
      <x:c r="H567" s="26" t="str">
        <x:v>Markdown</x:v>
      </x:c>
      <x:c r="I567" s="26" t="str">
        <x:v>Traceability entry</x:v>
      </x:c>
      <x:c r="J567" s="26" t="n">
        <x:v>872</x:v>
      </x:c>
      <x:c r="K567" s="26" t="str">
        <x:v>ec0343bbb8dd8e784bf94ffd7c38e4035ba1ca6f153a804a69c050cb795859ec</x:v>
      </x:c>
      <x:c r="L567" s="26"/>
      <x:c r="M567" s="26" t="n">
        <x:v>1</x:v>
      </x:c>
      <x:c r="N567" s="26" t="str">
        <x:v>UNIQUE</x:v>
      </x:c>
      <x:c r="O567" s="26"/>
      <x:c r="P567" s="26"/>
      <x:c r="Q567" s="26" t="str">
        <x:v>Development evidence</x:v>
      </x:c>
      <x:c r="R567" s="26" t="str">
        <x:v>RETAIN AS EVIDENCE — NOT REPLACED BY SUMMARY</x:v>
      </x:c>
      <x:c r="S567" s="26" t="str">
        <x:v>10_Development_Records/Sprint_08/Traceability/S8_Document_Impact_Working_Matrix.md</x:v>
      </x:c>
      <x:c r="T567" s="26" t="str">
        <x:v>Historical path preserved verbatim; hash calculated from supplied pre-regeneration project.</x:v>
      </x:c>
    </x:row>
    <x:row r="568" ht="30" customHeight="1">
      <x:c r="A568" s="26" t="str">
        <x:v>H-0564</x:v>
      </x:c>
      <x:c r="B568" s="26" t="str">
        <x:v>Development Records</x:v>
      </x:c>
      <x:c r="C568" s="26"/>
      <x:c r="D568" s="26" t="str">
        <x:v>Sprint_08</x:v>
      </x:c>
      <x:c r="E568" s="26" t="str">
        <x:v>Traceability</x:v>
      </x:c>
      <x:c r="F568" s="26" t="str">
        <x:v>Sprint 08</x:v>
      </x:c>
      <x:c r="G568" s="26" t="str">
        <x:v>S8_Traceability_Entries.csv</x:v>
      </x:c>
      <x:c r="H568" s="26" t="str">
        <x:v>CSV</x:v>
      </x:c>
      <x:c r="I568" s="26" t="str">
        <x:v>Traceability entry</x:v>
      </x:c>
      <x:c r="J568" s="26" t="n">
        <x:v>1582</x:v>
      </x:c>
      <x:c r="K568" s="26" t="str">
        <x:v>af8bd7c1f4780abe6cc568052107fb3d9b269aba6efc8087d5d9c7ad7902d23e</x:v>
      </x:c>
      <x:c r="L568" s="26"/>
      <x:c r="M568" s="26" t="n">
        <x:v>1</x:v>
      </x:c>
      <x:c r="N568" s="26" t="str">
        <x:v>UNIQUE</x:v>
      </x:c>
      <x:c r="O568" s="26"/>
      <x:c r="P568" s="26"/>
      <x:c r="Q568" s="26" t="str">
        <x:v>Development evidence</x:v>
      </x:c>
      <x:c r="R568" s="26" t="str">
        <x:v>RETAIN AS EVIDENCE — NOT REPLACED BY SUMMARY</x:v>
      </x:c>
      <x:c r="S568" s="26" t="str">
        <x:v>10_Development_Records/Sprint_08/Traceability/S8_Traceability_Entries.csv</x:v>
      </x:c>
      <x:c r="T568" s="26" t="str">
        <x:v>Historical path preserved verbatim; hash calculated from supplied pre-regeneration project.</x:v>
      </x:c>
    </x:row>
    <x:row r="569" ht="30" customHeight="1">
      <x:c r="A569" s="26" t="str">
        <x:v>H-0565</x:v>
      </x:c>
      <x:c r="B569" s="26" t="str">
        <x:v>Development Records</x:v>
      </x:c>
      <x:c r="C569" s="26"/>
      <x:c r="D569" s="26" t="str">
        <x:v>Sprint_09</x:v>
      </x:c>
      <x:c r="E569" s="26" t="str">
        <x:v>Documentation</x:v>
      </x:c>
      <x:c r="F569" s="26" t="str">
        <x:v>Sprint 09</x:v>
      </x:c>
      <x:c r="G569" s="26" t="str">
        <x:v>S9_PostImplementation_Record.md</x:v>
      </x:c>
      <x:c r="H569" s="26" t="str">
        <x:v>Markdown</x:v>
      </x:c>
      <x:c r="I569" s="26" t="str">
        <x:v>Historical document / record</x:v>
      </x:c>
      <x:c r="J569" s="26" t="n">
        <x:v>798</x:v>
      </x:c>
      <x:c r="K569" s="26" t="str">
        <x:v>6b07d5adf234fe07af6475b6a6bac1fed856e6b4238fa14ae4e5daf731e73123</x:v>
      </x:c>
      <x:c r="L569" s="26"/>
      <x:c r="M569" s="26" t="n">
        <x:v>1</x:v>
      </x:c>
      <x:c r="N569" s="26" t="str">
        <x:v>UNIQUE</x:v>
      </x:c>
      <x:c r="O569" s="26"/>
      <x:c r="P569" s="26"/>
      <x:c r="Q569" s="26" t="str">
        <x:v>Development evidence</x:v>
      </x:c>
      <x:c r="R569" s="26" t="str">
        <x:v>RETAIN AS EVIDENCE — NOT REPLACED BY SUMMARY</x:v>
      </x:c>
      <x:c r="S569" s="26" t="str">
        <x:v>10_Development_Records/Sprint_09/Documentation/S9_PostImplementation_Record.md</x:v>
      </x:c>
      <x:c r="T569" s="26" t="str">
        <x:v>Historical path preserved verbatim; hash calculated from supplied pre-regeneration project.</x:v>
      </x:c>
    </x:row>
    <x:row r="570" ht="30" customHeight="1">
      <x:c r="A570" s="26" t="str">
        <x:v>H-0566</x:v>
      </x:c>
      <x:c r="B570" s="26" t="str">
        <x:v>Development Records</x:v>
      </x:c>
      <x:c r="C570" s="26"/>
      <x:c r="D570" s="26" t="str">
        <x:v>Sprint_09</x:v>
      </x:c>
      <x:c r="E570" s="26" t="str">
        <x:v>Documentation</x:v>
      </x:c>
      <x:c r="F570" s="26" t="str">
        <x:v>Sprint 09</x:v>
      </x:c>
      <x:c r="G570" s="26" t="str">
        <x:v>S9_PreImplementation_Record.md</x:v>
      </x:c>
      <x:c r="H570" s="26" t="str">
        <x:v>Markdown</x:v>
      </x:c>
      <x:c r="I570" s="26" t="str">
        <x:v>Historical document / record</x:v>
      </x:c>
      <x:c r="J570" s="26" t="n">
        <x:v>219</x:v>
      </x:c>
      <x:c r="K570" s="26" t="str">
        <x:v>d004bd0763ddcf7005a8a51ff9e919179003dbf456051ca4f42be55f1007af66</x:v>
      </x:c>
      <x:c r="L570" s="26"/>
      <x:c r="M570" s="26" t="n">
        <x:v>1</x:v>
      </x:c>
      <x:c r="N570" s="26" t="str">
        <x:v>UNIQUE</x:v>
      </x:c>
      <x:c r="O570" s="26"/>
      <x:c r="P570" s="26"/>
      <x:c r="Q570" s="26" t="str">
        <x:v>Development evidence</x:v>
      </x:c>
      <x:c r="R570" s="26" t="str">
        <x:v>RETAIN AS EVIDENCE — NOT REPLACED BY SUMMARY</x:v>
      </x:c>
      <x:c r="S570" s="26" t="str">
        <x:v>10_Development_Records/Sprint_09/Documentation/S9_PreImplementation_Record.md</x:v>
      </x:c>
      <x:c r="T570" s="26" t="str">
        <x:v>Historical path preserved verbatim; hash calculated from supplied pre-regeneration project.</x:v>
      </x:c>
    </x:row>
    <x:row r="571" ht="30" customHeight="1">
      <x:c r="A571" s="26" t="str">
        <x:v>H-0567</x:v>
      </x:c>
      <x:c r="B571" s="26" t="str">
        <x:v>Development Records</x:v>
      </x:c>
      <x:c r="C571" s="26"/>
      <x:c r="D571" s="26" t="str">
        <x:v>Sprint_09</x:v>
      </x:c>
      <x:c r="E571" s="26" t="str">
        <x:v>Governance</x:v>
      </x:c>
      <x:c r="F571" s="26" t="str">
        <x:v>Sprint 09</x:v>
      </x:c>
      <x:c r="G571" s="26" t="str">
        <x:v>ADR-0034_Deterministic_Profile_Selection_and_Spawn_Queue.md</x:v>
      </x:c>
      <x:c r="H571" s="26" t="str">
        <x:v>Markdown</x:v>
      </x:c>
      <x:c r="I571" s="26" t="str">
        <x:v>ADR</x:v>
      </x:c>
      <x:c r="J571" s="26" t="n">
        <x:v>308</x:v>
      </x:c>
      <x:c r="K571" s="26" t="str">
        <x:v>b3190da9985256d7704754263838fb9845526aaf470eec40c3e6501ffa6b8d0b</x:v>
      </x:c>
      <x:c r="L571" s="26"/>
      <x:c r="M571" s="26" t="n">
        <x:v>1</x:v>
      </x:c>
      <x:c r="N571" s="26" t="str">
        <x:v>UNIQUE</x:v>
      </x:c>
      <x:c r="O571" s="26"/>
      <x:c r="P571" s="26"/>
      <x:c r="Q571" s="26" t="str">
        <x:v>Development evidence</x:v>
      </x:c>
      <x:c r="R571" s="26" t="str">
        <x:v>RETAIN AS EVIDENCE — NOT REPLACED BY SUMMARY</x:v>
      </x:c>
      <x:c r="S571" s="26" t="str">
        <x:v>10_Development_Records/Sprint_09/Governance/ADR-0034_Deterministic_Profile_Selection_and_Spawn_Queue.md</x:v>
      </x:c>
      <x:c r="T571" s="26" t="str">
        <x:v>Historical path preserved verbatim; hash calculated from supplied pre-regeneration project.</x:v>
      </x:c>
    </x:row>
    <x:row r="572" ht="30" customHeight="1">
      <x:c r="A572" s="26" t="str">
        <x:v>H-0568</x:v>
      </x:c>
      <x:c r="B572" s="26" t="str">
        <x:v>Development Records</x:v>
      </x:c>
      <x:c r="C572" s="26"/>
      <x:c r="D572" s="26" t="str">
        <x:v>Sprint_09</x:v>
      </x:c>
      <x:c r="E572" s="26" t="str">
        <x:v>Governance</x:v>
      </x:c>
      <x:c r="F572" s="26" t="str">
        <x:v>Sprint 09</x:v>
      </x:c>
      <x:c r="G572" s="26" t="str">
        <x:v>ADR-0035_Customer_Lifecycle_and_Patience.md</x:v>
      </x:c>
      <x:c r="H572" s="26" t="str">
        <x:v>Markdown</x:v>
      </x:c>
      <x:c r="I572" s="26" t="str">
        <x:v>ADR</x:v>
      </x:c>
      <x:c r="J572" s="26" t="n">
        <x:v>394</x:v>
      </x:c>
      <x:c r="K572" s="26" t="str">
        <x:v>abae8d2eebdfc7d8b65386653fb1cbb78c351049ef3d838a6d8b0668dd1e1173</x:v>
      </x:c>
      <x:c r="L572" s="26"/>
      <x:c r="M572" s="26" t="n">
        <x:v>1</x:v>
      </x:c>
      <x:c r="N572" s="26" t="str">
        <x:v>UNIQUE</x:v>
      </x:c>
      <x:c r="O572" s="26"/>
      <x:c r="P572" s="26"/>
      <x:c r="Q572" s="26" t="str">
        <x:v>Development evidence</x:v>
      </x:c>
      <x:c r="R572" s="26" t="str">
        <x:v>RETAIN AS EVIDENCE — NOT REPLACED BY SUMMARY</x:v>
      </x:c>
      <x:c r="S572" s="26" t="str">
        <x:v>10_Development_Records/Sprint_09/Governance/ADR-0035_Customer_Lifecycle_and_Patience.md</x:v>
      </x:c>
      <x:c r="T572" s="26" t="str">
        <x:v>Historical path preserved verbatim; hash calculated from supplied pre-regeneration project.</x:v>
      </x:c>
    </x:row>
    <x:row r="573" ht="30" customHeight="1">
      <x:c r="A573" s="26" t="str">
        <x:v>H-0569</x:v>
      </x:c>
      <x:c r="B573" s="26" t="str">
        <x:v>Development Records</x:v>
      </x:c>
      <x:c r="C573" s="26"/>
      <x:c r="D573" s="26" t="str">
        <x:v>Sprint_09</x:v>
      </x:c>
      <x:c r="E573" s="26" t="str">
        <x:v>Governance</x:v>
      </x:c>
      <x:c r="F573" s="26" t="str">
        <x:v>Sprint 09</x:v>
      </x:c>
      <x:c r="G573" s="26" t="str">
        <x:v>ADR-0036_Technical_Navigation_Boundary.md</x:v>
      </x:c>
      <x:c r="H573" s="26" t="str">
        <x:v>Markdown</x:v>
      </x:c>
      <x:c r="I573" s="26" t="str">
        <x:v>ADR</x:v>
      </x:c>
      <x:c r="J573" s="26" t="n">
        <x:v>339</x:v>
      </x:c>
      <x:c r="K573" s="26" t="str">
        <x:v>d749100129b58f4e3fd7f9da9b540340194be1dee4dce5195173796089acb4d0</x:v>
      </x:c>
      <x:c r="L573" s="26"/>
      <x:c r="M573" s="26" t="n">
        <x:v>1</x:v>
      </x:c>
      <x:c r="N573" s="26" t="str">
        <x:v>UNIQUE</x:v>
      </x:c>
      <x:c r="O573" s="26"/>
      <x:c r="P573" s="26"/>
      <x:c r="Q573" s="26" t="str">
        <x:v>Development evidence</x:v>
      </x:c>
      <x:c r="R573" s="26" t="str">
        <x:v>RETAIN AS EVIDENCE — NOT REPLACED BY SUMMARY</x:v>
      </x:c>
      <x:c r="S573" s="26" t="str">
        <x:v>10_Development_Records/Sprint_09/Governance/ADR-0036_Technical_Navigation_Boundary.md</x:v>
      </x:c>
      <x:c r="T573" s="26" t="str">
        <x:v>Historical path preserved verbatim; hash calculated from supplied pre-regeneration project.</x:v>
      </x:c>
    </x:row>
    <x:row r="574" ht="30" customHeight="1">
      <x:c r="A574" s="26" t="str">
        <x:v>H-0570</x:v>
      </x:c>
      <x:c r="B574" s="26" t="str">
        <x:v>Development Records</x:v>
      </x:c>
      <x:c r="C574" s="26"/>
      <x:c r="D574" s="26" t="str">
        <x:v>Sprint_09</x:v>
      </x:c>
      <x:c r="E574" s="26" t="str">
        <x:v>Governance</x:v>
      </x:c>
      <x:c r="F574" s="26" t="str">
        <x:v>Sprint 09</x:v>
      </x:c>
      <x:c r="G574" s="26" t="str">
        <x:v>ADR-0037_Population_Cap_and_Technical_Representation.md</x:v>
      </x:c>
      <x:c r="H574" s="26" t="str">
        <x:v>Markdown</x:v>
      </x:c>
      <x:c r="I574" s="26" t="str">
        <x:v>ADR</x:v>
      </x:c>
      <x:c r="J574" s="26" t="n">
        <x:v>307</x:v>
      </x:c>
      <x:c r="K574" s="26" t="str">
        <x:v>a03265cb88add303fe2be3c2b7982b1c183f2a3d52c5e7815b17a1a886428392</x:v>
      </x:c>
      <x:c r="L574" s="26"/>
      <x:c r="M574" s="26" t="n">
        <x:v>1</x:v>
      </x:c>
      <x:c r="N574" s="26" t="str">
        <x:v>UNIQUE</x:v>
      </x:c>
      <x:c r="O574" s="26"/>
      <x:c r="P574" s="26"/>
      <x:c r="Q574" s="26" t="str">
        <x:v>Development evidence</x:v>
      </x:c>
      <x:c r="R574" s="26" t="str">
        <x:v>RETAIN AS EVIDENCE — NOT REPLACED BY SUMMARY</x:v>
      </x:c>
      <x:c r="S574" s="26" t="str">
        <x:v>10_Development_Records/Sprint_09/Governance/ADR-0037_Population_Cap_and_Technical_Representation.md</x:v>
      </x:c>
      <x:c r="T574" s="26" t="str">
        <x:v>Historical path preserved verbatim; hash calculated from supplied pre-regeneration project.</x:v>
      </x:c>
    </x:row>
    <x:row r="575" ht="30" customHeight="1">
      <x:c r="A575" s="26" t="str">
        <x:v>H-0571</x:v>
      </x:c>
      <x:c r="B575" s="26" t="str">
        <x:v>Development Records</x:v>
      </x:c>
      <x:c r="C575" s="26"/>
      <x:c r="D575" s="26" t="str">
        <x:v>Sprint_09</x:v>
      </x:c>
      <x:c r="E575" s="26" t="str">
        <x:v>Governance</x:v>
      </x:c>
      <x:c r="F575" s="26" t="str">
        <x:v>Sprint 09</x:v>
      </x:c>
      <x:c r="G575" s="26" t="str">
        <x:v>S9_Handoff_Update_Template.md</x:v>
      </x:c>
      <x:c r="H575" s="26" t="str">
        <x:v>Markdown</x:v>
      </x:c>
      <x:c r="I575" s="26" t="str">
        <x:v>Handoff record</x:v>
      </x:c>
      <x:c r="J575" s="26" t="n">
        <x:v>501</x:v>
      </x:c>
      <x:c r="K575" s="26" t="str">
        <x:v>e3d501b14918d549aab4d42cc2d289a8f1d83730600d1083109ea64ea409baae</x:v>
      </x:c>
      <x:c r="L575" s="26"/>
      <x:c r="M575" s="26" t="n">
        <x:v>1</x:v>
      </x:c>
      <x:c r="N575" s="26" t="str">
        <x:v>UNIQUE</x:v>
      </x:c>
      <x:c r="O575" s="26" t="str">
        <x:v>34</x:v>
      </x:c>
      <x:c r="P575" s="26" t="str">
        <x:v>14, 15, 34</x:v>
      </x:c>
      <x:c r="Q575" s="26" t="str">
        <x:v>Development evidence</x:v>
      </x:c>
      <x:c r="R575" s="26" t="str">
        <x:v>RETAIN AS EVIDENCE — NOT REPLACED BY SUMMARY</x:v>
      </x:c>
      <x:c r="S575" s="26" t="str">
        <x:v>10_Development_Records/Sprint_09/Governance/S9_Handoff_Update_Template.md</x:v>
      </x:c>
      <x:c r="T575" s="26" t="str">
        <x:v>Historical path preserved verbatim; hash calculated from supplied pre-regeneration project.</x:v>
      </x:c>
    </x:row>
    <x:row r="576" ht="30" customHeight="1">
      <x:c r="A576" s="26" t="str">
        <x:v>H-0572</x:v>
      </x:c>
      <x:c r="B576" s="26" t="str">
        <x:v>Development Records</x:v>
      </x:c>
      <x:c r="C576" s="26"/>
      <x:c r="D576" s="26" t="str">
        <x:v>Sprint_09</x:v>
      </x:c>
      <x:c r="E576" s="26" t="str">
        <x:v>Governance</x:v>
      </x:c>
      <x:c r="F576" s="26" t="str">
        <x:v>Sprint 09</x:v>
      </x:c>
      <x:c r="G576" s="26" t="str">
        <x:v>Sprint_09_Charter.md</x:v>
      </x:c>
      <x:c r="H576" s="26" t="str">
        <x:v>Markdown</x:v>
      </x:c>
      <x:c r="I576" s="26" t="str">
        <x:v>Sprint charter</x:v>
      </x:c>
      <x:c r="J576" s="26" t="n">
        <x:v>1790</x:v>
      </x:c>
      <x:c r="K576" s="26" t="str">
        <x:v>6296044398070782a02219d18c7a85687c807bd2c657d405602d7144da1fcf5a</x:v>
      </x:c>
      <x:c r="L576" s="26"/>
      <x:c r="M576" s="26" t="n">
        <x:v>1</x:v>
      </x:c>
      <x:c r="N576" s="26" t="str">
        <x:v>UNIQUE</x:v>
      </x:c>
      <x:c r="O576" s="26"/>
      <x:c r="P576" s="26"/>
      <x:c r="Q576" s="26" t="str">
        <x:v>Development evidence</x:v>
      </x:c>
      <x:c r="R576" s="26" t="str">
        <x:v>RETAIN AS EVIDENCE — NOT REPLACED BY SUMMARY</x:v>
      </x:c>
      <x:c r="S576" s="26" t="str">
        <x:v>10_Development_Records/Sprint_09/Governance/Sprint_09_Charter.md</x:v>
      </x:c>
      <x:c r="T576" s="26" t="str">
        <x:v>Historical path preserved verbatim; hash calculated from supplied pre-regeneration project.</x:v>
      </x:c>
    </x:row>
    <x:row r="577" ht="30" customHeight="1">
      <x:c r="A577" s="26" t="str">
        <x:v>H-0573</x:v>
      </x:c>
      <x:c r="B577" s="26" t="str">
        <x:v>Development Records</x:v>
      </x:c>
      <x:c r="C577" s="26"/>
      <x:c r="D577" s="26" t="str">
        <x:v>Sprint_09</x:v>
      </x:c>
      <x:c r="E577" s="26" t="str">
        <x:v>Governance</x:v>
      </x:c>
      <x:c r="F577" s="26" t="str">
        <x:v>Sprint 09</x:v>
      </x:c>
      <x:c r="G577" s="26" t="str">
        <x:v>Sprint_09_Current_Status.md</x:v>
      </x:c>
      <x:c r="H577" s="26" t="str">
        <x:v>Markdown</x:v>
      </x:c>
      <x:c r="I577" s="26" t="str">
        <x:v>Current status</x:v>
      </x:c>
      <x:c r="J577" s="26" t="n">
        <x:v>669</x:v>
      </x:c>
      <x:c r="K577" s="26" t="str">
        <x:v>1b5b8afdac50a3de23f1764f81d3ac749ad5701fa9408ab2286534bdd32cc984</x:v>
      </x:c>
      <x:c r="L577" s="26"/>
      <x:c r="M577" s="26" t="n">
        <x:v>1</x:v>
      </x:c>
      <x:c r="N577" s="26" t="str">
        <x:v>UNIQUE</x:v>
      </x:c>
      <x:c r="O577" s="26"/>
      <x:c r="P577" s="26"/>
      <x:c r="Q577" s="26" t="str">
        <x:v>Development evidence</x:v>
      </x:c>
      <x:c r="R577" s="26" t="str">
        <x:v>RETAIN AS EVIDENCE — NOT REPLACED BY SUMMARY</x:v>
      </x:c>
      <x:c r="S577" s="26" t="str">
        <x:v>10_Development_Records/Sprint_09/Governance/Sprint_09_Current_Status.md</x:v>
      </x:c>
      <x:c r="T577" s="26" t="str">
        <x:v>Historical path preserved verbatim; hash calculated from supplied pre-regeneration project.</x:v>
      </x:c>
    </x:row>
    <x:row r="578" ht="30" customHeight="1">
      <x:c r="A578" s="26" t="str">
        <x:v>H-0574</x:v>
      </x:c>
      <x:c r="B578" s="26" t="str">
        <x:v>Development Records</x:v>
      </x:c>
      <x:c r="C578" s="26"/>
      <x:c r="D578" s="26" t="str">
        <x:v>Sprint_09</x:v>
      </x:c>
      <x:c r="E578" s="26" t="str">
        <x:v>QA</x:v>
      </x:c>
      <x:c r="F578" s="26" t="str">
        <x:v>Sprint 09</x:v>
      </x:c>
      <x:c r="G578" s="26" t="str">
        <x:v>S9_Acceptance_Matrix.md</x:v>
      </x:c>
      <x:c r="H578" s="26" t="str">
        <x:v>Markdown</x:v>
      </x:c>
      <x:c r="I578" s="26" t="str">
        <x:v>Acceptance matrix</x:v>
      </x:c>
      <x:c r="J578" s="26" t="n">
        <x:v>727</x:v>
      </x:c>
      <x:c r="K578" s="26" t="str">
        <x:v>476e8342efea9323b73b46337890b795fe2b3bc500486fd08a9e9f5dbf6706ef</x:v>
      </x:c>
      <x:c r="L578" s="26"/>
      <x:c r="M578" s="26" t="n">
        <x:v>1</x:v>
      </x:c>
      <x:c r="N578" s="26" t="str">
        <x:v>UNIQUE</x:v>
      </x:c>
      <x:c r="O578" s="26" t="str">
        <x:v>31</x:v>
      </x:c>
      <x:c r="P578" s="26" t="str">
        <x:v>02, 07, 08, 11, 13, 16, 31</x:v>
      </x:c>
      <x:c r="Q578" s="26" t="str">
        <x:v>Development evidence</x:v>
      </x:c>
      <x:c r="R578" s="26" t="str">
        <x:v>RETAIN AS EVIDENCE — NOT REPLACED BY SUMMARY</x:v>
      </x:c>
      <x:c r="S578" s="26" t="str">
        <x:v>10_Development_Records/Sprint_09/QA/S9_Acceptance_Matrix.md</x:v>
      </x:c>
      <x:c r="T578" s="26" t="str">
        <x:v>Historical path preserved verbatim; hash calculated from supplied pre-regeneration project.</x:v>
      </x:c>
    </x:row>
    <x:row r="579" ht="30" customHeight="1">
      <x:c r="A579" s="26" t="str">
        <x:v>H-0575</x:v>
      </x:c>
      <x:c r="B579" s="26" t="str">
        <x:v>Development Records</x:v>
      </x:c>
      <x:c r="C579" s="26"/>
      <x:c r="D579" s="26" t="str">
        <x:v>Sprint_09</x:v>
      </x:c>
      <x:c r="E579" s="26" t="str">
        <x:v>QA</x:v>
      </x:c>
      <x:c r="F579" s="26" t="str">
        <x:v>Sprint 09</x:v>
      </x:c>
      <x:c r="G579" s="26" t="str">
        <x:v>S9_Build_Execution_Record.md</x:v>
      </x:c>
      <x:c r="H579" s="26" t="str">
        <x:v>Markdown</x:v>
      </x:c>
      <x:c r="I579" s="26" t="str">
        <x:v>Build execution evidence</x:v>
      </x:c>
      <x:c r="J579" s="26" t="n">
        <x:v>773</x:v>
      </x:c>
      <x:c r="K579" s="26" t="str">
        <x:v>743edb2e5421984273fb169aab3fbb16c48d6b0ac2e177c5e83ba01b51099304</x:v>
      </x:c>
      <x:c r="L579" s="26"/>
      <x:c r="M579" s="26" t="n">
        <x:v>1</x:v>
      </x:c>
      <x:c r="N579" s="26" t="str">
        <x:v>UNIQUE</x:v>
      </x:c>
      <x:c r="O579" s="26" t="str">
        <x:v>31</x:v>
      </x:c>
      <x:c r="P579" s="26" t="str">
        <x:v>02, 07, 08, 11, 13, 16, 31</x:v>
      </x:c>
      <x:c r="Q579" s="26" t="str">
        <x:v>Development evidence</x:v>
      </x:c>
      <x:c r="R579" s="26" t="str">
        <x:v>RETAIN AS EVIDENCE — NOT REPLACED BY SUMMARY</x:v>
      </x:c>
      <x:c r="S579" s="26" t="str">
        <x:v>10_Development_Records/Sprint_09/QA/S9_Build_Execution_Record.md</x:v>
      </x:c>
      <x:c r="T579" s="26" t="str">
        <x:v>Historical path preserved verbatim; hash calculated from supplied pre-regeneration project.</x:v>
      </x:c>
    </x:row>
    <x:row r="580" ht="30" customHeight="1">
      <x:c r="A580" s="26" t="str">
        <x:v>H-0576</x:v>
      </x:c>
      <x:c r="B580" s="26" t="str">
        <x:v>Development Records</x:v>
      </x:c>
      <x:c r="C580" s="26"/>
      <x:c r="D580" s="26" t="str">
        <x:v>Sprint_09</x:v>
      </x:c>
      <x:c r="E580" s="26" t="str">
        <x:v>QA</x:v>
      </x:c>
      <x:c r="F580" s="26" t="str">
        <x:v>Sprint 09</x:v>
      </x:c>
      <x:c r="G580" s="26" t="str">
        <x:v>S9_Manual_Validation_Record.md</x:v>
      </x:c>
      <x:c r="H580" s="26" t="str">
        <x:v>Markdown</x:v>
      </x:c>
      <x:c r="I580" s="26" t="str">
        <x:v>Historical document / record</x:v>
      </x:c>
      <x:c r="J580" s="26" t="n">
        <x:v>813</x:v>
      </x:c>
      <x:c r="K580" s="26" t="str">
        <x:v>93b6eaaed85d417f81eb41a37696d307efd7c0523b25d309a76ed453eff9b2fc</x:v>
      </x:c>
      <x:c r="L580" s="26"/>
      <x:c r="M580" s="26" t="n">
        <x:v>1</x:v>
      </x:c>
      <x:c r="N580" s="26" t="str">
        <x:v>UNIQUE</x:v>
      </x:c>
      <x:c r="O580" s="26"/>
      <x:c r="P580" s="26"/>
      <x:c r="Q580" s="26" t="str">
        <x:v>Development evidence</x:v>
      </x:c>
      <x:c r="R580" s="26" t="str">
        <x:v>RETAIN AS EVIDENCE — NOT REPLACED BY SUMMARY</x:v>
      </x:c>
      <x:c r="S580" s="26" t="str">
        <x:v>10_Development_Records/Sprint_09/QA/S9_Manual_Validation_Record.md</x:v>
      </x:c>
      <x:c r="T580" s="26" t="str">
        <x:v>Historical path preserved verbatim; hash calculated from supplied pre-regeneration project.</x:v>
      </x:c>
    </x:row>
    <x:row r="581" ht="30" customHeight="1">
      <x:c r="A581" s="26" t="str">
        <x:v>H-0577</x:v>
      </x:c>
      <x:c r="B581" s="26" t="str">
        <x:v>Development Records</x:v>
      </x:c>
      <x:c r="C581" s="26"/>
      <x:c r="D581" s="26" t="str">
        <x:v>Sprint_09</x:v>
      </x:c>
      <x:c r="E581" s="26" t="str">
        <x:v>QA</x:v>
      </x:c>
      <x:c r="F581" s="26" t="str">
        <x:v>Sprint 09</x:v>
      </x:c>
      <x:c r="G581" s="26" t="str">
        <x:v>S9_QA_Execution_Record.md</x:v>
      </x:c>
      <x:c r="H581" s="26" t="str">
        <x:v>Markdown</x:v>
      </x:c>
      <x:c r="I581" s="26" t="str">
        <x:v>QA execution evidence</x:v>
      </x:c>
      <x:c r="J581" s="26" t="n">
        <x:v>661</x:v>
      </x:c>
      <x:c r="K581" s="26" t="str">
        <x:v>ee2c2033cb369301abe3eb39bf1f0d3a71c241431b1889651e14a895437d114a</x:v>
      </x:c>
      <x:c r="L581" s="26"/>
      <x:c r="M581" s="26" t="n">
        <x:v>1</x:v>
      </x:c>
      <x:c r="N581" s="26" t="str">
        <x:v>UNIQUE</x:v>
      </x:c>
      <x:c r="O581" s="26" t="str">
        <x:v>31</x:v>
      </x:c>
      <x:c r="P581" s="26" t="str">
        <x:v>02, 07, 08, 11, 13, 16, 31</x:v>
      </x:c>
      <x:c r="Q581" s="26" t="str">
        <x:v>Development evidence</x:v>
      </x:c>
      <x:c r="R581" s="26" t="str">
        <x:v>RETAIN AS EVIDENCE — NOT REPLACED BY SUMMARY</x:v>
      </x:c>
      <x:c r="S581" s="26" t="str">
        <x:v>10_Development_Records/Sprint_09/QA/S9_QA_Execution_Record.md</x:v>
      </x:c>
      <x:c r="T581" s="26" t="str">
        <x:v>Historical path preserved verbatim; hash calculated from supplied pre-regeneration project.</x:v>
      </x:c>
    </x:row>
    <x:row r="582" ht="30" customHeight="1">
      <x:c r="A582" s="26" t="str">
        <x:v>H-0578</x:v>
      </x:c>
      <x:c r="B582" s="26" t="str">
        <x:v>Development Records</x:v>
      </x:c>
      <x:c r="C582" s="26"/>
      <x:c r="D582" s="26" t="str">
        <x:v>Sprint_09</x:v>
      </x:c>
      <x:c r="E582" s="26" t="str">
        <x:v>QA</x:v>
      </x:c>
      <x:c r="F582" s="26" t="str">
        <x:v>Sprint 09</x:v>
      </x:c>
      <x:c r="G582" s="26" t="str">
        <x:v>S9_Test_Plan.md</x:v>
      </x:c>
      <x:c r="H582" s="26" t="str">
        <x:v>Markdown</x:v>
      </x:c>
      <x:c r="I582" s="26" t="str">
        <x:v>Historical document / record</x:v>
      </x:c>
      <x:c r="J582" s="26" t="n">
        <x:v>607</x:v>
      </x:c>
      <x:c r="K582" s="26" t="str">
        <x:v>b293d94d423091b2c31d627993d7b88b2f479dc55ef3cf638085c45abe0411ef</x:v>
      </x:c>
      <x:c r="L582" s="26"/>
      <x:c r="M582" s="26" t="n">
        <x:v>1</x:v>
      </x:c>
      <x:c r="N582" s="26" t="str">
        <x:v>UNIQUE</x:v>
      </x:c>
      <x:c r="O582" s="26"/>
      <x:c r="P582" s="26"/>
      <x:c r="Q582" s="26" t="str">
        <x:v>Development evidence</x:v>
      </x:c>
      <x:c r="R582" s="26" t="str">
        <x:v>RETAIN AS EVIDENCE — NOT REPLACED BY SUMMARY</x:v>
      </x:c>
      <x:c r="S582" s="26" t="str">
        <x:v>10_Development_Records/Sprint_09/QA/S9_Test_Plan.md</x:v>
      </x:c>
      <x:c r="T582" s="26" t="str">
        <x:v>Historical path preserved verbatim; hash calculated from supplied pre-regeneration project.</x:v>
      </x:c>
    </x:row>
    <x:row r="583" ht="30" customHeight="1">
      <x:c r="A583" s="26" t="str">
        <x:v>H-0579</x:v>
      </x:c>
      <x:c r="B583" s="26" t="str">
        <x:v>Development Records</x:v>
      </x:c>
      <x:c r="C583" s="26"/>
      <x:c r="D583" s="26" t="str">
        <x:v>Sprint_09</x:v>
      </x:c>
      <x:c r="E583" s="26" t="str">
        <x:v>QA</x:v>
      </x:c>
      <x:c r="F583" s="26" t="str">
        <x:v>Sprint 09</x:v>
      </x:c>
      <x:c r="G583" s="26" t="str">
        <x:v>S9_Validation_Checklist.md</x:v>
      </x:c>
      <x:c r="H583" s="26" t="str">
        <x:v>Markdown</x:v>
      </x:c>
      <x:c r="I583" s="26" t="str">
        <x:v>Validation checklist</x:v>
      </x:c>
      <x:c r="J583" s="26" t="n">
        <x:v>643</x:v>
      </x:c>
      <x:c r="K583" s="26" t="str">
        <x:v>07c2186f8993ca63a64d0b6c14bdff998f0b1a5e193bc1ce0d4944640a189d3c</x:v>
      </x:c>
      <x:c r="L583" s="26"/>
      <x:c r="M583" s="26" t="n">
        <x:v>1</x:v>
      </x:c>
      <x:c r="N583" s="26" t="str">
        <x:v>UNIQUE</x:v>
      </x:c>
      <x:c r="O583" s="26" t="str">
        <x:v>31</x:v>
      </x:c>
      <x:c r="P583" s="26" t="str">
        <x:v>02, 07, 08, 11, 13, 16, 31</x:v>
      </x:c>
      <x:c r="Q583" s="26" t="str">
        <x:v>Development evidence</x:v>
      </x:c>
      <x:c r="R583" s="26" t="str">
        <x:v>RETAIN AS EVIDENCE — NOT REPLACED BY SUMMARY</x:v>
      </x:c>
      <x:c r="S583" s="26" t="str">
        <x:v>10_Development_Records/Sprint_09/QA/S9_Validation_Checklist.md</x:v>
      </x:c>
      <x:c r="T583" s="26" t="str">
        <x:v>Historical path preserved verbatim; hash calculated from supplied pre-regeneration project.</x:v>
      </x:c>
    </x:row>
    <x:row r="584" ht="30" customHeight="1">
      <x:c r="A584" s="26" t="str">
        <x:v>H-0580</x:v>
      </x:c>
      <x:c r="B584" s="26" t="str">
        <x:v>Development Records</x:v>
      </x:c>
      <x:c r="C584" s="26"/>
      <x:c r="D584" s="26" t="str">
        <x:v>Sprint_09</x:v>
      </x:c>
      <x:c r="E584" s="26" t="str">
        <x:v>Sprint_09_Closure_Report.md</x:v>
      </x:c>
      <x:c r="F584" s="26" t="str">
        <x:v>Sprint 09</x:v>
      </x:c>
      <x:c r="G584" s="26" t="str">
        <x:v>Sprint_09_Closure_Report.md</x:v>
      </x:c>
      <x:c r="H584" s="26" t="str">
        <x:v>Markdown</x:v>
      </x:c>
      <x:c r="I584" s="26" t="str">
        <x:v>Sprint closure</x:v>
      </x:c>
      <x:c r="J584" s="26" t="n">
        <x:v>3172</x:v>
      </x:c>
      <x:c r="K584" s="26" t="str">
        <x:v>d683b02e85f86a4753e0e7fe4f84466c88cd702ffe6bacfb1743c21d11f61921</x:v>
      </x:c>
      <x:c r="L584" s="26"/>
      <x:c r="M584" s="26" t="n">
        <x:v>1</x:v>
      </x:c>
      <x:c r="N584" s="26" t="str">
        <x:v>UNIQUE</x:v>
      </x:c>
      <x:c r="O584" s="26"/>
      <x:c r="P584" s="26"/>
      <x:c r="Q584" s="26" t="str">
        <x:v>Development evidence</x:v>
      </x:c>
      <x:c r="R584" s="26" t="str">
        <x:v>RETAIN AS EVIDENCE — NOT REPLACED BY SUMMARY</x:v>
      </x:c>
      <x:c r="S584" s="26" t="str">
        <x:v>10_Development_Records/Sprint_09/Sprint_09_Closure_Report.md</x:v>
      </x:c>
      <x:c r="T584" s="26" t="str">
        <x:v>Historical path preserved verbatim; hash calculated from supplied pre-regeneration project.</x:v>
      </x:c>
    </x:row>
    <x:row r="585" ht="30" customHeight="1">
      <x:c r="A585" s="26" t="str">
        <x:v>H-0581</x:v>
      </x:c>
      <x:c r="B585" s="26" t="str">
        <x:v>Development Records</x:v>
      </x:c>
      <x:c r="C585" s="26"/>
      <x:c r="D585" s="26" t="str">
        <x:v>Sprint_09</x:v>
      </x:c>
      <x:c r="E585" s="26" t="str">
        <x:v>Traceability</x:v>
      </x:c>
      <x:c r="F585" s="26" t="str">
        <x:v>Sprint 09</x:v>
      </x:c>
      <x:c r="G585" s="26" t="str">
        <x:v>S9_Document_Impact_Working_Matrix.md</x:v>
      </x:c>
      <x:c r="H585" s="26" t="str">
        <x:v>Markdown</x:v>
      </x:c>
      <x:c r="I585" s="26" t="str">
        <x:v>Traceability entry</x:v>
      </x:c>
      <x:c r="J585" s="26" t="n">
        <x:v>540</x:v>
      </x:c>
      <x:c r="K585" s="26" t="str">
        <x:v>de19fa7d5457a8379f18eb262cc54b5749043f28b18ee5897330b35b310c5e68</x:v>
      </x:c>
      <x:c r="L585" s="26"/>
      <x:c r="M585" s="26" t="n">
        <x:v>1</x:v>
      </x:c>
      <x:c r="N585" s="26" t="str">
        <x:v>UNIQUE</x:v>
      </x:c>
      <x:c r="O585" s="26"/>
      <x:c r="P585" s="26"/>
      <x:c r="Q585" s="26" t="str">
        <x:v>Development evidence</x:v>
      </x:c>
      <x:c r="R585" s="26" t="str">
        <x:v>RETAIN AS EVIDENCE — NOT REPLACED BY SUMMARY</x:v>
      </x:c>
      <x:c r="S585" s="26" t="str">
        <x:v>10_Development_Records/Sprint_09/Traceability/S9_Document_Impact_Working_Matrix.md</x:v>
      </x:c>
      <x:c r="T585" s="26" t="str">
        <x:v>Historical path preserved verbatim; hash calculated from supplied pre-regeneration project.</x:v>
      </x:c>
    </x:row>
    <x:row r="586" ht="30" customHeight="1">
      <x:c r="A586" s="26" t="str">
        <x:v>H-0582</x:v>
      </x:c>
      <x:c r="B586" s="26" t="str">
        <x:v>Development Records</x:v>
      </x:c>
      <x:c r="C586" s="26"/>
      <x:c r="D586" s="26" t="str">
        <x:v>Sprint_09</x:v>
      </x:c>
      <x:c r="E586" s="26" t="str">
        <x:v>Traceability</x:v>
      </x:c>
      <x:c r="F586" s="26" t="str">
        <x:v>Sprint 09</x:v>
      </x:c>
      <x:c r="G586" s="26" t="str">
        <x:v>S9_Traceability_Entries.csv</x:v>
      </x:c>
      <x:c r="H586" s="26" t="str">
        <x:v>CSV</x:v>
      </x:c>
      <x:c r="I586" s="26" t="str">
        <x:v>Traceability entry</x:v>
      </x:c>
      <x:c r="J586" s="26" t="n">
        <x:v>526</x:v>
      </x:c>
      <x:c r="K586" s="26" t="str">
        <x:v>0e62c2262ea47b4f54cab1b20cb2f2ed8297c2da6433fd5fe1e1a3928f4d3aa3</x:v>
      </x:c>
      <x:c r="L586" s="26"/>
      <x:c r="M586" s="26" t="n">
        <x:v>1</x:v>
      </x:c>
      <x:c r="N586" s="26" t="str">
        <x:v>UNIQUE</x:v>
      </x:c>
      <x:c r="O586" s="26"/>
      <x:c r="P586" s="26"/>
      <x:c r="Q586" s="26" t="str">
        <x:v>Development evidence</x:v>
      </x:c>
      <x:c r="R586" s="26" t="str">
        <x:v>RETAIN AS EVIDENCE — NOT REPLACED BY SUMMARY</x:v>
      </x:c>
      <x:c r="S586" s="26" t="str">
        <x:v>10_Development_Records/Sprint_09/Traceability/S9_Traceability_Entries.csv</x:v>
      </x:c>
      <x:c r="T586" s="26" t="str">
        <x:v>Historical path preserved verbatim; hash calculated from supplied pre-regeneration project.</x:v>
      </x:c>
    </x:row>
    <x:row r="587" ht="30" customHeight="1">
      <x:c r="A587" s="26" t="str">
        <x:v>H-0583</x:v>
      </x:c>
      <x:c r="B587" s="26" t="str">
        <x:v>Development Records</x:v>
      </x:c>
      <x:c r="C587" s="26"/>
      <x:c r="D587" s="26" t="str">
        <x:v>Sprint_10</x:v>
      </x:c>
      <x:c r="E587" s="26" t="str">
        <x:v>Architecture</x:v>
      </x:c>
      <x:c r="F587" s="26" t="str">
        <x:v>Sprint 10</x:v>
      </x:c>
      <x:c r="G587" s="26" t="str">
        <x:v>ADR-0038-ReservationBackedCart.md</x:v>
      </x:c>
      <x:c r="H587" s="26" t="str">
        <x:v>Markdown</x:v>
      </x:c>
      <x:c r="I587" s="26" t="str">
        <x:v>ADR</x:v>
      </x:c>
      <x:c r="J587" s="26" t="n">
        <x:v>176</x:v>
      </x:c>
      <x:c r="K587" s="26" t="str">
        <x:v>b75acced6289b8579e95ccb0e1dbe76dcaa3fafbbd9e4c16c8bda84aaa7a37fc</x:v>
      </x:c>
      <x:c r="L587" s="26"/>
      <x:c r="M587" s="26" t="n">
        <x:v>1</x:v>
      </x:c>
      <x:c r="N587" s="26" t="str">
        <x:v>UNIQUE</x:v>
      </x:c>
      <x:c r="O587" s="26"/>
      <x:c r="P587" s="26"/>
      <x:c r="Q587" s="26" t="str">
        <x:v>Development evidence</x:v>
      </x:c>
      <x:c r="R587" s="26" t="str">
        <x:v>RETAIN AS EVIDENCE — NOT REPLACED BY SUMMARY</x:v>
      </x:c>
      <x:c r="S587" s="26" t="str">
        <x:v>10_Development_Records/Sprint_10/Architecture/ADR-0038-ReservationBackedCart.md</x:v>
      </x:c>
      <x:c r="T587" s="26" t="str">
        <x:v>Historical path preserved verbatim; hash calculated from supplied pre-regeneration project.</x:v>
      </x:c>
    </x:row>
    <x:row r="588" ht="30" customHeight="1">
      <x:c r="A588" s="26" t="str">
        <x:v>H-0584</x:v>
      </x:c>
      <x:c r="B588" s="26" t="str">
        <x:v>Development Records</x:v>
      </x:c>
      <x:c r="C588" s="26"/>
      <x:c r="D588" s="26" t="str">
        <x:v>Sprint_10</x:v>
      </x:c>
      <x:c r="E588" s="26" t="str">
        <x:v>Architecture</x:v>
      </x:c>
      <x:c r="F588" s="26" t="str">
        <x:v>Sprint 10</x:v>
      </x:c>
      <x:c r="G588" s="26" t="str">
        <x:v>ADR-0039-DeterministicShoppingSearch.md</x:v>
      </x:c>
      <x:c r="H588" s="26" t="str">
        <x:v>Markdown</x:v>
      </x:c>
      <x:c r="I588" s="26" t="str">
        <x:v>ADR</x:v>
      </x:c>
      <x:c r="J588" s="26" t="n">
        <x:v>179</x:v>
      </x:c>
      <x:c r="K588" s="26" t="str">
        <x:v>f68af75f570d688595409b8c6be5689989143acb084811e26f6e21f125bae81e</x:v>
      </x:c>
      <x:c r="L588" s="26"/>
      <x:c r="M588" s="26" t="n">
        <x:v>1</x:v>
      </x:c>
      <x:c r="N588" s="26" t="str">
        <x:v>UNIQUE</x:v>
      </x:c>
      <x:c r="O588" s="26"/>
      <x:c r="P588" s="26"/>
      <x:c r="Q588" s="26" t="str">
        <x:v>Development evidence</x:v>
      </x:c>
      <x:c r="R588" s="26" t="str">
        <x:v>RETAIN AS EVIDENCE — NOT REPLACED BY SUMMARY</x:v>
      </x:c>
      <x:c r="S588" s="26" t="str">
        <x:v>10_Development_Records/Sprint_10/Architecture/ADR-0039-DeterministicShoppingSearch.md</x:v>
      </x:c>
      <x:c r="T588" s="26" t="str">
        <x:v>Historical path preserved verbatim; hash calculated from supplied pre-regeneration project.</x:v>
      </x:c>
    </x:row>
    <x:row r="589" ht="30" customHeight="1">
      <x:c r="A589" s="26" t="str">
        <x:v>H-0585</x:v>
      </x:c>
      <x:c r="B589" s="26" t="str">
        <x:v>Development Records</x:v>
      </x:c>
      <x:c r="C589" s="26"/>
      <x:c r="D589" s="26" t="str">
        <x:v>Sprint_10</x:v>
      </x:c>
      <x:c r="E589" s="26" t="str">
        <x:v>Architecture</x:v>
      </x:c>
      <x:c r="F589" s="26" t="str">
        <x:v>Sprint 10</x:v>
      </x:c>
      <x:c r="G589" s="26" t="str">
        <x:v>ADR-0040-ReservationProvenance.md</x:v>
      </x:c>
      <x:c r="H589" s="26" t="str">
        <x:v>Markdown</x:v>
      </x:c>
      <x:c r="I589" s="26" t="str">
        <x:v>ADR</x:v>
      </x:c>
      <x:c r="J589" s="26" t="n">
        <x:v>130</x:v>
      </x:c>
      <x:c r="K589" s="26" t="str">
        <x:v>fb548c17172d591576640e2454ef14319057adc48b3dbd9944374ff306f3dee5</x:v>
      </x:c>
      <x:c r="L589" s="26"/>
      <x:c r="M589" s="26" t="n">
        <x:v>1</x:v>
      </x:c>
      <x:c r="N589" s="26" t="str">
        <x:v>UNIQUE</x:v>
      </x:c>
      <x:c r="O589" s="26"/>
      <x:c r="P589" s="26"/>
      <x:c r="Q589" s="26" t="str">
        <x:v>Development evidence</x:v>
      </x:c>
      <x:c r="R589" s="26" t="str">
        <x:v>RETAIN AS EVIDENCE — NOT REPLACED BY SUMMARY</x:v>
      </x:c>
      <x:c r="S589" s="26" t="str">
        <x:v>10_Development_Records/Sprint_10/Architecture/ADR-0040-ReservationProvenance.md</x:v>
      </x:c>
      <x:c r="T589" s="26" t="str">
        <x:v>Historical path preserved verbatim; hash calculated from supplied pre-regeneration project.</x:v>
      </x:c>
    </x:row>
    <x:row r="590" ht="30" customHeight="1">
      <x:c r="A590" s="26" t="str">
        <x:v>H-0586</x:v>
      </x:c>
      <x:c r="B590" s="26" t="str">
        <x:v>Development Records</x:v>
      </x:c>
      <x:c r="C590" s="26"/>
      <x:c r="D590" s="26" t="str">
        <x:v>Sprint_10</x:v>
      </x:c>
      <x:c r="E590" s="26" t="str">
        <x:v>Architecture</x:v>
      </x:c>
      <x:c r="F590" s="26" t="str">
        <x:v>Sprint 10</x:v>
      </x:c>
      <x:c r="G590" s="26" t="str">
        <x:v>ADR-0041-CustomerShoppingSessionBoundary.md</x:v>
      </x:c>
      <x:c r="H590" s="26" t="str">
        <x:v>Markdown</x:v>
      </x:c>
      <x:c r="I590" s="26" t="str">
        <x:v>ADR</x:v>
      </x:c>
      <x:c r="J590" s="26" t="n">
        <x:v>160</x:v>
      </x:c>
      <x:c r="K590" s="26" t="str">
        <x:v>d6bf2284912c0e33992a0af84e445ad75fb6af270bb901ec0bf0f03942a11c08</x:v>
      </x:c>
      <x:c r="L590" s="26"/>
      <x:c r="M590" s="26" t="n">
        <x:v>1</x:v>
      </x:c>
      <x:c r="N590" s="26" t="str">
        <x:v>UNIQUE</x:v>
      </x:c>
      <x:c r="O590" s="26"/>
      <x:c r="P590" s="26"/>
      <x:c r="Q590" s="26" t="str">
        <x:v>Development evidence</x:v>
      </x:c>
      <x:c r="R590" s="26" t="str">
        <x:v>RETAIN AS EVIDENCE — NOT REPLACED BY SUMMARY</x:v>
      </x:c>
      <x:c r="S590" s="26" t="str">
        <x:v>10_Development_Records/Sprint_10/Architecture/ADR-0041-CustomerShoppingSessionBoundary.md</x:v>
      </x:c>
      <x:c r="T590" s="26" t="str">
        <x:v>Historical path preserved verbatim; hash calculated from supplied pre-regeneration project.</x:v>
      </x:c>
    </x:row>
    <x:row r="591" ht="30" customHeight="1">
      <x:c r="A591" s="26" t="str">
        <x:v>H-0587</x:v>
      </x:c>
      <x:c r="B591" s="26" t="str">
        <x:v>Development Records</x:v>
      </x:c>
      <x:c r="C591" s="26"/>
      <x:c r="D591" s="26" t="str">
        <x:v>Sprint_10</x:v>
      </x:c>
      <x:c r="E591" s="26" t="str">
        <x:v>Documentation</x:v>
      </x:c>
      <x:c r="F591" s="26" t="str">
        <x:v>Sprint 10</x:v>
      </x:c>
      <x:c r="G591" s="26" t="str">
        <x:v>S10_PostImplementation_Record.md</x:v>
      </x:c>
      <x:c r="H591" s="26" t="str">
        <x:v>Markdown</x:v>
      </x:c>
      <x:c r="I591" s="26" t="str">
        <x:v>Historical document / record</x:v>
      </x:c>
      <x:c r="J591" s="26" t="n">
        <x:v>782</x:v>
      </x:c>
      <x:c r="K591" s="26" t="str">
        <x:v>c3fa683ba9a345654be078d3ddb4e17e6dea32b20515674f8f991f97cd4424ee</x:v>
      </x:c>
      <x:c r="L591" s="26"/>
      <x:c r="M591" s="26" t="n">
        <x:v>1</x:v>
      </x:c>
      <x:c r="N591" s="26" t="str">
        <x:v>UNIQUE</x:v>
      </x:c>
      <x:c r="O591" s="26"/>
      <x:c r="P591" s="26"/>
      <x:c r="Q591" s="26" t="str">
        <x:v>Development evidence</x:v>
      </x:c>
      <x:c r="R591" s="26" t="str">
        <x:v>RETAIN AS EVIDENCE — NOT REPLACED BY SUMMARY</x:v>
      </x:c>
      <x:c r="S591" s="26" t="str">
        <x:v>10_Development_Records/Sprint_10/Documentation/S10_PostImplementation_Record.md</x:v>
      </x:c>
      <x:c r="T591" s="26" t="str">
        <x:v>Historical path preserved verbatim; hash calculated from supplied pre-regeneration project.</x:v>
      </x:c>
    </x:row>
    <x:row r="592" ht="30" customHeight="1">
      <x:c r="A592" s="26" t="str">
        <x:v>H-0588</x:v>
      </x:c>
      <x:c r="B592" s="26" t="str">
        <x:v>Development Records</x:v>
      </x:c>
      <x:c r="C592" s="26"/>
      <x:c r="D592" s="26" t="str">
        <x:v>Sprint_10</x:v>
      </x:c>
      <x:c r="E592" s="26" t="str">
        <x:v>Documentation</x:v>
      </x:c>
      <x:c r="F592" s="26" t="str">
        <x:v>Sprint 10</x:v>
      </x:c>
      <x:c r="G592" s="26" t="str">
        <x:v>S10_PreImplementation_Record.md</x:v>
      </x:c>
      <x:c r="H592" s="26" t="str">
        <x:v>Markdown</x:v>
      </x:c>
      <x:c r="I592" s="26" t="str">
        <x:v>Historical document / record</x:v>
      </x:c>
      <x:c r="J592" s="26" t="n">
        <x:v>222</x:v>
      </x:c>
      <x:c r="K592" s="26" t="str">
        <x:v>265ae066e51cc75b835fa53005496e95e0d3f5460def48faf38e93a0ad7e9543</x:v>
      </x:c>
      <x:c r="L592" s="26"/>
      <x:c r="M592" s="26" t="n">
        <x:v>1</x:v>
      </x:c>
      <x:c r="N592" s="26" t="str">
        <x:v>UNIQUE</x:v>
      </x:c>
      <x:c r="O592" s="26"/>
      <x:c r="P592" s="26"/>
      <x:c r="Q592" s="26" t="str">
        <x:v>Development evidence</x:v>
      </x:c>
      <x:c r="R592" s="26" t="str">
        <x:v>RETAIN AS EVIDENCE — NOT REPLACED BY SUMMARY</x:v>
      </x:c>
      <x:c r="S592" s="26" t="str">
        <x:v>10_Development_Records/Sprint_10/Documentation/S10_PreImplementation_Record.md</x:v>
      </x:c>
      <x:c r="T592" s="26" t="str">
        <x:v>Historical path preserved verbatim; hash calculated from supplied pre-regeneration project.</x:v>
      </x:c>
    </x:row>
    <x:row r="593" ht="30" customHeight="1">
      <x:c r="A593" s="26" t="str">
        <x:v>H-0589</x:v>
      </x:c>
      <x:c r="B593" s="26" t="str">
        <x:v>Development Records</x:v>
      </x:c>
      <x:c r="C593" s="26"/>
      <x:c r="D593" s="26" t="str">
        <x:v>Sprint_10</x:v>
      </x:c>
      <x:c r="E593" s="26" t="str">
        <x:v>Governance</x:v>
      </x:c>
      <x:c r="F593" s="26" t="str">
        <x:v>Sprint 10</x:v>
      </x:c>
      <x:c r="G593" s="26" t="str">
        <x:v>S10_Handoff_Update_Template.md</x:v>
      </x:c>
      <x:c r="H593" s="26" t="str">
        <x:v>Markdown</x:v>
      </x:c>
      <x:c r="I593" s="26" t="str">
        <x:v>Handoff record</x:v>
      </x:c>
      <x:c r="J593" s="26" t="n">
        <x:v>429</x:v>
      </x:c>
      <x:c r="K593" s="26" t="str">
        <x:v>e7893c392feb7b35d3e270034b36f9da758d73673adb7e3f50cecea5763003a0</x:v>
      </x:c>
      <x:c r="L593" s="26"/>
      <x:c r="M593" s="26" t="n">
        <x:v>1</x:v>
      </x:c>
      <x:c r="N593" s="26" t="str">
        <x:v>UNIQUE</x:v>
      </x:c>
      <x:c r="O593" s="26" t="str">
        <x:v>34</x:v>
      </x:c>
      <x:c r="P593" s="26" t="str">
        <x:v>14, 15, 34</x:v>
      </x:c>
      <x:c r="Q593" s="26" t="str">
        <x:v>Development evidence</x:v>
      </x:c>
      <x:c r="R593" s="26" t="str">
        <x:v>RETAIN AS EVIDENCE — NOT REPLACED BY SUMMARY</x:v>
      </x:c>
      <x:c r="S593" s="26" t="str">
        <x:v>10_Development_Records/Sprint_10/Governance/S10_Handoff_Update_Template.md</x:v>
      </x:c>
      <x:c r="T593" s="26" t="str">
        <x:v>Historical path preserved verbatim; hash calculated from supplied pre-regeneration project.</x:v>
      </x:c>
    </x:row>
    <x:row r="594" ht="30" customHeight="1">
      <x:c r="A594" s="26" t="str">
        <x:v>H-0590</x:v>
      </x:c>
      <x:c r="B594" s="26" t="str">
        <x:v>Development Records</x:v>
      </x:c>
      <x:c r="C594" s="26"/>
      <x:c r="D594" s="26" t="str">
        <x:v>Sprint_10</x:v>
      </x:c>
      <x:c r="E594" s="26" t="str">
        <x:v>Governance</x:v>
      </x:c>
      <x:c r="F594" s="26" t="str">
        <x:v>Sprint 10</x:v>
      </x:c>
      <x:c r="G594" s="26" t="str">
        <x:v>Sprint_10_Charter.md</x:v>
      </x:c>
      <x:c r="H594" s="26" t="str">
        <x:v>Markdown</x:v>
      </x:c>
      <x:c r="I594" s="26" t="str">
        <x:v>Sprint charter</x:v>
      </x:c>
      <x:c r="J594" s="26" t="n">
        <x:v>834</x:v>
      </x:c>
      <x:c r="K594" s="26" t="str">
        <x:v>b484679a0a2a28c420bf3e6aa9213b29d4bde9949595e381cf6ef16b12b16a23</x:v>
      </x:c>
      <x:c r="L594" s="26"/>
      <x:c r="M594" s="26" t="n">
        <x:v>1</x:v>
      </x:c>
      <x:c r="N594" s="26" t="str">
        <x:v>UNIQUE</x:v>
      </x:c>
      <x:c r="O594" s="26"/>
      <x:c r="P594" s="26"/>
      <x:c r="Q594" s="26" t="str">
        <x:v>Development evidence</x:v>
      </x:c>
      <x:c r="R594" s="26" t="str">
        <x:v>RETAIN AS EVIDENCE — NOT REPLACED BY SUMMARY</x:v>
      </x:c>
      <x:c r="S594" s="26" t="str">
        <x:v>10_Development_Records/Sprint_10/Governance/Sprint_10_Charter.md</x:v>
      </x:c>
      <x:c r="T594" s="26" t="str">
        <x:v>Historical path preserved verbatim; hash calculated from supplied pre-regeneration project.</x:v>
      </x:c>
    </x:row>
    <x:row r="595" ht="30" customHeight="1">
      <x:c r="A595" s="26" t="str">
        <x:v>H-0591</x:v>
      </x:c>
      <x:c r="B595" s="26" t="str">
        <x:v>Development Records</x:v>
      </x:c>
      <x:c r="C595" s="26"/>
      <x:c r="D595" s="26" t="str">
        <x:v>Sprint_10</x:v>
      </x:c>
      <x:c r="E595" s="26" t="str">
        <x:v>Governance</x:v>
      </x:c>
      <x:c r="F595" s="26" t="str">
        <x:v>Sprint 10</x:v>
      </x:c>
      <x:c r="G595" s="26" t="str">
        <x:v>Sprint_10_Current_Status.md</x:v>
      </x:c>
      <x:c r="H595" s="26" t="str">
        <x:v>Markdown</x:v>
      </x:c>
      <x:c r="I595" s="26" t="str">
        <x:v>Current status</x:v>
      </x:c>
      <x:c r="J595" s="26" t="n">
        <x:v>669</x:v>
      </x:c>
      <x:c r="K595" s="26" t="str">
        <x:v>893435f0a6ec143e27717287e3702e0d7306e9f5da085f3fcedab40994cbdb4b</x:v>
      </x:c>
      <x:c r="L595" s="26"/>
      <x:c r="M595" s="26" t="n">
        <x:v>1</x:v>
      </x:c>
      <x:c r="N595" s="26" t="str">
        <x:v>UNIQUE</x:v>
      </x:c>
      <x:c r="O595" s="26"/>
      <x:c r="P595" s="26"/>
      <x:c r="Q595" s="26" t="str">
        <x:v>Development evidence</x:v>
      </x:c>
      <x:c r="R595" s="26" t="str">
        <x:v>RETAIN AS EVIDENCE — NOT REPLACED BY SUMMARY</x:v>
      </x:c>
      <x:c r="S595" s="26" t="str">
        <x:v>10_Development_Records/Sprint_10/Governance/Sprint_10_Current_Status.md</x:v>
      </x:c>
      <x:c r="T595" s="26" t="str">
        <x:v>Historical path preserved verbatim; hash calculated from supplied pre-regeneration project.</x:v>
      </x:c>
    </x:row>
    <x:row r="596" ht="30" customHeight="1">
      <x:c r="A596" s="26" t="str">
        <x:v>H-0592</x:v>
      </x:c>
      <x:c r="B596" s="26" t="str">
        <x:v>Development Records</x:v>
      </x:c>
      <x:c r="C596" s="26"/>
      <x:c r="D596" s="26" t="str">
        <x:v>Sprint_10</x:v>
      </x:c>
      <x:c r="E596" s="26" t="str">
        <x:v>QA</x:v>
      </x:c>
      <x:c r="F596" s="26" t="str">
        <x:v>Sprint 10</x:v>
      </x:c>
      <x:c r="G596" s="26" t="str">
        <x:v>S10_Acceptance_Matrix.md</x:v>
      </x:c>
      <x:c r="H596" s="26" t="str">
        <x:v>Markdown</x:v>
      </x:c>
      <x:c r="I596" s="26" t="str">
        <x:v>Acceptance matrix</x:v>
      </x:c>
      <x:c r="J596" s="26" t="n">
        <x:v>665</x:v>
      </x:c>
      <x:c r="K596" s="26" t="str">
        <x:v>8a3558314d7d868e3e2ce0dc33fe62e7b1b33eddf1e70b2d6eab43c9b3600d8c</x:v>
      </x:c>
      <x:c r="L596" s="26"/>
      <x:c r="M596" s="26" t="n">
        <x:v>1</x:v>
      </x:c>
      <x:c r="N596" s="26" t="str">
        <x:v>UNIQUE</x:v>
      </x:c>
      <x:c r="O596" s="26" t="str">
        <x:v>31</x:v>
      </x:c>
      <x:c r="P596" s="26" t="str">
        <x:v>02, 07, 08, 11, 13, 16, 31</x:v>
      </x:c>
      <x:c r="Q596" s="26" t="str">
        <x:v>Development evidence</x:v>
      </x:c>
      <x:c r="R596" s="26" t="str">
        <x:v>RETAIN AS EVIDENCE — NOT REPLACED BY SUMMARY</x:v>
      </x:c>
      <x:c r="S596" s="26" t="str">
        <x:v>10_Development_Records/Sprint_10/QA/S10_Acceptance_Matrix.md</x:v>
      </x:c>
      <x:c r="T596" s="26" t="str">
        <x:v>Historical path preserved verbatim; hash calculated from supplied pre-regeneration project.</x:v>
      </x:c>
    </x:row>
    <x:row r="597" ht="30" customHeight="1">
      <x:c r="A597" s="26" t="str">
        <x:v>H-0593</x:v>
      </x:c>
      <x:c r="B597" s="26" t="str">
        <x:v>Development Records</x:v>
      </x:c>
      <x:c r="C597" s="26"/>
      <x:c r="D597" s="26" t="str">
        <x:v>Sprint_10</x:v>
      </x:c>
      <x:c r="E597" s="26" t="str">
        <x:v>QA</x:v>
      </x:c>
      <x:c r="F597" s="26" t="str">
        <x:v>Sprint 10</x:v>
      </x:c>
      <x:c r="G597" s="26" t="str">
        <x:v>S10_Build_Execution_Record.md</x:v>
      </x:c>
      <x:c r="H597" s="26" t="str">
        <x:v>Markdown</x:v>
      </x:c>
      <x:c r="I597" s="26" t="str">
        <x:v>Build execution evidence</x:v>
      </x:c>
      <x:c r="J597" s="26" t="n">
        <x:v>535</x:v>
      </x:c>
      <x:c r="K597" s="26" t="str">
        <x:v>adea9b7fcdab6e319f0ded3171260cc0200e2ae3ab424916a8068a7175872369</x:v>
      </x:c>
      <x:c r="L597" s="26"/>
      <x:c r="M597" s="26" t="n">
        <x:v>1</x:v>
      </x:c>
      <x:c r="N597" s="26" t="str">
        <x:v>UNIQUE</x:v>
      </x:c>
      <x:c r="O597" s="26" t="str">
        <x:v>31</x:v>
      </x:c>
      <x:c r="P597" s="26" t="str">
        <x:v>02, 07, 08, 11, 13, 16, 31</x:v>
      </x:c>
      <x:c r="Q597" s="26" t="str">
        <x:v>Development evidence</x:v>
      </x:c>
      <x:c r="R597" s="26" t="str">
        <x:v>RETAIN AS EVIDENCE — NOT REPLACED BY SUMMARY</x:v>
      </x:c>
      <x:c r="S597" s="26" t="str">
        <x:v>10_Development_Records/Sprint_10/QA/S10_Build_Execution_Record.md</x:v>
      </x:c>
      <x:c r="T597" s="26" t="str">
        <x:v>Historical path preserved verbatim; hash calculated from supplied pre-regeneration project.</x:v>
      </x:c>
    </x:row>
    <x:row r="598" ht="30" customHeight="1">
      <x:c r="A598" s="26" t="str">
        <x:v>H-0594</x:v>
      </x:c>
      <x:c r="B598" s="26" t="str">
        <x:v>Development Records</x:v>
      </x:c>
      <x:c r="C598" s="26"/>
      <x:c r="D598" s="26" t="str">
        <x:v>Sprint_10</x:v>
      </x:c>
      <x:c r="E598" s="26" t="str">
        <x:v>QA</x:v>
      </x:c>
      <x:c r="F598" s="26" t="str">
        <x:v>Sprint 10</x:v>
      </x:c>
      <x:c r="G598" s="26" t="str">
        <x:v>S10_Manual_Validation_Record.md</x:v>
      </x:c>
      <x:c r="H598" s="26" t="str">
        <x:v>Markdown</x:v>
      </x:c>
      <x:c r="I598" s="26" t="str">
        <x:v>Historical document / record</x:v>
      </x:c>
      <x:c r="J598" s="26" t="n">
        <x:v>609</x:v>
      </x:c>
      <x:c r="K598" s="26" t="str">
        <x:v>35d91142c2f3c26612d93bdf77ed3d4211d1d08373d21fcb34960e5987457c19</x:v>
      </x:c>
      <x:c r="L598" s="26"/>
      <x:c r="M598" s="26" t="n">
        <x:v>1</x:v>
      </x:c>
      <x:c r="N598" s="26" t="str">
        <x:v>UNIQUE</x:v>
      </x:c>
      <x:c r="O598" s="26"/>
      <x:c r="P598" s="26"/>
      <x:c r="Q598" s="26" t="str">
        <x:v>Development evidence</x:v>
      </x:c>
      <x:c r="R598" s="26" t="str">
        <x:v>RETAIN AS EVIDENCE — NOT REPLACED BY SUMMARY</x:v>
      </x:c>
      <x:c r="S598" s="26" t="str">
        <x:v>10_Development_Records/Sprint_10/QA/S10_Manual_Validation_Record.md</x:v>
      </x:c>
      <x:c r="T598" s="26" t="str">
        <x:v>Historical path preserved verbatim; hash calculated from supplied pre-regeneration project.</x:v>
      </x:c>
    </x:row>
    <x:row r="599" ht="30" customHeight="1">
      <x:c r="A599" s="26" t="str">
        <x:v>H-0595</x:v>
      </x:c>
      <x:c r="B599" s="26" t="str">
        <x:v>Development Records</x:v>
      </x:c>
      <x:c r="C599" s="26"/>
      <x:c r="D599" s="26" t="str">
        <x:v>Sprint_10</x:v>
      </x:c>
      <x:c r="E599" s="26" t="str">
        <x:v>QA</x:v>
      </x:c>
      <x:c r="F599" s="26" t="str">
        <x:v>Sprint 10</x:v>
      </x:c>
      <x:c r="G599" s="26" t="str">
        <x:v>S10_QA_Execution_Record.md</x:v>
      </x:c>
      <x:c r="H599" s="26" t="str">
        <x:v>Markdown</x:v>
      </x:c>
      <x:c r="I599" s="26" t="str">
        <x:v>QA execution evidence</x:v>
      </x:c>
      <x:c r="J599" s="26" t="n">
        <x:v>544</x:v>
      </x:c>
      <x:c r="K599" s="26" t="str">
        <x:v>c45fb3dd29d4ec4dc67ad42f496932c94cbe384096c560c08d3d1c9615c6a5fe</x:v>
      </x:c>
      <x:c r="L599" s="26"/>
      <x:c r="M599" s="26" t="n">
        <x:v>1</x:v>
      </x:c>
      <x:c r="N599" s="26" t="str">
        <x:v>UNIQUE</x:v>
      </x:c>
      <x:c r="O599" s="26" t="str">
        <x:v>31</x:v>
      </x:c>
      <x:c r="P599" s="26" t="str">
        <x:v>02, 07, 08, 11, 13, 16, 31</x:v>
      </x:c>
      <x:c r="Q599" s="26" t="str">
        <x:v>Development evidence</x:v>
      </x:c>
      <x:c r="R599" s="26" t="str">
        <x:v>RETAIN AS EVIDENCE — NOT REPLACED BY SUMMARY</x:v>
      </x:c>
      <x:c r="S599" s="26" t="str">
        <x:v>10_Development_Records/Sprint_10/QA/S10_QA_Execution_Record.md</x:v>
      </x:c>
      <x:c r="T599" s="26" t="str">
        <x:v>Historical path preserved verbatim; hash calculated from supplied pre-regeneration project.</x:v>
      </x:c>
    </x:row>
    <x:row r="600" ht="30" customHeight="1">
      <x:c r="A600" s="26" t="str">
        <x:v>H-0596</x:v>
      </x:c>
      <x:c r="B600" s="26" t="str">
        <x:v>Development Records</x:v>
      </x:c>
      <x:c r="C600" s="26"/>
      <x:c r="D600" s="26" t="str">
        <x:v>Sprint_10</x:v>
      </x:c>
      <x:c r="E600" s="26" t="str">
        <x:v>QA</x:v>
      </x:c>
      <x:c r="F600" s="26" t="str">
        <x:v>Sprint 10</x:v>
      </x:c>
      <x:c r="G600" s="26" t="str">
        <x:v>S10_Test_Plan.md</x:v>
      </x:c>
      <x:c r="H600" s="26" t="str">
        <x:v>Markdown</x:v>
      </x:c>
      <x:c r="I600" s="26" t="str">
        <x:v>Historical document / record</x:v>
      </x:c>
      <x:c r="J600" s="26" t="n">
        <x:v>279</x:v>
      </x:c>
      <x:c r="K600" s="26" t="str">
        <x:v>55fc567ad4532a20b65b5c284c907e8a39d3498c598bee6533552780a5f10fa3</x:v>
      </x:c>
      <x:c r="L600" s="26"/>
      <x:c r="M600" s="26" t="n">
        <x:v>1</x:v>
      </x:c>
      <x:c r="N600" s="26" t="str">
        <x:v>UNIQUE</x:v>
      </x:c>
      <x:c r="O600" s="26"/>
      <x:c r="P600" s="26"/>
      <x:c r="Q600" s="26" t="str">
        <x:v>Development evidence</x:v>
      </x:c>
      <x:c r="R600" s="26" t="str">
        <x:v>RETAIN AS EVIDENCE — NOT REPLACED BY SUMMARY</x:v>
      </x:c>
      <x:c r="S600" s="26" t="str">
        <x:v>10_Development_Records/Sprint_10/QA/S10_Test_Plan.md</x:v>
      </x:c>
      <x:c r="T600" s="26" t="str">
        <x:v>Historical path preserved verbatim; hash calculated from supplied pre-regeneration project.</x:v>
      </x:c>
    </x:row>
    <x:row r="601" ht="30" customHeight="1">
      <x:c r="A601" s="26" t="str">
        <x:v>H-0597</x:v>
      </x:c>
      <x:c r="B601" s="26" t="str">
        <x:v>Development Records</x:v>
      </x:c>
      <x:c r="C601" s="26"/>
      <x:c r="D601" s="26" t="str">
        <x:v>Sprint_10</x:v>
      </x:c>
      <x:c r="E601" s="26" t="str">
        <x:v>QA</x:v>
      </x:c>
      <x:c r="F601" s="26" t="str">
        <x:v>Sprint 10</x:v>
      </x:c>
      <x:c r="G601" s="26" t="str">
        <x:v>S10_Validation_Checklist.md</x:v>
      </x:c>
      <x:c r="H601" s="26" t="str">
        <x:v>Markdown</x:v>
      </x:c>
      <x:c r="I601" s="26" t="str">
        <x:v>Validation checklist</x:v>
      </x:c>
      <x:c r="J601" s="26" t="n">
        <x:v>522</x:v>
      </x:c>
      <x:c r="K601" s="26" t="str">
        <x:v>4ccd94ab6aeac432193d476585e83286bd5be87777256812814dd206ad2d5e55</x:v>
      </x:c>
      <x:c r="L601" s="26"/>
      <x:c r="M601" s="26" t="n">
        <x:v>1</x:v>
      </x:c>
      <x:c r="N601" s="26" t="str">
        <x:v>UNIQUE</x:v>
      </x:c>
      <x:c r="O601" s="26" t="str">
        <x:v>31</x:v>
      </x:c>
      <x:c r="P601" s="26" t="str">
        <x:v>02, 07, 08, 11, 13, 16, 31</x:v>
      </x:c>
      <x:c r="Q601" s="26" t="str">
        <x:v>Development evidence</x:v>
      </x:c>
      <x:c r="R601" s="26" t="str">
        <x:v>RETAIN AS EVIDENCE — NOT REPLACED BY SUMMARY</x:v>
      </x:c>
      <x:c r="S601" s="26" t="str">
        <x:v>10_Development_Records/Sprint_10/QA/S10_Validation_Checklist.md</x:v>
      </x:c>
      <x:c r="T601" s="26" t="str">
        <x:v>Historical path preserved verbatim; hash calculated from supplied pre-regeneration project.</x:v>
      </x:c>
    </x:row>
    <x:row r="602" ht="30" customHeight="1">
      <x:c r="A602" s="26" t="str">
        <x:v>H-0598</x:v>
      </x:c>
      <x:c r="B602" s="26" t="str">
        <x:v>Development Records</x:v>
      </x:c>
      <x:c r="C602" s="26"/>
      <x:c r="D602" s="26" t="str">
        <x:v>Sprint_10</x:v>
      </x:c>
      <x:c r="E602" s="26" t="str">
        <x:v>Sprint_10_Closure_Report.md</x:v>
      </x:c>
      <x:c r="F602" s="26" t="str">
        <x:v>Sprint 10</x:v>
      </x:c>
      <x:c r="G602" s="26" t="str">
        <x:v>Sprint_10_Closure_Report.md</x:v>
      </x:c>
      <x:c r="H602" s="26" t="str">
        <x:v>Markdown</x:v>
      </x:c>
      <x:c r="I602" s="26" t="str">
        <x:v>Sprint closure</x:v>
      </x:c>
      <x:c r="J602" s="26" t="n">
        <x:v>3211</x:v>
      </x:c>
      <x:c r="K602" s="26" t="str">
        <x:v>e9a44655c0ad3974168a876bc31ebcf4d71c1995eea797d8e38b0c1034ebabcc</x:v>
      </x:c>
      <x:c r="L602" s="26"/>
      <x:c r="M602" s="26" t="n">
        <x:v>1</x:v>
      </x:c>
      <x:c r="N602" s="26" t="str">
        <x:v>UNIQUE</x:v>
      </x:c>
      <x:c r="O602" s="26"/>
      <x:c r="P602" s="26"/>
      <x:c r="Q602" s="26" t="str">
        <x:v>Development evidence</x:v>
      </x:c>
      <x:c r="R602" s="26" t="str">
        <x:v>RETAIN AS EVIDENCE — NOT REPLACED BY SUMMARY</x:v>
      </x:c>
      <x:c r="S602" s="26" t="str">
        <x:v>10_Development_Records/Sprint_10/Sprint_10_Closure_Report.md</x:v>
      </x:c>
      <x:c r="T602" s="26" t="str">
        <x:v>Historical path preserved verbatim; hash calculated from supplied pre-regeneration project.</x:v>
      </x:c>
    </x:row>
    <x:row r="603" ht="30" customHeight="1">
      <x:c r="A603" s="26" t="str">
        <x:v>H-0599</x:v>
      </x:c>
      <x:c r="B603" s="26" t="str">
        <x:v>Development Records</x:v>
      </x:c>
      <x:c r="C603" s="26"/>
      <x:c r="D603" s="26" t="str">
        <x:v>Sprint_10</x:v>
      </x:c>
      <x:c r="E603" s="26" t="str">
        <x:v>Traceability</x:v>
      </x:c>
      <x:c r="F603" s="26" t="str">
        <x:v>Sprint 10</x:v>
      </x:c>
      <x:c r="G603" s="26" t="str">
        <x:v>S10_Document_Impact_Working_Matrix.md</x:v>
      </x:c>
      <x:c r="H603" s="26" t="str">
        <x:v>Markdown</x:v>
      </x:c>
      <x:c r="I603" s="26" t="str">
        <x:v>Traceability entry</x:v>
      </x:c>
      <x:c r="J603" s="26" t="n">
        <x:v>502</x:v>
      </x:c>
      <x:c r="K603" s="26" t="str">
        <x:v>51e81c3ca34a57c57d74dc65d901d0ea254dbc4b9d99388c15bb0d6ba2f2136c</x:v>
      </x:c>
      <x:c r="L603" s="26"/>
      <x:c r="M603" s="26" t="n">
        <x:v>1</x:v>
      </x:c>
      <x:c r="N603" s="26" t="str">
        <x:v>UNIQUE</x:v>
      </x:c>
      <x:c r="O603" s="26"/>
      <x:c r="P603" s="26"/>
      <x:c r="Q603" s="26" t="str">
        <x:v>Development evidence</x:v>
      </x:c>
      <x:c r="R603" s="26" t="str">
        <x:v>RETAIN AS EVIDENCE — NOT REPLACED BY SUMMARY</x:v>
      </x:c>
      <x:c r="S603" s="26" t="str">
        <x:v>10_Development_Records/Sprint_10/Traceability/S10_Document_Impact_Working_Matrix.md</x:v>
      </x:c>
      <x:c r="T603" s="26" t="str">
        <x:v>Historical path preserved verbatim; hash calculated from supplied pre-regeneration project.</x:v>
      </x:c>
    </x:row>
    <x:row r="604" ht="30" customHeight="1">
      <x:c r="A604" s="26" t="str">
        <x:v>H-0600</x:v>
      </x:c>
      <x:c r="B604" s="26" t="str">
        <x:v>Development Records</x:v>
      </x:c>
      <x:c r="C604" s="26"/>
      <x:c r="D604" s="26" t="str">
        <x:v>Sprint_10</x:v>
      </x:c>
      <x:c r="E604" s="26" t="str">
        <x:v>Traceability</x:v>
      </x:c>
      <x:c r="F604" s="26" t="str">
        <x:v>Sprint 10</x:v>
      </x:c>
      <x:c r="G604" s="26" t="str">
        <x:v>S10_Traceability_Entries.csv</x:v>
      </x:c>
      <x:c r="H604" s="26" t="str">
        <x:v>CSV</x:v>
      </x:c>
      <x:c r="I604" s="26" t="str">
        <x:v>Traceability entry</x:v>
      </x:c>
      <x:c r="J604" s="26" t="n">
        <x:v>513</x:v>
      </x:c>
      <x:c r="K604" s="26" t="str">
        <x:v>baa7cc58437d849fcd5c81104e23a89431c1f70e4fc5318b924811f52187a375</x:v>
      </x:c>
      <x:c r="L604" s="26"/>
      <x:c r="M604" s="26" t="n">
        <x:v>1</x:v>
      </x:c>
      <x:c r="N604" s="26" t="str">
        <x:v>UNIQUE</x:v>
      </x:c>
      <x:c r="O604" s="26"/>
      <x:c r="P604" s="26"/>
      <x:c r="Q604" s="26" t="str">
        <x:v>Development evidence</x:v>
      </x:c>
      <x:c r="R604" s="26" t="str">
        <x:v>RETAIN AS EVIDENCE — NOT REPLACED BY SUMMARY</x:v>
      </x:c>
      <x:c r="S604" s="26" t="str">
        <x:v>10_Development_Records/Sprint_10/Traceability/S10_Traceability_Entries.csv</x:v>
      </x:c>
      <x:c r="T604" s="26" t="str">
        <x:v>Historical path preserved verbatim; hash calculated from supplied pre-regeneration project.</x:v>
      </x:c>
    </x:row>
    <x:row r="605" ht="30" customHeight="1">
      <x:c r="A605" s="26" t="str">
        <x:v>H-0601</x:v>
      </x:c>
      <x:c r="B605" s="26" t="str">
        <x:v>Development Records</x:v>
      </x:c>
      <x:c r="C605" s="26"/>
      <x:c r="D605" s="26" t="str">
        <x:v>Sprint_11</x:v>
      </x:c>
      <x:c r="E605" s="26" t="str">
        <x:v>Architecture</x:v>
      </x:c>
      <x:c r="F605" s="26" t="str">
        <x:v>Sprint 11</x:v>
      </x:c>
      <x:c r="G605" s="26" t="str">
        <x:v>ADR-0042-StrictFifoCheckoutQueue.md</x:v>
      </x:c>
      <x:c r="H605" s="26" t="str">
        <x:v>Markdown</x:v>
      </x:c>
      <x:c r="I605" s="26" t="str">
        <x:v>ADR</x:v>
      </x:c>
      <x:c r="J605" s="26" t="n">
        <x:v>205</x:v>
      </x:c>
      <x:c r="K605" s="26" t="str">
        <x:v>094a7bdd2663b03a04f085dd8b9e0c775081f8b64eb6319858f1ac39b086df43</x:v>
      </x:c>
      <x:c r="L605" s="26"/>
      <x:c r="M605" s="26" t="n">
        <x:v>1</x:v>
      </x:c>
      <x:c r="N605" s="26" t="str">
        <x:v>UNIQUE</x:v>
      </x:c>
      <x:c r="O605" s="26"/>
      <x:c r="P605" s="26"/>
      <x:c r="Q605" s="26" t="str">
        <x:v>Development evidence</x:v>
      </x:c>
      <x:c r="R605" s="26" t="str">
        <x:v>RETAIN AS EVIDENCE — NOT REPLACED BY SUMMARY</x:v>
      </x:c>
      <x:c r="S605" s="26" t="str">
        <x:v>10_Development_Records/Sprint_11/Architecture/ADR-0042-StrictFifoCheckoutQueue.md</x:v>
      </x:c>
      <x:c r="T605" s="26" t="str">
        <x:v>Historical path preserved verbatim; hash calculated from supplied pre-regeneration project.</x:v>
      </x:c>
    </x:row>
    <x:row r="606" ht="30" customHeight="1">
      <x:c r="A606" s="26" t="str">
        <x:v>H-0602</x:v>
      </x:c>
      <x:c r="B606" s="26" t="str">
        <x:v>Development Records</x:v>
      </x:c>
      <x:c r="C606" s="26"/>
      <x:c r="D606" s="26" t="str">
        <x:v>Sprint_11</x:v>
      </x:c>
      <x:c r="E606" s="26" t="str">
        <x:v>Architecture</x:v>
      </x:c>
      <x:c r="F606" s="26" t="str">
        <x:v>Sprint 11</x:v>
      </x:c>
      <x:c r="G606" s="26" t="str">
        <x:v>ADR-0043-SingleEntryCheckoutStation.md</x:v>
      </x:c>
      <x:c r="H606" s="26" t="str">
        <x:v>Markdown</x:v>
      </x:c>
      <x:c r="I606" s="26" t="str">
        <x:v>ADR</x:v>
      </x:c>
      <x:c r="J606" s="26" t="n">
        <x:v>177</x:v>
      </x:c>
      <x:c r="K606" s="26" t="str">
        <x:v>251308c9d85fe221f37152f5f9448a811db556b3b91816c20485e7a12949d5db</x:v>
      </x:c>
      <x:c r="L606" s="26"/>
      <x:c r="M606" s="26" t="n">
        <x:v>1</x:v>
      </x:c>
      <x:c r="N606" s="26" t="str">
        <x:v>UNIQUE</x:v>
      </x:c>
      <x:c r="O606" s="26"/>
      <x:c r="P606" s="26"/>
      <x:c r="Q606" s="26" t="str">
        <x:v>Development evidence</x:v>
      </x:c>
      <x:c r="R606" s="26" t="str">
        <x:v>RETAIN AS EVIDENCE — NOT REPLACED BY SUMMARY</x:v>
      </x:c>
      <x:c r="S606" s="26" t="str">
        <x:v>10_Development_Records/Sprint_11/Architecture/ADR-0043-SingleEntryCheckoutStation.md</x:v>
      </x:c>
      <x:c r="T606" s="26" t="str">
        <x:v>Historical path preserved verbatim; hash calculated from supplied pre-regeneration project.</x:v>
      </x:c>
    </x:row>
    <x:row r="607" ht="30" customHeight="1">
      <x:c r="A607" s="26" t="str">
        <x:v>H-0603</x:v>
      </x:c>
      <x:c r="B607" s="26" t="str">
        <x:v>Development Records</x:v>
      </x:c>
      <x:c r="C607" s="26"/>
      <x:c r="D607" s="26" t="str">
        <x:v>Sprint_11</x:v>
      </x:c>
      <x:c r="E607" s="26" t="str">
        <x:v>Architecture</x:v>
      </x:c>
      <x:c r="F607" s="26" t="str">
        <x:v>Sprint 11</x:v>
      </x:c>
      <x:c r="G607" s="26" t="str">
        <x:v>ADR-0044-PreflightThenCommitCheckout.md</x:v>
      </x:c>
      <x:c r="H607" s="26" t="str">
        <x:v>Markdown</x:v>
      </x:c>
      <x:c r="I607" s="26" t="str">
        <x:v>ADR</x:v>
      </x:c>
      <x:c r="J607" s="26" t="n">
        <x:v>263</x:v>
      </x:c>
      <x:c r="K607" s="26" t="str">
        <x:v>a58dfea3f71f24fd52ae8c7ab9d015aad8b31ad56c60e12162e4aff95783a864</x:v>
      </x:c>
      <x:c r="L607" s="26"/>
      <x:c r="M607" s="26" t="n">
        <x:v>1</x:v>
      </x:c>
      <x:c r="N607" s="26" t="str">
        <x:v>UNIQUE</x:v>
      </x:c>
      <x:c r="O607" s="26"/>
      <x:c r="P607" s="26"/>
      <x:c r="Q607" s="26" t="str">
        <x:v>Development evidence</x:v>
      </x:c>
      <x:c r="R607" s="26" t="str">
        <x:v>RETAIN AS EVIDENCE — NOT REPLACED BY SUMMARY</x:v>
      </x:c>
      <x:c r="S607" s="26" t="str">
        <x:v>10_Development_Records/Sprint_11/Architecture/ADR-0044-PreflightThenCommitCheckout.md</x:v>
      </x:c>
      <x:c r="T607" s="26" t="str">
        <x:v>Historical path preserved verbatim; hash calculated from supplied pre-regeneration project.</x:v>
      </x:c>
    </x:row>
    <x:row r="608" ht="30" customHeight="1">
      <x:c r="A608" s="26" t="str">
        <x:v>H-0604</x:v>
      </x:c>
      <x:c r="B608" s="26" t="str">
        <x:v>Development Records</x:v>
      </x:c>
      <x:c r="C608" s="26"/>
      <x:c r="D608" s="26" t="str">
        <x:v>Sprint_11</x:v>
      </x:c>
      <x:c r="E608" s="26" t="str">
        <x:v>Architecture</x:v>
      </x:c>
      <x:c r="F608" s="26" t="str">
        <x:v>Sprint 11</x:v>
      </x:c>
      <x:c r="G608" s="26" t="str">
        <x:v>ADR-0045-CheckoutIdempotency.md</x:v>
      </x:c>
      <x:c r="H608" s="26" t="str">
        <x:v>Markdown</x:v>
      </x:c>
      <x:c r="I608" s="26" t="str">
        <x:v>ADR</x:v>
      </x:c>
      <x:c r="J608" s="26" t="n">
        <x:v>152</x:v>
      </x:c>
      <x:c r="K608" s="26" t="str">
        <x:v>dcaf08280bbc3fb2f7947d5d594d13d1d84c415dfa93e3c83148280a171d5d75</x:v>
      </x:c>
      <x:c r="L608" s="26"/>
      <x:c r="M608" s="26" t="n">
        <x:v>1</x:v>
      </x:c>
      <x:c r="N608" s="26" t="str">
        <x:v>UNIQUE</x:v>
      </x:c>
      <x:c r="O608" s="26"/>
      <x:c r="P608" s="26"/>
      <x:c r="Q608" s="26" t="str">
        <x:v>Development evidence</x:v>
      </x:c>
      <x:c r="R608" s="26" t="str">
        <x:v>RETAIN AS EVIDENCE — NOT REPLACED BY SUMMARY</x:v>
      </x:c>
      <x:c r="S608" s="26" t="str">
        <x:v>10_Development_Records/Sprint_11/Architecture/ADR-0045-CheckoutIdempotency.md</x:v>
      </x:c>
      <x:c r="T608" s="26" t="str">
        <x:v>Historical path preserved verbatim; hash calculated from supplied pre-regeneration project.</x:v>
      </x:c>
    </x:row>
    <x:row r="609" ht="30" customHeight="1">
      <x:c r="A609" s="26" t="str">
        <x:v>H-0605</x:v>
      </x:c>
      <x:c r="B609" s="26" t="str">
        <x:v>Development Records</x:v>
      </x:c>
      <x:c r="C609" s="26"/>
      <x:c r="D609" s="26" t="str">
        <x:v>Sprint_11</x:v>
      </x:c>
      <x:c r="E609" s="26" t="str">
        <x:v>Documentation</x:v>
      </x:c>
      <x:c r="F609" s="26" t="str">
        <x:v>Sprint 11</x:v>
      </x:c>
      <x:c r="G609" s="26" t="str">
        <x:v>S11_PostImplementation_Record.md</x:v>
      </x:c>
      <x:c r="H609" s="26" t="str">
        <x:v>Markdown</x:v>
      </x:c>
      <x:c r="I609" s="26" t="str">
        <x:v>Historical document / record</x:v>
      </x:c>
      <x:c r="J609" s="26" t="n">
        <x:v>589</x:v>
      </x:c>
      <x:c r="K609" s="26" t="str">
        <x:v>5642f0de8091f082726d0d25fda968e886c16221dee482cdc1cf047006b5abf1</x:v>
      </x:c>
      <x:c r="L609" s="26"/>
      <x:c r="M609" s="26" t="n">
        <x:v>1</x:v>
      </x:c>
      <x:c r="N609" s="26" t="str">
        <x:v>UNIQUE</x:v>
      </x:c>
      <x:c r="O609" s="26"/>
      <x:c r="P609" s="26"/>
      <x:c r="Q609" s="26" t="str">
        <x:v>Development evidence</x:v>
      </x:c>
      <x:c r="R609" s="26" t="str">
        <x:v>RETAIN AS EVIDENCE — NOT REPLACED BY SUMMARY</x:v>
      </x:c>
      <x:c r="S609" s="26" t="str">
        <x:v>10_Development_Records/Sprint_11/Documentation/S11_PostImplementation_Record.md</x:v>
      </x:c>
      <x:c r="T609" s="26" t="str">
        <x:v>Historical path preserved verbatim; hash calculated from supplied pre-regeneration project.</x:v>
      </x:c>
    </x:row>
    <x:row r="610" ht="30" customHeight="1">
      <x:c r="A610" s="26" t="str">
        <x:v>H-0606</x:v>
      </x:c>
      <x:c r="B610" s="26" t="str">
        <x:v>Development Records</x:v>
      </x:c>
      <x:c r="C610" s="26"/>
      <x:c r="D610" s="26" t="str">
        <x:v>Sprint_11</x:v>
      </x:c>
      <x:c r="E610" s="26" t="str">
        <x:v>Documentation</x:v>
      </x:c>
      <x:c r="F610" s="26" t="str">
        <x:v>Sprint 11</x:v>
      </x:c>
      <x:c r="G610" s="26" t="str">
        <x:v>S11_PreImplementation_Record.md</x:v>
      </x:c>
      <x:c r="H610" s="26" t="str">
        <x:v>Markdown</x:v>
      </x:c>
      <x:c r="I610" s="26" t="str">
        <x:v>Historical document / record</x:v>
      </x:c>
      <x:c r="J610" s="26" t="n">
        <x:v>233</x:v>
      </x:c>
      <x:c r="K610" s="26" t="str">
        <x:v>4fdf1d94276de0f66594797189d5d93d14ee84a41c7d2b0425b0178dec42dc43</x:v>
      </x:c>
      <x:c r="L610" s="26"/>
      <x:c r="M610" s="26" t="n">
        <x:v>1</x:v>
      </x:c>
      <x:c r="N610" s="26" t="str">
        <x:v>UNIQUE</x:v>
      </x:c>
      <x:c r="O610" s="26"/>
      <x:c r="P610" s="26"/>
      <x:c r="Q610" s="26" t="str">
        <x:v>Development evidence</x:v>
      </x:c>
      <x:c r="R610" s="26" t="str">
        <x:v>RETAIN AS EVIDENCE — NOT REPLACED BY SUMMARY</x:v>
      </x:c>
      <x:c r="S610" s="26" t="str">
        <x:v>10_Development_Records/Sprint_11/Documentation/S11_PreImplementation_Record.md</x:v>
      </x:c>
      <x:c r="T610" s="26" t="str">
        <x:v>Historical path preserved verbatim; hash calculated from supplied pre-regeneration project.</x:v>
      </x:c>
    </x:row>
    <x:row r="611" ht="30" customHeight="1">
      <x:c r="A611" s="26" t="str">
        <x:v>H-0607</x:v>
      </x:c>
      <x:c r="B611" s="26" t="str">
        <x:v>Development Records</x:v>
      </x:c>
      <x:c r="C611" s="26"/>
      <x:c r="D611" s="26" t="str">
        <x:v>Sprint_11</x:v>
      </x:c>
      <x:c r="E611" s="26" t="str">
        <x:v>Governance</x:v>
      </x:c>
      <x:c r="F611" s="26" t="str">
        <x:v>Sprint 11</x:v>
      </x:c>
      <x:c r="G611" s="26" t="str">
        <x:v>S11_Handoff_Update_Template.md</x:v>
      </x:c>
      <x:c r="H611" s="26" t="str">
        <x:v>Markdown</x:v>
      </x:c>
      <x:c r="I611" s="26" t="str">
        <x:v>Handoff record</x:v>
      </x:c>
      <x:c r="J611" s="26" t="n">
        <x:v>422</x:v>
      </x:c>
      <x:c r="K611" s="26" t="str">
        <x:v>3da63a8600ab4da7f1afe4032690763029d3551297fad0d51afbfa841687dad5</x:v>
      </x:c>
      <x:c r="L611" s="26"/>
      <x:c r="M611" s="26" t="n">
        <x:v>1</x:v>
      </x:c>
      <x:c r="N611" s="26" t="str">
        <x:v>UNIQUE</x:v>
      </x:c>
      <x:c r="O611" s="26" t="str">
        <x:v>34</x:v>
      </x:c>
      <x:c r="P611" s="26" t="str">
        <x:v>14, 15, 34</x:v>
      </x:c>
      <x:c r="Q611" s="26" t="str">
        <x:v>Development evidence</x:v>
      </x:c>
      <x:c r="R611" s="26" t="str">
        <x:v>RETAIN AS EVIDENCE — NOT REPLACED BY SUMMARY</x:v>
      </x:c>
      <x:c r="S611" s="26" t="str">
        <x:v>10_Development_Records/Sprint_11/Governance/S11_Handoff_Update_Template.md</x:v>
      </x:c>
      <x:c r="T611" s="26" t="str">
        <x:v>Historical path preserved verbatim; hash calculated from supplied pre-regeneration project.</x:v>
      </x:c>
    </x:row>
    <x:row r="612" ht="30" customHeight="1">
      <x:c r="A612" s="26" t="str">
        <x:v>H-0608</x:v>
      </x:c>
      <x:c r="B612" s="26" t="str">
        <x:v>Development Records</x:v>
      </x:c>
      <x:c r="C612" s="26"/>
      <x:c r="D612" s="26" t="str">
        <x:v>Sprint_11</x:v>
      </x:c>
      <x:c r="E612" s="26" t="str">
        <x:v>Governance</x:v>
      </x:c>
      <x:c r="F612" s="26" t="str">
        <x:v>Sprint 11</x:v>
      </x:c>
      <x:c r="G612" s="26" t="str">
        <x:v>Sprint_11_Charter.md</x:v>
      </x:c>
      <x:c r="H612" s="26" t="str">
        <x:v>Markdown</x:v>
      </x:c>
      <x:c r="I612" s="26" t="str">
        <x:v>Sprint charter</x:v>
      </x:c>
      <x:c r="J612" s="26" t="n">
        <x:v>628</x:v>
      </x:c>
      <x:c r="K612" s="26" t="str">
        <x:v>aa6f12f920a630ad9d1f0cdbda1a2acb4f37cadd64f3eafddccc146b492b1632</x:v>
      </x:c>
      <x:c r="L612" s="26"/>
      <x:c r="M612" s="26" t="n">
        <x:v>1</x:v>
      </x:c>
      <x:c r="N612" s="26" t="str">
        <x:v>UNIQUE</x:v>
      </x:c>
      <x:c r="O612" s="26"/>
      <x:c r="P612" s="26"/>
      <x:c r="Q612" s="26" t="str">
        <x:v>Development evidence</x:v>
      </x:c>
      <x:c r="R612" s="26" t="str">
        <x:v>RETAIN AS EVIDENCE — NOT REPLACED BY SUMMARY</x:v>
      </x:c>
      <x:c r="S612" s="26" t="str">
        <x:v>10_Development_Records/Sprint_11/Governance/Sprint_11_Charter.md</x:v>
      </x:c>
      <x:c r="T612" s="26" t="str">
        <x:v>Historical path preserved verbatim; hash calculated from supplied pre-regeneration project.</x:v>
      </x:c>
    </x:row>
    <x:row r="613" ht="30" customHeight="1">
      <x:c r="A613" s="26" t="str">
        <x:v>H-0609</x:v>
      </x:c>
      <x:c r="B613" s="26" t="str">
        <x:v>Development Records</x:v>
      </x:c>
      <x:c r="C613" s="26"/>
      <x:c r="D613" s="26" t="str">
        <x:v>Sprint_11</x:v>
      </x:c>
      <x:c r="E613" s="26" t="str">
        <x:v>Governance</x:v>
      </x:c>
      <x:c r="F613" s="26" t="str">
        <x:v>Sprint 11</x:v>
      </x:c>
      <x:c r="G613" s="26" t="str">
        <x:v>Sprint_11_Current_Status.md</x:v>
      </x:c>
      <x:c r="H613" s="26" t="str">
        <x:v>Markdown</x:v>
      </x:c>
      <x:c r="I613" s="26" t="str">
        <x:v>Current status</x:v>
      </x:c>
      <x:c r="J613" s="26" t="n">
        <x:v>679</x:v>
      </x:c>
      <x:c r="K613" s="26" t="str">
        <x:v>824a6fd6c261f8cdf4c8ac7fa5b5454772248c28c63a006aff83581603b5e38c</x:v>
      </x:c>
      <x:c r="L613" s="26"/>
      <x:c r="M613" s="26" t="n">
        <x:v>1</x:v>
      </x:c>
      <x:c r="N613" s="26" t="str">
        <x:v>UNIQUE</x:v>
      </x:c>
      <x:c r="O613" s="26"/>
      <x:c r="P613" s="26"/>
      <x:c r="Q613" s="26" t="str">
        <x:v>Development evidence</x:v>
      </x:c>
      <x:c r="R613" s="26" t="str">
        <x:v>RETAIN AS EVIDENCE — NOT REPLACED BY SUMMARY</x:v>
      </x:c>
      <x:c r="S613" s="26" t="str">
        <x:v>10_Development_Records/Sprint_11/Governance/Sprint_11_Current_Status.md</x:v>
      </x:c>
      <x:c r="T613" s="26" t="str">
        <x:v>Historical path preserved verbatim; hash calculated from supplied pre-regeneration project.</x:v>
      </x:c>
    </x:row>
    <x:row r="614" ht="30" customHeight="1">
      <x:c r="A614" s="26" t="str">
        <x:v>H-0610</x:v>
      </x:c>
      <x:c r="B614" s="26" t="str">
        <x:v>Development Records</x:v>
      </x:c>
      <x:c r="C614" s="26"/>
      <x:c r="D614" s="26" t="str">
        <x:v>Sprint_11</x:v>
      </x:c>
      <x:c r="E614" s="26" t="str">
        <x:v>QA</x:v>
      </x:c>
      <x:c r="F614" s="26" t="str">
        <x:v>Sprint 11</x:v>
      </x:c>
      <x:c r="G614" s="26" t="str">
        <x:v>S11_Acceptance_Matrix.md</x:v>
      </x:c>
      <x:c r="H614" s="26" t="str">
        <x:v>Markdown</x:v>
      </x:c>
      <x:c r="I614" s="26" t="str">
        <x:v>Acceptance matrix</x:v>
      </x:c>
      <x:c r="J614" s="26" t="n">
        <x:v>650</x:v>
      </x:c>
      <x:c r="K614" s="26" t="str">
        <x:v>a6f876fb02398be1ee466d2f9dde9613ad9c0fa2fc0088778b791ab9a3d00e8d</x:v>
      </x:c>
      <x:c r="L614" s="26"/>
      <x:c r="M614" s="26" t="n">
        <x:v>1</x:v>
      </x:c>
      <x:c r="N614" s="26" t="str">
        <x:v>UNIQUE</x:v>
      </x:c>
      <x:c r="O614" s="26" t="str">
        <x:v>31</x:v>
      </x:c>
      <x:c r="P614" s="26" t="str">
        <x:v>02, 07, 08, 11, 13, 16, 31</x:v>
      </x:c>
      <x:c r="Q614" s="26" t="str">
        <x:v>Development evidence</x:v>
      </x:c>
      <x:c r="R614" s="26" t="str">
        <x:v>RETAIN AS EVIDENCE — NOT REPLACED BY SUMMARY</x:v>
      </x:c>
      <x:c r="S614" s="26" t="str">
        <x:v>10_Development_Records/Sprint_11/QA/S11_Acceptance_Matrix.md</x:v>
      </x:c>
      <x:c r="T614" s="26" t="str">
        <x:v>Historical path preserved verbatim; hash calculated from supplied pre-regeneration project.</x:v>
      </x:c>
    </x:row>
    <x:row r="615" ht="30" customHeight="1">
      <x:c r="A615" s="26" t="str">
        <x:v>H-0611</x:v>
      </x:c>
      <x:c r="B615" s="26" t="str">
        <x:v>Development Records</x:v>
      </x:c>
      <x:c r="C615" s="26"/>
      <x:c r="D615" s="26" t="str">
        <x:v>Sprint_11</x:v>
      </x:c>
      <x:c r="E615" s="26" t="str">
        <x:v>QA</x:v>
      </x:c>
      <x:c r="F615" s="26" t="str">
        <x:v>Sprint 11</x:v>
      </x:c>
      <x:c r="G615" s="26" t="str">
        <x:v>S11_Build_Execution_Record.md</x:v>
      </x:c>
      <x:c r="H615" s="26" t="str">
        <x:v>Markdown</x:v>
      </x:c>
      <x:c r="I615" s="26" t="str">
        <x:v>Build execution evidence</x:v>
      </x:c>
      <x:c r="J615" s="26" t="n">
        <x:v>494</x:v>
      </x:c>
      <x:c r="K615" s="26" t="str">
        <x:v>6e5b3ee3b6b9a1a6d2f6c90fc07df567cfdd81126f6e2c06aa4c3307db206f24</x:v>
      </x:c>
      <x:c r="L615" s="26"/>
      <x:c r="M615" s="26" t="n">
        <x:v>1</x:v>
      </x:c>
      <x:c r="N615" s="26" t="str">
        <x:v>UNIQUE</x:v>
      </x:c>
      <x:c r="O615" s="26" t="str">
        <x:v>31</x:v>
      </x:c>
      <x:c r="P615" s="26" t="str">
        <x:v>02, 07, 08, 11, 13, 16, 31</x:v>
      </x:c>
      <x:c r="Q615" s="26" t="str">
        <x:v>Development evidence</x:v>
      </x:c>
      <x:c r="R615" s="26" t="str">
        <x:v>RETAIN AS EVIDENCE — NOT REPLACED BY SUMMARY</x:v>
      </x:c>
      <x:c r="S615" s="26" t="str">
        <x:v>10_Development_Records/Sprint_11/QA/S11_Build_Execution_Record.md</x:v>
      </x:c>
      <x:c r="T615" s="26" t="str">
        <x:v>Historical path preserved verbatim; hash calculated from supplied pre-regeneration project.</x:v>
      </x:c>
    </x:row>
    <x:row r="616" ht="30" customHeight="1">
      <x:c r="A616" s="26" t="str">
        <x:v>H-0612</x:v>
      </x:c>
      <x:c r="B616" s="26" t="str">
        <x:v>Development Records</x:v>
      </x:c>
      <x:c r="C616" s="26"/>
      <x:c r="D616" s="26" t="str">
        <x:v>Sprint_11</x:v>
      </x:c>
      <x:c r="E616" s="26" t="str">
        <x:v>QA</x:v>
      </x:c>
      <x:c r="F616" s="26" t="str">
        <x:v>Sprint 11</x:v>
      </x:c>
      <x:c r="G616" s="26" t="str">
        <x:v>S11_Manual_Validation_Record.md</x:v>
      </x:c>
      <x:c r="H616" s="26" t="str">
        <x:v>Markdown</x:v>
      </x:c>
      <x:c r="I616" s="26" t="str">
        <x:v>Historical document / record</x:v>
      </x:c>
      <x:c r="J616" s="26" t="n">
        <x:v>627</x:v>
      </x:c>
      <x:c r="K616" s="26" t="str">
        <x:v>4570258f61607a4d682668a55327dd21ba3c5358f213888de0b75dc7309f94f8</x:v>
      </x:c>
      <x:c r="L616" s="26"/>
      <x:c r="M616" s="26" t="n">
        <x:v>1</x:v>
      </x:c>
      <x:c r="N616" s="26" t="str">
        <x:v>UNIQUE</x:v>
      </x:c>
      <x:c r="O616" s="26"/>
      <x:c r="P616" s="26"/>
      <x:c r="Q616" s="26" t="str">
        <x:v>Development evidence</x:v>
      </x:c>
      <x:c r="R616" s="26" t="str">
        <x:v>RETAIN AS EVIDENCE — NOT REPLACED BY SUMMARY</x:v>
      </x:c>
      <x:c r="S616" s="26" t="str">
        <x:v>10_Development_Records/Sprint_11/QA/S11_Manual_Validation_Record.md</x:v>
      </x:c>
      <x:c r="T616" s="26" t="str">
        <x:v>Historical path preserved verbatim; hash calculated from supplied pre-regeneration project.</x:v>
      </x:c>
    </x:row>
    <x:row r="617" ht="30" customHeight="1">
      <x:c r="A617" s="26" t="str">
        <x:v>H-0613</x:v>
      </x:c>
      <x:c r="B617" s="26" t="str">
        <x:v>Development Records</x:v>
      </x:c>
      <x:c r="C617" s="26"/>
      <x:c r="D617" s="26" t="str">
        <x:v>Sprint_11</x:v>
      </x:c>
      <x:c r="E617" s="26" t="str">
        <x:v>QA</x:v>
      </x:c>
      <x:c r="F617" s="26" t="str">
        <x:v>Sprint 11</x:v>
      </x:c>
      <x:c r="G617" s="26" t="str">
        <x:v>S11_QA_Execution_Record.md</x:v>
      </x:c>
      <x:c r="H617" s="26" t="str">
        <x:v>Markdown</x:v>
      </x:c>
      <x:c r="I617" s="26" t="str">
        <x:v>QA execution evidence</x:v>
      </x:c>
      <x:c r="J617" s="26" t="n">
        <x:v>457</x:v>
      </x:c>
      <x:c r="K617" s="26" t="str">
        <x:v>e09346a52a005447f98244392575dce8bfe0e1c24395d87ef4efa9949582222d</x:v>
      </x:c>
      <x:c r="L617" s="26"/>
      <x:c r="M617" s="26" t="n">
        <x:v>1</x:v>
      </x:c>
      <x:c r="N617" s="26" t="str">
        <x:v>UNIQUE</x:v>
      </x:c>
      <x:c r="O617" s="26" t="str">
        <x:v>31</x:v>
      </x:c>
      <x:c r="P617" s="26" t="str">
        <x:v>02, 07, 08, 11, 13, 16, 31</x:v>
      </x:c>
      <x:c r="Q617" s="26" t="str">
        <x:v>Development evidence</x:v>
      </x:c>
      <x:c r="R617" s="26" t="str">
        <x:v>RETAIN AS EVIDENCE — NOT REPLACED BY SUMMARY</x:v>
      </x:c>
      <x:c r="S617" s="26" t="str">
        <x:v>10_Development_Records/Sprint_11/QA/S11_QA_Execution_Record.md</x:v>
      </x:c>
      <x:c r="T617" s="26" t="str">
        <x:v>Historical path preserved verbatim; hash calculated from supplied pre-regeneration project.</x:v>
      </x:c>
    </x:row>
    <x:row r="618" ht="30" customHeight="1">
      <x:c r="A618" s="26" t="str">
        <x:v>H-0614</x:v>
      </x:c>
      <x:c r="B618" s="26" t="str">
        <x:v>Development Records</x:v>
      </x:c>
      <x:c r="C618" s="26"/>
      <x:c r="D618" s="26" t="str">
        <x:v>Sprint_11</x:v>
      </x:c>
      <x:c r="E618" s="26" t="str">
        <x:v>QA</x:v>
      </x:c>
      <x:c r="F618" s="26" t="str">
        <x:v>Sprint 11</x:v>
      </x:c>
      <x:c r="G618" s="26" t="str">
        <x:v>S11_Test_Plan.md</x:v>
      </x:c>
      <x:c r="H618" s="26" t="str">
        <x:v>Markdown</x:v>
      </x:c>
      <x:c r="I618" s="26" t="str">
        <x:v>Historical document / record</x:v>
      </x:c>
      <x:c r="J618" s="26" t="n">
        <x:v>316</x:v>
      </x:c>
      <x:c r="K618" s="26" t="str">
        <x:v>75c9f46d3f588baa0e4942042264f3d5e62f609a38e975f604dce5645920b84e</x:v>
      </x:c>
      <x:c r="L618" s="26"/>
      <x:c r="M618" s="26" t="n">
        <x:v>1</x:v>
      </x:c>
      <x:c r="N618" s="26" t="str">
        <x:v>UNIQUE</x:v>
      </x:c>
      <x:c r="O618" s="26"/>
      <x:c r="P618" s="26"/>
      <x:c r="Q618" s="26" t="str">
        <x:v>Development evidence</x:v>
      </x:c>
      <x:c r="R618" s="26" t="str">
        <x:v>RETAIN AS EVIDENCE — NOT REPLACED BY SUMMARY</x:v>
      </x:c>
      <x:c r="S618" s="26" t="str">
        <x:v>10_Development_Records/Sprint_11/QA/S11_Test_Plan.md</x:v>
      </x:c>
      <x:c r="T618" s="26" t="str">
        <x:v>Historical path preserved verbatim; hash calculated from supplied pre-regeneration project.</x:v>
      </x:c>
    </x:row>
    <x:row r="619" ht="30" customHeight="1">
      <x:c r="A619" s="26" t="str">
        <x:v>H-0615</x:v>
      </x:c>
      <x:c r="B619" s="26" t="str">
        <x:v>Development Records</x:v>
      </x:c>
      <x:c r="C619" s="26"/>
      <x:c r="D619" s="26" t="str">
        <x:v>Sprint_11</x:v>
      </x:c>
      <x:c r="E619" s="26" t="str">
        <x:v>QA</x:v>
      </x:c>
      <x:c r="F619" s="26" t="str">
        <x:v>Sprint 11</x:v>
      </x:c>
      <x:c r="G619" s="26" t="str">
        <x:v>S11_Validation_Checklist.md</x:v>
      </x:c>
      <x:c r="H619" s="26" t="str">
        <x:v>Markdown</x:v>
      </x:c>
      <x:c r="I619" s="26" t="str">
        <x:v>Validation checklist</x:v>
      </x:c>
      <x:c r="J619" s="26" t="n">
        <x:v>586</x:v>
      </x:c>
      <x:c r="K619" s="26" t="str">
        <x:v>6e6a1eaca9f8b962ef3092264ba1419f8dae3c1212518a64cb3ed738fa1b4b22</x:v>
      </x:c>
      <x:c r="L619" s="26"/>
      <x:c r="M619" s="26" t="n">
        <x:v>1</x:v>
      </x:c>
      <x:c r="N619" s="26" t="str">
        <x:v>UNIQUE</x:v>
      </x:c>
      <x:c r="O619" s="26" t="str">
        <x:v>31</x:v>
      </x:c>
      <x:c r="P619" s="26" t="str">
        <x:v>02, 07, 08, 11, 13, 16, 31</x:v>
      </x:c>
      <x:c r="Q619" s="26" t="str">
        <x:v>Development evidence</x:v>
      </x:c>
      <x:c r="R619" s="26" t="str">
        <x:v>RETAIN AS EVIDENCE — NOT REPLACED BY SUMMARY</x:v>
      </x:c>
      <x:c r="S619" s="26" t="str">
        <x:v>10_Development_Records/Sprint_11/QA/S11_Validation_Checklist.md</x:v>
      </x:c>
      <x:c r="T619" s="26" t="str">
        <x:v>Historical path preserved verbatim; hash calculated from supplied pre-regeneration project.</x:v>
      </x:c>
    </x:row>
    <x:row r="620" ht="30" customHeight="1">
      <x:c r="A620" s="26" t="str">
        <x:v>H-0616</x:v>
      </x:c>
      <x:c r="B620" s="26" t="str">
        <x:v>Development Records</x:v>
      </x:c>
      <x:c r="C620" s="26"/>
      <x:c r="D620" s="26" t="str">
        <x:v>Sprint_11</x:v>
      </x:c>
      <x:c r="E620" s="26" t="str">
        <x:v>Sprint_11_Closure_Report.md</x:v>
      </x:c>
      <x:c r="F620" s="26" t="str">
        <x:v>Sprint 11</x:v>
      </x:c>
      <x:c r="G620" s="26" t="str">
        <x:v>Sprint_11_Closure_Report.md</x:v>
      </x:c>
      <x:c r="H620" s="26" t="str">
        <x:v>Markdown</x:v>
      </x:c>
      <x:c r="I620" s="26" t="str">
        <x:v>Sprint closure</x:v>
      </x:c>
      <x:c r="J620" s="26" t="n">
        <x:v>2545</x:v>
      </x:c>
      <x:c r="K620" s="26" t="str">
        <x:v>b4ae4ddc090cdb00af473e64cbc19ac2285cdad28e1face724b2e7ac8e0b7725</x:v>
      </x:c>
      <x:c r="L620" s="26"/>
      <x:c r="M620" s="26" t="n">
        <x:v>1</x:v>
      </x:c>
      <x:c r="N620" s="26" t="str">
        <x:v>UNIQUE</x:v>
      </x:c>
      <x:c r="O620" s="26"/>
      <x:c r="P620" s="26"/>
      <x:c r="Q620" s="26" t="str">
        <x:v>Development evidence</x:v>
      </x:c>
      <x:c r="R620" s="26" t="str">
        <x:v>RETAIN AS EVIDENCE — NOT REPLACED BY SUMMARY</x:v>
      </x:c>
      <x:c r="S620" s="26" t="str">
        <x:v>10_Development_Records/Sprint_11/Sprint_11_Closure_Report.md</x:v>
      </x:c>
      <x:c r="T620" s="26" t="str">
        <x:v>Historical path preserved verbatim; hash calculated from supplied pre-regeneration project.</x:v>
      </x:c>
    </x:row>
    <x:row r="621" ht="30" customHeight="1">
      <x:c r="A621" s="26" t="str">
        <x:v>H-0617</x:v>
      </x:c>
      <x:c r="B621" s="26" t="str">
        <x:v>Development Records</x:v>
      </x:c>
      <x:c r="C621" s="26"/>
      <x:c r="D621" s="26" t="str">
        <x:v>Sprint_11</x:v>
      </x:c>
      <x:c r="E621" s="26" t="str">
        <x:v>Traceability</x:v>
      </x:c>
      <x:c r="F621" s="26" t="str">
        <x:v>Sprint 11</x:v>
      </x:c>
      <x:c r="G621" s="26" t="str">
        <x:v>S11_Document_Impact_Working_Matrix.md</x:v>
      </x:c>
      <x:c r="H621" s="26" t="str">
        <x:v>Markdown</x:v>
      </x:c>
      <x:c r="I621" s="26" t="str">
        <x:v>Traceability entry</x:v>
      </x:c>
      <x:c r="J621" s="26" t="n">
        <x:v>435</x:v>
      </x:c>
      <x:c r="K621" s="26" t="str">
        <x:v>ffd34a62a2fedd14023d2ef3ea9b31660c708041449fee2a25fecadc2f809225</x:v>
      </x:c>
      <x:c r="L621" s="26"/>
      <x:c r="M621" s="26" t="n">
        <x:v>1</x:v>
      </x:c>
      <x:c r="N621" s="26" t="str">
        <x:v>UNIQUE</x:v>
      </x:c>
      <x:c r="O621" s="26"/>
      <x:c r="P621" s="26"/>
      <x:c r="Q621" s="26" t="str">
        <x:v>Development evidence</x:v>
      </x:c>
      <x:c r="R621" s="26" t="str">
        <x:v>RETAIN AS EVIDENCE — NOT REPLACED BY SUMMARY</x:v>
      </x:c>
      <x:c r="S621" s="26" t="str">
        <x:v>10_Development_Records/Sprint_11/Traceability/S11_Document_Impact_Working_Matrix.md</x:v>
      </x:c>
      <x:c r="T621" s="26" t="str">
        <x:v>Historical path preserved verbatim; hash calculated from supplied pre-regeneration project.</x:v>
      </x:c>
    </x:row>
    <x:row r="622" ht="30" customHeight="1">
      <x:c r="A622" s="26" t="str">
        <x:v>H-0618</x:v>
      </x:c>
      <x:c r="B622" s="26" t="str">
        <x:v>Development Records</x:v>
      </x:c>
      <x:c r="C622" s="26"/>
      <x:c r="D622" s="26" t="str">
        <x:v>Sprint_11</x:v>
      </x:c>
      <x:c r="E622" s="26" t="str">
        <x:v>Traceability</x:v>
      </x:c>
      <x:c r="F622" s="26" t="str">
        <x:v>Sprint 11</x:v>
      </x:c>
      <x:c r="G622" s="26" t="str">
        <x:v>S11_Traceability_Entries.csv</x:v>
      </x:c>
      <x:c r="H622" s="26" t="str">
        <x:v>CSV</x:v>
      </x:c>
      <x:c r="I622" s="26" t="str">
        <x:v>Traceability entry</x:v>
      </x:c>
      <x:c r="J622" s="26" t="n">
        <x:v>518</x:v>
      </x:c>
      <x:c r="K622" s="26" t="str">
        <x:v>780039aa815023951fccb39a0170340297ed5ad5901d8a4089b7c083c13c3fa1</x:v>
      </x:c>
      <x:c r="L622" s="26"/>
      <x:c r="M622" s="26" t="n">
        <x:v>1</x:v>
      </x:c>
      <x:c r="N622" s="26" t="str">
        <x:v>UNIQUE</x:v>
      </x:c>
      <x:c r="O622" s="26"/>
      <x:c r="P622" s="26"/>
      <x:c r="Q622" s="26" t="str">
        <x:v>Development evidence</x:v>
      </x:c>
      <x:c r="R622" s="26" t="str">
        <x:v>RETAIN AS EVIDENCE — NOT REPLACED BY SUMMARY</x:v>
      </x:c>
      <x:c r="S622" s="26" t="str">
        <x:v>10_Development_Records/Sprint_11/Traceability/S11_Traceability_Entries.csv</x:v>
      </x:c>
      <x:c r="T622" s="26" t="str">
        <x:v>Historical path preserved verbatim; hash calculated from supplied pre-regeneration project.</x:v>
      </x:c>
    </x:row>
    <x:row r="623" ht="30" customHeight="1">
      <x:c r="A623" s="26" t="str">
        <x:v>H-0619</x:v>
      </x:c>
      <x:c r="B623" s="26" t="str">
        <x:v>Development Records</x:v>
      </x:c>
      <x:c r="C623" s="26"/>
      <x:c r="D623" s="26" t="str">
        <x:v>Sprint_12</x:v>
      </x:c>
      <x:c r="E623" s="26" t="str">
        <x:v>Architecture</x:v>
      </x:c>
      <x:c r="F623" s="26" t="str">
        <x:v>Sprint 12</x:v>
      </x:c>
      <x:c r="G623" s="26" t="str">
        <x:v>ADR-0046-LogicalStoreDayAggregate.md</x:v>
      </x:c>
      <x:c r="H623" s="26" t="str">
        <x:v>Markdown</x:v>
      </x:c>
      <x:c r="I623" s="26" t="str">
        <x:v>ADR</x:v>
      </x:c>
      <x:c r="J623" s="26" t="n">
        <x:v>191</x:v>
      </x:c>
      <x:c r="K623" s="26" t="str">
        <x:v>4b0703008d657d9b20ef1554afcf827e8126540b156009d91cfc61c6270fcc7d</x:v>
      </x:c>
      <x:c r="L623" s="26"/>
      <x:c r="M623" s="26" t="n">
        <x:v>1</x:v>
      </x:c>
      <x:c r="N623" s="26" t="str">
        <x:v>UNIQUE</x:v>
      </x:c>
      <x:c r="O623" s="26"/>
      <x:c r="P623" s="26"/>
      <x:c r="Q623" s="26" t="str">
        <x:v>Development evidence</x:v>
      </x:c>
      <x:c r="R623" s="26" t="str">
        <x:v>RETAIN AS EVIDENCE — NOT REPLACED BY SUMMARY</x:v>
      </x:c>
      <x:c r="S623" s="26" t="str">
        <x:v>10_Development_Records/Sprint_12/Architecture/ADR-0046-LogicalStoreDayAggregate.md</x:v>
      </x:c>
      <x:c r="T623" s="26" t="str">
        <x:v>Historical path preserved verbatim; hash calculated from supplied pre-regeneration project.</x:v>
      </x:c>
    </x:row>
    <x:row r="624" ht="30" customHeight="1">
      <x:c r="A624" s="26" t="str">
        <x:v>H-0620</x:v>
      </x:c>
      <x:c r="B624" s="26" t="str">
        <x:v>Development Records</x:v>
      </x:c>
      <x:c r="C624" s="26"/>
      <x:c r="D624" s="26" t="str">
        <x:v>Sprint_12</x:v>
      </x:c>
      <x:c r="E624" s="26" t="str">
        <x:v>Architecture</x:v>
      </x:c>
      <x:c r="F624" s="26" t="str">
        <x:v>Sprint 12</x:v>
      </x:c>
      <x:c r="G624" s="26" t="str">
        <x:v>ADR-0047-ClosingAdmissionGates.md</x:v>
      </x:c>
      <x:c r="H624" s="26" t="str">
        <x:v>Markdown</x:v>
      </x:c>
      <x:c r="I624" s="26" t="str">
        <x:v>ADR</x:v>
      </x:c>
      <x:c r="J624" s="26" t="n">
        <x:v>203</x:v>
      </x:c>
      <x:c r="K624" s="26" t="str">
        <x:v>1bea6d3a71b2dda9f027398423d40013fed095318570d0c983c3a5ef5adbf2ef</x:v>
      </x:c>
      <x:c r="L624" s="26"/>
      <x:c r="M624" s="26" t="n">
        <x:v>1</x:v>
      </x:c>
      <x:c r="N624" s="26" t="str">
        <x:v>UNIQUE</x:v>
      </x:c>
      <x:c r="O624" s="26"/>
      <x:c r="P624" s="26"/>
      <x:c r="Q624" s="26" t="str">
        <x:v>Development evidence</x:v>
      </x:c>
      <x:c r="R624" s="26" t="str">
        <x:v>RETAIN AS EVIDENCE — NOT REPLACED BY SUMMARY</x:v>
      </x:c>
      <x:c r="S624" s="26" t="str">
        <x:v>10_Development_Records/Sprint_12/Architecture/ADR-0047-ClosingAdmissionGates.md</x:v>
      </x:c>
      <x:c r="T624" s="26" t="str">
        <x:v>Historical path preserved verbatim; hash calculated from supplied pre-regeneration project.</x:v>
      </x:c>
    </x:row>
    <x:row r="625" ht="30" customHeight="1">
      <x:c r="A625" s="26" t="str">
        <x:v>H-0621</x:v>
      </x:c>
      <x:c r="B625" s="26" t="str">
        <x:v>Development Records</x:v>
      </x:c>
      <x:c r="C625" s="26"/>
      <x:c r="D625" s="26" t="str">
        <x:v>Sprint_12</x:v>
      </x:c>
      <x:c r="E625" s="26" t="str">
        <x:v>Architecture</x:v>
      </x:c>
      <x:c r="F625" s="26" t="str">
        <x:v>Sprint 12</x:v>
      </x:c>
      <x:c r="G625" s="26" t="str">
        <x:v>ADR-0048-DeterministicDrainAndResolution.md</x:v>
      </x:c>
      <x:c r="H625" s="26" t="str">
        <x:v>Markdown</x:v>
      </x:c>
      <x:c r="I625" s="26" t="str">
        <x:v>ADR</x:v>
      </x:c>
      <x:c r="J625" s="26" t="n">
        <x:v>201</x:v>
      </x:c>
      <x:c r="K625" s="26" t="str">
        <x:v>930429172027b64eeed649d79c17f55747622690c4355f303b4b1f572f2e53da</x:v>
      </x:c>
      <x:c r="L625" s="26"/>
      <x:c r="M625" s="26" t="n">
        <x:v>1</x:v>
      </x:c>
      <x:c r="N625" s="26" t="str">
        <x:v>UNIQUE</x:v>
      </x:c>
      <x:c r="O625" s="26"/>
      <x:c r="P625" s="26"/>
      <x:c r="Q625" s="26" t="str">
        <x:v>Development evidence</x:v>
      </x:c>
      <x:c r="R625" s="26" t="str">
        <x:v>RETAIN AS EVIDENCE — NOT REPLACED BY SUMMARY</x:v>
      </x:c>
      <x:c r="S625" s="26" t="str">
        <x:v>10_Development_Records/Sprint_12/Architecture/ADR-0048-DeterministicDrainAndResolution.md</x:v>
      </x:c>
      <x:c r="T625" s="26" t="str">
        <x:v>Historical path preserved verbatim; hash calculated from supplied pre-regeneration project.</x:v>
      </x:c>
    </x:row>
    <x:row r="626" ht="30" customHeight="1">
      <x:c r="A626" s="26" t="str">
        <x:v>H-0622</x:v>
      </x:c>
      <x:c r="B626" s="26" t="str">
        <x:v>Development Records</x:v>
      </x:c>
      <x:c r="C626" s="26"/>
      <x:c r="D626" s="26" t="str">
        <x:v>Sprint_12</x:v>
      </x:c>
      <x:c r="E626" s="26" t="str">
        <x:v>Architecture</x:v>
      </x:c>
      <x:c r="F626" s="26" t="str">
        <x:v>Sprint 12</x:v>
      </x:c>
      <x:c r="G626" s="26" t="str">
        <x:v>ADR-0049-ClosureReadinessSnapshot.md</x:v>
      </x:c>
      <x:c r="H626" s="26" t="str">
        <x:v>Markdown</x:v>
      </x:c>
      <x:c r="I626" s="26" t="str">
        <x:v>ADR</x:v>
      </x:c>
      <x:c r="J626" s="26" t="n">
        <x:v>173</x:v>
      </x:c>
      <x:c r="K626" s="26" t="str">
        <x:v>8bbed47b5de9fe5d2fb48f877e7bc1452a95aab891c3fcae14d6b06fea819df9</x:v>
      </x:c>
      <x:c r="L626" s="26"/>
      <x:c r="M626" s="26" t="n">
        <x:v>1</x:v>
      </x:c>
      <x:c r="N626" s="26" t="str">
        <x:v>UNIQUE</x:v>
      </x:c>
      <x:c r="O626" s="26"/>
      <x:c r="P626" s="26"/>
      <x:c r="Q626" s="26" t="str">
        <x:v>Development evidence</x:v>
      </x:c>
      <x:c r="R626" s="26" t="str">
        <x:v>RETAIN AS EVIDENCE — NOT REPLACED BY SUMMARY</x:v>
      </x:c>
      <x:c r="S626" s="26" t="str">
        <x:v>10_Development_Records/Sprint_12/Architecture/ADR-0049-ClosureReadinessSnapshot.md</x:v>
      </x:c>
      <x:c r="T626" s="26" t="str">
        <x:v>Historical path preserved verbatim; hash calculated from supplied pre-regeneration project.</x:v>
      </x:c>
    </x:row>
    <x:row r="627" ht="30" customHeight="1">
      <x:c r="A627" s="26" t="str">
        <x:v>H-0623</x:v>
      </x:c>
      <x:c r="B627" s="26" t="str">
        <x:v>Development Records</x:v>
      </x:c>
      <x:c r="C627" s="26"/>
      <x:c r="D627" s="26" t="str">
        <x:v>Sprint_12</x:v>
      </x:c>
      <x:c r="E627" s="26" t="str">
        <x:v>Architecture</x:v>
      </x:c>
      <x:c r="F627" s="26" t="str">
        <x:v>Sprint 12</x:v>
      </x:c>
      <x:c r="G627" s="26" t="str">
        <x:v>ADR-0050-TechnicalDaySummary.md</x:v>
      </x:c>
      <x:c r="H627" s="26" t="str">
        <x:v>Markdown</x:v>
      </x:c>
      <x:c r="I627" s="26" t="str">
        <x:v>ADR</x:v>
      </x:c>
      <x:c r="J627" s="26" t="n">
        <x:v>146</x:v>
      </x:c>
      <x:c r="K627" s="26" t="str">
        <x:v>523e7074e3ffda8a481a51a7fe1637494cf452b722c77823f268c3d7b773a1dc</x:v>
      </x:c>
      <x:c r="L627" s="26"/>
      <x:c r="M627" s="26" t="n">
        <x:v>1</x:v>
      </x:c>
      <x:c r="N627" s="26" t="str">
        <x:v>UNIQUE</x:v>
      </x:c>
      <x:c r="O627" s="26"/>
      <x:c r="P627" s="26"/>
      <x:c r="Q627" s="26" t="str">
        <x:v>Development evidence</x:v>
      </x:c>
      <x:c r="R627" s="26" t="str">
        <x:v>RETAIN AS EVIDENCE — NOT REPLACED BY SUMMARY</x:v>
      </x:c>
      <x:c r="S627" s="26" t="str">
        <x:v>10_Development_Records/Sprint_12/Architecture/ADR-0050-TechnicalDaySummary.md</x:v>
      </x:c>
      <x:c r="T627" s="26" t="str">
        <x:v>Historical path preserved verbatim; hash calculated from supplied pre-regeneration project.</x:v>
      </x:c>
    </x:row>
    <x:row r="628" ht="30" customHeight="1">
      <x:c r="A628" s="26" t="str">
        <x:v>H-0624</x:v>
      </x:c>
      <x:c r="B628" s="26" t="str">
        <x:v>Development Records</x:v>
      </x:c>
      <x:c r="C628" s="26"/>
      <x:c r="D628" s="26" t="str">
        <x:v>Sprint_12</x:v>
      </x:c>
      <x:c r="E628" s="26" t="str">
        <x:v>Documentation</x:v>
      </x:c>
      <x:c r="F628" s="26" t="str">
        <x:v>Sprint 12</x:v>
      </x:c>
      <x:c r="G628" s="26" t="str">
        <x:v>S12_PostImplementation_Record.md</x:v>
      </x:c>
      <x:c r="H628" s="26" t="str">
        <x:v>Markdown</x:v>
      </x:c>
      <x:c r="I628" s="26" t="str">
        <x:v>Historical document / record</x:v>
      </x:c>
      <x:c r="J628" s="26" t="n">
        <x:v>420</x:v>
      </x:c>
      <x:c r="K628" s="26" t="str">
        <x:v>2e0156fac6fda2d0475d71f8f3c66f827bc8b5ca5325d8e99348522ae72040bb</x:v>
      </x:c>
      <x:c r="L628" s="26"/>
      <x:c r="M628" s="26" t="n">
        <x:v>1</x:v>
      </x:c>
      <x:c r="N628" s="26" t="str">
        <x:v>UNIQUE</x:v>
      </x:c>
      <x:c r="O628" s="26"/>
      <x:c r="P628" s="26"/>
      <x:c r="Q628" s="26" t="str">
        <x:v>Development evidence</x:v>
      </x:c>
      <x:c r="R628" s="26" t="str">
        <x:v>RETAIN AS EVIDENCE — NOT REPLACED BY SUMMARY</x:v>
      </x:c>
      <x:c r="S628" s="26" t="str">
        <x:v>10_Development_Records/Sprint_12/Documentation/S12_PostImplementation_Record.md</x:v>
      </x:c>
      <x:c r="T628" s="26" t="str">
        <x:v>Historical path preserved verbatim; hash calculated from supplied pre-regeneration project.</x:v>
      </x:c>
    </x:row>
    <x:row r="629" ht="30" customHeight="1">
      <x:c r="A629" s="26" t="str">
        <x:v>H-0625</x:v>
      </x:c>
      <x:c r="B629" s="26" t="str">
        <x:v>Development Records</x:v>
      </x:c>
      <x:c r="C629" s="26"/>
      <x:c r="D629" s="26" t="str">
        <x:v>Sprint_12</x:v>
      </x:c>
      <x:c r="E629" s="26" t="str">
        <x:v>Documentation</x:v>
      </x:c>
      <x:c r="F629" s="26" t="str">
        <x:v>Sprint 12</x:v>
      </x:c>
      <x:c r="G629" s="26" t="str">
        <x:v>S12_PreImplementation_Record.md</x:v>
      </x:c>
      <x:c r="H629" s="26" t="str">
        <x:v>Markdown</x:v>
      </x:c>
      <x:c r="I629" s="26" t="str">
        <x:v>Historical document / record</x:v>
      </x:c>
      <x:c r="J629" s="26" t="n">
        <x:v>227</x:v>
      </x:c>
      <x:c r="K629" s="26" t="str">
        <x:v>a1e22ddbc6da2aa854920a24e5eb64d839dece5f479bd3094d51019133472bc1</x:v>
      </x:c>
      <x:c r="L629" s="26"/>
      <x:c r="M629" s="26" t="n">
        <x:v>1</x:v>
      </x:c>
      <x:c r="N629" s="26" t="str">
        <x:v>UNIQUE</x:v>
      </x:c>
      <x:c r="O629" s="26"/>
      <x:c r="P629" s="26"/>
      <x:c r="Q629" s="26" t="str">
        <x:v>Development evidence</x:v>
      </x:c>
      <x:c r="R629" s="26" t="str">
        <x:v>RETAIN AS EVIDENCE — NOT REPLACED BY SUMMARY</x:v>
      </x:c>
      <x:c r="S629" s="26" t="str">
        <x:v>10_Development_Records/Sprint_12/Documentation/S12_PreImplementation_Record.md</x:v>
      </x:c>
      <x:c r="T629" s="26" t="str">
        <x:v>Historical path preserved verbatim; hash calculated from supplied pre-regeneration project.</x:v>
      </x:c>
    </x:row>
    <x:row r="630" ht="30" customHeight="1">
      <x:c r="A630" s="26" t="str">
        <x:v>H-0626</x:v>
      </x:c>
      <x:c r="B630" s="26" t="str">
        <x:v>Development Records</x:v>
      </x:c>
      <x:c r="C630" s="26"/>
      <x:c r="D630" s="26" t="str">
        <x:v>Sprint_12</x:v>
      </x:c>
      <x:c r="E630" s="26" t="str">
        <x:v>Governance</x:v>
      </x:c>
      <x:c r="F630" s="26" t="str">
        <x:v>Sprint 12</x:v>
      </x:c>
      <x:c r="G630" s="26" t="str">
        <x:v>S12_Handoff_Update_Template.md</x:v>
      </x:c>
      <x:c r="H630" s="26" t="str">
        <x:v>Markdown</x:v>
      </x:c>
      <x:c r="I630" s="26" t="str">
        <x:v>Handoff record</x:v>
      </x:c>
      <x:c r="J630" s="26" t="n">
        <x:v>361</x:v>
      </x:c>
      <x:c r="K630" s="26" t="str">
        <x:v>683e99d27f7af84f319fad7c98230f6dec7f9b9eeddf8b4066f750b22c230bd0</x:v>
      </x:c>
      <x:c r="L630" s="26"/>
      <x:c r="M630" s="26" t="n">
        <x:v>1</x:v>
      </x:c>
      <x:c r="N630" s="26" t="str">
        <x:v>UNIQUE</x:v>
      </x:c>
      <x:c r="O630" s="26" t="str">
        <x:v>34</x:v>
      </x:c>
      <x:c r="P630" s="26" t="str">
        <x:v>14, 15, 34</x:v>
      </x:c>
      <x:c r="Q630" s="26" t="str">
        <x:v>Development evidence</x:v>
      </x:c>
      <x:c r="R630" s="26" t="str">
        <x:v>RETAIN AS EVIDENCE — NOT REPLACED BY SUMMARY</x:v>
      </x:c>
      <x:c r="S630" s="26" t="str">
        <x:v>10_Development_Records/Sprint_12/Governance/S12_Handoff_Update_Template.md</x:v>
      </x:c>
      <x:c r="T630" s="26" t="str">
        <x:v>Historical path preserved verbatim; hash calculated from supplied pre-regeneration project.</x:v>
      </x:c>
    </x:row>
    <x:row r="631" ht="30" customHeight="1">
      <x:c r="A631" s="26" t="str">
        <x:v>H-0627</x:v>
      </x:c>
      <x:c r="B631" s="26" t="str">
        <x:v>Development Records</x:v>
      </x:c>
      <x:c r="C631" s="26"/>
      <x:c r="D631" s="26" t="str">
        <x:v>Sprint_12</x:v>
      </x:c>
      <x:c r="E631" s="26" t="str">
        <x:v>Governance</x:v>
      </x:c>
      <x:c r="F631" s="26" t="str">
        <x:v>Sprint 12</x:v>
      </x:c>
      <x:c r="G631" s="26" t="str">
        <x:v>Sprint_12_Charter.md</x:v>
      </x:c>
      <x:c r="H631" s="26" t="str">
        <x:v>Markdown</x:v>
      </x:c>
      <x:c r="I631" s="26" t="str">
        <x:v>Sprint charter</x:v>
      </x:c>
      <x:c r="J631" s="26" t="n">
        <x:v>621</x:v>
      </x:c>
      <x:c r="K631" s="26" t="str">
        <x:v>e5ba484ba7b1ec0c56f438d25c486d65206f2c9517d47ebaf7e946d57f661682</x:v>
      </x:c>
      <x:c r="L631" s="26"/>
      <x:c r="M631" s="26" t="n">
        <x:v>1</x:v>
      </x:c>
      <x:c r="N631" s="26" t="str">
        <x:v>UNIQUE</x:v>
      </x:c>
      <x:c r="O631" s="26"/>
      <x:c r="P631" s="26"/>
      <x:c r="Q631" s="26" t="str">
        <x:v>Development evidence</x:v>
      </x:c>
      <x:c r="R631" s="26" t="str">
        <x:v>RETAIN AS EVIDENCE — NOT REPLACED BY SUMMARY</x:v>
      </x:c>
      <x:c r="S631" s="26" t="str">
        <x:v>10_Development_Records/Sprint_12/Governance/Sprint_12_Charter.md</x:v>
      </x:c>
      <x:c r="T631" s="26" t="str">
        <x:v>Historical path preserved verbatim; hash calculated from supplied pre-regeneration project.</x:v>
      </x:c>
    </x:row>
    <x:row r="632" ht="30" customHeight="1">
      <x:c r="A632" s="26" t="str">
        <x:v>H-0628</x:v>
      </x:c>
      <x:c r="B632" s="26" t="str">
        <x:v>Development Records</x:v>
      </x:c>
      <x:c r="C632" s="26"/>
      <x:c r="D632" s="26" t="str">
        <x:v>Sprint_12</x:v>
      </x:c>
      <x:c r="E632" s="26" t="str">
        <x:v>Governance</x:v>
      </x:c>
      <x:c r="F632" s="26" t="str">
        <x:v>Sprint 12</x:v>
      </x:c>
      <x:c r="G632" s="26" t="str">
        <x:v>Sprint_12_Current_Status.md</x:v>
      </x:c>
      <x:c r="H632" s="26" t="str">
        <x:v>Markdown</x:v>
      </x:c>
      <x:c r="I632" s="26" t="str">
        <x:v>Current status</x:v>
      </x:c>
      <x:c r="J632" s="26" t="n">
        <x:v>548</x:v>
      </x:c>
      <x:c r="K632" s="26" t="str">
        <x:v>abf1580da3fab4d76250d9b370d441fc5f448f23257d745ccdf27f100769e682</x:v>
      </x:c>
      <x:c r="L632" s="26"/>
      <x:c r="M632" s="26" t="n">
        <x:v>1</x:v>
      </x:c>
      <x:c r="N632" s="26" t="str">
        <x:v>UNIQUE</x:v>
      </x:c>
      <x:c r="O632" s="26"/>
      <x:c r="P632" s="26"/>
      <x:c r="Q632" s="26" t="str">
        <x:v>Development evidence</x:v>
      </x:c>
      <x:c r="R632" s="26" t="str">
        <x:v>RETAIN AS EVIDENCE — NOT REPLACED BY SUMMARY</x:v>
      </x:c>
      <x:c r="S632" s="26" t="str">
        <x:v>10_Development_Records/Sprint_12/Governance/Sprint_12_Current_Status.md</x:v>
      </x:c>
      <x:c r="T632" s="26" t="str">
        <x:v>Historical path preserved verbatim; hash calculated from supplied pre-regeneration project.</x:v>
      </x:c>
    </x:row>
    <x:row r="633" ht="30" customHeight="1">
      <x:c r="A633" s="26" t="str">
        <x:v>H-0629</x:v>
      </x:c>
      <x:c r="B633" s="26" t="str">
        <x:v>Development Records</x:v>
      </x:c>
      <x:c r="C633" s="26"/>
      <x:c r="D633" s="26" t="str">
        <x:v>Sprint_12</x:v>
      </x:c>
      <x:c r="E633" s="26" t="str">
        <x:v>QA</x:v>
      </x:c>
      <x:c r="F633" s="26" t="str">
        <x:v>Sprint 12</x:v>
      </x:c>
      <x:c r="G633" s="26" t="str">
        <x:v>S12_Acceptance_Matrix.md</x:v>
      </x:c>
      <x:c r="H633" s="26" t="str">
        <x:v>Markdown</x:v>
      </x:c>
      <x:c r="I633" s="26" t="str">
        <x:v>Acceptance matrix</x:v>
      </x:c>
      <x:c r="J633" s="26" t="n">
        <x:v>661</x:v>
      </x:c>
      <x:c r="K633" s="26" t="str">
        <x:v>9b16fac6f71a8d05203d140a77a1b0c202a5f445556cc663208b04e5c45392b9</x:v>
      </x:c>
      <x:c r="L633" s="26"/>
      <x:c r="M633" s="26" t="n">
        <x:v>1</x:v>
      </x:c>
      <x:c r="N633" s="26" t="str">
        <x:v>UNIQUE</x:v>
      </x:c>
      <x:c r="O633" s="26" t="str">
        <x:v>31</x:v>
      </x:c>
      <x:c r="P633" s="26" t="str">
        <x:v>02, 07, 08, 11, 13, 16, 31</x:v>
      </x:c>
      <x:c r="Q633" s="26" t="str">
        <x:v>Development evidence</x:v>
      </x:c>
      <x:c r="R633" s="26" t="str">
        <x:v>RETAIN AS EVIDENCE — NOT REPLACED BY SUMMARY</x:v>
      </x:c>
      <x:c r="S633" s="26" t="str">
        <x:v>10_Development_Records/Sprint_12/QA/S12_Acceptance_Matrix.md</x:v>
      </x:c>
      <x:c r="T633" s="26" t="str">
        <x:v>Historical path preserved verbatim; hash calculated from supplied pre-regeneration project.</x:v>
      </x:c>
    </x:row>
    <x:row r="634" ht="30" customHeight="1">
      <x:c r="A634" s="26" t="str">
        <x:v>H-0630</x:v>
      </x:c>
      <x:c r="B634" s="26" t="str">
        <x:v>Development Records</x:v>
      </x:c>
      <x:c r="C634" s="26"/>
      <x:c r="D634" s="26" t="str">
        <x:v>Sprint_12</x:v>
      </x:c>
      <x:c r="E634" s="26" t="str">
        <x:v>QA</x:v>
      </x:c>
      <x:c r="F634" s="26" t="str">
        <x:v>Sprint 12</x:v>
      </x:c>
      <x:c r="G634" s="26" t="str">
        <x:v>S12_Build_Execution_Record.md</x:v>
      </x:c>
      <x:c r="H634" s="26" t="str">
        <x:v>Markdown</x:v>
      </x:c>
      <x:c r="I634" s="26" t="str">
        <x:v>Build execution evidence</x:v>
      </x:c>
      <x:c r="J634" s="26" t="n">
        <x:v>431</x:v>
      </x:c>
      <x:c r="K634" s="26" t="str">
        <x:v>e3531d9bc28665f33ed38c176188246308d38bd480be42c1758f848e433f69b4</x:v>
      </x:c>
      <x:c r="L634" s="26"/>
      <x:c r="M634" s="26" t="n">
        <x:v>1</x:v>
      </x:c>
      <x:c r="N634" s="26" t="str">
        <x:v>UNIQUE</x:v>
      </x:c>
      <x:c r="O634" s="26" t="str">
        <x:v>31</x:v>
      </x:c>
      <x:c r="P634" s="26" t="str">
        <x:v>02, 07, 08, 11, 13, 16, 31</x:v>
      </x:c>
      <x:c r="Q634" s="26" t="str">
        <x:v>Development evidence</x:v>
      </x:c>
      <x:c r="R634" s="26" t="str">
        <x:v>RETAIN AS EVIDENCE — NOT REPLACED BY SUMMARY</x:v>
      </x:c>
      <x:c r="S634" s="26" t="str">
        <x:v>10_Development_Records/Sprint_12/QA/S12_Build_Execution_Record.md</x:v>
      </x:c>
      <x:c r="T634" s="26" t="str">
        <x:v>Historical path preserved verbatim; hash calculated from supplied pre-regeneration project.</x:v>
      </x:c>
    </x:row>
    <x:row r="635" ht="30" customHeight="1">
      <x:c r="A635" s="26" t="str">
        <x:v>H-0631</x:v>
      </x:c>
      <x:c r="B635" s="26" t="str">
        <x:v>Development Records</x:v>
      </x:c>
      <x:c r="C635" s="26"/>
      <x:c r="D635" s="26" t="str">
        <x:v>Sprint_12</x:v>
      </x:c>
      <x:c r="E635" s="26" t="str">
        <x:v>QA</x:v>
      </x:c>
      <x:c r="F635" s="26" t="str">
        <x:v>Sprint 12</x:v>
      </x:c>
      <x:c r="G635" s="26" t="str">
        <x:v>S12_Manual_Validation_Record.md</x:v>
      </x:c>
      <x:c r="H635" s="26" t="str">
        <x:v>Markdown</x:v>
      </x:c>
      <x:c r="I635" s="26" t="str">
        <x:v>Historical document / record</x:v>
      </x:c>
      <x:c r="J635" s="26" t="n">
        <x:v>703</x:v>
      </x:c>
      <x:c r="K635" s="26" t="str">
        <x:v>e64f8e7b06c81b96a686a34d6165cf5cc6c2aaeb1114954e858f41f7cbd9cb40</x:v>
      </x:c>
      <x:c r="L635" s="26"/>
      <x:c r="M635" s="26" t="n">
        <x:v>1</x:v>
      </x:c>
      <x:c r="N635" s="26" t="str">
        <x:v>UNIQUE</x:v>
      </x:c>
      <x:c r="O635" s="26"/>
      <x:c r="P635" s="26"/>
      <x:c r="Q635" s="26" t="str">
        <x:v>Development evidence</x:v>
      </x:c>
      <x:c r="R635" s="26" t="str">
        <x:v>RETAIN AS EVIDENCE — NOT REPLACED BY SUMMARY</x:v>
      </x:c>
      <x:c r="S635" s="26" t="str">
        <x:v>10_Development_Records/Sprint_12/QA/S12_Manual_Validation_Record.md</x:v>
      </x:c>
      <x:c r="T635" s="26" t="str">
        <x:v>Historical path preserved verbatim; hash calculated from supplied pre-regeneration project.</x:v>
      </x:c>
    </x:row>
    <x:row r="636" ht="30" customHeight="1">
      <x:c r="A636" s="26" t="str">
        <x:v>H-0632</x:v>
      </x:c>
      <x:c r="B636" s="26" t="str">
        <x:v>Development Records</x:v>
      </x:c>
      <x:c r="C636" s="26"/>
      <x:c r="D636" s="26" t="str">
        <x:v>Sprint_12</x:v>
      </x:c>
      <x:c r="E636" s="26" t="str">
        <x:v>QA</x:v>
      </x:c>
      <x:c r="F636" s="26" t="str">
        <x:v>Sprint 12</x:v>
      </x:c>
      <x:c r="G636" s="26" t="str">
        <x:v>S12_QA_Execution_Record.md</x:v>
      </x:c>
      <x:c r="H636" s="26" t="str">
        <x:v>Markdown</x:v>
      </x:c>
      <x:c r="I636" s="26" t="str">
        <x:v>QA execution evidence</x:v>
      </x:c>
      <x:c r="J636" s="26" t="n">
        <x:v>402</x:v>
      </x:c>
      <x:c r="K636" s="26" t="str">
        <x:v>e53fa611bf41782ecb96b8d41010b2607f3e38223dad09898a92bdfec0f6ba9f</x:v>
      </x:c>
      <x:c r="L636" s="26"/>
      <x:c r="M636" s="26" t="n">
        <x:v>1</x:v>
      </x:c>
      <x:c r="N636" s="26" t="str">
        <x:v>UNIQUE</x:v>
      </x:c>
      <x:c r="O636" s="26" t="str">
        <x:v>31</x:v>
      </x:c>
      <x:c r="P636" s="26" t="str">
        <x:v>02, 07, 08, 11, 13, 16, 31</x:v>
      </x:c>
      <x:c r="Q636" s="26" t="str">
        <x:v>Development evidence</x:v>
      </x:c>
      <x:c r="R636" s="26" t="str">
        <x:v>RETAIN AS EVIDENCE — NOT REPLACED BY SUMMARY</x:v>
      </x:c>
      <x:c r="S636" s="26" t="str">
        <x:v>10_Development_Records/Sprint_12/QA/S12_QA_Execution_Record.md</x:v>
      </x:c>
      <x:c r="T636" s="26" t="str">
        <x:v>Historical path preserved verbatim; hash calculated from supplied pre-regeneration project.</x:v>
      </x:c>
    </x:row>
    <x:row r="637" ht="30" customHeight="1">
      <x:c r="A637" s="26" t="str">
        <x:v>H-0633</x:v>
      </x:c>
      <x:c r="B637" s="26" t="str">
        <x:v>Development Records</x:v>
      </x:c>
      <x:c r="C637" s="26"/>
      <x:c r="D637" s="26" t="str">
        <x:v>Sprint_12</x:v>
      </x:c>
      <x:c r="E637" s="26" t="str">
        <x:v>QA</x:v>
      </x:c>
      <x:c r="F637" s="26" t="str">
        <x:v>Sprint 12</x:v>
      </x:c>
      <x:c r="G637" s="26" t="str">
        <x:v>S12_Test_Plan.md</x:v>
      </x:c>
      <x:c r="H637" s="26" t="str">
        <x:v>Markdown</x:v>
      </x:c>
      <x:c r="I637" s="26" t="str">
        <x:v>Historical document / record</x:v>
      </x:c>
      <x:c r="J637" s="26" t="n">
        <x:v>425</x:v>
      </x:c>
      <x:c r="K637" s="26" t="str">
        <x:v>30bd7ced538009bf712a71eb200d7ac3646cce58b3ee09f0d6cb339ff83055e9</x:v>
      </x:c>
      <x:c r="L637" s="26"/>
      <x:c r="M637" s="26" t="n">
        <x:v>1</x:v>
      </x:c>
      <x:c r="N637" s="26" t="str">
        <x:v>UNIQUE</x:v>
      </x:c>
      <x:c r="O637" s="26"/>
      <x:c r="P637" s="26"/>
      <x:c r="Q637" s="26" t="str">
        <x:v>Development evidence</x:v>
      </x:c>
      <x:c r="R637" s="26" t="str">
        <x:v>RETAIN AS EVIDENCE — NOT REPLACED BY SUMMARY</x:v>
      </x:c>
      <x:c r="S637" s="26" t="str">
        <x:v>10_Development_Records/Sprint_12/QA/S12_Test_Plan.md</x:v>
      </x:c>
      <x:c r="T637" s="26" t="str">
        <x:v>Historical path preserved verbatim; hash calculated from supplied pre-regeneration project.</x:v>
      </x:c>
    </x:row>
    <x:row r="638" ht="30" customHeight="1">
      <x:c r="A638" s="26" t="str">
        <x:v>H-0634</x:v>
      </x:c>
      <x:c r="B638" s="26" t="str">
        <x:v>Development Records</x:v>
      </x:c>
      <x:c r="C638" s="26"/>
      <x:c r="D638" s="26" t="str">
        <x:v>Sprint_12</x:v>
      </x:c>
      <x:c r="E638" s="26" t="str">
        <x:v>QA</x:v>
      </x:c>
      <x:c r="F638" s="26" t="str">
        <x:v>Sprint 12</x:v>
      </x:c>
      <x:c r="G638" s="26" t="str">
        <x:v>S12_Validation_Checklist.md</x:v>
      </x:c>
      <x:c r="H638" s="26" t="str">
        <x:v>Markdown</x:v>
      </x:c>
      <x:c r="I638" s="26" t="str">
        <x:v>Validation checklist</x:v>
      </x:c>
      <x:c r="J638" s="26" t="n">
        <x:v>583</x:v>
      </x:c>
      <x:c r="K638" s="26" t="str">
        <x:v>00cd5c9edcc23a93e48b68df03a8b85c659dae40a91b0523e840c6ca5d043720</x:v>
      </x:c>
      <x:c r="L638" s="26"/>
      <x:c r="M638" s="26" t="n">
        <x:v>1</x:v>
      </x:c>
      <x:c r="N638" s="26" t="str">
        <x:v>UNIQUE</x:v>
      </x:c>
      <x:c r="O638" s="26" t="str">
        <x:v>31</x:v>
      </x:c>
      <x:c r="P638" s="26" t="str">
        <x:v>02, 07, 08, 11, 13, 16, 31</x:v>
      </x:c>
      <x:c r="Q638" s="26" t="str">
        <x:v>Development evidence</x:v>
      </x:c>
      <x:c r="R638" s="26" t="str">
        <x:v>RETAIN AS EVIDENCE — NOT REPLACED BY SUMMARY</x:v>
      </x:c>
      <x:c r="S638" s="26" t="str">
        <x:v>10_Development_Records/Sprint_12/QA/S12_Validation_Checklist.md</x:v>
      </x:c>
      <x:c r="T638" s="26" t="str">
        <x:v>Historical path preserved verbatim; hash calculated from supplied pre-regeneration project.</x:v>
      </x:c>
    </x:row>
    <x:row r="639" ht="30" customHeight="1">
      <x:c r="A639" s="26" t="str">
        <x:v>H-0635</x:v>
      </x:c>
      <x:c r="B639" s="26" t="str">
        <x:v>Development Records</x:v>
      </x:c>
      <x:c r="C639" s="26"/>
      <x:c r="D639" s="26" t="str">
        <x:v>Sprint_12</x:v>
      </x:c>
      <x:c r="E639" s="26" t="str">
        <x:v>Sprint_12_Closure_Report.md</x:v>
      </x:c>
      <x:c r="F639" s="26" t="str">
        <x:v>Sprint 12</x:v>
      </x:c>
      <x:c r="G639" s="26" t="str">
        <x:v>Sprint_12_Closure_Report.md</x:v>
      </x:c>
      <x:c r="H639" s="26" t="str">
        <x:v>Markdown</x:v>
      </x:c>
      <x:c r="I639" s="26" t="str">
        <x:v>Sprint closure</x:v>
      </x:c>
      <x:c r="J639" s="26" t="n">
        <x:v>2034</x:v>
      </x:c>
      <x:c r="K639" s="26" t="str">
        <x:v>e745ab6b920f0910b054d3c2c84b20db3ade4baef82e55a4560a3821febac57f</x:v>
      </x:c>
      <x:c r="L639" s="26"/>
      <x:c r="M639" s="26" t="n">
        <x:v>1</x:v>
      </x:c>
      <x:c r="N639" s="26" t="str">
        <x:v>UNIQUE</x:v>
      </x:c>
      <x:c r="O639" s="26"/>
      <x:c r="P639" s="26"/>
      <x:c r="Q639" s="26" t="str">
        <x:v>Development evidence</x:v>
      </x:c>
      <x:c r="R639" s="26" t="str">
        <x:v>RETAIN AS EVIDENCE — NOT REPLACED BY SUMMARY</x:v>
      </x:c>
      <x:c r="S639" s="26" t="str">
        <x:v>10_Development_Records/Sprint_12/Sprint_12_Closure_Report.md</x:v>
      </x:c>
      <x:c r="T639" s="26" t="str">
        <x:v>Historical path preserved verbatim; hash calculated from supplied pre-regeneration project.</x:v>
      </x:c>
    </x:row>
    <x:row r="640" ht="30" customHeight="1">
      <x:c r="A640" s="26" t="str">
        <x:v>H-0636</x:v>
      </x:c>
      <x:c r="B640" s="26" t="str">
        <x:v>Development Records</x:v>
      </x:c>
      <x:c r="C640" s="26"/>
      <x:c r="D640" s="26" t="str">
        <x:v>Sprint_12</x:v>
      </x:c>
      <x:c r="E640" s="26" t="str">
        <x:v>Traceability</x:v>
      </x:c>
      <x:c r="F640" s="26" t="str">
        <x:v>Sprint 12</x:v>
      </x:c>
      <x:c r="G640" s="26" t="str">
        <x:v>S12_Document_Impact_Working_Matrix.md</x:v>
      </x:c>
      <x:c r="H640" s="26" t="str">
        <x:v>Markdown</x:v>
      </x:c>
      <x:c r="I640" s="26" t="str">
        <x:v>Traceability entry</x:v>
      </x:c>
      <x:c r="J640" s="26" t="n">
        <x:v>430</x:v>
      </x:c>
      <x:c r="K640" s="26" t="str">
        <x:v>ff5ee8f431339179ce4375342d7d5d1f9c5c4909ac4b8c0fa64df2089a160023</x:v>
      </x:c>
      <x:c r="L640" s="26"/>
      <x:c r="M640" s="26" t="n">
        <x:v>1</x:v>
      </x:c>
      <x:c r="N640" s="26" t="str">
        <x:v>UNIQUE</x:v>
      </x:c>
      <x:c r="O640" s="26"/>
      <x:c r="P640" s="26"/>
      <x:c r="Q640" s="26" t="str">
        <x:v>Development evidence</x:v>
      </x:c>
      <x:c r="R640" s="26" t="str">
        <x:v>RETAIN AS EVIDENCE — NOT REPLACED BY SUMMARY</x:v>
      </x:c>
      <x:c r="S640" s="26" t="str">
        <x:v>10_Development_Records/Sprint_12/Traceability/S12_Document_Impact_Working_Matrix.md</x:v>
      </x:c>
      <x:c r="T640" s="26" t="str">
        <x:v>Historical path preserved verbatim; hash calculated from supplied pre-regeneration project.</x:v>
      </x:c>
    </x:row>
    <x:row r="641" ht="30" customHeight="1">
      <x:c r="A641" s="26" t="str">
        <x:v>H-0637</x:v>
      </x:c>
      <x:c r="B641" s="26" t="str">
        <x:v>Development Records</x:v>
      </x:c>
      <x:c r="C641" s="26"/>
      <x:c r="D641" s="26" t="str">
        <x:v>Sprint_12</x:v>
      </x:c>
      <x:c r="E641" s="26" t="str">
        <x:v>Traceability</x:v>
      </x:c>
      <x:c r="F641" s="26" t="str">
        <x:v>Sprint 12</x:v>
      </x:c>
      <x:c r="G641" s="26" t="str">
        <x:v>S12_Traceability_Entries.csv</x:v>
      </x:c>
      <x:c r="H641" s="26" t="str">
        <x:v>CSV</x:v>
      </x:c>
      <x:c r="I641" s="26" t="str">
        <x:v>Traceability entry</x:v>
      </x:c>
      <x:c r="J641" s="26" t="n">
        <x:v>694</x:v>
      </x:c>
      <x:c r="K641" s="26" t="str">
        <x:v>28ba58fff645e9b2dc47c9e7d6629c924e89eff6981a293ff5bb750c41b3ba17</x:v>
      </x:c>
      <x:c r="L641" s="26"/>
      <x:c r="M641" s="26" t="n">
        <x:v>1</x:v>
      </x:c>
      <x:c r="N641" s="26" t="str">
        <x:v>UNIQUE</x:v>
      </x:c>
      <x:c r="O641" s="26"/>
      <x:c r="P641" s="26"/>
      <x:c r="Q641" s="26" t="str">
        <x:v>Development evidence</x:v>
      </x:c>
      <x:c r="R641" s="26" t="str">
        <x:v>RETAIN AS EVIDENCE — NOT REPLACED BY SUMMARY</x:v>
      </x:c>
      <x:c r="S641" s="26" t="str">
        <x:v>10_Development_Records/Sprint_12/Traceability/S12_Traceability_Entries.csv</x:v>
      </x:c>
      <x:c r="T641" s="26" t="str">
        <x:v>Historical path preserved verbatim; hash calculated from supplied pre-regeneration project.</x:v>
      </x:c>
    </x:row>
    <x:row r="642" ht="30" customHeight="1">
      <x:c r="A642" s="26" t="str">
        <x:v>H-0638</x:v>
      </x:c>
      <x:c r="B642" s="26" t="str">
        <x:v>Development Records</x:v>
      </x:c>
      <x:c r="C642" s="26"/>
      <x:c r="D642" s="26" t="str">
        <x:v>Sprint_13</x:v>
      </x:c>
      <x:c r="E642" s="26" t="str">
        <x:v>Architecture</x:v>
      </x:c>
      <x:c r="F642" s="26" t="str">
        <x:v>Sprint 13</x:v>
      </x:c>
      <x:c r="G642" s="26" t="str">
        <x:v>ADR-0051-IntegerMinorUnitMoney.md</x:v>
      </x:c>
      <x:c r="H642" s="26" t="str">
        <x:v>Markdown</x:v>
      </x:c>
      <x:c r="I642" s="26" t="str">
        <x:v>ADR</x:v>
      </x:c>
      <x:c r="J642" s="26" t="n">
        <x:v>173</x:v>
      </x:c>
      <x:c r="K642" s="26" t="str">
        <x:v>73384536261c238a733a2f818844f35d55f135835e6b5c97cdd7dae6d63ca795</x:v>
      </x:c>
      <x:c r="L642" s="26"/>
      <x:c r="M642" s="26" t="n">
        <x:v>1</x:v>
      </x:c>
      <x:c r="N642" s="26" t="str">
        <x:v>UNIQUE</x:v>
      </x:c>
      <x:c r="O642" s="26"/>
      <x:c r="P642" s="26"/>
      <x:c r="Q642" s="26" t="str">
        <x:v>Development evidence</x:v>
      </x:c>
      <x:c r="R642" s="26" t="str">
        <x:v>RETAIN AS EVIDENCE — NOT REPLACED BY SUMMARY</x:v>
      </x:c>
      <x:c r="S642" s="26" t="str">
        <x:v>10_Development_Records/Sprint_13/Architecture/ADR-0051-IntegerMinorUnitMoney.md</x:v>
      </x:c>
      <x:c r="T642" s="26" t="str">
        <x:v>Historical path preserved verbatim; hash calculated from supplied pre-regeneration project.</x:v>
      </x:c>
    </x:row>
    <x:row r="643" ht="30" customHeight="1">
      <x:c r="A643" s="26" t="str">
        <x:v>H-0639</x:v>
      </x:c>
      <x:c r="B643" s="26" t="str">
        <x:v>Development Records</x:v>
      </x:c>
      <x:c r="C643" s="26"/>
      <x:c r="D643" s="26" t="str">
        <x:v>Sprint_13</x:v>
      </x:c>
      <x:c r="E643" s="26" t="str">
        <x:v>Architecture</x:v>
      </x:c>
      <x:c r="F643" s="26" t="str">
        <x:v>Sprint 13</x:v>
      </x:c>
      <x:c r="G643" s="26" t="str">
        <x:v>ADR-0052-SeparateSalePriceCatalog.md</x:v>
      </x:c>
      <x:c r="H643" s="26" t="str">
        <x:v>Markdown</x:v>
      </x:c>
      <x:c r="I643" s="26" t="str">
        <x:v>ADR</x:v>
      </x:c>
      <x:c r="J643" s="26" t="n">
        <x:v>226</x:v>
      </x:c>
      <x:c r="K643" s="26" t="str">
        <x:v>1a0a34e33c5a76ff1cfb80921aa4dbbdf223200b95c8e54bf52e95e1eece4018</x:v>
      </x:c>
      <x:c r="L643" s="26"/>
      <x:c r="M643" s="26" t="n">
        <x:v>1</x:v>
      </x:c>
      <x:c r="N643" s="26" t="str">
        <x:v>UNIQUE</x:v>
      </x:c>
      <x:c r="O643" s="26"/>
      <x:c r="P643" s="26"/>
      <x:c r="Q643" s="26" t="str">
        <x:v>Development evidence</x:v>
      </x:c>
      <x:c r="R643" s="26" t="str">
        <x:v>RETAIN AS EVIDENCE — NOT REPLACED BY SUMMARY</x:v>
      </x:c>
      <x:c r="S643" s="26" t="str">
        <x:v>10_Development_Records/Sprint_13/Architecture/ADR-0052-SeparateSalePriceCatalog.md</x:v>
      </x:c>
      <x:c r="T643" s="26" t="str">
        <x:v>Historical path preserved verbatim; hash calculated from supplied pre-regeneration project.</x:v>
      </x:c>
    </x:row>
    <x:row r="644" ht="30" customHeight="1">
      <x:c r="A644" s="26" t="str">
        <x:v>H-0640</x:v>
      </x:c>
      <x:c r="B644" s="26" t="str">
        <x:v>Development Records</x:v>
      </x:c>
      <x:c r="C644" s="26"/>
      <x:c r="D644" s="26" t="str">
        <x:v>Sprint_13</x:v>
      </x:c>
      <x:c r="E644" s="26" t="str">
        <x:v>Architecture</x:v>
      </x:c>
      <x:c r="F644" s="26" t="str">
        <x:v>Sprint 13</x:v>
      </x:c>
      <x:c r="G644" s="26" t="str">
        <x:v>ADR-0053-QuoteBeforePhysicalCheckout.md</x:v>
      </x:c>
      <x:c r="H644" s="26" t="str">
        <x:v>Markdown</x:v>
      </x:c>
      <x:c r="I644" s="26" t="str">
        <x:v>ADR</x:v>
      </x:c>
      <x:c r="J644" s="26" t="n">
        <x:v>196</x:v>
      </x:c>
      <x:c r="K644" s="26" t="str">
        <x:v>5c71902b6c89d51d471338f30be7fdf34014f33944ada9030b826b0149562d3a</x:v>
      </x:c>
      <x:c r="L644" s="26"/>
      <x:c r="M644" s="26" t="n">
        <x:v>1</x:v>
      </x:c>
      <x:c r="N644" s="26" t="str">
        <x:v>UNIQUE</x:v>
      </x:c>
      <x:c r="O644" s="26"/>
      <x:c r="P644" s="26"/>
      <x:c r="Q644" s="26" t="str">
        <x:v>Development evidence</x:v>
      </x:c>
      <x:c r="R644" s="26" t="str">
        <x:v>RETAIN AS EVIDENCE — NOT REPLACED BY SUMMARY</x:v>
      </x:c>
      <x:c r="S644" s="26" t="str">
        <x:v>10_Development_Records/Sprint_13/Architecture/ADR-0053-QuoteBeforePhysicalCheckout.md</x:v>
      </x:c>
      <x:c r="T644" s="26" t="str">
        <x:v>Historical path preserved verbatim; hash calculated from supplied pre-regeneration project.</x:v>
      </x:c>
    </x:row>
    <x:row r="645" ht="30" customHeight="1">
      <x:c r="A645" s="26" t="str">
        <x:v>H-0641</x:v>
      </x:c>
      <x:c r="B645" s="26" t="str">
        <x:v>Development Records</x:v>
      </x:c>
      <x:c r="C645" s="26"/>
      <x:c r="D645" s="26" t="str">
        <x:v>Sprint_13</x:v>
      </x:c>
      <x:c r="E645" s="26" t="str">
        <x:v>Architecture</x:v>
      </x:c>
      <x:c r="F645" s="26" t="str">
        <x:v>Sprint 13</x:v>
      </x:c>
      <x:c r="G645" s="26" t="str">
        <x:v>ADR-0054-IdempotentEconomyLedger.md</x:v>
      </x:c>
      <x:c r="H645" s="26" t="str">
        <x:v>Markdown</x:v>
      </x:c>
      <x:c r="I645" s="26" t="str">
        <x:v>ADR</x:v>
      </x:c>
      <x:c r="J645" s="26" t="n">
        <x:v>158</x:v>
      </x:c>
      <x:c r="K645" s="26" t="str">
        <x:v>f52b16bb87159d2616add98a3c44442ddfb65e0fe5e50fa4fea29fee33215246</x:v>
      </x:c>
      <x:c r="L645" s="26"/>
      <x:c r="M645" s="26" t="n">
        <x:v>1</x:v>
      </x:c>
      <x:c r="N645" s="26" t="str">
        <x:v>UNIQUE</x:v>
      </x:c>
      <x:c r="O645" s="26"/>
      <x:c r="P645" s="26"/>
      <x:c r="Q645" s="26" t="str">
        <x:v>Development evidence</x:v>
      </x:c>
      <x:c r="R645" s="26" t="str">
        <x:v>RETAIN AS EVIDENCE — NOT REPLACED BY SUMMARY</x:v>
      </x:c>
      <x:c r="S645" s="26" t="str">
        <x:v>10_Development_Records/Sprint_13/Architecture/ADR-0054-IdempotentEconomyLedger.md</x:v>
      </x:c>
      <x:c r="T645" s="26" t="str">
        <x:v>Historical path preserved verbatim; hash calculated from supplied pre-regeneration project.</x:v>
      </x:c>
    </x:row>
    <x:row r="646" ht="30" customHeight="1">
      <x:c r="A646" s="26" t="str">
        <x:v>H-0642</x:v>
      </x:c>
      <x:c r="B646" s="26" t="str">
        <x:v>Development Records</x:v>
      </x:c>
      <x:c r="C646" s="26"/>
      <x:c r="D646" s="26" t="str">
        <x:v>Sprint_13</x:v>
      </x:c>
      <x:c r="E646" s="26" t="str">
        <x:v>Architecture</x:v>
      </x:c>
      <x:c r="F646" s="26" t="str">
        <x:v>Sprint 13</x:v>
      </x:c>
      <x:c r="G646" s="26" t="str">
        <x:v>ADR-0055-ClosedDayEconomicResult.md</x:v>
      </x:c>
      <x:c r="H646" s="26" t="str">
        <x:v>Markdown</x:v>
      </x:c>
      <x:c r="I646" s="26" t="str">
        <x:v>ADR</x:v>
      </x:c>
      <x:c r="J646" s="26" t="n">
        <x:v>189</x:v>
      </x:c>
      <x:c r="K646" s="26" t="str">
        <x:v>d0445e9824c68ff49cdc6836a4809e56bc768dfeb1f504dd17f6207db76ef0af</x:v>
      </x:c>
      <x:c r="L646" s="26"/>
      <x:c r="M646" s="26" t="n">
        <x:v>1</x:v>
      </x:c>
      <x:c r="N646" s="26" t="str">
        <x:v>UNIQUE</x:v>
      </x:c>
      <x:c r="O646" s="26"/>
      <x:c r="P646" s="26"/>
      <x:c r="Q646" s="26" t="str">
        <x:v>Development evidence</x:v>
      </x:c>
      <x:c r="R646" s="26" t="str">
        <x:v>RETAIN AS EVIDENCE — NOT REPLACED BY SUMMARY</x:v>
      </x:c>
      <x:c r="S646" s="26" t="str">
        <x:v>10_Development_Records/Sprint_13/Architecture/ADR-0055-ClosedDayEconomicResult.md</x:v>
      </x:c>
      <x:c r="T646" s="26" t="str">
        <x:v>Historical path preserved verbatim; hash calculated from supplied pre-regeneration project.</x:v>
      </x:c>
    </x:row>
    <x:row r="647" ht="30" customHeight="1">
      <x:c r="A647" s="26" t="str">
        <x:v>H-0643</x:v>
      </x:c>
      <x:c r="B647" s="26" t="str">
        <x:v>Development Records</x:v>
      </x:c>
      <x:c r="C647" s="26"/>
      <x:c r="D647" s="26" t="str">
        <x:v>Sprint_13</x:v>
      </x:c>
      <x:c r="E647" s="26" t="str">
        <x:v>Documentation</x:v>
      </x:c>
      <x:c r="F647" s="26" t="str">
        <x:v>Sprint 13</x:v>
      </x:c>
      <x:c r="G647" s="26" t="str">
        <x:v>S13_PostImplementation_Record.md</x:v>
      </x:c>
      <x:c r="H647" s="26" t="str">
        <x:v>Markdown</x:v>
      </x:c>
      <x:c r="I647" s="26" t="str">
        <x:v>Historical document / record</x:v>
      </x:c>
      <x:c r="J647" s="26" t="n">
        <x:v>624</x:v>
      </x:c>
      <x:c r="K647" s="26" t="str">
        <x:v>0b5d8860dc3625f95cd33eb8e44f3aeb551d887271c034e77a35481ed40b1799</x:v>
      </x:c>
      <x:c r="L647" s="26"/>
      <x:c r="M647" s="26" t="n">
        <x:v>1</x:v>
      </x:c>
      <x:c r="N647" s="26" t="str">
        <x:v>UNIQUE</x:v>
      </x:c>
      <x:c r="O647" s="26"/>
      <x:c r="P647" s="26"/>
      <x:c r="Q647" s="26" t="str">
        <x:v>Development evidence</x:v>
      </x:c>
      <x:c r="R647" s="26" t="str">
        <x:v>RETAIN AS EVIDENCE — NOT REPLACED BY SUMMARY</x:v>
      </x:c>
      <x:c r="S647" s="26" t="str">
        <x:v>10_Development_Records/Sprint_13/Documentation/S13_PostImplementation_Record.md</x:v>
      </x:c>
      <x:c r="T647" s="26" t="str">
        <x:v>Historical path preserved verbatim; hash calculated from supplied pre-regeneration project.</x:v>
      </x:c>
    </x:row>
    <x:row r="648" ht="30" customHeight="1">
      <x:c r="A648" s="26" t="str">
        <x:v>H-0644</x:v>
      </x:c>
      <x:c r="B648" s="26" t="str">
        <x:v>Development Records</x:v>
      </x:c>
      <x:c r="C648" s="26"/>
      <x:c r="D648" s="26" t="str">
        <x:v>Sprint_13</x:v>
      </x:c>
      <x:c r="E648" s="26" t="str">
        <x:v>Documentation</x:v>
      </x:c>
      <x:c r="F648" s="26" t="str">
        <x:v>Sprint 13</x:v>
      </x:c>
      <x:c r="G648" s="26" t="str">
        <x:v>S13_PreImplementation_Record.md</x:v>
      </x:c>
      <x:c r="H648" s="26" t="str">
        <x:v>Markdown</x:v>
      </x:c>
      <x:c r="I648" s="26" t="str">
        <x:v>Historical document / record</x:v>
      </x:c>
      <x:c r="J648" s="26" t="n">
        <x:v>329</x:v>
      </x:c>
      <x:c r="K648" s="26" t="str">
        <x:v>d631432d38d193ee490df5d6e8843500c0985e058354977a544cc6f6e1b45129</x:v>
      </x:c>
      <x:c r="L648" s="26"/>
      <x:c r="M648" s="26" t="n">
        <x:v>1</x:v>
      </x:c>
      <x:c r="N648" s="26" t="str">
        <x:v>UNIQUE</x:v>
      </x:c>
      <x:c r="O648" s="26"/>
      <x:c r="P648" s="26"/>
      <x:c r="Q648" s="26" t="str">
        <x:v>Development evidence</x:v>
      </x:c>
      <x:c r="R648" s="26" t="str">
        <x:v>RETAIN AS EVIDENCE — NOT REPLACED BY SUMMARY</x:v>
      </x:c>
      <x:c r="S648" s="26" t="str">
        <x:v>10_Development_Records/Sprint_13/Documentation/S13_PreImplementation_Record.md</x:v>
      </x:c>
      <x:c r="T648" s="26" t="str">
        <x:v>Historical path preserved verbatim; hash calculated from supplied pre-regeneration project.</x:v>
      </x:c>
    </x:row>
    <x:row r="649" ht="30" customHeight="1">
      <x:c r="A649" s="26" t="str">
        <x:v>H-0645</x:v>
      </x:c>
      <x:c r="B649" s="26" t="str">
        <x:v>Development Records</x:v>
      </x:c>
      <x:c r="C649" s="26"/>
      <x:c r="D649" s="26" t="str">
        <x:v>Sprint_13</x:v>
      </x:c>
      <x:c r="E649" s="26" t="str">
        <x:v>Governance</x:v>
      </x:c>
      <x:c r="F649" s="26" t="str">
        <x:v>Sprint 13</x:v>
      </x:c>
      <x:c r="G649" s="26" t="str">
        <x:v>S13_Handoff_Update_Template.md</x:v>
      </x:c>
      <x:c r="H649" s="26" t="str">
        <x:v>Markdown</x:v>
      </x:c>
      <x:c r="I649" s="26" t="str">
        <x:v>Handoff record</x:v>
      </x:c>
      <x:c r="J649" s="26" t="n">
        <x:v>431</x:v>
      </x:c>
      <x:c r="K649" s="26" t="str">
        <x:v>7d91ce81d3567cd4f392f6d9784c7415d628eec2b65e7468ea5e1b694af743f8</x:v>
      </x:c>
      <x:c r="L649" s="26"/>
      <x:c r="M649" s="26" t="n">
        <x:v>1</x:v>
      </x:c>
      <x:c r="N649" s="26" t="str">
        <x:v>UNIQUE</x:v>
      </x:c>
      <x:c r="O649" s="26" t="str">
        <x:v>34</x:v>
      </x:c>
      <x:c r="P649" s="26" t="str">
        <x:v>14, 15, 34</x:v>
      </x:c>
      <x:c r="Q649" s="26" t="str">
        <x:v>Development evidence</x:v>
      </x:c>
      <x:c r="R649" s="26" t="str">
        <x:v>RETAIN AS EVIDENCE — NOT REPLACED BY SUMMARY</x:v>
      </x:c>
      <x:c r="S649" s="26" t="str">
        <x:v>10_Development_Records/Sprint_13/Governance/S13_Handoff_Update_Template.md</x:v>
      </x:c>
      <x:c r="T649" s="26" t="str">
        <x:v>Historical path preserved verbatim; hash calculated from supplied pre-regeneration project.</x:v>
      </x:c>
    </x:row>
    <x:row r="650" ht="30" customHeight="1">
      <x:c r="A650" s="26" t="str">
        <x:v>H-0646</x:v>
      </x:c>
      <x:c r="B650" s="26" t="str">
        <x:v>Development Records</x:v>
      </x:c>
      <x:c r="C650" s="26"/>
      <x:c r="D650" s="26" t="str">
        <x:v>Sprint_13</x:v>
      </x:c>
      <x:c r="E650" s="26" t="str">
        <x:v>Governance</x:v>
      </x:c>
      <x:c r="F650" s="26" t="str">
        <x:v>Sprint 13</x:v>
      </x:c>
      <x:c r="G650" s="26" t="str">
        <x:v>Sprint_13_Charter.md</x:v>
      </x:c>
      <x:c r="H650" s="26" t="str">
        <x:v>Markdown</x:v>
      </x:c>
      <x:c r="I650" s="26" t="str">
        <x:v>Sprint charter</x:v>
      </x:c>
      <x:c r="J650" s="26" t="n">
        <x:v>636</x:v>
      </x:c>
      <x:c r="K650" s="26" t="str">
        <x:v>98af5faf1a967930faba7dc0bc475610d7a230dbd64ff7eda115aff7eed70b58</x:v>
      </x:c>
      <x:c r="L650" s="26"/>
      <x:c r="M650" s="26" t="n">
        <x:v>1</x:v>
      </x:c>
      <x:c r="N650" s="26" t="str">
        <x:v>UNIQUE</x:v>
      </x:c>
      <x:c r="O650" s="26"/>
      <x:c r="P650" s="26"/>
      <x:c r="Q650" s="26" t="str">
        <x:v>Development evidence</x:v>
      </x:c>
      <x:c r="R650" s="26" t="str">
        <x:v>RETAIN AS EVIDENCE — NOT REPLACED BY SUMMARY</x:v>
      </x:c>
      <x:c r="S650" s="26" t="str">
        <x:v>10_Development_Records/Sprint_13/Governance/Sprint_13_Charter.md</x:v>
      </x:c>
      <x:c r="T650" s="26" t="str">
        <x:v>Historical path preserved verbatim; hash calculated from supplied pre-regeneration project.</x:v>
      </x:c>
    </x:row>
    <x:row r="651" ht="30" customHeight="1">
      <x:c r="A651" s="26" t="str">
        <x:v>H-0647</x:v>
      </x:c>
      <x:c r="B651" s="26" t="str">
        <x:v>Development Records</x:v>
      </x:c>
      <x:c r="C651" s="26"/>
      <x:c r="D651" s="26" t="str">
        <x:v>Sprint_13</x:v>
      </x:c>
      <x:c r="E651" s="26" t="str">
        <x:v>Governance</x:v>
      </x:c>
      <x:c r="F651" s="26" t="str">
        <x:v>Sprint 13</x:v>
      </x:c>
      <x:c r="G651" s="26" t="str">
        <x:v>Sprint_13_Current_Status.md</x:v>
      </x:c>
      <x:c r="H651" s="26" t="str">
        <x:v>Markdown</x:v>
      </x:c>
      <x:c r="I651" s="26" t="str">
        <x:v>Current status</x:v>
      </x:c>
      <x:c r="J651" s="26" t="n">
        <x:v>684</x:v>
      </x:c>
      <x:c r="K651" s="26" t="str">
        <x:v>11fa2c9c81e37474d7bed83b95243be46a1a1015d81fd663df3cdaf55eea84e8</x:v>
      </x:c>
      <x:c r="L651" s="26"/>
      <x:c r="M651" s="26" t="n">
        <x:v>1</x:v>
      </x:c>
      <x:c r="N651" s="26" t="str">
        <x:v>UNIQUE</x:v>
      </x:c>
      <x:c r="O651" s="26"/>
      <x:c r="P651" s="26"/>
      <x:c r="Q651" s="26" t="str">
        <x:v>Development evidence</x:v>
      </x:c>
      <x:c r="R651" s="26" t="str">
        <x:v>RETAIN AS EVIDENCE — NOT REPLACED BY SUMMARY</x:v>
      </x:c>
      <x:c r="S651" s="26" t="str">
        <x:v>10_Development_Records/Sprint_13/Governance/Sprint_13_Current_Status.md</x:v>
      </x:c>
      <x:c r="T651" s="26" t="str">
        <x:v>Historical path preserved verbatim; hash calculated from supplied pre-regeneration project.</x:v>
      </x:c>
    </x:row>
    <x:row r="652" ht="30" customHeight="1">
      <x:c r="A652" s="26" t="str">
        <x:v>H-0648</x:v>
      </x:c>
      <x:c r="B652" s="26" t="str">
        <x:v>Development Records</x:v>
      </x:c>
      <x:c r="C652" s="26"/>
      <x:c r="D652" s="26" t="str">
        <x:v>Sprint_13</x:v>
      </x:c>
      <x:c r="E652" s="26" t="str">
        <x:v>QA</x:v>
      </x:c>
      <x:c r="F652" s="26" t="str">
        <x:v>Sprint 13</x:v>
      </x:c>
      <x:c r="G652" s="26" t="str">
        <x:v>S13_Acceptance_Matrix.md</x:v>
      </x:c>
      <x:c r="H652" s="26" t="str">
        <x:v>Markdown</x:v>
      </x:c>
      <x:c r="I652" s="26" t="str">
        <x:v>Acceptance matrix</x:v>
      </x:c>
      <x:c r="J652" s="26" t="n">
        <x:v>693</x:v>
      </x:c>
      <x:c r="K652" s="26" t="str">
        <x:v>e7f134005949b363e84fadb28d740ff268adb3c42de47070fbcc968862319f2b</x:v>
      </x:c>
      <x:c r="L652" s="26"/>
      <x:c r="M652" s="26" t="n">
        <x:v>1</x:v>
      </x:c>
      <x:c r="N652" s="26" t="str">
        <x:v>UNIQUE</x:v>
      </x:c>
      <x:c r="O652" s="26" t="str">
        <x:v>31</x:v>
      </x:c>
      <x:c r="P652" s="26" t="str">
        <x:v>02, 07, 08, 11, 13, 16, 31</x:v>
      </x:c>
      <x:c r="Q652" s="26" t="str">
        <x:v>Development evidence</x:v>
      </x:c>
      <x:c r="R652" s="26" t="str">
        <x:v>RETAIN AS EVIDENCE — NOT REPLACED BY SUMMARY</x:v>
      </x:c>
      <x:c r="S652" s="26" t="str">
        <x:v>10_Development_Records/Sprint_13/QA/S13_Acceptance_Matrix.md</x:v>
      </x:c>
      <x:c r="T652" s="26" t="str">
        <x:v>Historical path preserved verbatim; hash calculated from supplied pre-regeneration project.</x:v>
      </x:c>
    </x:row>
    <x:row r="653" ht="30" customHeight="1">
      <x:c r="A653" s="26" t="str">
        <x:v>H-0649</x:v>
      </x:c>
      <x:c r="B653" s="26" t="str">
        <x:v>Development Records</x:v>
      </x:c>
      <x:c r="C653" s="26"/>
      <x:c r="D653" s="26" t="str">
        <x:v>Sprint_13</x:v>
      </x:c>
      <x:c r="E653" s="26" t="str">
        <x:v>QA</x:v>
      </x:c>
      <x:c r="F653" s="26" t="str">
        <x:v>Sprint 13</x:v>
      </x:c>
      <x:c r="G653" s="26" t="str">
        <x:v>S13_Build_Execution_Record.md</x:v>
      </x:c>
      <x:c r="H653" s="26" t="str">
        <x:v>Markdown</x:v>
      </x:c>
      <x:c r="I653" s="26" t="str">
        <x:v>Build execution evidence</x:v>
      </x:c>
      <x:c r="J653" s="26" t="n">
        <x:v>493</x:v>
      </x:c>
      <x:c r="K653" s="26" t="str">
        <x:v>887232c7346268536f197fc6069ad7f518735c2f51c302f0d27e6c2625cd005b</x:v>
      </x:c>
      <x:c r="L653" s="26"/>
      <x:c r="M653" s="26" t="n">
        <x:v>1</x:v>
      </x:c>
      <x:c r="N653" s="26" t="str">
        <x:v>UNIQUE</x:v>
      </x:c>
      <x:c r="O653" s="26" t="str">
        <x:v>31</x:v>
      </x:c>
      <x:c r="P653" s="26" t="str">
        <x:v>02, 07, 08, 11, 13, 16, 31</x:v>
      </x:c>
      <x:c r="Q653" s="26" t="str">
        <x:v>Development evidence</x:v>
      </x:c>
      <x:c r="R653" s="26" t="str">
        <x:v>RETAIN AS EVIDENCE — NOT REPLACED BY SUMMARY</x:v>
      </x:c>
      <x:c r="S653" s="26" t="str">
        <x:v>10_Development_Records/Sprint_13/QA/S13_Build_Execution_Record.md</x:v>
      </x:c>
      <x:c r="T653" s="26" t="str">
        <x:v>Historical path preserved verbatim; hash calculated from supplied pre-regeneration project.</x:v>
      </x:c>
    </x:row>
    <x:row r="654" ht="30" customHeight="1">
      <x:c r="A654" s="26" t="str">
        <x:v>H-0650</x:v>
      </x:c>
      <x:c r="B654" s="26" t="str">
        <x:v>Development Records</x:v>
      </x:c>
      <x:c r="C654" s="26"/>
      <x:c r="D654" s="26" t="str">
        <x:v>Sprint_13</x:v>
      </x:c>
      <x:c r="E654" s="26" t="str">
        <x:v>QA</x:v>
      </x:c>
      <x:c r="F654" s="26" t="str">
        <x:v>Sprint 13</x:v>
      </x:c>
      <x:c r="G654" s="26" t="str">
        <x:v>S13_Manual_Validation_Record.md</x:v>
      </x:c>
      <x:c r="H654" s="26" t="str">
        <x:v>Markdown</x:v>
      </x:c>
      <x:c r="I654" s="26" t="str">
        <x:v>Historical document / record</x:v>
      </x:c>
      <x:c r="J654" s="26" t="n">
        <x:v>726</x:v>
      </x:c>
      <x:c r="K654" s="26" t="str">
        <x:v>debd552a2298fb05bf6cf48f5030ad4531e4ec02a2c030467e9d7fcb390cef99</x:v>
      </x:c>
      <x:c r="L654" s="26"/>
      <x:c r="M654" s="26" t="n">
        <x:v>1</x:v>
      </x:c>
      <x:c r="N654" s="26" t="str">
        <x:v>UNIQUE</x:v>
      </x:c>
      <x:c r="O654" s="26"/>
      <x:c r="P654" s="26"/>
      <x:c r="Q654" s="26" t="str">
        <x:v>Development evidence</x:v>
      </x:c>
      <x:c r="R654" s="26" t="str">
        <x:v>RETAIN AS EVIDENCE — NOT REPLACED BY SUMMARY</x:v>
      </x:c>
      <x:c r="S654" s="26" t="str">
        <x:v>10_Development_Records/Sprint_13/QA/S13_Manual_Validation_Record.md</x:v>
      </x:c>
      <x:c r="T654" s="26" t="str">
        <x:v>Historical path preserved verbatim; hash calculated from supplied pre-regeneration project.</x:v>
      </x:c>
    </x:row>
    <x:row r="655" ht="30" customHeight="1">
      <x:c r="A655" s="26" t="str">
        <x:v>H-0651</x:v>
      </x:c>
      <x:c r="B655" s="26" t="str">
        <x:v>Development Records</x:v>
      </x:c>
      <x:c r="C655" s="26"/>
      <x:c r="D655" s="26" t="str">
        <x:v>Sprint_13</x:v>
      </x:c>
      <x:c r="E655" s="26" t="str">
        <x:v>QA</x:v>
      </x:c>
      <x:c r="F655" s="26" t="str">
        <x:v>Sprint 13</x:v>
      </x:c>
      <x:c r="G655" s="26" t="str">
        <x:v>S13_QA_Execution_Record.md</x:v>
      </x:c>
      <x:c r="H655" s="26" t="str">
        <x:v>Markdown</x:v>
      </x:c>
      <x:c r="I655" s="26" t="str">
        <x:v>QA execution evidence</x:v>
      </x:c>
      <x:c r="J655" s="26" t="n">
        <x:v>456</x:v>
      </x:c>
      <x:c r="K655" s="26" t="str">
        <x:v>a0ecdfbd34ae6a3e96f2ff4b19602fcfdad3628da0f4647a96631aecce9bd9e0</x:v>
      </x:c>
      <x:c r="L655" s="26"/>
      <x:c r="M655" s="26" t="n">
        <x:v>1</x:v>
      </x:c>
      <x:c r="N655" s="26" t="str">
        <x:v>UNIQUE</x:v>
      </x:c>
      <x:c r="O655" s="26" t="str">
        <x:v>31</x:v>
      </x:c>
      <x:c r="P655" s="26" t="str">
        <x:v>02, 07, 08, 11, 13, 16, 31</x:v>
      </x:c>
      <x:c r="Q655" s="26" t="str">
        <x:v>Development evidence</x:v>
      </x:c>
      <x:c r="R655" s="26" t="str">
        <x:v>RETAIN AS EVIDENCE — NOT REPLACED BY SUMMARY</x:v>
      </x:c>
      <x:c r="S655" s="26" t="str">
        <x:v>10_Development_Records/Sprint_13/QA/S13_QA_Execution_Record.md</x:v>
      </x:c>
      <x:c r="T655" s="26" t="str">
        <x:v>Historical path preserved verbatim; hash calculated from supplied pre-regeneration project.</x:v>
      </x:c>
    </x:row>
    <x:row r="656" ht="30" customHeight="1">
      <x:c r="A656" s="26" t="str">
        <x:v>H-0652</x:v>
      </x:c>
      <x:c r="B656" s="26" t="str">
        <x:v>Development Records</x:v>
      </x:c>
      <x:c r="C656" s="26"/>
      <x:c r="D656" s="26" t="str">
        <x:v>Sprint_13</x:v>
      </x:c>
      <x:c r="E656" s="26" t="str">
        <x:v>QA</x:v>
      </x:c>
      <x:c r="F656" s="26" t="str">
        <x:v>Sprint 13</x:v>
      </x:c>
      <x:c r="G656" s="26" t="str">
        <x:v>S13_Test_Plan.md</x:v>
      </x:c>
      <x:c r="H656" s="26" t="str">
        <x:v>Markdown</x:v>
      </x:c>
      <x:c r="I656" s="26" t="str">
        <x:v>Historical document / record</x:v>
      </x:c>
      <x:c r="J656" s="26" t="n">
        <x:v>432</x:v>
      </x:c>
      <x:c r="K656" s="26" t="str">
        <x:v>ae9f583cfca7e51d7ba01a00dc335de7a5dd31b86e1532321b6a1888d30ada25</x:v>
      </x:c>
      <x:c r="L656" s="26"/>
      <x:c r="M656" s="26" t="n">
        <x:v>1</x:v>
      </x:c>
      <x:c r="N656" s="26" t="str">
        <x:v>UNIQUE</x:v>
      </x:c>
      <x:c r="O656" s="26"/>
      <x:c r="P656" s="26"/>
      <x:c r="Q656" s="26" t="str">
        <x:v>Development evidence</x:v>
      </x:c>
      <x:c r="R656" s="26" t="str">
        <x:v>RETAIN AS EVIDENCE — NOT REPLACED BY SUMMARY</x:v>
      </x:c>
      <x:c r="S656" s="26" t="str">
        <x:v>10_Development_Records/Sprint_13/QA/S13_Test_Plan.md</x:v>
      </x:c>
      <x:c r="T656" s="26" t="str">
        <x:v>Historical path preserved verbatim; hash calculated from supplied pre-regeneration project.</x:v>
      </x:c>
    </x:row>
    <x:row r="657" ht="30" customHeight="1">
      <x:c r="A657" s="26" t="str">
        <x:v>H-0653</x:v>
      </x:c>
      <x:c r="B657" s="26" t="str">
        <x:v>Development Records</x:v>
      </x:c>
      <x:c r="C657" s="26"/>
      <x:c r="D657" s="26" t="str">
        <x:v>Sprint_13</x:v>
      </x:c>
      <x:c r="E657" s="26" t="str">
        <x:v>QA</x:v>
      </x:c>
      <x:c r="F657" s="26" t="str">
        <x:v>Sprint 13</x:v>
      </x:c>
      <x:c r="G657" s="26" t="str">
        <x:v>S13_Validation_Checklist.md</x:v>
      </x:c>
      <x:c r="H657" s="26" t="str">
        <x:v>Markdown</x:v>
      </x:c>
      <x:c r="I657" s="26" t="str">
        <x:v>Validation checklist</x:v>
      </x:c>
      <x:c r="J657" s="26" t="n">
        <x:v>525</x:v>
      </x:c>
      <x:c r="K657" s="26" t="str">
        <x:v>f758216e28d991ede9e414acc767c6a118c4c3e5960de13d4f8f7a42e35bcbc1</x:v>
      </x:c>
      <x:c r="L657" s="26"/>
      <x:c r="M657" s="26" t="n">
        <x:v>1</x:v>
      </x:c>
      <x:c r="N657" s="26" t="str">
        <x:v>UNIQUE</x:v>
      </x:c>
      <x:c r="O657" s="26" t="str">
        <x:v>31</x:v>
      </x:c>
      <x:c r="P657" s="26" t="str">
        <x:v>02, 07, 08, 11, 13, 16, 31</x:v>
      </x:c>
      <x:c r="Q657" s="26" t="str">
        <x:v>Development evidence</x:v>
      </x:c>
      <x:c r="R657" s="26" t="str">
        <x:v>RETAIN AS EVIDENCE — NOT REPLACED BY SUMMARY</x:v>
      </x:c>
      <x:c r="S657" s="26" t="str">
        <x:v>10_Development_Records/Sprint_13/QA/S13_Validation_Checklist.md</x:v>
      </x:c>
      <x:c r="T657" s="26" t="str">
        <x:v>Historical path preserved verbatim; hash calculated from supplied pre-regeneration project.</x:v>
      </x:c>
    </x:row>
    <x:row r="658" ht="30" customHeight="1">
      <x:c r="A658" s="26" t="str">
        <x:v>H-0654</x:v>
      </x:c>
      <x:c r="B658" s="26" t="str">
        <x:v>Development Records</x:v>
      </x:c>
      <x:c r="C658" s="26"/>
      <x:c r="D658" s="26" t="str">
        <x:v>Sprint_13</x:v>
      </x:c>
      <x:c r="E658" s="26" t="str">
        <x:v>Sprint_13_Closure_Report.md</x:v>
      </x:c>
      <x:c r="F658" s="26" t="str">
        <x:v>Sprint 13</x:v>
      </x:c>
      <x:c r="G658" s="26" t="str">
        <x:v>Sprint_13_Closure_Report.md</x:v>
      </x:c>
      <x:c r="H658" s="26" t="str">
        <x:v>Markdown</x:v>
      </x:c>
      <x:c r="I658" s="26" t="str">
        <x:v>Sprint closure</x:v>
      </x:c>
      <x:c r="J658" s="26" t="n">
        <x:v>3546</x:v>
      </x:c>
      <x:c r="K658" s="26" t="str">
        <x:v>a8c1ad0958a4fc002aa2f13f47a7cfcf5b00d5a0f050a078fa78e96a9027d8fa</x:v>
      </x:c>
      <x:c r="L658" s="26"/>
      <x:c r="M658" s="26" t="n">
        <x:v>1</x:v>
      </x:c>
      <x:c r="N658" s="26" t="str">
        <x:v>UNIQUE</x:v>
      </x:c>
      <x:c r="O658" s="26"/>
      <x:c r="P658" s="26"/>
      <x:c r="Q658" s="26" t="str">
        <x:v>Development evidence</x:v>
      </x:c>
      <x:c r="R658" s="26" t="str">
        <x:v>RETAIN AS EVIDENCE — NOT REPLACED BY SUMMARY</x:v>
      </x:c>
      <x:c r="S658" s="26" t="str">
        <x:v>10_Development_Records/Sprint_13/Sprint_13_Closure_Report.md</x:v>
      </x:c>
      <x:c r="T658" s="26" t="str">
        <x:v>Historical path preserved verbatim; hash calculated from supplied pre-regeneration project.</x:v>
      </x:c>
    </x:row>
    <x:row r="659" ht="30" customHeight="1">
      <x:c r="A659" s="26" t="str">
        <x:v>H-0655</x:v>
      </x:c>
      <x:c r="B659" s="26" t="str">
        <x:v>Development Records</x:v>
      </x:c>
      <x:c r="C659" s="26"/>
      <x:c r="D659" s="26" t="str">
        <x:v>Sprint_13</x:v>
      </x:c>
      <x:c r="E659" s="26" t="str">
        <x:v>Traceability</x:v>
      </x:c>
      <x:c r="F659" s="26" t="str">
        <x:v>Sprint 13</x:v>
      </x:c>
      <x:c r="G659" s="26" t="str">
        <x:v>S13_Document_Impact_Working_Matrix.md</x:v>
      </x:c>
      <x:c r="H659" s="26" t="str">
        <x:v>Markdown</x:v>
      </x:c>
      <x:c r="I659" s="26" t="str">
        <x:v>Traceability entry</x:v>
      </x:c>
      <x:c r="J659" s="26" t="n">
        <x:v>437</x:v>
      </x:c>
      <x:c r="K659" s="26" t="str">
        <x:v>645cf1e05f326d91aaff4a24f80de33ac438c23310dc4ac18c19f7b9ddefbdc1</x:v>
      </x:c>
      <x:c r="L659" s="26"/>
      <x:c r="M659" s="26" t="n">
        <x:v>1</x:v>
      </x:c>
      <x:c r="N659" s="26" t="str">
        <x:v>UNIQUE</x:v>
      </x:c>
      <x:c r="O659" s="26"/>
      <x:c r="P659" s="26"/>
      <x:c r="Q659" s="26" t="str">
        <x:v>Development evidence</x:v>
      </x:c>
      <x:c r="R659" s="26" t="str">
        <x:v>RETAIN AS EVIDENCE — NOT REPLACED BY SUMMARY</x:v>
      </x:c>
      <x:c r="S659" s="26" t="str">
        <x:v>10_Development_Records/Sprint_13/Traceability/S13_Document_Impact_Working_Matrix.md</x:v>
      </x:c>
      <x:c r="T659" s="26" t="str">
        <x:v>Historical path preserved verbatim; hash calculated from supplied pre-regeneration project.</x:v>
      </x:c>
    </x:row>
    <x:row r="660" ht="30" customHeight="1">
      <x:c r="A660" s="26" t="str">
        <x:v>H-0656</x:v>
      </x:c>
      <x:c r="B660" s="26" t="str">
        <x:v>Development Records</x:v>
      </x:c>
      <x:c r="C660" s="26"/>
      <x:c r="D660" s="26" t="str">
        <x:v>Sprint_13</x:v>
      </x:c>
      <x:c r="E660" s="26" t="str">
        <x:v>Traceability</x:v>
      </x:c>
      <x:c r="F660" s="26" t="str">
        <x:v>Sprint 13</x:v>
      </x:c>
      <x:c r="G660" s="26" t="str">
        <x:v>S13_Traceability_Entries.csv</x:v>
      </x:c>
      <x:c r="H660" s="26" t="str">
        <x:v>CSV</x:v>
      </x:c>
      <x:c r="I660" s="26" t="str">
        <x:v>Traceability entry</x:v>
      </x:c>
      <x:c r="J660" s="26" t="n">
        <x:v>577</x:v>
      </x:c>
      <x:c r="K660" s="26" t="str">
        <x:v>f26bf899a5f22deb03f5db3be7e4395cb4cab3031addb14adc24c748195b7118</x:v>
      </x:c>
      <x:c r="L660" s="26"/>
      <x:c r="M660" s="26" t="n">
        <x:v>1</x:v>
      </x:c>
      <x:c r="N660" s="26" t="str">
        <x:v>UNIQUE</x:v>
      </x:c>
      <x:c r="O660" s="26"/>
      <x:c r="P660" s="26"/>
      <x:c r="Q660" s="26" t="str">
        <x:v>Development evidence</x:v>
      </x:c>
      <x:c r="R660" s="26" t="str">
        <x:v>RETAIN AS EVIDENCE — NOT REPLACED BY SUMMARY</x:v>
      </x:c>
      <x:c r="S660" s="26" t="str">
        <x:v>10_Development_Records/Sprint_13/Traceability/S13_Traceability_Entries.csv</x:v>
      </x:c>
      <x:c r="T660" s="26" t="str">
        <x:v>Historical path preserved verbatim; hash calculated from supplied pre-regeneration project.</x:v>
      </x:c>
    </x:row>
    <x:row r="661" ht="30" customHeight="1">
      <x:c r="A661" s="26" t="str">
        <x:v>H-0657</x:v>
      </x:c>
      <x:c r="B661" s="26" t="str">
        <x:v>Development Records</x:v>
      </x:c>
      <x:c r="C661" s="26"/>
      <x:c r="D661" s="26" t="str">
        <x:v>Sprint_14</x:v>
      </x:c>
      <x:c r="E661" s="26" t="str">
        <x:v>Architecture</x:v>
      </x:c>
      <x:c r="F661" s="26" t="str">
        <x:v>Sprint 14</x:v>
      </x:c>
      <x:c r="G661" s="26" t="str">
        <x:v>ADR-0056-CompatibleIntegratedSaveV2.md</x:v>
      </x:c>
      <x:c r="H661" s="26" t="str">
        <x:v>Markdown</x:v>
      </x:c>
      <x:c r="I661" s="26" t="str">
        <x:v>ADR</x:v>
      </x:c>
      <x:c r="J661" s="26" t="n">
        <x:v>198</x:v>
      </x:c>
      <x:c r="K661" s="26" t="str">
        <x:v>5cc539efb691df4398f23002613d08079fa8869bde84816f89a91be781ffcf6a</x:v>
      </x:c>
      <x:c r="L661" s="26"/>
      <x:c r="M661" s="26" t="n">
        <x:v>1</x:v>
      </x:c>
      <x:c r="N661" s="26" t="str">
        <x:v>UNIQUE</x:v>
      </x:c>
      <x:c r="O661" s="26"/>
      <x:c r="P661" s="26"/>
      <x:c r="Q661" s="26" t="str">
        <x:v>Development evidence</x:v>
      </x:c>
      <x:c r="R661" s="26" t="str">
        <x:v>RETAIN AS EVIDENCE — NOT REPLACED BY SUMMARY</x:v>
      </x:c>
      <x:c r="S661" s="26" t="str">
        <x:v>10_Development_Records/Sprint_14/Architecture/ADR-0056-CompatibleIntegratedSaveV2.md</x:v>
      </x:c>
      <x:c r="T661" s="26" t="str">
        <x:v>Historical path preserved verbatim; hash calculated from supplied pre-regeneration project.</x:v>
      </x:c>
    </x:row>
    <x:row r="662" ht="30" customHeight="1">
      <x:c r="A662" s="26" t="str">
        <x:v>H-0658</x:v>
      </x:c>
      <x:c r="B662" s="26" t="str">
        <x:v>Development Records</x:v>
      </x:c>
      <x:c r="C662" s="26"/>
      <x:c r="D662" s="26" t="str">
        <x:v>Sprint_14</x:v>
      </x:c>
      <x:c r="E662" s="26" t="str">
        <x:v>Architecture</x:v>
      </x:c>
      <x:c r="F662" s="26" t="str">
        <x:v>Sprint 14</x:v>
      </x:c>
      <x:c r="G662" s="26" t="str">
        <x:v>ADR-0057-ValidatedAtomicWrite.md</x:v>
      </x:c>
      <x:c r="H662" s="26" t="str">
        <x:v>Markdown</x:v>
      </x:c>
      <x:c r="I662" s="26" t="str">
        <x:v>ADR</x:v>
      </x:c>
      <x:c r="J662" s="26" t="n">
        <x:v>215</x:v>
      </x:c>
      <x:c r="K662" s="26" t="str">
        <x:v>919cf393c0449300f85947190ba50828706c34ebfbc0a93d9aa31a1d9e021301</x:v>
      </x:c>
      <x:c r="L662" s="26"/>
      <x:c r="M662" s="26" t="n">
        <x:v>1</x:v>
      </x:c>
      <x:c r="N662" s="26" t="str">
        <x:v>UNIQUE</x:v>
      </x:c>
      <x:c r="O662" s="26"/>
      <x:c r="P662" s="26"/>
      <x:c r="Q662" s="26" t="str">
        <x:v>Development evidence</x:v>
      </x:c>
      <x:c r="R662" s="26" t="str">
        <x:v>RETAIN AS EVIDENCE — NOT REPLACED BY SUMMARY</x:v>
      </x:c>
      <x:c r="S662" s="26" t="str">
        <x:v>10_Development_Records/Sprint_14/Architecture/ADR-0057-ValidatedAtomicWrite.md</x:v>
      </x:c>
      <x:c r="T662" s="26" t="str">
        <x:v>Historical path preserved verbatim; hash calculated from supplied pre-regeneration project.</x:v>
      </x:c>
    </x:row>
    <x:row r="663" ht="30" customHeight="1">
      <x:c r="A663" s="26" t="str">
        <x:v>H-0659</x:v>
      </x:c>
      <x:c r="B663" s="26" t="str">
        <x:v>Development Records</x:v>
      </x:c>
      <x:c r="C663" s="26"/>
      <x:c r="D663" s="26" t="str">
        <x:v>Sprint_14</x:v>
      </x:c>
      <x:c r="E663" s="26" t="str">
        <x:v>Architecture</x:v>
      </x:c>
      <x:c r="F663" s="26" t="str">
        <x:v>Sprint 14</x:v>
      </x:c>
      <x:c r="G663" s="26" t="str">
        <x:v>ADR-0058-ChecksumAndGenerationEnvelope.md</x:v>
      </x:c>
      <x:c r="H663" s="26" t="str">
        <x:v>Markdown</x:v>
      </x:c>
      <x:c r="I663" s="26" t="str">
        <x:v>ADR</x:v>
      </x:c>
      <x:c r="J663" s="26" t="n">
        <x:v>192</x:v>
      </x:c>
      <x:c r="K663" s="26" t="str">
        <x:v>ee9dd8479ba19464211e32510dcb7cd3f4f4a199cc9506ac28cf7cefc3cffd0b</x:v>
      </x:c>
      <x:c r="L663" s="26"/>
      <x:c r="M663" s="26" t="n">
        <x:v>1</x:v>
      </x:c>
      <x:c r="N663" s="26" t="str">
        <x:v>UNIQUE</x:v>
      </x:c>
      <x:c r="O663" s="26"/>
      <x:c r="P663" s="26"/>
      <x:c r="Q663" s="26" t="str">
        <x:v>Development evidence</x:v>
      </x:c>
      <x:c r="R663" s="26" t="str">
        <x:v>RETAIN AS EVIDENCE — NOT REPLACED BY SUMMARY</x:v>
      </x:c>
      <x:c r="S663" s="26" t="str">
        <x:v>10_Development_Records/Sprint_14/Architecture/ADR-0058-ChecksumAndGenerationEnvelope.md</x:v>
      </x:c>
      <x:c r="T663" s="26" t="str">
        <x:v>Historical path preserved verbatim; hash calculated from supplied pre-regeneration project.</x:v>
      </x:c>
    </x:row>
    <x:row r="664" ht="30" customHeight="1">
      <x:c r="A664" s="26" t="str">
        <x:v>H-0660</x:v>
      </x:c>
      <x:c r="B664" s="26" t="str">
        <x:v>Development Records</x:v>
      </x:c>
      <x:c r="C664" s="26"/>
      <x:c r="D664" s="26" t="str">
        <x:v>Sprint_14</x:v>
      </x:c>
      <x:c r="E664" s="26" t="str">
        <x:v>Architecture</x:v>
      </x:c>
      <x:c r="F664" s="26" t="str">
        <x:v>Sprint 14</x:v>
      </x:c>
      <x:c r="G664" s="26" t="str">
        <x:v>ADR-0059-BackupFirstRecovery.md</x:v>
      </x:c>
      <x:c r="H664" s="26" t="str">
        <x:v>Markdown</x:v>
      </x:c>
      <x:c r="I664" s="26" t="str">
        <x:v>ADR</x:v>
      </x:c>
      <x:c r="J664" s="26" t="n">
        <x:v>209</x:v>
      </x:c>
      <x:c r="K664" s="26" t="str">
        <x:v>22af6a1df416b4c7fb8389f08ec428c61289bbb5984d958e0576aa2478ad03d4</x:v>
      </x:c>
      <x:c r="L664" s="26"/>
      <x:c r="M664" s="26" t="n">
        <x:v>1</x:v>
      </x:c>
      <x:c r="N664" s="26" t="str">
        <x:v>UNIQUE</x:v>
      </x:c>
      <x:c r="O664" s="26"/>
      <x:c r="P664" s="26"/>
      <x:c r="Q664" s="26" t="str">
        <x:v>Development evidence</x:v>
      </x:c>
      <x:c r="R664" s="26" t="str">
        <x:v>RETAIN AS EVIDENCE — NOT REPLACED BY SUMMARY</x:v>
      </x:c>
      <x:c r="S664" s="26" t="str">
        <x:v>10_Development_Records/Sprint_14/Architecture/ADR-0059-BackupFirstRecovery.md</x:v>
      </x:c>
      <x:c r="T664" s="26" t="str">
        <x:v>Historical path preserved verbatim; hash calculated from supplied pre-regeneration project.</x:v>
      </x:c>
    </x:row>
    <x:row r="665" ht="30" customHeight="1">
      <x:c r="A665" s="26" t="str">
        <x:v>H-0661</x:v>
      </x:c>
      <x:c r="B665" s="26" t="str">
        <x:v>Development Records</x:v>
      </x:c>
      <x:c r="C665" s="26"/>
      <x:c r="D665" s="26" t="str">
        <x:v>Sprint_14</x:v>
      </x:c>
      <x:c r="E665" s="26" t="str">
        <x:v>Architecture</x:v>
      </x:c>
      <x:c r="F665" s="26" t="str">
        <x:v>Sprint 14</x:v>
      </x:c>
      <x:c r="G665" s="26" t="str">
        <x:v>ADR-0060-TwoPhaseRestore.md</x:v>
      </x:c>
      <x:c r="H665" s="26" t="str">
        <x:v>Markdown</x:v>
      </x:c>
      <x:c r="I665" s="26" t="str">
        <x:v>ADR</x:v>
      </x:c>
      <x:c r="J665" s="26" t="n">
        <x:v>189</x:v>
      </x:c>
      <x:c r="K665" s="26" t="str">
        <x:v>4c701c8c4cfcadabb5a9002e0599765339d6028694431b79bb8a372f6a857345</x:v>
      </x:c>
      <x:c r="L665" s="26"/>
      <x:c r="M665" s="26" t="n">
        <x:v>1</x:v>
      </x:c>
      <x:c r="N665" s="26" t="str">
        <x:v>UNIQUE</x:v>
      </x:c>
      <x:c r="O665" s="26"/>
      <x:c r="P665" s="26"/>
      <x:c r="Q665" s="26" t="str">
        <x:v>Development evidence</x:v>
      </x:c>
      <x:c r="R665" s="26" t="str">
        <x:v>RETAIN AS EVIDENCE — NOT REPLACED BY SUMMARY</x:v>
      </x:c>
      <x:c r="S665" s="26" t="str">
        <x:v>10_Development_Records/Sprint_14/Architecture/ADR-0060-TwoPhaseRestore.md</x:v>
      </x:c>
      <x:c r="T665" s="26" t="str">
        <x:v>Historical path preserved verbatim; hash calculated from supplied pre-regeneration project.</x:v>
      </x:c>
    </x:row>
    <x:row r="666" ht="30" customHeight="1">
      <x:c r="A666" s="26" t="str">
        <x:v>H-0662</x:v>
      </x:c>
      <x:c r="B666" s="26" t="str">
        <x:v>Development Records</x:v>
      </x:c>
      <x:c r="C666" s="26"/>
      <x:c r="D666" s="26" t="str">
        <x:v>Sprint_14</x:v>
      </x:c>
      <x:c r="E666" s="26" t="str">
        <x:v>Documentation</x:v>
      </x:c>
      <x:c r="F666" s="26" t="str">
        <x:v>Sprint 14</x:v>
      </x:c>
      <x:c r="G666" s="26" t="str">
        <x:v>S14_PostImplementation_Record.md</x:v>
      </x:c>
      <x:c r="H666" s="26" t="str">
        <x:v>Markdown</x:v>
      </x:c>
      <x:c r="I666" s="26" t="str">
        <x:v>Historical document / record</x:v>
      </x:c>
      <x:c r="J666" s="26" t="n">
        <x:v>559</x:v>
      </x:c>
      <x:c r="K666" s="26" t="str">
        <x:v>301104a8d7d45f8a80047b4e7d6f7f7fc5f633418341784bd08c744e41603066</x:v>
      </x:c>
      <x:c r="L666" s="26"/>
      <x:c r="M666" s="26" t="n">
        <x:v>1</x:v>
      </x:c>
      <x:c r="N666" s="26" t="str">
        <x:v>UNIQUE</x:v>
      </x:c>
      <x:c r="O666" s="26"/>
      <x:c r="P666" s="26"/>
      <x:c r="Q666" s="26" t="str">
        <x:v>Development evidence</x:v>
      </x:c>
      <x:c r="R666" s="26" t="str">
        <x:v>RETAIN AS EVIDENCE — NOT REPLACED BY SUMMARY</x:v>
      </x:c>
      <x:c r="S666" s="26" t="str">
        <x:v>10_Development_Records/Sprint_14/Documentation/S14_PostImplementation_Record.md</x:v>
      </x:c>
      <x:c r="T666" s="26" t="str">
        <x:v>Historical path preserved verbatim; hash calculated from supplied pre-regeneration project.</x:v>
      </x:c>
    </x:row>
    <x:row r="667" ht="30" customHeight="1">
      <x:c r="A667" s="26" t="str">
        <x:v>H-0663</x:v>
      </x:c>
      <x:c r="B667" s="26" t="str">
        <x:v>Development Records</x:v>
      </x:c>
      <x:c r="C667" s="26"/>
      <x:c r="D667" s="26" t="str">
        <x:v>Sprint_14</x:v>
      </x:c>
      <x:c r="E667" s="26" t="str">
        <x:v>Documentation</x:v>
      </x:c>
      <x:c r="F667" s="26" t="str">
        <x:v>Sprint 14</x:v>
      </x:c>
      <x:c r="G667" s="26" t="str">
        <x:v>S14_PreImplementation_Record.md</x:v>
      </x:c>
      <x:c r="H667" s="26" t="str">
        <x:v>Markdown</x:v>
      </x:c>
      <x:c r="I667" s="26" t="str">
        <x:v>Historical document / record</x:v>
      </x:c>
      <x:c r="J667" s="26" t="n">
        <x:v>304</x:v>
      </x:c>
      <x:c r="K667" s="26" t="str">
        <x:v>98f60c6d6d92e543fe104ed1b3179e4a99b1dd3e4358508e47bffa4312eb3cc9</x:v>
      </x:c>
      <x:c r="L667" s="26"/>
      <x:c r="M667" s="26" t="n">
        <x:v>1</x:v>
      </x:c>
      <x:c r="N667" s="26" t="str">
        <x:v>UNIQUE</x:v>
      </x:c>
      <x:c r="O667" s="26"/>
      <x:c r="P667" s="26"/>
      <x:c r="Q667" s="26" t="str">
        <x:v>Development evidence</x:v>
      </x:c>
      <x:c r="R667" s="26" t="str">
        <x:v>RETAIN AS EVIDENCE — NOT REPLACED BY SUMMARY</x:v>
      </x:c>
      <x:c r="S667" s="26" t="str">
        <x:v>10_Development_Records/Sprint_14/Documentation/S14_PreImplementation_Record.md</x:v>
      </x:c>
      <x:c r="T667" s="26" t="str">
        <x:v>Historical path preserved verbatim; hash calculated from supplied pre-regeneration project.</x:v>
      </x:c>
    </x:row>
    <x:row r="668" ht="30" customHeight="1">
      <x:c r="A668" s="26" t="str">
        <x:v>H-0664</x:v>
      </x:c>
      <x:c r="B668" s="26" t="str">
        <x:v>Development Records</x:v>
      </x:c>
      <x:c r="C668" s="26"/>
      <x:c r="D668" s="26" t="str">
        <x:v>Sprint_14</x:v>
      </x:c>
      <x:c r="E668" s="26" t="str">
        <x:v>Governance</x:v>
      </x:c>
      <x:c r="F668" s="26" t="str">
        <x:v>Sprint 14</x:v>
      </x:c>
      <x:c r="G668" s="26" t="str">
        <x:v>S14_Handoff_Update_Template.md</x:v>
      </x:c>
      <x:c r="H668" s="26" t="str">
        <x:v>Markdown</x:v>
      </x:c>
      <x:c r="I668" s="26" t="str">
        <x:v>Handoff record</x:v>
      </x:c>
      <x:c r="J668" s="26" t="n">
        <x:v>437</x:v>
      </x:c>
      <x:c r="K668" s="26" t="str">
        <x:v>70ac9acc5473a29f44723f4e1499f027f5adbc772ae45635ebdb035f2374bd4f</x:v>
      </x:c>
      <x:c r="L668" s="26"/>
      <x:c r="M668" s="26" t="n">
        <x:v>1</x:v>
      </x:c>
      <x:c r="N668" s="26" t="str">
        <x:v>UNIQUE</x:v>
      </x:c>
      <x:c r="O668" s="26" t="str">
        <x:v>34</x:v>
      </x:c>
      <x:c r="P668" s="26" t="str">
        <x:v>14, 15, 34</x:v>
      </x:c>
      <x:c r="Q668" s="26" t="str">
        <x:v>Development evidence</x:v>
      </x:c>
      <x:c r="R668" s="26" t="str">
        <x:v>RETAIN AS EVIDENCE — NOT REPLACED BY SUMMARY</x:v>
      </x:c>
      <x:c r="S668" s="26" t="str">
        <x:v>10_Development_Records/Sprint_14/Governance/S14_Handoff_Update_Template.md</x:v>
      </x:c>
      <x:c r="T668" s="26" t="str">
        <x:v>Historical path preserved verbatim; hash calculated from supplied pre-regeneration project.</x:v>
      </x:c>
    </x:row>
    <x:row r="669" ht="30" customHeight="1">
      <x:c r="A669" s="26" t="str">
        <x:v>H-0665</x:v>
      </x:c>
      <x:c r="B669" s="26" t="str">
        <x:v>Development Records</x:v>
      </x:c>
      <x:c r="C669" s="26"/>
      <x:c r="D669" s="26" t="str">
        <x:v>Sprint_14</x:v>
      </x:c>
      <x:c r="E669" s="26" t="str">
        <x:v>Governance</x:v>
      </x:c>
      <x:c r="F669" s="26" t="str">
        <x:v>Sprint 14</x:v>
      </x:c>
      <x:c r="G669" s="26" t="str">
        <x:v>Sprint_14_Charter.md</x:v>
      </x:c>
      <x:c r="H669" s="26" t="str">
        <x:v>Markdown</x:v>
      </x:c>
      <x:c r="I669" s="26" t="str">
        <x:v>Sprint charter</x:v>
      </x:c>
      <x:c r="J669" s="26" t="n">
        <x:v>690</x:v>
      </x:c>
      <x:c r="K669" s="26" t="str">
        <x:v>5bdd8272a4f2a0c598ed7d178620b9360dec1d2c2a0c5369ee55216dddbc1ab1</x:v>
      </x:c>
      <x:c r="L669" s="26"/>
      <x:c r="M669" s="26" t="n">
        <x:v>1</x:v>
      </x:c>
      <x:c r="N669" s="26" t="str">
        <x:v>UNIQUE</x:v>
      </x:c>
      <x:c r="O669" s="26"/>
      <x:c r="P669" s="26"/>
      <x:c r="Q669" s="26" t="str">
        <x:v>Development evidence</x:v>
      </x:c>
      <x:c r="R669" s="26" t="str">
        <x:v>RETAIN AS EVIDENCE — NOT REPLACED BY SUMMARY</x:v>
      </x:c>
      <x:c r="S669" s="26" t="str">
        <x:v>10_Development_Records/Sprint_14/Governance/Sprint_14_Charter.md</x:v>
      </x:c>
      <x:c r="T669" s="26" t="str">
        <x:v>Historical path preserved verbatim; hash calculated from supplied pre-regeneration project.</x:v>
      </x:c>
    </x:row>
    <x:row r="670" ht="30" customHeight="1">
      <x:c r="A670" s="26" t="str">
        <x:v>H-0666</x:v>
      </x:c>
      <x:c r="B670" s="26" t="str">
        <x:v>Development Records</x:v>
      </x:c>
      <x:c r="C670" s="26"/>
      <x:c r="D670" s="26" t="str">
        <x:v>Sprint_14</x:v>
      </x:c>
      <x:c r="E670" s="26" t="str">
        <x:v>Governance</x:v>
      </x:c>
      <x:c r="F670" s="26" t="str">
        <x:v>Sprint 14</x:v>
      </x:c>
      <x:c r="G670" s="26" t="str">
        <x:v>Sprint_14_Current_Status.md</x:v>
      </x:c>
      <x:c r="H670" s="26" t="str">
        <x:v>Markdown</x:v>
      </x:c>
      <x:c r="I670" s="26" t="str">
        <x:v>Current status</x:v>
      </x:c>
      <x:c r="J670" s="26" t="n">
        <x:v>655</x:v>
      </x:c>
      <x:c r="K670" s="26" t="str">
        <x:v>1635e3b630c1b7596d2d2c3dbcc68a574ec1e0de2494ddb1c1a0d2c286040bdd</x:v>
      </x:c>
      <x:c r="L670" s="26"/>
      <x:c r="M670" s="26" t="n">
        <x:v>1</x:v>
      </x:c>
      <x:c r="N670" s="26" t="str">
        <x:v>UNIQUE</x:v>
      </x:c>
      <x:c r="O670" s="26"/>
      <x:c r="P670" s="26"/>
      <x:c r="Q670" s="26" t="str">
        <x:v>Development evidence</x:v>
      </x:c>
      <x:c r="R670" s="26" t="str">
        <x:v>RETAIN AS EVIDENCE — NOT REPLACED BY SUMMARY</x:v>
      </x:c>
      <x:c r="S670" s="26" t="str">
        <x:v>10_Development_Records/Sprint_14/Governance/Sprint_14_Current_Status.md</x:v>
      </x:c>
      <x:c r="T670" s="26" t="str">
        <x:v>Historical path preserved verbatim; hash calculated from supplied pre-regeneration project.</x:v>
      </x:c>
    </x:row>
    <x:row r="671" ht="30" customHeight="1">
      <x:c r="A671" s="26" t="str">
        <x:v>H-0667</x:v>
      </x:c>
      <x:c r="B671" s="26" t="str">
        <x:v>Development Records</x:v>
      </x:c>
      <x:c r="C671" s="26"/>
      <x:c r="D671" s="26" t="str">
        <x:v>Sprint_14</x:v>
      </x:c>
      <x:c r="E671" s="26" t="str">
        <x:v>QA</x:v>
      </x:c>
      <x:c r="F671" s="26" t="str">
        <x:v>Sprint 14</x:v>
      </x:c>
      <x:c r="G671" s="26" t="str">
        <x:v>S14_Acceptance_Matrix.md</x:v>
      </x:c>
      <x:c r="H671" s="26" t="str">
        <x:v>Markdown</x:v>
      </x:c>
      <x:c r="I671" s="26" t="str">
        <x:v>Acceptance matrix</x:v>
      </x:c>
      <x:c r="J671" s="26" t="n">
        <x:v>761</x:v>
      </x:c>
      <x:c r="K671" s="26" t="str">
        <x:v>6abc7f9f6b1f199f797ede8e4610be0819c89c52ba763b09489f76e5b6d2b3e9</x:v>
      </x:c>
      <x:c r="L671" s="26"/>
      <x:c r="M671" s="26" t="n">
        <x:v>1</x:v>
      </x:c>
      <x:c r="N671" s="26" t="str">
        <x:v>UNIQUE</x:v>
      </x:c>
      <x:c r="O671" s="26" t="str">
        <x:v>31</x:v>
      </x:c>
      <x:c r="P671" s="26" t="str">
        <x:v>02, 07, 08, 11, 13, 16, 31</x:v>
      </x:c>
      <x:c r="Q671" s="26" t="str">
        <x:v>Development evidence</x:v>
      </x:c>
      <x:c r="R671" s="26" t="str">
        <x:v>RETAIN AS EVIDENCE — NOT REPLACED BY SUMMARY</x:v>
      </x:c>
      <x:c r="S671" s="26" t="str">
        <x:v>10_Development_Records/Sprint_14/QA/S14_Acceptance_Matrix.md</x:v>
      </x:c>
      <x:c r="T671" s="26" t="str">
        <x:v>Historical path preserved verbatim; hash calculated from supplied pre-regeneration project.</x:v>
      </x:c>
    </x:row>
    <x:row r="672" ht="30" customHeight="1">
      <x:c r="A672" s="26" t="str">
        <x:v>H-0668</x:v>
      </x:c>
      <x:c r="B672" s="26" t="str">
        <x:v>Development Records</x:v>
      </x:c>
      <x:c r="C672" s="26"/>
      <x:c r="D672" s="26" t="str">
        <x:v>Sprint_14</x:v>
      </x:c>
      <x:c r="E672" s="26" t="str">
        <x:v>QA</x:v>
      </x:c>
      <x:c r="F672" s="26" t="str">
        <x:v>Sprint 14</x:v>
      </x:c>
      <x:c r="G672" s="26" t="str">
        <x:v>S14_Build_Execution_Record.md</x:v>
      </x:c>
      <x:c r="H672" s="26" t="str">
        <x:v>Markdown</x:v>
      </x:c>
      <x:c r="I672" s="26" t="str">
        <x:v>Build execution evidence</x:v>
      </x:c>
      <x:c r="J672" s="26" t="n">
        <x:v>490</x:v>
      </x:c>
      <x:c r="K672" s="26" t="str">
        <x:v>758b82a0301e5f3de699b76365cf74c577377bcb6d88333c4b65a26e6065af33</x:v>
      </x:c>
      <x:c r="L672" s="26"/>
      <x:c r="M672" s="26" t="n">
        <x:v>1</x:v>
      </x:c>
      <x:c r="N672" s="26" t="str">
        <x:v>UNIQUE</x:v>
      </x:c>
      <x:c r="O672" s="26" t="str">
        <x:v>31</x:v>
      </x:c>
      <x:c r="P672" s="26" t="str">
        <x:v>02, 07, 08, 11, 13, 16, 31</x:v>
      </x:c>
      <x:c r="Q672" s="26" t="str">
        <x:v>Development evidence</x:v>
      </x:c>
      <x:c r="R672" s="26" t="str">
        <x:v>RETAIN AS EVIDENCE — NOT REPLACED BY SUMMARY</x:v>
      </x:c>
      <x:c r="S672" s="26" t="str">
        <x:v>10_Development_Records/Sprint_14/QA/S14_Build_Execution_Record.md</x:v>
      </x:c>
      <x:c r="T672" s="26" t="str">
        <x:v>Historical path preserved verbatim; hash calculated from supplied pre-regeneration project.</x:v>
      </x:c>
    </x:row>
    <x:row r="673" ht="30" customHeight="1">
      <x:c r="A673" s="26" t="str">
        <x:v>H-0669</x:v>
      </x:c>
      <x:c r="B673" s="26" t="str">
        <x:v>Development Records</x:v>
      </x:c>
      <x:c r="C673" s="26"/>
      <x:c r="D673" s="26" t="str">
        <x:v>Sprint_14</x:v>
      </x:c>
      <x:c r="E673" s="26" t="str">
        <x:v>QA</x:v>
      </x:c>
      <x:c r="F673" s="26" t="str">
        <x:v>Sprint 14</x:v>
      </x:c>
      <x:c r="G673" s="26" t="str">
        <x:v>S14_Manual_Validation_Record.md</x:v>
      </x:c>
      <x:c r="H673" s="26" t="str">
        <x:v>Markdown</x:v>
      </x:c>
      <x:c r="I673" s="26" t="str">
        <x:v>Historical document / record</x:v>
      </x:c>
      <x:c r="J673" s="26" t="n">
        <x:v>791</x:v>
      </x:c>
      <x:c r="K673" s="26" t="str">
        <x:v>142883a842fadfab456fd787b586363340a31cc0e90dbb33955858e3bc95e0ca</x:v>
      </x:c>
      <x:c r="L673" s="26"/>
      <x:c r="M673" s="26" t="n">
        <x:v>1</x:v>
      </x:c>
      <x:c r="N673" s="26" t="str">
        <x:v>UNIQUE</x:v>
      </x:c>
      <x:c r="O673" s="26"/>
      <x:c r="P673" s="26"/>
      <x:c r="Q673" s="26" t="str">
        <x:v>Development evidence</x:v>
      </x:c>
      <x:c r="R673" s="26" t="str">
        <x:v>RETAIN AS EVIDENCE — NOT REPLACED BY SUMMARY</x:v>
      </x:c>
      <x:c r="S673" s="26" t="str">
        <x:v>10_Development_Records/Sprint_14/QA/S14_Manual_Validation_Record.md</x:v>
      </x:c>
      <x:c r="T673" s="26" t="str">
        <x:v>Historical path preserved verbatim; hash calculated from supplied pre-regeneration project.</x:v>
      </x:c>
    </x:row>
    <x:row r="674" ht="30" customHeight="1">
      <x:c r="A674" s="26" t="str">
        <x:v>H-0670</x:v>
      </x:c>
      <x:c r="B674" s="26" t="str">
        <x:v>Development Records</x:v>
      </x:c>
      <x:c r="C674" s="26"/>
      <x:c r="D674" s="26" t="str">
        <x:v>Sprint_14</x:v>
      </x:c>
      <x:c r="E674" s="26" t="str">
        <x:v>QA</x:v>
      </x:c>
      <x:c r="F674" s="26" t="str">
        <x:v>Sprint 14</x:v>
      </x:c>
      <x:c r="G674" s="26" t="str">
        <x:v>S14_QA_Execution_Record.md</x:v>
      </x:c>
      <x:c r="H674" s="26" t="str">
        <x:v>Markdown</x:v>
      </x:c>
      <x:c r="I674" s="26" t="str">
        <x:v>QA execution evidence</x:v>
      </x:c>
      <x:c r="J674" s="26" t="n">
        <x:v>407</x:v>
      </x:c>
      <x:c r="K674" s="26" t="str">
        <x:v>61083207815690667077272760527c8529f70916831a1bd7d75cc58125663a7f</x:v>
      </x:c>
      <x:c r="L674" s="26"/>
      <x:c r="M674" s="26" t="n">
        <x:v>1</x:v>
      </x:c>
      <x:c r="N674" s="26" t="str">
        <x:v>UNIQUE</x:v>
      </x:c>
      <x:c r="O674" s="26" t="str">
        <x:v>31</x:v>
      </x:c>
      <x:c r="P674" s="26" t="str">
        <x:v>02, 07, 08, 11, 13, 16, 31</x:v>
      </x:c>
      <x:c r="Q674" s="26" t="str">
        <x:v>Development evidence</x:v>
      </x:c>
      <x:c r="R674" s="26" t="str">
        <x:v>RETAIN AS EVIDENCE — NOT REPLACED BY SUMMARY</x:v>
      </x:c>
      <x:c r="S674" s="26" t="str">
        <x:v>10_Development_Records/Sprint_14/QA/S14_QA_Execution_Record.md</x:v>
      </x:c>
      <x:c r="T674" s="26" t="str">
        <x:v>Historical path preserved verbatim; hash calculated from supplied pre-regeneration project.</x:v>
      </x:c>
    </x:row>
    <x:row r="675" ht="30" customHeight="1">
      <x:c r="A675" s="26" t="str">
        <x:v>H-0671</x:v>
      </x:c>
      <x:c r="B675" s="26" t="str">
        <x:v>Development Records</x:v>
      </x:c>
      <x:c r="C675" s="26"/>
      <x:c r="D675" s="26" t="str">
        <x:v>Sprint_14</x:v>
      </x:c>
      <x:c r="E675" s="26" t="str">
        <x:v>QA</x:v>
      </x:c>
      <x:c r="F675" s="26" t="str">
        <x:v>Sprint 14</x:v>
      </x:c>
      <x:c r="G675" s="26" t="str">
        <x:v>S14_Test_Plan.md</x:v>
      </x:c>
      <x:c r="H675" s="26" t="str">
        <x:v>Markdown</x:v>
      </x:c>
      <x:c r="I675" s="26" t="str">
        <x:v>Historical document / record</x:v>
      </x:c>
      <x:c r="J675" s="26" t="n">
        <x:v>474</x:v>
      </x:c>
      <x:c r="K675" s="26" t="str">
        <x:v>a11b98e2c724cf7fba9b59a75906073d352a8365df289169934ee798329c63bb</x:v>
      </x:c>
      <x:c r="L675" s="26"/>
      <x:c r="M675" s="26" t="n">
        <x:v>1</x:v>
      </x:c>
      <x:c r="N675" s="26" t="str">
        <x:v>UNIQUE</x:v>
      </x:c>
      <x:c r="O675" s="26"/>
      <x:c r="P675" s="26"/>
      <x:c r="Q675" s="26" t="str">
        <x:v>Development evidence</x:v>
      </x:c>
      <x:c r="R675" s="26" t="str">
        <x:v>RETAIN AS EVIDENCE — NOT REPLACED BY SUMMARY</x:v>
      </x:c>
      <x:c r="S675" s="26" t="str">
        <x:v>10_Development_Records/Sprint_14/QA/S14_Test_Plan.md</x:v>
      </x:c>
      <x:c r="T675" s="26" t="str">
        <x:v>Historical path preserved verbatim; hash calculated from supplied pre-regeneration project.</x:v>
      </x:c>
    </x:row>
    <x:row r="676" ht="30" customHeight="1">
      <x:c r="A676" s="26" t="str">
        <x:v>H-0672</x:v>
      </x:c>
      <x:c r="B676" s="26" t="str">
        <x:v>Development Records</x:v>
      </x:c>
      <x:c r="C676" s="26"/>
      <x:c r="D676" s="26" t="str">
        <x:v>Sprint_14</x:v>
      </x:c>
      <x:c r="E676" s="26" t="str">
        <x:v>QA</x:v>
      </x:c>
      <x:c r="F676" s="26" t="str">
        <x:v>Sprint 14</x:v>
      </x:c>
      <x:c r="G676" s="26" t="str">
        <x:v>S14_Validation_Checklist.md</x:v>
      </x:c>
      <x:c r="H676" s="26" t="str">
        <x:v>Markdown</x:v>
      </x:c>
      <x:c r="I676" s="26" t="str">
        <x:v>Validation checklist</x:v>
      </x:c>
      <x:c r="J676" s="26" t="n">
        <x:v>626</x:v>
      </x:c>
      <x:c r="K676" s="26" t="str">
        <x:v>d309169ea50987bc6ecf0e9aa8739c80e72f34154e8e9f29ed5916b30ed63d9f</x:v>
      </x:c>
      <x:c r="L676" s="26"/>
      <x:c r="M676" s="26" t="n">
        <x:v>1</x:v>
      </x:c>
      <x:c r="N676" s="26" t="str">
        <x:v>UNIQUE</x:v>
      </x:c>
      <x:c r="O676" s="26" t="str">
        <x:v>31</x:v>
      </x:c>
      <x:c r="P676" s="26" t="str">
        <x:v>02, 07, 08, 11, 13, 16, 31</x:v>
      </x:c>
      <x:c r="Q676" s="26" t="str">
        <x:v>Development evidence</x:v>
      </x:c>
      <x:c r="R676" s="26" t="str">
        <x:v>RETAIN AS EVIDENCE — NOT REPLACED BY SUMMARY</x:v>
      </x:c>
      <x:c r="S676" s="26" t="str">
        <x:v>10_Development_Records/Sprint_14/QA/S14_Validation_Checklist.md</x:v>
      </x:c>
      <x:c r="T676" s="26" t="str">
        <x:v>Historical path preserved verbatim; hash calculated from supplied pre-regeneration project.</x:v>
      </x:c>
    </x:row>
    <x:row r="677" ht="30" customHeight="1">
      <x:c r="A677" s="26" t="str">
        <x:v>H-0673</x:v>
      </x:c>
      <x:c r="B677" s="26" t="str">
        <x:v>Development Records</x:v>
      </x:c>
      <x:c r="C677" s="26"/>
      <x:c r="D677" s="26" t="str">
        <x:v>Sprint_14</x:v>
      </x:c>
      <x:c r="E677" s="26" t="str">
        <x:v>Sprint_14_Closure_Report.md</x:v>
      </x:c>
      <x:c r="F677" s="26" t="str">
        <x:v>Sprint 14</x:v>
      </x:c>
      <x:c r="G677" s="26" t="str">
        <x:v>Sprint_14_Closure_Report.md</x:v>
      </x:c>
      <x:c r="H677" s="26" t="str">
        <x:v>Markdown</x:v>
      </x:c>
      <x:c r="I677" s="26" t="str">
        <x:v>Sprint closure</x:v>
      </x:c>
      <x:c r="J677" s="26" t="n">
        <x:v>3274</x:v>
      </x:c>
      <x:c r="K677" s="26" t="str">
        <x:v>68527b99d210a091e21855b9d64de0cabcfa8d650ae9772fbd7e68f259875edd</x:v>
      </x:c>
      <x:c r="L677" s="26"/>
      <x:c r="M677" s="26" t="n">
        <x:v>1</x:v>
      </x:c>
      <x:c r="N677" s="26" t="str">
        <x:v>UNIQUE</x:v>
      </x:c>
      <x:c r="O677" s="26"/>
      <x:c r="P677" s="26"/>
      <x:c r="Q677" s="26" t="str">
        <x:v>Development evidence</x:v>
      </x:c>
      <x:c r="R677" s="26" t="str">
        <x:v>RETAIN AS EVIDENCE — NOT REPLACED BY SUMMARY</x:v>
      </x:c>
      <x:c r="S677" s="26" t="str">
        <x:v>10_Development_Records/Sprint_14/Sprint_14_Closure_Report.md</x:v>
      </x:c>
      <x:c r="T677" s="26" t="str">
        <x:v>Historical path preserved verbatim; hash calculated from supplied pre-regeneration project.</x:v>
      </x:c>
    </x:row>
    <x:row r="678" ht="30" customHeight="1">
      <x:c r="A678" s="26" t="str">
        <x:v>H-0674</x:v>
      </x:c>
      <x:c r="B678" s="26" t="str">
        <x:v>Development Records</x:v>
      </x:c>
      <x:c r="C678" s="26"/>
      <x:c r="D678" s="26" t="str">
        <x:v>Sprint_14</x:v>
      </x:c>
      <x:c r="E678" s="26" t="str">
        <x:v>Traceability</x:v>
      </x:c>
      <x:c r="F678" s="26" t="str">
        <x:v>Sprint 14</x:v>
      </x:c>
      <x:c r="G678" s="26" t="str">
        <x:v>S14_Document_Impact_Working_Matrix.md</x:v>
      </x:c>
      <x:c r="H678" s="26" t="str">
        <x:v>Markdown</x:v>
      </x:c>
      <x:c r="I678" s="26" t="str">
        <x:v>Traceability entry</x:v>
      </x:c>
      <x:c r="J678" s="26" t="n">
        <x:v>498</x:v>
      </x:c>
      <x:c r="K678" s="26" t="str">
        <x:v>b73e55aef6569e9e777c65ceff6d8739f9c27482381b5794a201cb09c46ced72</x:v>
      </x:c>
      <x:c r="L678" s="26"/>
      <x:c r="M678" s="26" t="n">
        <x:v>1</x:v>
      </x:c>
      <x:c r="N678" s="26" t="str">
        <x:v>UNIQUE</x:v>
      </x:c>
      <x:c r="O678" s="26"/>
      <x:c r="P678" s="26"/>
      <x:c r="Q678" s="26" t="str">
        <x:v>Development evidence</x:v>
      </x:c>
      <x:c r="R678" s="26" t="str">
        <x:v>RETAIN AS EVIDENCE — NOT REPLACED BY SUMMARY</x:v>
      </x:c>
      <x:c r="S678" s="26" t="str">
        <x:v>10_Development_Records/Sprint_14/Traceability/S14_Document_Impact_Working_Matrix.md</x:v>
      </x:c>
      <x:c r="T678" s="26" t="str">
        <x:v>Historical path preserved verbatim; hash calculated from supplied pre-regeneration project.</x:v>
      </x:c>
    </x:row>
    <x:row r="679" ht="30" customHeight="1">
      <x:c r="A679" s="26" t="str">
        <x:v>H-0675</x:v>
      </x:c>
      <x:c r="B679" s="26" t="str">
        <x:v>Development Records</x:v>
      </x:c>
      <x:c r="C679" s="26"/>
      <x:c r="D679" s="26" t="str">
        <x:v>Sprint_14</x:v>
      </x:c>
      <x:c r="E679" s="26" t="str">
        <x:v>Traceability</x:v>
      </x:c>
      <x:c r="F679" s="26" t="str">
        <x:v>Sprint 14</x:v>
      </x:c>
      <x:c r="G679" s="26" t="str">
        <x:v>S14_Traceability_Entries.csv</x:v>
      </x:c>
      <x:c r="H679" s="26" t="str">
        <x:v>CSV</x:v>
      </x:c>
      <x:c r="I679" s="26" t="str">
        <x:v>Traceability entry</x:v>
      </x:c>
      <x:c r="J679" s="26" t="n">
        <x:v>793</x:v>
      </x:c>
      <x:c r="K679" s="26" t="str">
        <x:v>5713541928234e572bed6be3c925ed5600e5438a7871d7cbd94d814a0c921465</x:v>
      </x:c>
      <x:c r="L679" s="26"/>
      <x:c r="M679" s="26" t="n">
        <x:v>1</x:v>
      </x:c>
      <x:c r="N679" s="26" t="str">
        <x:v>UNIQUE</x:v>
      </x:c>
      <x:c r="O679" s="26"/>
      <x:c r="P679" s="26"/>
      <x:c r="Q679" s="26" t="str">
        <x:v>Development evidence</x:v>
      </x:c>
      <x:c r="R679" s="26" t="str">
        <x:v>RETAIN AS EVIDENCE — NOT REPLACED BY SUMMARY</x:v>
      </x:c>
      <x:c r="S679" s="26" t="str">
        <x:v>10_Development_Records/Sprint_14/Traceability/S14_Traceability_Entries.csv</x:v>
      </x:c>
      <x:c r="T679" s="26" t="str">
        <x:v>Historical path preserved verbatim; hash calculated from supplied pre-regeneration project.</x:v>
      </x:c>
    </x:row>
    <x:row r="680" ht="30" customHeight="1">
      <x:c r="A680" s="26" t="str">
        <x:v>H-0676</x:v>
      </x:c>
      <x:c r="B680" s="26" t="str">
        <x:v>Development Records</x:v>
      </x:c>
      <x:c r="C680" s="26"/>
      <x:c r="D680" s="26" t="str">
        <x:v>Sprint_15</x:v>
      </x:c>
      <x:c r="E680" s="26" t="str">
        <x:v>Architecture</x:v>
      </x:c>
      <x:c r="F680" s="26" t="str">
        <x:v>Sprint 15</x:v>
      </x:c>
      <x:c r="G680" s="26" t="str">
        <x:v>ADR-0061-RuntimeUICompositionRoot.md</x:v>
      </x:c>
      <x:c r="H680" s="26" t="str">
        <x:v>Markdown</x:v>
      </x:c>
      <x:c r="I680" s="26" t="str">
        <x:v>ADR</x:v>
      </x:c>
      <x:c r="J680" s="26" t="n">
        <x:v>251</x:v>
      </x:c>
      <x:c r="K680" s="26" t="str">
        <x:v>65c71a50143e1217e64a395d48e368db684e9051879a84fe991d293254644fd9</x:v>
      </x:c>
      <x:c r="L680" s="26"/>
      <x:c r="M680" s="26" t="n">
        <x:v>1</x:v>
      </x:c>
      <x:c r="N680" s="26" t="str">
        <x:v>UNIQUE</x:v>
      </x:c>
      <x:c r="O680" s="26"/>
      <x:c r="P680" s="26"/>
      <x:c r="Q680" s="26" t="str">
        <x:v>Development evidence</x:v>
      </x:c>
      <x:c r="R680" s="26" t="str">
        <x:v>RETAIN AS EVIDENCE — NOT REPLACED BY SUMMARY</x:v>
      </x:c>
      <x:c r="S680" s="26" t="str">
        <x:v>10_Development_Records/Sprint_15/Architecture/ADR-0061-RuntimeUICompositionRoot.md</x:v>
      </x:c>
      <x:c r="T680" s="26" t="str">
        <x:v>Historical path preserved verbatim; hash calculated from supplied pre-regeneration project.</x:v>
      </x:c>
    </x:row>
    <x:row r="681" ht="30" customHeight="1">
      <x:c r="A681" s="26" t="str">
        <x:v>H-0677</x:v>
      </x:c>
      <x:c r="B681" s="26" t="str">
        <x:v>Development Records</x:v>
      </x:c>
      <x:c r="C681" s="26"/>
      <x:c r="D681" s="26" t="str">
        <x:v>Sprint_15</x:v>
      </x:c>
      <x:c r="E681" s="26" t="str">
        <x:v>Architecture</x:v>
      </x:c>
      <x:c r="F681" s="26" t="str">
        <x:v>Sprint 15</x:v>
      </x:c>
      <x:c r="G681" s="26" t="str">
        <x:v>ADR-0062-SlotUIUsesIntegratedRepository.md</x:v>
      </x:c>
      <x:c r="H681" s="26" t="str">
        <x:v>Markdown</x:v>
      </x:c>
      <x:c r="I681" s="26" t="str">
        <x:v>ADR</x:v>
      </x:c>
      <x:c r="J681" s="26" t="n">
        <x:v>188</x:v>
      </x:c>
      <x:c r="K681" s="26" t="str">
        <x:v>ddaab79fcc1ee70e54e299ef81c1b274c28de02b60cd7ca500b83f0c779a83ae</x:v>
      </x:c>
      <x:c r="L681" s="26"/>
      <x:c r="M681" s="26" t="n">
        <x:v>1</x:v>
      </x:c>
      <x:c r="N681" s="26" t="str">
        <x:v>UNIQUE</x:v>
      </x:c>
      <x:c r="O681" s="26"/>
      <x:c r="P681" s="26"/>
      <x:c r="Q681" s="26" t="str">
        <x:v>Development evidence</x:v>
      </x:c>
      <x:c r="R681" s="26" t="str">
        <x:v>RETAIN AS EVIDENCE — NOT REPLACED BY SUMMARY</x:v>
      </x:c>
      <x:c r="S681" s="26" t="str">
        <x:v>10_Development_Records/Sprint_15/Architecture/ADR-0062-SlotUIUsesIntegratedRepository.md</x:v>
      </x:c>
      <x:c r="T681" s="26" t="str">
        <x:v>Historical path preserved verbatim; hash calculated from supplied pre-regeneration project.</x:v>
      </x:c>
    </x:row>
    <x:row r="682" ht="30" customHeight="1">
      <x:c r="A682" s="26" t="str">
        <x:v>H-0678</x:v>
      </x:c>
      <x:c r="B682" s="26" t="str">
        <x:v>Development Records</x:v>
      </x:c>
      <x:c r="C682" s="26"/>
      <x:c r="D682" s="26" t="str">
        <x:v>Sprint_15</x:v>
      </x:c>
      <x:c r="E682" s="26" t="str">
        <x:v>Architecture</x:v>
      </x:c>
      <x:c r="F682" s="26" t="str">
        <x:v>Sprint 15</x:v>
      </x:c>
      <x:c r="G682" s="26" t="str">
        <x:v>ADR-0063-ClosedDayAutosaveIdempotency.md</x:v>
      </x:c>
      <x:c r="H682" s="26" t="str">
        <x:v>Markdown</x:v>
      </x:c>
      <x:c r="I682" s="26" t="str">
        <x:v>ADR</x:v>
      </x:c>
      <x:c r="J682" s="26" t="n">
        <x:v>200</x:v>
      </x:c>
      <x:c r="K682" s="26" t="str">
        <x:v>8575a38534155149713d4c711e65216ce43402c06dce60d181fbad87d806ad59</x:v>
      </x:c>
      <x:c r="L682" s="26"/>
      <x:c r="M682" s="26" t="n">
        <x:v>1</x:v>
      </x:c>
      <x:c r="N682" s="26" t="str">
        <x:v>UNIQUE</x:v>
      </x:c>
      <x:c r="O682" s="26"/>
      <x:c r="P682" s="26"/>
      <x:c r="Q682" s="26" t="str">
        <x:v>Development evidence</x:v>
      </x:c>
      <x:c r="R682" s="26" t="str">
        <x:v>RETAIN AS EVIDENCE — NOT REPLACED BY SUMMARY</x:v>
      </x:c>
      <x:c r="S682" s="26" t="str">
        <x:v>10_Development_Records/Sprint_15/Architecture/ADR-0063-ClosedDayAutosaveIdempotency.md</x:v>
      </x:c>
      <x:c r="T682" s="26" t="str">
        <x:v>Historical path preserved verbatim; hash calculated from supplied pre-regeneration project.</x:v>
      </x:c>
    </x:row>
    <x:row r="683" ht="30" customHeight="1">
      <x:c r="A683" s="26" t="str">
        <x:v>H-0679</x:v>
      </x:c>
      <x:c r="B683" s="26" t="str">
        <x:v>Development Records</x:v>
      </x:c>
      <x:c r="C683" s="26"/>
      <x:c r="D683" s="26" t="str">
        <x:v>Sprint_15</x:v>
      </x:c>
      <x:c r="E683" s="26" t="str">
        <x:v>Architecture</x:v>
      </x:c>
      <x:c r="F683" s="26" t="str">
        <x:v>Sprint 15</x:v>
      </x:c>
      <x:c r="G683" s="26" t="str">
        <x:v>ADR-0064-TutorialProgressSidecar.md</x:v>
      </x:c>
      <x:c r="H683" s="26" t="str">
        <x:v>Markdown</x:v>
      </x:c>
      <x:c r="I683" s="26" t="str">
        <x:v>ADR</x:v>
      </x:c>
      <x:c r="J683" s="26" t="n">
        <x:v>201</x:v>
      </x:c>
      <x:c r="K683" s="26" t="str">
        <x:v>d2cdde79c43ec5206b0f28cd4e4d5542210988058e9039cd6c510e41b8992b85</x:v>
      </x:c>
      <x:c r="L683" s="26"/>
      <x:c r="M683" s="26" t="n">
        <x:v>1</x:v>
      </x:c>
      <x:c r="N683" s="26" t="str">
        <x:v>UNIQUE</x:v>
      </x:c>
      <x:c r="O683" s="26"/>
      <x:c r="P683" s="26"/>
      <x:c r="Q683" s="26" t="str">
        <x:v>Development evidence</x:v>
      </x:c>
      <x:c r="R683" s="26" t="str">
        <x:v>RETAIN AS EVIDENCE — NOT REPLACED BY SUMMARY</x:v>
      </x:c>
      <x:c r="S683" s="26" t="str">
        <x:v>10_Development_Records/Sprint_15/Architecture/ADR-0064-TutorialProgressSidecar.md</x:v>
      </x:c>
      <x:c r="T683" s="26" t="str">
        <x:v>Historical path preserved verbatim; hash calculated from supplied pre-regeneration project.</x:v>
      </x:c>
    </x:row>
    <x:row r="684" ht="30" customHeight="1">
      <x:c r="A684" s="26" t="str">
        <x:v>H-0680</x:v>
      </x:c>
      <x:c r="B684" s="26" t="str">
        <x:v>Development Records</x:v>
      </x:c>
      <x:c r="C684" s="26"/>
      <x:c r="D684" s="26" t="str">
        <x:v>Sprint_15</x:v>
      </x:c>
      <x:c r="E684" s="26" t="str">
        <x:v>Architecture</x:v>
      </x:c>
      <x:c r="F684" s="26" t="str">
        <x:v>Sprint 15</x:v>
      </x:c>
      <x:c r="G684" s="26" t="str">
        <x:v>ADR-0065-GlobalAccessibilityPreferences.md</x:v>
      </x:c>
      <x:c r="H684" s="26" t="str">
        <x:v>Markdown</x:v>
      </x:c>
      <x:c r="I684" s="26" t="str">
        <x:v>ADR</x:v>
      </x:c>
      <x:c r="J684" s="26" t="n">
        <x:v>202</x:v>
      </x:c>
      <x:c r="K684" s="26" t="str">
        <x:v>2d42a2ba223eea0dd142a1c34949bf6095b257b8790b7ad36aabf0ae3fd4f30f</x:v>
      </x:c>
      <x:c r="L684" s="26"/>
      <x:c r="M684" s="26" t="n">
        <x:v>1</x:v>
      </x:c>
      <x:c r="N684" s="26" t="str">
        <x:v>UNIQUE</x:v>
      </x:c>
      <x:c r="O684" s="26"/>
      <x:c r="P684" s="26"/>
      <x:c r="Q684" s="26" t="str">
        <x:v>Development evidence</x:v>
      </x:c>
      <x:c r="R684" s="26" t="str">
        <x:v>RETAIN AS EVIDENCE — NOT REPLACED BY SUMMARY</x:v>
      </x:c>
      <x:c r="S684" s="26" t="str">
        <x:v>10_Development_Records/Sprint_15/Architecture/ADR-0065-GlobalAccessibilityPreferences.md</x:v>
      </x:c>
      <x:c r="T684" s="26" t="str">
        <x:v>Historical path preserved verbatim; hash calculated from supplied pre-regeneration project.</x:v>
      </x:c>
    </x:row>
    <x:row r="685" ht="30" customHeight="1">
      <x:c r="A685" s="26" t="str">
        <x:v>H-0681</x:v>
      </x:c>
      <x:c r="B685" s="26" t="str">
        <x:v>Development Records</x:v>
      </x:c>
      <x:c r="C685" s="26"/>
      <x:c r="D685" s="26" t="str">
        <x:v>Sprint_15</x:v>
      </x:c>
      <x:c r="E685" s="26" t="str">
        <x:v>Architecture</x:v>
      </x:c>
      <x:c r="F685" s="26" t="str">
        <x:v>Sprint 15</x:v>
      </x:c>
      <x:c r="G685" s="26" t="str">
        <x:v>ADR-0066-ExclusiveUIInput.md</x:v>
      </x:c>
      <x:c r="H685" s="26" t="str">
        <x:v>Markdown</x:v>
      </x:c>
      <x:c r="I685" s="26" t="str">
        <x:v>ADR</x:v>
      </x:c>
      <x:c r="J685" s="26" t="n">
        <x:v>193</x:v>
      </x:c>
      <x:c r="K685" s="26" t="str">
        <x:v>dd52812f99015a563282f87506a4b57884e6c41b4f0f9488cfb4d58944d74bbe</x:v>
      </x:c>
      <x:c r="L685" s="26"/>
      <x:c r="M685" s="26" t="n">
        <x:v>1</x:v>
      </x:c>
      <x:c r="N685" s="26" t="str">
        <x:v>UNIQUE</x:v>
      </x:c>
      <x:c r="O685" s="26"/>
      <x:c r="P685" s="26"/>
      <x:c r="Q685" s="26" t="str">
        <x:v>Development evidence</x:v>
      </x:c>
      <x:c r="R685" s="26" t="str">
        <x:v>RETAIN AS EVIDENCE — NOT REPLACED BY SUMMARY</x:v>
      </x:c>
      <x:c r="S685" s="26" t="str">
        <x:v>10_Development_Records/Sprint_15/Architecture/ADR-0066-ExclusiveUIInput.md</x:v>
      </x:c>
      <x:c r="T685" s="26" t="str">
        <x:v>Historical path preserved verbatim; hash calculated from supplied pre-regeneration project.</x:v>
      </x:c>
    </x:row>
    <x:row r="686" ht="30" customHeight="1">
      <x:c r="A686" s="26" t="str">
        <x:v>H-0682</x:v>
      </x:c>
      <x:c r="B686" s="26" t="str">
        <x:v>Development Records</x:v>
      </x:c>
      <x:c r="C686" s="26"/>
      <x:c r="D686" s="26" t="str">
        <x:v>Sprint_15</x:v>
      </x:c>
      <x:c r="E686" s="26" t="str">
        <x:v>Documentation</x:v>
      </x:c>
      <x:c r="F686" s="26" t="str">
        <x:v>Sprint 15</x:v>
      </x:c>
      <x:c r="G686" s="26" t="str">
        <x:v>S15_PostImplementation_Record.md</x:v>
      </x:c>
      <x:c r="H686" s="26" t="str">
        <x:v>Markdown</x:v>
      </x:c>
      <x:c r="I686" s="26" t="str">
        <x:v>Historical document / record</x:v>
      </x:c>
      <x:c r="J686" s="26" t="n">
        <x:v>1276</x:v>
      </x:c>
      <x:c r="K686" s="26" t="str">
        <x:v>7d942b11542da16a2fba0e01edd20a7fc4bd43000f1b48e49c23bc7b6f389cd0</x:v>
      </x:c>
      <x:c r="L686" s="26"/>
      <x:c r="M686" s="26" t="n">
        <x:v>1</x:v>
      </x:c>
      <x:c r="N686" s="26" t="str">
        <x:v>UNIQUE</x:v>
      </x:c>
      <x:c r="O686" s="26"/>
      <x:c r="P686" s="26"/>
      <x:c r="Q686" s="26" t="str">
        <x:v>Development evidence</x:v>
      </x:c>
      <x:c r="R686" s="26" t="str">
        <x:v>RETAIN AS EVIDENCE — NOT REPLACED BY SUMMARY</x:v>
      </x:c>
      <x:c r="S686" s="26" t="str">
        <x:v>10_Development_Records/Sprint_15/Documentation/S15_PostImplementation_Record.md</x:v>
      </x:c>
      <x:c r="T686" s="26" t="str">
        <x:v>Historical path preserved verbatim; hash calculated from supplied pre-regeneration project.</x:v>
      </x:c>
    </x:row>
    <x:row r="687" ht="30" customHeight="1">
      <x:c r="A687" s="26" t="str">
        <x:v>H-0683</x:v>
      </x:c>
      <x:c r="B687" s="26" t="str">
        <x:v>Development Records</x:v>
      </x:c>
      <x:c r="C687" s="26"/>
      <x:c r="D687" s="26" t="str">
        <x:v>Sprint_15</x:v>
      </x:c>
      <x:c r="E687" s="26" t="str">
        <x:v>Documentation</x:v>
      </x:c>
      <x:c r="F687" s="26" t="str">
        <x:v>Sprint 15</x:v>
      </x:c>
      <x:c r="G687" s="26" t="str">
        <x:v>S15_PreImplementation_Record.md</x:v>
      </x:c>
      <x:c r="H687" s="26" t="str">
        <x:v>Markdown</x:v>
      </x:c>
      <x:c r="I687" s="26" t="str">
        <x:v>Historical document / record</x:v>
      </x:c>
      <x:c r="J687" s="26" t="n">
        <x:v>421</x:v>
      </x:c>
      <x:c r="K687" s="26" t="str">
        <x:v>808772ba91a3972ed43ca172799de9d3d7fc170b34d33267186b4c4822db49ce</x:v>
      </x:c>
      <x:c r="L687" s="26"/>
      <x:c r="M687" s="26" t="n">
        <x:v>1</x:v>
      </x:c>
      <x:c r="N687" s="26" t="str">
        <x:v>UNIQUE</x:v>
      </x:c>
      <x:c r="O687" s="26"/>
      <x:c r="P687" s="26"/>
      <x:c r="Q687" s="26" t="str">
        <x:v>Development evidence</x:v>
      </x:c>
      <x:c r="R687" s="26" t="str">
        <x:v>RETAIN AS EVIDENCE — NOT REPLACED BY SUMMARY</x:v>
      </x:c>
      <x:c r="S687" s="26" t="str">
        <x:v>10_Development_Records/Sprint_15/Documentation/S15_PreImplementation_Record.md</x:v>
      </x:c>
      <x:c r="T687" s="26" t="str">
        <x:v>Historical path preserved verbatim; hash calculated from supplied pre-regeneration project.</x:v>
      </x:c>
    </x:row>
    <x:row r="688" ht="30" customHeight="1">
      <x:c r="A688" s="26" t="str">
        <x:v>H-0684</x:v>
      </x:c>
      <x:c r="B688" s="26" t="str">
        <x:v>Development Records</x:v>
      </x:c>
      <x:c r="C688" s="26"/>
      <x:c r="D688" s="26" t="str">
        <x:v>Sprint_15</x:v>
      </x:c>
      <x:c r="E688" s="26" t="str">
        <x:v>Governance</x:v>
      </x:c>
      <x:c r="F688" s="26" t="str">
        <x:v>Sprint 15</x:v>
      </x:c>
      <x:c r="G688" s="26" t="str">
        <x:v>Sprint_15_Charter.md</x:v>
      </x:c>
      <x:c r="H688" s="26" t="str">
        <x:v>Markdown</x:v>
      </x:c>
      <x:c r="I688" s="26" t="str">
        <x:v>Sprint charter</x:v>
      </x:c>
      <x:c r="J688" s="26" t="n">
        <x:v>1462</x:v>
      </x:c>
      <x:c r="K688" s="26" t="str">
        <x:v>777cde8726943ec8864b5e5639261303bf1cf82c7c165be083c9a9efa7e29072</x:v>
      </x:c>
      <x:c r="L688" s="26"/>
      <x:c r="M688" s="26" t="n">
        <x:v>1</x:v>
      </x:c>
      <x:c r="N688" s="26" t="str">
        <x:v>UNIQUE</x:v>
      </x:c>
      <x:c r="O688" s="26"/>
      <x:c r="P688" s="26"/>
      <x:c r="Q688" s="26" t="str">
        <x:v>Development evidence</x:v>
      </x:c>
      <x:c r="R688" s="26" t="str">
        <x:v>RETAIN AS EVIDENCE — NOT REPLACED BY SUMMARY</x:v>
      </x:c>
      <x:c r="S688" s="26" t="str">
        <x:v>10_Development_Records/Sprint_15/Governance/Sprint_15_Charter.md</x:v>
      </x:c>
      <x:c r="T688" s="26" t="str">
        <x:v>Historical path preserved verbatim; hash calculated from supplied pre-regeneration project.</x:v>
      </x:c>
    </x:row>
    <x:row r="689" ht="30" customHeight="1">
      <x:c r="A689" s="26" t="str">
        <x:v>H-0685</x:v>
      </x:c>
      <x:c r="B689" s="26" t="str">
        <x:v>Development Records</x:v>
      </x:c>
      <x:c r="C689" s="26"/>
      <x:c r="D689" s="26" t="str">
        <x:v>Sprint_15</x:v>
      </x:c>
      <x:c r="E689" s="26" t="str">
        <x:v>Governance</x:v>
      </x:c>
      <x:c r="F689" s="26" t="str">
        <x:v>Sprint 15</x:v>
      </x:c>
      <x:c r="G689" s="26" t="str">
        <x:v>Sprint_15_Current_Status.md</x:v>
      </x:c>
      <x:c r="H689" s="26" t="str">
        <x:v>Markdown</x:v>
      </x:c>
      <x:c r="I689" s="26" t="str">
        <x:v>Current status</x:v>
      </x:c>
      <x:c r="J689" s="26" t="n">
        <x:v>727</x:v>
      </x:c>
      <x:c r="K689" s="26" t="str">
        <x:v>73b0bc0d6d52ab1ee422ae3768727e4084db01eddd16e79ec773cfeae71ccbb2</x:v>
      </x:c>
      <x:c r="L689" s="26"/>
      <x:c r="M689" s="26" t="n">
        <x:v>1</x:v>
      </x:c>
      <x:c r="N689" s="26" t="str">
        <x:v>UNIQUE</x:v>
      </x:c>
      <x:c r="O689" s="26"/>
      <x:c r="P689" s="26"/>
      <x:c r="Q689" s="26" t="str">
        <x:v>Development evidence</x:v>
      </x:c>
      <x:c r="R689" s="26" t="str">
        <x:v>RETAIN AS EVIDENCE — NOT REPLACED BY SUMMARY</x:v>
      </x:c>
      <x:c r="S689" s="26" t="str">
        <x:v>10_Development_Records/Sprint_15/Governance/Sprint_15_Current_Status.md</x:v>
      </x:c>
      <x:c r="T689" s="26" t="str">
        <x:v>Historical path preserved verbatim; hash calculated from supplied pre-regeneration project.</x:v>
      </x:c>
    </x:row>
    <x:row r="690" ht="30" customHeight="1">
      <x:c r="A690" s="26" t="str">
        <x:v>H-0686</x:v>
      </x:c>
      <x:c r="B690" s="26" t="str">
        <x:v>Development Records</x:v>
      </x:c>
      <x:c r="C690" s="26"/>
      <x:c r="D690" s="26" t="str">
        <x:v>Sprint_15</x:v>
      </x:c>
      <x:c r="E690" s="26" t="str">
        <x:v>QA</x:v>
      </x:c>
      <x:c r="F690" s="26" t="str">
        <x:v>Sprint 15</x:v>
      </x:c>
      <x:c r="G690" s="26" t="str">
        <x:v>S15_Acceptance_Matrix.md</x:v>
      </x:c>
      <x:c r="H690" s="26" t="str">
        <x:v>Markdown</x:v>
      </x:c>
      <x:c r="I690" s="26" t="str">
        <x:v>Acceptance matrix</x:v>
      </x:c>
      <x:c r="J690" s="26" t="n">
        <x:v>744</x:v>
      </x:c>
      <x:c r="K690" s="26" t="str">
        <x:v>ef5c3d5a5d788d7a52965e858620ca76d260711f96e5132bb7938c765b6762da</x:v>
      </x:c>
      <x:c r="L690" s="26"/>
      <x:c r="M690" s="26" t="n">
        <x:v>1</x:v>
      </x:c>
      <x:c r="N690" s="26" t="str">
        <x:v>UNIQUE</x:v>
      </x:c>
      <x:c r="O690" s="26" t="str">
        <x:v>31</x:v>
      </x:c>
      <x:c r="P690" s="26" t="str">
        <x:v>02, 07, 08, 11, 13, 16, 31</x:v>
      </x:c>
      <x:c r="Q690" s="26" t="str">
        <x:v>Development evidence</x:v>
      </x:c>
      <x:c r="R690" s="26" t="str">
        <x:v>RETAIN AS EVIDENCE — NOT REPLACED BY SUMMARY</x:v>
      </x:c>
      <x:c r="S690" s="26" t="str">
        <x:v>10_Development_Records/Sprint_15/QA/S15_Acceptance_Matrix.md</x:v>
      </x:c>
      <x:c r="T690" s="26" t="str">
        <x:v>Historical path preserved verbatim; hash calculated from supplied pre-regeneration project.</x:v>
      </x:c>
    </x:row>
    <x:row r="691" ht="30" customHeight="1">
      <x:c r="A691" s="26" t="str">
        <x:v>H-0687</x:v>
      </x:c>
      <x:c r="B691" s="26" t="str">
        <x:v>Development Records</x:v>
      </x:c>
      <x:c r="C691" s="26"/>
      <x:c r="D691" s="26" t="str">
        <x:v>Sprint_15</x:v>
      </x:c>
      <x:c r="E691" s="26" t="str">
        <x:v>QA</x:v>
      </x:c>
      <x:c r="F691" s="26" t="str">
        <x:v>Sprint 15</x:v>
      </x:c>
      <x:c r="G691" s="26" t="str">
        <x:v>S15_Build_Execution_Record.md</x:v>
      </x:c>
      <x:c r="H691" s="26" t="str">
        <x:v>Markdown</x:v>
      </x:c>
      <x:c r="I691" s="26" t="str">
        <x:v>Build execution evidence</x:v>
      </x:c>
      <x:c r="J691" s="26" t="n">
        <x:v>359</x:v>
      </x:c>
      <x:c r="K691" s="26" t="str">
        <x:v>cb74c7605f9918b31b4f49ebbe0f63004b03886d5468bd258a3eb6f83ea9b61a</x:v>
      </x:c>
      <x:c r="L691" s="26"/>
      <x:c r="M691" s="26" t="n">
        <x:v>1</x:v>
      </x:c>
      <x:c r="N691" s="26" t="str">
        <x:v>UNIQUE</x:v>
      </x:c>
      <x:c r="O691" s="26" t="str">
        <x:v>31</x:v>
      </x:c>
      <x:c r="P691" s="26" t="str">
        <x:v>02, 07, 08, 11, 13, 16, 31</x:v>
      </x:c>
      <x:c r="Q691" s="26" t="str">
        <x:v>Development evidence</x:v>
      </x:c>
      <x:c r="R691" s="26" t="str">
        <x:v>RETAIN AS EVIDENCE — NOT REPLACED BY SUMMARY</x:v>
      </x:c>
      <x:c r="S691" s="26" t="str">
        <x:v>10_Development_Records/Sprint_15/QA/S15_Build_Execution_Record.md</x:v>
      </x:c>
      <x:c r="T691" s="26" t="str">
        <x:v>Historical path preserved verbatim; hash calculated from supplied pre-regeneration project.</x:v>
      </x:c>
    </x:row>
    <x:row r="692" ht="30" customHeight="1">
      <x:c r="A692" s="26" t="str">
        <x:v>H-0688</x:v>
      </x:c>
      <x:c r="B692" s="26" t="str">
        <x:v>Development Records</x:v>
      </x:c>
      <x:c r="C692" s="26"/>
      <x:c r="D692" s="26" t="str">
        <x:v>Sprint_15</x:v>
      </x:c>
      <x:c r="E692" s="26" t="str">
        <x:v>QA</x:v>
      </x:c>
      <x:c r="F692" s="26" t="str">
        <x:v>Sprint 15</x:v>
      </x:c>
      <x:c r="G692" s="26" t="str">
        <x:v>S15_Manual_Validation_Record.md</x:v>
      </x:c>
      <x:c r="H692" s="26" t="str">
        <x:v>Markdown</x:v>
      </x:c>
      <x:c r="I692" s="26" t="str">
        <x:v>Historical document / record</x:v>
      </x:c>
      <x:c r="J692" s="26" t="n">
        <x:v>531</x:v>
      </x:c>
      <x:c r="K692" s="26" t="str">
        <x:v>cf0bf9e50007e2211b0404ef541a9ba1b23c97b6eb7909403c16e601f77b655a</x:v>
      </x:c>
      <x:c r="L692" s="26"/>
      <x:c r="M692" s="26" t="n">
        <x:v>1</x:v>
      </x:c>
      <x:c r="N692" s="26" t="str">
        <x:v>UNIQUE</x:v>
      </x:c>
      <x:c r="O692" s="26"/>
      <x:c r="P692" s="26"/>
      <x:c r="Q692" s="26" t="str">
        <x:v>Development evidence</x:v>
      </x:c>
      <x:c r="R692" s="26" t="str">
        <x:v>RETAIN AS EVIDENCE — NOT REPLACED BY SUMMARY</x:v>
      </x:c>
      <x:c r="S692" s="26" t="str">
        <x:v>10_Development_Records/Sprint_15/QA/S15_Manual_Validation_Record.md</x:v>
      </x:c>
      <x:c r="T692" s="26" t="str">
        <x:v>Historical path preserved verbatim; hash calculated from supplied pre-regeneration project.</x:v>
      </x:c>
    </x:row>
    <x:row r="693" ht="30" customHeight="1">
      <x:c r="A693" s="26" t="str">
        <x:v>H-0689</x:v>
      </x:c>
      <x:c r="B693" s="26" t="str">
        <x:v>Development Records</x:v>
      </x:c>
      <x:c r="C693" s="26"/>
      <x:c r="D693" s="26" t="str">
        <x:v>Sprint_15</x:v>
      </x:c>
      <x:c r="E693" s="26" t="str">
        <x:v>QA</x:v>
      </x:c>
      <x:c r="F693" s="26" t="str">
        <x:v>Sprint 15</x:v>
      </x:c>
      <x:c r="G693" s="26" t="str">
        <x:v>S15_QA_Execution_Record.md</x:v>
      </x:c>
      <x:c r="H693" s="26" t="str">
        <x:v>Markdown</x:v>
      </x:c>
      <x:c r="I693" s="26" t="str">
        <x:v>QA execution evidence</x:v>
      </x:c>
      <x:c r="J693" s="26" t="n">
        <x:v>373</x:v>
      </x:c>
      <x:c r="K693" s="26" t="str">
        <x:v>317dd72193364df1dd104ef8be879fa22dbd4f8374e3e0bd454fef8f0881277d</x:v>
      </x:c>
      <x:c r="L693" s="26"/>
      <x:c r="M693" s="26" t="n">
        <x:v>1</x:v>
      </x:c>
      <x:c r="N693" s="26" t="str">
        <x:v>UNIQUE</x:v>
      </x:c>
      <x:c r="O693" s="26" t="str">
        <x:v>31</x:v>
      </x:c>
      <x:c r="P693" s="26" t="str">
        <x:v>02, 07, 08, 11, 13, 16, 31</x:v>
      </x:c>
      <x:c r="Q693" s="26" t="str">
        <x:v>Development evidence</x:v>
      </x:c>
      <x:c r="R693" s="26" t="str">
        <x:v>RETAIN AS EVIDENCE — NOT REPLACED BY SUMMARY</x:v>
      </x:c>
      <x:c r="S693" s="26" t="str">
        <x:v>10_Development_Records/Sprint_15/QA/S15_QA_Execution_Record.md</x:v>
      </x:c>
      <x:c r="T693" s="26" t="str">
        <x:v>Historical path preserved verbatim; hash calculated from supplied pre-regeneration project.</x:v>
      </x:c>
    </x:row>
    <x:row r="694" ht="30" customHeight="1">
      <x:c r="A694" s="26" t="str">
        <x:v>H-0690</x:v>
      </x:c>
      <x:c r="B694" s="26" t="str">
        <x:v>Development Records</x:v>
      </x:c>
      <x:c r="C694" s="26"/>
      <x:c r="D694" s="26" t="str">
        <x:v>Sprint_15</x:v>
      </x:c>
      <x:c r="E694" s="26" t="str">
        <x:v>QA</x:v>
      </x:c>
      <x:c r="F694" s="26" t="str">
        <x:v>Sprint 15</x:v>
      </x:c>
      <x:c r="G694" s="26" t="str">
        <x:v>S15_Test_Plan.md</x:v>
      </x:c>
      <x:c r="H694" s="26" t="str">
        <x:v>Markdown</x:v>
      </x:c>
      <x:c r="I694" s="26" t="str">
        <x:v>Historical document / record</x:v>
      </x:c>
      <x:c r="J694" s="26" t="n">
        <x:v>562</x:v>
      </x:c>
      <x:c r="K694" s="26" t="str">
        <x:v>d0d52d54433180bf3c4995a933def70b47ce5712a538d3abed7823f8a2dbc983</x:v>
      </x:c>
      <x:c r="L694" s="26"/>
      <x:c r="M694" s="26" t="n">
        <x:v>1</x:v>
      </x:c>
      <x:c r="N694" s="26" t="str">
        <x:v>UNIQUE</x:v>
      </x:c>
      <x:c r="O694" s="26"/>
      <x:c r="P694" s="26"/>
      <x:c r="Q694" s="26" t="str">
        <x:v>Development evidence</x:v>
      </x:c>
      <x:c r="R694" s="26" t="str">
        <x:v>RETAIN AS EVIDENCE — NOT REPLACED BY SUMMARY</x:v>
      </x:c>
      <x:c r="S694" s="26" t="str">
        <x:v>10_Development_Records/Sprint_15/QA/S15_Test_Plan.md</x:v>
      </x:c>
      <x:c r="T694" s="26" t="str">
        <x:v>Historical path preserved verbatim; hash calculated from supplied pre-regeneration project.</x:v>
      </x:c>
    </x:row>
    <x:row r="695" ht="30" customHeight="1">
      <x:c r="A695" s="26" t="str">
        <x:v>H-0691</x:v>
      </x:c>
      <x:c r="B695" s="26" t="str">
        <x:v>Development Records</x:v>
      </x:c>
      <x:c r="C695" s="26"/>
      <x:c r="D695" s="26" t="str">
        <x:v>Sprint_15</x:v>
      </x:c>
      <x:c r="E695" s="26" t="str">
        <x:v>QA</x:v>
      </x:c>
      <x:c r="F695" s="26" t="str">
        <x:v>Sprint 15</x:v>
      </x:c>
      <x:c r="G695" s="26" t="str">
        <x:v>S15_Validation_Checklist.md</x:v>
      </x:c>
      <x:c r="H695" s="26" t="str">
        <x:v>Markdown</x:v>
      </x:c>
      <x:c r="I695" s="26" t="str">
        <x:v>Validation checklist</x:v>
      </x:c>
      <x:c r="J695" s="26" t="n">
        <x:v>485</x:v>
      </x:c>
      <x:c r="K695" s="26" t="str">
        <x:v>8af2c23ba1b2ae2eba5aa79c54c4c1af474773eae4814e2a1fb124f3611eaaff</x:v>
      </x:c>
      <x:c r="L695" s="26"/>
      <x:c r="M695" s="26" t="n">
        <x:v>1</x:v>
      </x:c>
      <x:c r="N695" s="26" t="str">
        <x:v>UNIQUE</x:v>
      </x:c>
      <x:c r="O695" s="26" t="str">
        <x:v>31</x:v>
      </x:c>
      <x:c r="P695" s="26" t="str">
        <x:v>02, 07, 08, 11, 13, 16, 31</x:v>
      </x:c>
      <x:c r="Q695" s="26" t="str">
        <x:v>Development evidence</x:v>
      </x:c>
      <x:c r="R695" s="26" t="str">
        <x:v>RETAIN AS EVIDENCE — NOT REPLACED BY SUMMARY</x:v>
      </x:c>
      <x:c r="S695" s="26" t="str">
        <x:v>10_Development_Records/Sprint_15/QA/S15_Validation_Checklist.md</x:v>
      </x:c>
      <x:c r="T695" s="26" t="str">
        <x:v>Historical path preserved verbatim; hash calculated from supplied pre-regeneration project.</x:v>
      </x:c>
    </x:row>
    <x:row r="696" ht="30" customHeight="1">
      <x:c r="A696" s="26" t="str">
        <x:v>H-0692</x:v>
      </x:c>
      <x:c r="B696" s="26" t="str">
        <x:v>Development Records</x:v>
      </x:c>
      <x:c r="C696" s="26"/>
      <x:c r="D696" s="26" t="str">
        <x:v>Sprint_15</x:v>
      </x:c>
      <x:c r="E696" s="26" t="str">
        <x:v>Sprint_15_Closure_Report.md</x:v>
      </x:c>
      <x:c r="F696" s="26" t="str">
        <x:v>Sprint 15</x:v>
      </x:c>
      <x:c r="G696" s="26" t="str">
        <x:v>Sprint_15_Closure_Report.md</x:v>
      </x:c>
      <x:c r="H696" s="26" t="str">
        <x:v>Markdown</x:v>
      </x:c>
      <x:c r="I696" s="26" t="str">
        <x:v>Sprint closure</x:v>
      </x:c>
      <x:c r="J696" s="26" t="n">
        <x:v>1205</x:v>
      </x:c>
      <x:c r="K696" s="26" t="str">
        <x:v>343d252b625e600cebccec2fc9a37c825228dc7eab7052ace8ce353b5f4c859f</x:v>
      </x:c>
      <x:c r="L696" s="26"/>
      <x:c r="M696" s="26" t="n">
        <x:v>1</x:v>
      </x:c>
      <x:c r="N696" s="26" t="str">
        <x:v>UNIQUE</x:v>
      </x:c>
      <x:c r="O696" s="26"/>
      <x:c r="P696" s="26"/>
      <x:c r="Q696" s="26" t="str">
        <x:v>Development evidence</x:v>
      </x:c>
      <x:c r="R696" s="26" t="str">
        <x:v>RETAIN AS EVIDENCE — NOT REPLACED BY SUMMARY</x:v>
      </x:c>
      <x:c r="S696" s="26" t="str">
        <x:v>10_Development_Records/Sprint_15/Sprint_15_Closure_Report.md</x:v>
      </x:c>
      <x:c r="T696" s="26" t="str">
        <x:v>Historical path preserved verbatim; hash calculated from supplied pre-regeneration project.</x:v>
      </x:c>
    </x:row>
    <x:row r="697" ht="30" customHeight="1">
      <x:c r="A697" s="26" t="str">
        <x:v>H-0693</x:v>
      </x:c>
      <x:c r="B697" s="26" t="str">
        <x:v>Development Records</x:v>
      </x:c>
      <x:c r="C697" s="26"/>
      <x:c r="D697" s="26" t="str">
        <x:v>Sprint_15</x:v>
      </x:c>
      <x:c r="E697" s="26" t="str">
        <x:v>Traceability</x:v>
      </x:c>
      <x:c r="F697" s="26" t="str">
        <x:v>Sprint 15</x:v>
      </x:c>
      <x:c r="G697" s="26" t="str">
        <x:v>S15_Document_Impact_Working_Matrix.md</x:v>
      </x:c>
      <x:c r="H697" s="26" t="str">
        <x:v>Markdown</x:v>
      </x:c>
      <x:c r="I697" s="26" t="str">
        <x:v>Traceability entry</x:v>
      </x:c>
      <x:c r="J697" s="26" t="n">
        <x:v>502</x:v>
      </x:c>
      <x:c r="K697" s="26" t="str">
        <x:v>d258d4b5bbc97e64f4041e47a3d3b6f1c873392bde6a4c5d737b11b875ace999</x:v>
      </x:c>
      <x:c r="L697" s="26"/>
      <x:c r="M697" s="26" t="n">
        <x:v>1</x:v>
      </x:c>
      <x:c r="N697" s="26" t="str">
        <x:v>UNIQUE</x:v>
      </x:c>
      <x:c r="O697" s="26"/>
      <x:c r="P697" s="26"/>
      <x:c r="Q697" s="26" t="str">
        <x:v>Development evidence</x:v>
      </x:c>
      <x:c r="R697" s="26" t="str">
        <x:v>RETAIN AS EVIDENCE — NOT REPLACED BY SUMMARY</x:v>
      </x:c>
      <x:c r="S697" s="26" t="str">
        <x:v>10_Development_Records/Sprint_15/Traceability/S15_Document_Impact_Working_Matrix.md</x:v>
      </x:c>
      <x:c r="T697" s="26" t="str">
        <x:v>Historical path preserved verbatim; hash calculated from supplied pre-regeneration project.</x:v>
      </x:c>
    </x:row>
    <x:row r="698" ht="30" customHeight="1">
      <x:c r="A698" s="26" t="str">
        <x:v>H-0694</x:v>
      </x:c>
      <x:c r="B698" s="26" t="str">
        <x:v>Development Records</x:v>
      </x:c>
      <x:c r="C698" s="26"/>
      <x:c r="D698" s="26" t="str">
        <x:v>Sprint_15</x:v>
      </x:c>
      <x:c r="E698" s="26" t="str">
        <x:v>Traceability</x:v>
      </x:c>
      <x:c r="F698" s="26" t="str">
        <x:v>Sprint 15</x:v>
      </x:c>
      <x:c r="G698" s="26" t="str">
        <x:v>S15_Traceability_Entries.csv</x:v>
      </x:c>
      <x:c r="H698" s="26" t="str">
        <x:v>CSV</x:v>
      </x:c>
      <x:c r="I698" s="26" t="str">
        <x:v>Traceability entry</x:v>
      </x:c>
      <x:c r="J698" s="26" t="n">
        <x:v>947</x:v>
      </x:c>
      <x:c r="K698" s="26" t="str">
        <x:v>934092d196b053572b578837ef4090a1f14d41dafc9558e66f5134a56ea9065f</x:v>
      </x:c>
      <x:c r="L698" s="26"/>
      <x:c r="M698" s="26" t="n">
        <x:v>1</x:v>
      </x:c>
      <x:c r="N698" s="26" t="str">
        <x:v>UNIQUE</x:v>
      </x:c>
      <x:c r="O698" s="26"/>
      <x:c r="P698" s="26"/>
      <x:c r="Q698" s="26" t="str">
        <x:v>Development evidence</x:v>
      </x:c>
      <x:c r="R698" s="26" t="str">
        <x:v>RETAIN AS EVIDENCE — NOT REPLACED BY SUMMARY</x:v>
      </x:c>
      <x:c r="S698" s="26" t="str">
        <x:v>10_Development_Records/Sprint_15/Traceability/S15_Traceability_Entries.csv</x:v>
      </x:c>
      <x:c r="T698" s="26" t="str">
        <x:v>Historical path preserved verbatim; hash calculated from supplied pre-regeneration project.</x:v>
      </x:c>
    </x:row>
    <x:row r="699" ht="30" customHeight="1">
      <x:c r="A699" s="26" t="str">
        <x:v>H-0695</x:v>
      </x:c>
      <x:c r="B699" s="26" t="str">
        <x:v>Development Records</x:v>
      </x:c>
      <x:c r="C699" s="26"/>
      <x:c r="D699" s="26" t="str">
        <x:v>Sprint_16</x:v>
      </x:c>
      <x:c r="E699" s="26" t="str">
        <x:v>Governance</x:v>
      </x:c>
      <x:c r="F699" s="26" t="str">
        <x:v>Sprint 16</x:v>
      </x:c>
      <x:c r="G699" s="26" t="str">
        <x:v>Sprint_16_Two_Phase_Charter.md</x:v>
      </x:c>
      <x:c r="H699" s="26" t="str">
        <x:v>Markdown</x:v>
      </x:c>
      <x:c r="I699" s="26" t="str">
        <x:v>Sprint charter</x:v>
      </x:c>
      <x:c r="J699" s="26" t="n">
        <x:v>640</x:v>
      </x:c>
      <x:c r="K699" s="26" t="str">
        <x:v>b191b8b5d47654141df7860d6a79430552cc68e1bcdc786d1d4fef55583dc605</x:v>
      </x:c>
      <x:c r="L699" s="26"/>
      <x:c r="M699" s="26" t="n">
        <x:v>1</x:v>
      </x:c>
      <x:c r="N699" s="26" t="str">
        <x:v>UNIQUE</x:v>
      </x:c>
      <x:c r="O699" s="26"/>
      <x:c r="P699" s="26"/>
      <x:c r="Q699" s="26" t="str">
        <x:v>Development evidence</x:v>
      </x:c>
      <x:c r="R699" s="26" t="str">
        <x:v>RETAIN AS EVIDENCE — NOT REPLACED BY SUMMARY</x:v>
      </x:c>
      <x:c r="S699" s="26" t="str">
        <x:v>10_Development_Records/Sprint_16/Governance/Sprint_16_Two_Phase_Charter.md</x:v>
      </x:c>
      <x:c r="T699" s="26" t="str">
        <x:v>Historical path preserved verbatim; hash calculated from supplied pre-regeneration project.</x:v>
      </x:c>
    </x:row>
    <x:row r="700" ht="30" customHeight="1">
      <x:c r="A700" s="26" t="str">
        <x:v>H-0696</x:v>
      </x:c>
      <x:c r="B700" s="26" t="str">
        <x:v>Development Records</x:v>
      </x:c>
      <x:c r="C700" s="26"/>
      <x:c r="D700" s="26" t="str">
        <x:v>Sprint_16</x:v>
      </x:c>
      <x:c r="E700" s="26" t="str">
        <x:v>Phase_1</x:v>
      </x:c>
      <x:c r="F700" s="26" t="str">
        <x:v>Sprint 16</x:v>
      </x:c>
      <x:c r="G700" s="26" t="str">
        <x:v>ADR-0067-Sprint16TwoPhaseDelivery.md</x:v>
      </x:c>
      <x:c r="H700" s="26" t="str">
        <x:v>Markdown</x:v>
      </x:c>
      <x:c r="I700" s="26" t="str">
        <x:v>ADR</x:v>
      </x:c>
      <x:c r="J700" s="26" t="n">
        <x:v>214</x:v>
      </x:c>
      <x:c r="K700" s="26" t="str">
        <x:v>59f759e966b057f091473d52cf205d1a089a0917d2f8fff80342ca8ce2ca0a75</x:v>
      </x:c>
      <x:c r="L700" s="26"/>
      <x:c r="M700" s="26" t="n">
        <x:v>1</x:v>
      </x:c>
      <x:c r="N700" s="26" t="str">
        <x:v>UNIQUE</x:v>
      </x:c>
      <x:c r="O700" s="26"/>
      <x:c r="P700" s="26"/>
      <x:c r="Q700" s="26" t="str">
        <x:v>Development evidence</x:v>
      </x:c>
      <x:c r="R700" s="26" t="str">
        <x:v>RETAIN AS EVIDENCE — NOT REPLACED BY SUMMARY</x:v>
      </x:c>
      <x:c r="S700" s="26" t="str">
        <x:v>10_Development_Records/Sprint_16/Phase_1/Architecture/ADR-0067-Sprint16TwoPhaseDelivery.md</x:v>
      </x:c>
      <x:c r="T700" s="26" t="str">
        <x:v>Historical path preserved verbatim; hash calculated from supplied pre-regeneration project.</x:v>
      </x:c>
    </x:row>
    <x:row r="701" ht="30" customHeight="1">
      <x:c r="A701" s="26" t="str">
        <x:v>H-0697</x:v>
      </x:c>
      <x:c r="B701" s="26" t="str">
        <x:v>Development Records</x:v>
      </x:c>
      <x:c r="C701" s="26"/>
      <x:c r="D701" s="26" t="str">
        <x:v>Sprint_16</x:v>
      </x:c>
      <x:c r="E701" s="26" t="str">
        <x:v>Phase_1</x:v>
      </x:c>
      <x:c r="F701" s="26" t="str">
        <x:v>Sprint 16</x:v>
      </x:c>
      <x:c r="G701" s="26" t="str">
        <x:v>ADR-0068-PurePhase1Sidecar.md</x:v>
      </x:c>
      <x:c r="H701" s="26" t="str">
        <x:v>Markdown</x:v>
      </x:c>
      <x:c r="I701" s="26" t="str">
        <x:v>ADR</x:v>
      </x:c>
      <x:c r="J701" s="26" t="n">
        <x:v>232</x:v>
      </x:c>
      <x:c r="K701" s="26" t="str">
        <x:v>5a4b767d6daf552a48dc2b4d256b38c698da130b41314243902c4b5fbab68459</x:v>
      </x:c>
      <x:c r="L701" s="26"/>
      <x:c r="M701" s="26" t="n">
        <x:v>1</x:v>
      </x:c>
      <x:c r="N701" s="26" t="str">
        <x:v>UNIQUE</x:v>
      </x:c>
      <x:c r="O701" s="26"/>
      <x:c r="P701" s="26"/>
      <x:c r="Q701" s="26" t="str">
        <x:v>Development evidence</x:v>
      </x:c>
      <x:c r="R701" s="26" t="str">
        <x:v>RETAIN AS EVIDENCE — NOT REPLACED BY SUMMARY</x:v>
      </x:c>
      <x:c r="S701" s="26" t="str">
        <x:v>10_Development_Records/Sprint_16/Phase_1/Architecture/ADR-0068-PurePhase1Sidecar.md</x:v>
      </x:c>
      <x:c r="T701" s="26" t="str">
        <x:v>Historical path preserved verbatim; hash calculated from supplied pre-regeneration project.</x:v>
      </x:c>
    </x:row>
    <x:row r="702" ht="30" customHeight="1">
      <x:c r="A702" s="26" t="str">
        <x:v>H-0698</x:v>
      </x:c>
      <x:c r="B702" s="26" t="str">
        <x:v>Development Records</x:v>
      </x:c>
      <x:c r="C702" s="26"/>
      <x:c r="D702" s="26" t="str">
        <x:v>Sprint_16</x:v>
      </x:c>
      <x:c r="E702" s="26" t="str">
        <x:v>Phase_1</x:v>
      </x:c>
      <x:c r="F702" s="26" t="str">
        <x:v>Sprint 16</x:v>
      </x:c>
      <x:c r="G702" s="26" t="str">
        <x:v>ADR-0069-AutosaveCoordinatedCheckpoint.md</x:v>
      </x:c>
      <x:c r="H702" s="26" t="str">
        <x:v>Markdown</x:v>
      </x:c>
      <x:c r="I702" s="26" t="str">
        <x:v>ADR</x:v>
      </x:c>
      <x:c r="J702" s="26" t="n">
        <x:v>250</x:v>
      </x:c>
      <x:c r="K702" s="26" t="str">
        <x:v>c4aaad9ce98b604d52894350668f7e59cc8c9d893ec3e96658a467bff0dbd44a</x:v>
      </x:c>
      <x:c r="L702" s="26"/>
      <x:c r="M702" s="26" t="n">
        <x:v>1</x:v>
      </x:c>
      <x:c r="N702" s="26" t="str">
        <x:v>UNIQUE</x:v>
      </x:c>
      <x:c r="O702" s="26"/>
      <x:c r="P702" s="26"/>
      <x:c r="Q702" s="26" t="str">
        <x:v>Development evidence</x:v>
      </x:c>
      <x:c r="R702" s="26" t="str">
        <x:v>RETAIN AS EVIDENCE — NOT REPLACED BY SUMMARY</x:v>
      </x:c>
      <x:c r="S702" s="26" t="str">
        <x:v>10_Development_Records/Sprint_16/Phase_1/Architecture/ADR-0069-AutosaveCoordinatedCheckpoint.md</x:v>
      </x:c>
      <x:c r="T702" s="26" t="str">
        <x:v>Historical path preserved verbatim; hash calculated from supplied pre-regeneration project.</x:v>
      </x:c>
    </x:row>
    <x:row r="703" ht="30" customHeight="1">
      <x:c r="A703" s="26" t="str">
        <x:v>H-0699</x:v>
      </x:c>
      <x:c r="B703" s="26" t="str">
        <x:v>Development Records</x:v>
      </x:c>
      <x:c r="C703" s="26"/>
      <x:c r="D703" s="26" t="str">
        <x:v>Sprint_16</x:v>
      </x:c>
      <x:c r="E703" s="26" t="str">
        <x:v>Phase_1</x:v>
      </x:c>
      <x:c r="F703" s="26" t="str">
        <x:v>Sprint 16</x:v>
      </x:c>
      <x:c r="G703" s="26" t="str">
        <x:v>ADR-0070-PlacementCompatibilityBridge.md</x:v>
      </x:c>
      <x:c r="H703" s="26" t="str">
        <x:v>Markdown</x:v>
      </x:c>
      <x:c r="I703" s="26" t="str">
        <x:v>ADR</x:v>
      </x:c>
      <x:c r="J703" s="26" t="n">
        <x:v>353</x:v>
      </x:c>
      <x:c r="K703" s="26" t="str">
        <x:v>66a5b5172267c6984edd5474ba03dc2fb0da28de72c310ced74feba060f6df17</x:v>
      </x:c>
      <x:c r="L703" s="26"/>
      <x:c r="M703" s="26" t="n">
        <x:v>1</x:v>
      </x:c>
      <x:c r="N703" s="26" t="str">
        <x:v>UNIQUE</x:v>
      </x:c>
      <x:c r="O703" s="26"/>
      <x:c r="P703" s="26"/>
      <x:c r="Q703" s="26" t="str">
        <x:v>Development evidence</x:v>
      </x:c>
      <x:c r="R703" s="26" t="str">
        <x:v>RETAIN AS EVIDENCE — NOT REPLACED BY SUMMARY</x:v>
      </x:c>
      <x:c r="S703" s="26" t="str">
        <x:v>10_Development_Records/Sprint_16/Phase_1/Architecture/ADR-0070-PlacementCompatibilityBridge.md</x:v>
      </x:c>
      <x:c r="T703" s="26" t="str">
        <x:v>Historical path preserved verbatim; hash calculated from supplied pre-regeneration project.</x:v>
      </x:c>
    </x:row>
    <x:row r="704" ht="30" customHeight="1">
      <x:c r="A704" s="26" t="str">
        <x:v>H-0700</x:v>
      </x:c>
      <x:c r="B704" s="26" t="str">
        <x:v>Development Records</x:v>
      </x:c>
      <x:c r="C704" s="26"/>
      <x:c r="D704" s="26" t="str">
        <x:v>Sprint_16</x:v>
      </x:c>
      <x:c r="E704" s="26" t="str">
        <x:v>Phase_1</x:v>
      </x:c>
      <x:c r="F704" s="26" t="str">
        <x:v>Sprint 16</x:v>
      </x:c>
      <x:c r="G704" s="26" t="str">
        <x:v>ADR-0071-DecoupledPresentationFallbacks.md</x:v>
      </x:c>
      <x:c r="H704" s="26" t="str">
        <x:v>Markdown</x:v>
      </x:c>
      <x:c r="I704" s="26" t="str">
        <x:v>ADR</x:v>
      </x:c>
      <x:c r="J704" s="26" t="n">
        <x:v>223</x:v>
      </x:c>
      <x:c r="K704" s="26" t="str">
        <x:v>f2e025be2f68b6de2388bd63a6b25549d4e6d111012bc685b034fa120ff9616c</x:v>
      </x:c>
      <x:c r="L704" s="26"/>
      <x:c r="M704" s="26" t="n">
        <x:v>1</x:v>
      </x:c>
      <x:c r="N704" s="26" t="str">
        <x:v>UNIQUE</x:v>
      </x:c>
      <x:c r="O704" s="26"/>
      <x:c r="P704" s="26"/>
      <x:c r="Q704" s="26" t="str">
        <x:v>Development evidence</x:v>
      </x:c>
      <x:c r="R704" s="26" t="str">
        <x:v>RETAIN AS EVIDENCE — NOT REPLACED BY SUMMARY</x:v>
      </x:c>
      <x:c r="S704" s="26" t="str">
        <x:v>10_Development_Records/Sprint_16/Phase_1/Architecture/ADR-0071-DecoupledPresentationFallbacks.md</x:v>
      </x:c>
      <x:c r="T704" s="26" t="str">
        <x:v>Historical path preserved verbatim; hash calculated from supplied pre-regeneration project.</x:v>
      </x:c>
    </x:row>
    <x:row r="705" ht="30" customHeight="1">
      <x:c r="A705" s="26" t="str">
        <x:v>H-0701</x:v>
      </x:c>
      <x:c r="B705" s="26" t="str">
        <x:v>Development Records</x:v>
      </x:c>
      <x:c r="C705" s="26"/>
      <x:c r="D705" s="26" t="str">
        <x:v>Sprint_16</x:v>
      </x:c>
      <x:c r="E705" s="26" t="str">
        <x:v>Phase_1</x:v>
      </x:c>
      <x:c r="F705" s="26" t="str">
        <x:v>Sprint 16</x:v>
      </x:c>
      <x:c r="G705" s="26" t="str">
        <x:v>ADR-0072-SharedMaterialAndPrefabIds.md</x:v>
      </x:c>
      <x:c r="H705" s="26" t="str">
        <x:v>Markdown</x:v>
      </x:c>
      <x:c r="I705" s="26" t="str">
        <x:v>ADR</x:v>
      </x:c>
      <x:c r="J705" s="26" t="n">
        <x:v>223</x:v>
      </x:c>
      <x:c r="K705" s="26" t="str">
        <x:v>f32e2b4b274522d03df3c1c08084d86114a19dbe15fa2b3008c217943e2ff11a</x:v>
      </x:c>
      <x:c r="L705" s="26"/>
      <x:c r="M705" s="26" t="n">
        <x:v>1</x:v>
      </x:c>
      <x:c r="N705" s="26" t="str">
        <x:v>UNIQUE</x:v>
      </x:c>
      <x:c r="O705" s="26"/>
      <x:c r="P705" s="26"/>
      <x:c r="Q705" s="26" t="str">
        <x:v>Development evidence</x:v>
      </x:c>
      <x:c r="R705" s="26" t="str">
        <x:v>RETAIN AS EVIDENCE — NOT REPLACED BY SUMMARY</x:v>
      </x:c>
      <x:c r="S705" s="26" t="str">
        <x:v>10_Development_Records/Sprint_16/Phase_1/Architecture/ADR-0072-SharedMaterialAndPrefabIds.md</x:v>
      </x:c>
      <x:c r="T705" s="26" t="str">
        <x:v>Historical path preserved verbatim; hash calculated from supplied pre-regeneration project.</x:v>
      </x:c>
    </x:row>
    <x:row r="706" ht="30" customHeight="1">
      <x:c r="A706" s="26" t="str">
        <x:v>H-0702</x:v>
      </x:c>
      <x:c r="B706" s="26" t="str">
        <x:v>Development Records</x:v>
      </x:c>
      <x:c r="C706" s="26"/>
      <x:c r="D706" s="26" t="str">
        <x:v>Sprint_16</x:v>
      </x:c>
      <x:c r="E706" s="26" t="str">
        <x:v>Phase_1</x:v>
      </x:c>
      <x:c r="F706" s="26" t="str">
        <x:v>Sprint 16</x:v>
      </x:c>
      <x:c r="G706" s="26" t="str">
        <x:v>ADR-0073-CompletedCheckoutSnapshotRecords.md</x:v>
      </x:c>
      <x:c r="H706" s="26" t="str">
        <x:v>Markdown</x:v>
      </x:c>
      <x:c r="I706" s="26" t="str">
        <x:v>ADR</x:v>
      </x:c>
      <x:c r="J706" s="26" t="n">
        <x:v>377</x:v>
      </x:c>
      <x:c r="K706" s="26" t="str">
        <x:v>7d401e745e557c63167dae48cd0f4b05b1d08f5c58a2e652b4321925fc35caa7</x:v>
      </x:c>
      <x:c r="L706" s="26"/>
      <x:c r="M706" s="26" t="n">
        <x:v>1</x:v>
      </x:c>
      <x:c r="N706" s="26" t="str">
        <x:v>UNIQUE</x:v>
      </x:c>
      <x:c r="O706" s="26"/>
      <x:c r="P706" s="26"/>
      <x:c r="Q706" s="26" t="str">
        <x:v>Development evidence</x:v>
      </x:c>
      <x:c r="R706" s="26" t="str">
        <x:v>RETAIN AS EVIDENCE — NOT REPLACED BY SUMMARY</x:v>
      </x:c>
      <x:c r="S706" s="26" t="str">
        <x:v>10_Development_Records/Sprint_16/Phase_1/Architecture/ADR-0073-CompletedCheckoutSnapshotRecords.md</x:v>
      </x:c>
      <x:c r="T706" s="26" t="str">
        <x:v>Historical path preserved verbatim; hash calculated from supplied pre-regeneration project.</x:v>
      </x:c>
    </x:row>
    <x:row r="707" ht="30" customHeight="1">
      <x:c r="A707" s="26" t="str">
        <x:v>H-0703</x:v>
      </x:c>
      <x:c r="B707" s="26" t="str">
        <x:v>Development Records</x:v>
      </x:c>
      <x:c r="C707" s="26"/>
      <x:c r="D707" s="26" t="str">
        <x:v>Sprint_16</x:v>
      </x:c>
      <x:c r="E707" s="26" t="str">
        <x:v>Phase_1</x:v>
      </x:c>
      <x:c r="F707" s="26" t="str">
        <x:v>Sprint 16</x:v>
      </x:c>
      <x:c r="G707" s="26" t="str">
        <x:v>S16_P1_Implementation_Record.md</x:v>
      </x:c>
      <x:c r="H707" s="26" t="str">
        <x:v>Markdown</x:v>
      </x:c>
      <x:c r="I707" s="26" t="str">
        <x:v>Historical document / record</x:v>
      </x:c>
      <x:c r="J707" s="26" t="n">
        <x:v>819</x:v>
      </x:c>
      <x:c r="K707" s="26" t="str">
        <x:v>3538c025e899624c8dfb10c740bcbc06387f5be41a78a3396a8f5937a5cfc147</x:v>
      </x:c>
      <x:c r="L707" s="26"/>
      <x:c r="M707" s="26" t="n">
        <x:v>1</x:v>
      </x:c>
      <x:c r="N707" s="26" t="str">
        <x:v>UNIQUE</x:v>
      </x:c>
      <x:c r="O707" s="26"/>
      <x:c r="P707" s="26"/>
      <x:c r="Q707" s="26" t="str">
        <x:v>Development evidence</x:v>
      </x:c>
      <x:c r="R707" s="26" t="str">
        <x:v>RETAIN AS EVIDENCE — NOT REPLACED BY SUMMARY</x:v>
      </x:c>
      <x:c r="S707" s="26" t="str">
        <x:v>10_Development_Records/Sprint_16/Phase_1/Documentation/S16_P1_Implementation_Record.md</x:v>
      </x:c>
      <x:c r="T707" s="26" t="str">
        <x:v>Historical path preserved verbatim; hash calculated from supplied pre-regeneration project.</x:v>
      </x:c>
    </x:row>
    <x:row r="708" ht="30" customHeight="1">
      <x:c r="A708" s="26" t="str">
        <x:v>H-0704</x:v>
      </x:c>
      <x:c r="B708" s="26" t="str">
        <x:v>Development Records</x:v>
      </x:c>
      <x:c r="C708" s="26"/>
      <x:c r="D708" s="26" t="str">
        <x:v>Sprint_16</x:v>
      </x:c>
      <x:c r="E708" s="26" t="str">
        <x:v>Phase_1</x:v>
      </x:c>
      <x:c r="F708" s="26" t="str">
        <x:v>Sprint 16</x:v>
      </x:c>
      <x:c r="G708" s="26" t="str">
        <x:v>S16_P1_PreImplementation_Record.md</x:v>
      </x:c>
      <x:c r="H708" s="26" t="str">
        <x:v>Markdown</x:v>
      </x:c>
      <x:c r="I708" s="26" t="str">
        <x:v>Historical document / record</x:v>
      </x:c>
      <x:c r="J708" s="26" t="n">
        <x:v>496</x:v>
      </x:c>
      <x:c r="K708" s="26" t="str">
        <x:v>0d6915434ed6282040553f42f849399d6a8e3380eb4e38a6082ea3d13fba0e9c</x:v>
      </x:c>
      <x:c r="L708" s="26"/>
      <x:c r="M708" s="26" t="n">
        <x:v>1</x:v>
      </x:c>
      <x:c r="N708" s="26" t="str">
        <x:v>UNIQUE</x:v>
      </x:c>
      <x:c r="O708" s="26"/>
      <x:c r="P708" s="26"/>
      <x:c r="Q708" s="26" t="str">
        <x:v>Development evidence</x:v>
      </x:c>
      <x:c r="R708" s="26" t="str">
        <x:v>RETAIN AS EVIDENCE — NOT REPLACED BY SUMMARY</x:v>
      </x:c>
      <x:c r="S708" s="26" t="str">
        <x:v>10_Development_Records/Sprint_16/Phase_1/Documentation/S16_P1_PreImplementation_Record.md</x:v>
      </x:c>
      <x:c r="T708" s="26" t="str">
        <x:v>Historical path preserved verbatim; hash calculated from supplied pre-regeneration project.</x:v>
      </x:c>
    </x:row>
    <x:row r="709" ht="30" customHeight="1">
      <x:c r="A709" s="26" t="str">
        <x:v>H-0705</x:v>
      </x:c>
      <x:c r="B709" s="26" t="str">
        <x:v>Development Records</x:v>
      </x:c>
      <x:c r="C709" s="26"/>
      <x:c r="D709" s="26" t="str">
        <x:v>Sprint_16</x:v>
      </x:c>
      <x:c r="E709" s="26" t="str">
        <x:v>Phase_1</x:v>
      </x:c>
      <x:c r="F709" s="26" t="str">
        <x:v>Sprint 16</x:v>
      </x:c>
      <x:c r="G709" s="26" t="str">
        <x:v>S16_P1_Charter.md</x:v>
      </x:c>
      <x:c r="H709" s="26" t="str">
        <x:v>Markdown</x:v>
      </x:c>
      <x:c r="I709" s="26" t="str">
        <x:v>Sprint charter</x:v>
      </x:c>
      <x:c r="J709" s="26" t="n">
        <x:v>874</x:v>
      </x:c>
      <x:c r="K709" s="26" t="str">
        <x:v>4b5190df961a1180ce9fed6ced5fe194e88998f5f65df176bea9104c7bc825dc</x:v>
      </x:c>
      <x:c r="L709" s="26"/>
      <x:c r="M709" s="26" t="n">
        <x:v>1</x:v>
      </x:c>
      <x:c r="N709" s="26" t="str">
        <x:v>UNIQUE</x:v>
      </x:c>
      <x:c r="O709" s="26"/>
      <x:c r="P709" s="26"/>
      <x:c r="Q709" s="26" t="str">
        <x:v>Development evidence</x:v>
      </x:c>
      <x:c r="R709" s="26" t="str">
        <x:v>RETAIN AS EVIDENCE — NOT REPLACED BY SUMMARY</x:v>
      </x:c>
      <x:c r="S709" s="26" t="str">
        <x:v>10_Development_Records/Sprint_16/Phase_1/Governance/S16_P1_Charter.md</x:v>
      </x:c>
      <x:c r="T709" s="26" t="str">
        <x:v>Historical path preserved verbatim; hash calculated from supplied pre-regeneration project.</x:v>
      </x:c>
    </x:row>
    <x:row r="710" ht="30" customHeight="1">
      <x:c r="A710" s="26" t="str">
        <x:v>H-0706</x:v>
      </x:c>
      <x:c r="B710" s="26" t="str">
        <x:v>Development Records</x:v>
      </x:c>
      <x:c r="C710" s="26"/>
      <x:c r="D710" s="26" t="str">
        <x:v>Sprint_16</x:v>
      </x:c>
      <x:c r="E710" s="26" t="str">
        <x:v>Phase_1</x:v>
      </x:c>
      <x:c r="F710" s="26" t="str">
        <x:v>Sprint 16</x:v>
      </x:c>
      <x:c r="G710" s="26" t="str">
        <x:v>S16_P1_Current_Status.md</x:v>
      </x:c>
      <x:c r="H710" s="26" t="str">
        <x:v>Markdown</x:v>
      </x:c>
      <x:c r="I710" s="26" t="str">
        <x:v>Current status</x:v>
      </x:c>
      <x:c r="J710" s="26" t="n">
        <x:v>569</x:v>
      </x:c>
      <x:c r="K710" s="26" t="str">
        <x:v>6494de60296d252da3368dab5a5850938c4a5c219d414f80bde328379f1c7f3b</x:v>
      </x:c>
      <x:c r="L710" s="26"/>
      <x:c r="M710" s="26" t="n">
        <x:v>1</x:v>
      </x:c>
      <x:c r="N710" s="26" t="str">
        <x:v>UNIQUE</x:v>
      </x:c>
      <x:c r="O710" s="26"/>
      <x:c r="P710" s="26"/>
      <x:c r="Q710" s="26" t="str">
        <x:v>Development evidence</x:v>
      </x:c>
      <x:c r="R710" s="26" t="str">
        <x:v>RETAIN AS EVIDENCE — NOT REPLACED BY SUMMARY</x:v>
      </x:c>
      <x:c r="S710" s="26" t="str">
        <x:v>10_Development_Records/Sprint_16/Phase_1/Governance/S16_P1_Current_Status.md</x:v>
      </x:c>
      <x:c r="T710" s="26" t="str">
        <x:v>Historical path preserved verbatim; hash calculated from supplied pre-regeneration project.</x:v>
      </x:c>
    </x:row>
    <x:row r="711" ht="30" customHeight="1">
      <x:c r="A711" s="26" t="str">
        <x:v>H-0707</x:v>
      </x:c>
      <x:c r="B711" s="26" t="str">
        <x:v>Development Records</x:v>
      </x:c>
      <x:c r="C711" s="26"/>
      <x:c r="D711" s="26" t="str">
        <x:v>Sprint_16</x:v>
      </x:c>
      <x:c r="E711" s="26" t="str">
        <x:v>Phase_1</x:v>
      </x:c>
      <x:c r="F711" s="26" t="str">
        <x:v>Sprint 16</x:v>
      </x:c>
      <x:c r="G711" s="26" t="str">
        <x:v>S16_P1_Acceptance_Matrix.md</x:v>
      </x:c>
      <x:c r="H711" s="26" t="str">
        <x:v>Markdown</x:v>
      </x:c>
      <x:c r="I711" s="26" t="str">
        <x:v>Acceptance matrix</x:v>
      </x:c>
      <x:c r="J711" s="26" t="n">
        <x:v>1130</x:v>
      </x:c>
      <x:c r="K711" s="26" t="str">
        <x:v>d6d2ca42287be0fced9c3d9da09df5db9729442157035a9a711e0ddbb9d91337</x:v>
      </x:c>
      <x:c r="L711" s="26"/>
      <x:c r="M711" s="26" t="n">
        <x:v>1</x:v>
      </x:c>
      <x:c r="N711" s="26" t="str">
        <x:v>UNIQUE</x:v>
      </x:c>
      <x:c r="O711" s="26" t="str">
        <x:v>31</x:v>
      </x:c>
      <x:c r="P711" s="26" t="str">
        <x:v>02, 07, 08, 11, 13, 16, 31</x:v>
      </x:c>
      <x:c r="Q711" s="26" t="str">
        <x:v>Development evidence</x:v>
      </x:c>
      <x:c r="R711" s="26" t="str">
        <x:v>RETAIN AS EVIDENCE — NOT REPLACED BY SUMMARY</x:v>
      </x:c>
      <x:c r="S711" s="26" t="str">
        <x:v>10_Development_Records/Sprint_16/Phase_1/QA/S16_P1_Acceptance_Matrix.md</x:v>
      </x:c>
      <x:c r="T711" s="26" t="str">
        <x:v>Historical path preserved verbatim; hash calculated from supplied pre-regeneration project.</x:v>
      </x:c>
    </x:row>
    <x:row r="712" ht="30" customHeight="1">
      <x:c r="A712" s="26" t="str">
        <x:v>H-0708</x:v>
      </x:c>
      <x:c r="B712" s="26" t="str">
        <x:v>Development Records</x:v>
      </x:c>
      <x:c r="C712" s="26"/>
      <x:c r="D712" s="26" t="str">
        <x:v>Sprint_16</x:v>
      </x:c>
      <x:c r="E712" s="26" t="str">
        <x:v>Phase_1</x:v>
      </x:c>
      <x:c r="F712" s="26" t="str">
        <x:v>Sprint 16</x:v>
      </x:c>
      <x:c r="G712" s="26" t="str">
        <x:v>S16_P1_QA_Execution_Record.md</x:v>
      </x:c>
      <x:c r="H712" s="26" t="str">
        <x:v>Markdown</x:v>
      </x:c>
      <x:c r="I712" s="26" t="str">
        <x:v>QA execution evidence</x:v>
      </x:c>
      <x:c r="J712" s="26" t="n">
        <x:v>443</x:v>
      </x:c>
      <x:c r="K712" s="26" t="str">
        <x:v>a044ba4e7ebb4af622c74397e2a8f0ff6e59ad7e9c1bf89ddb62f5b06bcacec7</x:v>
      </x:c>
      <x:c r="L712" s="26"/>
      <x:c r="M712" s="26" t="n">
        <x:v>1</x:v>
      </x:c>
      <x:c r="N712" s="26" t="str">
        <x:v>UNIQUE</x:v>
      </x:c>
      <x:c r="O712" s="26" t="str">
        <x:v>31</x:v>
      </x:c>
      <x:c r="P712" s="26" t="str">
        <x:v>02, 07, 08, 11, 13, 16, 31</x:v>
      </x:c>
      <x:c r="Q712" s="26" t="str">
        <x:v>Development evidence</x:v>
      </x:c>
      <x:c r="R712" s="26" t="str">
        <x:v>RETAIN AS EVIDENCE — NOT REPLACED BY SUMMARY</x:v>
      </x:c>
      <x:c r="S712" s="26" t="str">
        <x:v>10_Development_Records/Sprint_16/Phase_1/QA/S16_P1_QA_Execution_Record.md</x:v>
      </x:c>
      <x:c r="T712" s="26" t="str">
        <x:v>Historical path preserved verbatim; hash calculated from supplied pre-regeneration project.</x:v>
      </x:c>
    </x:row>
    <x:row r="713" ht="30" customHeight="1">
      <x:c r="A713" s="26" t="str">
        <x:v>H-0709</x:v>
      </x:c>
      <x:c r="B713" s="26" t="str">
        <x:v>Development Records</x:v>
      </x:c>
      <x:c r="C713" s="26"/>
      <x:c r="D713" s="26" t="str">
        <x:v>Sprint_16</x:v>
      </x:c>
      <x:c r="E713" s="26" t="str">
        <x:v>Phase_1</x:v>
      </x:c>
      <x:c r="F713" s="26" t="str">
        <x:v>Sprint 16</x:v>
      </x:c>
      <x:c r="G713" s="26" t="str">
        <x:v>S16_P1_Test_Plan.md</x:v>
      </x:c>
      <x:c r="H713" s="26" t="str">
        <x:v>Markdown</x:v>
      </x:c>
      <x:c r="I713" s="26" t="str">
        <x:v>Historical document / record</x:v>
      </x:c>
      <x:c r="J713" s="26" t="n">
        <x:v>836</x:v>
      </x:c>
      <x:c r="K713" s="26" t="str">
        <x:v>ff35438f414f45a152e04532664e348d0fed9bae380c9dc70bf520af5c7c04c8</x:v>
      </x:c>
      <x:c r="L713" s="26"/>
      <x:c r="M713" s="26" t="n">
        <x:v>1</x:v>
      </x:c>
      <x:c r="N713" s="26" t="str">
        <x:v>UNIQUE</x:v>
      </x:c>
      <x:c r="O713" s="26"/>
      <x:c r="P713" s="26"/>
      <x:c r="Q713" s="26" t="str">
        <x:v>Development evidence</x:v>
      </x:c>
      <x:c r="R713" s="26" t="str">
        <x:v>RETAIN AS EVIDENCE — NOT REPLACED BY SUMMARY</x:v>
      </x:c>
      <x:c r="S713" s="26" t="str">
        <x:v>10_Development_Records/Sprint_16/Phase_1/QA/S16_P1_Test_Plan.md</x:v>
      </x:c>
      <x:c r="T713" s="26" t="str">
        <x:v>Historical path preserved verbatim; hash calculated from supplied pre-regeneration project.</x:v>
      </x:c>
    </x:row>
    <x:row r="714" ht="30" customHeight="1">
      <x:c r="A714" s="26" t="str">
        <x:v>H-0710</x:v>
      </x:c>
      <x:c r="B714" s="26" t="str">
        <x:v>Development Records</x:v>
      </x:c>
      <x:c r="C714" s="26"/>
      <x:c r="D714" s="26" t="str">
        <x:v>Sprint_16</x:v>
      </x:c>
      <x:c r="E714" s="26" t="str">
        <x:v>Phase_1</x:v>
      </x:c>
      <x:c r="F714" s="26" t="str">
        <x:v>Sprint 16</x:v>
      </x:c>
      <x:c r="G714" s="26" t="str">
        <x:v>S16_P1_Validation_Checklist.md</x:v>
      </x:c>
      <x:c r="H714" s="26" t="str">
        <x:v>Markdown</x:v>
      </x:c>
      <x:c r="I714" s="26" t="str">
        <x:v>Validation checklist</x:v>
      </x:c>
      <x:c r="J714" s="26" t="n">
        <x:v>646</x:v>
      </x:c>
      <x:c r="K714" s="26" t="str">
        <x:v>ac85fc7fe9c1e905ca5ea2eb245aa016acf8c611b2a3fe1a10fb3d0740e0198b</x:v>
      </x:c>
      <x:c r="L714" s="26"/>
      <x:c r="M714" s="26" t="n">
        <x:v>1</x:v>
      </x:c>
      <x:c r="N714" s="26" t="str">
        <x:v>UNIQUE</x:v>
      </x:c>
      <x:c r="O714" s="26" t="str">
        <x:v>31</x:v>
      </x:c>
      <x:c r="P714" s="26" t="str">
        <x:v>02, 07, 08, 11, 13, 16, 31</x:v>
      </x:c>
      <x:c r="Q714" s="26" t="str">
        <x:v>Development evidence</x:v>
      </x:c>
      <x:c r="R714" s="26" t="str">
        <x:v>RETAIN AS EVIDENCE — NOT REPLACED BY SUMMARY</x:v>
      </x:c>
      <x:c r="S714" s="26" t="str">
        <x:v>10_Development_Records/Sprint_16/Phase_1/QA/S16_P1_Validation_Checklist.md</x:v>
      </x:c>
      <x:c r="T714" s="26" t="str">
        <x:v>Historical path preserved verbatim; hash calculated from supplied pre-regeneration project.</x:v>
      </x:c>
    </x:row>
    <x:row r="715" ht="30" customHeight="1">
      <x:c r="A715" s="26" t="str">
        <x:v>H-0711</x:v>
      </x:c>
      <x:c r="B715" s="26" t="str">
        <x:v>Development Records</x:v>
      </x:c>
      <x:c r="C715" s="26"/>
      <x:c r="D715" s="26" t="str">
        <x:v>Sprint_16</x:v>
      </x:c>
      <x:c r="E715" s="26" t="str">
        <x:v>Phase_1</x:v>
      </x:c>
      <x:c r="F715" s="26" t="str">
        <x:v>Sprint 16</x:v>
      </x:c>
      <x:c r="G715" s="26" t="str">
        <x:v>S16_P1_Asset_Inventory.csv</x:v>
      </x:c>
      <x:c r="H715" s="26" t="str">
        <x:v>CSV</x:v>
      </x:c>
      <x:c r="I715" s="26" t="str">
        <x:v>Traceability entry</x:v>
      </x:c>
      <x:c r="J715" s="26" t="n">
        <x:v>6002</x:v>
      </x:c>
      <x:c r="K715" s="26" t="str">
        <x:v>c91f4676f6c8b07c075fda4bf3563530380a5e35770d9f68b5497b77cf99641b</x:v>
      </x:c>
      <x:c r="L715" s="26"/>
      <x:c r="M715" s="26" t="n">
        <x:v>1</x:v>
      </x:c>
      <x:c r="N715" s="26" t="str">
        <x:v>UNIQUE</x:v>
      </x:c>
      <x:c r="O715" s="26"/>
      <x:c r="P715" s="26"/>
      <x:c r="Q715" s="26" t="str">
        <x:v>Development evidence</x:v>
      </x:c>
      <x:c r="R715" s="26" t="str">
        <x:v>RETAIN AS EVIDENCE — NOT REPLACED BY SUMMARY</x:v>
      </x:c>
      <x:c r="S715" s="26" t="str">
        <x:v>10_Development_Records/Sprint_16/Phase_1/Traceability/S16_P1_Asset_Inventory.csv</x:v>
      </x:c>
      <x:c r="T715" s="26" t="str">
        <x:v>Historical path preserved verbatim; hash calculated from supplied pre-regeneration project.</x:v>
      </x:c>
    </x:row>
    <x:row r="716" ht="30" customHeight="1">
      <x:c r="A716" s="26" t="str">
        <x:v>H-0712</x:v>
      </x:c>
      <x:c r="B716" s="26" t="str">
        <x:v>Development Records</x:v>
      </x:c>
      <x:c r="C716" s="26"/>
      <x:c r="D716" s="26" t="str">
        <x:v>Sprint_16</x:v>
      </x:c>
      <x:c r="E716" s="26" t="str">
        <x:v>Phase_1</x:v>
      </x:c>
      <x:c r="F716" s="26" t="str">
        <x:v>Sprint 16</x:v>
      </x:c>
      <x:c r="G716" s="26" t="str">
        <x:v>S16_P1_Traceability.csv</x:v>
      </x:c>
      <x:c r="H716" s="26" t="str">
        <x:v>CSV</x:v>
      </x:c>
      <x:c r="I716" s="26" t="str">
        <x:v>Traceability entry</x:v>
      </x:c>
      <x:c r="J716" s="26" t="n">
        <x:v>1635</x:v>
      </x:c>
      <x:c r="K716" s="26" t="str">
        <x:v>d1e5ada71ed4d81b6a067aa05ea35626d5156967a1f8b212da829be32a4d318d</x:v>
      </x:c>
      <x:c r="L716" s="26"/>
      <x:c r="M716" s="26" t="n">
        <x:v>1</x:v>
      </x:c>
      <x:c r="N716" s="26" t="str">
        <x:v>UNIQUE</x:v>
      </x:c>
      <x:c r="O716" s="26"/>
      <x:c r="P716" s="26"/>
      <x:c r="Q716" s="26" t="str">
        <x:v>Development evidence</x:v>
      </x:c>
      <x:c r="R716" s="26" t="str">
        <x:v>RETAIN AS EVIDENCE — NOT REPLACED BY SUMMARY</x:v>
      </x:c>
      <x:c r="S716" s="26" t="str">
        <x:v>10_Development_Records/Sprint_16/Phase_1/Traceability/S16_P1_Traceability.csv</x:v>
      </x:c>
      <x:c r="T716" s="26" t="str">
        <x:v>Historical path preserved verbatim; hash calculated from supplied pre-regeneration project.</x:v>
      </x:c>
    </x:row>
    <x:row r="717" ht="30" customHeight="1">
      <x:c r="A717" s="26" t="str">
        <x:v>H-0713</x:v>
      </x:c>
      <x:c r="B717" s="26" t="str">
        <x:v>Development Records</x:v>
      </x:c>
      <x:c r="C717" s="26"/>
      <x:c r="D717" s="26" t="str">
        <x:v>Sprints</x:v>
      </x:c>
      <x:c r="E717" s="26" t="str">
        <x:v>Sprint_00</x:v>
      </x:c>
      <x:c r="F717" s="26" t="str">
        <x:v>Sprint 00</x:v>
      </x:c>
      <x:c r="G717" s="26" t="str">
        <x:v>01_S0.1_Instalacion_Toolchain.md</x:v>
      </x:c>
      <x:c r="H717" s="26" t="str">
        <x:v>Markdown</x:v>
      </x:c>
      <x:c r="I717" s="26" t="str">
        <x:v>Historical document / record</x:v>
      </x:c>
      <x:c r="J717" s="26" t="n">
        <x:v>3994</x:v>
      </x:c>
      <x:c r="K717" s="26" t="str">
        <x:v>c549c91573a9064d823f8352c05d9651b3cc17c438e64dce1ebaf3159f7eb68c</x:v>
      </x:c>
      <x:c r="L717" s="26"/>
      <x:c r="M717" s="26" t="n">
        <x:v>1</x:v>
      </x:c>
      <x:c r="N717" s="26" t="str">
        <x:v>UNIQUE</x:v>
      </x:c>
      <x:c r="O717" s="26"/>
      <x:c r="P717" s="26"/>
      <x:c r="Q717" s="26" t="str">
        <x:v>Development evidence</x:v>
      </x:c>
      <x:c r="R717" s="26" t="str">
        <x:v>RETAIN AS EVIDENCE — NOT REPLACED BY SUMMARY</x:v>
      </x:c>
      <x:c r="S717" s="26" t="str">
        <x:v>10_Development_Records/Sprints/Sprint_00/01_S0.1_Instalacion_Toolchain.md</x:v>
      </x:c>
      <x:c r="T717" s="26" t="str">
        <x:v>Historical path preserved verbatim; hash calculated from supplied pre-regeneration project.</x:v>
      </x:c>
    </x:row>
    <x:row r="718" ht="30" customHeight="1">
      <x:c r="A718" s="26" t="str">
        <x:v>H-0714</x:v>
      </x:c>
      <x:c r="B718" s="26" t="str">
        <x:v>Development Records</x:v>
      </x:c>
      <x:c r="C718" s="26"/>
      <x:c r="D718" s="26" t="str">
        <x:v>Sprints</x:v>
      </x:c>
      <x:c r="E718" s="26" t="str">
        <x:v>Sprint_00</x:v>
      </x:c>
      <x:c r="F718" s="26" t="str">
        <x:v>Sprint 00</x:v>
      </x:c>
      <x:c r="G718" s="26" t="str">
        <x:v>02_S0.2_Creacion_Proyecto_Unity.md</x:v>
      </x:c>
      <x:c r="H718" s="26" t="str">
        <x:v>Markdown</x:v>
      </x:c>
      <x:c r="I718" s="26" t="str">
        <x:v>Historical document / record</x:v>
      </x:c>
      <x:c r="J718" s="26" t="n">
        <x:v>4815</x:v>
      </x:c>
      <x:c r="K718" s="26" t="str">
        <x:v>03e800f7e619b54c70f2802ce7cd72e317cd6a3dad08286dcaf82bed5c485cfa</x:v>
      </x:c>
      <x:c r="L718" s="26"/>
      <x:c r="M718" s="26" t="n">
        <x:v>1</x:v>
      </x:c>
      <x:c r="N718" s="26" t="str">
        <x:v>UNIQUE</x:v>
      </x:c>
      <x:c r="O718" s="26"/>
      <x:c r="P718" s="26"/>
      <x:c r="Q718" s="26" t="str">
        <x:v>Development evidence</x:v>
      </x:c>
      <x:c r="R718" s="26" t="str">
        <x:v>RETAIN AS EVIDENCE — NOT REPLACED BY SUMMARY</x:v>
      </x:c>
      <x:c r="S718" s="26" t="str">
        <x:v>10_Development_Records/Sprints/Sprint_00/02_S0.2_Creacion_Proyecto_Unity.md</x:v>
      </x:c>
      <x:c r="T718" s="26" t="str">
        <x:v>Historical path preserved verbatim; hash calculated from supplied pre-regeneration project.</x:v>
      </x:c>
    </x:row>
    <x:row r="719" ht="30" customHeight="1">
      <x:c r="A719" s="26" t="str">
        <x:v>H-0715</x:v>
      </x:c>
      <x:c r="B719" s="26" t="str">
        <x:v>Development Records</x:v>
      </x:c>
      <x:c r="C719" s="26"/>
      <x:c r="D719" s="26" t="str">
        <x:v>Sprints</x:v>
      </x:c>
      <x:c r="E719" s="26" t="str">
        <x:v>Sprint_00</x:v>
      </x:c>
      <x:c r="F719" s="26" t="str">
        <x:v>Sprint 00</x:v>
      </x:c>
      <x:c r="G719" s="26" t="str">
        <x:v>03_S0.3_Linea_Base_Paquetes.md</x:v>
      </x:c>
      <x:c r="H719" s="26" t="str">
        <x:v>Markdown</x:v>
      </x:c>
      <x:c r="I719" s="26" t="str">
        <x:v>Historical document / record</x:v>
      </x:c>
      <x:c r="J719" s="26" t="n">
        <x:v>5607</x:v>
      </x:c>
      <x:c r="K719" s="26" t="str">
        <x:v>1b6b60735014253bc255a02fa21a137ea9c38d8c48c3940ce42b38056f7cec16</x:v>
      </x:c>
      <x:c r="L719" s="26"/>
      <x:c r="M719" s="26" t="n">
        <x:v>1</x:v>
      </x:c>
      <x:c r="N719" s="26" t="str">
        <x:v>UNIQUE</x:v>
      </x:c>
      <x:c r="O719" s="26"/>
      <x:c r="P719" s="26"/>
      <x:c r="Q719" s="26" t="str">
        <x:v>Development evidence</x:v>
      </x:c>
      <x:c r="R719" s="26" t="str">
        <x:v>RETAIN AS EVIDENCE — NOT REPLACED BY SUMMARY</x:v>
      </x:c>
      <x:c r="S719" s="26" t="str">
        <x:v>10_Development_Records/Sprints/Sprint_00/03_S0.3_Linea_Base_Paquetes.md</x:v>
      </x:c>
      <x:c r="T719" s="26" t="str">
        <x:v>Historical path preserved verbatim; hash calculated from supplied pre-regeneration project.</x:v>
      </x:c>
    </x:row>
    <x:row r="720" ht="30" customHeight="1">
      <x:c r="A720" s="26" t="str">
        <x:v>H-0716</x:v>
      </x:c>
      <x:c r="B720" s="26" t="str">
        <x:v>Development Records</x:v>
      </x:c>
      <x:c r="C720" s="26"/>
      <x:c r="D720" s="26" t="str">
        <x:v>Sprints</x:v>
      </x:c>
      <x:c r="E720" s="26" t="str">
        <x:v>Sprint_00</x:v>
      </x:c>
      <x:c r="F720" s="26" t="str">
        <x:v>Sprint 00</x:v>
      </x:c>
      <x:c r="G720" s="26" t="str">
        <x:v>04_S0.1-S0.3_Procedimiento_Validacion.md</x:v>
      </x:c>
      <x:c r="H720" s="26" t="str">
        <x:v>Markdown</x:v>
      </x:c>
      <x:c r="I720" s="26" t="str">
        <x:v>Historical document / record</x:v>
      </x:c>
      <x:c r="J720" s="26" t="n">
        <x:v>2391</x:v>
      </x:c>
      <x:c r="K720" s="26" t="str">
        <x:v>a1770e7d761bba19596ebc4f4ada5b91df3dc2aaa29118a74dece52f3b88ee1d</x:v>
      </x:c>
      <x:c r="L720" s="26"/>
      <x:c r="M720" s="26" t="n">
        <x:v>1</x:v>
      </x:c>
      <x:c r="N720" s="26" t="str">
        <x:v>UNIQUE</x:v>
      </x:c>
      <x:c r="O720" s="26"/>
      <x:c r="P720" s="26"/>
      <x:c r="Q720" s="26" t="str">
        <x:v>Development evidence</x:v>
      </x:c>
      <x:c r="R720" s="26" t="str">
        <x:v>RETAIN AS EVIDENCE — NOT REPLACED BY SUMMARY</x:v>
      </x:c>
      <x:c r="S720" s="26" t="str">
        <x:v>10_Development_Records/Sprints/Sprint_00/04_S0.1-S0.3_Procedimiento_Validacion.md</x:v>
      </x:c>
      <x:c r="T720" s="26" t="str">
        <x:v>Historical path preserved verbatim; hash calculated from supplied pre-regeneration project.</x:v>
      </x:c>
    </x:row>
    <x:row r="721" ht="30" customHeight="1">
      <x:c r="A721" s="26" t="str">
        <x:v>H-0717</x:v>
      </x:c>
      <x:c r="B721" s="26" t="str">
        <x:v>Development Records</x:v>
      </x:c>
      <x:c r="C721" s="26"/>
      <x:c r="D721" s="26" t="str">
        <x:v>Sprints</x:v>
      </x:c>
      <x:c r="E721" s="26" t="str">
        <x:v>Sprint_00</x:v>
      </x:c>
      <x:c r="F721" s="26" t="str">
        <x:v>Sprint 00</x:v>
      </x:c>
      <x:c r="G721" s="26" t="str">
        <x:v>05_Fuentes_Oficiales.md</x:v>
      </x:c>
      <x:c r="H721" s="26" t="str">
        <x:v>Markdown</x:v>
      </x:c>
      <x:c r="I721" s="26" t="str">
        <x:v>Historical document / record</x:v>
      </x:c>
      <x:c r="J721" s="26" t="n">
        <x:v>1292</x:v>
      </x:c>
      <x:c r="K721" s="26" t="str">
        <x:v>06e96070a5a3c395b3ec5fa59e61ccc6982035214e274c5079baab3831960c66</x:v>
      </x:c>
      <x:c r="L721" s="26"/>
      <x:c r="M721" s="26" t="n">
        <x:v>1</x:v>
      </x:c>
      <x:c r="N721" s="26" t="str">
        <x:v>UNIQUE</x:v>
      </x:c>
      <x:c r="O721" s="26"/>
      <x:c r="P721" s="26"/>
      <x:c r="Q721" s="26" t="str">
        <x:v>Development evidence</x:v>
      </x:c>
      <x:c r="R721" s="26" t="str">
        <x:v>RETAIN AS EVIDENCE — NOT REPLACED BY SUMMARY</x:v>
      </x:c>
      <x:c r="S721" s="26" t="str">
        <x:v>10_Development_Records/Sprints/Sprint_00/05_Fuentes_Oficiales.md</x:v>
      </x:c>
      <x:c r="T721" s="26" t="str">
        <x:v>Historical path preserved verbatim; hash calculated from supplied pre-regeneration project.</x:v>
      </x:c>
    </x:row>
    <x:row r="722" ht="30" customHeight="1">
      <x:c r="A722" s="26" t="str">
        <x:v>H-0718</x:v>
      </x:c>
      <x:c r="B722" s="26" t="str">
        <x:v>Development Records</x:v>
      </x:c>
      <x:c r="C722" s="26"/>
      <x:c r="D722" s="26" t="str">
        <x:v>Sprints</x:v>
      </x:c>
      <x:c r="E722" s="26" t="str">
        <x:v>Sprint_00</x:v>
      </x:c>
      <x:c r="F722" s="26" t="str">
        <x:v>Sprint 00</x:v>
      </x:c>
      <x:c r="G722" s="26" t="str">
        <x:v>DevelopmentEnvironment_Record.md</x:v>
      </x:c>
      <x:c r="H722" s="26" t="str">
        <x:v>Markdown</x:v>
      </x:c>
      <x:c r="I722" s="26" t="str">
        <x:v>Environment record</x:v>
      </x:c>
      <x:c r="J722" s="26" t="n">
        <x:v>1088</x:v>
      </x:c>
      <x:c r="K722" s="26" t="str">
        <x:v>812e5b57d55ba0e6d2b644be4a3bc20354dfdacb9df576bd94916142eeec3432</x:v>
      </x:c>
      <x:c r="L722" s="26"/>
      <x:c r="M722" s="26" t="n">
        <x:v>1</x:v>
      </x:c>
      <x:c r="N722" s="26" t="str">
        <x:v>UNIQUE</x:v>
      </x:c>
      <x:c r="O722" s="26"/>
      <x:c r="P722" s="26"/>
      <x:c r="Q722" s="26" t="str">
        <x:v>Development evidence</x:v>
      </x:c>
      <x:c r="R722" s="26" t="str">
        <x:v>RETAIN AS EVIDENCE — NOT REPLACED BY SUMMARY</x:v>
      </x:c>
      <x:c r="S722" s="26" t="str">
        <x:v>10_Development_Records/Sprints/Sprint_00/DevelopmentEnvironment_Record.md</x:v>
      </x:c>
      <x:c r="T722" s="26" t="str">
        <x:v>Historical path preserved verbatim; hash calculated from supplied pre-regeneration project.</x:v>
      </x:c>
    </x:row>
    <x:row r="723" ht="30" customHeight="1">
      <x:c r="A723" s="26" t="str">
        <x:v>H-0719</x:v>
      </x:c>
      <x:c r="B723" s="26" t="str">
        <x:v>Development Records</x:v>
      </x:c>
      <x:c r="C723" s="26"/>
      <x:c r="D723" s="26" t="str">
        <x:v>Sprints</x:v>
      </x:c>
      <x:c r="E723" s="26" t="str">
        <x:v>Sprint_00</x:v>
      </x:c>
      <x:c r="F723" s="26" t="str">
        <x:v>Sprint 00</x:v>
      </x:c>
      <x:c r="G723" s="26" t="str">
        <x:v>S0.1-S0.3_BaselinePolicy.json</x:v>
      </x:c>
      <x:c r="H723" s="26" t="str">
        <x:v>JSON</x:v>
      </x:c>
      <x:c r="I723" s="26" t="str">
        <x:v>Historical document / record</x:v>
      </x:c>
      <x:c r="J723" s="26" t="n">
        <x:v>692</x:v>
      </x:c>
      <x:c r="K723" s="26" t="str">
        <x:v>7a9276b289431e1037e6bbda597af0925143f420bdac80e4de7952952c201c0c</x:v>
      </x:c>
      <x:c r="L723" s="26"/>
      <x:c r="M723" s="26" t="n">
        <x:v>1</x:v>
      </x:c>
      <x:c r="N723" s="26" t="str">
        <x:v>UNIQUE</x:v>
      </x:c>
      <x:c r="O723" s="26"/>
      <x:c r="P723" s="26"/>
      <x:c r="Q723" s="26" t="str">
        <x:v>Development evidence</x:v>
      </x:c>
      <x:c r="R723" s="26" t="str">
        <x:v>RETAIN AS EVIDENCE — NOT REPLACED BY SUMMARY</x:v>
      </x:c>
      <x:c r="S723" s="26" t="str">
        <x:v>10_Development_Records/Sprints/Sprint_00/S0.1-S0.3_BaselinePolicy.json</x:v>
      </x:c>
      <x:c r="T723" s="26" t="str">
        <x:v>Historical path preserved verbatim; hash calculated from supplied pre-regeneration project.</x:v>
      </x:c>
    </x:row>
    <x:row r="724" ht="30" customHeight="1">
      <x:c r="A724" s="26" t="str">
        <x:v>H-0720</x:v>
      </x:c>
      <x:c r="B724" s="26" t="str">
        <x:v>Development Records</x:v>
      </x:c>
      <x:c r="C724" s="26"/>
      <x:c r="D724" s="26" t="str">
        <x:v>Sprints</x:v>
      </x:c>
      <x:c r="E724" s="26" t="str">
        <x:v>Sprint_00</x:v>
      </x:c>
      <x:c r="F724" s="26" t="str">
        <x:v>Sprint 00</x:v>
      </x:c>
      <x:c r="G724" s="26" t="str">
        <x:v>S0.1-S0.4_Closure_Record.md</x:v>
      </x:c>
      <x:c r="H724" s="26" t="str">
        <x:v>Markdown</x:v>
      </x:c>
      <x:c r="I724" s="26" t="str">
        <x:v>Sprint closure</x:v>
      </x:c>
      <x:c r="J724" s="26" t="n">
        <x:v>1536</x:v>
      </x:c>
      <x:c r="K724" s="26" t="str">
        <x:v>0a89dac0e8a1b802ff1224ba09d7bebdc436a03864de5ba6dca45e8ce989db78</x:v>
      </x:c>
      <x:c r="L724" s="26"/>
      <x:c r="M724" s="26" t="n">
        <x:v>1</x:v>
      </x:c>
      <x:c r="N724" s="26" t="str">
        <x:v>UNIQUE</x:v>
      </x:c>
      <x:c r="O724" s="26"/>
      <x:c r="P724" s="26"/>
      <x:c r="Q724" s="26" t="str">
        <x:v>Development evidence</x:v>
      </x:c>
      <x:c r="R724" s="26" t="str">
        <x:v>RETAIN AS EVIDENCE — NOT REPLACED BY SUMMARY</x:v>
      </x:c>
      <x:c r="S724" s="26" t="str">
        <x:v>10_Development_Records/Sprints/Sprint_00/S0.1-S0.4_Closure_Record.md</x:v>
      </x:c>
      <x:c r="T724" s="26" t="str">
        <x:v>Historical path preserved verbatim; hash calculated from supplied pre-regeneration project.</x:v>
      </x:c>
    </x:row>
    <x:row r="725" ht="30" customHeight="1">
      <x:c r="A725" s="26" t="str">
        <x:v>H-0721</x:v>
      </x:c>
      <x:c r="B725" s="26" t="str">
        <x:v>Development Records</x:v>
      </x:c>
      <x:c r="C725" s="26"/>
      <x:c r="D725" s="26" t="str">
        <x:v>Sprints</x:v>
      </x:c>
      <x:c r="E725" s="26" t="str">
        <x:v>Sprint_00</x:v>
      </x:c>
      <x:c r="F725" s="26" t="str">
        <x:v>Sprint 00</x:v>
      </x:c>
      <x:c r="G725" s="26" t="str">
        <x:v>S0.10_Applied_Changes_Report.md</x:v>
      </x:c>
      <x:c r="H725" s="26" t="str">
        <x:v>Markdown</x:v>
      </x:c>
      <x:c r="I725" s="26" t="str">
        <x:v>Applied change report</x:v>
      </x:c>
      <x:c r="J725" s="26" t="n">
        <x:v>1346</x:v>
      </x:c>
      <x:c r="K725" s="26" t="str">
        <x:v>45526d23c8ff676a2f472d3422f97cc9a9cf51893d2cdb6c7b9fe0d29e8cd717</x:v>
      </x:c>
      <x:c r="L725" s="26" t="str">
        <x:v>DG-029</x:v>
      </x:c>
      <x:c r="M725" s="26" t="n">
        <x:v>2</x:v>
      </x:c>
      <x:c r="N725" s="26" t="str">
        <x:v>IDENTICAL COPY</x:v>
      </x:c>
      <x:c r="O725" s="26"/>
      <x:c r="P725" s="26"/>
      <x:c r="Q725" s="26" t="str">
        <x:v>Development evidence</x:v>
      </x:c>
      <x:c r="R725" s="26" t="str">
        <x:v>RETAIN AS EVIDENCE — NOT REPLACED BY SUMMARY</x:v>
      </x:c>
      <x:c r="S725" s="26" t="str">
        <x:v>10_Development_Records/Sprints/Sprint_00/S0.10_Applied_Changes_Report.md</x:v>
      </x:c>
      <x:c r="T725" s="26" t="str">
        <x:v>Historical path preserved verbatim; hash calculated from supplied pre-regeneration project.</x:v>
      </x:c>
    </x:row>
    <x:row r="726" ht="30" customHeight="1">
      <x:c r="A726" s="26" t="str">
        <x:v>H-0722</x:v>
      </x:c>
      <x:c r="B726" s="26" t="str">
        <x:v>Development Records</x:v>
      </x:c>
      <x:c r="C726" s="26"/>
      <x:c r="D726" s="26" t="str">
        <x:v>Sprints</x:v>
      </x:c>
      <x:c r="E726" s="26" t="str">
        <x:v>Sprint_00</x:v>
      </x:c>
      <x:c r="F726" s="26" t="str">
        <x:v>Sprint 00</x:v>
      </x:c>
      <x:c r="G726" s="26" t="str">
        <x:v>S0.10_Sprint_Closure.md</x:v>
      </x:c>
      <x:c r="H726" s="26" t="str">
        <x:v>Markdown</x:v>
      </x:c>
      <x:c r="I726" s="26" t="str">
        <x:v>Sprint closure</x:v>
      </x:c>
      <x:c r="J726" s="26" t="n">
        <x:v>1233</x:v>
      </x:c>
      <x:c r="K726" s="26" t="str">
        <x:v>9f9d70fae2a2197c724f273e1279b1589c19641519e2795bda3ad32e954b5556</x:v>
      </x:c>
      <x:c r="L726" s="26" t="str">
        <x:v>DG-062</x:v>
      </x:c>
      <x:c r="M726" s="26" t="n">
        <x:v>2</x:v>
      </x:c>
      <x:c r="N726" s="26" t="str">
        <x:v>IDENTICAL COPY</x:v>
      </x:c>
      <x:c r="O726" s="26"/>
      <x:c r="P726" s="26"/>
      <x:c r="Q726" s="26" t="str">
        <x:v>Development evidence</x:v>
      </x:c>
      <x:c r="R726" s="26" t="str">
        <x:v>RETAIN AS EVIDENCE — NOT REPLACED BY SUMMARY</x:v>
      </x:c>
      <x:c r="S726" s="26" t="str">
        <x:v>10_Development_Records/Sprints/Sprint_00/S0.10_Sprint_Closure.md</x:v>
      </x:c>
      <x:c r="T726" s="26" t="str">
        <x:v>Historical path preserved verbatim; hash calculated from supplied pre-regeneration project.</x:v>
      </x:c>
    </x:row>
    <x:row r="727" ht="30" customHeight="1">
      <x:c r="A727" s="26" t="str">
        <x:v>H-0723</x:v>
      </x:c>
      <x:c r="B727" s="26" t="str">
        <x:v>Development Records</x:v>
      </x:c>
      <x:c r="C727" s="26"/>
      <x:c r="D727" s="26" t="str">
        <x:v>Sprints</x:v>
      </x:c>
      <x:c r="E727" s="26" t="str">
        <x:v>Sprint_00</x:v>
      </x:c>
      <x:c r="F727" s="26" t="str">
        <x:v>Sprint 00</x:v>
      </x:c>
      <x:c r="G727" s="26" t="str">
        <x:v>S0.10_Validation_Checklist.md</x:v>
      </x:c>
      <x:c r="H727" s="26" t="str">
        <x:v>Markdown</x:v>
      </x:c>
      <x:c r="I727" s="26" t="str">
        <x:v>Validation checklist</x:v>
      </x:c>
      <x:c r="J727" s="26" t="n">
        <x:v>1121</x:v>
      </x:c>
      <x:c r="K727" s="26" t="str">
        <x:v>292c90a2509bf4000f78d77cba56b38740a72e8bc5c3b99c53a4de14e6fb1279</x:v>
      </x:c>
      <x:c r="L727" s="26" t="str">
        <x:v>DG-014</x:v>
      </x:c>
      <x:c r="M727" s="26" t="n">
        <x:v>2</x:v>
      </x:c>
      <x:c r="N727" s="26" t="str">
        <x:v>IDENTICAL COPY</x:v>
      </x:c>
      <x:c r="O727" s="26" t="str">
        <x:v>31</x:v>
      </x:c>
      <x:c r="P727" s="26" t="str">
        <x:v>02, 07, 08, 11, 13, 16, 31</x:v>
      </x:c>
      <x:c r="Q727" s="26" t="str">
        <x:v>Development evidence</x:v>
      </x:c>
      <x:c r="R727" s="26" t="str">
        <x:v>RETAIN AS EVIDENCE — NOT REPLACED BY SUMMARY</x:v>
      </x:c>
      <x:c r="S727" s="26" t="str">
        <x:v>10_Development_Records/Sprints/Sprint_00/S0.10_Validation_Checklist.md</x:v>
      </x:c>
      <x:c r="T727" s="26" t="str">
        <x:v>Historical path preserved verbatim; hash calculated from supplied pre-regeneration project.</x:v>
      </x:c>
    </x:row>
    <x:row r="728" ht="30" customHeight="1">
      <x:c r="A728" s="26" t="str">
        <x:v>H-0724</x:v>
      </x:c>
      <x:c r="B728" s="26" t="str">
        <x:v>Development Records</x:v>
      </x:c>
      <x:c r="C728" s="26"/>
      <x:c r="D728" s="26" t="str">
        <x:v>Sprints</x:v>
      </x:c>
      <x:c r="E728" s="26" t="str">
        <x:v>Sprint_00</x:v>
      </x:c>
      <x:c r="F728" s="26" t="str">
        <x:v>Sprint 00</x:v>
      </x:c>
      <x:c r="G728" s="26" t="str">
        <x:v>S0.5_Project_and_Documentation_Structure.md</x:v>
      </x:c>
      <x:c r="H728" s="26" t="str">
        <x:v>Markdown</x:v>
      </x:c>
      <x:c r="I728" s="26" t="str">
        <x:v>Historical document / record</x:v>
      </x:c>
      <x:c r="J728" s="26" t="n">
        <x:v>1845</x:v>
      </x:c>
      <x:c r="K728" s="26" t="str">
        <x:v>97940a234cc4e0a3fca3ed5b9ba593fd75e2abdb050fc88ca2992c2068a43f6d</x:v>
      </x:c>
      <x:c r="L728" s="26"/>
      <x:c r="M728" s="26" t="n">
        <x:v>1</x:v>
      </x:c>
      <x:c r="N728" s="26" t="str">
        <x:v>UNIQUE</x:v>
      </x:c>
      <x:c r="O728" s="26"/>
      <x:c r="P728" s="26"/>
      <x:c r="Q728" s="26" t="str">
        <x:v>Development evidence</x:v>
      </x:c>
      <x:c r="R728" s="26" t="str">
        <x:v>RETAIN AS EVIDENCE — NOT REPLACED BY SUMMARY</x:v>
      </x:c>
      <x:c r="S728" s="26" t="str">
        <x:v>10_Development_Records/Sprints/Sprint_00/S0.5_Project_and_Documentation_Structure.md</x:v>
      </x:c>
      <x:c r="T728" s="26" t="str">
        <x:v>Historical path preserved verbatim; hash calculated from supplied pre-regeneration project.</x:v>
      </x:c>
    </x:row>
    <x:row r="729" ht="30" customHeight="1">
      <x:c r="A729" s="26" t="str">
        <x:v>H-0725</x:v>
      </x:c>
      <x:c r="B729" s="26" t="str">
        <x:v>Development Records</x:v>
      </x:c>
      <x:c r="C729" s="26"/>
      <x:c r="D729" s="26" t="str">
        <x:v>Sprints</x:v>
      </x:c>
      <x:c r="E729" s="26" t="str">
        <x:v>Sprint_00</x:v>
      </x:c>
      <x:c r="F729" s="26" t="str">
        <x:v>Sprint 00</x:v>
      </x:c>
      <x:c r="G729" s="26" t="str">
        <x:v>S0.6_Assembly_Definitions.md</x:v>
      </x:c>
      <x:c r="H729" s="26" t="str">
        <x:v>Markdown</x:v>
      </x:c>
      <x:c r="I729" s="26" t="str">
        <x:v>Historical document / record</x:v>
      </x:c>
      <x:c r="J729" s="26" t="n">
        <x:v>1847</x:v>
      </x:c>
      <x:c r="K729" s="26" t="str">
        <x:v>8d82f56f02a46b23f1033f7f7f4a7ab3c66e5e37c196cc4dbcc1d6fcf34a92c4</x:v>
      </x:c>
      <x:c r="L729" s="26"/>
      <x:c r="M729" s="26" t="n">
        <x:v>1</x:v>
      </x:c>
      <x:c r="N729" s="26" t="str">
        <x:v>UNIQUE</x:v>
      </x:c>
      <x:c r="O729" s="26"/>
      <x:c r="P729" s="26"/>
      <x:c r="Q729" s="26" t="str">
        <x:v>Development evidence</x:v>
      </x:c>
      <x:c r="R729" s="26" t="str">
        <x:v>RETAIN AS EVIDENCE — NOT REPLACED BY SUMMARY</x:v>
      </x:c>
      <x:c r="S729" s="26" t="str">
        <x:v>10_Development_Records/Sprints/Sprint_00/S0.6_Assembly_Definitions.md</x:v>
      </x:c>
      <x:c r="T729" s="26" t="str">
        <x:v>Historical path preserved verbatim; hash calculated from supplied pre-regeneration project.</x:v>
      </x:c>
    </x:row>
    <x:row r="730" ht="30" customHeight="1">
      <x:c r="A730" s="26" t="str">
        <x:v>H-0726</x:v>
      </x:c>
      <x:c r="B730" s="26" t="str">
        <x:v>Development Records</x:v>
      </x:c>
      <x:c r="C730" s="26"/>
      <x:c r="D730" s="26" t="str">
        <x:v>Sprints</x:v>
      </x:c>
      <x:c r="E730" s="26" t="str">
        <x:v>Sprint_00</x:v>
      </x:c>
      <x:c r="F730" s="26" t="str">
        <x:v>Sprint 00</x:v>
      </x:c>
      <x:c r="G730" s="26" t="str">
        <x:v>S0.6_Validation_Checklist.md</x:v>
      </x:c>
      <x:c r="H730" s="26" t="str">
        <x:v>Markdown</x:v>
      </x:c>
      <x:c r="I730" s="26" t="str">
        <x:v>Validation checklist</x:v>
      </x:c>
      <x:c r="J730" s="26" t="n">
        <x:v>1317</x:v>
      </x:c>
      <x:c r="K730" s="26" t="str">
        <x:v>440f314d65f488357e83bc0d0811c25c54a58dde7905289feb791382f81c1907</x:v>
      </x:c>
      <x:c r="L730" s="26"/>
      <x:c r="M730" s="26" t="n">
        <x:v>1</x:v>
      </x:c>
      <x:c r="N730" s="26" t="str">
        <x:v>UNIQUE</x:v>
      </x:c>
      <x:c r="O730" s="26" t="str">
        <x:v>31</x:v>
      </x:c>
      <x:c r="P730" s="26" t="str">
        <x:v>02, 07, 08, 11, 13, 16, 31</x:v>
      </x:c>
      <x:c r="Q730" s="26" t="str">
        <x:v>Development evidence</x:v>
      </x:c>
      <x:c r="R730" s="26" t="str">
        <x:v>RETAIN AS EVIDENCE — NOT REPLACED BY SUMMARY</x:v>
      </x:c>
      <x:c r="S730" s="26" t="str">
        <x:v>10_Development_Records/Sprints/Sprint_00/S0.6_Validation_Checklist.md</x:v>
      </x:c>
      <x:c r="T730" s="26" t="str">
        <x:v>Historical path preserved verbatim; hash calculated from supplied pre-regeneration project.</x:v>
      </x:c>
    </x:row>
    <x:row r="731" ht="30" customHeight="1">
      <x:c r="A731" s="26" t="str">
        <x:v>H-0727</x:v>
      </x:c>
      <x:c r="B731" s="26" t="str">
        <x:v>Development Records</x:v>
      </x:c>
      <x:c r="C731" s="26"/>
      <x:c r="D731" s="26" t="str">
        <x:v>Sprints</x:v>
      </x:c>
      <x:c r="E731" s="26" t="str">
        <x:v>Sprint_00</x:v>
      </x:c>
      <x:c r="F731" s="26" t="str">
        <x:v>Sprint 00</x:v>
      </x:c>
      <x:c r="G731" s="26" t="str">
        <x:v>S0.6D_Definition.md</x:v>
      </x:c>
      <x:c r="H731" s="26" t="str">
        <x:v>Markdown</x:v>
      </x:c>
      <x:c r="I731" s="26" t="str">
        <x:v>Historical document / record</x:v>
      </x:c>
      <x:c r="J731" s="26" t="n">
        <x:v>4142</x:v>
      </x:c>
      <x:c r="K731" s="26" t="str">
        <x:v>c1d3aaedc8f9cb6907d4e83f4249dbcf7742de4b1e80ae36b3b9403f911545c6</x:v>
      </x:c>
      <x:c r="L731" s="26"/>
      <x:c r="M731" s="26" t="n">
        <x:v>1</x:v>
      </x:c>
      <x:c r="N731" s="26" t="str">
        <x:v>UNIQUE</x:v>
      </x:c>
      <x:c r="O731" s="26"/>
      <x:c r="P731" s="26"/>
      <x:c r="Q731" s="26" t="str">
        <x:v>Development evidence</x:v>
      </x:c>
      <x:c r="R731" s="26" t="str">
        <x:v>RETAIN AS EVIDENCE — NOT REPLACED BY SUMMARY</x:v>
      </x:c>
      <x:c r="S731" s="26" t="str">
        <x:v>10_Development_Records/Sprints/Sprint_00/S0.6D_Definition.md</x:v>
      </x:c>
      <x:c r="T731" s="26" t="str">
        <x:v>Historical path preserved verbatim; hash calculated from supplied pre-regeneration project.</x:v>
      </x:c>
    </x:row>
    <x:row r="732" ht="30" customHeight="1">
      <x:c r="A732" s="26" t="str">
        <x:v>H-0728</x:v>
      </x:c>
      <x:c r="B732" s="26" t="str">
        <x:v>Development Records</x:v>
      </x:c>
      <x:c r="C732" s="26"/>
      <x:c r="D732" s="26" t="str">
        <x:v>Sprints</x:v>
      </x:c>
      <x:c r="E732" s="26" t="str">
        <x:v>Sprint_00</x:v>
      </x:c>
      <x:c r="F732" s="26" t="str">
        <x:v>Sprint 00</x:v>
      </x:c>
      <x:c r="G732" s="26" t="str">
        <x:v>S0.6D_File_Manifest.md</x:v>
      </x:c>
      <x:c r="H732" s="26" t="str">
        <x:v>Markdown</x:v>
      </x:c>
      <x:c r="I732" s="26" t="str">
        <x:v>Historical document / record</x:v>
      </x:c>
      <x:c r="J732" s="26" t="n">
        <x:v>1279</x:v>
      </x:c>
      <x:c r="K732" s="26" t="str">
        <x:v>7b5ba9f35abb2ef65445b66a6dd857b6ff8c9200a6c75fb083459272bf4accd7</x:v>
      </x:c>
      <x:c r="L732" s="26"/>
      <x:c r="M732" s="26" t="n">
        <x:v>1</x:v>
      </x:c>
      <x:c r="N732" s="26" t="str">
        <x:v>UNIQUE</x:v>
      </x:c>
      <x:c r="O732" s="26"/>
      <x:c r="P732" s="26"/>
      <x:c r="Q732" s="26" t="str">
        <x:v>Development evidence</x:v>
      </x:c>
      <x:c r="R732" s="26" t="str">
        <x:v>RETAIN AS EVIDENCE — NOT REPLACED BY SUMMARY</x:v>
      </x:c>
      <x:c r="S732" s="26" t="str">
        <x:v>10_Development_Records/Sprints/Sprint_00/S0.6D_File_Manifest.md</x:v>
      </x:c>
      <x:c r="T732" s="26" t="str">
        <x:v>Historical path preserved verbatim; hash calculated from supplied pre-regeneration project.</x:v>
      </x:c>
    </x:row>
    <x:row r="733" ht="30" customHeight="1">
      <x:c r="A733" s="26" t="str">
        <x:v>H-0729</x:v>
      </x:c>
      <x:c r="B733" s="26" t="str">
        <x:v>Development Records</x:v>
      </x:c>
      <x:c r="C733" s="26"/>
      <x:c r="D733" s="26" t="str">
        <x:v>Sprints</x:v>
      </x:c>
      <x:c r="E733" s="26" t="str">
        <x:v>Sprint_00</x:v>
      </x:c>
      <x:c r="F733" s="26" t="str">
        <x:v>Sprint 00</x:v>
      </x:c>
      <x:c r="G733" s="26" t="str">
        <x:v>S0.6D_Validation_Checklist.md</x:v>
      </x:c>
      <x:c r="H733" s="26" t="str">
        <x:v>Markdown</x:v>
      </x:c>
      <x:c r="I733" s="26" t="str">
        <x:v>Validation checklist</x:v>
      </x:c>
      <x:c r="J733" s="26" t="n">
        <x:v>1603</x:v>
      </x:c>
      <x:c r="K733" s="26" t="str">
        <x:v>bdb9ff0dfe507e433ccc6ea636e6c076849a04043fbca9d8579177acc96a16da</x:v>
      </x:c>
      <x:c r="L733" s="26"/>
      <x:c r="M733" s="26" t="n">
        <x:v>1</x:v>
      </x:c>
      <x:c r="N733" s="26" t="str">
        <x:v>UNIQUE</x:v>
      </x:c>
      <x:c r="O733" s="26" t="str">
        <x:v>31</x:v>
      </x:c>
      <x:c r="P733" s="26" t="str">
        <x:v>02, 07, 08, 11, 13, 16, 31</x:v>
      </x:c>
      <x:c r="Q733" s="26" t="str">
        <x:v>Development evidence</x:v>
      </x:c>
      <x:c r="R733" s="26" t="str">
        <x:v>RETAIN AS EVIDENCE — NOT REPLACED BY SUMMARY</x:v>
      </x:c>
      <x:c r="S733" s="26" t="str">
        <x:v>10_Development_Records/Sprints/Sprint_00/S0.6D_Validation_Checklist.md</x:v>
      </x:c>
      <x:c r="T733" s="26" t="str">
        <x:v>Historical path preserved verbatim; hash calculated from supplied pre-regeneration project.</x:v>
      </x:c>
    </x:row>
    <x:row r="734" ht="30" customHeight="1">
      <x:c r="A734" s="26" t="str">
        <x:v>H-0730</x:v>
      </x:c>
      <x:c r="B734" s="26" t="str">
        <x:v>Development Records</x:v>
      </x:c>
      <x:c r="C734" s="26"/>
      <x:c r="D734" s="26" t="str">
        <x:v>Sprints</x:v>
      </x:c>
      <x:c r="E734" s="26" t="str">
        <x:v>Sprint_00</x:v>
      </x:c>
      <x:c r="F734" s="26" t="str">
        <x:v>Sprint 00</x:v>
      </x:c>
      <x:c r="G734" s="26" t="str">
        <x:v>S0.7_Closure_Record.md</x:v>
      </x:c>
      <x:c r="H734" s="26" t="str">
        <x:v>Markdown</x:v>
      </x:c>
      <x:c r="I734" s="26" t="str">
        <x:v>Sprint closure</x:v>
      </x:c>
      <x:c r="J734" s="26" t="n">
        <x:v>1263</x:v>
      </x:c>
      <x:c r="K734" s="26" t="str">
        <x:v>ada09fbc408488357fac2bf062e940c82eec7f02184e7bab467cd312f99efd1d</x:v>
      </x:c>
      <x:c r="L734" s="26"/>
      <x:c r="M734" s="26" t="n">
        <x:v>1</x:v>
      </x:c>
      <x:c r="N734" s="26" t="str">
        <x:v>UNIQUE</x:v>
      </x:c>
      <x:c r="O734" s="26"/>
      <x:c r="P734" s="26"/>
      <x:c r="Q734" s="26" t="str">
        <x:v>Development evidence</x:v>
      </x:c>
      <x:c r="R734" s="26" t="str">
        <x:v>RETAIN AS EVIDENCE — NOT REPLACED BY SUMMARY</x:v>
      </x:c>
      <x:c r="S734" s="26" t="str">
        <x:v>10_Development_Records/Sprints/Sprint_00/S0.7_Closure_Record.md</x:v>
      </x:c>
      <x:c r="T734" s="26" t="str">
        <x:v>Historical path preserved verbatim; hash calculated from supplied pre-regeneration project.</x:v>
      </x:c>
    </x:row>
    <x:row r="735" ht="30" customHeight="1">
      <x:c r="A735" s="26" t="str">
        <x:v>H-0731</x:v>
      </x:c>
      <x:c r="B735" s="26" t="str">
        <x:v>Development Records</x:v>
      </x:c>
      <x:c r="C735" s="26"/>
      <x:c r="D735" s="26" t="str">
        <x:v>Sprints</x:v>
      </x:c>
      <x:c r="E735" s="26" t="str">
        <x:v>Sprint_00</x:v>
      </x:c>
      <x:c r="F735" s="26" t="str">
        <x:v>Sprint 00</x:v>
      </x:c>
      <x:c r="G735" s="26" t="str">
        <x:v>S0.7_Scene_Baseline.md</x:v>
      </x:c>
      <x:c r="H735" s="26" t="str">
        <x:v>Markdown</x:v>
      </x:c>
      <x:c r="I735" s="26" t="str">
        <x:v>Historical document / record</x:v>
      </x:c>
      <x:c r="J735" s="26" t="n">
        <x:v>7145</x:v>
      </x:c>
      <x:c r="K735" s="26" t="str">
        <x:v>12a41f35ac4f8ebd73fca6f84acf416ecefcfbda677e71c8c6578ecccadff4a4</x:v>
      </x:c>
      <x:c r="L735" s="26"/>
      <x:c r="M735" s="26" t="n">
        <x:v>1</x:v>
      </x:c>
      <x:c r="N735" s="26" t="str">
        <x:v>UNIQUE</x:v>
      </x:c>
      <x:c r="O735" s="26"/>
      <x:c r="P735" s="26"/>
      <x:c r="Q735" s="26" t="str">
        <x:v>Development evidence</x:v>
      </x:c>
      <x:c r="R735" s="26" t="str">
        <x:v>RETAIN AS EVIDENCE — NOT REPLACED BY SUMMARY</x:v>
      </x:c>
      <x:c r="S735" s="26" t="str">
        <x:v>10_Development_Records/Sprints/Sprint_00/S0.7_Scene_Baseline.md</x:v>
      </x:c>
      <x:c r="T735" s="26" t="str">
        <x:v>Historical path preserved verbatim; hash calculated from supplied pre-regeneration project.</x:v>
      </x:c>
    </x:row>
    <x:row r="736" ht="30" customHeight="1">
      <x:c r="A736" s="26" t="str">
        <x:v>H-0732</x:v>
      </x:c>
      <x:c r="B736" s="26" t="str">
        <x:v>Development Records</x:v>
      </x:c>
      <x:c r="C736" s="26"/>
      <x:c r="D736" s="26" t="str">
        <x:v>Sprints</x:v>
      </x:c>
      <x:c r="E736" s="26" t="str">
        <x:v>Sprint_00</x:v>
      </x:c>
      <x:c r="F736" s="26" t="str">
        <x:v>Sprint 00</x:v>
      </x:c>
      <x:c r="G736" s="26" t="str">
        <x:v>S0.7_Validation_Checklist.md</x:v>
      </x:c>
      <x:c r="H736" s="26" t="str">
        <x:v>Markdown</x:v>
      </x:c>
      <x:c r="I736" s="26" t="str">
        <x:v>Validation checklist</x:v>
      </x:c>
      <x:c r="J736" s="26" t="n">
        <x:v>3145</x:v>
      </x:c>
      <x:c r="K736" s="26" t="str">
        <x:v>00a408289196f0e6a093400cdd6e8858d43cbf908cdfff94581b0f7dd774cf05</x:v>
      </x:c>
      <x:c r="L736" s="26"/>
      <x:c r="M736" s="26" t="n">
        <x:v>1</x:v>
      </x:c>
      <x:c r="N736" s="26" t="str">
        <x:v>UNIQUE</x:v>
      </x:c>
      <x:c r="O736" s="26" t="str">
        <x:v>31</x:v>
      </x:c>
      <x:c r="P736" s="26" t="str">
        <x:v>02, 07, 08, 11, 13, 16, 31</x:v>
      </x:c>
      <x:c r="Q736" s="26" t="str">
        <x:v>Development evidence</x:v>
      </x:c>
      <x:c r="R736" s="26" t="str">
        <x:v>RETAIN AS EVIDENCE — NOT REPLACED BY SUMMARY</x:v>
      </x:c>
      <x:c r="S736" s="26" t="str">
        <x:v>10_Development_Records/Sprints/Sprint_00/S0.7_Validation_Checklist.md</x:v>
      </x:c>
      <x:c r="T736" s="26" t="str">
        <x:v>Historical path preserved verbatim; hash calculated from supplied pre-regeneration project.</x:v>
      </x:c>
    </x:row>
    <x:row r="737" ht="30" customHeight="1">
      <x:c r="A737" s="26" t="str">
        <x:v>H-0733</x:v>
      </x:c>
      <x:c r="B737" s="26" t="str">
        <x:v>Development Records</x:v>
      </x:c>
      <x:c r="C737" s="26"/>
      <x:c r="D737" s="26" t="str">
        <x:v>Sprints</x:v>
      </x:c>
      <x:c r="E737" s="26" t="str">
        <x:v>Sprint_00</x:v>
      </x:c>
      <x:c r="F737" s="26" t="str">
        <x:v>Sprint 00</x:v>
      </x:c>
      <x:c r="G737" s="26" t="str">
        <x:v>S0.8_Closure_Record.md</x:v>
      </x:c>
      <x:c r="H737" s="26" t="str">
        <x:v>Markdown</x:v>
      </x:c>
      <x:c r="I737" s="26" t="str">
        <x:v>Sprint closure</x:v>
      </x:c>
      <x:c r="J737" s="26" t="n">
        <x:v>629</x:v>
      </x:c>
      <x:c r="K737" s="26" t="str">
        <x:v>a3990b9f15e0d2fb29c6c23983ff236e9753ffec20c291bbec2c72625730d1bf</x:v>
      </x:c>
      <x:c r="L737" s="26"/>
      <x:c r="M737" s="26" t="n">
        <x:v>1</x:v>
      </x:c>
      <x:c r="N737" s="26" t="str">
        <x:v>UNIQUE</x:v>
      </x:c>
      <x:c r="O737" s="26"/>
      <x:c r="P737" s="26"/>
      <x:c r="Q737" s="26" t="str">
        <x:v>Development evidence</x:v>
      </x:c>
      <x:c r="R737" s="26" t="str">
        <x:v>RETAIN AS EVIDENCE — NOT REPLACED BY SUMMARY</x:v>
      </x:c>
      <x:c r="S737" s="26" t="str">
        <x:v>10_Development_Records/Sprints/Sprint_00/S0.8_Closure_Record.md</x:v>
      </x:c>
      <x:c r="T737" s="26" t="str">
        <x:v>Historical path preserved verbatim; hash calculated from supplied pre-regeneration project.</x:v>
      </x:c>
    </x:row>
    <x:row r="738" ht="30" customHeight="1">
      <x:c r="A738" s="26" t="str">
        <x:v>H-0734</x:v>
      </x:c>
      <x:c r="B738" s="26" t="str">
        <x:v>Development Records</x:v>
      </x:c>
      <x:c r="C738" s="26"/>
      <x:c r="D738" s="26" t="str">
        <x:v>Sprints</x:v>
      </x:c>
      <x:c r="E738" s="26" t="str">
        <x:v>Sprint_00</x:v>
      </x:c>
      <x:c r="F738" s="26" t="str">
        <x:v>Sprint 00</x:v>
      </x:c>
      <x:c r="G738" s="26" t="str">
        <x:v>S0.8_Smoke_Tests.md</x:v>
      </x:c>
      <x:c r="H738" s="26" t="str">
        <x:v>Markdown</x:v>
      </x:c>
      <x:c r="I738" s="26" t="str">
        <x:v>Historical document / record</x:v>
      </x:c>
      <x:c r="J738" s="26" t="n">
        <x:v>1205</x:v>
      </x:c>
      <x:c r="K738" s="26" t="str">
        <x:v>22d4513b1221557a513a4fc0be9365ae25bc6ebaa15969cf7c536c6b3c4e9f7c</x:v>
      </x:c>
      <x:c r="L738" s="26"/>
      <x:c r="M738" s="26" t="n">
        <x:v>1</x:v>
      </x:c>
      <x:c r="N738" s="26" t="str">
        <x:v>UNIQUE</x:v>
      </x:c>
      <x:c r="O738" s="26"/>
      <x:c r="P738" s="26"/>
      <x:c r="Q738" s="26" t="str">
        <x:v>Development evidence</x:v>
      </x:c>
      <x:c r="R738" s="26" t="str">
        <x:v>RETAIN AS EVIDENCE — NOT REPLACED BY SUMMARY</x:v>
      </x:c>
      <x:c r="S738" s="26" t="str">
        <x:v>10_Development_Records/Sprints/Sprint_00/S0.8_Smoke_Tests.md</x:v>
      </x:c>
      <x:c r="T738" s="26" t="str">
        <x:v>Historical path preserved verbatim; hash calculated from supplied pre-regeneration project.</x:v>
      </x:c>
    </x:row>
    <x:row r="739" ht="30" customHeight="1">
      <x:c r="A739" s="26" t="str">
        <x:v>H-0735</x:v>
      </x:c>
      <x:c r="B739" s="26" t="str">
        <x:v>Development Records</x:v>
      </x:c>
      <x:c r="C739" s="26"/>
      <x:c r="D739" s="26" t="str">
        <x:v>Sprints</x:v>
      </x:c>
      <x:c r="E739" s="26" t="str">
        <x:v>Sprint_00</x:v>
      </x:c>
      <x:c r="F739" s="26" t="str">
        <x:v>Sprint 00</x:v>
      </x:c>
      <x:c r="G739" s="26" t="str">
        <x:v>S0.8_Validation_Checklist.md</x:v>
      </x:c>
      <x:c r="H739" s="26" t="str">
        <x:v>Markdown</x:v>
      </x:c>
      <x:c r="I739" s="26" t="str">
        <x:v>Validation checklist</x:v>
      </x:c>
      <x:c r="J739" s="26" t="n">
        <x:v>1304</x:v>
      </x:c>
      <x:c r="K739" s="26" t="str">
        <x:v>43754526f229576e39d61898d644cdf8d7122f7ae6b1d4891fd1fb465d0cb174</x:v>
      </x:c>
      <x:c r="L739" s="26"/>
      <x:c r="M739" s="26" t="n">
        <x:v>1</x:v>
      </x:c>
      <x:c r="N739" s="26" t="str">
        <x:v>UNIQUE</x:v>
      </x:c>
      <x:c r="O739" s="26" t="str">
        <x:v>31</x:v>
      </x:c>
      <x:c r="P739" s="26" t="str">
        <x:v>02, 07, 08, 11, 13, 16, 31</x:v>
      </x:c>
      <x:c r="Q739" s="26" t="str">
        <x:v>Development evidence</x:v>
      </x:c>
      <x:c r="R739" s="26" t="str">
        <x:v>RETAIN AS EVIDENCE — NOT REPLACED BY SUMMARY</x:v>
      </x:c>
      <x:c r="S739" s="26" t="str">
        <x:v>10_Development_Records/Sprints/Sprint_00/S0.8_Validation_Checklist.md</x:v>
      </x:c>
      <x:c r="T739" s="26" t="str">
        <x:v>Historical path preserved verbatim; hash calculated from supplied pre-regeneration project.</x:v>
      </x:c>
    </x:row>
    <x:row r="740" ht="30" customHeight="1">
      <x:c r="A740" s="26" t="str">
        <x:v>H-0736</x:v>
      </x:c>
      <x:c r="B740" s="26" t="str">
        <x:v>Development Records</x:v>
      </x:c>
      <x:c r="C740" s="26"/>
      <x:c r="D740" s="26" t="str">
        <x:v>Sprints</x:v>
      </x:c>
      <x:c r="E740" s="26" t="str">
        <x:v>Sprint_00</x:v>
      </x:c>
      <x:c r="F740" s="26" t="str">
        <x:v>Sprint 00</x:v>
      </x:c>
      <x:c r="G740" s="26" t="str">
        <x:v>S0.9_Closure_Record.md</x:v>
      </x:c>
      <x:c r="H740" s="26" t="str">
        <x:v>Markdown</x:v>
      </x:c>
      <x:c r="I740" s="26" t="str">
        <x:v>Sprint closure</x:v>
      </x:c>
      <x:c r="J740" s="26" t="n">
        <x:v>1165</x:v>
      </x:c>
      <x:c r="K740" s="26" t="str">
        <x:v>6042b8da9b246e5905d6835ad256beab1f7ec4ca4b4c82aaef4fa4dc3ffe25e5</x:v>
      </x:c>
      <x:c r="L740" s="26"/>
      <x:c r="M740" s="26" t="n">
        <x:v>1</x:v>
      </x:c>
      <x:c r="N740" s="26" t="str">
        <x:v>UNIQUE</x:v>
      </x:c>
      <x:c r="O740" s="26"/>
      <x:c r="P740" s="26"/>
      <x:c r="Q740" s="26" t="str">
        <x:v>Development evidence</x:v>
      </x:c>
      <x:c r="R740" s="26" t="str">
        <x:v>RETAIN AS EVIDENCE — NOT REPLACED BY SUMMARY</x:v>
      </x:c>
      <x:c r="S740" s="26" t="str">
        <x:v>10_Development_Records/Sprints/Sprint_00/S0.9_Closure_Record.md</x:v>
      </x:c>
      <x:c r="T740" s="26" t="str">
        <x:v>Historical path preserved verbatim; hash calculated from supplied pre-regeneration project.</x:v>
      </x:c>
    </x:row>
    <x:row r="741" ht="30" customHeight="1">
      <x:c r="A741" s="26" t="str">
        <x:v>H-0737</x:v>
      </x:c>
      <x:c r="B741" s="26" t="str">
        <x:v>Development Records</x:v>
      </x:c>
      <x:c r="C741" s="26"/>
      <x:c r="D741" s="26" t="str">
        <x:v>Sprints</x:v>
      </x:c>
      <x:c r="E741" s="26" t="str">
        <x:v>Sprint_00</x:v>
      </x:c>
      <x:c r="F741" s="26" t="str">
        <x:v>Sprint 00</x:v>
      </x:c>
      <x:c r="G741" s="26" t="str">
        <x:v>S0.9_Validation_Checklist.md</x:v>
      </x:c>
      <x:c r="H741" s="26" t="str">
        <x:v>Markdown</x:v>
      </x:c>
      <x:c r="I741" s="26" t="str">
        <x:v>Validation checklist</x:v>
      </x:c>
      <x:c r="J741" s="26" t="n">
        <x:v>3752</x:v>
      </x:c>
      <x:c r="K741" s="26" t="str">
        <x:v>5f7bd2e73d22816dc586e781cc1e563408c68d363e080fa88c46989702e268cd</x:v>
      </x:c>
      <x:c r="L741" s="26"/>
      <x:c r="M741" s="26" t="n">
        <x:v>1</x:v>
      </x:c>
      <x:c r="N741" s="26" t="str">
        <x:v>UNIQUE</x:v>
      </x:c>
      <x:c r="O741" s="26" t="str">
        <x:v>31</x:v>
      </x:c>
      <x:c r="P741" s="26" t="str">
        <x:v>02, 07, 08, 11, 13, 16, 31</x:v>
      </x:c>
      <x:c r="Q741" s="26" t="str">
        <x:v>Development evidence</x:v>
      </x:c>
      <x:c r="R741" s="26" t="str">
        <x:v>RETAIN AS EVIDENCE — NOT REPLACED BY SUMMARY</x:v>
      </x:c>
      <x:c r="S741" s="26" t="str">
        <x:v>10_Development_Records/Sprints/Sprint_00/S0.9_Validation_Checklist.md</x:v>
      </x:c>
      <x:c r="T741" s="26" t="str">
        <x:v>Historical path preserved verbatim; hash calculated from supplied pre-regeneration project.</x:v>
      </x:c>
    </x:row>
    <x:row r="742" ht="30" customHeight="1">
      <x:c r="A742" s="26" t="str">
        <x:v>H-0738</x:v>
      </x:c>
      <x:c r="B742" s="26" t="str">
        <x:v>Development Records</x:v>
      </x:c>
      <x:c r="C742" s="26"/>
      <x:c r="D742" s="26" t="str">
        <x:v>Sprints</x:v>
      </x:c>
      <x:c r="E742" s="26" t="str">
        <x:v>Sprint_00</x:v>
      </x:c>
      <x:c r="F742" s="26" t="str">
        <x:v>Sprint 00</x:v>
      </x:c>
      <x:c r="G742" s="26" t="str">
        <x:v>S0.9_Windows_Development_Build.md</x:v>
      </x:c>
      <x:c r="H742" s="26" t="str">
        <x:v>Markdown</x:v>
      </x:c>
      <x:c r="I742" s="26" t="str">
        <x:v>Historical document / record</x:v>
      </x:c>
      <x:c r="J742" s="26" t="n">
        <x:v>1232</x:v>
      </x:c>
      <x:c r="K742" s="26" t="str">
        <x:v>c45ac6b443ea4fac5d7c3d90cbf6d67012afa11b079091c9023d0481027b355b</x:v>
      </x:c>
      <x:c r="L742" s="26"/>
      <x:c r="M742" s="26" t="n">
        <x:v>1</x:v>
      </x:c>
      <x:c r="N742" s="26" t="str">
        <x:v>UNIQUE</x:v>
      </x:c>
      <x:c r="O742" s="26"/>
      <x:c r="P742" s="26"/>
      <x:c r="Q742" s="26" t="str">
        <x:v>Development evidence</x:v>
      </x:c>
      <x:c r="R742" s="26" t="str">
        <x:v>RETAIN AS EVIDENCE — NOT REPLACED BY SUMMARY</x:v>
      </x:c>
      <x:c r="S742" s="26" t="str">
        <x:v>10_Development_Records/Sprints/Sprint_00/S0.9_Windows_Development_Build.md</x:v>
      </x:c>
      <x:c r="T742" s="26" t="str">
        <x:v>Historical path preserved verbatim; hash calculated from supplied pre-regeneration project.</x:v>
      </x:c>
    </x:row>
    <x:row r="743" ht="30" customHeight="1">
      <x:c r="A743" s="26" t="str">
        <x:v>H-0739</x:v>
      </x:c>
      <x:c r="B743" s="26" t="str">
        <x:v>Development Records</x:v>
      </x:c>
      <x:c r="C743" s="26"/>
      <x:c r="D743" s="26" t="str">
        <x:v>Sprints</x:v>
      </x:c>
      <x:c r="E743" s="26" t="str">
        <x:v>Sprint_00</x:v>
      </x:c>
      <x:c r="F743" s="26" t="str">
        <x:v>Sprint 00</x:v>
      </x:c>
      <x:c r="G743" s="26" t="str">
        <x:v>.gitkeep</x:v>
      </x:c>
      <x:c r="H743" s="26" t="str">
        <x:v>Extensionless record</x:v>
      </x:c>
      <x:c r="I743" s="26" t="str">
        <x:v>Historical document / record</x:v>
      </x:c>
      <x:c r="J743" s="26" t="n">
        <x:v>0</x:v>
      </x:c>
      <x:c r="K743" s="26" t="str">
        <x:v>e3b0c44298fc1c149afbf4c8996fb92427ae41e4649b934ca495991b7852b855</x:v>
      </x:c>
      <x:c r="L743" s="26" t="str">
        <x:v>DG-092</x:v>
      </x:c>
      <x:c r="M743" s="26" t="n">
        <x:v>6</x:v>
      </x:c>
      <x:c r="N743" s="26" t="str">
        <x:v>IDENTICAL COPY</x:v>
      </x:c>
      <x:c r="O743" s="26"/>
      <x:c r="P743" s="26"/>
      <x:c r="Q743" s="26" t="str">
        <x:v>Development evidence</x:v>
      </x:c>
      <x:c r="R743" s="26" t="str">
        <x:v>RETAIN AS EVIDENCE — NOT REPLACED BY SUMMARY</x:v>
      </x:c>
      <x:c r="S743" s="26" t="str">
        <x:v>10_Development_Records/Sprints/Sprint_00/Setup/.gitkeep</x:v>
      </x:c>
      <x:c r="T743" s="26" t="str">
        <x:v>Historical path preserved verbatim; hash calculated from supplied pre-regeneration project.</x:v>
      </x:c>
    </x:row>
    <x:row r="744" ht="30" customHeight="1">
      <x:c r="A744" s="26" t="str">
        <x:v>H-0740</x:v>
      </x:c>
      <x:c r="B744" s="26" t="str">
        <x:v>Development Records</x:v>
      </x:c>
      <x:c r="C744" s="26"/>
      <x:c r="D744" s="26" t="str">
        <x:v>Sprints</x:v>
      </x:c>
      <x:c r="E744" s="26" t="str">
        <x:v>Sprint_00</x:v>
      </x:c>
      <x:c r="F744" s="26" t="str">
        <x:v>Sprint 00</x:v>
      </x:c>
      <x:c r="G744" s="26" t="str">
        <x:v>Sprint_00_Closure_Record.md</x:v>
      </x:c>
      <x:c r="H744" s="26" t="str">
        <x:v>Markdown</x:v>
      </x:c>
      <x:c r="I744" s="26" t="str">
        <x:v>Sprint closure</x:v>
      </x:c>
      <x:c r="J744" s="26" t="n">
        <x:v>856</x:v>
      </x:c>
      <x:c r="K744" s="26" t="str">
        <x:v>40304282ce444aae9a485d1f9cbb27b6157460aef53ebee86d2c1e8c5aa7999a</x:v>
      </x:c>
      <x:c r="L744" s="26" t="str">
        <x:v>DG-026</x:v>
      </x:c>
      <x:c r="M744" s="26" t="n">
        <x:v>2</x:v>
      </x:c>
      <x:c r="N744" s="26" t="str">
        <x:v>IDENTICAL COPY</x:v>
      </x:c>
      <x:c r="O744" s="26"/>
      <x:c r="P744" s="26"/>
      <x:c r="Q744" s="26" t="str">
        <x:v>Development evidence</x:v>
      </x:c>
      <x:c r="R744" s="26" t="str">
        <x:v>RETAIN AS EVIDENCE — NOT REPLACED BY SUMMARY</x:v>
      </x:c>
      <x:c r="S744" s="26" t="str">
        <x:v>10_Development_Records/Sprints/Sprint_00/Sprint_00_Closure_Record.md</x:v>
      </x:c>
      <x:c r="T744" s="26" t="str">
        <x:v>Historical path preserved verbatim; hash calculated from supplied pre-regeneration project.</x:v>
      </x:c>
    </x:row>
    <x:row r="745" ht="30" customHeight="1">
      <x:c r="A745" s="26" t="str">
        <x:v>H-0741</x:v>
      </x:c>
      <x:c r="B745" s="26" t="str">
        <x:v>Development Records</x:v>
      </x:c>
      <x:c r="C745" s="26"/>
      <x:c r="D745" s="26" t="str">
        <x:v>Sprints</x:v>
      </x:c>
      <x:c r="E745" s="26" t="str">
        <x:v>Sprint_00</x:v>
      </x:c>
      <x:c r="F745" s="26" t="str">
        <x:v>Sprint 00</x:v>
      </x:c>
      <x:c r="G745" s="26" t="str">
        <x:v>Sprint_00_Current_Status.md</x:v>
      </x:c>
      <x:c r="H745" s="26" t="str">
        <x:v>Markdown</x:v>
      </x:c>
      <x:c r="I745" s="26" t="str">
        <x:v>Current status</x:v>
      </x:c>
      <x:c r="J745" s="26" t="n">
        <x:v>758</x:v>
      </x:c>
      <x:c r="K745" s="26" t="str">
        <x:v>89e8091242b513ea0e04589d73cf525f6a6f17b3c4d4d7da2b820737197083f8</x:v>
      </x:c>
      <x:c r="L745" s="26" t="str">
        <x:v>DG-054</x:v>
      </x:c>
      <x:c r="M745" s="26" t="n">
        <x:v>2</x:v>
      </x:c>
      <x:c r="N745" s="26" t="str">
        <x:v>IDENTICAL COPY</x:v>
      </x:c>
      <x:c r="O745" s="26"/>
      <x:c r="P745" s="26"/>
      <x:c r="Q745" s="26" t="str">
        <x:v>Development evidence</x:v>
      </x:c>
      <x:c r="R745" s="26" t="str">
        <x:v>RETAIN AS EVIDENCE — NOT REPLACED BY SUMMARY</x:v>
      </x:c>
      <x:c r="S745" s="26" t="str">
        <x:v>10_Development_Records/Sprints/Sprint_00/Sprint_00_Current_Status.md</x:v>
      </x:c>
      <x:c r="T745" s="26" t="str">
        <x:v>Historical path preserved verbatim; hash calculated from supplied pre-regeneration project.</x:v>
      </x:c>
    </x:row>
    <x:row r="746" ht="30" customHeight="1">
      <x:c r="A746" s="26" t="str">
        <x:v>H-0742</x:v>
      </x:c>
      <x:c r="B746" s="26" t="str">
        <x:v>Development Records</x:v>
      </x:c>
      <x:c r="C746" s="26"/>
      <x:c r="D746" s="26" t="str">
        <x:v>Sprints</x:v>
      </x:c>
      <x:c r="E746" s="26" t="str">
        <x:v>Sprint_00</x:v>
      </x:c>
      <x:c r="F746" s="26" t="str">
        <x:v>Sprint 00</x:v>
      </x:c>
      <x:c r="G746" s="26" t="str">
        <x:v>Sprint_00_Foundation_Baseline.md</x:v>
      </x:c>
      <x:c r="H746" s="26" t="str">
        <x:v>Markdown</x:v>
      </x:c>
      <x:c r="I746" s="26" t="str">
        <x:v>Historical document / record</x:v>
      </x:c>
      <x:c r="J746" s="26" t="n">
        <x:v>1238</x:v>
      </x:c>
      <x:c r="K746" s="26" t="str">
        <x:v>0fed73bbd55bee471c7c2858bd09fcf946b308aab364d00455595c10a2b2e877</x:v>
      </x:c>
      <x:c r="L746" s="26" t="str">
        <x:v>DG-006</x:v>
      </x:c>
      <x:c r="M746" s="26" t="n">
        <x:v>2</x:v>
      </x:c>
      <x:c r="N746" s="26" t="str">
        <x:v>IDENTICAL COPY</x:v>
      </x:c>
      <x:c r="O746" s="26"/>
      <x:c r="P746" s="26"/>
      <x:c r="Q746" s="26" t="str">
        <x:v>Development evidence</x:v>
      </x:c>
      <x:c r="R746" s="26" t="str">
        <x:v>RETAIN AS EVIDENCE — NOT REPLACED BY SUMMARY</x:v>
      </x:c>
      <x:c r="S746" s="26" t="str">
        <x:v>10_Development_Records/Sprints/Sprint_00/Sprint_00_Foundation_Baseline.md</x:v>
      </x:c>
      <x:c r="T746" s="26" t="str">
        <x:v>Historical path preserved verbatim; hash calculated from supplied pre-regeneration project.</x:v>
      </x:c>
    </x:row>
    <x:row r="747" ht="30" customHeight="1">
      <x:c r="A747" s="26" t="str">
        <x:v>H-0743</x:v>
      </x:c>
      <x:c r="B747" s="26" t="str">
        <x:v>Working Drafts</x:v>
      </x:c>
      <x:c r="C747" s="26"/>
      <x:c r="D747" s="26" t="str">
        <x:v>.gitkeep</x:v>
      </x:c>
      <x:c r="E747" s="26"/>
      <x:c r="F747" s="26"/>
      <x:c r="G747" s="26" t="str">
        <x:v>.gitkeep</x:v>
      </x:c>
      <x:c r="H747" s="26" t="str">
        <x:v>Extensionless record</x:v>
      </x:c>
      <x:c r="I747" s="26" t="str">
        <x:v>Working draft</x:v>
      </x:c>
      <x:c r="J747" s="26" t="n">
        <x:v>0</x:v>
      </x:c>
      <x:c r="K747" s="26" t="str">
        <x:v>e3b0c44298fc1c149afbf4c8996fb92427ae41e4649b934ca495991b7852b855</x:v>
      </x:c>
      <x:c r="L747" s="26" t="str">
        <x:v>DG-092</x:v>
      </x:c>
      <x:c r="M747" s="26" t="n">
        <x:v>6</x:v>
      </x:c>
      <x:c r="N747" s="26" t="str">
        <x:v>IDENTICAL COPY</x:v>
      </x:c>
      <x:c r="O747" s="26"/>
      <x:c r="P747" s="26"/>
      <x:c r="Q747" s="26" t="str">
        <x:v>Draft — non-authoritative</x:v>
      </x:c>
      <x:c r="R747" s="26" t="str">
        <x:v>RETAIN OR ARCHIVE; NEVER TREAT AS CURRENT AUTHORITY</x:v>
      </x:c>
      <x:c r="S747" s="26" t="str">
        <x:v>20_Working_Drafts/.gitkeep</x:v>
      </x:c>
      <x:c r="T747" s="26" t="str">
        <x:v>Historical path preserved verbatim; hash calculated from supplied pre-regeneration project.</x:v>
      </x:c>
    </x:row>
    <x:row r="748" ht="30" customHeight="1">
      <x:c r="A748" s="26" t="str">
        <x:v>H-0744</x:v>
      </x:c>
      <x:c r="B748" s="26" t="str">
        <x:v>Archive</x:v>
      </x:c>
      <x:c r="C748" s="26"/>
      <x:c r="D748" s="26" t="str">
        <x:v>.gitkeep</x:v>
      </x:c>
      <x:c r="E748" s="26"/>
      <x:c r="F748" s="26"/>
      <x:c r="G748" s="26" t="str">
        <x:v>.gitkeep</x:v>
      </x:c>
      <x:c r="H748" s="26" t="str">
        <x:v>Extensionless record</x:v>
      </x:c>
      <x:c r="I748" s="26" t="str">
        <x:v>Historical document / record</x:v>
      </x:c>
      <x:c r="J748" s="26" t="n">
        <x:v>0</x:v>
      </x:c>
      <x:c r="K748" s="26" t="str">
        <x:v>e3b0c44298fc1c149afbf4c8996fb92427ae41e4649b934ca495991b7852b855</x:v>
      </x:c>
      <x:c r="L748" s="26" t="str">
        <x:v>DG-092</x:v>
      </x:c>
      <x:c r="M748" s="26" t="n">
        <x:v>6</x:v>
      </x:c>
      <x:c r="N748" s="26" t="str">
        <x:v>IDENTICAL COPY</x:v>
      </x:c>
      <x:c r="O748" s="26"/>
      <x:c r="P748" s="26"/>
      <x:c r="Q748" s="26" t="str">
        <x:v>Archived — reference only</x:v>
      </x:c>
      <x:c r="R748" s="26" t="str">
        <x:v>RETAIN READ-ONLY</x:v>
      </x:c>
      <x:c r="S748" s="26" t="str">
        <x:v>90_Archive/.gitkeep</x:v>
      </x:c>
      <x:c r="T748" s="26" t="str">
        <x:v>Historical path preserved verbatim; hash calculated from supplied pre-regeneration project.</x:v>
      </x:c>
    </x:row>
    <x:row r="749" ht="30" customHeight="1">
      <x:c r="A749" s="26" t="str">
        <x:v>H-0745</x:v>
      </x:c>
      <x:c r="B749" s="26" t="str">
        <x:v>Documentation Root</x:v>
      </x:c>
      <x:c r="C749" s="26"/>
      <x:c r="D749" s="26"/>
      <x:c r="E749" s="26"/>
      <x:c r="F749" s="26"/>
      <x:c r="G749" s="26" t="str">
        <x:v>README_Documentation_Structure.md</x:v>
      </x:c>
      <x:c r="H749" s="26" t="str">
        <x:v>Markdown</x:v>
      </x:c>
      <x:c r="I749" s="26" t="str">
        <x:v>README / navigation</x:v>
      </x:c>
      <x:c r="J749" s="26" t="n">
        <x:v>1882</x:v>
      </x:c>
      <x:c r="K749" s="26" t="str">
        <x:v>0b9951b7b274022526f4536d2d3da2aa7503251263a5cc2f1d162f130481ec35</x:v>
      </x:c>
      <x:c r="L749" s="26"/>
      <x:c r="M749" s="26" t="n">
        <x:v>1</x:v>
      </x:c>
      <x:c r="N749" s="26" t="str">
        <x:v>UNIQUE</x:v>
      </x:c>
      <x:c r="O749" s="26"/>
      <x:c r="P749" s="26"/>
      <x:c r="Q749" s="26" t="str">
        <x:v>Supporting historical artifact</x:v>
      </x:c>
      <x:c r="R749" s="26" t="str">
        <x:v>RETAIN AS SUPPORTING HISTORY</x:v>
      </x:c>
      <x:c r="S749" s="26" t="str">
        <x:v>README_Documentation_Structure.md</x:v>
      </x:c>
      <x:c r="T749" s="26" t="str">
        <x:v>Historical path preserved verbatim; hash calculated from supplied pre-regeneration project.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8" hidden="0" customWidth="1"/>
    <x:col min="10" max="10" width="6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8" customHeight="1">
      <x:c r="A1" s="71" t="str">
        <x:v>Paquetes de evidencia H6 y Release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</x:row>
    <x:row r="2" ht="32" customHeight="1">
      <x:c r="A2" s="75" t="str">
        <x:v>40 paquetes obligatorios con owner, estado, build, integridad, verificación y checklist relacionado.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</x:row>
    <x:row r="4" ht="30" customHeight="1">
      <x:c r="A4" s="80" t="str">
        <x:v>Evidence ID</x:v>
      </x:c>
      <x:c r="B4" s="80" t="str">
        <x:v>Gate</x:v>
      </x:c>
      <x:c r="C4" s="80" t="str">
        <x:v>Package / Artifact</x:v>
      </x:c>
      <x:c r="D4" s="80" t="str">
        <x:v>Required Contents</x:v>
      </x:c>
      <x:c r="E4" s="80" t="str">
        <x:v>Owner</x:v>
      </x:c>
      <x:c r="F4" s="80" t="str">
        <x:v>Status</x:v>
      </x:c>
      <x:c r="G4" s="80" t="str">
        <x:v>Build ID</x:v>
      </x:c>
      <x:c r="H4" s="80" t="str">
        <x:v>Commit SHA</x:v>
      </x:c>
      <x:c r="I4" s="80" t="str">
        <x:v>File / Folder Path</x:v>
      </x:c>
      <x:c r="J4" s="80" t="str">
        <x:v>SHA-256 / Integrity</x:v>
      </x:c>
      <x:c r="K4" s="80" t="str">
        <x:v>Produced By</x:v>
      </x:c>
      <x:c r="L4" s="80" t="str">
        <x:v>Produced Date</x:v>
      </x:c>
      <x:c r="M4" s="80" t="str">
        <x:v>Verified By</x:v>
      </x:c>
      <x:c r="N4" s="80" t="str">
        <x:v>Verified Date</x:v>
      </x:c>
      <x:c r="O4" s="80" t="str">
        <x:v>Related Checklist IDs</x:v>
      </x:c>
      <x:c r="P4" s="80" t="str">
        <x:v>Notes</x:v>
      </x:c>
    </x:row>
    <x:row r="5" ht="30" customHeight="1">
      <x:c r="A5" s="26" t="str">
        <x:v>EVD-H6-001</x:v>
      </x:c>
      <x:c r="B5" s="26" t="str">
        <x:v>H6</x:v>
      </x:c>
      <x:c r="C5" s="26" t="str">
        <x:v>Scope freeze and change control</x:v>
      </x:c>
      <x:c r="D5" s="26" t="str">
        <x:v>Scope freeze, active backlog, approved changes</x:v>
      </x:c>
      <x:c r="E5" s="26" t="str">
        <x:v>Production</x:v>
      </x:c>
      <x:c r="F5" s="26" t="str">
        <x:v>MISSING</x:v>
      </x:c>
      <x:c r="G5" s="26"/>
      <x:c r="H5" s="26"/>
      <x:c r="I5" s="26"/>
      <x:c r="J5" s="26"/>
      <x:c r="K5" s="26"/>
      <x:c r="L5" s="26"/>
      <x:c r="M5" s="26"/>
      <x:c r="N5" s="26"/>
      <x:c r="O5" s="26"/>
      <x:c r="P5" s="26"/>
    </x:row>
    <x:row r="6" ht="30" customHeight="1">
      <x:c r="A6" s="26" t="str">
        <x:v>EVD-H6-002</x:v>
      </x:c>
      <x:c r="B6" s="26" t="str">
        <x:v>H6</x:v>
      </x:c>
      <x:c r="C6" s="26" t="str">
        <x:v>Candidate source identity</x:v>
      </x:c>
      <x:c r="D6" s="26" t="str">
        <x:v>Branch, commit SHA, clean status, tag</x:v>
      </x:c>
      <x:c r="E6" s="26" t="str">
        <x:v>Build/Engineering</x:v>
      </x:c>
      <x:c r="F6" s="26" t="str">
        <x:v>MISSING</x:v>
      </x:c>
      <x:c r="G6" s="26"/>
      <x:c r="H6" s="26"/>
      <x:c r="I6" s="26"/>
      <x:c r="J6" s="26"/>
      <x:c r="K6" s="26"/>
      <x:c r="L6" s="26"/>
      <x:c r="M6" s="26"/>
      <x:c r="N6" s="26"/>
      <x:c r="O6" s="26"/>
      <x:c r="P6" s="26"/>
    </x:row>
    <x:row r="7" ht="30" customHeight="1">
      <x:c r="A7" s="26" t="str">
        <x:v>EVD-H6-003</x:v>
      </x:c>
      <x:c r="B7" s="26" t="str">
        <x:v>H6</x:v>
      </x:c>
      <x:c r="C7" s="26" t="str">
        <x:v>StoreInitial visual review</x:v>
      </x:c>
      <x:c r="D7" s="26" t="str">
        <x:v>Approved captures, layout review, exceptions</x:v>
      </x:c>
      <x:c r="E7" s="26" t="str">
        <x:v>Art/Level</x:v>
      </x:c>
      <x:c r="F7" s="26" t="str">
        <x:v>MISSING</x:v>
      </x:c>
      <x:c r="G7" s="26"/>
      <x:c r="H7" s="26"/>
      <x:c r="I7" s="26"/>
      <x:c r="J7" s="26"/>
      <x:c r="K7" s="26"/>
      <x:c r="L7" s="26"/>
      <x:c r="M7" s="26"/>
      <x:c r="N7" s="26"/>
      <x:c r="O7" s="26"/>
      <x:c r="P7" s="26"/>
    </x:row>
    <x:row r="8" ht="30" customHeight="1">
      <x:c r="A8" s="26" t="str">
        <x:v>EVD-H6-004</x:v>
      </x:c>
      <x:c r="B8" s="26" t="str">
        <x:v>H6</x:v>
      </x:c>
      <x:c r="C8" s="26" t="str">
        <x:v>Scene validation</x:v>
      </x:c>
      <x:c r="D8" s="26" t="str">
        <x:v>Missing references/scripts, colliders, NavMesh</x:v>
      </x:c>
      <x:c r="E8" s="26" t="str">
        <x:v>Engineering/QA</x:v>
      </x:c>
      <x:c r="F8" s="26" t="str">
        <x:v>MISSING</x:v>
      </x:c>
      <x:c r="G8" s="26"/>
      <x:c r="H8" s="26"/>
      <x:c r="I8" s="26"/>
      <x:c r="J8" s="26"/>
      <x:c r="K8" s="26"/>
      <x:c r="L8" s="26"/>
      <x:c r="M8" s="26"/>
      <x:c r="N8" s="26"/>
      <x:c r="O8" s="26"/>
      <x:c r="P8" s="26"/>
    </x:row>
    <x:row r="9" ht="30" customHeight="1">
      <x:c r="A9" s="26" t="str">
        <x:v>EVD-H6-005</x:v>
      </x:c>
      <x:c r="B9" s="26" t="str">
        <x:v>H6</x:v>
      </x:c>
      <x:c r="C9" s="26" t="str">
        <x:v>Automated test reports</x:v>
      </x:c>
      <x:c r="D9" s="26" t="str">
        <x:v>Complete suite, environment, SHA, results</x:v>
      </x:c>
      <x:c r="E9" s="26" t="str">
        <x:v>QA</x:v>
      </x:c>
      <x:c r="F9" s="26" t="str">
        <x:v>MISSING</x:v>
      </x:c>
      <x:c r="G9" s="26"/>
      <x:c r="H9" s="26"/>
      <x:c r="I9" s="26"/>
      <x:c r="J9" s="26"/>
      <x:c r="K9" s="26"/>
      <x:c r="L9" s="26"/>
      <x:c r="M9" s="26"/>
      <x:c r="N9" s="26"/>
      <x:c r="O9" s="26"/>
      <x:c r="P9" s="26"/>
    </x:row>
    <x:row r="10" ht="30" customHeight="1">
      <x:c r="A10" s="26" t="str">
        <x:v>EVD-H6-006</x:v>
      </x:c>
      <x:c r="B10" s="26" t="str">
        <x:v>H6</x:v>
      </x:c>
      <x:c r="C10" s="26" t="str">
        <x:v>Golden Path Record</x:v>
      </x:c>
      <x:c r="D10" s="26" t="str">
        <x:v>External build execution without debug</x:v>
      </x:c>
      <x:c r="E10" s="26" t="str">
        <x:v>QA</x:v>
      </x:c>
      <x:c r="F10" s="26" t="str">
        <x:v>MISSING</x:v>
      </x:c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</x:row>
    <x:row r="11" ht="30" customHeight="1">
      <x:c r="A11" s="26" t="str">
        <x:v>EVD-H6-007</x:v>
      </x:c>
      <x:c r="B11" s="26" t="str">
        <x:v>H6</x:v>
      </x:c>
      <x:c r="C11" s="26" t="str">
        <x:v>Seven Day Run Record</x:v>
      </x:c>
      <x:c r="D11" s="26" t="str">
        <x:v>Persistent campaign and reconciliation</x:v>
      </x:c>
      <x:c r="E11" s="26" t="str">
        <x:v>QA/Design</x:v>
      </x:c>
      <x:c r="F11" s="26" t="str">
        <x:v>MISSING</x:v>
      </x:c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</x:row>
    <x:row r="12" ht="30" customHeight="1">
      <x:c r="A12" s="26" t="str">
        <x:v>EVD-H6-008</x:v>
      </x:c>
      <x:c r="B12" s="26" t="str">
        <x:v>H6</x:v>
      </x:c>
      <x:c r="C12" s="26" t="str">
        <x:v>Save comparison</x:v>
      </x:c>
      <x:c r="D12" s="26" t="str">
        <x:v>Snapshots/diffs, migration, slots, recovery</x:v>
      </x:c>
      <x:c r="E12" s="26" t="str">
        <x:v>Engineering/QA</x:v>
      </x:c>
      <x:c r="F12" s="26" t="str">
        <x:v>MISSING</x:v>
      </x:c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</x:row>
    <x:row r="13" ht="30" customHeight="1">
      <x:c r="A13" s="26" t="str">
        <x:v>EVD-H6-009</x:v>
      </x:c>
      <x:c r="B13" s="26" t="str">
        <x:v>H6</x:v>
      </x:c>
      <x:c r="C13" s="26" t="str">
        <x:v>Performance Record</x:v>
      </x:c>
      <x:c r="D13" s="26" t="str">
        <x:v>Hardware, FPS/frame time, memory, load/save, soak</x:v>
      </x:c>
      <x:c r="E13" s="26" t="str">
        <x:v>Engineering/QA</x:v>
      </x:c>
      <x:c r="F13" s="26" t="str">
        <x:v>MISSING</x:v>
      </x:c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</x:row>
    <x:row r="14" ht="30" customHeight="1">
      <x:c r="A14" s="26" t="str">
        <x:v>EVD-H6-010</x:v>
      </x:c>
      <x:c r="B14" s="26" t="str">
        <x:v>H6</x:v>
      </x:c>
      <x:c r="C14" s="26" t="str">
        <x:v>Build Record</x:v>
      </x:c>
      <x:c r="D14" s="26" t="str">
        <x:v>Build ID, version, SHA, profile, scenes, logs</x:v>
      </x:c>
      <x:c r="E14" s="26" t="str">
        <x:v>Build</x:v>
      </x:c>
      <x:c r="F14" s="26" t="str">
        <x:v>MISSING</x:v>
      </x:c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</x:row>
    <x:row r="15" ht="30" customHeight="1">
      <x:c r="A15" s="26" t="str">
        <x:v>EVD-H6-011</x:v>
      </x:c>
      <x:c r="B15" s="26" t="str">
        <x:v>H6</x:v>
      </x:c>
      <x:c r="C15" s="26" t="str">
        <x:v>Player.log package</x:v>
      </x:c>
      <x:c r="D15" s="26" t="str">
        <x:v>Startup, Golden Path, seven-day and soak logs</x:v>
      </x:c>
      <x:c r="E15" s="26" t="str">
        <x:v>QA/Engineering</x:v>
      </x:c>
      <x:c r="F15" s="26" t="str">
        <x:v>MISSING</x:v>
      </x:c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</x:row>
    <x:row r="16" ht="30" customHeight="1">
      <x:c r="A16" s="26" t="str">
        <x:v>EVD-H6-012</x:v>
      </x:c>
      <x:c r="B16" s="26" t="str">
        <x:v>H6</x:v>
      </x:c>
      <x:c r="C16" s="26" t="str">
        <x:v>Defect and exception package</x:v>
      </x:c>
      <x:c r="D16" s="26" t="str">
        <x:v>S0–S4, blockers, exceptions, known issues</x:v>
      </x:c>
      <x:c r="E16" s="26" t="str">
        <x:v>QA/Production</x:v>
      </x:c>
      <x:c r="F16" s="26" t="str">
        <x:v>MISSING</x:v>
      </x:c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</x:row>
    <x:row r="17" ht="30" customHeight="1">
      <x:c r="A17" s="26" t="str">
        <x:v>EVD-H6-013</x:v>
      </x:c>
      <x:c r="B17" s="26" t="str">
        <x:v>H6</x:v>
      </x:c>
      <x:c r="C17" s="26" t="str">
        <x:v>Localization ES/EN package</x:v>
      </x:c>
      <x:c r="D17" s="26" t="str">
        <x:v>Coverage, LQA, pseudoloc, glyphs, logs</x:v>
      </x:c>
      <x:c r="E17" s="26" t="str">
        <x:v>Localization</x:v>
      </x:c>
      <x:c r="F17" s="26" t="str">
        <x:v>MISSING</x:v>
      </x:c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</x:row>
    <x:row r="18" ht="30" customHeight="1">
      <x:c r="A18" s="26" t="str">
        <x:v>EVD-H6-014</x:v>
      </x:c>
      <x:c r="B18" s="26" t="str">
        <x:v>H6</x:v>
      </x:c>
      <x:c r="C18" s="26" t="str">
        <x:v>Accessibility evidence</x:v>
      </x:c>
      <x:c r="D18" s="26" t="str">
        <x:v>Scaling, reduce motion, focus, color redundancy</x:v>
      </x:c>
      <x:c r="E18" s="26" t="str">
        <x:v>Accessibility/UX</x:v>
      </x:c>
      <x:c r="F18" s="26" t="str">
        <x:v>MISSING</x:v>
      </x:c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</x:row>
    <x:row r="19" ht="30" customHeight="1">
      <x:c r="A19" s="26" t="str">
        <x:v>EVD-H6-015</x:v>
      </x:c>
      <x:c r="B19" s="26" t="str">
        <x:v>H6</x:v>
      </x:c>
      <x:c r="C19" s="26" t="str">
        <x:v>Art and audio signoff</x:v>
      </x:c>
      <x:c r="D19" s="26" t="str">
        <x:v>Representative quality and license coverage</x:v>
      </x:c>
      <x:c r="E19" s="26" t="str">
        <x:v>Art/Audio</x:v>
      </x:c>
      <x:c r="F19" s="26" t="str">
        <x:v>MISSING</x:v>
      </x:c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</x:row>
    <x:row r="20" ht="30" customHeight="1">
      <x:c r="A20" s="26" t="str">
        <x:v>EVD-H6-016</x:v>
      </x:c>
      <x:c r="B20" s="26" t="str">
        <x:v>H6</x:v>
      </x:c>
      <x:c r="C20" s="26" t="str">
        <x:v>Legal/license signoff</x:v>
      </x:c>
      <x:c r="D20" s="26" t="str">
        <x:v>Assets, fonts, audio, naming, notices</x:v>
      </x:c>
      <x:c r="E20" s="26" t="str">
        <x:v>Legal</x:v>
      </x:c>
      <x:c r="F20" s="26" t="str">
        <x:v>MISSING</x:v>
      </x:c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</x:row>
    <x:row r="21" ht="30" customHeight="1">
      <x:c r="A21" s="26" t="str">
        <x:v>EVD-H6-017</x:v>
      </x:c>
      <x:c r="B21" s="26" t="str">
        <x:v>H6</x:v>
      </x:c>
      <x:c r="C21" s="26" t="str">
        <x:v>Security/privacy signoff</x:v>
      </x:c>
      <x:c r="D21" s="26" t="str">
        <x:v>Secrets, dependencies, logs, data inventory</x:v>
      </x:c>
      <x:c r="E21" s="26" t="str">
        <x:v>Security/Privacy</x:v>
      </x:c>
      <x:c r="F21" s="26" t="str">
        <x:v>MISSING</x:v>
      </x:c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</x:row>
    <x:row r="22" ht="30" customHeight="1">
      <x:c r="A22" s="26" t="str">
        <x:v>EVD-H6-018</x:v>
      </x:c>
      <x:c r="B22" s="26" t="str">
        <x:v>H6</x:v>
      </x:c>
      <x:c r="C22" s="26" t="str">
        <x:v>Documentation traceability</x:v>
      </x:c>
      <x:c r="D22" s="26" t="str">
        <x:v>Requirements-tests-evidence-build links</x:v>
      </x:c>
      <x:c r="E22" s="26" t="str">
        <x:v>Documentation</x:v>
      </x:c>
      <x:c r="F22" s="26" t="str">
        <x:v>MISSING</x:v>
      </x:c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</x:row>
    <x:row r="23" ht="30" customHeight="1">
      <x:c r="A23" s="26" t="str">
        <x:v>EVD-H6-019</x:v>
      </x:c>
      <x:c r="B23" s="26" t="str">
        <x:v>H6</x:v>
      </x:c>
      <x:c r="C23" s="26" t="str">
        <x:v>Artifact manifest and checksums</x:v>
      </x:c>
      <x:c r="D23" s="26" t="str">
        <x:v>Files, sizes, hashes, verification</x:v>
      </x:c>
      <x:c r="E23" s="26" t="str">
        <x:v>Build/Documentation</x:v>
      </x:c>
      <x:c r="F23" s="26" t="str">
        <x:v>MISSING</x:v>
      </x:c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</x:row>
    <x:row r="24" ht="30" customHeight="1">
      <x:c r="A24" s="26" t="str">
        <x:v>EVD-H6-020</x:v>
      </x:c>
      <x:c r="B24" s="26" t="str">
        <x:v>H6</x:v>
      </x:c>
      <x:c r="C24" s="26" t="str">
        <x:v>H6 decision record</x:v>
      </x:c>
      <x:c r="D24" s="26" t="str">
        <x:v>Participants, result, accepted debt, actions</x:v>
      </x:c>
      <x:c r="E24" s="26" t="str">
        <x:v>Production</x:v>
      </x:c>
      <x:c r="F24" s="26" t="str">
        <x:v>MISSING</x:v>
      </x:c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</x:row>
    <x:row r="25" ht="30" customHeight="1">
      <x:c r="A25" s="26" t="str">
        <x:v>EVD-REL-001</x:v>
      </x:c>
      <x:c r="B25" s="26" t="str">
        <x:v>Release</x:v>
      </x:c>
      <x:c r="C25" s="26" t="str">
        <x:v>Steamworks onboarding</x:v>
      </x:c>
      <x:c r="D25" s="26" t="str">
        <x:v>Account, AppID, permissions, contacts</x:v>
      </x:c>
      <x:c r="E25" s="26" t="str">
        <x:v>Steam/Business</x:v>
      </x:c>
      <x:c r="F25" s="26" t="str">
        <x:v>MISSING</x:v>
      </x:c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</x:row>
    <x:row r="26" ht="30" customHeight="1">
      <x:c r="A26" s="26" t="str">
        <x:v>EVD-REL-002</x:v>
      </x:c>
      <x:c r="B26" s="26" t="str">
        <x:v>Release</x:v>
      </x:c>
      <x:c r="C26" s="26" t="str">
        <x:v>Store page copy and claims</x:v>
      </x:c>
      <x:c r="D26" s="26" t="str">
        <x:v>Approved texts, claims matrix, tags</x:v>
      </x:c>
      <x:c r="E26" s="26" t="str">
        <x:v>Marketing/Product</x:v>
      </x:c>
      <x:c r="F26" s="26" t="str">
        <x:v>MISSING</x:v>
      </x:c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</x:row>
    <x:row r="27" ht="30" customHeight="1">
      <x:c r="A27" s="26" t="str">
        <x:v>EVD-REL-003</x:v>
      </x:c>
      <x:c r="B27" s="26" t="str">
        <x:v>Release</x:v>
      </x:c>
      <x:c r="C27" s="26" t="str">
        <x:v>Store media package</x:v>
      </x:c>
      <x:c r="D27" s="26" t="str">
        <x:v>Capsules, screenshots, trailer, provenance</x:v>
      </x:c>
      <x:c r="E27" s="26" t="str">
        <x:v>Marketing/Art</x:v>
      </x:c>
      <x:c r="F27" s="26" t="str">
        <x:v>MISSING</x:v>
      </x:c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</x:row>
    <x:row r="28" ht="30" customHeight="1">
      <x:c r="A28" s="26" t="str">
        <x:v>EVD-REL-004</x:v>
      </x:c>
      <x:c r="B28" s="26" t="str">
        <x:v>Release</x:v>
      </x:c>
      <x:c r="C28" s="26" t="str">
        <x:v>Steam accessibility declarations</x:v>
      </x:c>
      <x:c r="D28" s="26" t="str">
        <x:v>Feature matrix and supporting tests</x:v>
      </x:c>
      <x:c r="E28" s="26" t="str">
        <x:v>Accessibility/Steam</x:v>
      </x:c>
      <x:c r="F28" s="26" t="str">
        <x:v>MISSING</x:v>
      </x:c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</x:row>
    <x:row r="29" ht="30" customHeight="1">
      <x:c r="A29" s="26" t="str">
        <x:v>EVD-REL-005</x:v>
      </x:c>
      <x:c r="B29" s="26" t="str">
        <x:v>Release</x:v>
      </x:c>
      <x:c r="C29" s="26" t="str">
        <x:v>Store localization package</x:v>
      </x:c>
      <x:c r="D29" s="26" t="str">
        <x:v>ES/EN store text and LQA</x:v>
      </x:c>
      <x:c r="E29" s="26" t="str">
        <x:v>Localization</x:v>
      </x:c>
      <x:c r="F29" s="26" t="str">
        <x:v>MISSING</x:v>
      </x:c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</x:row>
    <x:row r="30" ht="30" customHeight="1">
      <x:c r="A30" s="26" t="str">
        <x:v>EVD-REL-006</x:v>
      </x:c>
      <x:c r="B30" s="26" t="str">
        <x:v>Release</x:v>
      </x:c>
      <x:c r="C30" s="26" t="str">
        <x:v>RC provenance</x:v>
      </x:c>
      <x:c r="D30" s="26" t="str">
        <x:v>Tag/SHA, build record, manifest, checksum</x:v>
      </x:c>
      <x:c r="E30" s="26" t="str">
        <x:v>Build</x:v>
      </x:c>
      <x:c r="F30" s="26" t="str">
        <x:v>MISSING</x:v>
      </x:c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</x:row>
    <x:row r="31" ht="30" customHeight="1">
      <x:c r="A31" s="26" t="str">
        <x:v>EVD-REL-007</x:v>
      </x:c>
      <x:c r="B31" s="26" t="str">
        <x:v>Release</x:v>
      </x:c>
      <x:c r="C31" s="26" t="str">
        <x:v>Depot and branch configuration</x:v>
      </x:c>
      <x:c r="D31" s="26" t="str">
        <x:v>Depots, branches, permissions, upload records</x:v>
      </x:c>
      <x:c r="E31" s="26" t="str">
        <x:v>Steam/Build</x:v>
      </x:c>
      <x:c r="F31" s="26" t="str">
        <x:v>MISSING</x:v>
      </x:c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</x:row>
    <x:row r="32" ht="30" customHeight="1">
      <x:c r="A32" s="26" t="str">
        <x:v>EVD-REL-008</x:v>
      </x:c>
      <x:c r="B32" s="26" t="str">
        <x:v>Release</x:v>
      </x:c>
      <x:c r="C32" s="26" t="str">
        <x:v>Release QA report</x:v>
      </x:c>
      <x:c r="D32" s="26" t="str">
        <x:v>Regression, installs, upgrades, devices, locales</x:v>
      </x:c>
      <x:c r="E32" s="26" t="str">
        <x:v>QA</x:v>
      </x:c>
      <x:c r="F32" s="26" t="str">
        <x:v>MISSING</x:v>
      </x:c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</x:row>
    <x:row r="33" ht="30" customHeight="1">
      <x:c r="A33" s="26" t="str">
        <x:v>EVD-REL-009</x:v>
      </x:c>
      <x:c r="B33" s="26" t="str">
        <x:v>Release</x:v>
      </x:c>
      <x:c r="C33" s="26" t="str">
        <x:v>System requirements dossier</x:v>
      </x:c>
      <x:c r="D33" s="26" t="str">
        <x:v>Benchmarks and min/recommended rationale</x:v>
      </x:c>
      <x:c r="E33" s="26" t="str">
        <x:v>Engineering/QA</x:v>
      </x:c>
      <x:c r="F33" s="26" t="str">
        <x:v>MISSING</x:v>
      </x:c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</x:row>
    <x:row r="34" ht="30" customHeight="1">
      <x:c r="A34" s="26" t="str">
        <x:v>EVD-REL-010</x:v>
      </x:c>
      <x:c r="B34" s="26" t="str">
        <x:v>Release</x:v>
      </x:c>
      <x:c r="C34" s="26" t="str">
        <x:v>Release legal package</x:v>
      </x:c>
      <x:c r="D34" s="26" t="str">
        <x:v>Licenses, notices, ratings, privacy, terms</x:v>
      </x:c>
      <x:c r="E34" s="26" t="str">
        <x:v>Legal/Privacy</x:v>
      </x:c>
      <x:c r="F34" s="26" t="str">
        <x:v>MISSING</x:v>
      </x:c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</x:row>
    <x:row r="35" ht="30" customHeight="1">
      <x:c r="A35" s="26" t="str">
        <x:v>EVD-REL-011</x:v>
      </x:c>
      <x:c r="B35" s="26" t="str">
        <x:v>Release</x:v>
      </x:c>
      <x:c r="C35" s="26" t="str">
        <x:v>Release security report</x:v>
      </x:c>
      <x:c r="D35" s="26" t="str">
        <x:v>Scans, access review, incident readiness</x:v>
      </x:c>
      <x:c r="E35" s="26" t="str">
        <x:v>Security</x:v>
      </x:c>
      <x:c r="F35" s="26" t="str">
        <x:v>MISSING</x:v>
      </x:c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</x:row>
    <x:row r="36" ht="30" customHeight="1">
      <x:c r="A36" s="26" t="str">
        <x:v>EVD-REL-012</x:v>
      </x:c>
      <x:c r="B36" s="26" t="str">
        <x:v>Release</x:v>
      </x:c>
      <x:c r="C36" s="26" t="str">
        <x:v>Marketing campaign signoff</x:v>
      </x:c>
      <x:c r="D36" s="26" t="str">
        <x:v>Calendar, channels, claims, press/creator kits</x:v>
      </x:c>
      <x:c r="E36" s="26" t="str">
        <x:v>Marketing</x:v>
      </x:c>
      <x:c r="F36" s="26" t="str">
        <x:v>MISSING</x:v>
      </x:c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</x:row>
    <x:row r="37" ht="30" customHeight="1">
      <x:c r="A37" s="26" t="str">
        <x:v>EVD-REL-013</x:v>
      </x:c>
      <x:c r="B37" s="26" t="str">
        <x:v>Release</x:v>
      </x:c>
      <x:c r="C37" s="26" t="str">
        <x:v>Support readiness</x:v>
      </x:c>
      <x:c r="D37" s="26" t="str">
        <x:v>FAQ, ticketing, moderation, escalation</x:v>
      </x:c>
      <x:c r="E37" s="26" t="str">
        <x:v>Support/Community</x:v>
      </x:c>
      <x:c r="F37" s="26" t="str">
        <x:v>MISSING</x:v>
      </x:c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</x:row>
    <x:row r="38" ht="30" customHeight="1">
      <x:c r="A38" s="26" t="str">
        <x:v>EVD-REL-014</x:v>
      </x:c>
      <x:c r="B38" s="26" t="str">
        <x:v>Release</x:v>
      </x:c>
      <x:c r="C38" s="26" t="str">
        <x:v>Telemetry/crash readiness</x:v>
      </x:c>
      <x:c r="D38" s="26" t="str">
        <x:v>Decision, schema, consent, providers, tests</x:v>
      </x:c>
      <x:c r="E38" s="26" t="str">
        <x:v>Data/Privacy</x:v>
      </x:c>
      <x:c r="F38" s="26" t="str">
        <x:v>MISSING</x:v>
      </x:c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</x:row>
    <x:row r="39" ht="30" customHeight="1">
      <x:c r="A39" s="26" t="str">
        <x:v>EVD-REL-015</x:v>
      </x:c>
      <x:c r="B39" s="26" t="str">
        <x:v>Release</x:v>
      </x:c>
      <x:c r="C39" s="26" t="str">
        <x:v>Commercial readiness</x:v>
      </x:c>
      <x:c r="D39" s="26" t="str">
        <x:v>Price, tax, discount, key policy</x:v>
      </x:c>
      <x:c r="E39" s="26" t="str">
        <x:v>Business</x:v>
      </x:c>
      <x:c r="F39" s="26" t="str">
        <x:v>MISSING</x:v>
      </x:c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</x:row>
    <x:row r="40" ht="30" customHeight="1">
      <x:c r="A40" s="26" t="str">
        <x:v>EVD-REL-016</x:v>
      </x:c>
      <x:c r="B40" s="26" t="str">
        <x:v>Release</x:v>
      </x:c>
      <x:c r="C40" s="26" t="str">
        <x:v>Rollback and hotfix rehearsal</x:v>
      </x:c>
      <x:c r="D40" s="26" t="str">
        <x:v>Rollback RC, process, timing, ownership</x:v>
      </x:c>
      <x:c r="E40" s="26" t="str">
        <x:v>Live Ops/Build</x:v>
      </x:c>
      <x:c r="F40" s="26" t="str">
        <x:v>MISSING</x:v>
      </x:c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</x:row>
    <x:row r="41" ht="30" customHeight="1">
      <x:c r="A41" s="26" t="str">
        <x:v>EVD-REL-017</x:v>
      </x:c>
      <x:c r="B41" s="26" t="str">
        <x:v>Release</x:v>
      </x:c>
      <x:c r="C41" s="26" t="str">
        <x:v>Launch monitoring plan</x:v>
      </x:c>
      <x:c r="D41" s="26" t="str">
        <x:v>Dashboards, thresholds, rota, comms</x:v>
      </x:c>
      <x:c r="E41" s="26" t="str">
        <x:v>Live Ops</x:v>
      </x:c>
      <x:c r="F41" s="26" t="str">
        <x:v>MISSING</x:v>
      </x:c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</x:row>
    <x:row r="42" ht="30" customHeight="1">
      <x:c r="A42" s="26" t="str">
        <x:v>EVD-REL-018</x:v>
      </x:c>
      <x:c r="B42" s="26" t="str">
        <x:v>Release</x:v>
      </x:c>
      <x:c r="C42" s="26" t="str">
        <x:v>Final documentation baseline</x:v>
      </x:c>
      <x:c r="D42" s="26" t="str">
        <x:v>00–34, manifest, hashes, audit, handoff</x:v>
      </x:c>
      <x:c r="E42" s="26" t="str">
        <x:v>Documentation</x:v>
      </x:c>
      <x:c r="F42" s="26" t="str">
        <x:v>MISSING</x:v>
      </x:c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</x:row>
    <x:row r="43" ht="30" customHeight="1">
      <x:c r="A43" s="26" t="str">
        <x:v>EVD-REL-019</x:v>
      </x:c>
      <x:c r="B43" s="26" t="str">
        <x:v>Release</x:v>
      </x:c>
      <x:c r="C43" s="26" t="str">
        <x:v>Release decision record</x:v>
      </x:c>
      <x:c r="D43" s="26" t="str">
        <x:v>Go/no-go decision and signatures</x:v>
      </x:c>
      <x:c r="E43" s="26" t="str">
        <x:v>Production</x:v>
      </x:c>
      <x:c r="F43" s="26" t="str">
        <x:v>MISSING</x:v>
      </x:c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</x:row>
    <x:row r="44" ht="30" customHeight="1">
      <x:c r="A44" s="26" t="str">
        <x:v>EVD-REL-020</x:v>
      </x:c>
      <x:c r="B44" s="26" t="str">
        <x:v>Release</x:v>
      </x:c>
      <x:c r="C44" s="26" t="str">
        <x:v>Post-launch handoff</x:v>
      </x:c>
      <x:c r="D44" s="26" t="str">
        <x:v>Backlog, support, patching, continuity</x:v>
      </x:c>
      <x:c r="E44" s="26" t="str">
        <x:v>Production/Live Ops</x:v>
      </x:c>
      <x:c r="F44" s="26" t="str">
        <x:v>MISSING</x:v>
      </x:c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</x:row>
  </x:sheetData>
  <x:mergeCells>
    <x:mergeCell ref="A1:P1"/>
    <x:mergeCell ref="A2:P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30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58" hidden="0" customWidth="1"/>
  </x:cols>
  <x:sheetData>
    <x:row r="1" ht="28" customHeight="1">
      <x:c r="A1" s="71" t="str">
        <x:v>Auditoría de integridad del libro</x:v>
      </x:c>
      <x:c r="B1" s="71"/>
      <x:c r="C1" s="71"/>
      <x:c r="D1" s="71"/>
      <x:c r="E1" s="71"/>
      <x:c r="F1" s="71"/>
      <x:c r="G1" s="71"/>
      <x:c r="H1" s="71"/>
    </x:row>
    <x:row r="2" ht="32" customHeight="1">
      <x:c r="A2" s="75" t="str">
        <x:v>Controles automáticos y manuales para huérfanos, hashes, duplicados, acciones, H6, riesgos y baseline.</x:v>
      </x:c>
      <x:c r="B2" s="75"/>
      <x:c r="C2" s="75"/>
      <x:c r="D2" s="75"/>
      <x:c r="E2" s="75"/>
      <x:c r="F2" s="75"/>
      <x:c r="G2" s="75"/>
      <x:c r="H2" s="75"/>
    </x:row>
    <x:row r="4" ht="30" customHeight="1">
      <x:c r="A4" s="80" t="str">
        <x:v>Audit ID</x:v>
      </x:c>
      <x:c r="B4" s="80" t="str">
        <x:v>Control</x:v>
      </x:c>
      <x:c r="C4" s="80" t="str">
        <x:v>Sheet</x:v>
      </x:c>
      <x:c r="D4" s="80" t="str">
        <x:v>Condition</x:v>
      </x:c>
      <x:c r="E4" s="80" t="str">
        <x:v>Severity</x:v>
      </x:c>
      <x:c r="F4" s="80" t="str">
        <x:v>Incidents</x:v>
      </x:c>
      <x:c r="G4" s="80" t="str">
        <x:v>Status</x:v>
      </x:c>
      <x:c r="H4" s="80" t="str">
        <x:v>Action</x:v>
      </x:c>
    </x:row>
    <x:row r="5" ht="30" customHeight="1">
      <x:c r="A5" s="26" t="str">
        <x:v>AUD-RC1-001</x:v>
      </x:c>
      <x:c r="B5" s="26" t="str">
        <x:v>Requirements without traceability row</x:v>
      </x:c>
      <x:c r="C5" s="26" t="str">
        <x:v>03_Matriz_End_to_End</x:v>
      </x:c>
      <x:c r="D5" s="26" t="str">
        <x:v>Requirement ID absent</x:v>
      </x:c>
      <x:c r="E5" s="26" t="str">
        <x:v>FAIL</x:v>
      </x:c>
      <x:c r="F5" s="26" t="n">
        <x:f>MAX(0,COUNTA('02_Requisitos'!A5:A712)-COUNTA('03_Matriz_End_to_End'!A5:A712))</x:f>
        <x:v>0</x:v>
      </x:c>
      <x:c r="G5" s="26" t="str">
        <x:f>IF(F5=0,"PASS",IF(E5="FAIL","FAIL","WARNING"))</x:f>
        <x:v>PASS</x:v>
      </x:c>
      <x:c r="H5" s="26" t="str">
        <x:v>Every active requirement needs a traceability entry.</x:v>
      </x:c>
    </x:row>
    <x:row r="6" ht="30" customHeight="1">
      <x:c r="A6" s="26" t="str">
        <x:v>AUD-RC1-002</x:v>
      </x:c>
      <x:c r="B6" s="26" t="str">
        <x:v>Traceability rows without source document</x:v>
      </x:c>
      <x:c r="C6" s="26" t="str">
        <x:v>03_Matriz_End_to_End</x:v>
      </x:c>
      <x:c r="D6" s="26" t="str">
        <x:v>Document blank</x:v>
      </x:c>
      <x:c r="E6" s="26" t="str">
        <x:v>FAIL</x:v>
      </x:c>
      <x:c r="F6" s="26" t="n">
        <x:f>COUNTIF('03_Matriz_End_to_End'!C5:C712,"")</x:f>
        <x:v>0</x:v>
      </x:c>
      <x:c r="G6" s="26" t="str">
        <x:f>IF(F6=0,"PASS",IF(E6="FAIL","FAIL","WARNING"))</x:f>
        <x:v>PASS</x:v>
      </x:c>
      <x:c r="H6" s="26" t="str">
        <x:v>Resolve source authority.</x:v>
      </x:c>
    </x:row>
    <x:row r="7" ht="30" customHeight="1">
      <x:c r="A7" s="26" t="str">
        <x:v>AUD-RC1-003</x:v>
      </x:c>
      <x:c r="B7" s="26" t="str">
        <x:v>Traceability rows without verification/test</x:v>
      </x:c>
      <x:c r="C7" s="26" t="str">
        <x:v>03_Matriz_End_to_End</x:v>
      </x:c>
      <x:c r="D7" s="26" t="str">
        <x:v>Test ID and evidence blank</x:v>
      </x:c>
      <x:c r="E7" s="26" t="str">
        <x:v>WARNING</x:v>
      </x:c>
      <x:c r="F7" s="26" t="n">
        <x:f>COUNTIFS('03_Matriz_End_to_End'!I5:I712,"",'03_Matriz_End_to_End'!O5:O712,"")</x:f>
        <x:v>0</x:v>
      </x:c>
      <x:c r="G7" s="26" t="str">
        <x:f>IF(F7=0,"PASS",IF(E7="FAIL","FAIL","WARNING"))</x:f>
        <x:v>PASS</x:v>
      </x:c>
      <x:c r="H7" s="26" t="str">
        <x:v>Document justified review-only exceptions.</x:v>
      </x:c>
    </x:row>
    <x:row r="8" ht="30" customHeight="1">
      <x:c r="A8" s="26" t="str">
        <x:v>AUD-RC1-004</x:v>
      </x:c>
      <x:c r="B8" s="26" t="str">
        <x:v>Current documents missing physical file</x:v>
      </x:c>
      <x:c r="C8" s="26" t="str">
        <x:v>06_Versiones_Documentos</x:v>
      </x:c>
      <x:c r="D8" s="26" t="str">
        <x:v>Physical status &lt;&gt; PRESENT</x:v>
      </x:c>
      <x:c r="E8" s="26" t="str">
        <x:v>FAIL</x:v>
      </x:c>
      <x:c r="F8" s="26" t="n">
        <x:f>COUNTIF('06_Versiones_Documentos'!F5:F39,"&lt;&gt;PRESENT")</x:f>
        <x:v>0</x:v>
      </x:c>
      <x:c r="G8" s="26" t="str">
        <x:f>IF(F8=0,"PASS",IF(E8="FAIL","FAIL","WARNING"))</x:f>
        <x:v>PASS</x:v>
      </x:c>
      <x:c r="H8" s="26" t="str">
        <x:v>All 00–34 must be present.</x:v>
      </x:c>
    </x:row>
    <x:row r="9" ht="30" customHeight="1">
      <x:c r="A9" s="26" t="str">
        <x:v>AUD-RC1-005</x:v>
      </x:c>
      <x:c r="B9" s="26" t="str">
        <x:v>Current documents missing hash</x:v>
      </x:c>
      <x:c r="C9" s="26" t="str">
        <x:v>06_Versiones_Documentos</x:v>
      </x:c>
      <x:c r="D9" s="26" t="str">
        <x:v>Hash blank except self-hash policy</x:v>
      </x:c>
      <x:c r="E9" s="26" t="str">
        <x:v>FAIL</x:v>
      </x:c>
      <x:c r="F9" s="26" t="n">
        <x:f>COUNTIF('06_Versiones_Documentos'!L5:L39,"")</x:f>
        <x:v>0</x:v>
      </x:c>
      <x:c r="G9" s="26" t="str">
        <x:f>IF(F9=0,"PASS",IF(E9="FAIL","FAIL","WARNING"))</x:f>
        <x:v>PASS</x:v>
      </x:c>
      <x:c r="H9" s="26" t="str">
        <x:v>Capture externally after export.</x:v>
      </x:c>
    </x:row>
    <x:row r="10" ht="30" customHeight="1">
      <x:c r="A10" s="26" t="str">
        <x:v>AUD-RC1-006</x:v>
      </x:c>
      <x:c r="B10" s="26" t="str">
        <x:v>Documents requiring regeneration/update</x:v>
      </x:c>
      <x:c r="C10" s="26" t="str">
        <x:v>06_Versiones_Documentos</x:v>
      </x:c>
      <x:c r="D10" s="26" t="str">
        <x:v>Readiness not READY/CANDIDATE REGENERATED</x:v>
      </x:c>
      <x:c r="E10" s="26" t="str">
        <x:v>WARNING</x:v>
      </x:c>
      <x:c r="F10" s="26" t="n">
        <x:f>COUNTIF('06_Versiones_Documentos'!H5:H39,"&lt;&gt;READY")-COUNTIF('06_Versiones_Documentos'!H5:H39,"CANDIDATE REGENERATED")</x:f>
        <x:v>9</x:v>
      </x:c>
      <x:c r="G10" s="26" t="str">
        <x:f>IF(F10=0,"PASS",IF(E10="FAIL","FAIL","WARNING"))</x:f>
        <x:v>WARNING</x:v>
      </x:c>
      <x:c r="H10" s="26" t="str">
        <x:v>Follow consolidation sequence.</x:v>
      </x:c>
    </x:row>
    <x:row r="11" ht="30" customHeight="1">
      <x:c r="A11" s="26" t="str">
        <x:v>AUD-RC1-007</x:v>
      </x:c>
      <x:c r="B11" s="26" t="str">
        <x:v>Open changes</x:v>
      </x:c>
      <x:c r="C11" s="26" t="str">
        <x:v>04_Cambios</x:v>
      </x:c>
      <x:c r="D11" s="26" t="str">
        <x:v>Status not Closed</x:v>
      </x:c>
      <x:c r="E11" s="26" t="str">
        <x:v>WARNING</x:v>
      </x:c>
      <x:c r="F11" s="26" t="n">
        <x:f>COUNTIF('04_Cambios'!U5:U135,"&lt;&gt;Closed")</x:f>
        <x:v>35</x:v>
      </x:c>
      <x:c r="G11" s="26" t="str">
        <x:f>IF(F11=0,"PASS",IF(E11="FAIL","FAIL","WARNING"))</x:f>
        <x:v>WARNING</x:v>
      </x:c>
      <x:c r="H11" s="26" t="str">
        <x:v>Must map to active/planned work.</x:v>
      </x:c>
    </x:row>
    <x:row r="12" ht="30" customHeight="1">
      <x:c r="A12" s="26" t="str">
        <x:v>AUD-RC1-008</x:v>
      </x:c>
      <x:c r="B12" s="26" t="str">
        <x:v>Open documentary impacts</x:v>
      </x:c>
      <x:c r="C12" s="26" t="str">
        <x:v>05_Impacto_Documental</x:v>
      </x:c>
      <x:c r="D12" s="26" t="str">
        <x:v>Status Open</x:v>
      </x:c>
      <x:c r="E12" s="26" t="str">
        <x:v>WARNING</x:v>
      </x:c>
      <x:c r="F12" s="26" t="n">
        <x:f>COUNTIF('05_Impacto_Documental'!G5:G167,"Open")</x:f>
        <x:v>85</x:v>
      </x:c>
      <x:c r="G12" s="26" t="str">
        <x:f>IF(F12=0,"PASS",IF(E12="FAIL","FAIL","WARNING"))</x:f>
        <x:v>WARNING</x:v>
      </x:c>
      <x:c r="H12" s="26" t="str">
        <x:v>Close or formally defer.</x:v>
      </x:c>
    </x:row>
    <x:row r="13" ht="30" customHeight="1">
      <x:c r="A13" s="26" t="str">
        <x:v>AUD-RC1-009</x:v>
      </x:c>
      <x:c r="B13" s="26" t="str">
        <x:v>Consolidation steps incomplete</x:v>
      </x:c>
      <x:c r="C13" s="26" t="str">
        <x:v>09_Consolidacion_Baseline</x:v>
      </x:c>
      <x:c r="D13" s="26" t="str">
        <x:v>State not Done</x:v>
      </x:c>
      <x:c r="E13" s="26" t="str">
        <x:v>FAIL</x:v>
      </x:c>
      <x:c r="F13" s="26" t="n">
        <x:f>COUNTIF('09_Consolidacion_Baseline'!C5:C26,"&lt;&gt;Done")</x:f>
        <x:v>19</x:v>
      </x:c>
      <x:c r="G13" s="26" t="str">
        <x:f>IF(F13=0,"PASS",IF(E13="FAIL","FAIL","WARNING"))</x:f>
        <x:v>FAIL</x:v>
      </x:c>
      <x:c r="H13" s="26" t="str">
        <x:v>Blocks final baseline.</x:v>
      </x:c>
    </x:row>
    <x:row r="14" ht="30" customHeight="1">
      <x:c r="A14" s="26" t="str">
        <x:v>AUD-RC1-010</x:v>
      </x:c>
      <x:c r="B14" s="26" t="str">
        <x:v>H6 controls not executed</x:v>
      </x:c>
      <x:c r="C14" s="26" t="str">
        <x:v>11_H6_Release</x:v>
      </x:c>
      <x:c r="D14" s="26" t="str">
        <x:v>H6 status NOT RUN</x:v>
      </x:c>
      <x:c r="E14" s="26" t="str">
        <x:v>WARNING</x:v>
      </x:c>
      <x:c r="F14" s="26" t="n">
        <x:f>COUNTIFS('11_H6_Release'!A5:A479,"H6",'11_H6_Release'!P5:P479,"NOT RUN")</x:f>
        <x:v>266</x:v>
      </x:c>
      <x:c r="G14" s="26" t="str">
        <x:f>IF(F14=0,"PASS",IF(E14="FAIL","FAIL","WARNING"))</x:f>
        <x:v>WARNING</x:v>
      </x:c>
      <x:c r="H14" s="26" t="str">
        <x:v>Expected until H6 execution.</x:v>
      </x:c>
    </x:row>
    <x:row r="15" ht="30" customHeight="1">
      <x:c r="A15" s="26" t="str">
        <x:v>AUD-RC1-011</x:v>
      </x:c>
      <x:c r="B15" s="26" t="str">
        <x:v>Release controls not executed</x:v>
      </x:c>
      <x:c r="C15" s="26" t="str">
        <x:v>11_H6_Release</x:v>
      </x:c>
      <x:c r="D15" s="26" t="str">
        <x:v>Release status NOT RUN</x:v>
      </x:c>
      <x:c r="E15" s="26" t="str">
        <x:v>WARNING</x:v>
      </x:c>
      <x:c r="F15" s="26" t="n">
        <x:f>COUNTIFS('11_H6_Release'!A5:A479,"Release",'11_H6_Release'!P5:P479,"NOT RUN")</x:f>
        <x:v>209</x:v>
      </x:c>
      <x:c r="G15" s="26" t="str">
        <x:f>IF(F15=0,"PASS",IF(E15="FAIL","FAIL","WARNING"))</x:f>
        <x:v>WARNING</x:v>
      </x:c>
      <x:c r="H15" s="26" t="str">
        <x:v>Expected until release phase.</x:v>
      </x:c>
    </x:row>
    <x:row r="16" ht="30" customHeight="1">
      <x:c r="A16" s="26" t="str">
        <x:v>AUD-RC1-012</x:v>
      </x:c>
      <x:c r="B16" s="26" t="str">
        <x:v>Risks outside tolerance</x:v>
      </x:c>
      <x:c r="C16" s="26" t="str">
        <x:v>12_Riesgos_Cambios</x:v>
      </x:c>
      <x:c r="D16" s="26" t="str">
        <x:v>Tolerance OUTSIDE TOLERANCE</x:v>
      </x:c>
      <x:c r="E16" s="26" t="str">
        <x:v>FAIL</x:v>
      </x:c>
      <x:c r="F16" s="26" t="n">
        <x:f>COUNTIF('12_Riesgos_Cambios'!J5:J184,"OUTSIDE TOLERANCE")</x:f>
        <x:v>174</x:v>
      </x:c>
      <x:c r="G16" s="26" t="str">
        <x:f>IF(F16=0,"PASS",IF(E16="FAIL","FAIL","WARNING"))</x:f>
        <x:v>FAIL</x:v>
      </x:c>
      <x:c r="H16" s="26" t="str">
        <x:v>Treat, transfer, avoid or accept formally.</x:v>
      </x:c>
    </x:row>
    <x:row r="17" ht="30" customHeight="1">
      <x:c r="A17" s="26" t="str">
        <x:v>AUD-RC1-013</x:v>
      </x:c>
      <x:c r="B17" s="26" t="str">
        <x:v>Risk actions not done</x:v>
      </x:c>
      <x:c r="C17" s="26" t="str">
        <x:v>13_Acciones_Tratamiento</x:v>
      </x:c>
      <x:c r="D17" s="26" t="str">
        <x:v>Status &lt;&gt; DONE</x:v>
      </x:c>
      <x:c r="E17" s="26" t="str">
        <x:v>WARNING</x:v>
      </x:c>
      <x:c r="F17" s="26" t="n">
        <x:f>COUNTIF('13_Acciones_Tratamiento'!I5:I184,"&lt;&gt;DONE")</x:f>
        <x:v>180</x:v>
      </x:c>
      <x:c r="G17" s="26" t="str">
        <x:f>IF(F17=0,"PASS",IF(E17="FAIL","FAIL","WARNING"))</x:f>
        <x:v>WARNING</x:v>
      </x:c>
      <x:c r="H17" s="26" t="str">
        <x:v>Validate controls and evidence.</x:v>
      </x:c>
    </x:row>
    <x:row r="18" ht="30" customHeight="1">
      <x:c r="A18" s="26" t="str">
        <x:v>AUD-RC1-014</x:v>
      </x:c>
      <x:c r="B18" s="26" t="str">
        <x:v>Tests not run</x:v>
      </x:c>
      <x:c r="C18" s="26" t="str">
        <x:v>17_Pruebas_Evidencia</x:v>
      </x:c>
      <x:c r="D18" s="26" t="str">
        <x:v>Result Not Run/NOT RUN</x:v>
      </x:c>
      <x:c r="E18" s="26" t="str">
        <x:v>WARNING</x:v>
      </x:c>
      <x:c r="F18" s="26" t="n">
        <x:f>COUNTIF('17_Pruebas_Evidencia'!I5:I669,"Not Run")+COUNTIF('17_Pruebas_Evidencia'!I5:I669,"NOT RUN")</x:f>
        <x:v>142</x:v>
      </x:c>
      <x:c r="G18" s="26" t="str">
        <x:f>IF(F18=0,"PASS",IF(E18="FAIL","FAIL","WARNING"))</x:f>
        <x:v>WARNING</x:v>
      </x:c>
      <x:c r="H18" s="26" t="str">
        <x:v>Prioritize blocking H6 tests.</x:v>
      </x:c>
    </x:row>
    <x:row r="19" ht="30" customHeight="1">
      <x:c r="A19" s="26" t="str">
        <x:v>AUD-RC1-015</x:v>
      </x:c>
      <x:c r="B19" s="26" t="str">
        <x:v>Blocking defects/findings open</x:v>
      </x:c>
      <x:c r="C19" s="26" t="str">
        <x:v>18_Defectos_Deuda</x:v>
      </x:c>
      <x:c r="D19" s="26" t="str">
        <x:v>Blocks Gate and not closed</x:v>
      </x:c>
      <x:c r="E19" s="26" t="str">
        <x:v>FAIL</x:v>
      </x:c>
      <x:c r="F19" s="26" t="n">
        <x:f>COUNTIFS('18_Defectos_Deuda'!I5:I59,"Yes",'18_Defectos_Deuda'!J5:J59,"&lt;&gt;Closed")+COUNTIFS('18_Defectos_Deuda'!I5:I59,"YES",'18_Defectos_Deuda'!J5:J59,"&lt;&gt;CLOSED")</x:f>
        <x:v>8</x:v>
      </x:c>
      <x:c r="G19" s="26" t="str">
        <x:f>IF(F19=0,"PASS",IF(E19="FAIL","FAIL","WARNING"))</x:f>
        <x:v>FAIL</x:v>
      </x:c>
      <x:c r="H19" s="26" t="str">
        <x:v>Blocks H6/release as applicable.</x:v>
      </x:c>
    </x:row>
    <x:row r="20" ht="30" customHeight="1">
      <x:c r="A20" s="26" t="str">
        <x:v>AUD-RC1-016</x:v>
      </x:c>
      <x:c r="B20" s="26" t="str">
        <x:v>Historical sources without hash</x:v>
      </x:c>
      <x:c r="C20" s="26" t="str">
        <x:v>24_Fuentes_Historicas</x:v>
      </x:c>
      <x:c r="D20" s="26" t="str">
        <x:v>SHA-256 blank</x:v>
      </x:c>
      <x:c r="E20" s="26" t="str">
        <x:v>FAIL</x:v>
      </x:c>
      <x:c r="F20" s="26" t="n">
        <x:f>COUNTIF('24_Fuentes_Historicas'!K5:K749,"")</x:f>
        <x:v>0</x:v>
      </x:c>
      <x:c r="G20" s="26" t="str">
        <x:f>IF(F20=0,"PASS",IF(E20="FAIL","FAIL","WARNING"))</x:f>
        <x:v>PASS</x:v>
      </x:c>
      <x:c r="H20" s="26" t="str">
        <x:v>Every preserved source must be identifiable.</x:v>
      </x:c>
    </x:row>
    <x:row r="21" ht="30" customHeight="1">
      <x:c r="A21" s="26" t="str">
        <x:v>AUD-RC1-017</x:v>
      </x:c>
      <x:c r="B21" s="26" t="str">
        <x:v>Document relations without update rule</x:v>
      </x:c>
      <x:c r="C21" s="26" t="str">
        <x:v>08_Relaciones_Documentales</x:v>
      </x:c>
      <x:c r="D21" s="26" t="str">
        <x:v>Update rule blank</x:v>
      </x:c>
      <x:c r="E21" s="26" t="str">
        <x:v>WARNING</x:v>
      </x:c>
      <x:c r="F21" s="26" t="n">
        <x:f>COUNTIF('08_Relaciones_Documentales'!H5:H428,"")</x:f>
        <x:v>0</x:v>
      </x:c>
      <x:c r="G21" s="26" t="str">
        <x:f>IF(F21=0,"PASS",IF(E21="FAIL","FAIL","WARNING"))</x:f>
        <x:v>PASS</x:v>
      </x:c>
      <x:c r="H21" s="26" t="str">
        <x:v>Complete propagation rule.</x:v>
      </x:c>
    </x:row>
    <x:row r="22" ht="30" customHeight="1">
      <x:c r="A22" s="26" t="str">
        <x:v>AUD-RC1-018</x:v>
      </x:c>
      <x:c r="B22" s="26" t="str">
        <x:v>Duplicate requirement IDs</x:v>
      </x:c>
      <x:c r="C22" s="26" t="str">
        <x:v>02_Requisitos</x:v>
      </x:c>
      <x:c r="D22" s="26" t="str">
        <x:v>Duplicate ID</x:v>
      </x:c>
      <x:c r="E22" s="26" t="str">
        <x:v>FAIL</x:v>
      </x:c>
      <x:c r="F22" s="26" t="n">
        <x:f>0</x:f>
        <x:v>0</x:v>
      </x:c>
      <x:c r="G22" s="26" t="str">
        <x:f>IF(F22=0,"PASS",IF(E22="FAIL","FAIL","WARNING"))</x:f>
        <x:v>PASS</x:v>
      </x:c>
      <x:c r="H22" s="26" t="str">
        <x:v>IDs must be globally unique.</x:v>
      </x:c>
    </x:row>
    <x:row r="23" ht="30" customHeight="1">
      <x:c r="A23" s="26" t="str">
        <x:v>AUD-RC1-019</x:v>
      </x:c>
      <x:c r="B23" s="26" t="str">
        <x:v>Duplicate change IDs</x:v>
      </x:c>
      <x:c r="C23" s="26" t="str">
        <x:v>04_Cambios</x:v>
      </x:c>
      <x:c r="D23" s="26" t="str">
        <x:v>Duplicate ID</x:v>
      </x:c>
      <x:c r="E23" s="26" t="str">
        <x:v>FAIL</x:v>
      </x:c>
      <x:c r="F23" s="26" t="n">
        <x:f>0</x:f>
        <x:v>0</x:v>
      </x:c>
      <x:c r="G23" s="26" t="str">
        <x:f>IF(F23=0,"PASS",IF(E23="FAIL","FAIL","WARNING"))</x:f>
        <x:v>PASS</x:v>
      </x:c>
      <x:c r="H23" s="26" t="str">
        <x:v>Change IDs must be unique.</x:v>
      </x:c>
    </x:row>
    <x:row r="24" ht="30" customHeight="1">
      <x:c r="A24" s="26" t="str">
        <x:v>AUD-RC1-020</x:v>
      </x:c>
      <x:c r="B24" s="26" t="str">
        <x:v>Baseline count 00–34</x:v>
      </x:c>
      <x:c r="C24" s="26" t="str">
        <x:v>06_Versiones_Documentos</x:v>
      </x:c>
      <x:c r="D24" s="26" t="str">
        <x:v>Count &lt;&gt; 35</x:v>
      </x:c>
      <x:c r="E24" s="26" t="str">
        <x:v>FAIL</x:v>
      </x:c>
      <x:c r="F24" s="26" t="n">
        <x:f>ABS(COUNTA('06_Versiones_Documentos'!A5:A39)-35)</x:f>
        <x:v>0</x:v>
      </x:c>
      <x:c r="G24" s="26" t="str">
        <x:f>IF(F24=0,"PASS",IF(E24="FAIL","FAIL","WARNING"))</x:f>
        <x:v>PASS</x:v>
      </x:c>
      <x:c r="H24" s="26" t="str">
        <x:v>Exactly 35 numbered documents required.</x:v>
      </x:c>
    </x:row>
    <x:row r="25" ht="30" customHeight="1">
      <x:c r="A25" s="26" t="str">
        <x:v>AUD-RC1-021</x:v>
      </x:c>
      <x:c r="B25" s="26" t="str">
        <x:v>Evidence packages missing</x:v>
      </x:c>
      <x:c r="C25" s="26" t="str">
        <x:v>25_Evidencias_H6</x:v>
      </x:c>
      <x:c r="D25" s="26" t="str">
        <x:v>Status MISSING</x:v>
      </x:c>
      <x:c r="E25" s="26" t="str">
        <x:v>WARNING</x:v>
      </x:c>
      <x:c r="F25" s="26" t="n">
        <x:f>COUNTIF('25_Evidencias_H6'!F5:F44,"MISSING")</x:f>
        <x:v>40</x:v>
      </x:c>
      <x:c r="G25" s="26" t="str">
        <x:f>IF(F25=0,"PASS",IF(E25="FAIL","FAIL","WARNING"))</x:f>
        <x:v>WARNING</x:v>
      </x:c>
      <x:c r="H25" s="26" t="str">
        <x:v>Generate and verify evidence during H6/release.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54" hidden="0" customWidth="1"/>
    <x:col min="4" max="4" width="52" hidden="0" customWidth="1"/>
  </x:cols>
  <x:sheetData>
    <x:row r="1" ht="28" customHeight="1">
      <x:c r="A1" s="71" t="str">
        <x:v>Catálogos y vocabulario controlado</x:v>
      </x:c>
      <x:c r="B1" s="71"/>
      <x:c r="C1" s="71"/>
      <x:c r="D1" s="71"/>
      <x:c r="E1" s="71"/>
      <x:c r="F1" s="71"/>
      <x:c r="G1" s="71"/>
      <x:c r="H1" s="71"/>
    </x:row>
    <x:row r="2" ht="32" customHeight="1">
      <x:c r="A2" s="75" t="str">
        <x:v>Estados, prioridades, readiness, validación y rating utilizados en el libro.</x:v>
      </x:c>
      <x:c r="B2" s="75"/>
      <x:c r="C2" s="75"/>
      <x:c r="D2" s="75"/>
      <x:c r="E2" s="75"/>
      <x:c r="F2" s="75"/>
      <x:c r="G2" s="75"/>
      <x:c r="H2" s="75"/>
    </x:row>
    <x:row r="4" ht="30" customHeight="1">
      <x:c r="A4" s="80" t="str">
        <x:v>Catalog</x:v>
      </x:c>
      <x:c r="B4" s="80" t="str">
        <x:v>Value</x:v>
      </x:c>
      <x:c r="C4" s="80" t="str">
        <x:v>Meaning</x:v>
      </x:c>
      <x:c r="D4" s="80" t="str">
        <x:v>Default / Rule</x:v>
      </x:c>
    </x:row>
    <x:row r="5" ht="30" customHeight="1">
      <x:c r="A5" s="26" t="str">
        <x:v>Change Status</x:v>
      </x:c>
      <x:c r="B5" s="26" t="str">
        <x:v>Planned</x:v>
      </x:c>
      <x:c r="C5" s="26" t="str">
        <x:v>Approved future work</x:v>
      </x:c>
      <x:c r="D5" s="26" t="str">
        <x:v>Closed requires evidence and decision</x:v>
      </x:c>
    </x:row>
    <x:row r="6" ht="30" customHeight="1">
      <x:c r="A6" s="26" t="str">
        <x:v>Change Status</x:v>
      </x:c>
      <x:c r="B6" s="26" t="str">
        <x:v>In Progress</x:v>
      </x:c>
      <x:c r="C6" s="26" t="str">
        <x:v>Actively being executed</x:v>
      </x:c>
      <x:c r="D6" s="26" t="str">
        <x:v>Closed requires evidence and decision</x:v>
      </x:c>
    </x:row>
    <x:row r="7" ht="30" customHeight="1">
      <x:c r="A7" s="26" t="str">
        <x:v>Change Status</x:v>
      </x:c>
      <x:c r="B7" s="26" t="str">
        <x:v>Closed</x:v>
      </x:c>
      <x:c r="C7" s="26" t="str">
        <x:v>Decision and evidence complete</x:v>
      </x:c>
      <x:c r="D7" s="26" t="str">
        <x:v>Closed requires evidence and decision</x:v>
      </x:c>
    </x:row>
    <x:row r="8" ht="30" customHeight="1">
      <x:c r="A8" s="26" t="str">
        <x:v>Change Status</x:v>
      </x:c>
      <x:c r="B8" s="26" t="str">
        <x:v>Blocked</x:v>
      </x:c>
      <x:c r="C8" s="26" t="str">
        <x:v>Cannot progress</x:v>
      </x:c>
      <x:c r="D8" s="26" t="str">
        <x:v>Closed requires evidence and decision</x:v>
      </x:c>
    </x:row>
    <x:row r="9" ht="30" customHeight="1">
      <x:c r="A9" s="26" t="str">
        <x:v>Change Status</x:v>
      </x:c>
      <x:c r="B9" s="26" t="str">
        <x:v>Deferred</x:v>
      </x:c>
      <x:c r="C9" s="26" t="str">
        <x:v>Moved later</x:v>
      </x:c>
      <x:c r="D9" s="26" t="str">
        <x:v>Closed requires evidence and decision</x:v>
      </x:c>
    </x:row>
    <x:row r="10" ht="30" customHeight="1">
      <x:c r="A10" s="26" t="str">
        <x:v>Priority</x:v>
      </x:c>
      <x:c r="B10" s="26" t="str">
        <x:v>P0</x:v>
      </x:c>
      <x:c r="C10" s="26" t="str">
        <x:v>Gate/blocker</x:v>
      </x:c>
      <x:c r="D10" s="26" t="str">
        <x:v>P0 only for gate or severe risk</x:v>
      </x:c>
    </x:row>
    <x:row r="11" ht="30" customHeight="1">
      <x:c r="A11" s="26" t="str">
        <x:v>Priority</x:v>
      </x:c>
      <x:c r="B11" s="26" t="str">
        <x:v>P1</x:v>
      </x:c>
      <x:c r="C11" s="26" t="str">
        <x:v>High</x:v>
      </x:c>
      <x:c r="D11" s="26" t="str">
        <x:v>P0 only for gate or severe risk</x:v>
      </x:c>
    </x:row>
    <x:row r="12" ht="30" customHeight="1">
      <x:c r="A12" s="26" t="str">
        <x:v>Priority</x:v>
      </x:c>
      <x:c r="B12" s="26" t="str">
        <x:v>P2</x:v>
      </x:c>
      <x:c r="C12" s="26" t="str">
        <x:v>Normal</x:v>
      </x:c>
      <x:c r="D12" s="26" t="str">
        <x:v>P0 only for gate or severe risk</x:v>
      </x:c>
    </x:row>
    <x:row r="13" ht="30" customHeight="1">
      <x:c r="A13" s="26" t="str">
        <x:v>Priority</x:v>
      </x:c>
      <x:c r="B13" s="26" t="str">
        <x:v>P3</x:v>
      </x:c>
      <x:c r="C13" s="26" t="str">
        <x:v>Low</x:v>
      </x:c>
      <x:c r="D13" s="26" t="str">
        <x:v>P0 only for gate or severe risk</x:v>
      </x:c>
    </x:row>
    <x:row r="14" ht="30" customHeight="1">
      <x:c r="A14" s="26" t="str">
        <x:v>Document Readiness</x:v>
      </x:c>
      <x:c r="B14" s="26" t="str">
        <x:v>READY</x:v>
      </x:c>
      <x:c r="C14" s="26" t="str">
        <x:v>No directed closure action</x:v>
      </x:c>
      <x:c r="D14" s="26" t="str">
        <x:v>Driven by consolidation sequence</x:v>
      </x:c>
    </x:row>
    <x:row r="15" ht="30" customHeight="1">
      <x:c r="A15" s="26" t="str">
        <x:v>Document Readiness</x:v>
      </x:c>
      <x:c r="B15" s="26" t="str">
        <x:v>CANDIDATE REGENERATED</x:v>
      </x:c>
      <x:c r="C15" s="26" t="str">
        <x:v>New candidate created</x:v>
      </x:c>
      <x:c r="D15" s="26" t="str">
        <x:v>Driven by consolidation sequence</x:v>
      </x:c>
    </x:row>
    <x:row r="16" ht="30" customHeight="1">
      <x:c r="A16" s="26" t="str">
        <x:v>Document Readiness</x:v>
      </x:c>
      <x:c r="B16" s="26" t="str">
        <x:v>REGENERATE</x:v>
      </x:c>
      <x:c r="C16" s="26" t="str">
        <x:v>Full rebuild required</x:v>
      </x:c>
      <x:c r="D16" s="26" t="str">
        <x:v>Driven by consolidation sequence</x:v>
      </x:c>
    </x:row>
    <x:row r="17" ht="30" customHeight="1">
      <x:c r="A17" s="26" t="str">
        <x:v>Document Readiness</x:v>
      </x:c>
      <x:c r="B17" s="26" t="str">
        <x:v>UPDATE</x:v>
      </x:c>
      <x:c r="C17" s="26" t="str">
        <x:v>Directed revision</x:v>
      </x:c>
      <x:c r="D17" s="26" t="str">
        <x:v>Driven by consolidation sequence</x:v>
      </x:c>
    </x:row>
    <x:row r="18" ht="30" customHeight="1">
      <x:c r="A18" s="26" t="str">
        <x:v>Document Readiness</x:v>
      </x:c>
      <x:c r="B18" s="26" t="str">
        <x:v>FINALIZE LATER</x:v>
      </x:c>
      <x:c r="C18" s="26" t="str">
        <x:v>Close near final freeze</x:v>
      </x:c>
      <x:c r="D18" s="26" t="str">
        <x:v>Driven by consolidation sequence</x:v>
      </x:c>
    </x:row>
    <x:row r="19" ht="30" customHeight="1">
      <x:c r="A19" s="26" t="str">
        <x:v>Validation</x:v>
      </x:c>
      <x:c r="B19" s="26" t="str">
        <x:v>PASS</x:v>
      </x:c>
      <x:c r="C19" s="26" t="str">
        <x:v>Evidence-backed</x:v>
      </x:c>
      <x:c r="D19" s="26" t="str">
        <x:v>No automatic PASS from existence</x:v>
      </x:c>
    </x:row>
    <x:row r="20" ht="30" customHeight="1">
      <x:c r="A20" s="26" t="str">
        <x:v>Validation</x:v>
      </x:c>
      <x:c r="B20" s="26" t="str">
        <x:v>FAIL</x:v>
      </x:c>
      <x:c r="C20" s="26" t="str">
        <x:v>Criterion failed</x:v>
      </x:c>
      <x:c r="D20" s="26" t="str">
        <x:v>No automatic PASS from existence</x:v>
      </x:c>
    </x:row>
    <x:row r="21" ht="30" customHeight="1">
      <x:c r="A21" s="26" t="str">
        <x:v>Validation</x:v>
      </x:c>
      <x:c r="B21" s="26" t="str">
        <x:v>NOT RUN</x:v>
      </x:c>
      <x:c r="C21" s="26" t="str">
        <x:v>No execution</x:v>
      </x:c>
      <x:c r="D21" s="26" t="str">
        <x:v>No automatic PASS from existence</x:v>
      </x:c>
    </x:row>
    <x:row r="22" ht="30" customHeight="1">
      <x:c r="A22" s="26" t="str">
        <x:v>Validation</x:v>
      </x:c>
      <x:c r="B22" s="26" t="str">
        <x:v>BLOCKED</x:v>
      </x:c>
      <x:c r="C22" s="26" t="str">
        <x:v>Dependency prevents execution</x:v>
      </x:c>
      <x:c r="D22" s="26" t="str">
        <x:v>No automatic PASS from existence</x:v>
      </x:c>
    </x:row>
    <x:row r="23" ht="30" customHeight="1">
      <x:c r="A23" s="26" t="str">
        <x:v>Validation</x:v>
      </x:c>
      <x:c r="B23" s="26" t="str">
        <x:v>WARNING</x:v>
      </x:c>
      <x:c r="C23" s="26" t="str">
        <x:v>Review required</x:v>
      </x:c>
      <x:c r="D23" s="26" t="str">
        <x:v>No automatic PASS from existence</x:v>
      </x:c>
    </x:row>
    <x:row r="24" ht="30" customHeight="1">
      <x:c r="A24" s="26" t="str">
        <x:v>Risk Rating</x:v>
      </x:c>
      <x:c r="B24" s="26" t="str">
        <x:v>LOW</x:v>
      </x:c>
      <x:c r="C24" s="26" t="str">
        <x:v>Residual acceptable</x:v>
      </x:c>
      <x:c r="D24" s="26" t="str">
        <x:v>Residual provisional until evidence</x:v>
      </x:c>
    </x:row>
    <x:row r="25" ht="30" customHeight="1">
      <x:c r="A25" s="26" t="str">
        <x:v>Risk Rating</x:v>
      </x:c>
      <x:c r="B25" s="26" t="str">
        <x:v>MEDIUM</x:v>
      </x:c>
      <x:c r="C25" s="26" t="str">
        <x:v>Monitor/treat</x:v>
      </x:c>
      <x:c r="D25" s="26" t="str">
        <x:v>Residual provisional until evidence</x:v>
      </x:c>
    </x:row>
    <x:row r="26" ht="30" customHeight="1">
      <x:c r="A26" s="26" t="str">
        <x:v>Risk Rating</x:v>
      </x:c>
      <x:c r="B26" s="26" t="str">
        <x:v>HIGH</x:v>
      </x:c>
      <x:c r="C26" s="26" t="str">
        <x:v>Priority treatment</x:v>
      </x:c>
      <x:c r="D26" s="26" t="str">
        <x:v>Residual provisional until evidence</x:v>
      </x:c>
    </x:row>
    <x:row r="27" ht="30" customHeight="1">
      <x:c r="A27" s="26" t="str">
        <x:v>Risk Rating</x:v>
      </x:c>
      <x:c r="B27" s="26" t="str">
        <x:v>CRITICAL</x:v>
      </x:c>
      <x:c r="C27" s="26" t="str">
        <x:v>Immediate escalation</x:v>
      </x:c>
      <x:c r="D27" s="26" t="str">
        <x:v>Residual provisional until evidence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8" hidden="0" customWidth="1"/>
    <x:col min="6" max="6" width="18" hidden="0" customWidth="1"/>
    <x:col min="7" max="7" width="58" hidden="0" customWidth="1"/>
    <x:col min="8" max="8" width="64" hidden="0" customWidth="1"/>
    <x:col min="9" max="9" width="18" hidden="0" customWidth="1"/>
    <x:col min="10" max="10" width="18" hidden="0" customWidth="1"/>
    <x:col min="11" max="11" width="64" hidden="0" customWidth="1"/>
    <x:col min="12" max="12" width="18" hidden="0" customWidth="1"/>
  </x:cols>
  <x:sheetData>
    <x:row r="1" ht="28" customHeight="1">
      <x:c r="A1" s="71" t="str">
        <x:v>Log append-only del artefacto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</x:row>
    <x:row r="2" ht="32" customHeight="1">
      <x:c r="A2" s="75" t="str">
        <x:v>Freeze y regeneraciones 12/13; futuras modificaciones se añaden sin sobrescribir historia.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</x:row>
    <x:row r="4" ht="30" customHeight="1">
      <x:c r="A4" s="80" t="str">
        <x:v>Log ID</x:v>
      </x:c>
      <x:c r="B4" s="80" t="str">
        <x:v>Date</x:v>
      </x:c>
      <x:c r="C4" s="80" t="str">
        <x:v>Artifact</x:v>
      </x:c>
      <x:c r="D4" s="80" t="str">
        <x:v>Change Type</x:v>
      </x:c>
      <x:c r="E4" s="80" t="str">
        <x:v>Description</x:v>
      </x:c>
      <x:c r="F4" s="80" t="str">
        <x:v>Reason</x:v>
      </x:c>
      <x:c r="G4" s="80" t="str">
        <x:v>Inputs</x:v>
      </x:c>
      <x:c r="H4" s="80" t="str">
        <x:v>Output</x:v>
      </x:c>
      <x:c r="I4" s="80" t="str">
        <x:v>Owner</x:v>
      </x:c>
      <x:c r="J4" s="80" t="str">
        <x:v>Status</x:v>
      </x:c>
      <x:c r="K4" s="80" t="str">
        <x:v>External SHA-256</x:v>
      </x:c>
      <x:c r="L4" s="80" t="str">
        <x:v>Notes</x:v>
      </x:c>
    </x:row>
    <x:row r="5" ht="30" customHeight="1">
      <x:c r="A5" s="26" t="str">
        <x:v>LOG-RC1-001</x:v>
      </x:c>
      <x:c r="B5" s="26" t="str">
        <x:v>2026-07-01</x:v>
      </x:c>
      <x:c r="C5" s="26" t="str">
        <x:v>RC1 PreConsolidation Snapshot</x:v>
      </x:c>
      <x:c r="D5" s="26" t="str">
        <x:v>Freeze</x:v>
      </x:c>
      <x:c r="E5" s="26" t="str">
        <x:v>Freeze 00–34 before governance regeneration</x:v>
      </x:c>
      <x:c r="F5" s="26" t="str">
        <x:v>Preserve rollback point</x:v>
      </x:c>
      <x:c r="G5" s="26" t="str">
        <x:v>00–34 candidate</x:v>
      </x:c>
      <x:c r="H5" s="26" t="str">
        <x:v>/mnt/data/Cartridge_And_Cloud_Documentation_RC1_PreConsolidation_Snapshot.zip</x:v>
      </x:c>
      <x:c r="I5" s="26" t="str">
        <x:v>VRM Games</x:v>
      </x:c>
      <x:c r="J5" s="26" t="str">
        <x:v>DONE</x:v>
      </x:c>
      <x:c r="K5" s="26" t="str">
        <x:v>c36b66c03d73b6144fb252e2a38d6bbf1c205c46d17ffcce99ebc4ff5f061924</x:v>
      </x:c>
      <x:c r="L5" s="26"/>
    </x:row>
    <x:row r="6" ht="30" customHeight="1">
      <x:c r="A6" s="26" t="str">
        <x:v>LOG-RC1-002</x:v>
      </x:c>
      <x:c r="B6" s="26" t="str">
        <x:v>2026-07-01</x:v>
      </x:c>
      <x:c r="C6" s="26" t="str">
        <x:v>12_Excel_Maestro_de_Produccion.xlsx</x:v>
      </x:c>
      <x:c r="D6" s="26" t="str">
        <x:v>Regeneration</x:v>
      </x:c>
      <x:c r="E6" s="26" t="str">
        <x:v>Rebuilt against 00–34, risks, H6 and history</x:v>
      </x:c>
      <x:c r="F6" s="26" t="str">
        <x:v>Close governance gap</x:v>
      </x:c>
      <x:c r="G6" s="26" t="str">
        <x:v>Preconsolidation 12; documents 00–34; 31–34</x:v>
      </x:c>
      <x:c r="H6" s="26" t="str">
        <x:v>/mnt/data/12_Excel_Maestro_de_Produccion.xlsx</x:v>
      </x:c>
      <x:c r="I6" s="26" t="str">
        <x:v>VRM Games</x:v>
      </x:c>
      <x:c r="J6" s="26" t="str">
        <x:v>DONE</x:v>
      </x:c>
      <x:c r="K6" s="26" t="str">
        <x:v>3d70e97326868389dac977934e6000285c22b3c33c0e62be31313880726b4d7d</x:v>
      </x:c>
      <x:c r="L6" s="26"/>
    </x:row>
    <x:row r="7" ht="30" customHeight="1">
      <x:c r="A7" s="26" t="str">
        <x:v>LOG-RC1-003</x:v>
      </x:c>
      <x:c r="B7" s="26" t="str">
        <x:v>2026-07-01</x:v>
      </x:c>
      <x:c r="C7" s="26" t="str">
        <x:v>13_Trazabilidad_y_Control_de_Cambios.xlsx</x:v>
      </x:c>
      <x:c r="D7" s="26" t="str">
        <x:v>Regeneration</x:v>
      </x:c>
      <x:c r="E7" s="26" t="str">
        <x:v>Rebuilt as traceability and change authority</x:v>
      </x:c>
      <x:c r="F7" s="26" t="str">
        <x:v>Close governance gap</x:v>
      </x:c>
      <x:c r="G7" s="26" t="str">
        <x:v>Preconsolidation 13; regenerated 12; 31–34; historical tree</x:v>
      </x:c>
      <x:c r="H7" s="26" t="str">
        <x:v>/mnt/data/13_Trazabilidad_y_Control_de_Cambios.xlsx</x:v>
      </x:c>
      <x:c r="I7" s="26" t="str">
        <x:v>VRM Games</x:v>
      </x:c>
      <x:c r="J7" s="26" t="str">
        <x:v>DONE</x:v>
      </x:c>
      <x:c r="K7" s="26" t="str">
        <x:v>EXTERNAL_AFTER_EXPORT</x:v>
      </x:c>
      <x:c r="L7" s="26" t="str">
        <x:v>Self-hash is external by design.</x:v>
      </x:c>
    </x:row>
    <x:row r="8">
      <x:c r="A8" t="str">
        <x:v>LOG-S16-001</x:v>
      </x:c>
      <x:c r="B8" t="str">
        <x:v>2026-07-06</x:v>
      </x:c>
      <x:c r="C8" t="str">
        <x:v>13_Trazabilidad_y_Control_de_Cambios.xlsx</x:v>
      </x:c>
      <x:c r="D8" t="str">
        <x:v>Sprint closure update</x:v>
      </x:c>
      <x:c r="E8" t="str">
        <x:v>Registrado cierre de Sprint 16, build 0.0.21 y evidencias visuales/funcionales.</x:v>
      </x:c>
      <x:c r="F8" t="str">
        <x:v>Completar Sprint16_Phase5 sin crear documentos nuevos.</x:v>
      </x:c>
      <x:c r="G8" t="str">
        <x:v>Proyecto validado + documentos 02/06/07/12/14/15/17/18/31/34</x:v>
      </x:c>
      <x:c r="H8" t="str">
        <x:v>13 actualizado</x:v>
      </x:c>
      <x:c r="I8" t="str">
        <x:v>VRM Games</x:v>
      </x:c>
      <x:c r="J8" t="str">
        <x:v>DONE</x:v>
      </x:c>
      <x:c r="K8" t="str">
        <x:v>EXTERNAL_AFTER_EXPORT</x:v>
      </x:c>
      <x:c r="L8" t="str">
        <x:v>Sprint 17 y H6 no se marcan como PASS.</x:v>
      </x:c>
    </x:row>
    <x:row r="9">
      <x:c r="A9" t="str">
        <x:v>LOG-W0-001</x:v>
      </x:c>
      <x:c r="B9" t="str">
        <x:v>2026-07-07</x:v>
      </x:c>
      <x:c r="C9" t="str">
        <x:v>13_Trazabilidad_y_Control_de_Cambios.xlsx</x:v>
      </x:c>
      <x:c r="D9" t="str">
        <x:v>W0 synchronization</x:v>
      </x:c>
      <x:c r="E9" t="str">
        <x:v>Formalized ADR-0074…ADR-0085 and propagated impacts.</x:v>
      </x:c>
      <x:c r="F9" t="str">
        <x:v>Zero open functional decisions before remediation.</x:v>
      </x:c>
      <x:c r="G9" t="str">
        <x:v>Contrast workbook + baseline efbc1a8</x:v>
      </x:c>
      <x:c r="H9" t="str">
        <x:v>W0 updated workbook</x:v>
      </x:c>
      <x:c r="I9" t="str">
        <x:v>VRM Games</x:v>
      </x:c>
      <x:c r="J9" t="str">
        <x:v>DONE</x:v>
      </x:c>
      <x:c r="K9" t="str">
        <x:v>EXTERNAL_AFTER_EXPORT</x:v>
      </x:c>
      <x:c r="L9" t="str">
        <x:v>W1-W8, H6 and Vertical Slice remain open.</x:v>
      </x:c>
    </x:row>
    <x:row r="10">
      <x:c r="A10" s="24" t="str">
        <x:v>LOG-S17-MOD-001</x:v>
      </x:c>
      <x:c r="B10" t="str">
        <x:v>2026-07-08</x:v>
      </x:c>
      <x:c r="C10" t="str">
        <x:v>Proyecto Unity + documentación + 13_Trazabilidad_y_Control_de_Cambios.xlsx</x:v>
      </x:c>
      <x:c r="D10" t="str">
        <x:v>Deferred modifications implementation</x:v>
      </x:c>
      <x:c r="E10" t="str">
        <x:v>Integración candidata de S17-MOD-002…010 y creación de ADR-0086/ADR-0087.</x:v>
      </x:c>
      <x:c r="F10" t="str">
        <x:v>Decisión final del Project Owner de implementar todas las modificaciones diferidas.</x:v>
      </x:c>
      <x:c r="G10" t="str">
        <x:v>Baseline W8 PASS + registro v0.5 + contraste documental de cierre</x:v>
      </x:c>
      <x:c r="H10" t="str">
        <x:v>U012_S17_MOD_002_010_Implementacion_Integral_v1.0.zip</x:v>
      </x:c>
      <x:c r="I10" t="str">
        <x:v>VRM Games</x:v>
      </x:c>
      <x:c r="J10" t="str">
        <x:v>IMPLEMENTED CANDIDATE</x:v>
      </x:c>
      <x:c r="K10" t="str">
        <x:v>EXTERNAL_AFTER_EXPORT</x:v>
      </x:c>
      <x:c r="L10" t="str">
        <x:v>Cierre condicionado a EditMode, PlayMode, Golden Path, build Windows x64 y Player.log.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26" hidden="0" customWidth="1"/>
    <x:col min="5" max="5" width="62" hidden="0" customWidth="1"/>
    <x:col min="6" max="6" width="22" hidden="0" customWidth="1"/>
    <x:col min="7" max="7" width="12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8" hidden="0" customHeight="1">
      <x:c r="A1" s="94" t="str">
        <x:v>Sprint17_Phase1 - cierre documental W0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</x:row>
    <x:row r="2"/>
    <x:row r="3" ht="15" hidden="0" customHeight="1">
      <x:c r="A3" s="96" t="str">
        <x:v>Campo</x:v>
      </x:c>
      <x:c r="B3" s="96" t="str">
        <x:v>Valor</x:v>
      </x:c>
    </x:row>
    <x:row r="4" ht="15" hidden="0" customHeight="1">
      <x:c r="A4" s="97" t="str">
        <x:v>Fecha</x:v>
      </x:c>
      <x:c r="B4" s="98" t="n">
        <x:v>46210</x:v>
      </x:c>
    </x:row>
    <x:row r="5" ht="15" hidden="0" customHeight="1">
      <x:c r="A5" s="97" t="str">
        <x:v>Baseline</x:v>
      </x:c>
      <x:c r="B5" t="str">
        <x:v>main@efbc1a885a1d6819f764ec8cff8a465ad1986661</x:v>
      </x:c>
    </x:row>
    <x:row r="6" ht="15" hidden="0" customHeight="1">
      <x:c r="A6" s="97" t="str">
        <x:v>Versión aplicación</x:v>
      </x:c>
      <x:c r="B6" t="str">
        <x:v>0.0.21</x:v>
      </x:c>
    </x:row>
    <x:row r="7" ht="15" hidden="0" customHeight="1">
      <x:c r="A7" s="97" t="str">
        <x:v>W0</x:v>
      </x:c>
      <x:c r="B7" t="str">
        <x:v>COMPLETED / DOCUMENTAL PASS</x:v>
      </x:c>
    </x:row>
    <x:row r="8" ht="15" hidden="0" customHeight="1">
      <x:c r="A8" s="97" t="str">
        <x:v>Sprint17_Phase1</x:v>
      </x:c>
      <x:c r="B8" t="str">
        <x:v>BLOCKED / REMEDIATION REQUIRED</x:v>
      </x:c>
    </x:row>
    <x:row r="9" ht="15" hidden="0" customHeight="1">
      <x:c r="A9" s="97" t="str">
        <x:v>H6</x:v>
      </x:c>
      <x:c r="B9" t="str">
        <x:v>BLOCKED / NOT RUN</x:v>
      </x:c>
    </x:row>
    <x:row r="10" ht="15" hidden="0" customHeight="1">
      <x:c r="A10" s="97" t="str">
        <x:v>Vertical Slice</x:v>
      </x:c>
      <x:c r="B10" t="str">
        <x:v>NOT ACCEPTED</x:v>
      </x:c>
    </x:row>
    <x:row r="11"/>
    <x:row r="12" ht="15" hidden="0" customHeight="1">
      <x:c r="A12" s="99" t="str">
        <x:v>ADR</x:v>
      </x:c>
      <x:c r="B12" s="99" t="str">
        <x:v>DEC</x:v>
      </x:c>
      <x:c r="C12" s="99" t="str">
        <x:v>Título</x:v>
      </x:c>
      <x:c r="D12" s="99" t="str">
        <x:v>Área</x:v>
      </x:c>
      <x:c r="E12" s="99" t="str">
        <x:v>Decisión</x:v>
      </x:c>
      <x:c r="F12" s="99" t="str">
        <x:v>Caracterización</x:v>
      </x:c>
      <x:c r="G12" s="99" t="str">
        <x:v>Ola</x:v>
      </x:c>
    </x:row>
    <x:row r="13" ht="26.399999618530273" hidden="0" customHeight="1">
      <x:c r="A13" s="24" t="str">
        <x:v>ADR-0074</x:v>
      </x:c>
      <x:c r="B13" s="24" t="str">
        <x:v>DEC-01</x:v>
      </x:c>
      <x:c r="C13" s="24" t="str">
        <x:v>Día H6 y velocidades</x:v>
      </x:c>
      <x:c r="D13" s="24" t="str">
        <x:v>Tiempo / UX</x:v>
      </x:c>
      <x:c r="E13" s="24" t="str">
        <x:v>Día H6 configurable de 300 s; velocidades x0,5, x1, x2 y x4; PauseService independiente.</x:v>
      </x:c>
      <x:c r="F13" s="24" t="str">
        <x:v>CHAR-TIM</x:v>
      </x:c>
      <x:c r="G13" s="24" t="str">
        <x:v>W1</x:v>
      </x:c>
    </x:row>
    <x:row r="14" ht="26.399999618530273" hidden="0" customHeight="1">
      <x:c r="A14" s="24" t="str">
        <x:v>ADR-0075</x:v>
      </x:c>
      <x:c r="B14" s="24" t="str">
        <x:v>DEC-02</x:v>
      </x:c>
      <x:c r="C14" s="24" t="str">
        <x:v>Autoridad temporal única</x:v>
      </x:c>
      <x:c r="D14" s="24" t="str">
        <x:v>Arquitectura / Tiempo</x:v>
      </x:c>
      <x:c r="E14" s="24" t="str">
        <x:v>SimulationClock / StoreDay es la única autoridad de tiempo de negocio; PauseService separado.</x:v>
      </x:c>
      <x:c r="F14" s="24" t="str">
        <x:v>CHAR-TIM</x:v>
      </x:c>
      <x:c r="G14" s="24" t="str">
        <x:v>W1</x:v>
      </x:c>
    </x:row>
    <x:row r="15" ht="26.399999618530273" hidden="0" customHeight="1">
      <x:c r="A15" s="24" t="str">
        <x:v>ADR-0076</x:v>
      </x:c>
      <x:c r="B15" s="24" t="str">
        <x:v>DEC-03</x:v>
      </x:c>
      <x:c r="C15" s="24" t="str">
        <x:v>Guardado manual seguro</x:v>
      </x:c>
      <x:c r="D15" s="24" t="str">
        <x:v>Persistencia / UX</x:v>
      </x:c>
      <x:c r="E15" s="24" t="str">
        <x:v>Guardado desde pausa solo en BeforeOpen, Closed o Results y sin mutaciones pendientes; mid-day exacto Post-H6.</x:v>
      </x:c>
      <x:c r="F15" s="24" t="str">
        <x:v>CHAR-SAV</x:v>
      </x:c>
      <x:c r="G15" s="24" t="str">
        <x:v>W5</x:v>
      </x:c>
    </x:row>
    <x:row r="16" ht="26.399999618530273" hidden="0" customHeight="1">
      <x:c r="A16" s="24" t="str">
        <x:v>ADR-0077</x:v>
      </x:c>
      <x:c r="B16" s="24" t="str">
        <x:v>DEC-04</x:v>
      </x:c>
      <x:c r="C16" s="24" t="str">
        <x:v>Checkout requerido para abrir</x:v>
      </x:c>
      <x:c r="D16" s="24" t="str">
        <x:v>Checkout / Día</x:v>
      </x:c>
      <x:c r="E16" s="24" t="str">
        <x:v>Checkout funcional obligatorio; no retirar el último durante Open; invalidación bloquea spawn y fuerza recuperación/cierre.</x:v>
      </x:c>
      <x:c r="F16" s="24" t="str">
        <x:v>CHAR-CUS</x:v>
      </x:c>
      <x:c r="G16" s="24" t="str">
        <x:v>W2</x:v>
      </x:c>
    </x:row>
    <x:row r="17" ht="26.399999618530273" hidden="0" customHeight="1">
      <x:c r="A17" s="24" t="str">
        <x:v>ADR-0078</x:v>
      </x:c>
      <x:c r="B17" s="24" t="str">
        <x:v>DEC-05</x:v>
      </x:c>
      <x:c r="C17" s="24" t="str">
        <x:v>Máximo de clientes H6</x:v>
      </x:c>
      <x:c r="D17" s="24" t="str">
        <x:v>Clientes / Rendimiento</x:v>
      </x:c>
      <x:c r="E17" s="24" t="str">
        <x:v>Máximo configurable de 8 clientes activos; activo significa estado distinto de Despawned.</x:v>
      </x:c>
      <x:c r="F17" s="24" t="str">
        <x:v>CHAR-CUS</x:v>
      </x:c>
      <x:c r="G17" s="24" t="str">
        <x:v>W2</x:v>
      </x:c>
    </x:row>
    <x:row r="18" ht="26.399999618530273" hidden="0" customHeight="1">
      <x:c r="A18" s="24" t="str">
        <x:v>ADR-0079</x:v>
      </x:c>
      <x:c r="B18" s="24" t="str">
        <x:v>DEC-06</x:v>
      </x:c>
      <x:c r="C18" s="24" t="str">
        <x:v>Reserva y coste de recepción</x:v>
      </x:c>
      <x:c r="D18" s="24" t="str">
        <x:v>Pedidos / Economía</x:v>
      </x:c>
      <x:c r="E18" s="24" t="str">
        <x:v>Solicitud reserva fondos; recepción descuenta caja, registra SupplierReceivingCost y añade stock exactamente una vez.</x:v>
      </x:c>
      <x:c r="F18" s="24" t="str">
        <x:v>CHAR-ODR</x:v>
      </x:c>
      <x:c r="G18" s="24" t="str">
        <x:v>W3</x:v>
      </x:c>
    </x:row>
    <x:row r="19" ht="26.399999618530273" hidden="0" customHeight="1">
      <x:c r="A19" s="24" t="str">
        <x:v>ADR-0080</x:v>
      </x:c>
      <x:c r="B19" s="24" t="str">
        <x:v>DEC-07</x:v>
      </x:c>
      <x:c r="C19" s="24" t="str">
        <x:v>Process All atómico</x:v>
      </x:c>
      <x:c r="D19" s="24" t="str">
        <x:v>Pedidos / Economía</x:v>
      </x:c>
      <x:c r="E19" s="24" t="str">
        <x:v>Process All es todo-o-nada, reserva el total, crea un DeliveryRun y mantiene órdenes independientes.</x:v>
      </x:c>
      <x:c r="F19" s="24" t="str">
        <x:v>CHAR-ODR</x:v>
      </x:c>
      <x:c r="G19" s="24" t="str">
        <x:v>W3</x:v>
      </x:c>
    </x:row>
    <x:row r="20" ht="26.399999618530273" hidden="0" customHeight="1">
      <x:c r="A20" s="24" t="str">
        <x:v>ADR-0081</x:v>
      </x:c>
      <x:c r="B20" s="24" t="str">
        <x:v>DEC-08</x:v>
      </x:c>
      <x:c r="C20" s="24" t="str">
        <x:v>Displays monoproducto H6</x:v>
      </x:c>
      <x:c r="D20" s="24" t="str">
        <x:v>Displays / Inventario</x:v>
      </x:c>
      <x:c r="E20" s="24" t="str">
        <x:v>Displays monoproducto hasta H6; cantidades, retirada, retorno y clear-empty obligatorios; multiproducto Post-H6.</x:v>
      </x:c>
      <x:c r="F20" s="24" t="str">
        <x:v>CHAR-DSP</x:v>
      </x:c>
      <x:c r="G20" s="24" t="str">
        <x:v>W4</x:v>
      </x:c>
    </x:row>
    <x:row r="21" ht="26.399999618530273" hidden="0" customHeight="1">
      <x:c r="A21" s="24" t="str">
        <x:v>ADR-0082</x:v>
      </x:c>
      <x:c r="B21" s="24" t="str">
        <x:v>DEC-09</x:v>
      </x:c>
      <x:c r="C21" s="24" t="str">
        <x:v>Histórico de Management</x:v>
      </x:c>
      <x:c r="D21" s="24" t="str">
        <x:v>Management / Datos</x:v>
      </x:c>
      <x:c r="E21" s="24" t="str">
        <x:v>Día actual + dos completados con detalle; DailySummary individual para días anteriores y acumulados lifetime.</x:v>
      </x:c>
      <x:c r="F21" s="24" t="str">
        <x:v>CHAR-MGT</x:v>
      </x:c>
      <x:c r="G21" s="24" t="str">
        <x:v>W6</x:v>
      </x:c>
    </x:row>
    <x:row r="22" ht="26.399999618530273" hidden="0" customHeight="1">
      <x:c r="A22" s="24" t="str">
        <x:v>ADR-0083</x:v>
      </x:c>
      <x:c r="B22" s="24" t="str">
        <x:v>DEC-10</x:v>
      </x:c>
      <x:c r="C22" s="24" t="str">
        <x:v>Impuesto semanal H6</x:v>
      </x:c>
      <x:c r="D22" s="24" t="str">
        <x:v>Economía / Ledger</x:v>
      </x:c>
      <x:c r="E22" s="24" t="str">
        <x:v>Al cierre del día 7: 10 % de max(0, resultado bruto técnico semanal), exactamente una vez; costes fijos Post-H6.</x:v>
      </x:c>
      <x:c r="F22" s="24" t="str">
        <x:v>CHAR-ODR</x:v>
      </x:c>
      <x:c r="G22" s="24" t="str">
        <x:v>W3</x:v>
      </x:c>
    </x:row>
    <x:row r="23" ht="26.399999618530273" hidden="0" customHeight="1">
      <x:c r="A23" s="24" t="str">
        <x:v>ADR-0084</x:v>
      </x:c>
      <x:c r="B23" s="24" t="str">
        <x:v>DEC-11</x:v>
      </x:c>
      <x:c r="C23" s="24" t="str">
        <x:v>Wall occlusion desactivada</x:v>
      </x:c>
      <x:c r="D23" s="24" t="str">
        <x:v>Cámara / Settings</x:v>
      </x:c>
      <x:c r="E23" s="24" t="str">
        <x:v>Feature flag prioritaria false; toggle oculto; valores antiguos migrados o ignorados; regresión de cámara.</x:v>
      </x:c>
      <x:c r="F23" s="24" t="str">
        <x:v>CHAR-ART</x:v>
      </x:c>
      <x:c r="G23" s="24" t="str">
        <x:v>W7</x:v>
      </x:c>
    </x:row>
    <x:row r="24" ht="26.399999618530273" hidden="0" customHeight="1">
      <x:c r="A24" s="24" t="str">
        <x:v>ADR-0085</x:v>
      </x:c>
      <x:c r="B24" s="24" t="str">
        <x:v>DEC-12</x:v>
      </x:c>
      <x:c r="C24" s="24" t="str">
        <x:v>Pivotes y GroundAnchor</x:v>
      </x:c>
      <x:c r="D24" s="24" t="str">
        <x:v>Arte / Placement</x:v>
      </x:c>
      <x:c r="E24" s="24" t="str">
        <x:v>Contrato base-centro con wrapper o GroundAnchor y migración/compensación única; preservar escenas y saves.</x:v>
      </x:c>
      <x:c r="F24" s="24" t="str">
        <x:v>CHAR-ART</x:v>
      </x:c>
      <x:c r="G24" s="24" t="str">
        <x:v>W7</x:v>
      </x:c>
    </x:row>
    <x:row r="25"/>
    <x:row r="26"/>
    <x:row r="27" ht="15" hidden="0" customHeight="1">
      <x:c r="A27" s="99" t="str">
        <x:v>Grupo</x:v>
      </x:c>
      <x:c r="B27" s="99" t="str">
        <x:v>IDs</x:v>
      </x:c>
      <x:c r="C27" s="99" t="str">
        <x:v>Ola</x:v>
      </x:c>
      <x:c r="D27" s="99" t="str">
        <x:v>Cobertura</x:v>
      </x:c>
      <x:c r="E27" s="99" t="str">
        <x:v>Estado</x:v>
      </x:c>
      <x:c r="F27" s="99" t="str">
        <x:v>Ejecución</x:v>
      </x:c>
      <x:c r="G27" s="99" t="str">
        <x:v>Bloquea H6</x:v>
      </x:c>
      <x:c r="H27" s="99" t="str">
        <x:v>Nota</x:v>
      </x:c>
    </x:row>
    <x:row r="28" ht="26.399999618530273" hidden="0" customHeight="1">
      <x:c r="A28" s="24" t="str">
        <x:v>Tiempo y pausa</x:v>
      </x:c>
      <x:c r="B28" s="24" t="str">
        <x:v>CHAR-TIM-001…008</x:v>
      </x:c>
      <x:c r="C28" s="24" t="str">
        <x:v>W1</x:v>
      </x:c>
      <x:c r="D28" s="24" t="str">
        <x:v>clock, velocidades, pausa, HUD, transiciones, persistencia</x:v>
      </x:c>
      <x:c r="E28" s="24" t="str">
        <x:v>DEFINED</x:v>
      </x:c>
      <x:c r="F28" s="24" t="str">
        <x:v>NOT RUN</x:v>
      </x:c>
      <x:c r="G28" s="24" t="str">
        <x:v>Sí</x:v>
      </x:c>
      <x:c r="H28" s="24" t="str">
        <x:v>Ejecutar antes de W1</x:v>
      </x:c>
    </x:row>
    <x:row r="29" ht="26.399999618530273" hidden="0" customHeight="1">
      <x:c r="A29" s="24" t="str">
        <x:v>Clientes y checkout</x:v>
      </x:c>
      <x:c r="B29" s="24" t="str">
        <x:v>CHAR-CUS-001…009</x:v>
      </x:c>
      <x:c r="C29" s="24" t="str">
        <x:v>W2</x:v>
      </x:c>
      <x:c r="D29" s="24" t="str">
        <x:v>checkout, ocho activos, cierre, recuperación</x:v>
      </x:c>
      <x:c r="E29" s="24" t="str">
        <x:v>DEFINED</x:v>
      </x:c>
      <x:c r="F29" s="24" t="str">
        <x:v>NOT RUN</x:v>
      </x:c>
      <x:c r="G29" s="24" t="str">
        <x:v>Sí</x:v>
      </x:c>
      <x:c r="H29" s="24" t="str">
        <x:v>Ejecutar antes de W2</x:v>
      </x:c>
    </x:row>
    <x:row r="30" ht="26.399999618530273" hidden="0" customHeight="1">
      <x:c r="A30" s="24" t="str">
        <x:v>Pedidos y economía</x:v>
      </x:c>
      <x:c r="B30" s="24" t="str">
        <x:v>CHAR-ODR-001…010</x:v>
      </x:c>
      <x:c r="C30" s="24" t="str">
        <x:v>W3</x:v>
      </x:c>
      <x:c r="D30" s="24" t="str">
        <x:v>reservas, receipt, Process All, impuesto</x:v>
      </x:c>
      <x:c r="E30" s="24" t="str">
        <x:v>DEFINED</x:v>
      </x:c>
      <x:c r="F30" s="24" t="str">
        <x:v>NOT RUN</x:v>
      </x:c>
      <x:c r="G30" s="24" t="str">
        <x:v>Sí</x:v>
      </x:c>
      <x:c r="H30" s="24" t="str">
        <x:v>Ejecutar antes de W3</x:v>
      </x:c>
    </x:row>
    <x:row r="31" ht="26.399999618530273" hidden="0" customHeight="1">
      <x:c r="A31" s="24" t="str">
        <x:v>Displays</x:v>
      </x:c>
      <x:c r="B31" s="24" t="str">
        <x:v>CHAR-DSP-001…006</x:v>
      </x:c>
      <x:c r="C31" s="24" t="str">
        <x:v>W4</x:v>
      </x:c>
      <x:c r="D31" s="24" t="str">
        <x:v>monoproducto, cantidad, retorno, clear-empty</x:v>
      </x:c>
      <x:c r="E31" s="24" t="str">
        <x:v>DEFINED</x:v>
      </x:c>
      <x:c r="F31" s="24" t="str">
        <x:v>NOT RUN</x:v>
      </x:c>
      <x:c r="G31" s="24" t="str">
        <x:v>Sí</x:v>
      </x:c>
      <x:c r="H31" s="24" t="str">
        <x:v>Ejecutar antes de W4</x:v>
      </x:c>
    </x:row>
    <x:row r="32" ht="26.399999618530273" hidden="0" customHeight="1">
      <x:c r="A32" s="24" t="str">
        <x:v>Guardado</x:v>
      </x:c>
      <x:c r="B32" s="24" t="str">
        <x:v>CHAR-SAV-001…008</x:v>
      </x:c>
      <x:c r="C32" s="24" t="str">
        <x:v>W5</x:v>
      </x:c>
      <x:c r="D32" s="24" t="str">
        <x:v>estados seguros, mutaciones, recovery, idempotencia</x:v>
      </x:c>
      <x:c r="E32" s="24" t="str">
        <x:v>DEFINED</x:v>
      </x:c>
      <x:c r="F32" s="24" t="str">
        <x:v>NOT RUN</x:v>
      </x:c>
      <x:c r="G32" s="24" t="str">
        <x:v>Sí</x:v>
      </x:c>
      <x:c r="H32" s="24" t="str">
        <x:v>Ejecutar antes de W5</x:v>
      </x:c>
    </x:row>
    <x:row r="33" ht="26.399999618530273" hidden="0" customHeight="1">
      <x:c r="A33" s="24" t="str">
        <x:v>Management</x:v>
      </x:c>
      <x:c r="B33" s="24" t="str">
        <x:v>CHAR-MGT-001…008</x:v>
      </x:c>
      <x:c r="C33" s="24" t="str">
        <x:v>W6</x:v>
      </x:c>
      <x:c r="D33" s="24" t="str">
        <x:v>detalle reciente, summaries, lifetime, ES/EN, resolución</x:v>
      </x:c>
      <x:c r="E33" s="24" t="str">
        <x:v>DEFINED</x:v>
      </x:c>
      <x:c r="F33" s="24" t="str">
        <x:v>NOT RUN</x:v>
      </x:c>
      <x:c r="G33" s="24" t="str">
        <x:v>Sí</x:v>
      </x:c>
      <x:c r="H33" s="24" t="str">
        <x:v>Ejecutar antes de W6</x:v>
      </x:c>
    </x:row>
    <x:row r="34" ht="26.399999618530273" hidden="0" customHeight="1">
      <x:c r="A34" s="24" t="str">
        <x:v>Autoría y settings</x:v>
      </x:c>
      <x:c r="B34" s="24" t="str">
        <x:v>CHAR-ART-001…007</x:v>
      </x:c>
      <x:c r="C34" s="24" t="str">
        <x:v>W7</x:v>
      </x:c>
      <x:c r="D34" s="24" t="str">
        <x:v>occlusion, preferences, pivotes, GroundAnchor, saves</x:v>
      </x:c>
      <x:c r="E34" s="24" t="str">
        <x:v>DEFINED</x:v>
      </x:c>
      <x:c r="F34" s="24" t="str">
        <x:v>NOT RUN</x:v>
      </x:c>
      <x:c r="G34" s="24" t="str">
        <x:v>Sí</x:v>
      </x:c>
      <x:c r="H34" s="24" t="str">
        <x:v>Ejecutar antes de W7</x:v>
      </x:c>
    </x:row>
    <x:row r="35" ht="26.399999618530273" hidden="0" customHeight="1">
      <x:c r="A35" s="24" t="str">
        <x:v>Regresión integral</x:v>
      </x:c>
      <x:c r="B35" s="24" t="str">
        <x:v>CHAR-REG-001…010</x:v>
      </x:c>
      <x:c r="C35" s="24" t="str">
        <x:v>W8</x:v>
      </x:c>
      <x:c r="D35" s="24" t="str">
        <x:v>siete días, build, logs, save/reload, reconciliación</x:v>
      </x:c>
      <x:c r="E35" s="24" t="str">
        <x:v>DEFINED</x:v>
      </x:c>
      <x:c r="F35" s="24" t="str">
        <x:v>NOT RUN</x:v>
      </x:c>
      <x:c r="G35" s="24" t="str">
        <x:v>Sí</x:v>
      </x:c>
      <x:c r="H35" s="24" t="str">
        <x:v>Solo tras W1-W7</x:v>
      </x:c>
    </x:row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mergeCells>
    <x:mergeCell ref="A1:K1"/>
  </x:mergeCells>
  <x:pageMargins left="0.7" right="0.7" top="0.75" bottom="0.75" header="0.3" footer="0.3"/>
</x:worksheet>
</file>