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bfce185a7848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Dashboard" sheetId="1" r:id="Rff14410a177b44ac"/>
    <x:sheet xmlns:r="http://schemas.openxmlformats.org/officeDocument/2006/relationships" name="00_Instrucciones" sheetId="2" r:id="R1a1248c95c614578"/>
    <x:sheet xmlns:r="http://schemas.openxmlformats.org/officeDocument/2006/relationships" name="02_H6_Checklist" sheetId="3" r:id="Ra747c3d4af1b482e"/>
    <x:sheet xmlns:r="http://schemas.openxmlformats.org/officeDocument/2006/relationships" name="03_Release_Checklist" sheetId="4" r:id="Rfb274a95ab524858"/>
    <x:sheet xmlns:r="http://schemas.openxmlformats.org/officeDocument/2006/relationships" name="05_Evidencias" sheetId="5" r:id="R4848be620af946dc"/>
    <x:sheet xmlns:r="http://schemas.openxmlformats.org/officeDocument/2006/relationships" name="06_Defectos_Excepciones" sheetId="6" r:id="Rf304c32bd5f44490"/>
    <x:sheet xmlns:r="http://schemas.openxmlformats.org/officeDocument/2006/relationships" name="07_Builds_Integridad" sheetId="7" r:id="Rd6b3ad0af21c4117"/>
    <x:sheet xmlns:r="http://schemas.openxmlformats.org/officeDocument/2006/relationships" name="08_Ejecucion_Pruebas" sheetId="8" r:id="R310a11d71b8f4eb3"/>
    <x:sheet xmlns:r="http://schemas.openxmlformats.org/officeDocument/2006/relationships" name="09_Trazabilidad_Historica" sheetId="9" r:id="Rc6873dfc75d3490f"/>
    <x:sheet xmlns:r="http://schemas.openxmlformats.org/officeDocument/2006/relationships" name="10_Riesgos_Dependencias" sheetId="10" r:id="R6797d34232204c0e"/>
    <x:sheet xmlns:r="http://schemas.openxmlformats.org/officeDocument/2006/relationships" name="04_Gates_Signoff" sheetId="11" r:id="R0380b61d34b14376"/>
    <x:sheet xmlns:r="http://schemas.openxmlformats.org/officeDocument/2006/relationships" name="11_Catalogos" sheetId="12" r:id="Ra0414b6804a34925"/>
    <x:sheet xmlns:r="http://schemas.openxmlformats.org/officeDocument/2006/relationships" name="12_Integracion_00_34" sheetId="13" r:id="R3dea337e1a6244b9"/>
    <x:sheet xmlns:r="http://schemas.openxmlformats.org/officeDocument/2006/relationships" name="13_Control_Cambios" sheetId="14" r:id="R2538d24d549a4061"/>
    <x:sheet xmlns:r="http://schemas.openxmlformats.org/officeDocument/2006/relationships" name="14_W0_Cierre" sheetId="15" r:id="R7037a45895684d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yyyy-mm-dd hh:mm"/>
    <x:numFmt numFmtId="202" formatCode="#,##0"/>
    <x:numFmt numFmtId="203" formatCode="0.0%"/>
  </x:numFmts>
  <x:fonts count="11">
    <x:font>
      <x:sz val="11"/>
      <x:name val="Carlito"/>
    </x:font>
    <x:font>
      <x:b/>
      <x:sz val="18"/>
      <x:color rgb="FFFFFFFF"/>
      <x:name val="Carlito"/>
    </x:font>
    <x:font>
      <x:sz val="10"/>
      <x:color rgb="FFCDE8D7"/>
      <x:name val="Carlito"/>
    </x:font>
    <x:font>
      <x:b/>
      <x:sz val="10"/>
      <x:color rgb="FFFFFFFF"/>
      <x:name val="Carlito"/>
    </x:font>
    <x:font>
      <x:sz val="9"/>
      <x:color rgb="FF17201C"/>
      <x:name val="Carlito"/>
    </x:font>
    <x:font>
      <x:b/>
      <x:sz val="11"/>
      <x:color rgb="FFFFFFFF"/>
      <x:name val="Carlito"/>
    </x:font>
    <x:font>
      <x:b/>
      <x:sz val="9"/>
      <x:color rgb="FFFFFFFF"/>
      <x:name val="Carlito"/>
    </x:font>
    <x:font>
      <x:b/>
      <x:sz val="16"/>
      <x:color rgb="FFFFFFFF"/>
      <x:name val="Carlito"/>
    </x:font>
    <x:font>
      <x:i/>
      <x:sz val="11"/>
      <x:color rgb="FFD9F5E5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0B1411"/>
      </x:patternFill>
    </x:fill>
    <x:fill>
      <x:patternFill patternType="solid">
        <x:fgColor rgb="FF13231D"/>
      </x:patternFill>
    </x:fill>
    <x:fill>
      <x:patternFill patternType="solid">
        <x:fgColor rgb="FF1FA85A"/>
      </x:patternFill>
    </x:fill>
    <x:fill>
      <x:patternFill patternType="solid">
        <x:fgColor rgb="FFC62828"/>
      </x:patternFill>
    </x:fill>
    <x:fill>
      <x:patternFill patternType="solid">
        <x:fgColor rgb="FFF2A900"/>
      </x:patternFill>
    </x:fill>
    <x:fill>
      <x:patternFill patternType="solid">
        <x:fgColor rgb="FF6B7280"/>
      </x:patternFill>
    </x:fill>
    <x:fill>
      <x:patternFill patternType="solid">
        <x:fgColor rgb="FF2B6CB0"/>
      </x:patternFill>
    </x:fill>
    <x:fill>
      <x:patternFill patternType="solid">
        <x:fgColor rgb="FF6B46C1"/>
      </x:patternFill>
    </x:fill>
    <x:fill>
      <x:patternFill patternType="solid">
        <x:fgColor rgb="FF64748B"/>
      </x:patternFill>
    </x:fill>
    <x:fill>
      <x:patternFill patternType="solid">
        <x:fgColor rgb="FF0B1F18"/>
      </x:patternFill>
    </x:fill>
    <x:fill>
      <x:patternFill patternType="solid">
        <x:fgColor rgb="FF112A21"/>
      </x:patternFill>
    </x:fill>
    <x:fill>
      <x:patternFill patternType="solid">
        <x:fgColor rgb="FF16A34A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horizontal="center"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horizontal="center"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horizontal="center"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horizontal="center"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horizontal="center"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horizontal="center" vertical="top" wrapText="1"/>
    </x:xf>
    <x:xf numFmtId="0" fontId="4" fillId="8" borderId="0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horizontal="center"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horizontal="center"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horizontal="center" vertical="top" wrapText="1"/>
    </x:xf>
    <x:xf numFmtId="0" fontId="4" fillId="9" borderId="1" xfId="0" applyNumberFormat="1" applyFont="1" applyFill="1" applyBorder="1" applyAlignment="1">
      <x:alignment vertical="top" wrapText="1"/>
    </x:xf>
    <x:xf numFmtId="0" fontId="6" fillId="9" borderId="1" xfId="0" applyNumberFormat="1" applyFont="1" applyFill="1" applyBorder="1" applyAlignment="1">
      <x:alignment vertical="top" wrapText="1"/>
    </x:xf>
    <x:xf numFmtId="0" fontId="6" fillId="9" borderId="1" xfId="0" applyNumberFormat="1" applyFont="1" applyFill="1" applyBorder="1" applyAlignment="1">
      <x:alignment horizontal="center" vertical="top" wrapText="1"/>
    </x:xf>
    <x:xf numFmtId="0" fontId="4" fillId="10" borderId="0" xfId="0" applyNumberFormat="1" applyFont="1" applyFill="1" applyBorder="1" applyAlignment="1">
      <x:alignment vertical="top" wrapText="1"/>
    </x:xf>
    <x:xf numFmtId="0" fontId="6" fillId="10" borderId="0" xfId="0" applyNumberFormat="1" applyFont="1" applyFill="1" applyBorder="1" applyAlignment="1">
      <x:alignment vertical="top" wrapText="1"/>
    </x:xf>
    <x:xf numFmtId="0" fontId="6" fillId="10" borderId="0" xfId="0" applyNumberFormat="1" applyFont="1" applyFill="1" applyBorder="1" applyAlignment="1">
      <x:alignment horizontal="center" vertical="top" wrapText="1"/>
    </x:xf>
    <x:xf numFmtId="0" fontId="4" fillId="10" borderId="1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horizontal="center"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201" fontId="4" fillId="0" borderId="0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 wrapText="1"/>
    </x:xf>
    <x:xf numFmtId="202" fontId="4" fillId="0" borderId="1" xfId="0" applyNumberFormat="1" applyFont="1" applyFill="1" applyBorder="1" applyAlignment="1">
      <x:alignment vertical="top" wrapText="1"/>
    </x:xf>
    <x:xf numFmtId="203" fontId="4" fillId="0" borderId="0" xfId="0" applyNumberFormat="1" applyFont="1" applyFill="1" applyBorder="1" applyAlignment="1">
      <x:alignment vertical="top" wrapText="1"/>
    </x:xf>
    <x:xf numFmtId="203" fontId="4" fillId="0" borderId="1" xfId="0" applyNumberFormat="1" applyFont="1" applyFill="1" applyBorder="1" applyAlignment="1">
      <x:alignment vertical="top" wrapText="1"/>
    </x:xf>
    <x:xf numFmtId="203" fontId="4" fillId="0" borderId="0" xfId="0" applyNumberFormat="1" applyFont="1" applyFill="1" applyBorder="1" applyAlignment="1">
      <x:alignment horizontal="center" vertical="top" wrapText="1"/>
    </x:xf>
    <x:xf numFmtId="203" fontId="4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7" fillId="11" borderId="0" xfId="0" applyNumberFormat="1" applyFont="1" applyFill="1" applyBorder="1"/>
    <x:xf numFmtId="0" fontId="7" fillId="11" borderId="0" xfId="0" applyNumberFormat="1" applyFont="1" applyFill="1" applyBorder="1" applyAlignment="1">
      <x:alignment horizontal="left"/>
    </x:xf>
    <x:xf numFmtId="0" fontId="7" fillId="11" borderId="0" xfId="0" applyNumberFormat="1" applyFont="1" applyFill="1" applyBorder="1" applyAlignment="1">
      <x:alignment horizontal="left" vertical="center"/>
    </x:xf>
    <x:xf numFmtId="0" fontId="0" fillId="12" borderId="0" xfId="0" applyNumberFormat="1" applyFont="1" applyFill="1" applyBorder="1"/>
    <x:xf numFmtId="0" fontId="8" fillId="12" borderId="0" xfId="0" applyNumberFormat="1" applyFont="1" applyFill="1" applyBorder="1"/>
    <x:xf numFmtId="0" fontId="8" fillId="12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 applyAlignment="1">
      <x:alignment horizontal="center" wrapText="1"/>
    </x:xf>
    <x:xf numFmtId="0" fontId="5" fillId="13" borderId="0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xfId="0" applyNumberFormat="1" applyFont="1" applyFill="1" applyBorder="0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9" fillId="14" borderId="0" xfId="0" applyNumberFormat="1" applyFont="1" applyFill="1" applyBorder="1"/>
    <x:xf numFmtId="0" fontId="9" fillId="14" borderId="0" xfId="0" applyNumberFormat="1" applyFont="1" applyFill="1" applyBorder="1" applyAlignment="1">
      <x:alignment horizontal="center"/>
    </x:xf>
    <x:xf numFmtId="0" fontId="9" fillId="14" borderId="0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/>
    <x:xf numFmtId="0" fontId="5" fillId="15" borderId="0" xfId="0" applyNumberFormat="1" applyFont="1" applyFill="1" applyBorder="1"/>
    <x:xf numFmtId="0" fontId="10" fillId="0" borderId="0" xfId="0" applyNumberFormat="1" applyFont="1" applyFill="1" applyBorder="1"/>
    <x:xf numFmtId="200" fontId="0" fillId="0" borderId="0" xfId="0" applyNumberFormat="1" applyFont="1" applyFill="1" applyBorder="1"/>
    <x:xf numFmtId="0" fontId="5" fillId="15" borderId="0" xfId="0" applyNumberFormat="1" applyFont="1" applyFill="1" applyBorder="1" applyAlignment="1">
      <x:alignment wrapText="1"/>
    </x:xf>
  </x:cellXfs>
  <x:cellStyles count="1">
    <x:cellStyle name="Normal" xfId="0"/>
  </x:cellStyles>
  <x:dxfs count="31">
    <x:dxf>
      <x:font>
        <x:b/>
        <x:color rgb="FF166534"/>
      </x:font>
      <x:fill>
        <x:patternFill>
          <x:bgColor rgb="FFEAF7EF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92400E"/>
      </x:font>
      <x:fill>
        <x:patternFill>
          <x:bgColor rgb="FFFFF4D6"/>
        </x:patternFill>
      </x:fill>
    </x:dxf>
    <x:dxf>
      <x:font>
        <x:b/>
        <x:color rgb="FF6B46C1"/>
      </x:font>
      <x:fill>
        <x:patternFill>
          <x:bgColor rgb="FFF3E8FF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166534"/>
      </x:font>
      <x:fill>
        <x:patternFill>
          <x:bgColor rgb="FFEAF7EF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92400E"/>
      </x:font>
      <x:fill>
        <x:patternFill>
          <x:bgColor rgb="FFFFF4D6"/>
        </x:patternFill>
      </x:fill>
    </x:dxf>
    <x:dxf>
      <x:font>
        <x:b/>
        <x:color rgb="FF6B46C1"/>
      </x:font>
      <x:fill>
        <x:patternFill>
          <x:bgColor rgb="FFF3E8FF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166534"/>
      </x:font>
      <x:fill>
        <x:patternFill>
          <x:bgColor rgb="FFEAF7EF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4B5563"/>
      </x:font>
      <x:fill>
        <x:patternFill>
          <x:bgColor rgb="FFEEF0F2"/>
        </x:patternFill>
      </x:fill>
    </x:dxf>
    <x:dxf>
      <x:font>
        <x:b/>
        <x:color rgb="FF166534"/>
      </x:font>
      <x:fill>
        <x:patternFill>
          <x:bgColor rgb="FFEAF7EF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166534"/>
      </x:font>
      <x:fill>
        <x:patternFill>
          <x:bgColor rgb="FFEAF7EF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166534"/>
      </x:font>
      <x:fill>
        <x:patternFill>
          <x:bgColor rgb="FFEAF7EF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166534"/>
      </x:font>
      <x:fill>
        <x:patternFill>
          <x:bgColor rgb="FFEAF7EF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166534"/>
      </x:font>
      <x:fill>
        <x:patternFill>
          <x:bgColor rgb="FFEAF7EF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166534"/>
      </x:font>
      <x:fill>
        <x:patternFill>
          <x:bgColor rgb="FFEAF7EF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0a9c1d08a9432a" /><Relationship Type="http://schemas.openxmlformats.org/officeDocument/2006/relationships/theme" Target="/xl/theme/theme1.xml" Id="R94536555c6ce45b5" /><Relationship Type="http://schemas.openxmlformats.org/officeDocument/2006/relationships/sharedStrings" Target="/xl/sharedStrings.xml" Id="R4e9be6b1e2f4429a" /><Relationship Type="http://schemas.openxmlformats.org/officeDocument/2006/relationships/worksheet" Target="/xl/worksheets/sheet1.xml" Id="Rff14410a177b44ac" /><Relationship Type="http://schemas.openxmlformats.org/officeDocument/2006/relationships/worksheet" Target="/xl/worksheets/sheet2.xml" Id="R1a1248c95c614578" /><Relationship Type="http://schemas.openxmlformats.org/officeDocument/2006/relationships/worksheet" Target="/xl/worksheets/sheet3.xml" Id="Ra747c3d4af1b482e" /><Relationship Type="http://schemas.openxmlformats.org/officeDocument/2006/relationships/worksheet" Target="/xl/worksheets/sheet4.xml" Id="Rfb274a95ab524858" /><Relationship Type="http://schemas.openxmlformats.org/officeDocument/2006/relationships/worksheet" Target="/xl/worksheets/sheet5.xml" Id="R4848be620af946dc" /><Relationship Type="http://schemas.openxmlformats.org/officeDocument/2006/relationships/worksheet" Target="/xl/worksheets/sheet6.xml" Id="Rf304c32bd5f44490" /><Relationship Type="http://schemas.openxmlformats.org/officeDocument/2006/relationships/worksheet" Target="/xl/worksheets/sheet7.xml" Id="Rd6b3ad0af21c4117" /><Relationship Type="http://schemas.openxmlformats.org/officeDocument/2006/relationships/worksheet" Target="/xl/worksheets/sheet8.xml" Id="R310a11d71b8f4eb3" /><Relationship Type="http://schemas.openxmlformats.org/officeDocument/2006/relationships/worksheet" Target="/xl/worksheets/sheet9.xml" Id="Rc6873dfc75d3490f" /><Relationship Type="http://schemas.openxmlformats.org/officeDocument/2006/relationships/worksheet" Target="/xl/worksheets/sheet10.xml" Id="R6797d34232204c0e" /><Relationship Type="http://schemas.openxmlformats.org/officeDocument/2006/relationships/worksheet" Target="/xl/worksheets/sheet11.xml" Id="R0380b61d34b14376" /><Relationship Type="http://schemas.openxmlformats.org/officeDocument/2006/relationships/worksheet" Target="/xl/worksheets/sheet12.xml" Id="Ra0414b6804a34925" /><Relationship Type="http://schemas.openxmlformats.org/officeDocument/2006/relationships/worksheet" Target="/xl/worksheets/sheet13.xml" Id="R3dea337e1a6244b9" /><Relationship Type="http://schemas.openxmlformats.org/officeDocument/2006/relationships/worksheet" Target="/xl/worksheets/sheet14.xml" Id="R2538d24d549a4061" /><Relationship Type="http://schemas.openxmlformats.org/officeDocument/2006/relationships/worksheet" Target="/xl/worksheets/sheet15.xml" Id="R7037a45895684dc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95652b6de5f4a72" /><Relationship Type="http://schemas.openxmlformats.org/officeDocument/2006/relationships/chart" Target="/xl/drawings/charts/chart2.xml" Id="R0fa9cccd0b4c4ae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Checklist Status — H6 vs Release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H6 Count</c:v>
          </c:tx>
          <c:cat>
            <c:strRef>
              <c:f>'01_Dashboard'!$A$25:$A$31</c:f>
              <c:strCache>
                <c:ptCount val="0"/>
              </c:strCache>
            </c:strRef>
          </c:cat>
          <c:val>
            <c:numRef>
              <c:f>'01_Dashboard'!$B$25:$B$31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Release Count</c:v>
          </c:tx>
          <c:cat>
            <c:strRef>
              <c:f>'01_Dashboard'!$A$25:$A$31</c:f>
              <c:strCache>
                <c:ptCount val="0"/>
              </c:strCache>
            </c:strRef>
          </c:cat>
          <c:val>
            <c:numRef>
              <c:f>'01_Dashboard'!$C$25:$C$31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H6 Domain Completion Counts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Total</c:v>
          </c:tx>
          <c:cat>
            <c:strRef>
              <c:f>'01_Dashboard'!$A$35:$A$71</c:f>
              <c:strCache>
                <c:ptCount val="0"/>
              </c:strCache>
            </c:strRef>
          </c:cat>
          <c:val>
            <c:numRef>
              <c:f>'01_Dashboard'!$B$35:$B$71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Completed</c:v>
          </c:tx>
          <c:cat>
            <c:strRef>
              <c:f>'01_Dashboard'!$A$35:$A$71</c:f>
              <c:strCache>
                <c:ptCount val="0"/>
              </c:strCache>
            </c:strRef>
          </c:cat>
          <c:val>
            <c:numRef>
              <c:f>'01_Dashboard'!$C$35:$C$71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5652b6de5f4a72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17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a9cccd0b4c4ae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H6ChecklistTable" displayName="H6ChecklistTable" ref="A4:Y270" headerRowCount="1">
  <x:tableColumns count="25">
    <x:tableColumn id="1" name="ID"/>
    <x:tableColumn id="2" name="Domain"/>
    <x:tableColumn id="3" name="Subarea"/>
    <x:tableColumn id="4" name="Acceptance / Readiness Criterion"/>
    <x:tableColumn id="5" name="Verification Procedure"/>
    <x:tableColumn id="6" name="Expected Result"/>
    <x:tableColumn id="7" name="Required Evidence"/>
    <x:tableColumn id="8" name="Current Source"/>
    <x:tableColumn id="9" name="Historical Basis"/>
    <x:tableColumn id="10" name="Gate / Stage"/>
    <x:tableColumn id="11" name="Blocking"/>
    <x:tableColumn id="12" name="Priority"/>
    <x:tableColumn id="13" name="Owner"/>
    <x:tableColumn id="14" name="Reviewer"/>
    <x:tableColumn id="15" name="Status"/>
    <x:tableColumn id="16" name="Evidence ID"/>
    <x:tableColumn id="17" name="Defect / Exception ID"/>
    <x:tableColumn id="18" name="Dependency / Prerequisite"/>
    <x:tableColumn id="19" name="Target Build"/>
    <x:tableColumn id="20" name="Last Execution Date"/>
    <x:tableColumn id="21" name="Notes"/>
    <x:tableColumn id="22" name="Weight"/>
    <x:tableColumn id="23" name="Earned Weight"/>
    <x:tableColumn id="24" name="Open Blocker"/>
    <x:tableColumn id="25" name="Decision Flag"/>
  </x:tableColumns>
  <x:tableStyleInfo name="TableStyleMedium2" showRowStripes="1"/>
</x:table>
</file>

<file path=xl/tables/table2.xml><?xml version="1.0" encoding="utf-8"?>
<x:table xmlns:x="http://schemas.openxmlformats.org/spreadsheetml/2006/main" id="2" name="ReleaseChecklistTable" displayName="ReleaseChecklistTable" ref="A4:Y213" headerRowCount="1">
  <x:tableColumns count="25">
    <x:tableColumn id="1" name="ID"/>
    <x:tableColumn id="2" name="Domain"/>
    <x:tableColumn id="3" name="Subarea"/>
    <x:tableColumn id="4" name="Acceptance / Readiness Criterion"/>
    <x:tableColumn id="5" name="Verification Procedure"/>
    <x:tableColumn id="6" name="Expected Result"/>
    <x:tableColumn id="7" name="Required Evidence"/>
    <x:tableColumn id="8" name="Current Source"/>
    <x:tableColumn id="9" name="Historical Basis"/>
    <x:tableColumn id="10" name="Gate / Stage"/>
    <x:tableColumn id="11" name="Blocking"/>
    <x:tableColumn id="12" name="Priority"/>
    <x:tableColumn id="13" name="Owner"/>
    <x:tableColumn id="14" name="Reviewer"/>
    <x:tableColumn id="15" name="Status"/>
    <x:tableColumn id="16" name="Evidence ID"/>
    <x:tableColumn id="17" name="Defect / Exception ID"/>
    <x:tableColumn id="18" name="Dependency / Prerequisite"/>
    <x:tableColumn id="19" name="Target Build"/>
    <x:tableColumn id="20" name="Last Execution Date"/>
    <x:tableColumn id="21" name="Notes"/>
    <x:tableColumn id="22" name="Weight"/>
    <x:tableColumn id="23" name="Earned Weight"/>
    <x:tableColumn id="24" name="Open Blocker"/>
    <x:tableColumn id="25" name="Decision Flag"/>
  </x:tableColumns>
  <x:tableStyleInfo name="TableStyleMedium2" showRowStripes="1"/>
</x:table>
</file>

<file path=xl/tables/table3.xml><?xml version="1.0" encoding="utf-8"?>
<x:table xmlns:x="http://schemas.openxmlformats.org/spreadsheetml/2006/main" id="3" name="EvidenceRegisterTable" displayName="EvidenceRegisterTable" ref="A4:P44" headerRowCount="1">
  <x:tableColumns count="16">
    <x:tableColumn id="1" name="Evidence ID"/>
    <x:tableColumn id="2" name="Gate"/>
    <x:tableColumn id="3" name="Package / Artifact"/>
    <x:tableColumn id="4" name="Required Contents"/>
    <x:tableColumn id="5" name="Owner"/>
    <x:tableColumn id="6" name="Status"/>
    <x:tableColumn id="7" name="Build ID"/>
    <x:tableColumn id="8" name="Commit SHA"/>
    <x:tableColumn id="9" name="File / Folder Path"/>
    <x:tableColumn id="10" name="SHA-256 / Integrity"/>
    <x:tableColumn id="11" name="Produced By"/>
    <x:tableColumn id="12" name="Produced Date"/>
    <x:tableColumn id="13" name="Verified By"/>
    <x:tableColumn id="14" name="Verified Date"/>
    <x:tableColumn id="15" name="Related Checklist IDs"/>
    <x:tableColumn id="16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DefectExceptionTable" displayName="DefectExceptionTable" ref="A4:R34" headerRowCount="1">
  <x:tableColumns count="18">
    <x:tableColumn id="1" name="ID"/>
    <x:tableColumn id="2" name="Record Type"/>
    <x:tableColumn id="3" name="Severity"/>
    <x:tableColumn id="4" name="Priority"/>
    <x:tableColumn id="5" name="Area"/>
    <x:tableColumn id="6" name="Summary / Finding"/>
    <x:tableColumn id="7" name="Affected Docs / Components"/>
    <x:tableColumn id="8" name="Affected Gate"/>
    <x:tableColumn id="9" name="Blocks Gate"/>
    <x:tableColumn id="10" name="Status"/>
    <x:tableColumn id="11" name="Owner"/>
    <x:tableColumn id="12" name="Detected Build"/>
    <x:tableColumn id="13" name="Fixed Build"/>
    <x:tableColumn id="14" name="Test / Evidence ID"/>
    <x:tableColumn id="15" name="Exception Decision"/>
    <x:tableColumn id="16" name="Review Trigger / Due"/>
    <x:tableColumn id="17" name="Resolution / Mitigation"/>
    <x:tableColumn id="18" name="Source"/>
  </x:tableColumns>
  <x:tableStyleInfo name="TableStyleMedium2" showRowStripes="1"/>
</x:table>
</file>

<file path=xl/tables/table5.xml><?xml version="1.0" encoding="utf-8"?>
<x:table xmlns:x="http://schemas.openxmlformats.org/spreadsheetml/2006/main" id="5" name="BuildIntegrityTable" displayName="BuildIntegrityTable" ref="A4:U9" headerRowCount="1">
  <x:tableColumns count="21">
    <x:tableColumn id="1" name="Build ID"/>
    <x:tableColumn id="2" name="Gate"/>
    <x:tableColumn id="3" name="Version"/>
    <x:tableColumn id="4" name="Channel / Artifact"/>
    <x:tableColumn id="5" name="Commit SHA"/>
    <x:tableColumn id="6" name="Branch / Tag"/>
    <x:tableColumn id="7" name="Unity Version"/>
    <x:tableColumn id="8" name="Build Profile"/>
    <x:tableColumn id="9" name="Scenes / Content"/>
    <x:tableColumn id="10" name="Architecture"/>
    <x:tableColumn id="11" name="Build Date"/>
    <x:tableColumn id="12" name="Built By"/>
    <x:tableColumn id="13" name="Clean Checkout"/>
    <x:tableColumn id="14" name="Tests"/>
    <x:tableColumn id="15" name="Player.log Review"/>
    <x:tableColumn id="16" name="Manifest Status"/>
    <x:tableColumn id="17" name="SHA-256"/>
    <x:tableColumn id="18" name="Artifact Path"/>
    <x:tableColumn id="19" name="Status"/>
    <x:tableColumn id="20" name="Approver"/>
    <x:tableColumn id="21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TestExecutionTable" displayName="TestExecutionTable" ref="A4:R75" headerRowCount="1">
  <x:tableColumns count="18">
    <x:tableColumn id="1" name="Test ID"/>
    <x:tableColumn id="2" name="Level"/>
    <x:tableColumn id="3" name="Domain"/>
    <x:tableColumn id="4" name="Scenario"/>
    <x:tableColumn id="5" name="Preconditions"/>
    <x:tableColumn id="6" name="Procedure / Steps"/>
    <x:tableColumn id="7" name="Expected Result"/>
    <x:tableColumn id="8" name="Required Build"/>
    <x:tableColumn id="9" name="Locale"/>
    <x:tableColumn id="10" name="Resolution"/>
    <x:tableColumn id="11" name="Hardware / Environment"/>
    <x:tableColumn id="12" name="Status"/>
    <x:tableColumn id="13" name="Evidence ID"/>
    <x:tableColumn id="14" name="Defect ID"/>
    <x:tableColumn id="15" name="Executor"/>
    <x:tableColumn id="16" name="Execution Date"/>
    <x:tableColumn id="17" name="Repeatability"/>
    <x:tableColumn id="18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HistoricalTraceabilityTable" displayName="HistoricalTraceabilityTable" ref="A4:K329" headerRowCount="1">
  <x:tableColumns count="11">
    <x:tableColumn id="1" name="Source ID"/>
    <x:tableColumn id="2" name="Family"/>
    <x:tableColumn id="3" name="Baseline / Version"/>
    <x:tableColumn id="4" name="Relative Path"/>
    <x:tableColumn id="5" name="Type"/>
    <x:tableColumn id="6" name="Size (bytes)"/>
    <x:tableColumn id="7" name="Modified"/>
    <x:tableColumn id="8" name="SHA-256"/>
    <x:tableColumn id="9" name="Authority / Use"/>
    <x:tableColumn id="10" name="Superseded By / Current Relation"/>
    <x:tableColumn id="11" name="Retained Decision Rule"/>
  </x:tableColumns>
  <x:tableStyleInfo name="TableStyleMedium2" showRowStripes="1"/>
</x:table>
</file>

<file path=xl/tables/table8.xml><?xml version="1.0" encoding="utf-8"?>
<x:table xmlns:x="http://schemas.openxmlformats.org/spreadsheetml/2006/main" id="8" name="RiskDependencyTable" displayName="RiskDependencyTable" ref="A4:L24" headerRowCount="1">
  <x:tableColumns count="12">
    <x:tableColumn id="1" name="ID"/>
    <x:tableColumn id="2" name="Type"/>
    <x:tableColumn id="3" name="Risk / Dependency"/>
    <x:tableColumn id="4" name="Probability"/>
    <x:tableColumn id="5" name="Impact"/>
    <x:tableColumn id="6" name="Rating"/>
    <x:tableColumn id="7" name="Affected Gate"/>
    <x:tableColumn id="8" name="Owner"/>
    <x:tableColumn id="9" name="Mitigation / Response"/>
    <x:tableColumn id="10" name="Trigger / Exit Condition"/>
    <x:tableColumn id="11" name="Status"/>
    <x:tableColumn id="12" name="Related Source / Finding"/>
  </x:tableColumns>
  <x:tableStyleInfo name="TableStyleMedium2" showRowStripes="1"/>
</x:table>
</file>

<file path=xl/tables/table9.xml><?xml version="1.0" encoding="utf-8"?>
<x:table xmlns:x="http://schemas.openxmlformats.org/spreadsheetml/2006/main" id="9" name="GateSignoffTable" displayName="GateSignoffTable" ref="A4:P14" headerRowCount="1">
  <x:tableColumns count="16">
    <x:tableColumn id="1" name="Gate ID"/>
    <x:tableColumn id="2" name="Gate"/>
    <x:tableColumn id="3" name="Purpose"/>
    <x:tableColumn id="4" name="Mandatory Entry Conditions"/>
    <x:tableColumn id="5" name="Mandatory Exit Conditions"/>
    <x:tableColumn id="6" name="Required Build / Artifact"/>
    <x:tableColumn id="7" name="Zero S0/S1"/>
    <x:tableColumn id="8" name="Required Evidence"/>
    <x:tableColumn id="9" name="Calculated Readiness"/>
    <x:tableColumn id="10" name="Formal Decision"/>
    <x:tableColumn id="11" name="Decision Date"/>
    <x:tableColumn id="12" name="Decision Owner"/>
    <x:tableColumn id="13" name="Required Approvers"/>
    <x:tableColumn id="14" name="Accepted Debt / Exceptions"/>
    <x:tableColumn id="15" name="Re-entry Condition"/>
    <x:tableColumn id="1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ac4d307a64d48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b6b47a1097c43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f84519802d5426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630d056fff04442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faa85853ab14e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88b1cb157624d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8cc3809d8b8d4f8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a05f66d7a99464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9aafc8ed6ba846a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28bc398593f43fe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22" hidden="0" customWidth="1"/>
    <x:col min="4" max="4" width="26" hidden="0" customWidth="1"/>
    <x:col min="5" max="5" width="16" hidden="0" customWidth="1"/>
    <x:col min="6" max="6" width="16" hidden="0" customWidth="1"/>
    <x:col min="7" max="7" width="34" hidden="0" customWidth="1"/>
    <x:col min="8" max="8" width="20" hidden="0" customWidth="1"/>
  </x:cols>
  <x:sheetData>
    <x:row r="1" ht="38" customHeight="1">
      <x:c r="A1" s="5" t="str">
        <x:v>Cartridge &amp; Cloud — H6 / Release Readiness Dashboard</x:v>
      </x:c>
      <x:c r="B1" s="5"/>
      <x:c r="C1" s="5"/>
      <x:c r="D1" s="5"/>
      <x:c r="E1" s="5"/>
      <x:c r="F1" s="5"/>
      <x:c r="G1" s="5"/>
      <x:c r="H1" s="5"/>
    </x:row>
    <x:row r="2" ht="38" customHeight="1">
      <x:c r="A2" s="14" t="str">
        <x:v>Estado calculado desde los checklists. Al abrir el archivo por primera vez, todo permanece pendiente hasta completar evidencia y resultados reales.</x:v>
      </x:c>
      <x:c r="B2" s="14"/>
      <x:c r="C2" s="14"/>
      <x:c r="D2" s="14"/>
      <x:c r="E2" s="14"/>
      <x:c r="F2" s="14"/>
      <x:c r="G2" s="14"/>
      <x:c r="H2" s="14"/>
    </x:row>
    <x:row r="4">
      <x:c r="A4" s="37" t="str">
        <x:v>Workbook</x:v>
      </x:c>
      <x:c r="B4" s="32" t="str">
        <x:v>31_H6_and_Release_Readiness_Checklist.xlsx</x:v>
      </x:c>
      <x:c r="D4" s="37" t="str">
        <x:v>Gate KPIs</x:v>
      </x:c>
      <x:c r="E4" s="37"/>
      <x:c r="F4" s="37"/>
      <x:c r="G4" s="37"/>
      <x:c r="H4" s="37"/>
    </x:row>
    <x:row r="5">
      <x:c r="A5" s="37" t="str">
        <x:v>Project</x:v>
      </x:c>
      <x:c r="B5" s="32" t="str">
        <x:v>Cartridge &amp; Cloud</x:v>
      </x:c>
      <x:c r="D5" s="24" t="str">
        <x:v>Metric</x:v>
      </x:c>
      <x:c r="E5" s="24" t="str">
        <x:v>H6</x:v>
      </x:c>
      <x:c r="F5" s="24" t="str">
        <x:v>Release</x:v>
      </x:c>
      <x:c r="G5" s="24" t="str">
        <x:v>Interpretation</x:v>
      </x:c>
      <x:c r="H5" s="24" t="str">
        <x:v>Gate Effect</x:v>
      </x:c>
    </x:row>
    <x:row r="6">
      <x:c r="A6" s="37" t="str">
        <x:v>Studio / Author</x:v>
      </x:c>
      <x:c r="B6" s="32" t="str">
        <x:v>VRM Games / Blas Luis Rocha González</x:v>
      </x:c>
      <x:c r="D6" s="32" t="str">
        <x:v>Total Controls</x:v>
      </x:c>
      <x:c r="E6" s="84" t="n">
        <x:f>COUNTA('02_H6_Checklist'!$A$5:$A$284)</x:f>
        <x:v>280</x:v>
      </x:c>
      <x:c r="F6" s="84" t="n">
        <x:f>COUNTA('03_Release_Checklist'!$A$5:$A$227)</x:f>
        <x:v>223</x:v>
      </x:c>
      <x:c r="G6" s="32" t="str">
        <x:v>Checklist population</x:v>
      </x:c>
      <x:c r="H6" s="32" t="str"/>
    </x:row>
    <x:row r="7">
      <x:c r="A7" s="37" t="str">
        <x:v>Platform</x:v>
      </x:c>
      <x:c r="B7" s="32" t="str">
        <x:v>PC / Steam</x:v>
      </x:c>
      <x:c r="D7" s="32" t="str">
        <x:v>Completed / Accepted</x:v>
      </x:c>
      <x:c r="E7" s="84" t="n">
        <x:f>COUNTIF('02_H6_Checklist'!$O$5:$O$284,"PASS")+COUNTIF('02_H6_Checklist'!$O$5:$O$284,"EXCEPTION APPROVED")+COUNTIF('02_H6_Checklist'!$O$5:$O$284,"NOT APPLICABLE")</x:f>
        <x:v>0</x:v>
      </x:c>
      <x:c r="F7" s="84" t="n">
        <x:f>COUNTIF('03_Release_Checklist'!$O$5:$O$227,"PASS")+COUNTIF('03_Release_Checklist'!$O$5:$O$227,"EXCEPTION APPROVED")+COUNTIF('03_Release_Checklist'!$O$5:$O$227,"NOT APPLICABLE")</x:f>
        <x:v>0</x:v>
      </x:c>
      <x:c r="G7" s="32" t="str">
        <x:v>PASS + approved exception + N/A</x:v>
      </x:c>
      <x:c r="H7" s="32" t="str"/>
    </x:row>
    <x:row r="8">
      <x:c r="A8" s="37" t="str">
        <x:v>Engine</x:v>
      </x:c>
      <x:c r="B8" s="32" t="str">
        <x:v>Sprint16 PASS; W0 documental cerrado; Sprint17_Phase1, H6 y Release sin ejecutar</x:v>
      </x:c>
      <x:c r="D8" s="32" t="str">
        <x:v>Completion %</x:v>
      </x:c>
      <x:c r="E8" s="92" t="n">
        <x:f>IFERROR(SUM('02_H6_Checklist'!$W$5:$W$284)/SUM('02_H6_Checklist'!$V$5:$V$284),0)</x:f>
        <x:v>0</x:v>
      </x:c>
      <x:c r="F8" s="92" t="n">
        <x:f>IFERROR(SUM('03_Release_Checklist'!$W$5:$W$227)/SUM('03_Release_Checklist'!$V$5:$V$227),0)</x:f>
        <x:v>0</x:v>
      </x:c>
      <x:c r="G8" s="32" t="str">
        <x:v>Weighted completion</x:v>
      </x:c>
      <x:c r="H8" s="32" t="str"/>
    </x:row>
    <x:row r="9">
      <x:c r="A9" s="37" t="str">
        <x:v>Generated</x:v>
      </x:c>
      <x:c r="B9" s="32" t="str">
        <x:v>2026-07-06</x:v>
      </x:c>
      <x:c r="D9" s="32" t="str">
        <x:v>Open Blocking Controls</x:v>
      </x:c>
      <x:c r="E9" s="84" t="n">
        <x:f>SUM('02_H6_Checklist'!$X$5:$X$284)</x:f>
        <x:v>280</x:v>
      </x:c>
      <x:c r="F9" s="84" t="n">
        <x:f>SUM('03_Release_Checklist'!$X$5:$X$227)</x:f>
        <x:v>223</x:v>
      </x:c>
      <x:c r="G9" s="32" t="str">
        <x:v>Blocking rows not closed</x:v>
      </x:c>
      <x:c r="H9" s="32" t="str"/>
    </x:row>
    <x:row r="10">
      <x:c r="A10" s="37" t="str">
        <x:v>Status</x:v>
      </x:c>
      <x:c r="B10" s="32" t="str">
        <x:v>Sprint 16 PASS registrado; H6 y Release permanecen sin ejecutar</x:v>
      </x:c>
      <x:c r="D10" s="32" t="str">
        <x:v>PASS</x:v>
      </x:c>
      <x:c r="E10" s="84" t="n">
        <x:f>COUNTIF('02_H6_Checklist'!$O$5:$O$284,"PASS")</x:f>
        <x:v>0</x:v>
      </x:c>
      <x:c r="F10" s="84" t="n">
        <x:f>COUNTIF('03_Release_Checklist'!$O$5:$O$227,"PASS")</x:f>
        <x:v>0</x:v>
      </x:c>
      <x:c r="G10" s="32" t="str">
        <x:v>Verified completion</x:v>
      </x:c>
      <x:c r="H10" s="32" t="str"/>
    </x:row>
    <x:row r="11">
      <x:c r="D11" s="32" t="str">
        <x:v>FAIL</x:v>
      </x:c>
      <x:c r="E11" s="84" t="n">
        <x:f>COUNTIF('02_H6_Checklist'!$O$5:$O$284,"FAIL")</x:f>
        <x:v>0</x:v>
      </x:c>
      <x:c r="F11" s="84" t="n">
        <x:f>COUNTIF('03_Release_Checklist'!$O$5:$O$227,"FAIL")</x:f>
        <x:v>0</x:v>
      </x:c>
      <x:c r="G11" s="32" t="str">
        <x:v>Explicit non-compliance</x:v>
      </x:c>
      <x:c r="H11" s="32" t="str"/>
    </x:row>
    <x:row r="12">
      <x:c r="D12" s="32" t="str">
        <x:v>BLOCKED</x:v>
      </x:c>
      <x:c r="E12" s="84" t="n">
        <x:f>COUNTIF('02_H6_Checklist'!$O$5:$O$284,"BLOCKED")</x:f>
        <x:v>0</x:v>
      </x:c>
      <x:c r="F12" s="84" t="n">
        <x:f>COUNTIF('03_Release_Checklist'!$O$5:$O$227,"BLOCKED")</x:f>
        <x:v>0</x:v>
      </x:c>
      <x:c r="G12" s="32" t="str">
        <x:v>Dependency prevents execution</x:v>
      </x:c>
      <x:c r="H12" s="32" t="str"/>
    </x:row>
    <x:row r="13">
      <x:c r="D13" s="32" t="str">
        <x:v>NOT RUN</x:v>
      </x:c>
      <x:c r="E13" s="84" t="n">
        <x:f>COUNTIF('02_H6_Checklist'!$O$5:$O$284,"NOT RUN")</x:f>
        <x:v>280</x:v>
      </x:c>
      <x:c r="F13" s="84" t="n">
        <x:f>COUNTIF('03_Release_Checklist'!$O$5:$O$227,"NOT RUN")</x:f>
        <x:v>223</x:v>
      </x:c>
      <x:c r="G13" s="32" t="str">
        <x:v>No execution evidence</x:v>
      </x:c>
      <x:c r="H13" s="32" t="str"/>
    </x:row>
    <x:row r="14">
      <x:c r="D14" s="32" t="str">
        <x:v>Evidence Verified %</x:v>
      </x:c>
      <x:c r="E14" s="92" t="n">
        <x:f>IFERROR(COUNTIF('05_Evidencias'!$F$5:$F$52,"VERIFIED")/COUNTA('05_Evidencias'!$A$5:$A$52),0)</x:f>
        <x:v>0</x:v>
      </x:c>
      <x:c r="F14" s="92" t="n">
        <x:f>E14</x:f>
        <x:v>0</x:v>
      </x:c>
      <x:c r="G14" s="32" t="str">
        <x:v>VERIFIED packages / required packages</x:v>
      </x:c>
      <x:c r="H14" s="32" t="str"/>
    </x:row>
    <x:row r="15">
      <x:c r="D15" s="32" t="str">
        <x:v>Open Audit/Defect Records</x:v>
      </x:c>
      <x:c r="E15" s="84" t="n">
        <x:f>COUNTIF('06_Defectos_Excepciones'!$J$5:$J$34,"OPEN")</x:f>
        <x:v>27</x:v>
      </x:c>
      <x:c r="F15" s="84" t="n">
        <x:f>E15</x:f>
        <x:v>27</x:v>
      </x:c>
      <x:c r="G15" s="32" t="str">
        <x:v>OPEN records in 06</x:v>
      </x:c>
      <x:c r="H15" s="32" t="str"/>
    </x:row>
    <x:row r="17">
      <x:c r="A17" s="37" t="str">
        <x:v>Calculated Gate Status</x:v>
      </x:c>
      <x:c r="B17" s="37"/>
      <x:c r="C17" s="37"/>
      <x:c r="D17" s="37"/>
      <x:c r="E17" s="37"/>
      <x:c r="F17" s="37"/>
      <x:c r="G17" s="37"/>
      <x:c r="H17" s="37"/>
    </x:row>
    <x:row r="18">
      <x:c r="A18" s="24" t="str">
        <x:v>Gate</x:v>
      </x:c>
      <x:c r="B18" s="24" t="str">
        <x:v>Calculated Status</x:v>
      </x:c>
      <x:c r="C18" s="24" t="str">
        <x:v>Formal Decision</x:v>
      </x:c>
      <x:c r="D18" s="24" t="str">
        <x:v>Rule</x:v>
      </x:c>
    </x:row>
    <x:row r="19">
      <x:c r="A19" s="32" t="str">
        <x:v>H6</x:v>
      </x:c>
      <x:c r="B19" s="32" t="str">
        <x:f>IF(SUM('02_H6_Checklist'!$X$5:$X$270)&gt;0,"BLOCKED",IF(COUNTIF('02_H6_Checklist'!$O$5:$O$270,"NOT RUN")+COUNTIF('02_H6_Checklist'!$O$5:$O$270,"IN PROGRESS")&gt;0,"PENDING","READY FOR DECISION"))</x:f>
        <x:v>BLOCKED</x:v>
      </x:c>
      <x:c r="C19" s="32" t="str">
        <x:v>PENDING</x:v>
      </x:c>
      <x:c r="D19" s="32" t="str">
        <x:v>No open blocker; all required executions complete; evidence verified; human signoff.</x:v>
      </x:c>
    </x:row>
    <x:row r="20">
      <x:c r="A20" s="32" t="str">
        <x:v>Release Candidate</x:v>
      </x:c>
      <x:c r="B20" s="32" t="str">
        <x:f>IF(SUM('03_Release_Checklist'!$X$5:$X$213)&gt;0,"BLOCKED",IF(COUNTIF('03_Release_Checklist'!$O$5:$O$213,"NOT RUN")+COUNTIF('03_Release_Checklist'!$O$5:$O$213,"IN PROGRESS")&gt;0,"PENDING","READY FOR DECISION"))</x:f>
        <x:v>BLOCKED</x:v>
      </x:c>
      <x:c r="C20" s="32" t="str">
        <x:v>PENDING</x:v>
      </x:c>
      <x:c r="D20" s="32" t="str">
        <x:v>H6 PASS plus release checklist, RC integrity, QA, legal, Steam and live operations.</x:v>
      </x:c>
    </x:row>
    <x:row r="21">
      <x:c r="A21" s="32" t="str">
        <x:v>Final Documentation Baseline</x:v>
      </x:c>
      <x:c r="B21" s="32" t="str">
        <x:f>"PENDING — 33/34 directed updates, 32 candidate and 16 candidate/final still required"</x:f>
        <x:v>PENDING — 33/34 directed updates, 32 candidate and 16 candidate/final still required</x:v>
      </x:c>
      <x:c r="C21" s="32" t="str">
        <x:v>PENDING</x:v>
      </x:c>
      <x:c r="D21" s="32" t="str">
        <x:v>00–34 exist; candidate/final audit, manifest, hashes, immutable package, restore and Git identity remain pending.</x:v>
      </x:c>
    </x:row>
    <x:row r="24">
      <x:c r="A24" s="24" t="str">
        <x:v>Status</x:v>
      </x:c>
      <x:c r="B24" s="24" t="str">
        <x:v>H6 Count</x:v>
      </x:c>
      <x:c r="C24" s="24" t="str">
        <x:v>Release Count</x:v>
      </x:c>
      <x:c r="D24" s="24" t="str">
        <x:v>H6 %</x:v>
      </x:c>
      <x:c r="E24" s="24" t="str">
        <x:v>Release %</x:v>
      </x:c>
      <x:c r="F24" s="24" t="str">
        <x:v>Meaning</x:v>
      </x:c>
    </x:row>
    <x:row r="25">
      <x:c r="A25" s="32" t="str">
        <x:v>PASS</x:v>
      </x:c>
      <x:c r="B25" s="32" t="n">
        <x:f>COUNTIF('02_H6_Checklist'!$O$5:$O$284,A25)</x:f>
        <x:v>0</x:v>
      </x:c>
      <x:c r="C25" s="32" t="n">
        <x:f>COUNTIF('03_Release_Checklist'!$O$5:$O$227,A25)</x:f>
        <x:v>0</x:v>
      </x:c>
      <x:c r="D25" s="90" t="n">
        <x:f>IFERROR(B25/$E$6,0)</x:f>
        <x:v>0</x:v>
      </x:c>
      <x:c r="E25" s="90" t="n">
        <x:f>IFERROR(C25/$F$6,0)</x:f>
        <x:v>0</x:v>
      </x:c>
      <x:c r="F25" s="32" t="str">
        <x:v>Evidence-backed completion</x:v>
      </x:c>
    </x:row>
    <x:row r="26">
      <x:c r="A26" s="32" t="str">
        <x:v>FAIL</x:v>
      </x:c>
      <x:c r="B26" s="32" t="n">
        <x:f>COUNTIF('02_H6_Checklist'!$O$5:$O$284,A26)</x:f>
        <x:v>0</x:v>
      </x:c>
      <x:c r="C26" s="32" t="n">
        <x:f>COUNTIF('03_Release_Checklist'!$O$5:$O$227,A26)</x:f>
        <x:v>0</x:v>
      </x:c>
      <x:c r="D26" s="90" t="n">
        <x:f>IFERROR(B26/$E$6,0)</x:f>
        <x:v>0</x:v>
      </x:c>
      <x:c r="E26" s="90" t="n">
        <x:f>IFERROR(C26/$F$6,0)</x:f>
        <x:v>0</x:v>
      </x:c>
      <x:c r="F26" s="32" t="str">
        <x:v>Criterion failed</x:v>
      </x:c>
    </x:row>
    <x:row r="27">
      <x:c r="A27" s="32" t="str">
        <x:v>BLOCKED</x:v>
      </x:c>
      <x:c r="B27" s="32" t="n">
        <x:f>COUNTIF('02_H6_Checklist'!$O$5:$O$284,A27)</x:f>
        <x:v>0</x:v>
      </x:c>
      <x:c r="C27" s="32" t="n">
        <x:f>COUNTIF('03_Release_Checklist'!$O$5:$O$227,A27)</x:f>
        <x:v>0</x:v>
      </x:c>
      <x:c r="D27" s="90" t="n">
        <x:f>IFERROR(B27/$E$6,0)</x:f>
        <x:v>0</x:v>
      </x:c>
      <x:c r="E27" s="90" t="n">
        <x:f>IFERROR(C27/$F$6,0)</x:f>
        <x:v>0</x:v>
      </x:c>
      <x:c r="F27" s="32" t="str">
        <x:v>Cannot execute</x:v>
      </x:c>
    </x:row>
    <x:row r="28">
      <x:c r="A28" s="32" t="str">
        <x:v>NOT RUN</x:v>
      </x:c>
      <x:c r="B28" s="32" t="n">
        <x:f>COUNTIF('02_H6_Checklist'!$O$5:$O$284,A28)</x:f>
        <x:v>280</x:v>
      </x:c>
      <x:c r="C28" s="32" t="n">
        <x:f>COUNTIF('03_Release_Checklist'!$O$5:$O$227,A28)</x:f>
        <x:v>223</x:v>
      </x:c>
      <x:c r="D28" s="90" t="n">
        <x:f>IFERROR(B28/$E$6,0)</x:f>
        <x:v>1</x:v>
      </x:c>
      <x:c r="E28" s="90" t="n">
        <x:f>IFERROR(C28/$F$6,0)</x:f>
        <x:v>1</x:v>
      </x:c>
      <x:c r="F28" s="32" t="str">
        <x:v>No execution</x:v>
      </x:c>
    </x:row>
    <x:row r="29">
      <x:c r="A29" s="32" t="str">
        <x:v>IN PROGRESS</x:v>
      </x:c>
      <x:c r="B29" s="32" t="n">
        <x:f>COUNTIF('02_H6_Checklist'!$O$5:$O$284,A29)</x:f>
        <x:v>0</x:v>
      </x:c>
      <x:c r="C29" s="32" t="n">
        <x:f>COUNTIF('03_Release_Checklist'!$O$5:$O$227,A29)</x:f>
        <x:v>0</x:v>
      </x:c>
      <x:c r="D29" s="90" t="n">
        <x:f>IFERROR(B29/$E$6,0)</x:f>
        <x:v>0</x:v>
      </x:c>
      <x:c r="E29" s="90" t="n">
        <x:f>IFERROR(C29/$F$6,0)</x:f>
        <x:v>0</x:v>
      </x:c>
      <x:c r="F29" s="32" t="str">
        <x:v>Active work</x:v>
      </x:c>
    </x:row>
    <x:row r="30">
      <x:c r="A30" s="32" t="str">
        <x:v>EXCEPTION APPROVED</x:v>
      </x:c>
      <x:c r="B30" s="32" t="n">
        <x:f>COUNTIF('02_H6_Checklist'!$O$5:$O$284,A30)</x:f>
        <x:v>0</x:v>
      </x:c>
      <x:c r="C30" s="32" t="n">
        <x:f>COUNTIF('03_Release_Checklist'!$O$5:$O$227,A30)</x:f>
        <x:v>0</x:v>
      </x:c>
      <x:c r="D30" s="90" t="n">
        <x:f>IFERROR(B30/$E$6,0)</x:f>
        <x:v>0</x:v>
      </x:c>
      <x:c r="E30" s="90" t="n">
        <x:f>IFERROR(C30/$F$6,0)</x:f>
        <x:v>0</x:v>
      </x:c>
      <x:c r="F30" s="32" t="str">
        <x:v>Approved non-blocking deviation</x:v>
      </x:c>
    </x:row>
    <x:row r="31">
      <x:c r="A31" s="32" t="str">
        <x:v>NOT APPLICABLE</x:v>
      </x:c>
      <x:c r="B31" s="32" t="n">
        <x:f>COUNTIF('02_H6_Checklist'!$O$5:$O$284,A31)</x:f>
        <x:v>0</x:v>
      </x:c>
      <x:c r="C31" s="32" t="n">
        <x:f>COUNTIF('03_Release_Checklist'!$O$5:$O$227,A31)</x:f>
        <x:v>0</x:v>
      </x:c>
      <x:c r="D31" s="90" t="n">
        <x:f>IFERROR(B31/$E$6,0)</x:f>
        <x:v>0</x:v>
      </x:c>
      <x:c r="E31" s="90" t="n">
        <x:f>IFERROR(C31/$F$6,0)</x:f>
        <x:v>0</x:v>
      </x:c>
      <x:c r="F31" s="32" t="str">
        <x:v>Justified exclusion</x:v>
      </x:c>
    </x:row>
    <x:row r="34">
      <x:c r="A34" s="24" t="str">
        <x:v>H6 Domain</x:v>
      </x:c>
      <x:c r="B34" s="24" t="str">
        <x:v>Total</x:v>
      </x:c>
      <x:c r="C34" s="24" t="str">
        <x:v>Completed</x:v>
      </x:c>
      <x:c r="D34" s="24" t="str">
        <x:v>Open Blockers</x:v>
      </x:c>
      <x:c r="E34" s="24" t="str">
        <x:v>Completion %</x:v>
      </x:c>
      <x:c r="F34" s="24" t="str">
        <x:v>Owner Review</x:v>
      </x:c>
    </x:row>
    <x:row r="35">
      <x:c r="A35" s="32" t="str">
        <x:v>Aplicación</x:v>
      </x:c>
      <x:c r="B35" s="32" t="n">
        <x:f>COUNTIF('02_H6_Checklist'!$B$5:$B$284,A35)</x:f>
        <x:v>4</x:v>
      </x:c>
      <x:c r="C35" s="32" t="n">
        <x:f>COUNTIFS('02_H6_Checklist'!$B$5:$B$284,A35,'02_H6_Checklist'!$O$5:$O$284,"PASS")+COUNTIFS('02_H6_Checklist'!$B$5:$B$284,A35,'02_H6_Checklist'!$O$5:$O$284,"EXCEPTION APPROVED")+COUNTIFS('02_H6_Checklist'!$B$5:$B$284,A35,'02_H6_Checklist'!$O$5:$O$284,"NOT APPLICABLE")</x:f>
        <x:v>0</x:v>
      </x:c>
      <x:c r="D35" s="32" t="n">
        <x:f>SUMIFS('02_H6_Checklist'!$X$5:$X$284,'02_H6_Checklist'!$B$5:$B$284,A35)</x:f>
        <x:v>4</x:v>
      </x:c>
      <x:c r="E35" s="90" t="n">
        <x:f>IFERROR(C35/B35,0)</x:f>
        <x:v>0</x:v>
      </x:c>
      <x:c r="F35" s="32" t="str">
        <x:v>PENDING</x:v>
      </x:c>
    </x:row>
    <x:row r="36">
      <x:c r="A36" s="32" t="str">
        <x:v>Arte y presentación</x:v>
      </x:c>
      <x:c r="B36" s="32" t="n">
        <x:f>COUNTIF('02_H6_Checklist'!$B$5:$B$284,A36)</x:f>
        <x:v>12</x:v>
      </x:c>
      <x:c r="C36" s="32" t="n">
        <x:f>COUNTIFS('02_H6_Checklist'!$B$5:$B$284,A36,'02_H6_Checklist'!$O$5:$O$284,"PASS")+COUNTIFS('02_H6_Checklist'!$B$5:$B$284,A36,'02_H6_Checklist'!$O$5:$O$284,"EXCEPTION APPROVED")+COUNTIFS('02_H6_Checklist'!$B$5:$B$284,A36,'02_H6_Checklist'!$O$5:$O$284,"NOT APPLICABLE")</x:f>
        <x:v>0</x:v>
      </x:c>
      <x:c r="D36" s="32" t="n">
        <x:f>SUMIFS('02_H6_Checklist'!$X$5:$X$284,'02_H6_Checklist'!$B$5:$B$284,A36)</x:f>
        <x:v>12</x:v>
      </x:c>
      <x:c r="E36" s="90" t="n">
        <x:f>IFERROR(C36/B36,0)</x:f>
        <x:v>0</x:v>
      </x:c>
      <x:c r="F36" s="32" t="str">
        <x:v>PENDING</x:v>
      </x:c>
    </x:row>
    <x:row r="37">
      <x:c r="A37" s="32" t="str">
        <x:v>Audio</x:v>
      </x:c>
      <x:c r="B37" s="32" t="n">
        <x:f>COUNTIF('02_H6_Checklist'!$B$5:$B$284,A37)</x:f>
        <x:v>11</x:v>
      </x:c>
      <x:c r="C37" s="32" t="n">
        <x:f>COUNTIFS('02_H6_Checklist'!$B$5:$B$284,A37,'02_H6_Checklist'!$O$5:$O$284,"PASS")+COUNTIFS('02_H6_Checklist'!$B$5:$B$284,A37,'02_H6_Checklist'!$O$5:$O$284,"EXCEPTION APPROVED")+COUNTIFS('02_H6_Checklist'!$B$5:$B$284,A37,'02_H6_Checklist'!$O$5:$O$284,"NOT APPLICABLE")</x:f>
        <x:v>0</x:v>
      </x:c>
      <x:c r="D37" s="32" t="n">
        <x:f>SUMIFS('02_H6_Checklist'!$X$5:$X$284,'02_H6_Checklist'!$B$5:$B$284,A37)</x:f>
        <x:v>11</x:v>
      </x:c>
      <x:c r="E37" s="90" t="n">
        <x:f>IFERROR(C37/B37,0)</x:f>
        <x:v>0</x:v>
      </x:c>
      <x:c r="F37" s="32" t="str">
        <x:v>PENDING</x:v>
      </x:c>
    </x:row>
    <x:row r="38">
      <x:c r="A38" s="32" t="str">
        <x:v>Build</x:v>
      </x:c>
      <x:c r="B38" s="32" t="n">
        <x:f>COUNTIF('02_H6_Checklist'!$B$5:$B$284,A38)</x:f>
        <x:v>3</x:v>
      </x:c>
      <x:c r="C38" s="32" t="n">
        <x:f>COUNTIFS('02_H6_Checklist'!$B$5:$B$284,A38,'02_H6_Checklist'!$O$5:$O$284,"PASS")+COUNTIFS('02_H6_Checklist'!$B$5:$B$284,A38,'02_H6_Checklist'!$O$5:$O$284,"EXCEPTION APPROVED")+COUNTIFS('02_H6_Checklist'!$B$5:$B$284,A38,'02_H6_Checklist'!$O$5:$O$284,"NOT APPLICABLE")</x:f>
        <x:v>0</x:v>
      </x:c>
      <x:c r="D38" s="32" t="n">
        <x:f>SUMIFS('02_H6_Checklist'!$X$5:$X$284,'02_H6_Checklist'!$B$5:$B$284,A38)</x:f>
        <x:v>3</x:v>
      </x:c>
      <x:c r="E38" s="90" t="n">
        <x:f>IFERROR(C38/B38,0)</x:f>
        <x:v>0</x:v>
      </x:c>
      <x:c r="F38" s="32" t="str">
        <x:v>PENDING</x:v>
      </x:c>
    </x:row>
    <x:row r="39">
      <x:c r="A39" s="32" t="str">
        <x:v>Build, versión e integridad</x:v>
      </x:c>
      <x:c r="B39" s="32" t="n">
        <x:f>COUNTIF('02_H6_Checklist'!$B$5:$B$284,A39)</x:f>
        <x:v>16</x:v>
      </x:c>
      <x:c r="C39" s="32" t="n">
        <x:f>COUNTIFS('02_H6_Checklist'!$B$5:$B$284,A39,'02_H6_Checklist'!$O$5:$O$284,"PASS")+COUNTIFS('02_H6_Checklist'!$B$5:$B$284,A39,'02_H6_Checklist'!$O$5:$O$284,"EXCEPTION APPROVED")+COUNTIFS('02_H6_Checklist'!$B$5:$B$284,A39,'02_H6_Checklist'!$O$5:$O$284,"NOT APPLICABLE")</x:f>
        <x:v>0</x:v>
      </x:c>
      <x:c r="D39" s="32" t="n">
        <x:f>SUMIFS('02_H6_Checklist'!$X$5:$X$284,'02_H6_Checklist'!$B$5:$B$284,A39)</x:f>
        <x:v>16</x:v>
      </x:c>
      <x:c r="E39" s="90" t="n">
        <x:f>IFERROR(C39/B39,0)</x:f>
        <x:v>0</x:v>
      </x:c>
      <x:c r="F39" s="32" t="str">
        <x:v>PENDING</x:v>
      </x:c>
    </x:row>
    <x:row r="40">
      <x:c r="A40" s="32" t="str">
        <x:v>Checkout</x:v>
      </x:c>
      <x:c r="B40" s="32" t="n">
        <x:f>COUNTIF('02_H6_Checklist'!$B$5:$B$284,A40)</x:f>
        <x:v>4</x:v>
      </x:c>
      <x:c r="C40" s="32" t="n">
        <x:f>COUNTIFS('02_H6_Checklist'!$B$5:$B$284,A40,'02_H6_Checklist'!$O$5:$O$284,"PASS")+COUNTIFS('02_H6_Checklist'!$B$5:$B$284,A40,'02_H6_Checklist'!$O$5:$O$284,"EXCEPTION APPROVED")+COUNTIFS('02_H6_Checklist'!$B$5:$B$284,A40,'02_H6_Checklist'!$O$5:$O$284,"NOT APPLICABLE")</x:f>
        <x:v>0</x:v>
      </x:c>
      <x:c r="D40" s="32" t="n">
        <x:f>SUMIFS('02_H6_Checklist'!$X$5:$X$284,'02_H6_Checklist'!$B$5:$B$284,A40)</x:f>
        <x:v>4</x:v>
      </x:c>
      <x:c r="E40" s="90" t="n">
        <x:f>IFERROR(C40/B40,0)</x:f>
        <x:v>0</x:v>
      </x:c>
      <x:c r="F40" s="32" t="str">
        <x:v>PENDING</x:v>
      </x:c>
    </x:row>
    <x:row r="41">
      <x:c r="A41" s="32" t="str">
        <x:v>Clientes</x:v>
      </x:c>
      <x:c r="B41" s="32" t="n">
        <x:f>COUNTIF('02_H6_Checklist'!$B$5:$B$284,A41)</x:f>
        <x:v>4</x:v>
      </x:c>
      <x:c r="C41" s="32" t="n">
        <x:f>COUNTIFS('02_H6_Checklist'!$B$5:$B$284,A41,'02_H6_Checklist'!$O$5:$O$284,"PASS")+COUNTIFS('02_H6_Checklist'!$B$5:$B$284,A41,'02_H6_Checklist'!$O$5:$O$284,"EXCEPTION APPROVED")+COUNTIFS('02_H6_Checklist'!$B$5:$B$284,A41,'02_H6_Checklist'!$O$5:$O$284,"NOT APPLICABLE")</x:f>
        <x:v>0</x:v>
      </x:c>
      <x:c r="D41" s="32" t="n">
        <x:f>SUMIFS('02_H6_Checklist'!$X$5:$X$284,'02_H6_Checklist'!$B$5:$B$284,A41)</x:f>
        <x:v>4</x:v>
      </x:c>
      <x:c r="E41" s="90" t="n">
        <x:f>IFERROR(C41/B41,0)</x:f>
        <x:v>0</x:v>
      </x:c>
      <x:c r="F41" s="32" t="str">
        <x:v>PENDING</x:v>
      </x:c>
    </x:row>
    <x:row r="42">
      <x:c r="A42" s="32" t="str">
        <x:v>Cola</x:v>
      </x:c>
      <x:c r="B42" s="32" t="n">
        <x:f>COUNTIF('02_H6_Checklist'!$B$5:$B$284,A42)</x:f>
        <x:v>3</x:v>
      </x:c>
      <x:c r="C42" s="32" t="n">
        <x:f>COUNTIFS('02_H6_Checklist'!$B$5:$B$284,A42,'02_H6_Checklist'!$O$5:$O$284,"PASS")+COUNTIFS('02_H6_Checklist'!$B$5:$B$284,A42,'02_H6_Checklist'!$O$5:$O$284,"EXCEPTION APPROVED")+COUNTIFS('02_H6_Checklist'!$B$5:$B$284,A42,'02_H6_Checklist'!$O$5:$O$284,"NOT APPLICABLE")</x:f>
        <x:v>0</x:v>
      </x:c>
      <x:c r="D42" s="32" t="n">
        <x:f>SUMIFS('02_H6_Checklist'!$X$5:$X$284,'02_H6_Checklist'!$B$5:$B$284,A42)</x:f>
        <x:v>3</x:v>
      </x:c>
      <x:c r="E42" s="90" t="n">
        <x:f>IFERROR(C42/B42,0)</x:f>
        <x:v>0</x:v>
      </x:c>
      <x:c r="F42" s="32" t="str">
        <x:v>PENDING</x:v>
      </x:c>
    </x:row>
    <x:row r="43">
      <x:c r="A43" s="32" t="str">
        <x:v>Construcción</x:v>
      </x:c>
      <x:c r="B43" s="32" t="n">
        <x:f>COUNTIF('02_H6_Checklist'!$B$5:$B$284,A43)</x:f>
        <x:v>6</x:v>
      </x:c>
      <x:c r="C43" s="32" t="n">
        <x:f>COUNTIFS('02_H6_Checklist'!$B$5:$B$284,A43,'02_H6_Checklist'!$O$5:$O$284,"PASS")+COUNTIFS('02_H6_Checklist'!$B$5:$B$284,A43,'02_H6_Checklist'!$O$5:$O$284,"EXCEPTION APPROVED")+COUNTIFS('02_H6_Checklist'!$B$5:$B$284,A43,'02_H6_Checklist'!$O$5:$O$284,"NOT APPLICABLE")</x:f>
        <x:v>0</x:v>
      </x:c>
      <x:c r="D43" s="32" t="n">
        <x:f>SUMIFS('02_H6_Checklist'!$X$5:$X$284,'02_H6_Checklist'!$B$5:$B$284,A43)</x:f>
        <x:v>6</x:v>
      </x:c>
      <x:c r="E43" s="90" t="n">
        <x:f>IFERROR(C43/B43,0)</x:f>
        <x:v>0</x:v>
      </x:c>
      <x:c r="F43" s="32" t="str">
        <x:v>PENDING</x:v>
      </x:c>
    </x:row>
    <x:row r="44">
      <x:c r="A44" s="32" t="str">
        <x:v>Cámara</x:v>
      </x:c>
      <x:c r="B44" s="32" t="n">
        <x:f>COUNTIF('02_H6_Checklist'!$B$5:$B$284,A44)</x:f>
        <x:v>2</x:v>
      </x:c>
      <x:c r="C44" s="32" t="n">
        <x:f>COUNTIFS('02_H6_Checklist'!$B$5:$B$284,A44,'02_H6_Checklist'!$O$5:$O$284,"PASS")+COUNTIFS('02_H6_Checklist'!$B$5:$B$284,A44,'02_H6_Checklist'!$O$5:$O$284,"EXCEPTION APPROVED")+COUNTIFS('02_H6_Checklist'!$B$5:$B$284,A44,'02_H6_Checklist'!$O$5:$O$284,"NOT APPLICABLE")</x:f>
        <x:v>0</x:v>
      </x:c>
      <x:c r="D44" s="32" t="n">
        <x:f>SUMIFS('02_H6_Checklist'!$X$5:$X$284,'02_H6_Checklist'!$B$5:$B$284,A44)</x:f>
        <x:v>2</x:v>
      </x:c>
      <x:c r="E44" s="90" t="n">
        <x:f>IFERROR(C44/B44,0)</x:f>
        <x:v>0</x:v>
      </x:c>
      <x:c r="F44" s="32" t="str">
        <x:v>PENDING</x:v>
      </x:c>
    </x:row>
    <x:row r="45">
      <x:c r="A45" s="32" t="str">
        <x:v>Displays</x:v>
      </x:c>
      <x:c r="B45" s="32" t="n">
        <x:f>COUNTIF('02_H6_Checklist'!$B$5:$B$284,A45)</x:f>
        <x:v>5</x:v>
      </x:c>
      <x:c r="C45" s="32" t="n">
        <x:f>COUNTIFS('02_H6_Checklist'!$B$5:$B$284,A45,'02_H6_Checklist'!$O$5:$O$284,"PASS")+COUNTIFS('02_H6_Checklist'!$B$5:$B$284,A45,'02_H6_Checklist'!$O$5:$O$284,"EXCEPTION APPROVED")+COUNTIFS('02_H6_Checklist'!$B$5:$B$284,A45,'02_H6_Checklist'!$O$5:$O$284,"NOT APPLICABLE")</x:f>
        <x:v>0</x:v>
      </x:c>
      <x:c r="D45" s="32" t="n">
        <x:f>SUMIFS('02_H6_Checklist'!$X$5:$X$284,'02_H6_Checklist'!$B$5:$B$284,A45)</x:f>
        <x:v>5</x:v>
      </x:c>
      <x:c r="E45" s="90" t="n">
        <x:f>IFERROR(C45/B45,0)</x:f>
        <x:v>0</x:v>
      </x:c>
      <x:c r="F45" s="32" t="str">
        <x:v>PENDING</x:v>
      </x:c>
    </x:row>
    <x:row r="46">
      <x:c r="A46" s="32" t="str">
        <x:v>Documentación</x:v>
      </x:c>
      <x:c r="B46" s="32" t="n">
        <x:f>COUNTIF('02_H6_Checklist'!$B$5:$B$284,A46)</x:f>
        <x:v>1</x:v>
      </x:c>
      <x:c r="C46" s="32" t="n">
        <x:f>COUNTIFS('02_H6_Checklist'!$B$5:$B$284,A46,'02_H6_Checklist'!$O$5:$O$284,"PASS")+COUNTIFS('02_H6_Checklist'!$B$5:$B$284,A46,'02_H6_Checklist'!$O$5:$O$284,"EXCEPTION APPROVED")+COUNTIFS('02_H6_Checklist'!$B$5:$B$284,A46,'02_H6_Checklist'!$O$5:$O$284,"NOT APPLICABLE")</x:f>
        <x:v>0</x:v>
      </x:c>
      <x:c r="D46" s="32" t="n">
        <x:f>SUMIFS('02_H6_Checklist'!$X$5:$X$284,'02_H6_Checklist'!$B$5:$B$284,A46)</x:f>
        <x:v>1</x:v>
      </x:c>
      <x:c r="E46" s="90" t="n">
        <x:f>IFERROR(C46/B46,0)</x:f>
        <x:v>0</x:v>
      </x:c>
      <x:c r="F46" s="32" t="str">
        <x:v>PENDING</x:v>
      </x:c>
    </x:row>
    <x:row r="47">
      <x:c r="A47" s="32" t="str">
        <x:v>Documentación y trazabilidad</x:v>
      </x:c>
      <x:c r="B47" s="32" t="n">
        <x:f>COUNTIF('02_H6_Checklist'!$B$5:$B$284,A47)</x:f>
        <x:v>28</x:v>
      </x:c>
      <x:c r="C47" s="32" t="n">
        <x:f>COUNTIFS('02_H6_Checklist'!$B$5:$B$284,A47,'02_H6_Checklist'!$O$5:$O$284,"PASS")+COUNTIFS('02_H6_Checklist'!$B$5:$B$284,A47,'02_H6_Checklist'!$O$5:$O$284,"EXCEPTION APPROVED")+COUNTIFS('02_H6_Checklist'!$B$5:$B$284,A47,'02_H6_Checklist'!$O$5:$O$284,"NOT APPLICABLE")</x:f>
        <x:v>0</x:v>
      </x:c>
      <x:c r="D47" s="32" t="n">
        <x:f>SUMIFS('02_H6_Checklist'!$X$5:$X$284,'02_H6_Checklist'!$B$5:$B$284,A47)</x:f>
        <x:v>28</x:v>
      </x:c>
      <x:c r="E47" s="90" t="n">
        <x:f>IFERROR(C47/B47,0)</x:f>
        <x:v>0</x:v>
      </x:c>
      <x:c r="F47" s="32" t="str">
        <x:v>PENDING</x:v>
      </x:c>
    </x:row>
    <x:row r="48">
      <x:c r="A48" s="32" t="str">
        <x:v>Día</x:v>
      </x:c>
      <x:c r="B48" s="32" t="n">
        <x:f>COUNTIF('02_H6_Checklist'!$B$5:$B$284,A48)</x:f>
        <x:v>4</x:v>
      </x:c>
      <x:c r="C48" s="32" t="n">
        <x:f>COUNTIFS('02_H6_Checklist'!$B$5:$B$284,A48,'02_H6_Checklist'!$O$5:$O$284,"PASS")+COUNTIFS('02_H6_Checklist'!$B$5:$B$284,A48,'02_H6_Checklist'!$O$5:$O$284,"EXCEPTION APPROVED")+COUNTIFS('02_H6_Checklist'!$B$5:$B$284,A48,'02_H6_Checklist'!$O$5:$O$284,"NOT APPLICABLE")</x:f>
        <x:v>0</x:v>
      </x:c>
      <x:c r="D48" s="32" t="n">
        <x:f>SUMIFS('02_H6_Checklist'!$X$5:$X$284,'02_H6_Checklist'!$B$5:$B$284,A48)</x:f>
        <x:v>4</x:v>
      </x:c>
      <x:c r="E48" s="90" t="n">
        <x:f>IFERROR(C48/B48,0)</x:f>
        <x:v>0</x:v>
      </x:c>
      <x:c r="F48" s="32" t="str">
        <x:v>PENDING</x:v>
      </x:c>
    </x:row>
    <x:row r="49">
      <x:c r="A49" s="32" t="str">
        <x:v>Economía</x:v>
      </x:c>
      <x:c r="B49" s="32" t="n">
        <x:f>COUNTIF('02_H6_Checklist'!$B$5:$B$284,A49)</x:f>
        <x:v>5</x:v>
      </x:c>
      <x:c r="C49" s="32" t="n">
        <x:f>COUNTIFS('02_H6_Checklist'!$B$5:$B$284,A49,'02_H6_Checklist'!$O$5:$O$284,"PASS")+COUNTIFS('02_H6_Checklist'!$B$5:$B$284,A49,'02_H6_Checklist'!$O$5:$O$284,"EXCEPTION APPROVED")+COUNTIFS('02_H6_Checklist'!$B$5:$B$284,A49,'02_H6_Checklist'!$O$5:$O$284,"NOT APPLICABLE")</x:f>
        <x:v>0</x:v>
      </x:c>
      <x:c r="D49" s="32" t="n">
        <x:f>SUMIFS('02_H6_Checklist'!$X$5:$X$284,'02_H6_Checklist'!$B$5:$B$284,A49)</x:f>
        <x:v>5</x:v>
      </x:c>
      <x:c r="E49" s="90" t="n">
        <x:f>IFERROR(C49/B49,0)</x:f>
        <x:v>0</x:v>
      </x:c>
      <x:c r="F49" s="32" t="str">
        <x:v>PENDING</x:v>
      </x:c>
    </x:row>
    <x:row r="50">
      <x:c r="A50" s="32" t="str">
        <x:v>Escena</x:v>
      </x:c>
      <x:c r="B50" s="32" t="n">
        <x:f>COUNTIF('02_H6_Checklist'!$B$5:$B$284,A50)</x:f>
        <x:v>4</x:v>
      </x:c>
      <x:c r="C50" s="32" t="n">
        <x:f>COUNTIFS('02_H6_Checklist'!$B$5:$B$284,A50,'02_H6_Checklist'!$O$5:$O$284,"PASS")+COUNTIFS('02_H6_Checklist'!$B$5:$B$284,A50,'02_H6_Checklist'!$O$5:$O$284,"EXCEPTION APPROVED")+COUNTIFS('02_H6_Checklist'!$B$5:$B$284,A50,'02_H6_Checklist'!$O$5:$O$284,"NOT APPLICABLE")</x:f>
        <x:v>0</x:v>
      </x:c>
      <x:c r="D50" s="32" t="n">
        <x:f>SUMIFS('02_H6_Checklist'!$X$5:$X$284,'02_H6_Checklist'!$B$5:$B$284,A50)</x:f>
        <x:v>4</x:v>
      </x:c>
      <x:c r="E50" s="90" t="n">
        <x:f>IFERROR(C50/B50,0)</x:f>
        <x:v>0</x:v>
      </x:c>
      <x:c r="F50" s="32" t="str">
        <x:v>PENDING</x:v>
      </x:c>
    </x:row>
    <x:row r="51">
      <x:c r="A51" s="32" t="str">
        <x:v>Gobierno y alcance</x:v>
      </x:c>
      <x:c r="B51" s="32" t="n">
        <x:f>COUNTIF('02_H6_Checklist'!$B$5:$B$284,A51)</x:f>
        <x:v>12</x:v>
      </x:c>
      <x:c r="C51" s="32" t="n">
        <x:f>COUNTIFS('02_H6_Checklist'!$B$5:$B$284,A51,'02_H6_Checklist'!$O$5:$O$284,"PASS")+COUNTIFS('02_H6_Checklist'!$B$5:$B$284,A51,'02_H6_Checklist'!$O$5:$O$284,"EXCEPTION APPROVED")+COUNTIFS('02_H6_Checklist'!$B$5:$B$284,A51,'02_H6_Checklist'!$O$5:$O$284,"NOT APPLICABLE")</x:f>
        <x:v>0</x:v>
      </x:c>
      <x:c r="D51" s="32" t="n">
        <x:f>SUMIFS('02_H6_Checklist'!$X$5:$X$284,'02_H6_Checklist'!$B$5:$B$284,A51)</x:f>
        <x:v>12</x:v>
      </x:c>
      <x:c r="E51" s="90" t="n">
        <x:f>IFERROR(C51/B51,0)</x:f>
        <x:v>0</x:v>
      </x:c>
      <x:c r="F51" s="32" t="str">
        <x:v>PENDING</x:v>
      </x:c>
    </x:row>
    <x:row r="52">
      <x:c r="A52" s="32" t="str">
        <x:v>Input</x:v>
      </x:c>
      <x:c r="B52" s="32" t="n">
        <x:f>COUNTIF('02_H6_Checklist'!$B$5:$B$284,A52)</x:f>
        <x:v>2</x:v>
      </x:c>
      <x:c r="C52" s="32" t="n">
        <x:f>COUNTIFS('02_H6_Checklist'!$B$5:$B$284,A52,'02_H6_Checklist'!$O$5:$O$284,"PASS")+COUNTIFS('02_H6_Checklist'!$B$5:$B$284,A52,'02_H6_Checklist'!$O$5:$O$284,"EXCEPTION APPROVED")+COUNTIFS('02_H6_Checklist'!$B$5:$B$284,A52,'02_H6_Checklist'!$O$5:$O$284,"NOT APPLICABLE")</x:f>
        <x:v>0</x:v>
      </x:c>
      <x:c r="D52" s="32" t="n">
        <x:f>SUMIFS('02_H6_Checklist'!$X$5:$X$284,'02_H6_Checklist'!$B$5:$B$284,A52)</x:f>
        <x:v>2</x:v>
      </x:c>
      <x:c r="E52" s="90" t="n">
        <x:f>IFERROR(C52/B52,0)</x:f>
        <x:v>0</x:v>
      </x:c>
      <x:c r="F52" s="32" t="str">
        <x:v>PENDING</x:v>
      </x:c>
    </x:row>
    <x:row r="53">
      <x:c r="A53" s="32" t="str">
        <x:v>Inventario</x:v>
      </x:c>
      <x:c r="B53" s="32" t="n">
        <x:f>COUNTIF('02_H6_Checklist'!$B$5:$B$284,A53)</x:f>
        <x:v>5</x:v>
      </x:c>
      <x:c r="C53" s="32" t="n">
        <x:f>COUNTIFS('02_H6_Checklist'!$B$5:$B$284,A53,'02_H6_Checklist'!$O$5:$O$284,"PASS")+COUNTIFS('02_H6_Checklist'!$B$5:$B$284,A53,'02_H6_Checklist'!$O$5:$O$284,"EXCEPTION APPROVED")+COUNTIFS('02_H6_Checklist'!$B$5:$B$284,A53,'02_H6_Checklist'!$O$5:$O$284,"NOT APPLICABLE")</x:f>
        <x:v>0</x:v>
      </x:c>
      <x:c r="D53" s="32" t="n">
        <x:f>SUMIFS('02_H6_Checklist'!$X$5:$X$284,'02_H6_Checklist'!$B$5:$B$284,A53)</x:f>
        <x:v>5</x:v>
      </x:c>
      <x:c r="E53" s="90" t="n">
        <x:f>IFERROR(C53/B53,0)</x:f>
        <x:v>0</x:v>
      </x:c>
      <x:c r="F53" s="32" t="str">
        <x:v>PENDING</x:v>
      </x:c>
    </x:row>
    <x:row r="54">
      <x:c r="A54" s="32" t="str">
        <x:v>Legal, créditos y licencias</x:v>
      </x:c>
      <x:c r="B54" s="32" t="n">
        <x:f>COUNTIF('02_H6_Checklist'!$B$5:$B$284,A54)</x:f>
        <x:v>12</x:v>
      </x:c>
      <x:c r="C54" s="32" t="n">
        <x:f>COUNTIFS('02_H6_Checklist'!$B$5:$B$284,A54,'02_H6_Checklist'!$O$5:$O$284,"PASS")+COUNTIFS('02_H6_Checklist'!$B$5:$B$284,A54,'02_H6_Checklist'!$O$5:$O$284,"EXCEPTION APPROVED")+COUNTIFS('02_H6_Checklist'!$B$5:$B$284,A54,'02_H6_Checklist'!$O$5:$O$284,"NOT APPLICABLE")</x:f>
        <x:v>0</x:v>
      </x:c>
      <x:c r="D54" s="32" t="n">
        <x:f>SUMIFS('02_H6_Checklist'!$X$5:$X$284,'02_H6_Checklist'!$B$5:$B$284,A54)</x:f>
        <x:v>12</x:v>
      </x:c>
      <x:c r="E54" s="90" t="n">
        <x:f>IFERROR(C54/B54,0)</x:f>
        <x:v>0</x:v>
      </x:c>
      <x:c r="F54" s="32" t="str">
        <x:v>PENDING</x:v>
      </x:c>
    </x:row>
    <x:row r="55">
      <x:c r="A55" s="32" t="str">
        <x:v>Localización ES/EN</x:v>
      </x:c>
      <x:c r="B55" s="32" t="n">
        <x:f>COUNTIF('02_H6_Checklist'!$B$5:$B$284,A55)</x:f>
        <x:v>14</x:v>
      </x:c>
      <x:c r="C55" s="32" t="n">
        <x:f>COUNTIFS('02_H6_Checklist'!$B$5:$B$284,A55,'02_H6_Checklist'!$O$5:$O$284,"PASS")+COUNTIFS('02_H6_Checklist'!$B$5:$B$284,A55,'02_H6_Checklist'!$O$5:$O$284,"EXCEPTION APPROVED")+COUNTIFS('02_H6_Checklist'!$B$5:$B$284,A55,'02_H6_Checklist'!$O$5:$O$284,"NOT APPLICABLE")</x:f>
        <x:v>0</x:v>
      </x:c>
      <x:c r="D55" s="32" t="n">
        <x:f>SUMIFS('02_H6_Checklist'!$X$5:$X$284,'02_H6_Checklist'!$B$5:$B$284,A55)</x:f>
        <x:v>14</x:v>
      </x:c>
      <x:c r="E55" s="90" t="n">
        <x:f>IFERROR(C55/B55,0)</x:f>
        <x:v>0</x:v>
      </x:c>
      <x:c r="F55" s="32" t="str">
        <x:v>PENDING</x:v>
      </x:c>
    </x:row>
    <x:row r="56">
      <x:c r="A56" s="32" t="str">
        <x:v>Movimiento</x:v>
      </x:c>
      <x:c r="B56" s="32" t="n">
        <x:f>COUNTIF('02_H6_Checklist'!$B$5:$B$284,A56)</x:f>
        <x:v>3</x:v>
      </x:c>
      <x:c r="C56" s="32" t="n">
        <x:f>COUNTIFS('02_H6_Checklist'!$B$5:$B$284,A56,'02_H6_Checklist'!$O$5:$O$284,"PASS")+COUNTIFS('02_H6_Checklist'!$B$5:$B$284,A56,'02_H6_Checklist'!$O$5:$O$284,"EXCEPTION APPROVED")+COUNTIFS('02_H6_Checklist'!$B$5:$B$284,A56,'02_H6_Checklist'!$O$5:$O$284,"NOT APPLICABLE")</x:f>
        <x:v>0</x:v>
      </x:c>
      <x:c r="D56" s="32" t="n">
        <x:f>SUMIFS('02_H6_Checklist'!$X$5:$X$284,'02_H6_Checklist'!$B$5:$B$284,A56)</x:f>
        <x:v>3</x:v>
      </x:c>
      <x:c r="E56" s="90" t="n">
        <x:f>IFERROR(C56/B56,0)</x:f>
        <x:v>0</x:v>
      </x:c>
      <x:c r="F56" s="32" t="str">
        <x:v>PENDING</x:v>
      </x:c>
    </x:row>
    <x:row r="57">
      <x:c r="A57" s="32" t="str">
        <x:v>Paquete de decisión H6</x:v>
      </x:c>
      <x:c r="B57" s="32" t="n">
        <x:f>COUNTIF('02_H6_Checklist'!$B$5:$B$284,A57)</x:f>
        <x:v>12</x:v>
      </x:c>
      <x:c r="C57" s="32" t="n">
        <x:f>COUNTIFS('02_H6_Checklist'!$B$5:$B$284,A57,'02_H6_Checklist'!$O$5:$O$284,"PASS")+COUNTIFS('02_H6_Checklist'!$B$5:$B$284,A57,'02_H6_Checklist'!$O$5:$O$284,"EXCEPTION APPROVED")+COUNTIFS('02_H6_Checklist'!$B$5:$B$284,A57,'02_H6_Checklist'!$O$5:$O$284,"NOT APPLICABLE")</x:f>
        <x:v>0</x:v>
      </x:c>
      <x:c r="D57" s="32" t="n">
        <x:f>SUMIFS('02_H6_Checklist'!$X$5:$X$284,'02_H6_Checklist'!$B$5:$B$284,A57)</x:f>
        <x:v>12</x:v>
      </x:c>
      <x:c r="E57" s="90" t="n">
        <x:f>IFERROR(C57/B57,0)</x:f>
        <x:v>0</x:v>
      </x:c>
      <x:c r="F57" s="32" t="str">
        <x:v>PENDING</x:v>
      </x:c>
    </x:row>
    <x:row r="58">
      <x:c r="A58" s="32" t="str">
        <x:v>Pedidos</x:v>
      </x:c>
      <x:c r="B58" s="32" t="n">
        <x:f>COUNTIF('02_H6_Checklist'!$B$5:$B$284,A58)</x:f>
        <x:v>5</x:v>
      </x:c>
      <x:c r="C58" s="32" t="n">
        <x:f>COUNTIFS('02_H6_Checklist'!$B$5:$B$284,A58,'02_H6_Checklist'!$O$5:$O$284,"PASS")+COUNTIFS('02_H6_Checklist'!$B$5:$B$284,A58,'02_H6_Checklist'!$O$5:$O$284,"EXCEPTION APPROVED")+COUNTIFS('02_H6_Checklist'!$B$5:$B$284,A58,'02_H6_Checklist'!$O$5:$O$284,"NOT APPLICABLE")</x:f>
        <x:v>0</x:v>
      </x:c>
      <x:c r="D58" s="32" t="n">
        <x:f>SUMIFS('02_H6_Checklist'!$X$5:$X$284,'02_H6_Checklist'!$B$5:$B$284,A58)</x:f>
        <x:v>5</x:v>
      </x:c>
      <x:c r="E58" s="90" t="n">
        <x:f>IFERROR(C58/B58,0)</x:f>
        <x:v>0</x:v>
      </x:c>
      <x:c r="F58" s="32" t="str">
        <x:v>PENDING</x:v>
      </x:c>
    </x:row>
    <x:row r="59">
      <x:c r="A59" s="32" t="str">
        <x:v>Persistencia</x:v>
      </x:c>
      <x:c r="B59" s="32" t="n">
        <x:f>COUNTIF('02_H6_Checklist'!$B$5:$B$284,A59)</x:f>
        <x:v>5</x:v>
      </x:c>
      <x:c r="C59" s="32" t="n">
        <x:f>COUNTIFS('02_H6_Checklist'!$B$5:$B$284,A59,'02_H6_Checklist'!$O$5:$O$284,"PASS")+COUNTIFS('02_H6_Checklist'!$B$5:$B$284,A59,'02_H6_Checklist'!$O$5:$O$284,"EXCEPTION APPROVED")+COUNTIFS('02_H6_Checklist'!$B$5:$B$284,A59,'02_H6_Checklist'!$O$5:$O$284,"NOT APPLICABLE")</x:f>
        <x:v>0</x:v>
      </x:c>
      <x:c r="D59" s="32" t="n">
        <x:f>SUMIFS('02_H6_Checklist'!$X$5:$X$284,'02_H6_Checklist'!$B$5:$B$284,A59)</x:f>
        <x:v>5</x:v>
      </x:c>
      <x:c r="E59" s="90" t="n">
        <x:f>IFERROR(C59/B59,0)</x:f>
        <x:v>0</x:v>
      </x:c>
      <x:c r="F59" s="32" t="str">
        <x:v>PENDING</x:v>
      </x:c>
    </x:row>
    <x:row r="60">
      <x:c r="A60" s="32" t="str">
        <x:v>Persistencia y recuperación</x:v>
      </x:c>
      <x:c r="B60" s="32" t="n">
        <x:f>COUNTIF('02_H6_Checklist'!$B$5:$B$284,A60)</x:f>
        <x:v>10</x:v>
      </x:c>
      <x:c r="C60" s="32" t="n">
        <x:f>COUNTIFS('02_H6_Checklist'!$B$5:$B$284,A60,'02_H6_Checklist'!$O$5:$O$284,"PASS")+COUNTIFS('02_H6_Checklist'!$B$5:$B$284,A60,'02_H6_Checklist'!$O$5:$O$284,"EXCEPTION APPROVED")+COUNTIFS('02_H6_Checklist'!$B$5:$B$284,A60,'02_H6_Checklist'!$O$5:$O$284,"NOT APPLICABLE")</x:f>
        <x:v>0</x:v>
      </x:c>
      <x:c r="D60" s="32" t="n">
        <x:f>SUMIFS('02_H6_Checklist'!$X$5:$X$284,'02_H6_Checklist'!$B$5:$B$284,A60)</x:f>
        <x:v>10</x:v>
      </x:c>
      <x:c r="E60" s="90" t="n">
        <x:f>IFERROR(C60/B60,0)</x:f>
        <x:v>0</x:v>
      </x:c>
      <x:c r="F60" s="32" t="str">
        <x:v>PENDING</x:v>
      </x:c>
    </x:row>
    <x:row r="61">
      <x:c r="A61" s="32" t="str">
        <x:v>Precios</x:v>
      </x:c>
      <x:c r="B61" s="32" t="n">
        <x:f>COUNTIF('02_H6_Checklist'!$B$5:$B$284,A61)</x:f>
        <x:v>3</x:v>
      </x:c>
      <x:c r="C61" s="32" t="n">
        <x:f>COUNTIFS('02_H6_Checklist'!$B$5:$B$284,A61,'02_H6_Checklist'!$O$5:$O$284,"PASS")+COUNTIFS('02_H6_Checklist'!$B$5:$B$284,A61,'02_H6_Checklist'!$O$5:$O$284,"EXCEPTION APPROVED")+COUNTIFS('02_H6_Checklist'!$B$5:$B$284,A61,'02_H6_Checklist'!$O$5:$O$284,"NOT APPLICABLE")</x:f>
        <x:v>0</x:v>
      </x:c>
      <x:c r="D61" s="32" t="n">
        <x:f>SUMIFS('02_H6_Checklist'!$X$5:$X$284,'02_H6_Checklist'!$B$5:$B$284,A61)</x:f>
        <x:v>3</x:v>
      </x:c>
      <x:c r="E61" s="90" t="n">
        <x:f>IFERROR(C61/B61,0)</x:f>
        <x:v>0</x:v>
      </x:c>
      <x:c r="F61" s="32" t="str">
        <x:v>PENDING</x:v>
      </x:c>
    </x:row>
    <x:row r="62">
      <x:c r="A62" s="32" t="str">
        <x:v>QA</x:v>
      </x:c>
      <x:c r="B62" s="32" t="n">
        <x:f>COUNTIF('02_H6_Checklist'!$B$5:$B$284,A62)</x:f>
        <x:v>2</x:v>
      </x:c>
      <x:c r="C62" s="32" t="n">
        <x:f>COUNTIFS('02_H6_Checklist'!$B$5:$B$284,A62,'02_H6_Checklist'!$O$5:$O$284,"PASS")+COUNTIFS('02_H6_Checklist'!$B$5:$B$284,A62,'02_H6_Checklist'!$O$5:$O$284,"EXCEPTION APPROVED")+COUNTIFS('02_H6_Checklist'!$B$5:$B$284,A62,'02_H6_Checklist'!$O$5:$O$284,"NOT APPLICABLE")</x:f>
        <x:v>0</x:v>
      </x:c>
      <x:c r="D62" s="32" t="n">
        <x:f>SUMIFS('02_H6_Checklist'!$X$5:$X$284,'02_H6_Checklist'!$B$5:$B$284,A62)</x:f>
        <x:v>2</x:v>
      </x:c>
      <x:c r="E62" s="90" t="n">
        <x:f>IFERROR(C62/B62,0)</x:f>
        <x:v>0</x:v>
      </x:c>
      <x:c r="F62" s="32" t="str">
        <x:v>PENDING</x:v>
      </x:c>
    </x:row>
    <x:row r="63">
      <x:c r="A63" s="32" t="str">
        <x:v>QA, defectos y regresión</x:v>
      </x:c>
      <x:c r="B63" s="32" t="n">
        <x:f>COUNTIF('02_H6_Checklist'!$B$5:$B$284,A63)</x:f>
        <x:v>16</x:v>
      </x:c>
      <x:c r="C63" s="32" t="n">
        <x:f>COUNTIFS('02_H6_Checklist'!$B$5:$B$284,A63,'02_H6_Checklist'!$O$5:$O$284,"PASS")+COUNTIFS('02_H6_Checklist'!$B$5:$B$284,A63,'02_H6_Checklist'!$O$5:$O$284,"EXCEPTION APPROVED")+COUNTIFS('02_H6_Checklist'!$B$5:$B$284,A63,'02_H6_Checklist'!$O$5:$O$284,"NOT APPLICABLE")</x:f>
        <x:v>0</x:v>
      </x:c>
      <x:c r="D63" s="32" t="n">
        <x:f>SUMIFS('02_H6_Checklist'!$X$5:$X$284,'02_H6_Checklist'!$B$5:$B$284,A63)</x:f>
        <x:v>16</x:v>
      </x:c>
      <x:c r="E63" s="90" t="n">
        <x:f>IFERROR(C63/B63,0)</x:f>
        <x:v>0</x:v>
      </x:c>
      <x:c r="F63" s="32" t="str">
        <x:v>PENDING</x:v>
      </x:c>
    </x:row>
    <x:row r="64">
      <x:c r="A64" s="32" t="str">
        <x:v>Rendimiento</x:v>
      </x:c>
      <x:c r="B64" s="32" t="n">
        <x:f>COUNTIF('02_H6_Checklist'!$B$5:$B$284,A64)</x:f>
        <x:v>2</x:v>
      </x:c>
      <x:c r="C64" s="32" t="n">
        <x:f>COUNTIFS('02_H6_Checklist'!$B$5:$B$284,A64,'02_H6_Checklist'!$O$5:$O$284,"PASS")+COUNTIFS('02_H6_Checklist'!$B$5:$B$284,A64,'02_H6_Checklist'!$O$5:$O$284,"EXCEPTION APPROVED")+COUNTIFS('02_H6_Checklist'!$B$5:$B$284,A64,'02_H6_Checklist'!$O$5:$O$284,"NOT APPLICABLE")</x:f>
        <x:v>0</x:v>
      </x:c>
      <x:c r="D64" s="32" t="n">
        <x:f>SUMIFS('02_H6_Checklist'!$X$5:$X$284,'02_H6_Checklist'!$B$5:$B$284,A64)</x:f>
        <x:v>2</x:v>
      </x:c>
      <x:c r="E64" s="90" t="n">
        <x:f>IFERROR(C64/B64,0)</x:f>
        <x:v>0</x:v>
      </x:c>
      <x:c r="F64" s="32" t="str">
        <x:v>PENDING</x:v>
      </x:c>
    </x:row>
    <x:row r="65">
      <x:c r="A65" s="32" t="str">
        <x:v>Rendimiento y estabilidad</x:v>
      </x:c>
      <x:c r="B65" s="32" t="n">
        <x:f>COUNTIF('02_H6_Checklist'!$B$5:$B$284,A65)</x:f>
        <x:v>14</x:v>
      </x:c>
      <x:c r="C65" s="32" t="n">
        <x:f>COUNTIFS('02_H6_Checklist'!$B$5:$B$284,A65,'02_H6_Checklist'!$O$5:$O$284,"PASS")+COUNTIFS('02_H6_Checklist'!$B$5:$B$284,A65,'02_H6_Checklist'!$O$5:$O$284,"EXCEPTION APPROVED")+COUNTIFS('02_H6_Checklist'!$B$5:$B$284,A65,'02_H6_Checklist'!$O$5:$O$284,"NOT APPLICABLE")</x:f>
        <x:v>0</x:v>
      </x:c>
      <x:c r="D65" s="32" t="n">
        <x:f>SUMIFS('02_H6_Checklist'!$X$5:$X$284,'02_H6_Checklist'!$B$5:$B$284,A65)</x:f>
        <x:v>14</x:v>
      </x:c>
      <x:c r="E65" s="90" t="n">
        <x:f>IFERROR(C65/B65,0)</x:f>
        <x:v>0</x:v>
      </x:c>
      <x:c r="F65" s="32" t="str">
        <x:v>PENDING</x:v>
      </x:c>
    </x:row>
    <x:row r="66">
      <x:c r="A66" s="32" t="str">
        <x:v>Representación</x:v>
      </x:c>
      <x:c r="B66" s="32" t="n">
        <x:f>COUNTIF('02_H6_Checklist'!$B$5:$B$284,A66)</x:f>
        <x:v>2</x:v>
      </x:c>
      <x:c r="C66" s="32" t="n">
        <x:f>COUNTIFS('02_H6_Checklist'!$B$5:$B$284,A66,'02_H6_Checklist'!$O$5:$O$284,"PASS")+COUNTIFS('02_H6_Checklist'!$B$5:$B$284,A66,'02_H6_Checklist'!$O$5:$O$284,"EXCEPTION APPROVED")+COUNTIFS('02_H6_Checklist'!$B$5:$B$284,A66,'02_H6_Checklist'!$O$5:$O$284,"NOT APPLICABLE")</x:f>
        <x:v>0</x:v>
      </x:c>
      <x:c r="D66" s="32" t="n">
        <x:f>SUMIFS('02_H6_Checklist'!$X$5:$X$284,'02_H6_Checklist'!$B$5:$B$284,A66)</x:f>
        <x:v>2</x:v>
      </x:c>
      <x:c r="E66" s="90" t="n">
        <x:f>IFERROR(C66/B66,0)</x:f>
        <x:v>0</x:v>
      </x:c>
      <x:c r="F66" s="32" t="str">
        <x:v>PENDING</x:v>
      </x:c>
    </x:row>
    <x:row r="67">
      <x:c r="A67" s="32" t="str">
        <x:v>Reservas</x:v>
      </x:c>
      <x:c r="B67" s="32" t="n">
        <x:f>COUNTIF('02_H6_Checklist'!$B$5:$B$284,A67)</x:f>
        <x:v>3</x:v>
      </x:c>
      <x:c r="C67" s="32" t="n">
        <x:f>COUNTIFS('02_H6_Checklist'!$B$5:$B$284,A67,'02_H6_Checklist'!$O$5:$O$284,"PASS")+COUNTIFS('02_H6_Checklist'!$B$5:$B$284,A67,'02_H6_Checklist'!$O$5:$O$284,"EXCEPTION APPROVED")+COUNTIFS('02_H6_Checklist'!$B$5:$B$284,A67,'02_H6_Checklist'!$O$5:$O$284,"NOT APPLICABLE")</x:f>
        <x:v>0</x:v>
      </x:c>
      <x:c r="D67" s="32" t="n">
        <x:f>SUMIFS('02_H6_Checklist'!$X$5:$X$284,'02_H6_Checklist'!$B$5:$B$284,A67)</x:f>
        <x:v>3</x:v>
      </x:c>
      <x:c r="E67" s="90" t="n">
        <x:f>IFERROR(C67/B67,0)</x:f>
        <x:v>0</x:v>
      </x:c>
      <x:c r="F67" s="32" t="str">
        <x:v>PENDING</x:v>
      </x:c>
    </x:row>
    <x:row r="68">
      <x:c r="A68" s="32" t="str">
        <x:v>Seguridad y privacidad</x:v>
      </x:c>
      <x:c r="B68" s="32" t="n">
        <x:f>COUNTIF('02_H6_Checklist'!$B$5:$B$284,A68)</x:f>
        <x:v>12</x:v>
      </x:c>
      <x:c r="C68" s="32" t="n">
        <x:f>COUNTIFS('02_H6_Checklist'!$B$5:$B$284,A68,'02_H6_Checklist'!$O$5:$O$284,"PASS")+COUNTIFS('02_H6_Checklist'!$B$5:$B$284,A68,'02_H6_Checklist'!$O$5:$O$284,"EXCEPTION APPROVED")+COUNTIFS('02_H6_Checklist'!$B$5:$B$284,A68,'02_H6_Checklist'!$O$5:$O$284,"NOT APPLICABLE")</x:f>
        <x:v>0</x:v>
      </x:c>
      <x:c r="D68" s="32" t="n">
        <x:f>SUMIFS('02_H6_Checklist'!$X$5:$X$284,'02_H6_Checklist'!$B$5:$B$284,A68)</x:f>
        <x:v>12</x:v>
      </x:c>
      <x:c r="E68" s="90" t="n">
        <x:f>IFERROR(C68/B68,0)</x:f>
        <x:v>0</x:v>
      </x:c>
      <x:c r="F68" s="32" t="str">
        <x:v>PENDING</x:v>
      </x:c>
    </x:row>
    <x:row r="69">
      <x:c r="A69" s="32" t="str">
        <x:v>StoreInitial y representación</x:v>
      </x:c>
      <x:c r="B69" s="32" t="n">
        <x:f>COUNTIF('02_H6_Checklist'!$B$5:$B$284,A69)</x:f>
        <x:v>16</x:v>
      </x:c>
      <x:c r="C69" s="32" t="n">
        <x:f>COUNTIFS('02_H6_Checklist'!$B$5:$B$284,A69,'02_H6_Checklist'!$O$5:$O$284,"PASS")+COUNTIFS('02_H6_Checklist'!$B$5:$B$284,A69,'02_H6_Checklist'!$O$5:$O$284,"EXCEPTION APPROVED")+COUNTIFS('02_H6_Checklist'!$B$5:$B$284,A69,'02_H6_Checklist'!$O$5:$O$284,"NOT APPLICABLE")</x:f>
        <x:v>0</x:v>
      </x:c>
      <x:c r="D69" s="32" t="n">
        <x:f>SUMIFS('02_H6_Checklist'!$X$5:$X$284,'02_H6_Checklist'!$B$5:$B$284,A69)</x:f>
        <x:v>16</x:v>
      </x:c>
      <x:c r="E69" s="90" t="n">
        <x:f>IFERROR(C69/B69,0)</x:f>
        <x:v>0</x:v>
      </x:c>
      <x:c r="F69" s="32" t="str">
        <x:v>PENDING</x:v>
      </x:c>
    </x:row>
    <x:row r="70">
      <x:c r="A70" s="32" t="str">
        <x:v>UI, input y accesibilidad</x:v>
      </x:c>
      <x:c r="B70" s="32" t="n">
        <x:f>COUNTIF('02_H6_Checklist'!$B$5:$B$284,A70)</x:f>
        <x:v>14</x:v>
      </x:c>
      <x:c r="C70" s="32" t="n">
        <x:f>COUNTIFS('02_H6_Checklist'!$B$5:$B$284,A70,'02_H6_Checklist'!$O$5:$O$284,"PASS")+COUNTIFS('02_H6_Checklist'!$B$5:$B$284,A70,'02_H6_Checklist'!$O$5:$O$284,"EXCEPTION APPROVED")+COUNTIFS('02_H6_Checklist'!$B$5:$B$284,A70,'02_H6_Checklist'!$O$5:$O$284,"NOT APPLICABLE")</x:f>
        <x:v>0</x:v>
      </x:c>
      <x:c r="D70" s="32" t="n">
        <x:f>SUMIFS('02_H6_Checklist'!$X$5:$X$284,'02_H6_Checklist'!$B$5:$B$284,A70)</x:f>
        <x:v>14</x:v>
      </x:c>
      <x:c r="E70" s="90" t="n">
        <x:f>IFERROR(C70/B70,0)</x:f>
        <x:v>0</x:v>
      </x:c>
      <x:c r="F70" s="32" t="str">
        <x:v>PENDING</x:v>
      </x:c>
    </x:row>
    <x:row r="71">
      <x:c r="A71" s="32" t="str">
        <x:v>UI/UX</x:v>
      </x:c>
      <x:c r="B71" s="32" t="n">
        <x:f>COUNTIF('02_H6_Checklist'!$B$5:$B$284,A71)</x:f>
        <x:v>4</x:v>
      </x:c>
      <x:c r="C71" s="32" t="n">
        <x:f>COUNTIFS('02_H6_Checklist'!$B$5:$B$284,A71,'02_H6_Checklist'!$O$5:$O$284,"PASS")+COUNTIFS('02_H6_Checklist'!$B$5:$B$284,A71,'02_H6_Checklist'!$O$5:$O$284,"EXCEPTION APPROVED")+COUNTIFS('02_H6_Checklist'!$B$5:$B$284,A71,'02_H6_Checklist'!$O$5:$O$284,"NOT APPLICABLE")</x:f>
        <x:v>0</x:v>
      </x:c>
      <x:c r="D71" s="32" t="n">
        <x:f>SUMIFS('02_H6_Checklist'!$X$5:$X$284,'02_H6_Checklist'!$B$5:$B$284,A71)</x:f>
        <x:v>4</x:v>
      </x:c>
      <x:c r="E71" s="90" t="n">
        <x:f>IFERROR(C71/B71,0)</x:f>
        <x:v>0</x:v>
      </x:c>
      <x:c r="F71" s="32" t="str">
        <x:v>PENDING</x:v>
      </x:c>
    </x:row>
    <x:row r="74" ht="15" hidden="0" customHeight="1">
      <x:c r="A74" s="96" t="str">
        <x:v>Documentation Consolidation Status</x:v>
      </x:c>
      <x:c r="B74" s="96"/>
      <x:c r="C74" s="96"/>
      <x:c r="D74" s="96"/>
      <x:c r="E74" s="96"/>
      <x:c r="F74" s="96"/>
      <x:c r="G74" s="96"/>
      <x:c r="H74" s="96"/>
    </x:row>
    <x:row r="75" ht="15" hidden="0" customHeight="1">
      <x:c r="A75" s="96" t="str">
        <x:v>Group</x:v>
      </x:c>
      <x:c r="B75" s="96" t="str">
        <x:v>Current State</x:v>
      </x:c>
      <x:c r="C75" s="96" t="str">
        <x:v>Required Next Action</x:v>
      </x:c>
      <x:c r="D75" s="96" t="str">
        <x:v>Blocking</x:v>
      </x:c>
      <x:c r="E75" s="96" t="str">
        <x:v>Primary Evidence</x:v>
      </x:c>
      <x:c r="F75" s="96" t="str">
        <x:v>Owner</x:v>
      </x:c>
      <x:c r="G75" s="96" t="str">
        <x:v>Decision / Gate</x:v>
      </x:c>
      <x:c r="H75" s="96" t="str">
        <x:v>Notes</x:v>
      </x:c>
    </x:row>
    <x:row r="76" ht="39.599998474121094" hidden="0" customHeight="1">
      <x:c r="A76" s="96" t="str">
        <x:v>12–15</x:v>
      </x:c>
      <x:c r="B76" s="96" t="str">
        <x:v>UPDATED AFTER RC1</x:v>
      </x:c>
      <x:c r="C76" s="96" t="str">
        <x:v>Hashes recorded in 31/09 and source files</x:v>
      </x:c>
      <x:c r="D76" s="96" t="str">
        <x:v>Final audit verification and final hashes</x:v>
      </x:c>
      <x:c r="E76" s="96" t="str">
        <x:v>G-DOC-RC / G-BASE</x:v>
      </x:c>
      <x:c r="F76" s="96" t="str">
        <x:v>Documentation</x:v>
      </x:c>
      <x:c r="G76" s="96" t="str">
        <x:v>Yes</x:v>
      </x:c>
      <x:c r="H76" s="96" t="str">
        <x:v>13 and 15 need final commit/tag/package details later.</x:v>
      </x:c>
    </x:row>
    <x:row r="77" ht="39.599998474121094" hidden="0" customHeight="1">
      <x:c r="A77" s="96" t="str">
        <x:v>21 and 23</x:v>
      </x:c>
      <x:c r="B77" s="96" t="str">
        <x:v>UPDATED AFTER RC1</x:v>
      </x:c>
      <x:c r="C77" s="96" t="str">
        <x:v>Current candidate hashes recorded</x:v>
      </x:c>
      <x:c r="D77" s="96" t="str">
        <x:v>Verify cross-references in 16 candidate</x:v>
      </x:c>
      <x:c r="E77" s="96" t="str">
        <x:v>G-DOC-RC</x:v>
      </x:c>
      <x:c r="F77" s="96" t="str">
        <x:v>Content / Legal</x:v>
      </x:c>
      <x:c r="G77" s="96" t="str">
        <x:v>Yes</x:v>
      </x:c>
      <x:c r="H77" s="96" t="str">
        <x:v>23 is the immediate predecessor of this regenerated 31.</x:v>
      </x:c>
    </x:row>
    <x:row r="78" ht="39.599998474121094" hidden="0" customHeight="1">
      <x:c r="A78" s="96" t="str">
        <x:v>31</x:v>
      </x:c>
      <x:c r="B78" s="96" t="str">
        <x:v>REGENERATED CANDIDATE</x:v>
      </x:c>
      <x:c r="C78" s="96" t="str">
        <x:v>Self hash external after export</x:v>
      </x:c>
      <x:c r="D78" s="96" t="str">
        <x:v>Use as operational source; later register final hash in 13/32</x:v>
      </x:c>
      <x:c r="E78" s="96" t="str">
        <x:v>H6 / Release / Baseline</x:v>
      </x:c>
      <x:c r="F78" s="96" t="str">
        <x:v>QA / Production</x:v>
      </x:c>
      <x:c r="G78" s="96" t="str">
        <x:v>Yes</x:v>
      </x:c>
      <x:c r="H78" s="96" t="str">
        <x:v>All H6 and release controls remain NOT RUN.</x:v>
      </x:c>
    </x:row>
    <x:row r="79" ht="39.599998474121094" hidden="0" customHeight="1">
      <x:c r="A79" s="96" t="str">
        <x:v>33</x:v>
      </x:c>
      <x:c r="B79" s="96" t="str">
        <x:v>EXISTS — DIRECTED UPDATE NEXT</x:v>
      </x:c>
      <x:c r="C79" s="96" t="str">
        <x:v>RC1 hash retained as source</x:v>
      </x:c>
      <x:c r="D79" s="96" t="str">
        <x:v>Update risks, 00–34 scope, package/checksum/restore dependencies</x:v>
      </x:c>
      <x:c r="E79" s="96" t="str">
        <x:v>G-DOC-RC / Continuity</x:v>
      </x:c>
      <x:c r="F79" s="96" t="str">
        <x:v>Risk / Production</x:v>
      </x:c>
      <x:c r="G79" s="96" t="str">
        <x:v>Yes</x:v>
      </x:c>
      <x:c r="H79" s="96" t="str">
        <x:v>No control is verified until evidence exists.</x:v>
      </x:c>
    </x:row>
    <x:row r="80" ht="26.399999618530273" hidden="0" customHeight="1">
      <x:c r="A80" s="96" t="str">
        <x:v>34</x:v>
      </x:c>
      <x:c r="B80" s="96" t="str">
        <x:v>EXISTS — DIRECTED UPDATE AFTER 33</x:v>
      </x:c>
      <x:c r="C80" s="96" t="str">
        <x:v>RC1 hash retained as source</x:v>
      </x:c>
      <x:c r="D80" s="96" t="str">
        <x:v>Update current references; final pass after package/commit/tag</x:v>
      </x:c>
      <x:c r="E80" s="96" t="str">
        <x:v>G-DOC-RC / G-DOC-RESTORE</x:v>
      </x:c>
      <x:c r="F80" s="96" t="str">
        <x:v>Documentation / Production</x:v>
      </x:c>
      <x:c r="G80" s="96" t="str">
        <x:v>Yes</x:v>
      </x:c>
      <x:c r="H80" s="96" t="str">
        <x:v>Independent handoff test required.</x:v>
      </x:c>
    </x:row>
    <x:row r="81" ht="26.399999618530273" hidden="0" customHeight="1">
      <x:c r="A81" s="96" t="str">
        <x:v>32</x:v>
      </x:c>
      <x:c r="B81" s="96" t="str">
        <x:v>EXISTS — CANDIDATE REGENERATION PENDING</x:v>
      </x:c>
      <x:c r="C81" s="96" t="str">
        <x:v>RC1 hash is not final</x:v>
      </x:c>
      <x:c r="D81" s="96" t="str">
        <x:v>Generate candidate after 33/34; final after audit corrections</x:v>
      </x:c>
      <x:c r="E81" s="96" t="str">
        <x:v>G-DOC-RC / G-BASE</x:v>
      </x:c>
      <x:c r="F81" s="96" t="str">
        <x:v>Documentation</x:v>
      </x:c>
      <x:c r="G81" s="96" t="str">
        <x:v>Yes</x:v>
      </x:c>
      <x:c r="H81" s="96" t="str">
        <x:v>Own SHA stored externally.</x:v>
      </x:c>
    </x:row>
    <x:row r="82" ht="26.399999618530273" hidden="0" customHeight="1">
      <x:c r="A82" s="96" t="str">
        <x:v>16</x:v>
      </x:c>
      <x:c r="B82" s="96" t="str">
        <x:v>RC1 AUDIT — REGENERATION PENDING</x:v>
      </x:c>
      <x:c r="C82" s="96" t="str">
        <x:v>Current RC1 hash retained for genealogy</x:v>
      </x:c>
      <x:c r="D82" s="96" t="str">
        <x:v>Run candidate audit, fix findings, rerun final audit</x:v>
      </x:c>
      <x:c r="E82" s="96" t="str">
        <x:v>G-DOC-RC / G-BASE</x:v>
      </x:c>
      <x:c r="F82" s="96" t="str">
        <x:v>Documentation / QA</x:v>
      </x:c>
      <x:c r="G82" s="96" t="str">
        <x:v>Yes</x:v>
      </x:c>
      <x:c r="H82" s="96" t="str">
        <x:v>No final freeze with BLOCKER/HIGH open.</x:v>
      </x:c>
    </x:row>
    <x:row r="83" ht="39.599998474121094" hidden="0" customHeight="1">
      <x:c r="A83" s="96" t="str">
        <x:v>External artifacts / ZIP</x:v>
      </x:c>
      <x:c r="B83" s="96" t="str">
        <x:v>NOT GENERATED</x:v>
      </x:c>
      <x:c r="C83" s="96" t="str">
        <x:v>No final hashes</x:v>
      </x:c>
      <x:c r="D83" s="96" t="str">
        <x:v>Generate manifest/checksums/report, ZIP, clean restore and Git tag</x:v>
      </x:c>
      <x:c r="E83" s="96" t="str">
        <x:v>G-BASE / G-DOC-RESTORE</x:v>
      </x:c>
      <x:c r="F83" s="96" t="str">
        <x:v>Documentation / Build</x:v>
      </x:c>
      <x:c r="G83" s="96" t="str">
        <x:v>Yes</x:v>
      </x:c>
      <x:c r="H83" s="96" t="str">
        <x:v>Final closure only; does not imply H6 or Release PASS.</x:v>
      </x:c>
    </x:row>
  </x:sheetData>
  <x:mergeCells>
    <x:mergeCell ref="A1:H1"/>
    <x:mergeCell ref="A2:H2"/>
    <x:mergeCell ref="D4:H4"/>
    <x:mergeCell ref="A17:H17"/>
    <x:mergeCell ref="A74:H74"/>
  </x:mergeCells>
  <x:conditionalFormatting sqref="E9:F9">
    <x:cfRule type="cellIs" dxfId="23" priority="1" operator="greaterThan">
      <x:formula>0</x:formula>
    </x:cfRule>
  </x:conditionalFormatting>
  <x:conditionalFormatting sqref="B19:C21">
    <x:cfRule type="expression" dxfId="24" priority="2">
      <x:formula>B19="BLOCKED"</x:formula>
    </x:cfRule>
    <x:cfRule type="expression" dxfId="25" priority="3">
      <x:formula>B19="READY FOR DECISION"</x:formula>
    </x:cfRule>
  </x:conditionalFormatting>
  <x:conditionalFormatting sqref="D35:D71">
    <x:cfRule type="cellIs" dxfId="26" priority="4" operator="greaterThan">
      <x:formula>0</x:formula>
    </x:cfRule>
  </x:conditionalFormatting>
  <x:dataValidations count="1">
    <x:dataValidation type="list" sqref="C19:C21">
      <x:formula1>"PENDING,READY FOR DECISION,PASS,FAIL,PASS WITH ACCEPTED DEBT"</x:formula1>
    </x:dataValidation>
  </x:dataValidations>
  <x:pageMargins left="0.7" right="0.7" top="0.75" bottom="0.75" header="0.3" footer="0.3"/>
  <x:drawing xmlns:r="http://schemas.openxmlformats.org/officeDocument/2006/relationships" r:id="Rdac4d307a64d489d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5" hidden="0" customWidth="1"/>
  </x:cols>
  <x:sheetData>
    <x:row r="1" ht="34" customHeight="1">
      <x:c r="A1" s="95" t="str">
        <x:v>31 — H6 and Release Readiness Checklist</x:v>
      </x:c>
      <x:c r="B1" s="95"/>
      <x:c r="C1" s="5"/>
      <x:c r="D1" s="5"/>
      <x:c r="E1" s="5"/>
      <x:c r="F1" s="5"/>
      <x:c r="G1" s="5"/>
      <x:c r="H1" s="5"/>
    </x:row>
    <x:row r="2" ht="40" customHeight="1">
      <x:c r="A2" s="14" t="str">
        <x:v>Libro operativo maestro para decidir H6, preparar Release Readiness y validar la baseline documental. H6 sigue siendo un gate interno del vertical slice; no equivale a Steam Release Candidate ni a autorización comercial.</x:v>
      </x:c>
      <x:c r="B2" s="14"/>
      <x:c r="C2" s="14"/>
      <x:c r="D2" s="14"/>
      <x:c r="E2" s="14"/>
      <x:c r="F2" s="14"/>
      <x:c r="G2" s="14"/>
      <x:c r="H2" s="14"/>
    </x:row>
    <x:row r="3">
      <x:c r="A3" s="96"/>
      <x:c r="B3" s="96"/>
    </x:row>
    <x:row r="4">
      <x:c r="A4" s="24" t="str">
        <x:v>Campo</x:v>
      </x:c>
      <x:c r="B4" s="24" t="str">
        <x:v>Regla de uso</x:v>
      </x:c>
    </x:row>
    <x:row r="5">
      <x:c r="A5" s="32" t="str">
        <x:v>Status</x:v>
      </x:c>
      <x:c r="B5" s="32" t="str">
        <x:v>Editar mediante desplegable. PASS exige evidencia reproducible. EXCEPTION APPROVED exige registro formal y nunca puede ocultar S0/S1, BLOCKER/HIGH de auditoría ni dependencias sin validar.</x:v>
      </x:c>
    </x:row>
    <x:row r="6">
      <x:c r="A6" s="32" t="str">
        <x:v>Blocking</x:v>
      </x:c>
      <x:c r="B6" s="32" t="str">
        <x:v>Yes significa que FAIL, BLOCKED, NOT RUN o IN PROGRESS impiden declarar el gate listo. Review requiere decisión explícita y trazable.</x:v>
      </x:c>
    </x:row>
    <x:row r="7">
      <x:c r="A7" s="32" t="str">
        <x:v>Evidence ID</x:v>
      </x:c>
      <x:c r="B7" s="32" t="str">
        <x:v>Debe enlazar con 05_Evidencias. No usar descripciones vagas como “probado” sin artefacto, build o paquete, fecha, ejecutor y verificador.</x:v>
      </x:c>
    </x:row>
    <x:row r="8">
      <x:c r="A8" s="32" t="str">
        <x:v>Defect/Exception ID</x:v>
      </x:c>
      <x:c r="B8" s="32" t="str">
        <x:v>Debe enlazar con 06_Defectos_Excepciones. Cada S0/S1 bloquea; cada S2 requiere resolución o excepción formal. Los hallazgos heredados no se cierran por regenerar un archivo: se cierran al verificarlos en 16.</x:v>
      </x:c>
    </x:row>
    <x:row r="9">
      <x:c r="A9" s="32" t="str">
        <x:v>Build ID</x:v>
      </x:c>
      <x:c r="B9" s="32" t="str">
        <x:v>Toda ejecución de gate debe identificar un artefacto de 07_Builds_Integridad. Para baseline documental se usan PKG-DOC-RC1 y PKG-DOC-FINAL.</x:v>
      </x:c>
    </x:row>
    <x:row r="10">
      <x:c r="A10" s="32" t="str">
        <x:v>Jerarquía vigente</x:v>
      </x:c>
      <x:c r="B10" s="32" t="str">
        <x:v>00 define alcance; 01 diseño; 02 contrato H6; 03/04 técnica/datos; 05 UX; 06 producción; 07/08 QA; 11 build; 17–30 especialidades; 31 operacionaliza; 32 manifiesta; 33 gobierna riesgos/continuidad; 34 opera y transfiere.</x:v>
      </x:c>
    </x:row>
    <x:row r="11">
      <x:c r="A11" s="32" t="str">
        <x:v>Documentos 32–34</x:v>
      </x:c>
      <x:c r="B11" s="32" t="str">
        <x:v>Se consideran existentes. 31 ya no contiene tareas de “generarlos”; contiene controles para validar contenido, coherencia, trazabilidad, riesgos, continuidad, handoff, restauración y cierre.</x:v>
      </x:c>
    </x:row>
    <x:row r="12">
      <x:c r="A12" s="32" t="str">
        <x:v>Gobierno 12–16</x:v>
      </x:c>
      <x:c r="B12" s="32" t="str">
        <x:v>12–15 han sido regenerados tras RC1. 16 debe ejecutarse de nuevo como auditoría candidata y, tras correcciones, como auditoría final. 32 se regenera primero como candidata y luego como manifiesto definitivo.</x:v>
      </x:c>
    </x:row>
    <x:row r="13">
      <x:c r="A13" s="32" t="str">
        <x:v>Fuentes históricas</x:v>
      </x:c>
      <x:c r="B13" s="32" t="str">
        <x:v>Las baselines v0.3–v0.6 y registros de Sprint se conservan en 09_Trazabilidad_Historica. Una versión breve posterior no elimina requisitos históricos no revocados.</x:v>
      </x:c>
    </x:row>
    <x:row r="14">
      <x:c r="A14" s="32" t="str">
        <x:v>Actualización</x:v>
      </x:c>
      <x:c r="B14" s="32" t="str">
        <x:v>No borrar filas. Cambiar estado, enlazar evidencia/defecto y añadir notas. Los cambios estructurales requieren Change ID y actualización de trazabilidad.</x:v>
      </x:c>
    </x:row>
    <x:row r="15">
      <x:c r="A15" s="32" t="str">
        <x:v>Decisión H6</x:v>
      </x:c>
      <x:c r="B15" s="32" t="str">
        <x:v>PASS: todos los bloqueantes cerrados, ejecuciones requeridas completas, evidencia verificada y signoff humano. PASS WITH ACCEPTED DEBT: solo deuda no bloqueante. FAIL: blockers o evidencia insuficiente.</x:v>
      </x:c>
    </x:row>
    <x:row r="16">
      <x:c r="A16" s="96" t="str">
        <x:v>Decisión Release</x:v>
      </x:c>
      <x:c r="B16" s="96" t="str">
        <x:v>Requiere H6 PASS, RC íntegra, QA, Steam, legal, marketing, soporte, continuidad, baseline documental y signoffs separados.</x:v>
      </x:c>
    </x:row>
    <x:row r="17">
      <x:c r="A17" s="96" t="str">
        <x:v>Baseline documental</x:v>
      </x:c>
      <x:c r="B17" s="96" t="str">
        <x:v>La candidata exige 00–34 presentes, 12–15/21/23/31 actualizados, 33–34 revisados, 32 candidata y 16 candidata. El cierre exige 16 final, 32 final, artefactos externos, ZIP, restauración y commit/tag.</x:v>
      </x:c>
    </x:row>
    <x:row r="18">
      <x:c r="A18" s="97" t="str">
        <x:v>Hashes</x:v>
      </x:c>
      <x:c r="B18" s="97" t="str">
        <x:v>El SHA-256 del propio 31 y del manifiesto 32 se registra externamente después de exportar. No introducir un hash autorreferente dentro del mismo XLSX.</x:v>
      </x:c>
      <x:c r="C18" s="37"/>
      <x:c r="D18" s="37"/>
      <x:c r="E18" s="37"/>
      <x:c r="F18" s="37"/>
      <x:c r="G18" s="37"/>
      <x:c r="H18" s="37"/>
    </x:row>
    <x:row r="19">
      <x:c r="A19" s="42" t="str">
        <x:v>Estado inicial</x:v>
      </x:c>
      <x:c r="B19" s="32" t="str">
        <x:v>Todos los controles H6/Release y los nuevos controles documentales permanecen NOT RUN/MISSING/OPEN. La existencia de 32–34 no constituye ejecución ni aprobación.</x:v>
      </x:c>
    </x:row>
    <x:row r="20">
      <x:c r="A20" s="48"/>
      <x:c r="B20" s="32"/>
    </x:row>
    <x:row r="21">
      <x:c r="A21" s="54" t="str">
        <x:v>Leyenda operativa</x:v>
      </x:c>
      <x:c r="B21" s="32"/>
    </x:row>
    <x:row r="22">
      <x:c r="A22" s="60" t="str">
        <x:v>PASS</x:v>
      </x:c>
      <x:c r="B22" s="32" t="str">
        <x:v>Cumplido con evidencia verificada.</x:v>
      </x:c>
    </x:row>
    <x:row r="23">
      <x:c r="A23" s="66" t="str">
        <x:v>FAIL</x:v>
      </x:c>
      <x:c r="B23" s="32" t="str">
        <x:v>No cumple; registrar defecto o hallazgo.</x:v>
      </x:c>
    </x:row>
    <x:row r="24">
      <x:c r="A24" s="72" t="str">
        <x:v>BLOCKED</x:v>
      </x:c>
      <x:c r="B24" s="32" t="str">
        <x:v>No puede ejecutarse por dependencia o impedimento.</x:v>
      </x:c>
    </x:row>
    <x:row r="25">
      <x:c r="A25" s="78" t="str">
        <x:v>NOT RUN</x:v>
      </x:c>
      <x:c r="B25" s="32" t="str">
        <x:v>No ejecutado.</x:v>
      </x:c>
    </x:row>
    <x:row r="26">
      <x:c r="A26" s="96" t="str">
        <x:v>IN PROGRESS</x:v>
      </x:c>
      <x:c r="B26" s="96" t="str">
        <x:v>Ejecución o corrección activa.</x:v>
      </x:c>
    </x:row>
    <x:row r="27">
      <x:c r="A27" s="96" t="str">
        <x:v>EXCEPTION APPROVED</x:v>
      </x:c>
      <x:c r="B27" s="96" t="str">
        <x:v>Desviación no bloqueante aprobada formalmente.</x:v>
      </x:c>
    </x:row>
    <x:row r="28">
      <x:c r="A28" s="96" t="str">
        <x:v>NOT APPLICABLE</x:v>
      </x:c>
      <x:c r="B28" s="96" t="str">
        <x:v>Fuera del alcance del gate con justificación.</x:v>
      </x:c>
    </x:row>
    <x:row r="29">
      <x:c r="A29" s="96" t="str">
        <x:v>PENDING / CANDIDATE</x:v>
      </x:c>
      <x:c r="B29" s="96" t="str">
        <x:v>Existe una versión candidata, pero aún no ha superado auditoría/freeze.</x:v>
      </x:c>
    </x:row>
    <x:row r="30">
      <x:c r="A30" s="96" t="str">
        <x:v>FINAL / VERIFIED</x:v>
      </x:c>
      <x:c r="B30" s="96" t="str">
        <x:v>Artefacto congelado, verificado y asociado a commit/tag.</x:v>
      </x:c>
    </x:row>
  </x:sheetData>
  <x:mergeCells>
    <x:mergeCell ref="A1:H1"/>
    <x:mergeCell ref="A2:H2"/>
    <x:mergeCell ref="A18:H1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24" hidden="0" customWidth="1"/>
    <x:col min="4" max="4" width="46" hidden="0" customWidth="1"/>
    <x:col min="5" max="5" width="42" hidden="0" customWidth="1"/>
    <x:col min="6" max="6" width="36" hidden="0" customWidth="1"/>
    <x:col min="7" max="7" width="34" hidden="0" customWidth="1"/>
    <x:col min="8" max="8" width="32" hidden="0" customWidth="1"/>
    <x:col min="9" max="9" width="34" hidden="0" customWidth="1"/>
    <x:col min="10" max="10" width="18" hidden="0" customWidth="1"/>
    <x:col min="11" max="11" width="11" hidden="0" customWidth="1"/>
    <x:col min="12" max="12" width="10" hidden="0" customWidth="1"/>
    <x:col min="13" max="13" width="22" hidden="0" customWidth="1"/>
    <x:col min="14" max="14" width="22" hidden="0" customWidth="1"/>
    <x:col min="15" max="15" width="20" hidden="0" customWidth="1"/>
    <x:col min="16" max="16" width="18" hidden="0" customWidth="1"/>
    <x:col min="17" max="17" width="20" hidden="0" customWidth="1"/>
    <x:col min="18" max="18" width="28" hidden="0" customWidth="1"/>
    <x:col min="19" max="19" width="22" hidden="0" customWidth="1"/>
    <x:col min="20" max="20" width="16" hidden="0" customWidth="1"/>
    <x:col min="21" max="21" width="36" hidden="0" customWidth="1"/>
    <x:col min="22" max="22" width="9" hidden="0" customWidth="1"/>
    <x:col min="23" max="23" width="12" hidden="0" customWidth="1"/>
    <x:col min="24" max="24" width="12" hidden="0" customWidth="1"/>
    <x:col min="25" max="25" width="15" hidden="0" customWidth="1"/>
  </x:cols>
  <x:sheetData>
    <x:row r="1" ht="34" customHeight="1">
      <x:c r="A1" s="5" t="str">
        <x:v>H6 — Master Readiness Checklist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</x:row>
    <x:row r="2" ht="36" customHeight="1">
      <x:c r="A2" s="14" t="str">
        <x:v>Contrato operativo de H6. Incluye los criterios exactos de 02, controles especializados 17–30, gates de Sprint 16/17 y requisitos de evidencia. Estado inicial deliberadamente NOT RUN.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</x:row>
    <x:row r="4" ht="42" customHeight="1">
      <x:c r="A4" s="24" t="str">
        <x:v>ID</x:v>
      </x:c>
      <x:c r="B4" s="24" t="str">
        <x:v>Domain</x:v>
      </x:c>
      <x:c r="C4" s="24" t="str">
        <x:v>Subarea</x:v>
      </x:c>
      <x:c r="D4" s="24" t="str">
        <x:v>Acceptance / Readiness Criterion</x:v>
      </x:c>
      <x:c r="E4" s="24" t="str">
        <x:v>Verification Procedure</x:v>
      </x:c>
      <x:c r="F4" s="24" t="str">
        <x:v>Expected Result</x:v>
      </x:c>
      <x:c r="G4" s="24" t="str">
        <x:v>Required Evidence</x:v>
      </x:c>
      <x:c r="H4" s="24" t="str">
        <x:v>Current Source</x:v>
      </x:c>
      <x:c r="I4" s="24" t="str">
        <x:v>Historical Basis</x:v>
      </x:c>
      <x:c r="J4" s="24" t="str">
        <x:v>Gate / Stage</x:v>
      </x:c>
      <x:c r="K4" s="24" t="str">
        <x:v>Blocking</x:v>
      </x:c>
      <x:c r="L4" s="24" t="str">
        <x:v>Priority</x:v>
      </x:c>
      <x:c r="M4" s="24" t="str">
        <x:v>Owner</x:v>
      </x:c>
      <x:c r="N4" s="24" t="str">
        <x:v>Reviewer</x:v>
      </x:c>
      <x:c r="O4" s="24" t="str">
        <x:v>Status</x:v>
      </x:c>
      <x:c r="P4" s="24" t="str">
        <x:v>Evidence ID</x:v>
      </x:c>
      <x:c r="Q4" s="24" t="str">
        <x:v>Defect / Exception ID</x:v>
      </x:c>
      <x:c r="R4" s="24" t="str">
        <x:v>Dependency / Prerequisite</x:v>
      </x:c>
      <x:c r="S4" s="24" t="str">
        <x:v>Target Build</x:v>
      </x:c>
      <x:c r="T4" s="24" t="str">
        <x:v>Last Execution Date</x:v>
      </x:c>
      <x:c r="U4" s="24" t="str">
        <x:v>Notes</x:v>
      </x:c>
      <x:c r="V4" s="24" t="str">
        <x:v>Weight</x:v>
      </x:c>
      <x:c r="W4" s="24" t="str">
        <x:v>Earned Weight</x:v>
      </x:c>
      <x:c r="X4" s="24" t="str">
        <x:v>Open Blocker</x:v>
      </x:c>
      <x:c r="Y4" s="24" t="str">
        <x:v>Decision Flag</x:v>
      </x:c>
    </x:row>
    <x:row r="5">
      <x:c r="A5" s="32" t="str">
        <x:v>VS-APP-001</x:v>
      </x:c>
      <x:c r="B5" s="32" t="str">
        <x:v>Aplicación</x:v>
      </x:c>
      <x:c r="C5" s="32" t="str">
        <x:v>Criterio contractual VSS</x:v>
      </x:c>
      <x:c r="D5" s="32" t="str">
        <x:v>Bootstrap inicia y alcanza menú sin excepción bloqueante.</x:v>
      </x:c>
      <x:c r="E5" s="32" t="str">
        <x:v>Ejecutar la prueba correspondiente en Editor y/o build según el nivel definido en 02 y registrar resultado reproducible.</x:v>
      </x:c>
      <x:c r="F5" s="32" t="str">
        <x:v>El criterio se cumple sin desviaciones bloqueantes y con resultado trazable.</x:v>
      </x:c>
      <x:c r="G5" s="32" t="str">
        <x:v>Build/Editor, log y captura.</x:v>
      </x:c>
      <x:c r="H5" s="32" t="str">
        <x:v>02_Vertical_Slice_Specification.md §7</x:v>
      </x:c>
      <x:c r="I5" s="32" t="str">
        <x:v>Vertical Slice Specification v0.1–v0.4; QA Plan/Matrix v0.3–v0.6</x:v>
      </x:c>
      <x:c r="J5" s="32" t="str">
        <x:v>H6</x:v>
      </x:c>
      <x:c r="K5" s="32" t="str">
        <x:v>Yes</x:v>
      </x:c>
      <x:c r="L5" s="32" t="str">
        <x:v>P0</x:v>
      </x:c>
      <x:c r="M5" s="32" t="str">
        <x:v>Engineering</x:v>
      </x:c>
      <x:c r="N5" s="32" t="str">
        <x:v>QA/Production</x:v>
      </x:c>
      <x:c r="O5" s="32" t="str">
        <x:v>NOT RUN</x:v>
      </x:c>
      <x:c r="P5" s="32" t="str"/>
      <x:c r="Q5" s="32" t="str"/>
      <x:c r="R5" s="32" t="str"/>
      <x:c r="S5" s="32" t="str"/>
      <x:c r="T5" s="82" t="str"/>
      <x:c r="U5" s="32" t="str"/>
      <x:c r="V5" s="84" t="n">
        <x:v>1</x:v>
      </x:c>
      <x:c r="W5" s="84" t="n">
        <x:f>IF(OR($O5="PASS",$O5="EXCEPTION APPROVED",$O5="NOT APPLICABLE"),$V5,0)</x:f>
        <x:v>0</x:v>
      </x:c>
      <x:c r="X5" s="84" t="n">
        <x:f>IF(AND($K5="Yes",OR($O5="FAIL",$O5="BLOCKED",$O5="NOT RUN",$O5="IN PROGRESS")),1,0)</x:f>
        <x:v>1</x:v>
      </x:c>
      <x:c r="Y5" s="32" t="str">
        <x:f>IF($O5="FAIL","FAIL",IF($O5="BLOCKED","BLOCKED",IF(AND($O5="EXCEPTION APPROVED",$K5="Yes"),"REVIEW",IF($O5="PASS","OK","PENDING"))))</x:f>
        <x:v>PENDING</x:v>
      </x:c>
    </x:row>
    <x:row r="6">
      <x:c r="A6" s="32" t="str">
        <x:v>VS-APP-002</x:v>
      </x:c>
      <x:c r="B6" s="32" t="str">
        <x:v>Aplicación</x:v>
      </x:c>
      <x:c r="C6" s="32" t="str">
        <x:v>Criterio contractual VSS</x:v>
      </x:c>
      <x:c r="D6" s="32" t="str">
        <x:v>Nueva partida crea un slot válido una sola vez.</x:v>
      </x:c>
      <x:c r="E6" s="32" t="str">
        <x:v>Ejecutar la prueba correspondiente en Editor y/o build según el nivel definido en 02 y registrar resultado reproducible.</x:v>
      </x:c>
      <x:c r="F6" s="32" t="str">
        <x:v>El criterio se cumple sin desviaciones bloqueantes y con resultado trazable.</x:v>
      </x:c>
      <x:c r="G6" s="32" t="str">
        <x:v>Prueba manual y comparación de archivos.</x:v>
      </x:c>
      <x:c r="H6" s="32" t="str">
        <x:v>02_Vertical_Slice_Specification.md §7</x:v>
      </x:c>
      <x:c r="I6" s="32" t="str">
        <x:v>Vertical Slice Specification v0.1–v0.4; QA Plan/Matrix v0.3–v0.6</x:v>
      </x:c>
      <x:c r="J6" s="32" t="str">
        <x:v>H6</x:v>
      </x:c>
      <x:c r="K6" s="32" t="str">
        <x:v>Yes</x:v>
      </x:c>
      <x:c r="L6" s="32" t="str">
        <x:v>P0</x:v>
      </x:c>
      <x:c r="M6" s="32" t="str">
        <x:v>Engineering</x:v>
      </x:c>
      <x:c r="N6" s="32" t="str">
        <x:v>QA/Production</x:v>
      </x:c>
      <x:c r="O6" s="32" t="str">
        <x:v>NOT RUN</x:v>
      </x:c>
      <x:c r="P6" s="32" t="str"/>
      <x:c r="Q6" s="32" t="str"/>
      <x:c r="R6" s="32" t="str"/>
      <x:c r="S6" s="32" t="str"/>
      <x:c r="T6" s="82" t="str"/>
      <x:c r="U6" s="32" t="str"/>
      <x:c r="V6" s="84" t="n">
        <x:v>1</x:v>
      </x:c>
      <x:c r="W6" s="84" t="n">
        <x:f>IF(OR($O6="PASS",$O6="EXCEPTION APPROVED",$O6="NOT APPLICABLE"),$V6,0)</x:f>
        <x:v>0</x:v>
      </x:c>
      <x:c r="X6" s="84" t="n">
        <x:f>IF(AND($K6="Yes",OR($O6="FAIL",$O6="BLOCKED",$O6="NOT RUN",$O6="IN PROGRESS")),1,0)</x:f>
        <x:v>1</x:v>
      </x:c>
      <x:c r="Y6" s="32" t="str">
        <x:f>IF($O6="FAIL","FAIL",IF($O6="BLOCKED","BLOCKED",IF(AND($O6="EXCEPTION APPROVED",$K6="Yes"),"REVIEW",IF($O6="PASS","OK","PENDING"))))</x:f>
        <x:v>PENDING</x:v>
      </x:c>
    </x:row>
    <x:row r="7">
      <x:c r="A7" s="32" t="str">
        <x:v>VS-APP-003</x:v>
      </x:c>
      <x:c r="B7" s="32" t="str">
        <x:v>Aplicación</x:v>
      </x:c>
      <x:c r="C7" s="32" t="str">
        <x:v>Criterio contractual VSS</x:v>
      </x:c>
      <x:c r="D7" s="32" t="str">
        <x:v>Carga de slot entra en la sesión correcta sin duplicar inicialización.</x:v>
      </x:c>
      <x:c r="E7" s="32" t="str">
        <x:v>Ejecutar la prueba correspondiente en Editor y/o build según el nivel definido en 02 y registrar resultado reproducible.</x:v>
      </x:c>
      <x:c r="F7" s="32" t="str">
        <x:v>El criterio se cumple sin desviaciones bloqueantes y con resultado trazable.</x:v>
      </x:c>
      <x:c r="G7" s="32" t="str">
        <x:v>Golden Path y logs.</x:v>
      </x:c>
      <x:c r="H7" s="32" t="str">
        <x:v>02_Vertical_Slice_Specification.md §7</x:v>
      </x:c>
      <x:c r="I7" s="32" t="str">
        <x:v>Vertical Slice Specification v0.1–v0.4; QA Plan/Matrix v0.3–v0.6</x:v>
      </x:c>
      <x:c r="J7" s="32" t="str">
        <x:v>H6</x:v>
      </x:c>
      <x:c r="K7" s="32" t="str">
        <x:v>Yes</x:v>
      </x:c>
      <x:c r="L7" s="32" t="str">
        <x:v>P0</x:v>
      </x:c>
      <x:c r="M7" s="32" t="str">
        <x:v>Engineering</x:v>
      </x:c>
      <x:c r="N7" s="32" t="str">
        <x:v>QA/Production</x:v>
      </x:c>
      <x:c r="O7" s="32" t="str">
        <x:v>NOT RUN</x:v>
      </x:c>
      <x:c r="P7" s="32" t="str"/>
      <x:c r="Q7" s="32" t="str"/>
      <x:c r="R7" s="32" t="str"/>
      <x:c r="S7" s="32" t="str"/>
      <x:c r="T7" s="82" t="str"/>
      <x:c r="U7" s="32" t="str"/>
      <x:c r="V7" s="84" t="n">
        <x:v>1</x:v>
      </x:c>
      <x:c r="W7" s="84" t="n">
        <x:f>IF(OR($O7="PASS",$O7="EXCEPTION APPROVED",$O7="NOT APPLICABLE"),$V7,0)</x:f>
        <x:v>0</x:v>
      </x:c>
      <x:c r="X7" s="84" t="n">
        <x:f>IF(AND($K7="Yes",OR($O7="FAIL",$O7="BLOCKED",$O7="NOT RUN",$O7="IN PROGRESS")),1,0)</x:f>
        <x:v>1</x:v>
      </x:c>
      <x:c r="Y7" s="32" t="str">
        <x:f>IF($O7="FAIL","FAIL",IF($O7="BLOCKED","BLOCKED",IF(AND($O7="EXCEPTION APPROVED",$K7="Yes"),"REVIEW",IF($O7="PASS","OK","PENDING"))))</x:f>
        <x:v>PENDING</x:v>
      </x:c>
    </x:row>
    <x:row r="8">
      <x:c r="A8" s="32" t="str">
        <x:v>VS-APP-004</x:v>
      </x:c>
      <x:c r="B8" s="32" t="str">
        <x:v>Aplicación</x:v>
      </x:c>
      <x:c r="C8" s="32" t="str">
        <x:v>Criterio contractual VSS</x:v>
      </x:c>
      <x:c r="D8" s="32" t="str">
        <x:v>Volver al menú o salir no pierde un guardado confirmado.</x:v>
      </x:c>
      <x:c r="E8" s="32" t="str">
        <x:v>Ejecutar la prueba correspondiente en Editor y/o build según el nivel definido en 02 y registrar resultado reproducible.</x:v>
      </x:c>
      <x:c r="F8" s="32" t="str">
        <x:v>El criterio se cumple sin desviaciones bloqueantes y con resultado trazable.</x:v>
      </x:c>
      <x:c r="G8" s="32" t="str">
        <x:v>Prueba manual.</x:v>
      </x:c>
      <x:c r="H8" s="32" t="str">
        <x:v>02_Vertical_Slice_Specification.md §7</x:v>
      </x:c>
      <x:c r="I8" s="32" t="str">
        <x:v>Vertical Slice Specification v0.1–v0.4; QA Plan/Matrix v0.3–v0.6</x:v>
      </x:c>
      <x:c r="J8" s="32" t="str">
        <x:v>H6</x:v>
      </x:c>
      <x:c r="K8" s="32" t="str">
        <x:v>Yes</x:v>
      </x:c>
      <x:c r="L8" s="32" t="str">
        <x:v>P0</x:v>
      </x:c>
      <x:c r="M8" s="32" t="str">
        <x:v>Engineering</x:v>
      </x:c>
      <x:c r="N8" s="32" t="str">
        <x:v>QA/Production</x:v>
      </x:c>
      <x:c r="O8" s="32" t="str">
        <x:v>NOT RUN</x:v>
      </x:c>
      <x:c r="P8" s="32" t="str"/>
      <x:c r="Q8" s="32" t="str"/>
      <x:c r="R8" s="32" t="str"/>
      <x:c r="S8" s="32" t="str"/>
      <x:c r="T8" s="82" t="str"/>
      <x:c r="U8" s="32" t="str"/>
      <x:c r="V8" s="84" t="n">
        <x:v>1</x:v>
      </x:c>
      <x:c r="W8" s="84" t="n">
        <x:f>IF(OR($O8="PASS",$O8="EXCEPTION APPROVED",$O8="NOT APPLICABLE"),$V8,0)</x:f>
        <x:v>0</x:v>
      </x:c>
      <x:c r="X8" s="84" t="n">
        <x:f>IF(AND($K8="Yes",OR($O8="FAIL",$O8="BLOCKED",$O8="NOT RUN",$O8="IN PROGRESS")),1,0)</x:f>
        <x:v>1</x:v>
      </x:c>
      <x:c r="Y8" s="32" t="str">
        <x:f>IF($O8="FAIL","FAIL",IF($O8="BLOCKED","BLOCKED",IF(AND($O8="EXCEPTION APPROVED",$K8="Yes"),"REVIEW",IF($O8="PASS","OK","PENDING"))))</x:f>
        <x:v>PENDING</x:v>
      </x:c>
    </x:row>
    <x:row r="9">
      <x:c r="A9" s="32" t="str">
        <x:v>VS-SCN-001</x:v>
      </x:c>
      <x:c r="B9" s="32" t="str">
        <x:v>Escena</x:v>
      </x:c>
      <x:c r="C9" s="32" t="str">
        <x:v>Criterio contractual VSS</x:v>
      </x:c>
      <x:c r="D9" s="32" t="str">
        <x:v>`StoreInitial.unity` carga con referencias obligatorias válidas.</x:v>
      </x:c>
      <x:c r="E9" s="32" t="str">
        <x:v>Ejecutar la prueba correspondiente en Editor y/o build según el nivel definido en 02 y registrar resultado reproducible.</x:v>
      </x:c>
      <x:c r="F9" s="32" t="str">
        <x:v>El criterio se cumple sin desviaciones bloqueantes y con resultado trazable.</x:v>
      </x:c>
      <x:c r="G9" s="32" t="str">
        <x:v>Validación de escena y log.</x:v>
      </x:c>
      <x:c r="H9" s="32" t="str">
        <x:v>02_Vertical_Slice_Specification.md §7</x:v>
      </x:c>
      <x:c r="I9" s="32" t="str">
        <x:v>Vertical Slice Specification v0.1–v0.4; QA Plan/Matrix v0.3–v0.6</x:v>
      </x:c>
      <x:c r="J9" s="32" t="str">
        <x:v>H6</x:v>
      </x:c>
      <x:c r="K9" s="32" t="str">
        <x:v>Yes</x:v>
      </x:c>
      <x:c r="L9" s="32" t="str">
        <x:v>P0</x:v>
      </x:c>
      <x:c r="M9" s="32" t="str">
        <x:v>Level/Art</x:v>
      </x:c>
      <x:c r="N9" s="32" t="str">
        <x:v>QA/Production</x:v>
      </x:c>
      <x:c r="O9" s="32" t="str">
        <x:v>NOT RUN</x:v>
      </x:c>
      <x:c r="P9" s="32" t="str"/>
      <x:c r="Q9" s="32" t="str"/>
      <x:c r="R9" s="32" t="str"/>
      <x:c r="S9" s="32" t="str"/>
      <x:c r="T9" s="82" t="str"/>
      <x:c r="U9" s="32" t="str"/>
      <x:c r="V9" s="84" t="n">
        <x:v>1</x:v>
      </x:c>
      <x:c r="W9" s="84" t="n">
        <x:f>IF(OR($O9="PASS",$O9="EXCEPTION APPROVED",$O9="NOT APPLICABLE"),$V9,0)</x:f>
        <x:v>0</x:v>
      </x:c>
      <x:c r="X9" s="84" t="n">
        <x:f>IF(AND($K9="Yes",OR($O9="FAIL",$O9="BLOCKED",$O9="NOT RUN",$O9="IN PROGRESS")),1,0)</x:f>
        <x:v>1</x:v>
      </x:c>
      <x:c r="Y9" s="32" t="str">
        <x:f>IF($O9="FAIL","FAIL",IF($O9="BLOCKED","BLOCKED",IF(AND($O9="EXCEPTION APPROVED",$K9="Yes"),"REVIEW",IF($O9="PASS","OK","PENDING"))))</x:f>
        <x:v>PENDING</x:v>
      </x:c>
    </x:row>
    <x:row r="10">
      <x:c r="A10" s="32" t="str">
        <x:v>VS-SCN-002</x:v>
      </x:c>
      <x:c r="B10" s="32" t="str">
        <x:v>Escena</x:v>
      </x:c>
      <x:c r="C10" s="32" t="str">
        <x:v>Criterio contractual VSS</x:v>
      </x:c>
      <x:c r="D10" s="32" t="str">
        <x:v>Arquitectura, puerta, zonas y mobiliario están colocados conforme al layout aprobado.</x:v>
      </x:c>
      <x:c r="E10" s="32" t="str">
        <x:v>Ejecutar la prueba correspondiente en Editor y/o build según el nivel definido en 02 y registrar resultado reproducible.</x:v>
      </x:c>
      <x:c r="F10" s="32" t="str">
        <x:v>El criterio se cumple sin desviaciones bloqueantes y con resultado trazable.</x:v>
      </x:c>
      <x:c r="G10" s="32" t="str">
        <x:v>Revisión visual y checklist.</x:v>
      </x:c>
      <x:c r="H10" s="32" t="str">
        <x:v>02_Vertical_Slice_Specification.md §7</x:v>
      </x:c>
      <x:c r="I10" s="32" t="str">
        <x:v>Vertical Slice Specification v0.1–v0.4; QA Plan/Matrix v0.3–v0.6</x:v>
      </x:c>
      <x:c r="J10" s="32" t="str">
        <x:v>H6</x:v>
      </x:c>
      <x:c r="K10" s="32" t="str">
        <x:v>Yes</x:v>
      </x:c>
      <x:c r="L10" s="32" t="str">
        <x:v>P0</x:v>
      </x:c>
      <x:c r="M10" s="32" t="str">
        <x:v>Level/Art</x:v>
      </x:c>
      <x:c r="N10" s="32" t="str">
        <x:v>QA/Production</x:v>
      </x:c>
      <x:c r="O10" s="32" t="str">
        <x:v>NOT RUN</x:v>
      </x:c>
      <x:c r="P10" s="32" t="str"/>
      <x:c r="Q10" s="32" t="str"/>
      <x:c r="R10" s="32" t="str"/>
      <x:c r="S10" s="32" t="str"/>
      <x:c r="T10" s="82" t="str"/>
      <x:c r="U10" s="32" t="str"/>
      <x:c r="V10" s="84" t="n">
        <x:v>1</x:v>
      </x:c>
      <x:c r="W10" s="84" t="n">
        <x:f>IF(OR($O10="PASS",$O10="EXCEPTION APPROVED",$O10="NOT APPLICABLE"),$V10,0)</x:f>
        <x:v>0</x:v>
      </x:c>
      <x:c r="X10" s="84" t="n">
        <x:f>IF(AND($K10="Yes",OR($O10="FAIL",$O10="BLOCKED",$O10="NOT RUN",$O10="IN PROGRESS")),1,0)</x:f>
        <x:v>1</x:v>
      </x:c>
      <x:c r="Y10" s="32" t="str">
        <x:f>IF($O10="FAIL","FAIL",IF($O10="BLOCKED","BLOCKED",IF(AND($O10="EXCEPTION APPROVED",$K10="Yes"),"REVIEW",IF($O10="PASS","OK","PENDING"))))</x:f>
        <x:v>PENDING</x:v>
      </x:c>
    </x:row>
    <x:row r="11">
      <x:c r="A11" s="32" t="str">
        <x:v>VS-SCN-003</x:v>
      </x:c>
      <x:c r="B11" s="32" t="str">
        <x:v>Escena</x:v>
      </x:c>
      <x:c r="C11" s="32" t="str">
        <x:v>Criterio contractual VSS</x:v>
      </x:c>
      <x:c r="D11" s="32" t="str">
        <x:v>No existen placeholders visibles no exceptuados.</x:v>
      </x:c>
      <x:c r="E11" s="32" t="str">
        <x:v>Ejecutar la prueba correspondiente en Editor y/o build según el nivel definido en 02 y registrar resultado reproducible.</x:v>
      </x:c>
      <x:c r="F11" s="32" t="str">
        <x:v>El criterio se cumple sin desviaciones bloqueantes y con resultado trazable.</x:v>
      </x:c>
      <x:c r="G11" s="32" t="str">
        <x:v>Capturas y revisión.</x:v>
      </x:c>
      <x:c r="H11" s="32" t="str">
        <x:v>02_Vertical_Slice_Specification.md §7</x:v>
      </x:c>
      <x:c r="I11" s="32" t="str">
        <x:v>Vertical Slice Specification v0.1–v0.4; QA Plan/Matrix v0.3–v0.6</x:v>
      </x:c>
      <x:c r="J11" s="32" t="str">
        <x:v>H6</x:v>
      </x:c>
      <x:c r="K11" s="32" t="str">
        <x:v>Yes</x:v>
      </x:c>
      <x:c r="L11" s="32" t="str">
        <x:v>P0</x:v>
      </x:c>
      <x:c r="M11" s="32" t="str">
        <x:v>Level/Art</x:v>
      </x:c>
      <x:c r="N11" s="32" t="str">
        <x:v>QA/Production</x:v>
      </x:c>
      <x:c r="O11" s="32" t="str">
        <x:v>NOT RUN</x:v>
      </x:c>
      <x:c r="P11" s="32" t="str"/>
      <x:c r="Q11" s="32" t="str"/>
      <x:c r="R11" s="32" t="str"/>
      <x:c r="S11" s="32" t="str"/>
      <x:c r="T11" s="82" t="str"/>
      <x:c r="U11" s="32" t="str"/>
      <x:c r="V11" s="84" t="n">
        <x:v>1</x:v>
      </x:c>
      <x:c r="W11" s="84" t="n">
        <x:f>IF(OR($O11="PASS",$O11="EXCEPTION APPROVED",$O11="NOT APPLICABLE"),$V11,0)</x:f>
        <x:v>0</x:v>
      </x:c>
      <x:c r="X11" s="84" t="n">
        <x:f>IF(AND($K11="Yes",OR($O11="FAIL",$O11="BLOCKED",$O11="NOT RUN",$O11="IN PROGRESS")),1,0)</x:f>
        <x:v>1</x:v>
      </x:c>
      <x:c r="Y11" s="32" t="str">
        <x:f>IF($O11="FAIL","FAIL",IF($O11="BLOCKED","BLOCKED",IF(AND($O11="EXCEPTION APPROVED",$K11="Yes"),"REVIEW",IF($O11="PASS","OK","PENDING"))))</x:f>
        <x:v>PENDING</x:v>
      </x:c>
    </x:row>
    <x:row r="12">
      <x:c r="A12" s="32" t="str">
        <x:v>VS-SCN-004</x:v>
      </x:c>
      <x:c r="B12" s="32" t="str">
        <x:v>Escena</x:v>
      </x:c>
      <x:c r="C12" s="32" t="str">
        <x:v>Criterio contractual VSS</x:v>
      </x:c>
      <x:c r="D12" s="32" t="str">
        <x:v>Visuales, colliders, navegación y puntos funcionales no se contradicen.</x:v>
      </x:c>
      <x:c r="E12" s="32" t="str">
        <x:v>Ejecutar la prueba correspondiente en Editor y/o build según el nivel definido en 02 y registrar resultado reproducible.</x:v>
      </x:c>
      <x:c r="F12" s="32" t="str">
        <x:v>El criterio se cumple sin desviaciones bloqueantes y con resultado trazable.</x:v>
      </x:c>
      <x:c r="G12" s="32" t="str">
        <x:v>Recorrido manual.</x:v>
      </x:c>
      <x:c r="H12" s="32" t="str">
        <x:v>02_Vertical_Slice_Specification.md §7</x:v>
      </x:c>
      <x:c r="I12" s="32" t="str">
        <x:v>Vertical Slice Specification v0.1–v0.4; QA Plan/Matrix v0.3–v0.6</x:v>
      </x:c>
      <x:c r="J12" s="32" t="str">
        <x:v>H6</x:v>
      </x:c>
      <x:c r="K12" s="32" t="str">
        <x:v>Yes</x:v>
      </x:c>
      <x:c r="L12" s="32" t="str">
        <x:v>P0</x:v>
      </x:c>
      <x:c r="M12" s="32" t="str">
        <x:v>Level/Art</x:v>
      </x:c>
      <x:c r="N12" s="32" t="str">
        <x:v>QA/Production</x:v>
      </x:c>
      <x:c r="O12" s="32" t="str">
        <x:v>NOT RUN</x:v>
      </x:c>
      <x:c r="P12" s="32" t="str"/>
      <x:c r="Q12" s="32" t="str"/>
      <x:c r="R12" s="32" t="str"/>
      <x:c r="S12" s="32" t="str"/>
      <x:c r="T12" s="82" t="str"/>
      <x:c r="U12" s="32" t="str"/>
      <x:c r="V12" s="84" t="n">
        <x:v>1</x:v>
      </x:c>
      <x:c r="W12" s="84" t="n">
        <x:f>IF(OR($O12="PASS",$O12="EXCEPTION APPROVED",$O12="NOT APPLICABLE"),$V12,0)</x:f>
        <x:v>0</x:v>
      </x:c>
      <x:c r="X12" s="84" t="n">
        <x:f>IF(AND($K12="Yes",OR($O12="FAIL",$O12="BLOCKED",$O12="NOT RUN",$O12="IN PROGRESS")),1,0)</x:f>
        <x:v>1</x:v>
      </x:c>
      <x:c r="Y12" s="32" t="str">
        <x:f>IF($O12="FAIL","FAIL",IF($O12="BLOCKED","BLOCKED",IF(AND($O12="EXCEPTION APPROVED",$K12="Yes"),"REVIEW",IF($O12="PASS","OK","PENDING"))))</x:f>
        <x:v>PENDING</x:v>
      </x:c>
    </x:row>
    <x:row r="13">
      <x:c r="A13" s="32" t="str">
        <x:v>VS-INP-001</x:v>
      </x:c>
      <x:c r="B13" s="32" t="str">
        <x:v>Input</x:v>
      </x:c>
      <x:c r="C13" s="32" t="str">
        <x:v>Criterio contractual VSS</x:v>
      </x:c>
      <x:c r="D13" s="32" t="str">
        <x:v>Un evento consumido por UI no dispara movimiento, colocación o interacción de mundo.</x:v>
      </x:c>
      <x:c r="E13" s="32" t="str">
        <x:v>Ejecutar la prueba correspondiente en Editor y/o build según el nivel definido en 02 y registrar resultado reproducible.</x:v>
      </x:c>
      <x:c r="F13" s="32" t="str">
        <x:v>El criterio se cumple sin desviaciones bloqueantes y con resultado trazable.</x:v>
      </x:c>
      <x:c r="G13" s="32" t="str">
        <x:v>Pruebas de propagación.</x:v>
      </x:c>
      <x:c r="H13" s="32" t="str">
        <x:v>02_Vertical_Slice_Specification.md §7</x:v>
      </x:c>
      <x:c r="I13" s="32" t="str">
        <x:v>Vertical Slice Specification v0.1–v0.4; QA Plan/Matrix v0.3–v0.6</x:v>
      </x:c>
      <x:c r="J13" s="32" t="str">
        <x:v>H6</x:v>
      </x:c>
      <x:c r="K13" s="32" t="str">
        <x:v>Yes</x:v>
      </x:c>
      <x:c r="L13" s="32" t="str">
        <x:v>P0</x:v>
      </x:c>
      <x:c r="M13" s="32" t="str">
        <x:v>Engineering/UX</x:v>
      </x:c>
      <x:c r="N13" s="32" t="str">
        <x:v>QA/Production</x:v>
      </x:c>
      <x:c r="O13" s="32" t="str">
        <x:v>NOT RUN</x:v>
      </x:c>
      <x:c r="P13" s="32" t="str"/>
      <x:c r="Q13" s="32" t="str"/>
      <x:c r="R13" s="32" t="str"/>
      <x:c r="S13" s="32" t="str"/>
      <x:c r="T13" s="82" t="str"/>
      <x:c r="U13" s="32" t="str"/>
      <x:c r="V13" s="84" t="n">
        <x:v>1</x:v>
      </x:c>
      <x:c r="W13" s="84" t="n">
        <x:f>IF(OR($O13="PASS",$O13="EXCEPTION APPROVED",$O13="NOT APPLICABLE"),$V13,0)</x:f>
        <x:v>0</x:v>
      </x:c>
      <x:c r="X13" s="84" t="n">
        <x:f>IF(AND($K13="Yes",OR($O13="FAIL",$O13="BLOCKED",$O13="NOT RUN",$O13="IN PROGRESS")),1,0)</x:f>
        <x:v>1</x:v>
      </x:c>
      <x:c r="Y13" s="32" t="str">
        <x:f>IF($O13="FAIL","FAIL",IF($O13="BLOCKED","BLOCKED",IF(AND($O13="EXCEPTION APPROVED",$K13="Yes"),"REVIEW",IF($O13="PASS","OK","PENDING"))))</x:f>
        <x:v>PENDING</x:v>
      </x:c>
    </x:row>
    <x:row r="14">
      <x:c r="A14" s="32" t="str">
        <x:v>VS-INP-002</x:v>
      </x:c>
      <x:c r="B14" s="32" t="str">
        <x:v>Input</x:v>
      </x:c>
      <x:c r="C14" s="32" t="str">
        <x:v>Criterio contractual VSS</x:v>
      </x:c>
      <x:c r="D14" s="32" t="str">
        <x:v>Clic de mundo produce destino válido o feedback de rechazo.</x:v>
      </x:c>
      <x:c r="E14" s="32" t="str">
        <x:v>Ejecutar la prueba correspondiente en Editor y/o build según el nivel definido en 02 y registrar resultado reproducible.</x:v>
      </x:c>
      <x:c r="F14" s="32" t="str">
        <x:v>El criterio se cumple sin desviaciones bloqueantes y con resultado trazable.</x:v>
      </x:c>
      <x:c r="G14" s="32" t="str">
        <x:v>Recorrido manual.</x:v>
      </x:c>
      <x:c r="H14" s="32" t="str">
        <x:v>02_Vertical_Slice_Specification.md §7</x:v>
      </x:c>
      <x:c r="I14" s="32" t="str">
        <x:v>Vertical Slice Specification v0.1–v0.4; QA Plan/Matrix v0.3–v0.6</x:v>
      </x:c>
      <x:c r="J14" s="32" t="str">
        <x:v>H6</x:v>
      </x:c>
      <x:c r="K14" s="32" t="str">
        <x:v>Yes</x:v>
      </x:c>
      <x:c r="L14" s="32" t="str">
        <x:v>P0</x:v>
      </x:c>
      <x:c r="M14" s="32" t="str">
        <x:v>Engineering/UX</x:v>
      </x:c>
      <x:c r="N14" s="32" t="str">
        <x:v>QA/Production</x:v>
      </x:c>
      <x:c r="O14" s="32" t="str">
        <x:v>NOT RUN</x:v>
      </x:c>
      <x:c r="P14" s="32" t="str"/>
      <x:c r="Q14" s="32" t="str"/>
      <x:c r="R14" s="32" t="str"/>
      <x:c r="S14" s="32" t="str"/>
      <x:c r="T14" s="82" t="str"/>
      <x:c r="U14" s="32" t="str"/>
      <x:c r="V14" s="84" t="n">
        <x:v>1</x:v>
      </x:c>
      <x:c r="W14" s="84" t="n">
        <x:f>IF(OR($O14="PASS",$O14="EXCEPTION APPROVED",$O14="NOT APPLICABLE"),$V14,0)</x:f>
        <x:v>0</x:v>
      </x:c>
      <x:c r="X14" s="84" t="n">
        <x:f>IF(AND($K14="Yes",OR($O14="FAIL",$O14="BLOCKED",$O14="NOT RUN",$O14="IN PROGRESS")),1,0)</x:f>
        <x:v>1</x:v>
      </x:c>
      <x:c r="Y14" s="32" t="str">
        <x:f>IF($O14="FAIL","FAIL",IF($O14="BLOCKED","BLOCKED",IF(AND($O14="EXCEPTION APPROVED",$K14="Yes"),"REVIEW",IF($O14="PASS","OK","PENDING"))))</x:f>
        <x:v>PENDING</x:v>
      </x:c>
    </x:row>
    <x:row r="15">
      <x:c r="A15" s="32" t="str">
        <x:v>VS-CAM-001</x:v>
      </x:c>
      <x:c r="B15" s="32" t="str">
        <x:v>Cámara</x:v>
      </x:c>
      <x:c r="C15" s="32" t="str">
        <x:v>Criterio contractual VSS</x:v>
      </x:c>
      <x:c r="D15" s="32" t="str">
        <x:v>Órbita y zoom permanecen dentro de límites y no bloquean el flujo.</x:v>
      </x:c>
      <x:c r="E15" s="32" t="str">
        <x:v>Ejecutar la prueba correspondiente en Editor y/o build según el nivel definido en 02 y registrar resultado reproducible.</x:v>
      </x:c>
      <x:c r="F15" s="32" t="str">
        <x:v>El criterio se cumple sin desviaciones bloqueantes y con resultado trazable.</x:v>
      </x:c>
      <x:c r="G15" s="32" t="str">
        <x:v>Prueba manual.</x:v>
      </x:c>
      <x:c r="H15" s="32" t="str">
        <x:v>02_Vertical_Slice_Specification.md §7</x:v>
      </x:c>
      <x:c r="I15" s="32" t="str">
        <x:v>Vertical Slice Specification v0.1–v0.4; QA Plan/Matrix v0.3–v0.6</x:v>
      </x:c>
      <x:c r="J15" s="32" t="str">
        <x:v>H6</x:v>
      </x:c>
      <x:c r="K15" s="32" t="str">
        <x:v>Yes</x:v>
      </x:c>
      <x:c r="L15" s="32" t="str">
        <x:v>P0</x:v>
      </x:c>
      <x:c r="M15" s="32" t="str">
        <x:v>Engineering/UX</x:v>
      </x:c>
      <x:c r="N15" s="32" t="str">
        <x:v>QA/Production</x:v>
      </x:c>
      <x:c r="O15" s="32" t="str">
        <x:v>NOT RUN</x:v>
      </x:c>
      <x:c r="P15" s="32" t="str"/>
      <x:c r="Q15" s="32" t="str"/>
      <x:c r="R15" s="32" t="str"/>
      <x:c r="S15" s="32" t="str"/>
      <x:c r="T15" s="82" t="str"/>
      <x:c r="U15" s="32" t="str"/>
      <x:c r="V15" s="84" t="n">
        <x:v>1</x:v>
      </x:c>
      <x:c r="W15" s="84" t="n">
        <x:f>IF(OR($O15="PASS",$O15="EXCEPTION APPROVED",$O15="NOT APPLICABLE"),$V15,0)</x:f>
        <x:v>0</x:v>
      </x:c>
      <x:c r="X15" s="84" t="n">
        <x:f>IF(AND($K15="Yes",OR($O15="FAIL",$O15="BLOCKED",$O15="NOT RUN",$O15="IN PROGRESS")),1,0)</x:f>
        <x:v>1</x:v>
      </x:c>
      <x:c r="Y15" s="32" t="str">
        <x:f>IF($O15="FAIL","FAIL",IF($O15="BLOCKED","BLOCKED",IF(AND($O15="EXCEPTION APPROVED",$K15="Yes"),"REVIEW",IF($O15="PASS","OK","PENDING"))))</x:f>
        <x:v>PENDING</x:v>
      </x:c>
    </x:row>
    <x:row r="16">
      <x:c r="A16" s="32" t="str">
        <x:v>VS-CAM-002</x:v>
      </x:c>
      <x:c r="B16" s="32" t="str">
        <x:v>Cámara</x:v>
      </x:c>
      <x:c r="C16" s="32" t="str">
        <x:v>Criterio contractual VSS</x:v>
      </x:c>
      <x:c r="D16" s="32" t="str">
        <x:v>La cámara mantiene legibles entrada, displays, cola y checkout.</x:v>
      </x:c>
      <x:c r="E16" s="32" t="str">
        <x:v>Ejecutar la prueba correspondiente en Editor y/o build según el nivel definido en 02 y registrar resultado reproducible.</x:v>
      </x:c>
      <x:c r="F16" s="32" t="str">
        <x:v>El criterio se cumple sin desviaciones bloqueantes y con resultado trazable.</x:v>
      </x:c>
      <x:c r="G16" s="32" t="str">
        <x:v>Capturas de referencia.</x:v>
      </x:c>
      <x:c r="H16" s="32" t="str">
        <x:v>02_Vertical_Slice_Specification.md §7</x:v>
      </x:c>
      <x:c r="I16" s="32" t="str">
        <x:v>Vertical Slice Specification v0.1–v0.4; QA Plan/Matrix v0.3–v0.6</x:v>
      </x:c>
      <x:c r="J16" s="32" t="str">
        <x:v>H6</x:v>
      </x:c>
      <x:c r="K16" s="32" t="str">
        <x:v>Yes</x:v>
      </x:c>
      <x:c r="L16" s="32" t="str">
        <x:v>P0</x:v>
      </x:c>
      <x:c r="M16" s="32" t="str">
        <x:v>Engineering/UX</x:v>
      </x:c>
      <x:c r="N16" s="32" t="str">
        <x:v>QA/Production</x:v>
      </x:c>
      <x:c r="O16" s="32" t="str">
        <x:v>NOT RUN</x:v>
      </x:c>
      <x:c r="P16" s="32" t="str"/>
      <x:c r="Q16" s="32" t="str"/>
      <x:c r="R16" s="32" t="str"/>
      <x:c r="S16" s="32" t="str"/>
      <x:c r="T16" s="82" t="str"/>
      <x:c r="U16" s="32" t="str"/>
      <x:c r="V16" s="84" t="n">
        <x:v>1</x:v>
      </x:c>
      <x:c r="W16" s="84" t="n">
        <x:f>IF(OR($O16="PASS",$O16="EXCEPTION APPROVED",$O16="NOT APPLICABLE"),$V16,0)</x:f>
        <x:v>0</x:v>
      </x:c>
      <x:c r="X16" s="84" t="n">
        <x:f>IF(AND($K16="Yes",OR($O16="FAIL",$O16="BLOCKED",$O16="NOT RUN",$O16="IN PROGRESS")),1,0)</x:f>
        <x:v>1</x:v>
      </x:c>
      <x:c r="Y16" s="32" t="str">
        <x:f>IF($O16="FAIL","FAIL",IF($O16="BLOCKED","BLOCKED",IF(AND($O16="EXCEPTION APPROVED",$K16="Yes"),"REVIEW",IF($O16="PASS","OK","PENDING"))))</x:f>
        <x:v>PENDING</x:v>
      </x:c>
    </x:row>
    <x:row r="17">
      <x:c r="A17" s="32" t="str">
        <x:v>VS-MOV-001</x:v>
      </x:c>
      <x:c r="B17" s="32" t="str">
        <x:v>Movimiento</x:v>
      </x:c>
      <x:c r="C17" s="32" t="str">
        <x:v>Criterio contractual VSS</x:v>
      </x:c>
      <x:c r="D17" s="32" t="str">
        <x:v>El jugador alcanza todos los puntos accesibles obligatorios.</x:v>
      </x:c>
      <x:c r="E17" s="32" t="str">
        <x:v>Ejecutar la prueba correspondiente en Editor y/o build según el nivel definido en 02 y registrar resultado reproducible.</x:v>
      </x:c>
      <x:c r="F17" s="32" t="str">
        <x:v>El criterio se cumple sin desviaciones bloqueantes y con resultado trazable.</x:v>
      </x:c>
      <x:c r="G17" s="32" t="str">
        <x:v>Ruta completa.</x:v>
      </x:c>
      <x:c r="H17" s="32" t="str">
        <x:v>02_Vertical_Slice_Specification.md §7</x:v>
      </x:c>
      <x:c r="I17" s="32" t="str">
        <x:v>Vertical Slice Specification v0.1–v0.4; QA Plan/Matrix v0.3–v0.6</x:v>
      </x:c>
      <x:c r="J17" s="32" t="str">
        <x:v>H6</x:v>
      </x:c>
      <x:c r="K17" s="32" t="str">
        <x:v>Yes</x:v>
      </x:c>
      <x:c r="L17" s="32" t="str">
        <x:v>P0</x:v>
      </x:c>
      <x:c r="M17" s="32" t="str">
        <x:v>Engineering</x:v>
      </x:c>
      <x:c r="N17" s="32" t="str">
        <x:v>QA/Production</x:v>
      </x:c>
      <x:c r="O17" s="32" t="str">
        <x:v>NOT RUN</x:v>
      </x:c>
      <x:c r="P17" s="32" t="str"/>
      <x:c r="Q17" s="32" t="str"/>
      <x:c r="R17" s="32" t="str"/>
      <x:c r="S17" s="32" t="str"/>
      <x:c r="T17" s="82" t="str"/>
      <x:c r="U17" s="32" t="str"/>
      <x:c r="V17" s="84" t="n">
        <x:v>1</x:v>
      </x:c>
      <x:c r="W17" s="84" t="n">
        <x:f>IF(OR($O17="PASS",$O17="EXCEPTION APPROVED",$O17="NOT APPLICABLE"),$V17,0)</x:f>
        <x:v>0</x:v>
      </x:c>
      <x:c r="X17" s="84" t="n">
        <x:f>IF(AND($K17="Yes",OR($O17="FAIL",$O17="BLOCKED",$O17="NOT RUN",$O17="IN PROGRESS")),1,0)</x:f>
        <x:v>1</x:v>
      </x:c>
      <x:c r="Y17" s="32" t="str">
        <x:f>IF($O17="FAIL","FAIL",IF($O17="BLOCKED","BLOCKED",IF(AND($O17="EXCEPTION APPROVED",$K17="Yes"),"REVIEW",IF($O17="PASS","OK","PENDING"))))</x:f>
        <x:v>PENDING</x:v>
      </x:c>
    </x:row>
    <x:row r="18">
      <x:c r="A18" s="32" t="str">
        <x:v>VS-MOV-002</x:v>
      </x:c>
      <x:c r="B18" s="32" t="str">
        <x:v>Movimiento</x:v>
      </x:c>
      <x:c r="C18" s="32" t="str">
        <x:v>Criterio contractual VSS</x:v>
      </x:c>
      <x:c r="D18" s="32" t="str">
        <x:v>El jugador no atraviesa arquitectura ni mobiliario.</x:v>
      </x:c>
      <x:c r="E18" s="32" t="str">
        <x:v>Ejecutar la prueba correspondiente en Editor y/o build según el nivel definido en 02 y registrar resultado reproducible.</x:v>
      </x:c>
      <x:c r="F18" s="32" t="str">
        <x:v>El criterio se cumple sin desviaciones bloqueantes y con resultado trazable.</x:v>
      </x:c>
      <x:c r="G18" s="32" t="str">
        <x:v>Pruebas de colisión/navegación.</x:v>
      </x:c>
      <x:c r="H18" s="32" t="str">
        <x:v>02_Vertical_Slice_Specification.md §7</x:v>
      </x:c>
      <x:c r="I18" s="32" t="str">
        <x:v>Vertical Slice Specification v0.1–v0.4; QA Plan/Matrix v0.3–v0.6</x:v>
      </x:c>
      <x:c r="J18" s="32" t="str">
        <x:v>H6</x:v>
      </x:c>
      <x:c r="K18" s="32" t="str">
        <x:v>Yes</x:v>
      </x:c>
      <x:c r="L18" s="32" t="str">
        <x:v>P0</x:v>
      </x:c>
      <x:c r="M18" s="32" t="str">
        <x:v>Engineering</x:v>
      </x:c>
      <x:c r="N18" s="32" t="str">
        <x:v>QA/Production</x:v>
      </x:c>
      <x:c r="O18" s="32" t="str">
        <x:v>NOT RUN</x:v>
      </x:c>
      <x:c r="P18" s="32" t="str"/>
      <x:c r="Q18" s="32" t="str"/>
      <x:c r="R18" s="32" t="str"/>
      <x:c r="S18" s="32" t="str"/>
      <x:c r="T18" s="82" t="str"/>
      <x:c r="U18" s="32" t="str"/>
      <x:c r="V18" s="84" t="n">
        <x:v>1</x:v>
      </x:c>
      <x:c r="W18" s="84" t="n">
        <x:f>IF(OR($O18="PASS",$O18="EXCEPTION APPROVED",$O18="NOT APPLICABLE"),$V18,0)</x:f>
        <x:v>0</x:v>
      </x:c>
      <x:c r="X18" s="84" t="n">
        <x:f>IF(AND($K18="Yes",OR($O18="FAIL",$O18="BLOCKED",$O18="NOT RUN",$O18="IN PROGRESS")),1,0)</x:f>
        <x:v>1</x:v>
      </x:c>
      <x:c r="Y18" s="32" t="str">
        <x:f>IF($O18="FAIL","FAIL",IF($O18="BLOCKED","BLOCKED",IF(AND($O18="EXCEPTION APPROVED",$K18="Yes"),"REVIEW",IF($O18="PASS","OK","PENDING"))))</x:f>
        <x:v>PENDING</x:v>
      </x:c>
    </x:row>
    <x:row r="19">
      <x:c r="A19" s="32" t="str">
        <x:v>VS-MOV-003</x:v>
      </x:c>
      <x:c r="B19" s="32" t="str">
        <x:v>Movimiento</x:v>
      </x:c>
      <x:c r="C19" s="32" t="str">
        <x:v>Criterio contractual VSS</x:v>
      </x:c>
      <x:c r="D19" s="32" t="str">
        <x:v>Un destino inaccesible no deja al jugador en estado indefinido.</x:v>
      </x:c>
      <x:c r="E19" s="32" t="str">
        <x:v>Ejecutar la prueba correspondiente en Editor y/o build según el nivel definido en 02 y registrar resultado reproducible.</x:v>
      </x:c>
      <x:c r="F19" s="32" t="str">
        <x:v>El criterio se cumple sin desviaciones bloqueantes y con resultado trazable.</x:v>
      </x:c>
      <x:c r="G19" s="32" t="str">
        <x:v>Prueba negativa.</x:v>
      </x:c>
      <x:c r="H19" s="32" t="str">
        <x:v>02_Vertical_Slice_Specification.md §7</x:v>
      </x:c>
      <x:c r="I19" s="32" t="str">
        <x:v>Vertical Slice Specification v0.1–v0.4; QA Plan/Matrix v0.3–v0.6</x:v>
      </x:c>
      <x:c r="J19" s="32" t="str">
        <x:v>H6</x:v>
      </x:c>
      <x:c r="K19" s="32" t="str">
        <x:v>Yes</x:v>
      </x:c>
      <x:c r="L19" s="32" t="str">
        <x:v>P0</x:v>
      </x:c>
      <x:c r="M19" s="32" t="str">
        <x:v>Engineering</x:v>
      </x:c>
      <x:c r="N19" s="32" t="str">
        <x:v>QA/Production</x:v>
      </x:c>
      <x:c r="O19" s="32" t="str">
        <x:v>NOT RUN</x:v>
      </x:c>
      <x:c r="P19" s="32" t="str"/>
      <x:c r="Q19" s="32" t="str"/>
      <x:c r="R19" s="32" t="str"/>
      <x:c r="S19" s="32" t="str"/>
      <x:c r="T19" s="82" t="str"/>
      <x:c r="U19" s="32" t="str"/>
      <x:c r="V19" s="84" t="n">
        <x:v>1</x:v>
      </x:c>
      <x:c r="W19" s="84" t="n">
        <x:f>IF(OR($O19="PASS",$O19="EXCEPTION APPROVED",$O19="NOT APPLICABLE"),$V19,0)</x:f>
        <x:v>0</x:v>
      </x:c>
      <x:c r="X19" s="84" t="n">
        <x:f>IF(AND($K19="Yes",OR($O19="FAIL",$O19="BLOCKED",$O19="NOT RUN",$O19="IN PROGRESS")),1,0)</x:f>
        <x:v>1</x:v>
      </x:c>
      <x:c r="Y19" s="32" t="str">
        <x:f>IF($O19="FAIL","FAIL",IF($O19="BLOCKED","BLOCKED",IF(AND($O19="EXCEPTION APPROVED",$K19="Yes"),"REVIEW",IF($O19="PASS","OK","PENDING"))))</x:f>
        <x:v>PENDING</x:v>
      </x:c>
    </x:row>
    <x:row r="20">
      <x:c r="A20" s="32" t="str">
        <x:v>VS-BLD-001</x:v>
      </x:c>
      <x:c r="B20" s="32" t="str">
        <x:v>Construcción</x:v>
      </x:c>
      <x:c r="C20" s="32" t="str">
        <x:v>Criterio contractual VSS</x:v>
      </x:c>
      <x:c r="D20" s="32" t="str">
        <x:v>Preview coincide con posición, rotación y huella final.</x:v>
      </x:c>
      <x:c r="E20" s="32" t="str">
        <x:v>Ejecutar la prueba correspondiente en Editor y/o build según el nivel definido en 02 y registrar resultado reproducible.</x:v>
      </x:c>
      <x:c r="F20" s="32" t="str">
        <x:v>El criterio se cumple sin desviaciones bloqueantes y con resultado trazable.</x:v>
      </x:c>
      <x:c r="G20" s="32" t="str">
        <x:v>Prueba de colocación.</x:v>
      </x:c>
      <x:c r="H20" s="32" t="str">
        <x:v>02_Vertical_Slice_Specification.md §7</x:v>
      </x:c>
      <x:c r="I20" s="32" t="str">
        <x:v>Vertical Slice Specification v0.1–v0.4; QA Plan/Matrix v0.3–v0.6</x:v>
      </x:c>
      <x:c r="J20" s="32" t="str">
        <x:v>H6</x:v>
      </x:c>
      <x:c r="K20" s="32" t="str">
        <x:v>Yes</x:v>
      </x:c>
      <x:c r="L20" s="32" t="str">
        <x:v>P0</x:v>
      </x:c>
      <x:c r="M20" s="32" t="str">
        <x:v>Engineering/Design</x:v>
      </x:c>
      <x:c r="N20" s="32" t="str">
        <x:v>QA/Production</x:v>
      </x:c>
      <x:c r="O20" s="32" t="str">
        <x:v>NOT RUN</x:v>
      </x:c>
      <x:c r="P20" s="32" t="str"/>
      <x:c r="Q20" s="32" t="str"/>
      <x:c r="R20" s="32" t="str"/>
      <x:c r="S20" s="32" t="str"/>
      <x:c r="T20" s="82" t="str"/>
      <x:c r="U20" s="32" t="str"/>
      <x:c r="V20" s="84" t="n">
        <x:v>1</x:v>
      </x:c>
      <x:c r="W20" s="84" t="n">
        <x:f>IF(OR($O20="PASS",$O20="EXCEPTION APPROVED",$O20="NOT APPLICABLE"),$V20,0)</x:f>
        <x:v>0</x:v>
      </x:c>
      <x:c r="X20" s="84" t="n">
        <x:f>IF(AND($K20="Yes",OR($O20="FAIL",$O20="BLOCKED",$O20="NOT RUN",$O20="IN PROGRESS")),1,0)</x:f>
        <x:v>1</x:v>
      </x:c>
      <x:c r="Y20" s="32" t="str">
        <x:f>IF($O20="FAIL","FAIL",IF($O20="BLOCKED","BLOCKED",IF(AND($O20="EXCEPTION APPROVED",$K20="Yes"),"REVIEW",IF($O20="PASS","OK","PENDING"))))</x:f>
        <x:v>PENDING</x:v>
      </x:c>
    </x:row>
    <x:row r="21">
      <x:c r="A21" s="32" t="str">
        <x:v>VS-BLD-002</x:v>
      </x:c>
      <x:c r="B21" s="32" t="str">
        <x:v>Construcción</x:v>
      </x:c>
      <x:c r="C21" s="32" t="str">
        <x:v>Criterio contractual VSS</x:v>
      </x:c>
      <x:c r="D21" s="32" t="str">
        <x:v>No se confirma colocación fuera de límites o sobre celdas ocupadas.</x:v>
      </x:c>
      <x:c r="E21" s="32" t="str">
        <x:v>Ejecutar la prueba correspondiente en Editor y/o build según el nivel definido en 02 y registrar resultado reproducible.</x:v>
      </x:c>
      <x:c r="F21" s="32" t="str">
        <x:v>El criterio se cumple sin desviaciones bloqueantes y con resultado trazable.</x:v>
      </x:c>
      <x:c r="G21" s="32" t="str">
        <x:v>Pruebas negativas.</x:v>
      </x:c>
      <x:c r="H21" s="32" t="str">
        <x:v>02_Vertical_Slice_Specification.md §7</x:v>
      </x:c>
      <x:c r="I21" s="32" t="str">
        <x:v>Vertical Slice Specification v0.1–v0.4; QA Plan/Matrix v0.3–v0.6</x:v>
      </x:c>
      <x:c r="J21" s="32" t="str">
        <x:v>H6</x:v>
      </x:c>
      <x:c r="K21" s="32" t="str">
        <x:v>Yes</x:v>
      </x:c>
      <x:c r="L21" s="32" t="str">
        <x:v>P0</x:v>
      </x:c>
      <x:c r="M21" s="32" t="str">
        <x:v>Engineering/Design</x:v>
      </x:c>
      <x:c r="N21" s="32" t="str">
        <x:v>QA/Production</x:v>
      </x:c>
      <x:c r="O21" s="32" t="str">
        <x:v>NOT RUN</x:v>
      </x:c>
      <x:c r="P21" s="32" t="str"/>
      <x:c r="Q21" s="32" t="str"/>
      <x:c r="R21" s="32" t="str"/>
      <x:c r="S21" s="32" t="str"/>
      <x:c r="T21" s="82" t="str"/>
      <x:c r="U21" s="32" t="str"/>
      <x:c r="V21" s="84" t="n">
        <x:v>1</x:v>
      </x:c>
      <x:c r="W21" s="84" t="n">
        <x:f>IF(OR($O21="PASS",$O21="EXCEPTION APPROVED",$O21="NOT APPLICABLE"),$V21,0)</x:f>
        <x:v>0</x:v>
      </x:c>
      <x:c r="X21" s="84" t="n">
        <x:f>IF(AND($K21="Yes",OR($O21="FAIL",$O21="BLOCKED",$O21="NOT RUN",$O21="IN PROGRESS")),1,0)</x:f>
        <x:v>1</x:v>
      </x:c>
      <x:c r="Y21" s="32" t="str">
        <x:f>IF($O21="FAIL","FAIL",IF($O21="BLOCKED","BLOCKED",IF(AND($O21="EXCEPTION APPROVED",$K21="Yes"),"REVIEW",IF($O21="PASS","OK","PENDING"))))</x:f>
        <x:v>PENDING</x:v>
      </x:c>
    </x:row>
    <x:row r="22">
      <x:c r="A22" s="32" t="str">
        <x:v>VS-BLD-003</x:v>
      </x:c>
      <x:c r="B22" s="32" t="str">
        <x:v>Construcción</x:v>
      </x:c>
      <x:c r="C22" s="32" t="str">
        <x:v>Criterio contractual VSS</x:v>
      </x:c>
      <x:c r="D22" s="32" t="str">
        <x:v>No se bloquean entrada, salida o puntos obligatorios.</x:v>
      </x:c>
      <x:c r="E22" s="32" t="str">
        <x:v>Ejecutar la prueba correspondiente en Editor y/o build según el nivel definido en 02 y registrar resultado reproducible.</x:v>
      </x:c>
      <x:c r="F22" s="32" t="str">
        <x:v>El criterio se cumple sin desviaciones bloqueantes y con resultado trazable.</x:v>
      </x:c>
      <x:c r="G22" s="32" t="str">
        <x:v>Prueba de acceso.</x:v>
      </x:c>
      <x:c r="H22" s="32" t="str">
        <x:v>02_Vertical_Slice_Specification.md §7</x:v>
      </x:c>
      <x:c r="I22" s="32" t="str">
        <x:v>Vertical Slice Specification v0.1–v0.4; QA Plan/Matrix v0.3–v0.6</x:v>
      </x:c>
      <x:c r="J22" s="32" t="str">
        <x:v>H6</x:v>
      </x:c>
      <x:c r="K22" s="32" t="str">
        <x:v>Yes</x:v>
      </x:c>
      <x:c r="L22" s="32" t="str">
        <x:v>P0</x:v>
      </x:c>
      <x:c r="M22" s="32" t="str">
        <x:v>Engineering/Design</x:v>
      </x:c>
      <x:c r="N22" s="32" t="str">
        <x:v>QA/Production</x:v>
      </x:c>
      <x:c r="O22" s="32" t="str">
        <x:v>NOT RUN</x:v>
      </x:c>
      <x:c r="P22" s="32" t="str"/>
      <x:c r="Q22" s="32" t="str"/>
      <x:c r="R22" s="32" t="str"/>
      <x:c r="S22" s="32" t="str"/>
      <x:c r="T22" s="82" t="str"/>
      <x:c r="U22" s="32" t="str"/>
      <x:c r="V22" s="84" t="n">
        <x:v>1</x:v>
      </x:c>
      <x:c r="W22" s="84" t="n">
        <x:f>IF(OR($O22="PASS",$O22="EXCEPTION APPROVED",$O22="NOT APPLICABLE"),$V22,0)</x:f>
        <x:v>0</x:v>
      </x:c>
      <x:c r="X22" s="84" t="n">
        <x:f>IF(AND($K22="Yes",OR($O22="FAIL",$O22="BLOCKED",$O22="NOT RUN",$O22="IN PROGRESS")),1,0)</x:f>
        <x:v>1</x:v>
      </x:c>
      <x:c r="Y22" s="32" t="str">
        <x:f>IF($O22="FAIL","FAIL",IF($O22="BLOCKED","BLOCKED",IF(AND($O22="EXCEPTION APPROVED",$K22="Yes"),"REVIEW",IF($O22="PASS","OK","PENDING"))))</x:f>
        <x:v>PENDING</x:v>
      </x:c>
    </x:row>
    <x:row r="23">
      <x:c r="A23" s="32" t="str">
        <x:v>VS-BLD-004</x:v>
      </x:c>
      <x:c r="B23" s="32" t="str">
        <x:v>Construcción</x:v>
      </x:c>
      <x:c r="C23" s="32" t="str">
        <x:v>Criterio contractual VSS</x:v>
      </x:c>
      <x:c r="D23" s="32" t="str">
        <x:v>Fallo de validación no consume dinero ni altera ocupación.</x:v>
      </x:c>
      <x:c r="E23" s="32" t="str">
        <x:v>Ejecutar la prueba correspondiente en Editor y/o build según el nivel definido en 02 y registrar resultado reproducible.</x:v>
      </x:c>
      <x:c r="F23" s="32" t="str">
        <x:v>El criterio se cumple sin desviaciones bloqueantes y con resultado trazable.</x:v>
      </x:c>
      <x:c r="G23" s="32" t="str">
        <x:v>Comparación antes/después.</x:v>
      </x:c>
      <x:c r="H23" s="32" t="str">
        <x:v>02_Vertical_Slice_Specification.md §7</x:v>
      </x:c>
      <x:c r="I23" s="32" t="str">
        <x:v>Vertical Slice Specification v0.1–v0.4; QA Plan/Matrix v0.3–v0.6</x:v>
      </x:c>
      <x:c r="J23" s="32" t="str">
        <x:v>H6</x:v>
      </x:c>
      <x:c r="K23" s="32" t="str">
        <x:v>Yes</x:v>
      </x:c>
      <x:c r="L23" s="32" t="str">
        <x:v>P0</x:v>
      </x:c>
      <x:c r="M23" s="32" t="str">
        <x:v>Engineering/Design</x:v>
      </x:c>
      <x:c r="N23" s="32" t="str">
        <x:v>QA/Production</x:v>
      </x:c>
      <x:c r="O23" s="32" t="str">
        <x:v>NOT RUN</x:v>
      </x:c>
      <x:c r="P23" s="32" t="str"/>
      <x:c r="Q23" s="32" t="str"/>
      <x:c r="R23" s="32" t="str"/>
      <x:c r="S23" s="32" t="str"/>
      <x:c r="T23" s="82" t="str"/>
      <x:c r="U23" s="32" t="str"/>
      <x:c r="V23" s="84" t="n">
        <x:v>1</x:v>
      </x:c>
      <x:c r="W23" s="84" t="n">
        <x:f>IF(OR($O23="PASS",$O23="EXCEPTION APPROVED",$O23="NOT APPLICABLE"),$V23,0)</x:f>
        <x:v>0</x:v>
      </x:c>
      <x:c r="X23" s="84" t="n">
        <x:f>IF(AND($K23="Yes",OR($O23="FAIL",$O23="BLOCKED",$O23="NOT RUN",$O23="IN PROGRESS")),1,0)</x:f>
        <x:v>1</x:v>
      </x:c>
      <x:c r="Y23" s="32" t="str">
        <x:f>IF($O23="FAIL","FAIL",IF($O23="BLOCKED","BLOCKED",IF(AND($O23="EXCEPTION APPROVED",$K23="Yes"),"REVIEW",IF($O23="PASS","OK","PENDING"))))</x:f>
        <x:v>PENDING</x:v>
      </x:c>
    </x:row>
    <x:row r="24">
      <x:c r="A24" s="32" t="str">
        <x:v>VS-BLD-005</x:v>
      </x:c>
      <x:c r="B24" s="32" t="str">
        <x:v>Construcción</x:v>
      </x:c>
      <x:c r="C24" s="32" t="str">
        <x:v>Criterio contractual VSS</x:v>
      </x:c>
      <x:c r="D24" s="32" t="str">
        <x:v>Mover o retirar libera exactamente las celdas ocupadas.</x:v>
      </x:c>
      <x:c r="E24" s="32" t="str">
        <x:v>Ejecutar la prueba correspondiente en Editor y/o build según el nivel definido en 02 y registrar resultado reproducible.</x:v>
      </x:c>
      <x:c r="F24" s="32" t="str">
        <x:v>El criterio se cumple sin desviaciones bloqueantes y con resultado trazable.</x:v>
      </x:c>
      <x:c r="G24" s="32" t="str">
        <x:v>Prueba automatizada/manual.</x:v>
      </x:c>
      <x:c r="H24" s="32" t="str">
        <x:v>02_Vertical_Slice_Specification.md §7</x:v>
      </x:c>
      <x:c r="I24" s="32" t="str">
        <x:v>Vertical Slice Specification v0.1–v0.4; QA Plan/Matrix v0.3–v0.6</x:v>
      </x:c>
      <x:c r="J24" s="32" t="str">
        <x:v>H6</x:v>
      </x:c>
      <x:c r="K24" s="32" t="str">
        <x:v>Yes</x:v>
      </x:c>
      <x:c r="L24" s="32" t="str">
        <x:v>P0</x:v>
      </x:c>
      <x:c r="M24" s="32" t="str">
        <x:v>Engineering/Design</x:v>
      </x:c>
      <x:c r="N24" s="32" t="str">
        <x:v>QA/Production</x:v>
      </x:c>
      <x:c r="O24" s="32" t="str">
        <x:v>NOT RUN</x:v>
      </x:c>
      <x:c r="P24" s="32" t="str"/>
      <x:c r="Q24" s="32" t="str"/>
      <x:c r="R24" s="32" t="str"/>
      <x:c r="S24" s="32" t="str"/>
      <x:c r="T24" s="82" t="str"/>
      <x:c r="U24" s="32" t="str"/>
      <x:c r="V24" s="84" t="n">
        <x:v>1</x:v>
      </x:c>
      <x:c r="W24" s="84" t="n">
        <x:f>IF(OR($O24="PASS",$O24="EXCEPTION APPROVED",$O24="NOT APPLICABLE"),$V24,0)</x:f>
        <x:v>0</x:v>
      </x:c>
      <x:c r="X24" s="84" t="n">
        <x:f>IF(AND($K24="Yes",OR($O24="FAIL",$O24="BLOCKED",$O24="NOT RUN",$O24="IN PROGRESS")),1,0)</x:f>
        <x:v>1</x:v>
      </x:c>
      <x:c r="Y24" s="32" t="str">
        <x:f>IF($O24="FAIL","FAIL",IF($O24="BLOCKED","BLOCKED",IF(AND($O24="EXCEPTION APPROVED",$K24="Yes"),"REVIEW",IF($O24="PASS","OK","PENDING"))))</x:f>
        <x:v>PENDING</x:v>
      </x:c>
    </x:row>
    <x:row r="25">
      <x:c r="A25" s="32" t="str">
        <x:v>VS-BLD-006</x:v>
      </x:c>
      <x:c r="B25" s="32" t="str">
        <x:v>Construcción</x:v>
      </x:c>
      <x:c r="C25" s="32" t="str">
        <x:v>Criterio contractual VSS</x:v>
      </x:c>
      <x:c r="D25" s="32" t="str">
        <x:v>Posición, rotación, tipo e ID persisten tras recarga.</x:v>
      </x:c>
      <x:c r="E25" s="32" t="str">
        <x:v>Ejecutar la prueba correspondiente en Editor y/o build según el nivel definido en 02 y registrar resultado reproducible.</x:v>
      </x:c>
      <x:c r="F25" s="32" t="str">
        <x:v>El criterio se cumple sin desviaciones bloqueantes y con resultado trazable.</x:v>
      </x:c>
      <x:c r="G25" s="32" t="str">
        <x:v>Save/load.</x:v>
      </x:c>
      <x:c r="H25" s="32" t="str">
        <x:v>02_Vertical_Slice_Specification.md §7</x:v>
      </x:c>
      <x:c r="I25" s="32" t="str">
        <x:v>Vertical Slice Specification v0.1–v0.4; QA Plan/Matrix v0.3–v0.6</x:v>
      </x:c>
      <x:c r="J25" s="32" t="str">
        <x:v>H6</x:v>
      </x:c>
      <x:c r="K25" s="32" t="str">
        <x:v>Yes</x:v>
      </x:c>
      <x:c r="L25" s="32" t="str">
        <x:v>P0</x:v>
      </x:c>
      <x:c r="M25" s="32" t="str">
        <x:v>Engineering/Design</x:v>
      </x:c>
      <x:c r="N25" s="32" t="str">
        <x:v>QA/Production</x:v>
      </x:c>
      <x:c r="O25" s="32" t="str">
        <x:v>NOT RUN</x:v>
      </x:c>
      <x:c r="P25" s="32" t="str"/>
      <x:c r="Q25" s="32" t="str"/>
      <x:c r="R25" s="32" t="str"/>
      <x:c r="S25" s="32" t="str"/>
      <x:c r="T25" s="82" t="str"/>
      <x:c r="U25" s="32" t="str"/>
      <x:c r="V25" s="84" t="n">
        <x:v>1</x:v>
      </x:c>
      <x:c r="W25" s="84" t="n">
        <x:f>IF(OR($O25="PASS",$O25="EXCEPTION APPROVED",$O25="NOT APPLICABLE"),$V25,0)</x:f>
        <x:v>0</x:v>
      </x:c>
      <x:c r="X25" s="84" t="n">
        <x:f>IF(AND($K25="Yes",OR($O25="FAIL",$O25="BLOCKED",$O25="NOT RUN",$O25="IN PROGRESS")),1,0)</x:f>
        <x:v>1</x:v>
      </x:c>
      <x:c r="Y25" s="32" t="str">
        <x:f>IF($O25="FAIL","FAIL",IF($O25="BLOCKED","BLOCKED",IF(AND($O25="EXCEPTION APPROVED",$K25="Yes"),"REVIEW",IF($O25="PASS","OK","PENDING"))))</x:f>
        <x:v>PENDING</x:v>
      </x:c>
    </x:row>
    <x:row r="26">
      <x:c r="A26" s="32" t="str">
        <x:v>VS-INV-001</x:v>
      </x:c>
      <x:c r="B26" s="32" t="str">
        <x:v>Inventario</x:v>
      </x:c>
      <x:c r="C26" s="32" t="str">
        <x:v>Criterio contractual VSS</x:v>
      </x:c>
      <x:c r="D26" s="32" t="str">
        <x:v>La suma de ubicaciones coincide con el stock registrado.</x:v>
      </x:c>
      <x:c r="E26" s="32" t="str">
        <x:v>Ejecutar la prueba correspondiente en Editor y/o build según el nivel definido en 02 y registrar resultado reproducible.</x:v>
      </x:c>
      <x:c r="F26" s="32" t="str">
        <x:v>El criterio se cumple sin desviaciones bloqueantes y con resultado trazable.</x:v>
      </x:c>
      <x:c r="G26" s="32" t="str">
        <x:v>Test de invariante.</x:v>
      </x:c>
      <x:c r="H26" s="32" t="str">
        <x:v>02_Vertical_Slice_Specification.md §7</x:v>
      </x:c>
      <x:c r="I26" s="32" t="str">
        <x:v>Vertical Slice Specification v0.1–v0.4; QA Plan/Matrix v0.3–v0.6</x:v>
      </x:c>
      <x:c r="J26" s="32" t="str">
        <x:v>H6</x:v>
      </x:c>
      <x:c r="K26" s="32" t="str">
        <x:v>Yes</x:v>
      </x:c>
      <x:c r="L26" s="32" t="str">
        <x:v>P0</x:v>
      </x:c>
      <x:c r="M26" s="32" t="str">
        <x:v>Engineering/Design</x:v>
      </x:c>
      <x:c r="N26" s="32" t="str">
        <x:v>QA/Production</x:v>
      </x:c>
      <x:c r="O26" s="32" t="str">
        <x:v>NOT RUN</x:v>
      </x:c>
      <x:c r="P26" s="32" t="str"/>
      <x:c r="Q26" s="32" t="str"/>
      <x:c r="R26" s="32" t="str"/>
      <x:c r="S26" s="32" t="str"/>
      <x:c r="T26" s="82" t="str"/>
      <x:c r="U26" s="32" t="str"/>
      <x:c r="V26" s="84" t="n">
        <x:v>1</x:v>
      </x:c>
      <x:c r="W26" s="84" t="n">
        <x:f>IF(OR($O26="PASS",$O26="EXCEPTION APPROVED",$O26="NOT APPLICABLE"),$V26,0)</x:f>
        <x:v>0</x:v>
      </x:c>
      <x:c r="X26" s="84" t="n">
        <x:f>IF(AND($K26="Yes",OR($O26="FAIL",$O26="BLOCKED",$O26="NOT RUN",$O26="IN PROGRESS")),1,0)</x:f>
        <x:v>1</x:v>
      </x:c>
      <x:c r="Y26" s="32" t="str">
        <x:f>IF($O26="FAIL","FAIL",IF($O26="BLOCKED","BLOCKED",IF(AND($O26="EXCEPTION APPROVED",$K26="Yes"),"REVIEW",IF($O26="PASS","OK","PENDING"))))</x:f>
        <x:v>PENDING</x:v>
      </x:c>
    </x:row>
    <x:row r="27">
      <x:c r="A27" s="32" t="str">
        <x:v>VS-INV-002</x:v>
      </x:c>
      <x:c r="B27" s="32" t="str">
        <x:v>Inventario</x:v>
      </x:c>
      <x:c r="C27" s="32" t="str">
        <x:v>Criterio contractual VSS</x:v>
      </x:c>
      <x:c r="D27" s="32" t="str">
        <x:v>Una unidad solo ocupa una ubicación lógica.</x:v>
      </x:c>
      <x:c r="E27" s="32" t="str">
        <x:v>Ejecutar la prueba correspondiente en Editor y/o build según el nivel definido en 02 y registrar resultado reproducible.</x:v>
      </x:c>
      <x:c r="F27" s="32" t="str">
        <x:v>El criterio se cumple sin desviaciones bloqueantes y con resultado trazable.</x:v>
      </x:c>
      <x:c r="G27" s="32" t="str">
        <x:v>Test automatizado.</x:v>
      </x:c>
      <x:c r="H27" s="32" t="str">
        <x:v>02_Vertical_Slice_Specification.md §7</x:v>
      </x:c>
      <x:c r="I27" s="32" t="str">
        <x:v>Vertical Slice Specification v0.1–v0.4; QA Plan/Matrix v0.3–v0.6</x:v>
      </x:c>
      <x:c r="J27" s="32" t="str">
        <x:v>H6</x:v>
      </x:c>
      <x:c r="K27" s="32" t="str">
        <x:v>Yes</x:v>
      </x:c>
      <x:c r="L27" s="32" t="str">
        <x:v>P0</x:v>
      </x:c>
      <x:c r="M27" s="32" t="str">
        <x:v>Engineering/Design</x:v>
      </x:c>
      <x:c r="N27" s="32" t="str">
        <x:v>QA/Production</x:v>
      </x:c>
      <x:c r="O27" s="32" t="str">
        <x:v>NOT RUN</x:v>
      </x:c>
      <x:c r="P27" s="32" t="str"/>
      <x:c r="Q27" s="32" t="str"/>
      <x:c r="R27" s="32" t="str"/>
      <x:c r="S27" s="32" t="str"/>
      <x:c r="T27" s="82" t="str"/>
      <x:c r="U27" s="32" t="str"/>
      <x:c r="V27" s="84" t="n">
        <x:v>1</x:v>
      </x:c>
      <x:c r="W27" s="84" t="n">
        <x:f>IF(OR($O27="PASS",$O27="EXCEPTION APPROVED",$O27="NOT APPLICABLE"),$V27,0)</x:f>
        <x:v>0</x:v>
      </x:c>
      <x:c r="X27" s="84" t="n">
        <x:f>IF(AND($K27="Yes",OR($O27="FAIL",$O27="BLOCKED",$O27="NOT RUN",$O27="IN PROGRESS")),1,0)</x:f>
        <x:v>1</x:v>
      </x:c>
      <x:c r="Y27" s="32" t="str">
        <x:f>IF($O27="FAIL","FAIL",IF($O27="BLOCKED","BLOCKED",IF(AND($O27="EXCEPTION APPROVED",$K27="Yes"),"REVIEW",IF($O27="PASS","OK","PENDING"))))</x:f>
        <x:v>PENDING</x:v>
      </x:c>
    </x:row>
    <x:row r="28">
      <x:c r="A28" s="32" t="str">
        <x:v>VS-INV-003</x:v>
      </x:c>
      <x:c r="B28" s="32" t="str">
        <x:v>Inventario</x:v>
      </x:c>
      <x:c r="C28" s="32" t="str">
        <x:v>Criterio contractual VSS</x:v>
      </x:c>
      <x:c r="D28" s="32" t="str">
        <x:v>Transferencia inválida no modifica origen ni destino.</x:v>
      </x:c>
      <x:c r="E28" s="32" t="str">
        <x:v>Ejecutar la prueba correspondiente en Editor y/o build según el nivel definido en 02 y registrar resultado reproducible.</x:v>
      </x:c>
      <x:c r="F28" s="32" t="str">
        <x:v>El criterio se cumple sin desviaciones bloqueantes y con resultado trazable.</x:v>
      </x:c>
      <x:c r="G28" s="32" t="str">
        <x:v>Prueba negativa.</x:v>
      </x:c>
      <x:c r="H28" s="32" t="str">
        <x:v>02_Vertical_Slice_Specification.md §7</x:v>
      </x:c>
      <x:c r="I28" s="32" t="str">
        <x:v>Vertical Slice Specification v0.1–v0.4; QA Plan/Matrix v0.3–v0.6</x:v>
      </x:c>
      <x:c r="J28" s="32" t="str">
        <x:v>H6</x:v>
      </x:c>
      <x:c r="K28" s="32" t="str">
        <x:v>Yes</x:v>
      </x:c>
      <x:c r="L28" s="32" t="str">
        <x:v>P0</x:v>
      </x:c>
      <x:c r="M28" s="32" t="str">
        <x:v>Engineering/Design</x:v>
      </x:c>
      <x:c r="N28" s="32" t="str">
        <x:v>QA/Production</x:v>
      </x:c>
      <x:c r="O28" s="32" t="str">
        <x:v>NOT RUN</x:v>
      </x:c>
      <x:c r="P28" s="32" t="str"/>
      <x:c r="Q28" s="32" t="str"/>
      <x:c r="R28" s="32" t="str"/>
      <x:c r="S28" s="32" t="str"/>
      <x:c r="T28" s="82" t="str"/>
      <x:c r="U28" s="32" t="str"/>
      <x:c r="V28" s="84" t="n">
        <x:v>1</x:v>
      </x:c>
      <x:c r="W28" s="84" t="n">
        <x:f>IF(OR($O28="PASS",$O28="EXCEPTION APPROVED",$O28="NOT APPLICABLE"),$V28,0)</x:f>
        <x:v>0</x:v>
      </x:c>
      <x:c r="X28" s="84" t="n">
        <x:f>IF(AND($K28="Yes",OR($O28="FAIL",$O28="BLOCKED",$O28="NOT RUN",$O28="IN PROGRESS")),1,0)</x:f>
        <x:v>1</x:v>
      </x:c>
      <x:c r="Y28" s="32" t="str">
        <x:f>IF($O28="FAIL","FAIL",IF($O28="BLOCKED","BLOCKED",IF(AND($O28="EXCEPTION APPROVED",$K28="Yes"),"REVIEW",IF($O28="PASS","OK","PENDING"))))</x:f>
        <x:v>PENDING</x:v>
      </x:c>
    </x:row>
    <x:row r="29">
      <x:c r="A29" s="32" t="str">
        <x:v>VS-INV-004</x:v>
      </x:c>
      <x:c r="B29" s="32" t="str">
        <x:v>Inventario</x:v>
      </x:c>
      <x:c r="C29" s="32" t="str">
        <x:v>Criterio contractual VSS</x:v>
      </x:c>
      <x:c r="D29" s="32" t="str">
        <x:v>Transferencia válida conserva cantidad total.</x:v>
      </x:c>
      <x:c r="E29" s="32" t="str">
        <x:v>Ejecutar la prueba correspondiente en Editor y/o build según el nivel definido en 02 y registrar resultado reproducible.</x:v>
      </x:c>
      <x:c r="F29" s="32" t="str">
        <x:v>El criterio se cumple sin desviaciones bloqueantes y con resultado trazable.</x:v>
      </x:c>
      <x:c r="G29" s="32" t="str">
        <x:v>Prueba automatizada.</x:v>
      </x:c>
      <x:c r="H29" s="32" t="str">
        <x:v>02_Vertical_Slice_Specification.md §7</x:v>
      </x:c>
      <x:c r="I29" s="32" t="str">
        <x:v>Vertical Slice Specification v0.1–v0.4; QA Plan/Matrix v0.3–v0.6</x:v>
      </x:c>
      <x:c r="J29" s="32" t="str">
        <x:v>H6</x:v>
      </x:c>
      <x:c r="K29" s="32" t="str">
        <x:v>Yes</x:v>
      </x:c>
      <x:c r="L29" s="32" t="str">
        <x:v>P0</x:v>
      </x:c>
      <x:c r="M29" s="32" t="str">
        <x:v>Engineering/Design</x:v>
      </x:c>
      <x:c r="N29" s="32" t="str">
        <x:v>QA/Production</x:v>
      </x:c>
      <x:c r="O29" s="32" t="str">
        <x:v>NOT RUN</x:v>
      </x:c>
      <x:c r="P29" s="32" t="str"/>
      <x:c r="Q29" s="32" t="str"/>
      <x:c r="R29" s="32" t="str"/>
      <x:c r="S29" s="32" t="str"/>
      <x:c r="T29" s="82" t="str"/>
      <x:c r="U29" s="32" t="str"/>
      <x:c r="V29" s="84" t="n">
        <x:v>1</x:v>
      </x:c>
      <x:c r="W29" s="84" t="n">
        <x:f>IF(OR($O29="PASS",$O29="EXCEPTION APPROVED",$O29="NOT APPLICABLE"),$V29,0)</x:f>
        <x:v>0</x:v>
      </x:c>
      <x:c r="X29" s="84" t="n">
        <x:f>IF(AND($K29="Yes",OR($O29="FAIL",$O29="BLOCKED",$O29="NOT RUN",$O29="IN PROGRESS")),1,0)</x:f>
        <x:v>1</x:v>
      </x:c>
      <x:c r="Y29" s="32" t="str">
        <x:f>IF($O29="FAIL","FAIL",IF($O29="BLOCKED","BLOCKED",IF(AND($O29="EXCEPTION APPROVED",$K29="Yes"),"REVIEW",IF($O29="PASS","OK","PENDING"))))</x:f>
        <x:v>PENDING</x:v>
      </x:c>
    </x:row>
    <x:row r="30">
      <x:c r="A30" s="32" t="str">
        <x:v>VS-INV-005</x:v>
      </x:c>
      <x:c r="B30" s="32" t="str">
        <x:v>Inventario</x:v>
      </x:c>
      <x:c r="C30" s="32" t="str">
        <x:v>Criterio contractual VSS</x:v>
      </x:c>
      <x:c r="D30" s="32" t="str">
        <x:v>No existen pérdidas o duplicaciones tras siete días.</x:v>
      </x:c>
      <x:c r="E30" s="32" t="str">
        <x:v>Ejecutar la prueba correspondiente en Editor y/o build según el nivel definido en 02 y registrar resultado reproducible.</x:v>
      </x:c>
      <x:c r="F30" s="32" t="str">
        <x:v>El criterio se cumple sin desviaciones bloqueantes y con resultado trazable.</x:v>
      </x:c>
      <x:c r="G30" s="32" t="str">
        <x:v>Auditoría de partida.</x:v>
      </x:c>
      <x:c r="H30" s="32" t="str">
        <x:v>02_Vertical_Slice_Specification.md §7</x:v>
      </x:c>
      <x:c r="I30" s="32" t="str">
        <x:v>Vertical Slice Specification v0.1–v0.4; QA Plan/Matrix v0.3–v0.6</x:v>
      </x:c>
      <x:c r="J30" s="32" t="str">
        <x:v>H6</x:v>
      </x:c>
      <x:c r="K30" s="32" t="str">
        <x:v>Yes</x:v>
      </x:c>
      <x:c r="L30" s="32" t="str">
        <x:v>P0</x:v>
      </x:c>
      <x:c r="M30" s="32" t="str">
        <x:v>Engineering/Design</x:v>
      </x:c>
      <x:c r="N30" s="32" t="str">
        <x:v>QA/Production</x:v>
      </x:c>
      <x:c r="O30" s="32" t="str">
        <x:v>NOT RUN</x:v>
      </x:c>
      <x:c r="P30" s="32" t="str"/>
      <x:c r="Q30" s="32" t="str"/>
      <x:c r="R30" s="32" t="str"/>
      <x:c r="S30" s="32" t="str"/>
      <x:c r="T30" s="82" t="str"/>
      <x:c r="U30" s="32" t="str"/>
      <x:c r="V30" s="84" t="n">
        <x:v>1</x:v>
      </x:c>
      <x:c r="W30" s="84" t="n">
        <x:f>IF(OR($O30="PASS",$O30="EXCEPTION APPROVED",$O30="NOT APPLICABLE"),$V30,0)</x:f>
        <x:v>0</x:v>
      </x:c>
      <x:c r="X30" s="84" t="n">
        <x:f>IF(AND($K30="Yes",OR($O30="FAIL",$O30="BLOCKED",$O30="NOT RUN",$O30="IN PROGRESS")),1,0)</x:f>
        <x:v>1</x:v>
      </x:c>
      <x:c r="Y30" s="32" t="str">
        <x:f>IF($O30="FAIL","FAIL",IF($O30="BLOCKED","BLOCKED",IF(AND($O30="EXCEPTION APPROVED",$K30="Yes"),"REVIEW",IF($O30="PASS","OK","PENDING"))))</x:f>
        <x:v>PENDING</x:v>
      </x:c>
    </x:row>
    <x:row r="31">
      <x:c r="A31" s="32" t="str">
        <x:v>VS-ORD-001</x:v>
      </x:c>
      <x:c r="B31" s="32" t="str">
        <x:v>Pedidos</x:v>
      </x:c>
      <x:c r="C31" s="32" t="str">
        <x:v>Criterio contractual VSS</x:v>
      </x:c>
      <x:c r="D31" s="32" t="str">
        <x:v>Pedido inválido se rechaza sin coste.</x:v>
      </x:c>
      <x:c r="E31" s="32" t="str">
        <x:v>Ejecutar la prueba correspondiente en Editor y/o build según el nivel definido en 02 y registrar resultado reproducible.</x:v>
      </x:c>
      <x:c r="F31" s="32" t="str">
        <x:v>El criterio se cumple sin desviaciones bloqueantes y con resultado trazable.</x:v>
      </x:c>
      <x:c r="G31" s="32" t="str">
        <x:v>Prueba negativa.</x:v>
      </x:c>
      <x:c r="H31" s="32" t="str">
        <x:v>02_Vertical_Slice_Specification.md §7</x:v>
      </x:c>
      <x:c r="I31" s="32" t="str">
        <x:v>Vertical Slice Specification v0.1–v0.4; QA Plan/Matrix v0.3–v0.6</x:v>
      </x:c>
      <x:c r="J31" s="32" t="str">
        <x:v>H6</x:v>
      </x:c>
      <x:c r="K31" s="32" t="str">
        <x:v>Yes</x:v>
      </x:c>
      <x:c r="L31" s="32" t="str">
        <x:v>P0</x:v>
      </x:c>
      <x:c r="M31" s="32" t="str">
        <x:v>Engineering/Design</x:v>
      </x:c>
      <x:c r="N31" s="32" t="str">
        <x:v>QA/Production</x:v>
      </x:c>
      <x:c r="O31" s="32" t="str">
        <x:v>NOT RUN</x:v>
      </x:c>
      <x:c r="P31" s="32" t="str"/>
      <x:c r="Q31" s="32" t="str"/>
      <x:c r="R31" s="32" t="str"/>
      <x:c r="S31" s="32" t="str"/>
      <x:c r="T31" s="82" t="str"/>
      <x:c r="U31" s="32" t="str"/>
      <x:c r="V31" s="84" t="n">
        <x:v>1</x:v>
      </x:c>
      <x:c r="W31" s="84" t="n">
        <x:f>IF(OR($O31="PASS",$O31="EXCEPTION APPROVED",$O31="NOT APPLICABLE"),$V31,0)</x:f>
        <x:v>0</x:v>
      </x:c>
      <x:c r="X31" s="84" t="n">
        <x:f>IF(AND($K31="Yes",OR($O31="FAIL",$O31="BLOCKED",$O31="NOT RUN",$O31="IN PROGRESS")),1,0)</x:f>
        <x:v>1</x:v>
      </x:c>
      <x:c r="Y31" s="32" t="str">
        <x:f>IF($O31="FAIL","FAIL",IF($O31="BLOCKED","BLOCKED",IF(AND($O31="EXCEPTION APPROVED",$K31="Yes"),"REVIEW",IF($O31="PASS","OK","PENDING"))))</x:f>
        <x:v>PENDING</x:v>
      </x:c>
    </x:row>
    <x:row r="32">
      <x:c r="A32" s="32" t="str">
        <x:v>VS-ORD-002</x:v>
      </x:c>
      <x:c r="B32" s="32" t="str">
        <x:v>Pedidos</x:v>
      </x:c>
      <x:c r="C32" s="32" t="str">
        <x:v>Criterio contractual VSS</x:v>
      </x:c>
      <x:c r="D32" s="32" t="str">
        <x:v>Pedido válido registra proveedor, producto, cantidad, coste e ID.</x:v>
      </x:c>
      <x:c r="E32" s="32" t="str">
        <x:v>Ejecutar la prueba correspondiente en Editor y/o build según el nivel definido en 02 y registrar resultado reproducible.</x:v>
      </x:c>
      <x:c r="F32" s="32" t="str">
        <x:v>El criterio se cumple sin desviaciones bloqueantes y con resultado trazable.</x:v>
      </x:c>
      <x:c r="G32" s="32" t="str">
        <x:v>Inspección funcional.</x:v>
      </x:c>
      <x:c r="H32" s="32" t="str">
        <x:v>02_Vertical_Slice_Specification.md §7</x:v>
      </x:c>
      <x:c r="I32" s="32" t="str">
        <x:v>Vertical Slice Specification v0.1–v0.4; QA Plan/Matrix v0.3–v0.6</x:v>
      </x:c>
      <x:c r="J32" s="32" t="str">
        <x:v>H6</x:v>
      </x:c>
      <x:c r="K32" s="32" t="str">
        <x:v>Yes</x:v>
      </x:c>
      <x:c r="L32" s="32" t="str">
        <x:v>P0</x:v>
      </x:c>
      <x:c r="M32" s="32" t="str">
        <x:v>Engineering/Design</x:v>
      </x:c>
      <x:c r="N32" s="32" t="str">
        <x:v>QA/Production</x:v>
      </x:c>
      <x:c r="O32" s="32" t="str">
        <x:v>NOT RUN</x:v>
      </x:c>
      <x:c r="P32" s="32" t="str"/>
      <x:c r="Q32" s="32" t="str"/>
      <x:c r="R32" s="32" t="str"/>
      <x:c r="S32" s="32" t="str"/>
      <x:c r="T32" s="82" t="str"/>
      <x:c r="U32" s="32" t="str"/>
      <x:c r="V32" s="84" t="n">
        <x:v>1</x:v>
      </x:c>
      <x:c r="W32" s="84" t="n">
        <x:f>IF(OR($O32="PASS",$O32="EXCEPTION APPROVED",$O32="NOT APPLICABLE"),$V32,0)</x:f>
        <x:v>0</x:v>
      </x:c>
      <x:c r="X32" s="84" t="n">
        <x:f>IF(AND($K32="Yes",OR($O32="FAIL",$O32="BLOCKED",$O32="NOT RUN",$O32="IN PROGRESS")),1,0)</x:f>
        <x:v>1</x:v>
      </x:c>
      <x:c r="Y32" s="32" t="str">
        <x:f>IF($O32="FAIL","FAIL",IF($O32="BLOCKED","BLOCKED",IF(AND($O32="EXCEPTION APPROVED",$K32="Yes"),"REVIEW",IF($O32="PASS","OK","PENDING"))))</x:f>
        <x:v>PENDING</x:v>
      </x:c>
    </x:row>
    <x:row r="33">
      <x:c r="A33" s="32" t="str">
        <x:v>VS-ORD-003</x:v>
      </x:c>
      <x:c r="B33" s="32" t="str">
        <x:v>Pedidos</x:v>
      </x:c>
      <x:c r="C33" s="32" t="str">
        <x:v>Criterio contractual VSS</x:v>
      </x:c>
      <x:c r="D33" s="32" t="str">
        <x:v>Cada pedido se entrega una sola vez.</x:v>
      </x:c>
      <x:c r="E33" s="32" t="str">
        <x:v>Ejecutar la prueba correspondiente en Editor y/o build según el nivel definido en 02 y registrar resultado reproducible.</x:v>
      </x:c>
      <x:c r="F33" s="32" t="str">
        <x:v>El criterio se cumple sin desviaciones bloqueantes y con resultado trazable.</x:v>
      </x:c>
      <x:c r="G33" s="32" t="str">
        <x:v>Prueba de recarga/evento.</x:v>
      </x:c>
      <x:c r="H33" s="32" t="str">
        <x:v>02_Vertical_Slice_Specification.md §7</x:v>
      </x:c>
      <x:c r="I33" s="32" t="str">
        <x:v>Vertical Slice Specification v0.1–v0.4; QA Plan/Matrix v0.3–v0.6</x:v>
      </x:c>
      <x:c r="J33" s="32" t="str">
        <x:v>H6</x:v>
      </x:c>
      <x:c r="K33" s="32" t="str">
        <x:v>Yes</x:v>
      </x:c>
      <x:c r="L33" s="32" t="str">
        <x:v>P0</x:v>
      </x:c>
      <x:c r="M33" s="32" t="str">
        <x:v>Engineering/Design</x:v>
      </x:c>
      <x:c r="N33" s="32" t="str">
        <x:v>QA/Production</x:v>
      </x:c>
      <x:c r="O33" s="32" t="str">
        <x:v>NOT RUN</x:v>
      </x:c>
      <x:c r="P33" s="32" t="str"/>
      <x:c r="Q33" s="32" t="str"/>
      <x:c r="R33" s="32" t="str"/>
      <x:c r="S33" s="32" t="str"/>
      <x:c r="T33" s="82" t="str"/>
      <x:c r="U33" s="32" t="str"/>
      <x:c r="V33" s="84" t="n">
        <x:v>1</x:v>
      </x:c>
      <x:c r="W33" s="84" t="n">
        <x:f>IF(OR($O33="PASS",$O33="EXCEPTION APPROVED",$O33="NOT APPLICABLE"),$V33,0)</x:f>
        <x:v>0</x:v>
      </x:c>
      <x:c r="X33" s="84" t="n">
        <x:f>IF(AND($K33="Yes",OR($O33="FAIL",$O33="BLOCKED",$O33="NOT RUN",$O33="IN PROGRESS")),1,0)</x:f>
        <x:v>1</x:v>
      </x:c>
      <x:c r="Y33" s="32" t="str">
        <x:f>IF($O33="FAIL","FAIL",IF($O33="BLOCKED","BLOCKED",IF(AND($O33="EXCEPTION APPROVED",$K33="Yes"),"REVIEW",IF($O33="PASS","OK","PENDING"))))</x:f>
        <x:v>PENDING</x:v>
      </x:c>
    </x:row>
    <x:row r="34">
      <x:c r="A34" s="32" t="str">
        <x:v>VS-ORD-004</x:v>
      </x:c>
      <x:c r="B34" s="32" t="str">
        <x:v>Pedidos</x:v>
      </x:c>
      <x:c r="C34" s="32" t="str">
        <x:v>Criterio contractual VSS</x:v>
      </x:c>
      <x:c r="D34" s="32" t="str">
        <x:v>La entrega contiene exactamente las cantidades confirmadas.</x:v>
      </x:c>
      <x:c r="E34" s="32" t="str">
        <x:v>Ejecutar la prueba correspondiente en Editor y/o build según el nivel definido en 02 y registrar resultado reproducible.</x:v>
      </x:c>
      <x:c r="F34" s="32" t="str">
        <x:v>El criterio se cumple sin desviaciones bloqueantes y con resultado trazable.</x:v>
      </x:c>
      <x:c r="G34" s="32" t="str">
        <x:v>Conteo y log.</x:v>
      </x:c>
      <x:c r="H34" s="32" t="str">
        <x:v>02_Vertical_Slice_Specification.md §7</x:v>
      </x:c>
      <x:c r="I34" s="32" t="str">
        <x:v>Vertical Slice Specification v0.1–v0.4; QA Plan/Matrix v0.3–v0.6</x:v>
      </x:c>
      <x:c r="J34" s="32" t="str">
        <x:v>H6</x:v>
      </x:c>
      <x:c r="K34" s="32" t="str">
        <x:v>Yes</x:v>
      </x:c>
      <x:c r="L34" s="32" t="str">
        <x:v>P0</x:v>
      </x:c>
      <x:c r="M34" s="32" t="str">
        <x:v>Engineering/Design</x:v>
      </x:c>
      <x:c r="N34" s="32" t="str">
        <x:v>QA/Production</x:v>
      </x:c>
      <x:c r="O34" s="32" t="str">
        <x:v>NOT RUN</x:v>
      </x:c>
      <x:c r="P34" s="32" t="str"/>
      <x:c r="Q34" s="32" t="str"/>
      <x:c r="R34" s="32" t="str"/>
      <x:c r="S34" s="32" t="str"/>
      <x:c r="T34" s="82" t="str"/>
      <x:c r="U34" s="32" t="str"/>
      <x:c r="V34" s="84" t="n">
        <x:v>1</x:v>
      </x:c>
      <x:c r="W34" s="84" t="n">
        <x:f>IF(OR($O34="PASS",$O34="EXCEPTION APPROVED",$O34="NOT APPLICABLE"),$V34,0)</x:f>
        <x:v>0</x:v>
      </x:c>
      <x:c r="X34" s="84" t="n">
        <x:f>IF(AND($K34="Yes",OR($O34="FAIL",$O34="BLOCKED",$O34="NOT RUN",$O34="IN PROGRESS")),1,0)</x:f>
        <x:v>1</x:v>
      </x:c>
      <x:c r="Y34" s="32" t="str">
        <x:f>IF($O34="FAIL","FAIL",IF($O34="BLOCKED","BLOCKED",IF(AND($O34="EXCEPTION APPROVED",$K34="Yes"),"REVIEW",IF($O34="PASS","OK","PENDING"))))</x:f>
        <x:v>PENDING</x:v>
      </x:c>
    </x:row>
    <x:row r="35">
      <x:c r="A35" s="32" t="str">
        <x:v>VS-ORD-005</x:v>
      </x:c>
      <x:c r="B35" s="32" t="str">
        <x:v>Pedidos</x:v>
      </x:c>
      <x:c r="C35" s="32" t="str">
        <x:v>Criterio contractual VSS</x:v>
      </x:c>
      <x:c r="D35" s="32" t="str">
        <x:v>Pedido pendiente persiste y reanuda correctamente.</x:v>
      </x:c>
      <x:c r="E35" s="32" t="str">
        <x:v>Ejecutar la prueba correspondiente en Editor y/o build según el nivel definido en 02 y registrar resultado reproducible.</x:v>
      </x:c>
      <x:c r="F35" s="32" t="str">
        <x:v>El criterio se cumple sin desviaciones bloqueantes y con resultado trazable.</x:v>
      </x:c>
      <x:c r="G35" s="32" t="str">
        <x:v>Save/load.</x:v>
      </x:c>
      <x:c r="H35" s="32" t="str">
        <x:v>02_Vertical_Slice_Specification.md §7</x:v>
      </x:c>
      <x:c r="I35" s="32" t="str">
        <x:v>Vertical Slice Specification v0.1–v0.4; QA Plan/Matrix v0.3–v0.6</x:v>
      </x:c>
      <x:c r="J35" s="32" t="str">
        <x:v>H6</x:v>
      </x:c>
      <x:c r="K35" s="32" t="str">
        <x:v>Yes</x:v>
      </x:c>
      <x:c r="L35" s="32" t="str">
        <x:v>P0</x:v>
      </x:c>
      <x:c r="M35" s="32" t="str">
        <x:v>Engineering/Design</x:v>
      </x:c>
      <x:c r="N35" s="32" t="str">
        <x:v>QA/Production</x:v>
      </x:c>
      <x:c r="O35" s="32" t="str">
        <x:v>NOT RUN</x:v>
      </x:c>
      <x:c r="P35" s="32" t="str"/>
      <x:c r="Q35" s="32" t="str"/>
      <x:c r="R35" s="32" t="str"/>
      <x:c r="S35" s="32" t="str"/>
      <x:c r="T35" s="82" t="str"/>
      <x:c r="U35" s="32" t="str"/>
      <x:c r="V35" s="84" t="n">
        <x:v>1</x:v>
      </x:c>
      <x:c r="W35" s="84" t="n">
        <x:f>IF(OR($O35="PASS",$O35="EXCEPTION APPROVED",$O35="NOT APPLICABLE"),$V35,0)</x:f>
        <x:v>0</x:v>
      </x:c>
      <x:c r="X35" s="84" t="n">
        <x:f>IF(AND($K35="Yes",OR($O35="FAIL",$O35="BLOCKED",$O35="NOT RUN",$O35="IN PROGRESS")),1,0)</x:f>
        <x:v>1</x:v>
      </x:c>
      <x:c r="Y35" s="32" t="str">
        <x:f>IF($O35="FAIL","FAIL",IF($O35="BLOCKED","BLOCKED",IF(AND($O35="EXCEPTION APPROVED",$K35="Yes"),"REVIEW",IF($O35="PASS","OK","PENDING"))))</x:f>
        <x:v>PENDING</x:v>
      </x:c>
    </x:row>
    <x:row r="36">
      <x:c r="A36" s="32" t="str">
        <x:v>VS-DSP-001</x:v>
      </x:c>
      <x:c r="B36" s="32" t="str">
        <x:v>Displays</x:v>
      </x:c>
      <x:c r="C36" s="32" t="str">
        <x:v>Criterio contractual VSS</x:v>
      </x:c>
      <x:c r="D36" s="32" t="str">
        <x:v>Asignación incompatible se rechaza con feedback.</x:v>
      </x:c>
      <x:c r="E36" s="32" t="str">
        <x:v>Ejecutar la prueba correspondiente en Editor y/o build según el nivel definido en 02 y registrar resultado reproducible.</x:v>
      </x:c>
      <x:c r="F36" s="32" t="str">
        <x:v>El criterio se cumple sin desviaciones bloqueantes y con resultado trazable.</x:v>
      </x:c>
      <x:c r="G36" s="32" t="str">
        <x:v>Prueba negativa.</x:v>
      </x:c>
      <x:c r="H36" s="32" t="str">
        <x:v>02_Vertical_Slice_Specification.md §7</x:v>
      </x:c>
      <x:c r="I36" s="32" t="str">
        <x:v>Vertical Slice Specification v0.1–v0.4; QA Plan/Matrix v0.3–v0.6</x:v>
      </x:c>
      <x:c r="J36" s="32" t="str">
        <x:v>H6</x:v>
      </x:c>
      <x:c r="K36" s="32" t="str">
        <x:v>Yes</x:v>
      </x:c>
      <x:c r="L36" s="32" t="str">
        <x:v>P0</x:v>
      </x:c>
      <x:c r="M36" s="32" t="str">
        <x:v>Engineering/Design</x:v>
      </x:c>
      <x:c r="N36" s="32" t="str">
        <x:v>QA/Production</x:v>
      </x:c>
      <x:c r="O36" s="32" t="str">
        <x:v>NOT RUN</x:v>
      </x:c>
      <x:c r="P36" s="32" t="str"/>
      <x:c r="Q36" s="32" t="str"/>
      <x:c r="R36" s="32" t="str"/>
      <x:c r="S36" s="32" t="str"/>
      <x:c r="T36" s="82" t="str"/>
      <x:c r="U36" s="32" t="str"/>
      <x:c r="V36" s="84" t="n">
        <x:v>1</x:v>
      </x:c>
      <x:c r="W36" s="84" t="n">
        <x:f>IF(OR($O36="PASS",$O36="EXCEPTION APPROVED",$O36="NOT APPLICABLE"),$V36,0)</x:f>
        <x:v>0</x:v>
      </x:c>
      <x:c r="X36" s="84" t="n">
        <x:f>IF(AND($K36="Yes",OR($O36="FAIL",$O36="BLOCKED",$O36="NOT RUN",$O36="IN PROGRESS")),1,0)</x:f>
        <x:v>1</x:v>
      </x:c>
      <x:c r="Y36" s="32" t="str">
        <x:f>IF($O36="FAIL","FAIL",IF($O36="BLOCKED","BLOCKED",IF(AND($O36="EXCEPTION APPROVED",$K36="Yes"),"REVIEW",IF($O36="PASS","OK","PENDING"))))</x:f>
        <x:v>PENDING</x:v>
      </x:c>
    </x:row>
    <x:row r="37">
      <x:c r="A37" s="32" t="str">
        <x:v>VS-DSP-002</x:v>
      </x:c>
      <x:c r="B37" s="32" t="str">
        <x:v>Displays</x:v>
      </x:c>
      <x:c r="C37" s="32" t="str">
        <x:v>Criterio contractual VSS</x:v>
      </x:c>
      <x:c r="D37" s="32" t="str">
        <x:v>Capacidad impide sobrellenado.</x:v>
      </x:c>
      <x:c r="E37" s="32" t="str">
        <x:v>Ejecutar la prueba correspondiente en Editor y/o build según el nivel definido en 02 y registrar resultado reproducible.</x:v>
      </x:c>
      <x:c r="F37" s="32" t="str">
        <x:v>El criterio se cumple sin desviaciones bloqueantes y con resultado trazable.</x:v>
      </x:c>
      <x:c r="G37" s="32" t="str">
        <x:v>Prueba límite.</x:v>
      </x:c>
      <x:c r="H37" s="32" t="str">
        <x:v>02_Vertical_Slice_Specification.md §7</x:v>
      </x:c>
      <x:c r="I37" s="32" t="str">
        <x:v>Vertical Slice Specification v0.1–v0.4; QA Plan/Matrix v0.3–v0.6</x:v>
      </x:c>
      <x:c r="J37" s="32" t="str">
        <x:v>H6</x:v>
      </x:c>
      <x:c r="K37" s="32" t="str">
        <x:v>Yes</x:v>
      </x:c>
      <x:c r="L37" s="32" t="str">
        <x:v>P0</x:v>
      </x:c>
      <x:c r="M37" s="32" t="str">
        <x:v>Engineering/Design</x:v>
      </x:c>
      <x:c r="N37" s="32" t="str">
        <x:v>QA/Production</x:v>
      </x:c>
      <x:c r="O37" s="32" t="str">
        <x:v>NOT RUN</x:v>
      </x:c>
      <x:c r="P37" s="32" t="str"/>
      <x:c r="Q37" s="32" t="str"/>
      <x:c r="R37" s="32" t="str"/>
      <x:c r="S37" s="32" t="str"/>
      <x:c r="T37" s="82" t="str"/>
      <x:c r="U37" s="32" t="str"/>
      <x:c r="V37" s="84" t="n">
        <x:v>1</x:v>
      </x:c>
      <x:c r="W37" s="84" t="n">
        <x:f>IF(OR($O37="PASS",$O37="EXCEPTION APPROVED",$O37="NOT APPLICABLE"),$V37,0)</x:f>
        <x:v>0</x:v>
      </x:c>
      <x:c r="X37" s="84" t="n">
        <x:f>IF(AND($K37="Yes",OR($O37="FAIL",$O37="BLOCKED",$O37="NOT RUN",$O37="IN PROGRESS")),1,0)</x:f>
        <x:v>1</x:v>
      </x:c>
      <x:c r="Y37" s="32" t="str">
        <x:f>IF($O37="FAIL","FAIL",IF($O37="BLOCKED","BLOCKED",IF(AND($O37="EXCEPTION APPROVED",$K37="Yes"),"REVIEW",IF($O37="PASS","OK","PENDING"))))</x:f>
        <x:v>PENDING</x:v>
      </x:c>
    </x:row>
    <x:row r="38">
      <x:c r="A38" s="32" t="str">
        <x:v>VS-DSP-003</x:v>
      </x:c>
      <x:c r="B38" s="32" t="str">
        <x:v>Displays</x:v>
      </x:c>
      <x:c r="C38" s="32" t="str">
        <x:v>Criterio contractual VSS</x:v>
      </x:c>
      <x:c r="D38" s="32" t="str">
        <x:v>Reposición consume origen y aumenta destino de forma atómica.</x:v>
      </x:c>
      <x:c r="E38" s="32" t="str">
        <x:v>Ejecutar la prueba correspondiente en Editor y/o build según el nivel definido en 02 y registrar resultado reproducible.</x:v>
      </x:c>
      <x:c r="F38" s="32" t="str">
        <x:v>El criterio se cumple sin desviaciones bloqueantes y con resultado trazable.</x:v>
      </x:c>
      <x:c r="G38" s="32" t="str">
        <x:v>Comparación de inventario.</x:v>
      </x:c>
      <x:c r="H38" s="32" t="str">
        <x:v>02_Vertical_Slice_Specification.md §7</x:v>
      </x:c>
      <x:c r="I38" s="32" t="str">
        <x:v>Vertical Slice Specification v0.1–v0.4; QA Plan/Matrix v0.3–v0.6</x:v>
      </x:c>
      <x:c r="J38" s="32" t="str">
        <x:v>H6</x:v>
      </x:c>
      <x:c r="K38" s="32" t="str">
        <x:v>Yes</x:v>
      </x:c>
      <x:c r="L38" s="32" t="str">
        <x:v>P0</x:v>
      </x:c>
      <x:c r="M38" s="32" t="str">
        <x:v>Engineering/Design</x:v>
      </x:c>
      <x:c r="N38" s="32" t="str">
        <x:v>QA/Production</x:v>
      </x:c>
      <x:c r="O38" s="32" t="str">
        <x:v>NOT RUN</x:v>
      </x:c>
      <x:c r="P38" s="32" t="str"/>
      <x:c r="Q38" s="32" t="str"/>
      <x:c r="R38" s="32" t="str"/>
      <x:c r="S38" s="32" t="str"/>
      <x:c r="T38" s="82" t="str"/>
      <x:c r="U38" s="32" t="str"/>
      <x:c r="V38" s="84" t="n">
        <x:v>1</x:v>
      </x:c>
      <x:c r="W38" s="84" t="n">
        <x:f>IF(OR($O38="PASS",$O38="EXCEPTION APPROVED",$O38="NOT APPLICABLE"),$V38,0)</x:f>
        <x:v>0</x:v>
      </x:c>
      <x:c r="X38" s="84" t="n">
        <x:f>IF(AND($K38="Yes",OR($O38="FAIL",$O38="BLOCKED",$O38="NOT RUN",$O38="IN PROGRESS")),1,0)</x:f>
        <x:v>1</x:v>
      </x:c>
      <x:c r="Y38" s="32" t="str">
        <x:f>IF($O38="FAIL","FAIL",IF($O38="BLOCKED","BLOCKED",IF(AND($O38="EXCEPTION APPROVED",$K38="Yes"),"REVIEW",IF($O38="PASS","OK","PENDING"))))</x:f>
        <x:v>PENDING</x:v>
      </x:c>
    </x:row>
    <x:row r="39">
      <x:c r="A39" s="32" t="str">
        <x:v>VS-DSP-004</x:v>
      </x:c>
      <x:c r="B39" s="32" t="str">
        <x:v>Displays</x:v>
      </x:c>
      <x:c r="C39" s="32" t="str">
        <x:v>Criterio contractual VSS</x:v>
      </x:c>
      <x:c r="D39" s="32" t="str">
        <x:v>Visual de producto coincide con asignación y cantidad representada.</x:v>
      </x:c>
      <x:c r="E39" s="32" t="str">
        <x:v>Ejecutar la prueba correspondiente en Editor y/o build según el nivel definido en 02 y registrar resultado reproducible.</x:v>
      </x:c>
      <x:c r="F39" s="32" t="str">
        <x:v>El criterio se cumple sin desviaciones bloqueantes y con resultado trazable.</x:v>
      </x:c>
      <x:c r="G39" s="32" t="str">
        <x:v>Revisión visual.</x:v>
      </x:c>
      <x:c r="H39" s="32" t="str">
        <x:v>02_Vertical_Slice_Specification.md §7</x:v>
      </x:c>
      <x:c r="I39" s="32" t="str">
        <x:v>Vertical Slice Specification v0.1–v0.4; QA Plan/Matrix v0.3–v0.6</x:v>
      </x:c>
      <x:c r="J39" s="32" t="str">
        <x:v>H6</x:v>
      </x:c>
      <x:c r="K39" s="32" t="str">
        <x:v>Yes</x:v>
      </x:c>
      <x:c r="L39" s="32" t="str">
        <x:v>P0</x:v>
      </x:c>
      <x:c r="M39" s="32" t="str">
        <x:v>Engineering/Design</x:v>
      </x:c>
      <x:c r="N39" s="32" t="str">
        <x:v>QA/Production</x:v>
      </x:c>
      <x:c r="O39" s="32" t="str">
        <x:v>NOT RUN</x:v>
      </x:c>
      <x:c r="P39" s="32" t="str"/>
      <x:c r="Q39" s="32" t="str"/>
      <x:c r="R39" s="32" t="str"/>
      <x:c r="S39" s="32" t="str"/>
      <x:c r="T39" s="82" t="str"/>
      <x:c r="U39" s="32" t="str"/>
      <x:c r="V39" s="84" t="n">
        <x:v>1</x:v>
      </x:c>
      <x:c r="W39" s="84" t="n">
        <x:f>IF(OR($O39="PASS",$O39="EXCEPTION APPROVED",$O39="NOT APPLICABLE"),$V39,0)</x:f>
        <x:v>0</x:v>
      </x:c>
      <x:c r="X39" s="84" t="n">
        <x:f>IF(AND($K39="Yes",OR($O39="FAIL",$O39="BLOCKED",$O39="NOT RUN",$O39="IN PROGRESS")),1,0)</x:f>
        <x:v>1</x:v>
      </x:c>
      <x:c r="Y39" s="32" t="str">
        <x:f>IF($O39="FAIL","FAIL",IF($O39="BLOCKED","BLOCKED",IF(AND($O39="EXCEPTION APPROVED",$K39="Yes"),"REVIEW",IF($O39="PASS","OK","PENDING"))))</x:f>
        <x:v>PENDING</x:v>
      </x:c>
    </x:row>
    <x:row r="40">
      <x:c r="A40" s="32" t="str">
        <x:v>VS-DSP-005</x:v>
      </x:c>
      <x:c r="B40" s="32" t="str">
        <x:v>Displays</x:v>
      </x:c>
      <x:c r="C40" s="32" t="str">
        <x:v>Criterio contractual VSS</x:v>
      </x:c>
      <x:c r="D40" s="32" t="str">
        <x:v>Asignación y stock visible persisten.</x:v>
      </x:c>
      <x:c r="E40" s="32" t="str">
        <x:v>Ejecutar la prueba correspondiente en Editor y/o build según el nivel definido en 02 y registrar resultado reproducible.</x:v>
      </x:c>
      <x:c r="F40" s="32" t="str">
        <x:v>El criterio se cumple sin desviaciones bloqueantes y con resultado trazable.</x:v>
      </x:c>
      <x:c r="G40" s="32" t="str">
        <x:v>Save/load.</x:v>
      </x:c>
      <x:c r="H40" s="32" t="str">
        <x:v>02_Vertical_Slice_Specification.md §7</x:v>
      </x:c>
      <x:c r="I40" s="32" t="str">
        <x:v>Vertical Slice Specification v0.1–v0.4; QA Plan/Matrix v0.3–v0.6</x:v>
      </x:c>
      <x:c r="J40" s="32" t="str">
        <x:v>H6</x:v>
      </x:c>
      <x:c r="K40" s="32" t="str">
        <x:v>Yes</x:v>
      </x:c>
      <x:c r="L40" s="32" t="str">
        <x:v>P0</x:v>
      </x:c>
      <x:c r="M40" s="32" t="str">
        <x:v>Engineering/Design</x:v>
      </x:c>
      <x:c r="N40" s="32" t="str">
        <x:v>QA/Production</x:v>
      </x:c>
      <x:c r="O40" s="32" t="str">
        <x:v>NOT RUN</x:v>
      </x:c>
      <x:c r="P40" s="32" t="str"/>
      <x:c r="Q40" s="32" t="str"/>
      <x:c r="R40" s="32" t="str"/>
      <x:c r="S40" s="32" t="str"/>
      <x:c r="T40" s="82" t="str"/>
      <x:c r="U40" s="32" t="str"/>
      <x:c r="V40" s="84" t="n">
        <x:v>1</x:v>
      </x:c>
      <x:c r="W40" s="84" t="n">
        <x:f>IF(OR($O40="PASS",$O40="EXCEPTION APPROVED",$O40="NOT APPLICABLE"),$V40,0)</x:f>
        <x:v>0</x:v>
      </x:c>
      <x:c r="X40" s="84" t="n">
        <x:f>IF(AND($K40="Yes",OR($O40="FAIL",$O40="BLOCKED",$O40="NOT RUN",$O40="IN PROGRESS")),1,0)</x:f>
        <x:v>1</x:v>
      </x:c>
      <x:c r="Y40" s="32" t="str">
        <x:f>IF($O40="FAIL","FAIL",IF($O40="BLOCKED","BLOCKED",IF(AND($O40="EXCEPTION APPROVED",$K40="Yes"),"REVIEW",IF($O40="PASS","OK","PENDING"))))</x:f>
        <x:v>PENDING</x:v>
      </x:c>
    </x:row>
    <x:row r="41">
      <x:c r="A41" s="32" t="str">
        <x:v>VS-PRC-001</x:v>
      </x:c>
      <x:c r="B41" s="32" t="str">
        <x:v>Precios</x:v>
      </x:c>
      <x:c r="C41" s="32" t="str">
        <x:v>Criterio contractual VSS</x:v>
      </x:c>
      <x:c r="D41" s="32" t="str">
        <x:v>Precio inválido se rechaza.</x:v>
      </x:c>
      <x:c r="E41" s="32" t="str">
        <x:v>Ejecutar la prueba correspondiente en Editor y/o build según el nivel definido en 02 y registrar resultado reproducible.</x:v>
      </x:c>
      <x:c r="F41" s="32" t="str">
        <x:v>El criterio se cumple sin desviaciones bloqueantes y con resultado trazable.</x:v>
      </x:c>
      <x:c r="G41" s="32" t="str">
        <x:v>Prueba negativa.</x:v>
      </x:c>
      <x:c r="H41" s="32" t="str">
        <x:v>02_Vertical_Slice_Specification.md §7</x:v>
      </x:c>
      <x:c r="I41" s="32" t="str">
        <x:v>Vertical Slice Specification v0.1–v0.4; QA Plan/Matrix v0.3–v0.6</x:v>
      </x:c>
      <x:c r="J41" s="32" t="str">
        <x:v>H6</x:v>
      </x:c>
      <x:c r="K41" s="32" t="str">
        <x:v>Yes</x:v>
      </x:c>
      <x:c r="L41" s="32" t="str">
        <x:v>P0</x:v>
      </x:c>
      <x:c r="M41" s="32" t="str">
        <x:v>Design/Engineering</x:v>
      </x:c>
      <x:c r="N41" s="32" t="str">
        <x:v>QA/Production</x:v>
      </x:c>
      <x:c r="O41" s="32" t="str">
        <x:v>NOT RUN</x:v>
      </x:c>
      <x:c r="P41" s="32" t="str"/>
      <x:c r="Q41" s="32" t="str"/>
      <x:c r="R41" s="32" t="str"/>
      <x:c r="S41" s="32" t="str"/>
      <x:c r="T41" s="82" t="str"/>
      <x:c r="U41" s="32" t="str"/>
      <x:c r="V41" s="84" t="n">
        <x:v>1</x:v>
      </x:c>
      <x:c r="W41" s="84" t="n">
        <x:f>IF(OR($O41="PASS",$O41="EXCEPTION APPROVED",$O41="NOT APPLICABLE"),$V41,0)</x:f>
        <x:v>0</x:v>
      </x:c>
      <x:c r="X41" s="84" t="n">
        <x:f>IF(AND($K41="Yes",OR($O41="FAIL",$O41="BLOCKED",$O41="NOT RUN",$O41="IN PROGRESS")),1,0)</x:f>
        <x:v>1</x:v>
      </x:c>
      <x:c r="Y41" s="32" t="str">
        <x:f>IF($O41="FAIL","FAIL",IF($O41="BLOCKED","BLOCKED",IF(AND($O41="EXCEPTION APPROVED",$K41="Yes"),"REVIEW",IF($O41="PASS","OK","PENDING"))))</x:f>
        <x:v>PENDING</x:v>
      </x:c>
    </x:row>
    <x:row r="42">
      <x:c r="A42" s="32" t="str">
        <x:v>VS-PRC-002</x:v>
      </x:c>
      <x:c r="B42" s="32" t="str">
        <x:v>Precios</x:v>
      </x:c>
      <x:c r="C42" s="32" t="str">
        <x:v>Criterio contractual VSS</x:v>
      </x:c>
      <x:c r="D42" s="32" t="str">
        <x:v>Precio confirmado persiste y se utiliza en la venta.</x:v>
      </x:c>
      <x:c r="E42" s="32" t="str">
        <x:v>Ejecutar la prueba correspondiente en Editor y/o build según el nivel definido en 02 y registrar resultado reproducible.</x:v>
      </x:c>
      <x:c r="F42" s="32" t="str">
        <x:v>El criterio se cumple sin desviaciones bloqueantes y con resultado trazable.</x:v>
      </x:c>
      <x:c r="G42" s="32" t="str">
        <x:v>Save/load y transacción.</x:v>
      </x:c>
      <x:c r="H42" s="32" t="str">
        <x:v>02_Vertical_Slice_Specification.md §7</x:v>
      </x:c>
      <x:c r="I42" s="32" t="str">
        <x:v>Vertical Slice Specification v0.1–v0.4; QA Plan/Matrix v0.3–v0.6</x:v>
      </x:c>
      <x:c r="J42" s="32" t="str">
        <x:v>H6</x:v>
      </x:c>
      <x:c r="K42" s="32" t="str">
        <x:v>Yes</x:v>
      </x:c>
      <x:c r="L42" s="32" t="str">
        <x:v>P0</x:v>
      </x:c>
      <x:c r="M42" s="32" t="str">
        <x:v>Design/Engineering</x:v>
      </x:c>
      <x:c r="N42" s="32" t="str">
        <x:v>QA/Production</x:v>
      </x:c>
      <x:c r="O42" s="32" t="str">
        <x:v>NOT RUN</x:v>
      </x:c>
      <x:c r="P42" s="32" t="str"/>
      <x:c r="Q42" s="32" t="str"/>
      <x:c r="R42" s="32" t="str"/>
      <x:c r="S42" s="32" t="str"/>
      <x:c r="T42" s="82" t="str"/>
      <x:c r="U42" s="32" t="str"/>
      <x:c r="V42" s="84" t="n">
        <x:v>1</x:v>
      </x:c>
      <x:c r="W42" s="84" t="n">
        <x:f>IF(OR($O42="PASS",$O42="EXCEPTION APPROVED",$O42="NOT APPLICABLE"),$V42,0)</x:f>
        <x:v>0</x:v>
      </x:c>
      <x:c r="X42" s="84" t="n">
        <x:f>IF(AND($K42="Yes",OR($O42="FAIL",$O42="BLOCKED",$O42="NOT RUN",$O42="IN PROGRESS")),1,0)</x:f>
        <x:v>1</x:v>
      </x:c>
      <x:c r="Y42" s="32" t="str">
        <x:f>IF($O42="FAIL","FAIL",IF($O42="BLOCKED","BLOCKED",IF(AND($O42="EXCEPTION APPROVED",$K42="Yes"),"REVIEW",IF($O42="PASS","OK","PENDING"))))</x:f>
        <x:v>PENDING</x:v>
      </x:c>
    </x:row>
    <x:row r="43">
      <x:c r="A43" s="32" t="str">
        <x:v>VS-PRC-003</x:v>
      </x:c>
      <x:c r="B43" s="32" t="str">
        <x:v>Precios</x:v>
      </x:c>
      <x:c r="C43" s="32" t="str">
        <x:v>Criterio contractual VSS</x:v>
      </x:c>
      <x:c r="D43" s="32" t="str">
        <x:v>Cambiar precio afecta interés según regla determinista/configurada.</x:v>
      </x:c>
      <x:c r="E43" s="32" t="str">
        <x:v>Ejecutar la prueba correspondiente en Editor y/o build según el nivel definido en 02 y registrar resultado reproducible.</x:v>
      </x:c>
      <x:c r="F43" s="32" t="str">
        <x:v>El criterio se cumple sin desviaciones bloqueantes y con resultado trazable.</x:v>
      </x:c>
      <x:c r="G43" s="32" t="str">
        <x:v>Prueba comparativa.</x:v>
      </x:c>
      <x:c r="H43" s="32" t="str">
        <x:v>02_Vertical_Slice_Specification.md §7</x:v>
      </x:c>
      <x:c r="I43" s="32" t="str">
        <x:v>Vertical Slice Specification v0.1–v0.4; QA Plan/Matrix v0.3–v0.6</x:v>
      </x:c>
      <x:c r="J43" s="32" t="str">
        <x:v>H6</x:v>
      </x:c>
      <x:c r="K43" s="32" t="str">
        <x:v>Yes</x:v>
      </x:c>
      <x:c r="L43" s="32" t="str">
        <x:v>P0</x:v>
      </x:c>
      <x:c r="M43" s="32" t="str">
        <x:v>Design/Engineering</x:v>
      </x:c>
      <x:c r="N43" s="32" t="str">
        <x:v>QA/Production</x:v>
      </x:c>
      <x:c r="O43" s="32" t="str">
        <x:v>NOT RUN</x:v>
      </x:c>
      <x:c r="P43" s="32" t="str"/>
      <x:c r="Q43" s="32" t="str"/>
      <x:c r="R43" s="32" t="str"/>
      <x:c r="S43" s="32" t="str"/>
      <x:c r="T43" s="82" t="str"/>
      <x:c r="U43" s="32" t="str"/>
      <x:c r="V43" s="84" t="n">
        <x:v>1</x:v>
      </x:c>
      <x:c r="W43" s="84" t="n">
        <x:f>IF(OR($O43="PASS",$O43="EXCEPTION APPROVED",$O43="NOT APPLICABLE"),$V43,0)</x:f>
        <x:v>0</x:v>
      </x:c>
      <x:c r="X43" s="84" t="n">
        <x:f>IF(AND($K43="Yes",OR($O43="FAIL",$O43="BLOCKED",$O43="NOT RUN",$O43="IN PROGRESS")),1,0)</x:f>
        <x:v>1</x:v>
      </x:c>
      <x:c r="Y43" s="32" t="str">
        <x:f>IF($O43="FAIL","FAIL",IF($O43="BLOCKED","BLOCKED",IF(AND($O43="EXCEPTION APPROVED",$K43="Yes"),"REVIEW",IF($O43="PASS","OK","PENDING"))))</x:f>
        <x:v>PENDING</x:v>
      </x:c>
    </x:row>
    <x:row r="44">
      <x:c r="A44" s="32" t="str">
        <x:v>VS-CUS-001</x:v>
      </x:c>
      <x:c r="B44" s="32" t="str">
        <x:v>Clientes</x:v>
      </x:c>
      <x:c r="C44" s="32" t="str">
        <x:v>Criterio contractual VSS</x:v>
      </x:c>
      <x:c r="D44" s="32" t="str">
        <x:v>Clientes solo aparecen durante estados permitidos.</x:v>
      </x:c>
      <x:c r="E44" s="32" t="str">
        <x:v>Ejecutar la prueba correspondiente en Editor y/o build según el nivel definido en 02 y registrar resultado reproducible.</x:v>
      </x:c>
      <x:c r="F44" s="32" t="str">
        <x:v>El criterio se cumple sin desviaciones bloqueantes y con resultado trazable.</x:v>
      </x:c>
      <x:c r="G44" s="32" t="str">
        <x:v>Prueba de estados.</x:v>
      </x:c>
      <x:c r="H44" s="32" t="str">
        <x:v>02_Vertical_Slice_Specification.md §7</x:v>
      </x:c>
      <x:c r="I44" s="32" t="str">
        <x:v>Vertical Slice Specification v0.1–v0.4; QA Plan/Matrix v0.3–v0.6</x:v>
      </x:c>
      <x:c r="J44" s="32" t="str">
        <x:v>H6</x:v>
      </x:c>
      <x:c r="K44" s="32" t="str">
        <x:v>Yes</x:v>
      </x:c>
      <x:c r="L44" s="32" t="str">
        <x:v>P0</x:v>
      </x:c>
      <x:c r="M44" s="32" t="str">
        <x:v>AI/Engineering</x:v>
      </x:c>
      <x:c r="N44" s="32" t="str">
        <x:v>QA/Production</x:v>
      </x:c>
      <x:c r="O44" s="32" t="str">
        <x:v>NOT RUN</x:v>
      </x:c>
      <x:c r="P44" s="32" t="str"/>
      <x:c r="Q44" s="32" t="str"/>
      <x:c r="R44" s="32" t="str"/>
      <x:c r="S44" s="32" t="str"/>
      <x:c r="T44" s="82" t="str"/>
      <x:c r="U44" s="32" t="str"/>
      <x:c r="V44" s="84" t="n">
        <x:v>1</x:v>
      </x:c>
      <x:c r="W44" s="84" t="n">
        <x:f>IF(OR($O44="PASS",$O44="EXCEPTION APPROVED",$O44="NOT APPLICABLE"),$V44,0)</x:f>
        <x:v>0</x:v>
      </x:c>
      <x:c r="X44" s="84" t="n">
        <x:f>IF(AND($K44="Yes",OR($O44="FAIL",$O44="BLOCKED",$O44="NOT RUN",$O44="IN PROGRESS")),1,0)</x:f>
        <x:v>1</x:v>
      </x:c>
      <x:c r="Y44" s="32" t="str">
        <x:f>IF($O44="FAIL","FAIL",IF($O44="BLOCKED","BLOCKED",IF(AND($O44="EXCEPTION APPROVED",$K44="Yes"),"REVIEW",IF($O44="PASS","OK","PENDING"))))</x:f>
        <x:v>PENDING</x:v>
      </x:c>
    </x:row>
    <x:row r="45">
      <x:c r="A45" s="32" t="str">
        <x:v>VS-CUS-002</x:v>
      </x:c>
      <x:c r="B45" s="32" t="str">
        <x:v>Clientes</x:v>
      </x:c>
      <x:c r="C45" s="32" t="str">
        <x:v>Criterio contractual VSS</x:v>
      </x:c>
      <x:c r="D45" s="32" t="str">
        <x:v>Cliente selecciona objetivo compatible o abandona con causa.</x:v>
      </x:c>
      <x:c r="E45" s="32" t="str">
        <x:v>Ejecutar la prueba correspondiente en Editor y/o build según el nivel definido en 02 y registrar resultado reproducible.</x:v>
      </x:c>
      <x:c r="F45" s="32" t="str">
        <x:v>El criterio se cumple sin desviaciones bloqueantes y con resultado trazable.</x:v>
      </x:c>
      <x:c r="G45" s="32" t="str">
        <x:v>Observación y log de prueba.</x:v>
      </x:c>
      <x:c r="H45" s="32" t="str">
        <x:v>02_Vertical_Slice_Specification.md §7</x:v>
      </x:c>
      <x:c r="I45" s="32" t="str">
        <x:v>Vertical Slice Specification v0.1–v0.4; QA Plan/Matrix v0.3–v0.6</x:v>
      </x:c>
      <x:c r="J45" s="32" t="str">
        <x:v>H6</x:v>
      </x:c>
      <x:c r="K45" s="32" t="str">
        <x:v>Yes</x:v>
      </x:c>
      <x:c r="L45" s="32" t="str">
        <x:v>P0</x:v>
      </x:c>
      <x:c r="M45" s="32" t="str">
        <x:v>AI/Engineering</x:v>
      </x:c>
      <x:c r="N45" s="32" t="str">
        <x:v>QA/Production</x:v>
      </x:c>
      <x:c r="O45" s="32" t="str">
        <x:v>NOT RUN</x:v>
      </x:c>
      <x:c r="P45" s="32" t="str"/>
      <x:c r="Q45" s="32" t="str"/>
      <x:c r="R45" s="32" t="str"/>
      <x:c r="S45" s="32" t="str"/>
      <x:c r="T45" s="82" t="str"/>
      <x:c r="U45" s="32" t="str"/>
      <x:c r="V45" s="84" t="n">
        <x:v>1</x:v>
      </x:c>
      <x:c r="W45" s="84" t="n">
        <x:f>IF(OR($O45="PASS",$O45="EXCEPTION APPROVED",$O45="NOT APPLICABLE"),$V45,0)</x:f>
        <x:v>0</x:v>
      </x:c>
      <x:c r="X45" s="84" t="n">
        <x:f>IF(AND($K45="Yes",OR($O45="FAIL",$O45="BLOCKED",$O45="NOT RUN",$O45="IN PROGRESS")),1,0)</x:f>
        <x:v>1</x:v>
      </x:c>
      <x:c r="Y45" s="32" t="str">
        <x:f>IF($O45="FAIL","FAIL",IF($O45="BLOCKED","BLOCKED",IF(AND($O45="EXCEPTION APPROVED",$K45="Yes"),"REVIEW",IF($O45="PASS","OK","PENDING"))))</x:f>
        <x:v>PENDING</x:v>
      </x:c>
    </x:row>
    <x:row r="46">
      <x:c r="A46" s="32" t="str">
        <x:v>VS-CUS-003</x:v>
      </x:c>
      <x:c r="B46" s="32" t="str">
        <x:v>Clientes</x:v>
      </x:c>
      <x:c r="C46" s="32" t="str">
        <x:v>Criterio contractual VSS</x:v>
      </x:c>
      <x:c r="D46" s="32" t="str">
        <x:v>Cliente navega sin atravesar obstáculos ni quedar bloqueado indefinidamente.</x:v>
      </x:c>
      <x:c r="E46" s="32" t="str">
        <x:v>Ejecutar la prueba correspondiente en Editor y/o build según el nivel definido en 02 y registrar resultado reproducible.</x:v>
      </x:c>
      <x:c r="F46" s="32" t="str">
        <x:v>El criterio se cumple sin desviaciones bloqueantes y con resultado trazable.</x:v>
      </x:c>
      <x:c r="G46" s="32" t="str">
        <x:v>Saturación y recorrido.</x:v>
      </x:c>
      <x:c r="H46" s="32" t="str">
        <x:v>02_Vertical_Slice_Specification.md §7</x:v>
      </x:c>
      <x:c r="I46" s="32" t="str">
        <x:v>Vertical Slice Specification v0.1–v0.4; QA Plan/Matrix v0.3–v0.6</x:v>
      </x:c>
      <x:c r="J46" s="32" t="str">
        <x:v>H6</x:v>
      </x:c>
      <x:c r="K46" s="32" t="str">
        <x:v>Yes</x:v>
      </x:c>
      <x:c r="L46" s="32" t="str">
        <x:v>P0</x:v>
      </x:c>
      <x:c r="M46" s="32" t="str">
        <x:v>AI/Engineering</x:v>
      </x:c>
      <x:c r="N46" s="32" t="str">
        <x:v>QA/Production</x:v>
      </x:c>
      <x:c r="O46" s="32" t="str">
        <x:v>NOT RUN</x:v>
      </x:c>
      <x:c r="P46" s="32" t="str"/>
      <x:c r="Q46" s="32" t="str"/>
      <x:c r="R46" s="32" t="str"/>
      <x:c r="S46" s="32" t="str"/>
      <x:c r="T46" s="82" t="str"/>
      <x:c r="U46" s="32" t="str"/>
      <x:c r="V46" s="84" t="n">
        <x:v>1</x:v>
      </x:c>
      <x:c r="W46" s="84" t="n">
        <x:f>IF(OR($O46="PASS",$O46="EXCEPTION APPROVED",$O46="NOT APPLICABLE"),$V46,0)</x:f>
        <x:v>0</x:v>
      </x:c>
      <x:c r="X46" s="84" t="n">
        <x:f>IF(AND($K46="Yes",OR($O46="FAIL",$O46="BLOCKED",$O46="NOT RUN",$O46="IN PROGRESS")),1,0)</x:f>
        <x:v>1</x:v>
      </x:c>
      <x:c r="Y46" s="32" t="str">
        <x:f>IF($O46="FAIL","FAIL",IF($O46="BLOCKED","BLOCKED",IF(AND($O46="EXCEPTION APPROVED",$K46="Yes"),"REVIEW",IF($O46="PASS","OK","PENDING"))))</x:f>
        <x:v>PENDING</x:v>
      </x:c>
    </x:row>
    <x:row r="47">
      <x:c r="A47" s="32" t="str">
        <x:v>VS-CUS-004</x:v>
      </x:c>
      <x:c r="B47" s="32" t="str">
        <x:v>Clientes</x:v>
      </x:c>
      <x:c r="C47" s="32" t="str">
        <x:v>Criterio contractual VSS</x:v>
      </x:c>
      <x:c r="D47" s="32" t="str">
        <x:v>Falta de stock, precio o espera producen reacción legible.</x:v>
      </x:c>
      <x:c r="E47" s="32" t="str">
        <x:v>Ejecutar la prueba correspondiente en Editor y/o build según el nivel definido en 02 y registrar resultado reproducible.</x:v>
      </x:c>
      <x:c r="F47" s="32" t="str">
        <x:v>El criterio se cumple sin desviaciones bloqueantes y con resultado trazable.</x:v>
      </x:c>
      <x:c r="G47" s="32" t="str">
        <x:v>Pruebas de variantes.</x:v>
      </x:c>
      <x:c r="H47" s="32" t="str">
        <x:v>02_Vertical_Slice_Specification.md §7</x:v>
      </x:c>
      <x:c r="I47" s="32" t="str">
        <x:v>Vertical Slice Specification v0.1–v0.4; QA Plan/Matrix v0.3–v0.6</x:v>
      </x:c>
      <x:c r="J47" s="32" t="str">
        <x:v>H6</x:v>
      </x:c>
      <x:c r="K47" s="32" t="str">
        <x:v>Yes</x:v>
      </x:c>
      <x:c r="L47" s="32" t="str">
        <x:v>P0</x:v>
      </x:c>
      <x:c r="M47" s="32" t="str">
        <x:v>AI/Engineering</x:v>
      </x:c>
      <x:c r="N47" s="32" t="str">
        <x:v>QA/Production</x:v>
      </x:c>
      <x:c r="O47" s="32" t="str">
        <x:v>NOT RUN</x:v>
      </x:c>
      <x:c r="P47" s="32" t="str"/>
      <x:c r="Q47" s="32" t="str"/>
      <x:c r="R47" s="32" t="str"/>
      <x:c r="S47" s="32" t="str"/>
      <x:c r="T47" s="82" t="str"/>
      <x:c r="U47" s="32" t="str"/>
      <x:c r="V47" s="84" t="n">
        <x:v>1</x:v>
      </x:c>
      <x:c r="W47" s="84" t="n">
        <x:f>IF(OR($O47="PASS",$O47="EXCEPTION APPROVED",$O47="NOT APPLICABLE"),$V47,0)</x:f>
        <x:v>0</x:v>
      </x:c>
      <x:c r="X47" s="84" t="n">
        <x:f>IF(AND($K47="Yes",OR($O47="FAIL",$O47="BLOCKED",$O47="NOT RUN",$O47="IN PROGRESS")),1,0)</x:f>
        <x:v>1</x:v>
      </x:c>
      <x:c r="Y47" s="32" t="str">
        <x:f>IF($O47="FAIL","FAIL",IF($O47="BLOCKED","BLOCKED",IF(AND($O47="EXCEPTION APPROVED",$K47="Yes"),"REVIEW",IF($O47="PASS","OK","PENDING"))))</x:f>
        <x:v>PENDING</x:v>
      </x:c>
    </x:row>
    <x:row r="48">
      <x:c r="A48" s="32" t="str">
        <x:v>VS-RES-001</x:v>
      </x:c>
      <x:c r="B48" s="32" t="str">
        <x:v>Reservas</x:v>
      </x:c>
      <x:c r="C48" s="32" t="str">
        <x:v>Criterio contractual VSS</x:v>
      </x:c>
      <x:c r="D48" s="32" t="str">
        <x:v>Una unidad no puede reservarse para dos clientes.</x:v>
      </x:c>
      <x:c r="E48" s="32" t="str">
        <x:v>Ejecutar la prueba correspondiente en Editor y/o build según el nivel definido en 02 y registrar resultado reproducible.</x:v>
      </x:c>
      <x:c r="F48" s="32" t="str">
        <x:v>El criterio se cumple sin desviaciones bloqueantes y con resultado trazable.</x:v>
      </x:c>
      <x:c r="G48" s="32" t="str">
        <x:v>Test concurrente.</x:v>
      </x:c>
      <x:c r="H48" s="32" t="str">
        <x:v>02_Vertical_Slice_Specification.md §7</x:v>
      </x:c>
      <x:c r="I48" s="32" t="str">
        <x:v>Vertical Slice Specification v0.1–v0.4; QA Plan/Matrix v0.3–v0.6</x:v>
      </x:c>
      <x:c r="J48" s="32" t="str">
        <x:v>H6</x:v>
      </x:c>
      <x:c r="K48" s="32" t="str">
        <x:v>Yes</x:v>
      </x:c>
      <x:c r="L48" s="32" t="str">
        <x:v>P0</x:v>
      </x:c>
      <x:c r="M48" s="32" t="str">
        <x:v>Engineering</x:v>
      </x:c>
      <x:c r="N48" s="32" t="str">
        <x:v>QA/Production</x:v>
      </x:c>
      <x:c r="O48" s="32" t="str">
        <x:v>NOT RUN</x:v>
      </x:c>
      <x:c r="P48" s="32" t="str"/>
      <x:c r="Q48" s="32" t="str"/>
      <x:c r="R48" s="32" t="str"/>
      <x:c r="S48" s="32" t="str"/>
      <x:c r="T48" s="82" t="str"/>
      <x:c r="U48" s="32" t="str"/>
      <x:c r="V48" s="84" t="n">
        <x:v>1</x:v>
      </x:c>
      <x:c r="W48" s="84" t="n">
        <x:f>IF(OR($O48="PASS",$O48="EXCEPTION APPROVED",$O48="NOT APPLICABLE"),$V48,0)</x:f>
        <x:v>0</x:v>
      </x:c>
      <x:c r="X48" s="84" t="n">
        <x:f>IF(AND($K48="Yes",OR($O48="FAIL",$O48="BLOCKED",$O48="NOT RUN",$O48="IN PROGRESS")),1,0)</x:f>
        <x:v>1</x:v>
      </x:c>
      <x:c r="Y48" s="32" t="str">
        <x:f>IF($O48="FAIL","FAIL",IF($O48="BLOCKED","BLOCKED",IF(AND($O48="EXCEPTION APPROVED",$K48="Yes"),"REVIEW",IF($O48="PASS","OK","PENDING"))))</x:f>
        <x:v>PENDING</x:v>
      </x:c>
    </x:row>
    <x:row r="49">
      <x:c r="A49" s="32" t="str">
        <x:v>VS-RES-002</x:v>
      </x:c>
      <x:c r="B49" s="32" t="str">
        <x:v>Reservas</x:v>
      </x:c>
      <x:c r="C49" s="32" t="str">
        <x:v>Criterio contractual VSS</x:v>
      </x:c>
      <x:c r="D49" s="32" t="str">
        <x:v>Abandono, fallo o cierre liberan la reserva.</x:v>
      </x:c>
      <x:c r="E49" s="32" t="str">
        <x:v>Ejecutar la prueba correspondiente en Editor y/o build según el nivel definido en 02 y registrar resultado reproducible.</x:v>
      </x:c>
      <x:c r="F49" s="32" t="str">
        <x:v>El criterio se cumple sin desviaciones bloqueantes y con resultado trazable.</x:v>
      </x:c>
      <x:c r="G49" s="32" t="str">
        <x:v>Pruebas de resolución.</x:v>
      </x:c>
      <x:c r="H49" s="32" t="str">
        <x:v>02_Vertical_Slice_Specification.md §7</x:v>
      </x:c>
      <x:c r="I49" s="32" t="str">
        <x:v>Vertical Slice Specification v0.1–v0.4; QA Plan/Matrix v0.3–v0.6</x:v>
      </x:c>
      <x:c r="J49" s="32" t="str">
        <x:v>H6</x:v>
      </x:c>
      <x:c r="K49" s="32" t="str">
        <x:v>Yes</x:v>
      </x:c>
      <x:c r="L49" s="32" t="str">
        <x:v>P0</x:v>
      </x:c>
      <x:c r="M49" s="32" t="str">
        <x:v>Engineering</x:v>
      </x:c>
      <x:c r="N49" s="32" t="str">
        <x:v>QA/Production</x:v>
      </x:c>
      <x:c r="O49" s="32" t="str">
        <x:v>NOT RUN</x:v>
      </x:c>
      <x:c r="P49" s="32" t="str"/>
      <x:c r="Q49" s="32" t="str"/>
      <x:c r="R49" s="32" t="str"/>
      <x:c r="S49" s="32" t="str"/>
      <x:c r="T49" s="82" t="str"/>
      <x:c r="U49" s="32" t="str"/>
      <x:c r="V49" s="84" t="n">
        <x:v>1</x:v>
      </x:c>
      <x:c r="W49" s="84" t="n">
        <x:f>IF(OR($O49="PASS",$O49="EXCEPTION APPROVED",$O49="NOT APPLICABLE"),$V49,0)</x:f>
        <x:v>0</x:v>
      </x:c>
      <x:c r="X49" s="84" t="n">
        <x:f>IF(AND($K49="Yes",OR($O49="FAIL",$O49="BLOCKED",$O49="NOT RUN",$O49="IN PROGRESS")),1,0)</x:f>
        <x:v>1</x:v>
      </x:c>
      <x:c r="Y49" s="32" t="str">
        <x:f>IF($O49="FAIL","FAIL",IF($O49="BLOCKED","BLOCKED",IF(AND($O49="EXCEPTION APPROVED",$K49="Yes"),"REVIEW",IF($O49="PASS","OK","PENDING"))))</x:f>
        <x:v>PENDING</x:v>
      </x:c>
    </x:row>
    <x:row r="50">
      <x:c r="A50" s="32" t="str">
        <x:v>VS-RES-003</x:v>
      </x:c>
      <x:c r="B50" s="32" t="str">
        <x:v>Reservas</x:v>
      </x:c>
      <x:c r="C50" s="32" t="str">
        <x:v>Criterio contractual VSS</x:v>
      </x:c>
      <x:c r="D50" s="32" t="str">
        <x:v>Venta consume la reserva exactamente una vez.</x:v>
      </x:c>
      <x:c r="E50" s="32" t="str">
        <x:v>Ejecutar la prueba correspondiente en Editor y/o build según el nivel definido en 02 y registrar resultado reproducible.</x:v>
      </x:c>
      <x:c r="F50" s="32" t="str">
        <x:v>El criterio se cumple sin desviaciones bloqueantes y con resultado trazable.</x:v>
      </x:c>
      <x:c r="G50" s="32" t="str">
        <x:v>Test de checkout.</x:v>
      </x:c>
      <x:c r="H50" s="32" t="str">
        <x:v>02_Vertical_Slice_Specification.md §7</x:v>
      </x:c>
      <x:c r="I50" s="32" t="str">
        <x:v>Vertical Slice Specification v0.1–v0.4; QA Plan/Matrix v0.3–v0.6</x:v>
      </x:c>
      <x:c r="J50" s="32" t="str">
        <x:v>H6</x:v>
      </x:c>
      <x:c r="K50" s="32" t="str">
        <x:v>Yes</x:v>
      </x:c>
      <x:c r="L50" s="32" t="str">
        <x:v>P0</x:v>
      </x:c>
      <x:c r="M50" s="32" t="str">
        <x:v>Engineering</x:v>
      </x:c>
      <x:c r="N50" s="32" t="str">
        <x:v>QA/Production</x:v>
      </x:c>
      <x:c r="O50" s="32" t="str">
        <x:v>NOT RUN</x:v>
      </x:c>
      <x:c r="P50" s="32" t="str"/>
      <x:c r="Q50" s="32" t="str"/>
      <x:c r="R50" s="32" t="str"/>
      <x:c r="S50" s="32" t="str"/>
      <x:c r="T50" s="82" t="str"/>
      <x:c r="U50" s="32" t="str"/>
      <x:c r="V50" s="84" t="n">
        <x:v>1</x:v>
      </x:c>
      <x:c r="W50" s="84" t="n">
        <x:f>IF(OR($O50="PASS",$O50="EXCEPTION APPROVED",$O50="NOT APPLICABLE"),$V50,0)</x:f>
        <x:v>0</x:v>
      </x:c>
      <x:c r="X50" s="84" t="n">
        <x:f>IF(AND($K50="Yes",OR($O50="FAIL",$O50="BLOCKED",$O50="NOT RUN",$O50="IN PROGRESS")),1,0)</x:f>
        <x:v>1</x:v>
      </x:c>
      <x:c r="Y50" s="32" t="str">
        <x:f>IF($O50="FAIL","FAIL",IF($O50="BLOCKED","BLOCKED",IF(AND($O50="EXCEPTION APPROVED",$K50="Yes"),"REVIEW",IF($O50="PASS","OK","PENDING"))))</x:f>
        <x:v>PENDING</x:v>
      </x:c>
    </x:row>
    <x:row r="51">
      <x:c r="A51" s="32" t="str">
        <x:v>VS-QUE-001</x:v>
      </x:c>
      <x:c r="B51" s="32" t="str">
        <x:v>Cola</x:v>
      </x:c>
      <x:c r="C51" s="32" t="str">
        <x:v>Criterio contractual VSS</x:v>
      </x:c>
      <x:c r="D51" s="32" t="str">
        <x:v>El orden de atención es determinista.</x:v>
      </x:c>
      <x:c r="E51" s="32" t="str">
        <x:v>Ejecutar la prueba correspondiente en Editor y/o build según el nivel definido en 02 y registrar resultado reproducible.</x:v>
      </x:c>
      <x:c r="F51" s="32" t="str">
        <x:v>El criterio se cumple sin desviaciones bloqueantes y con resultado trazable.</x:v>
      </x:c>
      <x:c r="G51" s="32" t="str">
        <x:v>Prueba con varios clientes.</x:v>
      </x:c>
      <x:c r="H51" s="32" t="str">
        <x:v>02_Vertical_Slice_Specification.md §7</x:v>
      </x:c>
      <x:c r="I51" s="32" t="str">
        <x:v>Vertical Slice Specification v0.1–v0.4; QA Plan/Matrix v0.3–v0.6</x:v>
      </x:c>
      <x:c r="J51" s="32" t="str">
        <x:v>H6</x:v>
      </x:c>
      <x:c r="K51" s="32" t="str">
        <x:v>Yes</x:v>
      </x:c>
      <x:c r="L51" s="32" t="str">
        <x:v>P0</x:v>
      </x:c>
      <x:c r="M51" s="32" t="str">
        <x:v>AI/Engineering</x:v>
      </x:c>
      <x:c r="N51" s="32" t="str">
        <x:v>QA/Production</x:v>
      </x:c>
      <x:c r="O51" s="32" t="str">
        <x:v>NOT RUN</x:v>
      </x:c>
      <x:c r="P51" s="32" t="str"/>
      <x:c r="Q51" s="32" t="str"/>
      <x:c r="R51" s="32" t="str"/>
      <x:c r="S51" s="32" t="str"/>
      <x:c r="T51" s="82" t="str"/>
      <x:c r="U51" s="32" t="str"/>
      <x:c r="V51" s="84" t="n">
        <x:v>1</x:v>
      </x:c>
      <x:c r="W51" s="84" t="n">
        <x:f>IF(OR($O51="PASS",$O51="EXCEPTION APPROVED",$O51="NOT APPLICABLE"),$V51,0)</x:f>
        <x:v>0</x:v>
      </x:c>
      <x:c r="X51" s="84" t="n">
        <x:f>IF(AND($K51="Yes",OR($O51="FAIL",$O51="BLOCKED",$O51="NOT RUN",$O51="IN PROGRESS")),1,0)</x:f>
        <x:v>1</x:v>
      </x:c>
      <x:c r="Y51" s="32" t="str">
        <x:f>IF($O51="FAIL","FAIL",IF($O51="BLOCKED","BLOCKED",IF(AND($O51="EXCEPTION APPROVED",$K51="Yes"),"REVIEW",IF($O51="PASS","OK","PENDING"))))</x:f>
        <x:v>PENDING</x:v>
      </x:c>
    </x:row>
    <x:row r="52">
      <x:c r="A52" s="32" t="str">
        <x:v>VS-QUE-002</x:v>
      </x:c>
      <x:c r="B52" s="32" t="str">
        <x:v>Cola</x:v>
      </x:c>
      <x:c r="C52" s="32" t="str">
        <x:v>Criterio contractual VSS</x:v>
      </x:c>
      <x:c r="D52" s="32" t="str">
        <x:v>Posiciones se liberan y avanzan correctamente.</x:v>
      </x:c>
      <x:c r="E52" s="32" t="str">
        <x:v>Ejecutar la prueba correspondiente en Editor y/o build según el nivel definido en 02 y registrar resultado reproducible.</x:v>
      </x:c>
      <x:c r="F52" s="32" t="str">
        <x:v>El criterio se cumple sin desviaciones bloqueantes y con resultado trazable.</x:v>
      </x:c>
      <x:c r="G52" s="32" t="str">
        <x:v>Observación.</x:v>
      </x:c>
      <x:c r="H52" s="32" t="str">
        <x:v>02_Vertical_Slice_Specification.md §7</x:v>
      </x:c>
      <x:c r="I52" s="32" t="str">
        <x:v>Vertical Slice Specification v0.1–v0.4; QA Plan/Matrix v0.3–v0.6</x:v>
      </x:c>
      <x:c r="J52" s="32" t="str">
        <x:v>H6</x:v>
      </x:c>
      <x:c r="K52" s="32" t="str">
        <x:v>Yes</x:v>
      </x:c>
      <x:c r="L52" s="32" t="str">
        <x:v>P0</x:v>
      </x:c>
      <x:c r="M52" s="32" t="str">
        <x:v>AI/Engineering</x:v>
      </x:c>
      <x:c r="N52" s="32" t="str">
        <x:v>QA/Production</x:v>
      </x:c>
      <x:c r="O52" s="32" t="str">
        <x:v>NOT RUN</x:v>
      </x:c>
      <x:c r="P52" s="32" t="str"/>
      <x:c r="Q52" s="32" t="str"/>
      <x:c r="R52" s="32" t="str"/>
      <x:c r="S52" s="32" t="str"/>
      <x:c r="T52" s="82" t="str"/>
      <x:c r="U52" s="32" t="str"/>
      <x:c r="V52" s="84" t="n">
        <x:v>1</x:v>
      </x:c>
      <x:c r="W52" s="84" t="n">
        <x:f>IF(OR($O52="PASS",$O52="EXCEPTION APPROVED",$O52="NOT APPLICABLE"),$V52,0)</x:f>
        <x:v>0</x:v>
      </x:c>
      <x:c r="X52" s="84" t="n">
        <x:f>IF(AND($K52="Yes",OR($O52="FAIL",$O52="BLOCKED",$O52="NOT RUN",$O52="IN PROGRESS")),1,0)</x:f>
        <x:v>1</x:v>
      </x:c>
      <x:c r="Y52" s="32" t="str">
        <x:f>IF($O52="FAIL","FAIL",IF($O52="BLOCKED","BLOCKED",IF(AND($O52="EXCEPTION APPROVED",$K52="Yes"),"REVIEW",IF($O52="PASS","OK","PENDING"))))</x:f>
        <x:v>PENDING</x:v>
      </x:c>
    </x:row>
    <x:row r="53">
      <x:c r="A53" s="32" t="str">
        <x:v>VS-QUE-003</x:v>
      </x:c>
      <x:c r="B53" s="32" t="str">
        <x:v>Cola</x:v>
      </x:c>
      <x:c r="C53" s="32" t="str">
        <x:v>Criterio contractual VSS</x:v>
      </x:c>
      <x:c r="D53" s="32" t="str">
        <x:v>Saturación no produce bloqueo permanente.</x:v>
      </x:c>
      <x:c r="E53" s="32" t="str">
        <x:v>Ejecutar la prueba correspondiente en Editor y/o build según el nivel definido en 02 y registrar resultado reproducible.</x:v>
      </x:c>
      <x:c r="F53" s="32" t="str">
        <x:v>El criterio se cumple sin desviaciones bloqueantes y con resultado trazable.</x:v>
      </x:c>
      <x:c r="G53" s="32" t="str">
        <x:v>Stress funcional.</x:v>
      </x:c>
      <x:c r="H53" s="32" t="str">
        <x:v>02_Vertical_Slice_Specification.md §7</x:v>
      </x:c>
      <x:c r="I53" s="32" t="str">
        <x:v>Vertical Slice Specification v0.1–v0.4; QA Plan/Matrix v0.3–v0.6</x:v>
      </x:c>
      <x:c r="J53" s="32" t="str">
        <x:v>H6</x:v>
      </x:c>
      <x:c r="K53" s="32" t="str">
        <x:v>Yes</x:v>
      </x:c>
      <x:c r="L53" s="32" t="str">
        <x:v>P0</x:v>
      </x:c>
      <x:c r="M53" s="32" t="str">
        <x:v>AI/Engineering</x:v>
      </x:c>
      <x:c r="N53" s="32" t="str">
        <x:v>QA/Production</x:v>
      </x:c>
      <x:c r="O53" s="32" t="str">
        <x:v>NOT RUN</x:v>
      </x:c>
      <x:c r="P53" s="32" t="str"/>
      <x:c r="Q53" s="32" t="str"/>
      <x:c r="R53" s="32" t="str"/>
      <x:c r="S53" s="32" t="str"/>
      <x:c r="T53" s="82" t="str"/>
      <x:c r="U53" s="32" t="str"/>
      <x:c r="V53" s="84" t="n">
        <x:v>1</x:v>
      </x:c>
      <x:c r="W53" s="84" t="n">
        <x:f>IF(OR($O53="PASS",$O53="EXCEPTION APPROVED",$O53="NOT APPLICABLE"),$V53,0)</x:f>
        <x:v>0</x:v>
      </x:c>
      <x:c r="X53" s="84" t="n">
        <x:f>IF(AND($K53="Yes",OR($O53="FAIL",$O53="BLOCKED",$O53="NOT RUN",$O53="IN PROGRESS")),1,0)</x:f>
        <x:v>1</x:v>
      </x:c>
      <x:c r="Y53" s="32" t="str">
        <x:f>IF($O53="FAIL","FAIL",IF($O53="BLOCKED","BLOCKED",IF(AND($O53="EXCEPTION APPROVED",$K53="Yes"),"REVIEW",IF($O53="PASS","OK","PENDING"))))</x:f>
        <x:v>PENDING</x:v>
      </x:c>
    </x:row>
    <x:row r="54">
      <x:c r="A54" s="32" t="str">
        <x:v>VS-CHK-001</x:v>
      </x:c>
      <x:c r="B54" s="32" t="str">
        <x:v>Checkout</x:v>
      </x:c>
      <x:c r="C54" s="32" t="str">
        <x:v>Criterio contractual VSS</x:v>
      </x:c>
      <x:c r="D54" s="32" t="str">
        <x:v>Preflight rechaza transacción inválida sin mutación.</x:v>
      </x:c>
      <x:c r="E54" s="32" t="str">
        <x:v>Ejecutar la prueba correspondiente en Editor y/o build según el nivel definido en 02 y registrar resultado reproducible.</x:v>
      </x:c>
      <x:c r="F54" s="32" t="str">
        <x:v>El criterio se cumple sin desviaciones bloqueantes y con resultado trazable.</x:v>
      </x:c>
      <x:c r="G54" s="32" t="str">
        <x:v>Test negativo.</x:v>
      </x:c>
      <x:c r="H54" s="32" t="str">
        <x:v>02_Vertical_Slice_Specification.md §7</x:v>
      </x:c>
      <x:c r="I54" s="32" t="str">
        <x:v>Vertical Slice Specification v0.1–v0.4; QA Plan/Matrix v0.3–v0.6</x:v>
      </x:c>
      <x:c r="J54" s="32" t="str">
        <x:v>H6</x:v>
      </x:c>
      <x:c r="K54" s="32" t="str">
        <x:v>Yes</x:v>
      </x:c>
      <x:c r="L54" s="32" t="str">
        <x:v>P0</x:v>
      </x:c>
      <x:c r="M54" s="32" t="str">
        <x:v>Engineering/Design</x:v>
      </x:c>
      <x:c r="N54" s="32" t="str">
        <x:v>QA/Production</x:v>
      </x:c>
      <x:c r="O54" s="32" t="str">
        <x:v>NOT RUN</x:v>
      </x:c>
      <x:c r="P54" s="32" t="str"/>
      <x:c r="Q54" s="32" t="str"/>
      <x:c r="R54" s="32" t="str"/>
      <x:c r="S54" s="32" t="str"/>
      <x:c r="T54" s="82" t="str"/>
      <x:c r="U54" s="32" t="str"/>
      <x:c r="V54" s="84" t="n">
        <x:v>1</x:v>
      </x:c>
      <x:c r="W54" s="84" t="n">
        <x:f>IF(OR($O54="PASS",$O54="EXCEPTION APPROVED",$O54="NOT APPLICABLE"),$V54,0)</x:f>
        <x:v>0</x:v>
      </x:c>
      <x:c r="X54" s="84" t="n">
        <x:f>IF(AND($K54="Yes",OR($O54="FAIL",$O54="BLOCKED",$O54="NOT RUN",$O54="IN PROGRESS")),1,0)</x:f>
        <x:v>1</x:v>
      </x:c>
      <x:c r="Y54" s="32" t="str">
        <x:f>IF($O54="FAIL","FAIL",IF($O54="BLOCKED","BLOCKED",IF(AND($O54="EXCEPTION APPROVED",$K54="Yes"),"REVIEW",IF($O54="PASS","OK","PENDING"))))</x:f>
        <x:v>PENDING</x:v>
      </x:c>
    </x:row>
    <x:row r="55">
      <x:c r="A55" s="32" t="str">
        <x:v>VS-CHK-002</x:v>
      </x:c>
      <x:c r="B55" s="32" t="str">
        <x:v>Checkout</x:v>
      </x:c>
      <x:c r="C55" s="32" t="str">
        <x:v>Criterio contractual VSS</x:v>
      </x:c>
      <x:c r="D55" s="32" t="str">
        <x:v>Venta válida consume una unidad y registra un ingreso.</x:v>
      </x:c>
      <x:c r="E55" s="32" t="str">
        <x:v>Ejecutar la prueba correspondiente en Editor y/o build según el nivel definido en 02 y registrar resultado reproducible.</x:v>
      </x:c>
      <x:c r="F55" s="32" t="str">
        <x:v>El criterio se cumple sin desviaciones bloqueantes y con resultado trazable.</x:v>
      </x:c>
      <x:c r="G55" s="32" t="str">
        <x:v>Test automatizado.</x:v>
      </x:c>
      <x:c r="H55" s="32" t="str">
        <x:v>02_Vertical_Slice_Specification.md §7</x:v>
      </x:c>
      <x:c r="I55" s="32" t="str">
        <x:v>Vertical Slice Specification v0.1–v0.4; QA Plan/Matrix v0.3–v0.6</x:v>
      </x:c>
      <x:c r="J55" s="32" t="str">
        <x:v>H6</x:v>
      </x:c>
      <x:c r="K55" s="32" t="str">
        <x:v>Yes</x:v>
      </x:c>
      <x:c r="L55" s="32" t="str">
        <x:v>P0</x:v>
      </x:c>
      <x:c r="M55" s="32" t="str">
        <x:v>Engineering/Design</x:v>
      </x:c>
      <x:c r="N55" s="32" t="str">
        <x:v>QA/Production</x:v>
      </x:c>
      <x:c r="O55" s="32" t="str">
        <x:v>NOT RUN</x:v>
      </x:c>
      <x:c r="P55" s="32" t="str"/>
      <x:c r="Q55" s="32" t="str"/>
      <x:c r="R55" s="32" t="str"/>
      <x:c r="S55" s="32" t="str"/>
      <x:c r="T55" s="82" t="str"/>
      <x:c r="U55" s="32" t="str"/>
      <x:c r="V55" s="84" t="n">
        <x:v>1</x:v>
      </x:c>
      <x:c r="W55" s="84" t="n">
        <x:f>IF(OR($O55="PASS",$O55="EXCEPTION APPROVED",$O55="NOT APPLICABLE"),$V55,0)</x:f>
        <x:v>0</x:v>
      </x:c>
      <x:c r="X55" s="84" t="n">
        <x:f>IF(AND($K55="Yes",OR($O55="FAIL",$O55="BLOCKED",$O55="NOT RUN",$O55="IN PROGRESS")),1,0)</x:f>
        <x:v>1</x:v>
      </x:c>
      <x:c r="Y55" s="32" t="str">
        <x:f>IF($O55="FAIL","FAIL",IF($O55="BLOCKED","BLOCKED",IF(AND($O55="EXCEPTION APPROVED",$K55="Yes"),"REVIEW",IF($O55="PASS","OK","PENDING"))))</x:f>
        <x:v>PENDING</x:v>
      </x:c>
    </x:row>
    <x:row r="56">
      <x:c r="A56" s="32" t="str">
        <x:v>VS-CHK-003</x:v>
      </x:c>
      <x:c r="B56" s="32" t="str">
        <x:v>Checkout</x:v>
      </x:c>
      <x:c r="C56" s="32" t="str">
        <x:v>Criterio contractual VSS</x:v>
      </x:c>
      <x:c r="D56" s="32" t="str">
        <x:v>La misma venta no puede confirmarse dos veces.</x:v>
      </x:c>
      <x:c r="E56" s="32" t="str">
        <x:v>Ejecutar la prueba correspondiente en Editor y/o build según el nivel definido en 02 y registrar resultado reproducible.</x:v>
      </x:c>
      <x:c r="F56" s="32" t="str">
        <x:v>El criterio se cumple sin desviaciones bloqueantes y con resultado trazable.</x:v>
      </x:c>
      <x:c r="G56" s="32" t="str">
        <x:v>Doble input/evento.</x:v>
      </x:c>
      <x:c r="H56" s="32" t="str">
        <x:v>02_Vertical_Slice_Specification.md §7</x:v>
      </x:c>
      <x:c r="I56" s="32" t="str">
        <x:v>Vertical Slice Specification v0.1–v0.4; QA Plan/Matrix v0.3–v0.6</x:v>
      </x:c>
      <x:c r="J56" s="32" t="str">
        <x:v>H6</x:v>
      </x:c>
      <x:c r="K56" s="32" t="str">
        <x:v>Yes</x:v>
      </x:c>
      <x:c r="L56" s="32" t="str">
        <x:v>P0</x:v>
      </x:c>
      <x:c r="M56" s="32" t="str">
        <x:v>Engineering/Design</x:v>
      </x:c>
      <x:c r="N56" s="32" t="str">
        <x:v>QA/Production</x:v>
      </x:c>
      <x:c r="O56" s="32" t="str">
        <x:v>NOT RUN</x:v>
      </x:c>
      <x:c r="P56" s="32" t="str"/>
      <x:c r="Q56" s="32" t="str"/>
      <x:c r="R56" s="32" t="str"/>
      <x:c r="S56" s="32" t="str"/>
      <x:c r="T56" s="82" t="str"/>
      <x:c r="U56" s="32" t="str"/>
      <x:c r="V56" s="84" t="n">
        <x:v>1</x:v>
      </x:c>
      <x:c r="W56" s="84" t="n">
        <x:f>IF(OR($O56="PASS",$O56="EXCEPTION APPROVED",$O56="NOT APPLICABLE"),$V56,0)</x:f>
        <x:v>0</x:v>
      </x:c>
      <x:c r="X56" s="84" t="n">
        <x:f>IF(AND($K56="Yes",OR($O56="FAIL",$O56="BLOCKED",$O56="NOT RUN",$O56="IN PROGRESS")),1,0)</x:f>
        <x:v>1</x:v>
      </x:c>
      <x:c r="Y56" s="32" t="str">
        <x:f>IF($O56="FAIL","FAIL",IF($O56="BLOCKED","BLOCKED",IF(AND($O56="EXCEPTION APPROVED",$K56="Yes"),"REVIEW",IF($O56="PASS","OK","PENDING"))))</x:f>
        <x:v>PENDING</x:v>
      </x:c>
    </x:row>
    <x:row r="57">
      <x:c r="A57" s="32" t="str">
        <x:v>VS-CHK-004</x:v>
      </x:c>
      <x:c r="B57" s="32" t="str">
        <x:v>Checkout</x:v>
      </x:c>
      <x:c r="C57" s="32" t="str">
        <x:v>Criterio contractual VSS</x:v>
      </x:c>
      <x:c r="D57" s="32" t="str">
        <x:v>Cliente, reserva, cola y métricas quedan resueltos tras vender.</x:v>
      </x:c>
      <x:c r="E57" s="32" t="str">
        <x:v>Ejecutar la prueba correspondiente en Editor y/o build según el nivel definido en 02 y registrar resultado reproducible.</x:v>
      </x:c>
      <x:c r="F57" s="32" t="str">
        <x:v>El criterio se cumple sin desviaciones bloqueantes y con resultado trazable.</x:v>
      </x:c>
      <x:c r="G57" s="32" t="str">
        <x:v>Inspección postcondición.</x:v>
      </x:c>
      <x:c r="H57" s="32" t="str">
        <x:v>02_Vertical_Slice_Specification.md §7</x:v>
      </x:c>
      <x:c r="I57" s="32" t="str">
        <x:v>Vertical Slice Specification v0.1–v0.4; QA Plan/Matrix v0.3–v0.6</x:v>
      </x:c>
      <x:c r="J57" s="32" t="str">
        <x:v>H6</x:v>
      </x:c>
      <x:c r="K57" s="32" t="str">
        <x:v>Yes</x:v>
      </x:c>
      <x:c r="L57" s="32" t="str">
        <x:v>P0</x:v>
      </x:c>
      <x:c r="M57" s="32" t="str">
        <x:v>Engineering/Design</x:v>
      </x:c>
      <x:c r="N57" s="32" t="str">
        <x:v>QA/Production</x:v>
      </x:c>
      <x:c r="O57" s="32" t="str">
        <x:v>NOT RUN</x:v>
      </x:c>
      <x:c r="P57" s="32" t="str"/>
      <x:c r="Q57" s="32" t="str"/>
      <x:c r="R57" s="32" t="str"/>
      <x:c r="S57" s="32" t="str"/>
      <x:c r="T57" s="82" t="str"/>
      <x:c r="U57" s="32" t="str"/>
      <x:c r="V57" s="84" t="n">
        <x:v>1</x:v>
      </x:c>
      <x:c r="W57" s="84" t="n">
        <x:f>IF(OR($O57="PASS",$O57="EXCEPTION APPROVED",$O57="NOT APPLICABLE"),$V57,0)</x:f>
        <x:v>0</x:v>
      </x:c>
      <x:c r="X57" s="84" t="n">
        <x:f>IF(AND($K57="Yes",OR($O57="FAIL",$O57="BLOCKED",$O57="NOT RUN",$O57="IN PROGRESS")),1,0)</x:f>
        <x:v>1</x:v>
      </x:c>
      <x:c r="Y57" s="32" t="str">
        <x:f>IF($O57="FAIL","FAIL",IF($O57="BLOCKED","BLOCKED",IF(AND($O57="EXCEPTION APPROVED",$K57="Yes"),"REVIEW",IF($O57="PASS","OK","PENDING"))))</x:f>
        <x:v>PENDING</x:v>
      </x:c>
    </x:row>
    <x:row r="58">
      <x:c r="A58" s="32" t="str">
        <x:v>VS-DAY-001</x:v>
      </x:c>
      <x:c r="B58" s="32" t="str">
        <x:v>Día</x:v>
      </x:c>
      <x:c r="C58" s="32" t="str">
        <x:v>Criterio contractual VSS</x:v>
      </x:c>
      <x:c r="D58" s="32" t="str">
        <x:v>Transiciones entre estados siguen el orden permitido.</x:v>
      </x:c>
      <x:c r="E58" s="32" t="str">
        <x:v>Ejecutar la prueba correspondiente en Editor y/o build según el nivel definido en 02 y registrar resultado reproducible.</x:v>
      </x:c>
      <x:c r="F58" s="32" t="str">
        <x:v>El criterio se cumple sin desviaciones bloqueantes y con resultado trazable.</x:v>
      </x:c>
      <x:c r="G58" s="32" t="str">
        <x:v>Test de state machine.</x:v>
      </x:c>
      <x:c r="H58" s="32" t="str">
        <x:v>02_Vertical_Slice_Specification.md §7</x:v>
      </x:c>
      <x:c r="I58" s="32" t="str">
        <x:v>Vertical Slice Specification v0.1–v0.4; QA Plan/Matrix v0.3–v0.6</x:v>
      </x:c>
      <x:c r="J58" s="32" t="str">
        <x:v>H6</x:v>
      </x:c>
      <x:c r="K58" s="32" t="str">
        <x:v>Yes</x:v>
      </x:c>
      <x:c r="L58" s="32" t="str">
        <x:v>P0</x:v>
      </x:c>
      <x:c r="M58" s="32" t="str">
        <x:v>Engineering/Design</x:v>
      </x:c>
      <x:c r="N58" s="32" t="str">
        <x:v>QA/Production</x:v>
      </x:c>
      <x:c r="O58" s="32" t="str">
        <x:v>NOT RUN</x:v>
      </x:c>
      <x:c r="P58" s="32" t="str"/>
      <x:c r="Q58" s="32" t="str"/>
      <x:c r="R58" s="32" t="str"/>
      <x:c r="S58" s="32" t="str"/>
      <x:c r="T58" s="82" t="str"/>
      <x:c r="U58" s="32" t="str"/>
      <x:c r="V58" s="84" t="n">
        <x:v>1</x:v>
      </x:c>
      <x:c r="W58" s="84" t="n">
        <x:f>IF(OR($O58="PASS",$O58="EXCEPTION APPROVED",$O58="NOT APPLICABLE"),$V58,0)</x:f>
        <x:v>0</x:v>
      </x:c>
      <x:c r="X58" s="84" t="n">
        <x:f>IF(AND($K58="Yes",OR($O58="FAIL",$O58="BLOCKED",$O58="NOT RUN",$O58="IN PROGRESS")),1,0)</x:f>
        <x:v>1</x:v>
      </x:c>
      <x:c r="Y58" s="32" t="str">
        <x:f>IF($O58="FAIL","FAIL",IF($O58="BLOCKED","BLOCKED",IF(AND($O58="EXCEPTION APPROVED",$K58="Yes"),"REVIEW",IF($O58="PASS","OK","PENDING"))))</x:f>
        <x:v>PENDING</x:v>
      </x:c>
    </x:row>
    <x:row r="59">
      <x:c r="A59" s="32" t="str">
        <x:v>VS-DAY-002</x:v>
      </x:c>
      <x:c r="B59" s="32" t="str">
        <x:v>Día</x:v>
      </x:c>
      <x:c r="C59" s="32" t="str">
        <x:v>Criterio contractual VSS</x:v>
      </x:c>
      <x:c r="D59" s="32" t="str">
        <x:v>Abrir habilita clientes una sola vez.</x:v>
      </x:c>
      <x:c r="E59" s="32" t="str">
        <x:v>Ejecutar la prueba correspondiente en Editor y/o build según el nivel definido en 02 y registrar resultado reproducible.</x:v>
      </x:c>
      <x:c r="F59" s="32" t="str">
        <x:v>El criterio se cumple sin desviaciones bloqueantes y con resultado trazable.</x:v>
      </x:c>
      <x:c r="G59" s="32" t="str">
        <x:v>Prueba de apertura.</x:v>
      </x:c>
      <x:c r="H59" s="32" t="str">
        <x:v>02_Vertical_Slice_Specification.md §7</x:v>
      </x:c>
      <x:c r="I59" s="32" t="str">
        <x:v>Vertical Slice Specification v0.1–v0.4; QA Plan/Matrix v0.3–v0.6</x:v>
      </x:c>
      <x:c r="J59" s="32" t="str">
        <x:v>H6</x:v>
      </x:c>
      <x:c r="K59" s="32" t="str">
        <x:v>Yes</x:v>
      </x:c>
      <x:c r="L59" s="32" t="str">
        <x:v>P0</x:v>
      </x:c>
      <x:c r="M59" s="32" t="str">
        <x:v>Engineering/Design</x:v>
      </x:c>
      <x:c r="N59" s="32" t="str">
        <x:v>QA/Production</x:v>
      </x:c>
      <x:c r="O59" s="32" t="str">
        <x:v>NOT RUN</x:v>
      </x:c>
      <x:c r="P59" s="32" t="str"/>
      <x:c r="Q59" s="32" t="str"/>
      <x:c r="R59" s="32" t="str"/>
      <x:c r="S59" s="32" t="str"/>
      <x:c r="T59" s="82" t="str"/>
      <x:c r="U59" s="32" t="str"/>
      <x:c r="V59" s="84" t="n">
        <x:v>1</x:v>
      </x:c>
      <x:c r="W59" s="84" t="n">
        <x:f>IF(OR($O59="PASS",$O59="EXCEPTION APPROVED",$O59="NOT APPLICABLE"),$V59,0)</x:f>
        <x:v>0</x:v>
      </x:c>
      <x:c r="X59" s="84" t="n">
        <x:f>IF(AND($K59="Yes",OR($O59="FAIL",$O59="BLOCKED",$O59="NOT RUN",$O59="IN PROGRESS")),1,0)</x:f>
        <x:v>1</x:v>
      </x:c>
      <x:c r="Y59" s="32" t="str">
        <x:f>IF($O59="FAIL","FAIL",IF($O59="BLOCKED","BLOCKED",IF(AND($O59="EXCEPTION APPROVED",$K59="Yes"),"REVIEW",IF($O59="PASS","OK","PENDING"))))</x:f>
        <x:v>PENDING</x:v>
      </x:c>
    </x:row>
    <x:row r="60">
      <x:c r="A60" s="32" t="str">
        <x:v>VS-DAY-003</x:v>
      </x:c>
      <x:c r="B60" s="32" t="str">
        <x:v>Día</x:v>
      </x:c>
      <x:c r="C60" s="32" t="str">
        <x:v>Criterio contractual VSS</x:v>
      </x:c>
      <x:c r="D60" s="32" t="str">
        <x:v>Cerrar impide nuevas entradas y resuelve activos.</x:v>
      </x:c>
      <x:c r="E60" s="32" t="str">
        <x:v>Ejecutar la prueba correspondiente en Editor y/o build según el nivel definido en 02 y registrar resultado reproducible.</x:v>
      </x:c>
      <x:c r="F60" s="32" t="str">
        <x:v>El criterio se cumple sin desviaciones bloqueantes y con resultado trazable.</x:v>
      </x:c>
      <x:c r="G60" s="32" t="str">
        <x:v>Cierre manual/forzado.</x:v>
      </x:c>
      <x:c r="H60" s="32" t="str">
        <x:v>02_Vertical_Slice_Specification.md §7</x:v>
      </x:c>
      <x:c r="I60" s="32" t="str">
        <x:v>Vertical Slice Specification v0.1–v0.4; QA Plan/Matrix v0.3–v0.6</x:v>
      </x:c>
      <x:c r="J60" s="32" t="str">
        <x:v>H6</x:v>
      </x:c>
      <x:c r="K60" s="32" t="str">
        <x:v>Yes</x:v>
      </x:c>
      <x:c r="L60" s="32" t="str">
        <x:v>P0</x:v>
      </x:c>
      <x:c r="M60" s="32" t="str">
        <x:v>Engineering/Design</x:v>
      </x:c>
      <x:c r="N60" s="32" t="str">
        <x:v>QA/Production</x:v>
      </x:c>
      <x:c r="O60" s="32" t="str">
        <x:v>NOT RUN</x:v>
      </x:c>
      <x:c r="P60" s="32" t="str"/>
      <x:c r="Q60" s="32" t="str"/>
      <x:c r="R60" s="32" t="str"/>
      <x:c r="S60" s="32" t="str"/>
      <x:c r="T60" s="82" t="str"/>
      <x:c r="U60" s="32" t="str"/>
      <x:c r="V60" s="84" t="n">
        <x:v>1</x:v>
      </x:c>
      <x:c r="W60" s="84" t="n">
        <x:f>IF(OR($O60="PASS",$O60="EXCEPTION APPROVED",$O60="NOT APPLICABLE"),$V60,0)</x:f>
        <x:v>0</x:v>
      </x:c>
      <x:c r="X60" s="84" t="n">
        <x:f>IF(AND($K60="Yes",OR($O60="FAIL",$O60="BLOCKED",$O60="NOT RUN",$O60="IN PROGRESS")),1,0)</x:f>
        <x:v>1</x:v>
      </x:c>
      <x:c r="Y60" s="32" t="str">
        <x:f>IF($O60="FAIL","FAIL",IF($O60="BLOCKED","BLOCKED",IF(AND($O60="EXCEPTION APPROVED",$K60="Yes"),"REVIEW",IF($O60="PASS","OK","PENDING"))))</x:f>
        <x:v>PENDING</x:v>
      </x:c>
    </x:row>
    <x:row r="61">
      <x:c r="A61" s="32" t="str">
        <x:v>VS-DAY-004</x:v>
      </x:c>
      <x:c r="B61" s="32" t="str">
        <x:v>Día</x:v>
      </x:c>
      <x:c r="C61" s="32" t="str">
        <x:v>Criterio contractual VSS</x:v>
      </x:c>
      <x:c r="D61" s="32" t="str">
        <x:v>Resumen y avance se generan una sola vez.</x:v>
      </x:c>
      <x:c r="E61" s="32" t="str">
        <x:v>Ejecutar la prueba correspondiente en Editor y/o build según el nivel definido en 02 y registrar resultado reproducible.</x:v>
      </x:c>
      <x:c r="F61" s="32" t="str">
        <x:v>El criterio se cumple sin desviaciones bloqueantes y con resultado trazable.</x:v>
      </x:c>
      <x:c r="G61" s="32" t="str">
        <x:v>Doble input/recarga.</x:v>
      </x:c>
      <x:c r="H61" s="32" t="str">
        <x:v>02_Vertical_Slice_Specification.md §7</x:v>
      </x:c>
      <x:c r="I61" s="32" t="str">
        <x:v>Vertical Slice Specification v0.1–v0.4; QA Plan/Matrix v0.3–v0.6</x:v>
      </x:c>
      <x:c r="J61" s="32" t="str">
        <x:v>H6</x:v>
      </x:c>
      <x:c r="K61" s="32" t="str">
        <x:v>Yes</x:v>
      </x:c>
      <x:c r="L61" s="32" t="str">
        <x:v>P0</x:v>
      </x:c>
      <x:c r="M61" s="32" t="str">
        <x:v>Engineering/Design</x:v>
      </x:c>
      <x:c r="N61" s="32" t="str">
        <x:v>QA/Production</x:v>
      </x:c>
      <x:c r="O61" s="32" t="str">
        <x:v>NOT RUN</x:v>
      </x:c>
      <x:c r="P61" s="32" t="str"/>
      <x:c r="Q61" s="32" t="str"/>
      <x:c r="R61" s="32" t="str"/>
      <x:c r="S61" s="32" t="str"/>
      <x:c r="T61" s="82" t="str"/>
      <x:c r="U61" s="32" t="str"/>
      <x:c r="V61" s="84" t="n">
        <x:v>1</x:v>
      </x:c>
      <x:c r="W61" s="84" t="n">
        <x:f>IF(OR($O61="PASS",$O61="EXCEPTION APPROVED",$O61="NOT APPLICABLE"),$V61,0)</x:f>
        <x:v>0</x:v>
      </x:c>
      <x:c r="X61" s="84" t="n">
        <x:f>IF(AND($K61="Yes",OR($O61="FAIL",$O61="BLOCKED",$O61="NOT RUN",$O61="IN PROGRESS")),1,0)</x:f>
        <x:v>1</x:v>
      </x:c>
      <x:c r="Y61" s="32" t="str">
        <x:f>IF($O61="FAIL","FAIL",IF($O61="BLOCKED","BLOCKED",IF(AND($O61="EXCEPTION APPROVED",$K61="Yes"),"REVIEW",IF($O61="PASS","OK","PENDING"))))</x:f>
        <x:v>PENDING</x:v>
      </x:c>
    </x:row>
    <x:row r="62">
      <x:c r="A62" s="32" t="str">
        <x:v>VS-ECO-001</x:v>
      </x:c>
      <x:c r="B62" s="32" t="str">
        <x:v>Economía</x:v>
      </x:c>
      <x:c r="C62" s="32" t="str">
        <x:v>Criterio contractual VSS</x:v>
      </x:c>
      <x:c r="D62" s="32" t="str">
        <x:v>Todo cambio de saldo tiene movimiento registrado.</x:v>
      </x:c>
      <x:c r="E62" s="32" t="str">
        <x:v>Ejecutar la prueba correspondiente en Editor y/o build según el nivel definido en 02 y registrar resultado reproducible.</x:v>
      </x:c>
      <x:c r="F62" s="32" t="str">
        <x:v>El criterio se cumple sin desviaciones bloqueantes y con resultado trazable.</x:v>
      </x:c>
      <x:c r="G62" s="32" t="str">
        <x:v>Auditoría contable.</x:v>
      </x:c>
      <x:c r="H62" s="32" t="str">
        <x:v>02_Vertical_Slice_Specification.md §7</x:v>
      </x:c>
      <x:c r="I62" s="32" t="str">
        <x:v>Vertical Slice Specification v0.1–v0.4; QA Plan/Matrix v0.3–v0.6</x:v>
      </x:c>
      <x:c r="J62" s="32" t="str">
        <x:v>H6</x:v>
      </x:c>
      <x:c r="K62" s="32" t="str">
        <x:v>Yes</x:v>
      </x:c>
      <x:c r="L62" s="32" t="str">
        <x:v>P0</x:v>
      </x:c>
      <x:c r="M62" s="32" t="str">
        <x:v>Design/Engineering</x:v>
      </x:c>
      <x:c r="N62" s="32" t="str">
        <x:v>QA/Production</x:v>
      </x:c>
      <x:c r="O62" s="32" t="str">
        <x:v>NOT RUN</x:v>
      </x:c>
      <x:c r="P62" s="32" t="str"/>
      <x:c r="Q62" s="32" t="str"/>
      <x:c r="R62" s="32" t="str"/>
      <x:c r="S62" s="32" t="str"/>
      <x:c r="T62" s="82" t="str"/>
      <x:c r="U62" s="32" t="str"/>
      <x:c r="V62" s="84" t="n">
        <x:v>1</x:v>
      </x:c>
      <x:c r="W62" s="84" t="n">
        <x:f>IF(OR($O62="PASS",$O62="EXCEPTION APPROVED",$O62="NOT APPLICABLE"),$V62,0)</x:f>
        <x:v>0</x:v>
      </x:c>
      <x:c r="X62" s="84" t="n">
        <x:f>IF(AND($K62="Yes",OR($O62="FAIL",$O62="BLOCKED",$O62="NOT RUN",$O62="IN PROGRESS")),1,0)</x:f>
        <x:v>1</x:v>
      </x:c>
      <x:c r="Y62" s="32" t="str">
        <x:f>IF($O62="FAIL","FAIL",IF($O62="BLOCKED","BLOCKED",IF(AND($O62="EXCEPTION APPROVED",$K62="Yes"),"REVIEW",IF($O62="PASS","OK","PENDING"))))</x:f>
        <x:v>PENDING</x:v>
      </x:c>
    </x:row>
    <x:row r="63">
      <x:c r="A63" s="32" t="str">
        <x:v>VS-ECO-002</x:v>
      </x:c>
      <x:c r="B63" s="32" t="str">
        <x:v>Economía</x:v>
      </x:c>
      <x:c r="C63" s="32" t="str">
        <x:v>Criterio contractual VSS</x:v>
      </x:c>
      <x:c r="D63" s="32" t="str">
        <x:v>Venta genera un único ingreso con precio correcto.</x:v>
      </x:c>
      <x:c r="E63" s="32" t="str">
        <x:v>Ejecutar la prueba correspondiente en Editor y/o build según el nivel definido en 02 y registrar resultado reproducible.</x:v>
      </x:c>
      <x:c r="F63" s="32" t="str">
        <x:v>El criterio se cumple sin desviaciones bloqueantes y con resultado trazable.</x:v>
      </x:c>
      <x:c r="G63" s="32" t="str">
        <x:v>Test de transacción.</x:v>
      </x:c>
      <x:c r="H63" s="32" t="str">
        <x:v>02_Vertical_Slice_Specification.md §7</x:v>
      </x:c>
      <x:c r="I63" s="32" t="str">
        <x:v>Vertical Slice Specification v0.1–v0.4; QA Plan/Matrix v0.3–v0.6</x:v>
      </x:c>
      <x:c r="J63" s="32" t="str">
        <x:v>H6</x:v>
      </x:c>
      <x:c r="K63" s="32" t="str">
        <x:v>Yes</x:v>
      </x:c>
      <x:c r="L63" s="32" t="str">
        <x:v>P0</x:v>
      </x:c>
      <x:c r="M63" s="32" t="str">
        <x:v>Design/Engineering</x:v>
      </x:c>
      <x:c r="N63" s="32" t="str">
        <x:v>QA/Production</x:v>
      </x:c>
      <x:c r="O63" s="32" t="str">
        <x:v>NOT RUN</x:v>
      </x:c>
      <x:c r="P63" s="32" t="str"/>
      <x:c r="Q63" s="32" t="str"/>
      <x:c r="R63" s="32" t="str"/>
      <x:c r="S63" s="32" t="str"/>
      <x:c r="T63" s="82" t="str"/>
      <x:c r="U63" s="32" t="str"/>
      <x:c r="V63" s="84" t="n">
        <x:v>1</x:v>
      </x:c>
      <x:c r="W63" s="84" t="n">
        <x:f>IF(OR($O63="PASS",$O63="EXCEPTION APPROVED",$O63="NOT APPLICABLE"),$V63,0)</x:f>
        <x:v>0</x:v>
      </x:c>
      <x:c r="X63" s="84" t="n">
        <x:f>IF(AND($K63="Yes",OR($O63="FAIL",$O63="BLOCKED",$O63="NOT RUN",$O63="IN PROGRESS")),1,0)</x:f>
        <x:v>1</x:v>
      </x:c>
      <x:c r="Y63" s="32" t="str">
        <x:f>IF($O63="FAIL","FAIL",IF($O63="BLOCKED","BLOCKED",IF(AND($O63="EXCEPTION APPROVED",$K63="Yes"),"REVIEW",IF($O63="PASS","OK","PENDING"))))</x:f>
        <x:v>PENDING</x:v>
      </x:c>
    </x:row>
    <x:row r="64">
      <x:c r="A64" s="32" t="str">
        <x:v>VS-ECO-003</x:v>
      </x:c>
      <x:c r="B64" s="32" t="str">
        <x:v>Economía</x:v>
      </x:c>
      <x:c r="C64" s="32" t="str">
        <x:v>Criterio contractual VSS</x:v>
      </x:c>
      <x:c r="D64" s="32" t="str">
        <x:v>Pedido rechazado no cambia saldo.</x:v>
      </x:c>
      <x:c r="E64" s="32" t="str">
        <x:v>Ejecutar la prueba correspondiente en Editor y/o build según el nivel definido en 02 y registrar resultado reproducible.</x:v>
      </x:c>
      <x:c r="F64" s="32" t="str">
        <x:v>El criterio se cumple sin desviaciones bloqueantes y con resultado trazable.</x:v>
      </x:c>
      <x:c r="G64" s="32" t="str">
        <x:v>Prueba negativa.</x:v>
      </x:c>
      <x:c r="H64" s="32" t="str">
        <x:v>02_Vertical_Slice_Specification.md §7</x:v>
      </x:c>
      <x:c r="I64" s="32" t="str">
        <x:v>Vertical Slice Specification v0.1–v0.4; QA Plan/Matrix v0.3–v0.6</x:v>
      </x:c>
      <x:c r="J64" s="32" t="str">
        <x:v>H6</x:v>
      </x:c>
      <x:c r="K64" s="32" t="str">
        <x:v>Yes</x:v>
      </x:c>
      <x:c r="L64" s="32" t="str">
        <x:v>P0</x:v>
      </x:c>
      <x:c r="M64" s="32" t="str">
        <x:v>Design/Engineering</x:v>
      </x:c>
      <x:c r="N64" s="32" t="str">
        <x:v>QA/Production</x:v>
      </x:c>
      <x:c r="O64" s="32" t="str">
        <x:v>NOT RUN</x:v>
      </x:c>
      <x:c r="P64" s="32" t="str"/>
      <x:c r="Q64" s="32" t="str"/>
      <x:c r="R64" s="32" t="str"/>
      <x:c r="S64" s="32" t="str"/>
      <x:c r="T64" s="82" t="str"/>
      <x:c r="U64" s="32" t="str"/>
      <x:c r="V64" s="84" t="n">
        <x:v>1</x:v>
      </x:c>
      <x:c r="W64" s="84" t="n">
        <x:f>IF(OR($O64="PASS",$O64="EXCEPTION APPROVED",$O64="NOT APPLICABLE"),$V64,0)</x:f>
        <x:v>0</x:v>
      </x:c>
      <x:c r="X64" s="84" t="n">
        <x:f>IF(AND($K64="Yes",OR($O64="FAIL",$O64="BLOCKED",$O64="NOT RUN",$O64="IN PROGRESS")),1,0)</x:f>
        <x:v>1</x:v>
      </x:c>
      <x:c r="Y64" s="32" t="str">
        <x:f>IF($O64="FAIL","FAIL",IF($O64="BLOCKED","BLOCKED",IF(AND($O64="EXCEPTION APPROVED",$K64="Yes"),"REVIEW",IF($O64="PASS","OK","PENDING"))))</x:f>
        <x:v>PENDING</x:v>
      </x:c>
    </x:row>
    <x:row r="65">
      <x:c r="A65" s="32" t="str">
        <x:v>VS-ECO-004</x:v>
      </x:c>
      <x:c r="B65" s="32" t="str">
        <x:v>Economía</x:v>
      </x:c>
      <x:c r="C65" s="32" t="str">
        <x:v>Criterio contractual VSS</x:v>
      </x:c>
      <x:c r="D65" s="32" t="str">
        <x:v>Impuesto solo se aplica a beneficio semanal positivo.</x:v>
      </x:c>
      <x:c r="E65" s="32" t="str">
        <x:v>Ejecutar la prueba correspondiente en Editor y/o build según el nivel definido en 02 y registrar resultado reproducible.</x:v>
      </x:c>
      <x:c r="F65" s="32" t="str">
        <x:v>El criterio se cumple sin desviaciones bloqueantes y con resultado trazable.</x:v>
      </x:c>
      <x:c r="G65" s="32" t="str">
        <x:v>Casos positivo/cero/negativo.</x:v>
      </x:c>
      <x:c r="H65" s="32" t="str">
        <x:v>02_Vertical_Slice_Specification.md §7</x:v>
      </x:c>
      <x:c r="I65" s="32" t="str">
        <x:v>Vertical Slice Specification v0.1–v0.4; QA Plan/Matrix v0.3–v0.6</x:v>
      </x:c>
      <x:c r="J65" s="32" t="str">
        <x:v>H6</x:v>
      </x:c>
      <x:c r="K65" s="32" t="str">
        <x:v>Yes</x:v>
      </x:c>
      <x:c r="L65" s="32" t="str">
        <x:v>P0</x:v>
      </x:c>
      <x:c r="M65" s="32" t="str">
        <x:v>Design/Engineering</x:v>
      </x:c>
      <x:c r="N65" s="32" t="str">
        <x:v>QA/Production</x:v>
      </x:c>
      <x:c r="O65" s="32" t="str">
        <x:v>NOT RUN</x:v>
      </x:c>
      <x:c r="P65" s="32" t="str"/>
      <x:c r="Q65" s="32" t="str"/>
      <x:c r="R65" s="32" t="str"/>
      <x:c r="S65" s="32" t="str"/>
      <x:c r="T65" s="82" t="str"/>
      <x:c r="U65" s="32" t="str"/>
      <x:c r="V65" s="84" t="n">
        <x:v>1</x:v>
      </x:c>
      <x:c r="W65" s="84" t="n">
        <x:f>IF(OR($O65="PASS",$O65="EXCEPTION APPROVED",$O65="NOT APPLICABLE"),$V65,0)</x:f>
        <x:v>0</x:v>
      </x:c>
      <x:c r="X65" s="84" t="n">
        <x:f>IF(AND($K65="Yes",OR($O65="FAIL",$O65="BLOCKED",$O65="NOT RUN",$O65="IN PROGRESS")),1,0)</x:f>
        <x:v>1</x:v>
      </x:c>
      <x:c r="Y65" s="32" t="str">
        <x:f>IF($O65="FAIL","FAIL",IF($O65="BLOCKED","BLOCKED",IF(AND($O65="EXCEPTION APPROVED",$K65="Yes"),"REVIEW",IF($O65="PASS","OK","PENDING"))))</x:f>
        <x:v>PENDING</x:v>
      </x:c>
    </x:row>
    <x:row r="66">
      <x:c r="A66" s="32" t="str">
        <x:v>VS-ECO-005</x:v>
      </x:c>
      <x:c r="B66" s="32" t="str">
        <x:v>Economía</x:v>
      </x:c>
      <x:c r="C66" s="32" t="str">
        <x:v>Criterio contractual VSS</x:v>
      </x:c>
      <x:c r="D66" s="32" t="str">
        <x:v>Resumen diario/semanal reconcilia movimientos.</x:v>
      </x:c>
      <x:c r="E66" s="32" t="str">
        <x:v>Ejecutar la prueba correspondiente en Editor y/o build según el nivel definido en 02 y registrar resultado reproducible.</x:v>
      </x:c>
      <x:c r="F66" s="32" t="str">
        <x:v>El criterio se cumple sin desviaciones bloqueantes y con resultado trazable.</x:v>
      </x:c>
      <x:c r="G66" s="32" t="str">
        <x:v>Comparación.</x:v>
      </x:c>
      <x:c r="H66" s="32" t="str">
        <x:v>02_Vertical_Slice_Specification.md §7</x:v>
      </x:c>
      <x:c r="I66" s="32" t="str">
        <x:v>Vertical Slice Specification v0.1–v0.4; QA Plan/Matrix v0.3–v0.6</x:v>
      </x:c>
      <x:c r="J66" s="32" t="str">
        <x:v>H6</x:v>
      </x:c>
      <x:c r="K66" s="32" t="str">
        <x:v>Yes</x:v>
      </x:c>
      <x:c r="L66" s="32" t="str">
        <x:v>P0</x:v>
      </x:c>
      <x:c r="M66" s="32" t="str">
        <x:v>Design/Engineering</x:v>
      </x:c>
      <x:c r="N66" s="32" t="str">
        <x:v>QA/Production</x:v>
      </x:c>
      <x:c r="O66" s="32" t="str">
        <x:v>NOT RUN</x:v>
      </x:c>
      <x:c r="P66" s="32" t="str"/>
      <x:c r="Q66" s="32" t="str"/>
      <x:c r="R66" s="32" t="str"/>
      <x:c r="S66" s="32" t="str"/>
      <x:c r="T66" s="82" t="str"/>
      <x:c r="U66" s="32" t="str"/>
      <x:c r="V66" s="84" t="n">
        <x:v>1</x:v>
      </x:c>
      <x:c r="W66" s="84" t="n">
        <x:f>IF(OR($O66="PASS",$O66="EXCEPTION APPROVED",$O66="NOT APPLICABLE"),$V66,0)</x:f>
        <x:v>0</x:v>
      </x:c>
      <x:c r="X66" s="84" t="n">
        <x:f>IF(AND($K66="Yes",OR($O66="FAIL",$O66="BLOCKED",$O66="NOT RUN",$O66="IN PROGRESS")),1,0)</x:f>
        <x:v>1</x:v>
      </x:c>
      <x:c r="Y66" s="32" t="str">
        <x:f>IF($O66="FAIL","FAIL",IF($O66="BLOCKED","BLOCKED",IF(AND($O66="EXCEPTION APPROVED",$K66="Yes"),"REVIEW",IF($O66="PASS","OK","PENDING"))))</x:f>
        <x:v>PENDING</x:v>
      </x:c>
    </x:row>
    <x:row r="67">
      <x:c r="A67" s="32" t="str">
        <x:v>VS-SAV-001</x:v>
      </x:c>
      <x:c r="B67" s="32" t="str">
        <x:v>Persistencia</x:v>
      </x:c>
      <x:c r="C67" s="32" t="str">
        <x:v>Criterio contractual VSS</x:v>
      </x:c>
      <x:c r="D67" s="32" t="str">
        <x:v>Guardado conserva todos los campos obligatorios.</x:v>
      </x:c>
      <x:c r="E67" s="32" t="str">
        <x:v>Ejecutar la prueba correspondiente en Editor y/o build según el nivel definido en 02 y registrar resultado reproducible.</x:v>
      </x:c>
      <x:c r="F67" s="32" t="str">
        <x:v>El criterio se cumple sin desviaciones bloqueantes y con resultado trazable.</x:v>
      </x:c>
      <x:c r="G67" s="32" t="str">
        <x:v>Snapshot y diff.</x:v>
      </x:c>
      <x:c r="H67" s="32" t="str">
        <x:v>02_Vertical_Slice_Specification.md §7</x:v>
      </x:c>
      <x:c r="I67" s="32" t="str">
        <x:v>Vertical Slice Specification v0.1–v0.4; QA Plan/Matrix v0.3–v0.6</x:v>
      </x:c>
      <x:c r="J67" s="32" t="str">
        <x:v>H6</x:v>
      </x:c>
      <x:c r="K67" s="32" t="str">
        <x:v>Yes</x:v>
      </x:c>
      <x:c r="L67" s="32" t="str">
        <x:v>P0</x:v>
      </x:c>
      <x:c r="M67" s="32" t="str">
        <x:v>Engineering</x:v>
      </x:c>
      <x:c r="N67" s="32" t="str">
        <x:v>QA/Production</x:v>
      </x:c>
      <x:c r="O67" s="32" t="str">
        <x:v>NOT RUN</x:v>
      </x:c>
      <x:c r="P67" s="32" t="str"/>
      <x:c r="Q67" s="32" t="str"/>
      <x:c r="R67" s="32" t="str"/>
      <x:c r="S67" s="32" t="str"/>
      <x:c r="T67" s="82" t="str"/>
      <x:c r="U67" s="32" t="str"/>
      <x:c r="V67" s="84" t="n">
        <x:v>1</x:v>
      </x:c>
      <x:c r="W67" s="84" t="n">
        <x:f>IF(OR($O67="PASS",$O67="EXCEPTION APPROVED",$O67="NOT APPLICABLE"),$V67,0)</x:f>
        <x:v>0</x:v>
      </x:c>
      <x:c r="X67" s="84" t="n">
        <x:f>IF(AND($K67="Yes",OR($O67="FAIL",$O67="BLOCKED",$O67="NOT RUN",$O67="IN PROGRESS")),1,0)</x:f>
        <x:v>1</x:v>
      </x:c>
      <x:c r="Y67" s="32" t="str">
        <x:f>IF($O67="FAIL","FAIL",IF($O67="BLOCKED","BLOCKED",IF(AND($O67="EXCEPTION APPROVED",$K67="Yes"),"REVIEW",IF($O67="PASS","OK","PENDING"))))</x:f>
        <x:v>PENDING</x:v>
      </x:c>
    </x:row>
    <x:row r="68">
      <x:c r="A68" s="32" t="str">
        <x:v>VS-SAV-002</x:v>
      </x:c>
      <x:c r="B68" s="32" t="str">
        <x:v>Persistencia</x:v>
      </x:c>
      <x:c r="C68" s="32" t="str">
        <x:v>Criterio contractual VSS</x:v>
      </x:c>
      <x:c r="D68" s="32" t="str">
        <x:v>Carga reconstruye un estado equivalente.</x:v>
      </x:c>
      <x:c r="E68" s="32" t="str">
        <x:v>Ejecutar la prueba correspondiente en Editor y/o build según el nivel definido en 02 y registrar resultado reproducible.</x:v>
      </x:c>
      <x:c r="F68" s="32" t="str">
        <x:v>El criterio se cumple sin desviaciones bloqueantes y con resultado trazable.</x:v>
      </x:c>
      <x:c r="G68" s="32" t="str">
        <x:v>Comparación antes/después.</x:v>
      </x:c>
      <x:c r="H68" s="32" t="str">
        <x:v>02_Vertical_Slice_Specification.md §7</x:v>
      </x:c>
      <x:c r="I68" s="32" t="str">
        <x:v>Vertical Slice Specification v0.1–v0.4; QA Plan/Matrix v0.3–v0.6</x:v>
      </x:c>
      <x:c r="J68" s="32" t="str">
        <x:v>H6</x:v>
      </x:c>
      <x:c r="K68" s="32" t="str">
        <x:v>Yes</x:v>
      </x:c>
      <x:c r="L68" s="32" t="str">
        <x:v>P0</x:v>
      </x:c>
      <x:c r="M68" s="32" t="str">
        <x:v>Engineering</x:v>
      </x:c>
      <x:c r="N68" s="32" t="str">
        <x:v>QA/Production</x:v>
      </x:c>
      <x:c r="O68" s="32" t="str">
        <x:v>NOT RUN</x:v>
      </x:c>
      <x:c r="P68" s="32" t="str"/>
      <x:c r="Q68" s="32" t="str"/>
      <x:c r="R68" s="32" t="str"/>
      <x:c r="S68" s="32" t="str"/>
      <x:c r="T68" s="82" t="str"/>
      <x:c r="U68" s="32" t="str"/>
      <x:c r="V68" s="84" t="n">
        <x:v>1</x:v>
      </x:c>
      <x:c r="W68" s="84" t="n">
        <x:f>IF(OR($O68="PASS",$O68="EXCEPTION APPROVED",$O68="NOT APPLICABLE"),$V68,0)</x:f>
        <x:v>0</x:v>
      </x:c>
      <x:c r="X68" s="84" t="n">
        <x:f>IF(AND($K68="Yes",OR($O68="FAIL",$O68="BLOCKED",$O68="NOT RUN",$O68="IN PROGRESS")),1,0)</x:f>
        <x:v>1</x:v>
      </x:c>
      <x:c r="Y68" s="32" t="str">
        <x:f>IF($O68="FAIL","FAIL",IF($O68="BLOCKED","BLOCKED",IF(AND($O68="EXCEPTION APPROVED",$K68="Yes"),"REVIEW",IF($O68="PASS","OK","PENDING"))))</x:f>
        <x:v>PENDING</x:v>
      </x:c>
    </x:row>
    <x:row r="69">
      <x:c r="A69" s="32" t="str">
        <x:v>VS-SAV-003</x:v>
      </x:c>
      <x:c r="B69" s="32" t="str">
        <x:v>Persistencia</x:v>
      </x:c>
      <x:c r="C69" s="32" t="str">
        <x:v>Criterio contractual VSS</x:v>
      </x:c>
      <x:c r="D69" s="32" t="str">
        <x:v>Cargar no duplica pedidos, muebles, stock, clientes o ingresos.</x:v>
      </x:c>
      <x:c r="E69" s="32" t="str">
        <x:v>Ejecutar la prueba correspondiente en Editor y/o build según el nivel definido en 02 y registrar resultado reproducible.</x:v>
      </x:c>
      <x:c r="F69" s="32" t="str">
        <x:v>El criterio se cumple sin desviaciones bloqueantes y con resultado trazable.</x:v>
      </x:c>
      <x:c r="G69" s="32" t="str">
        <x:v>Prueba de repetición.</x:v>
      </x:c>
      <x:c r="H69" s="32" t="str">
        <x:v>02_Vertical_Slice_Specification.md §7</x:v>
      </x:c>
      <x:c r="I69" s="32" t="str">
        <x:v>Vertical Slice Specification v0.1–v0.4; QA Plan/Matrix v0.3–v0.6</x:v>
      </x:c>
      <x:c r="J69" s="32" t="str">
        <x:v>H6</x:v>
      </x:c>
      <x:c r="K69" s="32" t="str">
        <x:v>Yes</x:v>
      </x:c>
      <x:c r="L69" s="32" t="str">
        <x:v>P0</x:v>
      </x:c>
      <x:c r="M69" s="32" t="str">
        <x:v>Engineering</x:v>
      </x:c>
      <x:c r="N69" s="32" t="str">
        <x:v>QA/Production</x:v>
      </x:c>
      <x:c r="O69" s="32" t="str">
        <x:v>NOT RUN</x:v>
      </x:c>
      <x:c r="P69" s="32" t="str"/>
      <x:c r="Q69" s="32" t="str"/>
      <x:c r="R69" s="32" t="str"/>
      <x:c r="S69" s="32" t="str"/>
      <x:c r="T69" s="82" t="str"/>
      <x:c r="U69" s="32" t="str"/>
      <x:c r="V69" s="84" t="n">
        <x:v>1</x:v>
      </x:c>
      <x:c r="W69" s="84" t="n">
        <x:f>IF(OR($O69="PASS",$O69="EXCEPTION APPROVED",$O69="NOT APPLICABLE"),$V69,0)</x:f>
        <x:v>0</x:v>
      </x:c>
      <x:c r="X69" s="84" t="n">
        <x:f>IF(AND($K69="Yes",OR($O69="FAIL",$O69="BLOCKED",$O69="NOT RUN",$O69="IN PROGRESS")),1,0)</x:f>
        <x:v>1</x:v>
      </x:c>
      <x:c r="Y69" s="32" t="str">
        <x:f>IF($O69="FAIL","FAIL",IF($O69="BLOCKED","BLOCKED",IF(AND($O69="EXCEPTION APPROVED",$K69="Yes"),"REVIEW",IF($O69="PASS","OK","PENDING"))))</x:f>
        <x:v>PENDING</x:v>
      </x:c>
    </x:row>
    <x:row r="70">
      <x:c r="A70" s="32" t="str">
        <x:v>VS-SAV-004</x:v>
      </x:c>
      <x:c r="B70" s="32" t="str">
        <x:v>Persistencia</x:v>
      </x:c>
      <x:c r="C70" s="32" t="str">
        <x:v>Criterio contractual VSS</x:v>
      </x:c>
      <x:c r="D70" s="32" t="str">
        <x:v>Archivo ausente o corrupto se maneja de forma controlada.</x:v>
      </x:c>
      <x:c r="E70" s="32" t="str">
        <x:v>Ejecutar la prueba correspondiente en Editor y/o build según el nivel definido en 02 y registrar resultado reproducible.</x:v>
      </x:c>
      <x:c r="F70" s="32" t="str">
        <x:v>El criterio se cumple sin desviaciones bloqueantes y con resultado trazable.</x:v>
      </x:c>
      <x:c r="G70" s="32" t="str">
        <x:v>Prueba negativa/backup.</x:v>
      </x:c>
      <x:c r="H70" s="32" t="str">
        <x:v>02_Vertical_Slice_Specification.md §7</x:v>
      </x:c>
      <x:c r="I70" s="32" t="str">
        <x:v>Vertical Slice Specification v0.1–v0.4; QA Plan/Matrix v0.3–v0.6</x:v>
      </x:c>
      <x:c r="J70" s="32" t="str">
        <x:v>H6</x:v>
      </x:c>
      <x:c r="K70" s="32" t="str">
        <x:v>Yes</x:v>
      </x:c>
      <x:c r="L70" s="32" t="str">
        <x:v>P0</x:v>
      </x:c>
      <x:c r="M70" s="32" t="str">
        <x:v>Engineering</x:v>
      </x:c>
      <x:c r="N70" s="32" t="str">
        <x:v>QA/Production</x:v>
      </x:c>
      <x:c r="O70" s="32" t="str">
        <x:v>NOT RUN</x:v>
      </x:c>
      <x:c r="P70" s="32" t="str"/>
      <x:c r="Q70" s="32" t="str"/>
      <x:c r="R70" s="32" t="str"/>
      <x:c r="S70" s="32" t="str"/>
      <x:c r="T70" s="82" t="str"/>
      <x:c r="U70" s="32" t="str"/>
      <x:c r="V70" s="84" t="n">
        <x:v>1</x:v>
      </x:c>
      <x:c r="W70" s="84" t="n">
        <x:f>IF(OR($O70="PASS",$O70="EXCEPTION APPROVED",$O70="NOT APPLICABLE"),$V70,0)</x:f>
        <x:v>0</x:v>
      </x:c>
      <x:c r="X70" s="84" t="n">
        <x:f>IF(AND($K70="Yes",OR($O70="FAIL",$O70="BLOCKED",$O70="NOT RUN",$O70="IN PROGRESS")),1,0)</x:f>
        <x:v>1</x:v>
      </x:c>
      <x:c r="Y70" s="32" t="str">
        <x:f>IF($O70="FAIL","FAIL",IF($O70="BLOCKED","BLOCKED",IF(AND($O70="EXCEPTION APPROVED",$K70="Yes"),"REVIEW",IF($O70="PASS","OK","PENDING"))))</x:f>
        <x:v>PENDING</x:v>
      </x:c>
    </x:row>
    <x:row r="71">
      <x:c r="A71" s="32" t="str">
        <x:v>VS-SAV-005</x:v>
      </x:c>
      <x:c r="B71" s="32" t="str">
        <x:v>Persistencia</x:v>
      </x:c>
      <x:c r="C71" s="32" t="str">
        <x:v>Criterio contractual VSS</x:v>
      </x:c>
      <x:c r="D71" s="32" t="str">
        <x:v>Tres slots son independientes.</x:v>
      </x:c>
      <x:c r="E71" s="32" t="str">
        <x:v>Ejecutar la prueba correspondiente en Editor y/o build según el nivel definido en 02 y registrar resultado reproducible.</x:v>
      </x:c>
      <x:c r="F71" s="32" t="str">
        <x:v>El criterio se cumple sin desviaciones bloqueantes y con resultado trazable.</x:v>
      </x:c>
      <x:c r="G71" s="32" t="str">
        <x:v>Prueba cruzada.</x:v>
      </x:c>
      <x:c r="H71" s="32" t="str">
        <x:v>02_Vertical_Slice_Specification.md §7</x:v>
      </x:c>
      <x:c r="I71" s="32" t="str">
        <x:v>Vertical Slice Specification v0.1–v0.4; QA Plan/Matrix v0.3–v0.6</x:v>
      </x:c>
      <x:c r="J71" s="32" t="str">
        <x:v>H6</x:v>
      </x:c>
      <x:c r="K71" s="32" t="str">
        <x:v>Yes</x:v>
      </x:c>
      <x:c r="L71" s="32" t="str">
        <x:v>P0</x:v>
      </x:c>
      <x:c r="M71" s="32" t="str">
        <x:v>Engineering</x:v>
      </x:c>
      <x:c r="N71" s="32" t="str">
        <x:v>QA/Production</x:v>
      </x:c>
      <x:c r="O71" s="32" t="str">
        <x:v>NOT RUN</x:v>
      </x:c>
      <x:c r="P71" s="32" t="str"/>
      <x:c r="Q71" s="32" t="str"/>
      <x:c r="R71" s="32" t="str"/>
      <x:c r="S71" s="32" t="str"/>
      <x:c r="T71" s="82" t="str"/>
      <x:c r="U71" s="32" t="str"/>
      <x:c r="V71" s="84" t="n">
        <x:v>1</x:v>
      </x:c>
      <x:c r="W71" s="84" t="n">
        <x:f>IF(OR($O71="PASS",$O71="EXCEPTION APPROVED",$O71="NOT APPLICABLE"),$V71,0)</x:f>
        <x:v>0</x:v>
      </x:c>
      <x:c r="X71" s="84" t="n">
        <x:f>IF(AND($K71="Yes",OR($O71="FAIL",$O71="BLOCKED",$O71="NOT RUN",$O71="IN PROGRESS")),1,0)</x:f>
        <x:v>1</x:v>
      </x:c>
      <x:c r="Y71" s="32" t="str">
        <x:f>IF($O71="FAIL","FAIL",IF($O71="BLOCKED","BLOCKED",IF(AND($O71="EXCEPTION APPROVED",$K71="Yes"),"REVIEW",IF($O71="PASS","OK","PENDING"))))</x:f>
        <x:v>PENDING</x:v>
      </x:c>
    </x:row>
    <x:row r="72">
      <x:c r="A72" s="32" t="str">
        <x:v>VS-UI-001</x:v>
      </x:c>
      <x:c r="B72" s="32" t="str">
        <x:v>UI/UX</x:v>
      </x:c>
      <x:c r="C72" s="32" t="str">
        <x:v>Criterio contractual VSS</x:v>
      </x:c>
      <x:c r="D72" s="32" t="str">
        <x:v>Golden Path puede completarse sin herramientas de debug.</x:v>
      </x:c>
      <x:c r="E72" s="32" t="str">
        <x:v>Ejecutar la prueba correspondiente en Editor y/o build según el nivel definido en 02 y registrar resultado reproducible.</x:v>
      </x:c>
      <x:c r="F72" s="32" t="str">
        <x:v>El criterio se cumple sin desviaciones bloqueantes y con resultado trazable.</x:v>
      </x:c>
      <x:c r="G72" s="32" t="str">
        <x:v>Sesión guiada/no guiada.</x:v>
      </x:c>
      <x:c r="H72" s="32" t="str">
        <x:v>02_Vertical_Slice_Specification.md §7</x:v>
      </x:c>
      <x:c r="I72" s="32" t="str">
        <x:v>Vertical Slice Specification v0.1–v0.4; QA Plan/Matrix v0.3–v0.6</x:v>
      </x:c>
      <x:c r="J72" s="32" t="str">
        <x:v>H6</x:v>
      </x:c>
      <x:c r="K72" s="32" t="str">
        <x:v>Yes</x:v>
      </x:c>
      <x:c r="L72" s="32" t="str">
        <x:v>P0</x:v>
      </x:c>
      <x:c r="M72" s="32" t="str">
        <x:v>UX/Engineering</x:v>
      </x:c>
      <x:c r="N72" s="32" t="str">
        <x:v>QA/Production</x:v>
      </x:c>
      <x:c r="O72" s="32" t="str">
        <x:v>NOT RUN</x:v>
      </x:c>
      <x:c r="P72" s="32" t="str"/>
      <x:c r="Q72" s="32" t="str"/>
      <x:c r="R72" s="32" t="str"/>
      <x:c r="S72" s="32" t="str"/>
      <x:c r="T72" s="82" t="str"/>
      <x:c r="U72" s="32" t="str"/>
      <x:c r="V72" s="84" t="n">
        <x:v>1</x:v>
      </x:c>
      <x:c r="W72" s="84" t="n">
        <x:f>IF(OR($O72="PASS",$O72="EXCEPTION APPROVED",$O72="NOT APPLICABLE"),$V72,0)</x:f>
        <x:v>0</x:v>
      </x:c>
      <x:c r="X72" s="84" t="n">
        <x:f>IF(AND($K72="Yes",OR($O72="FAIL",$O72="BLOCKED",$O72="NOT RUN",$O72="IN PROGRESS")),1,0)</x:f>
        <x:v>1</x:v>
      </x:c>
      <x:c r="Y72" s="32" t="str">
        <x:f>IF($O72="FAIL","FAIL",IF($O72="BLOCKED","BLOCKED",IF(AND($O72="EXCEPTION APPROVED",$K72="Yes"),"REVIEW",IF($O72="PASS","OK","PENDING"))))</x:f>
        <x:v>PENDING</x:v>
      </x:c>
    </x:row>
    <x:row r="73">
      <x:c r="A73" s="32" t="str">
        <x:v>VS-UI-002</x:v>
      </x:c>
      <x:c r="B73" s="32" t="str">
        <x:v>UI/UX</x:v>
      </x:c>
      <x:c r="C73" s="32" t="str">
        <x:v>Criterio contractual VSS</x:v>
      </x:c>
      <x:c r="D73" s="32" t="str">
        <x:v>Errores y estados inválidos muestran causa comprensible.</x:v>
      </x:c>
      <x:c r="E73" s="32" t="str">
        <x:v>Ejecutar la prueba correspondiente en Editor y/o build según el nivel definido en 02 y registrar resultado reproducible.</x:v>
      </x:c>
      <x:c r="F73" s="32" t="str">
        <x:v>El criterio se cumple sin desviaciones bloqueantes y con resultado trazable.</x:v>
      </x:c>
      <x:c r="G73" s="32" t="str">
        <x:v>Checklist de feedback.</x:v>
      </x:c>
      <x:c r="H73" s="32" t="str">
        <x:v>02_Vertical_Slice_Specification.md §7</x:v>
      </x:c>
      <x:c r="I73" s="32" t="str">
        <x:v>Vertical Slice Specification v0.1–v0.4; QA Plan/Matrix v0.3–v0.6</x:v>
      </x:c>
      <x:c r="J73" s="32" t="str">
        <x:v>H6</x:v>
      </x:c>
      <x:c r="K73" s="32" t="str">
        <x:v>Yes</x:v>
      </x:c>
      <x:c r="L73" s="32" t="str">
        <x:v>P0</x:v>
      </x:c>
      <x:c r="M73" s="32" t="str">
        <x:v>UX/Engineering</x:v>
      </x:c>
      <x:c r="N73" s="32" t="str">
        <x:v>QA/Production</x:v>
      </x:c>
      <x:c r="O73" s="32" t="str">
        <x:v>NOT RUN</x:v>
      </x:c>
      <x:c r="P73" s="32" t="str"/>
      <x:c r="Q73" s="32" t="str"/>
      <x:c r="R73" s="32" t="str"/>
      <x:c r="S73" s="32" t="str"/>
      <x:c r="T73" s="82" t="str"/>
      <x:c r="U73" s="32" t="str"/>
      <x:c r="V73" s="84" t="n">
        <x:v>1</x:v>
      </x:c>
      <x:c r="W73" s="84" t="n">
        <x:f>IF(OR($O73="PASS",$O73="EXCEPTION APPROVED",$O73="NOT APPLICABLE"),$V73,0)</x:f>
        <x:v>0</x:v>
      </x:c>
      <x:c r="X73" s="84" t="n">
        <x:f>IF(AND($K73="Yes",OR($O73="FAIL",$O73="BLOCKED",$O73="NOT RUN",$O73="IN PROGRESS")),1,0)</x:f>
        <x:v>1</x:v>
      </x:c>
      <x:c r="Y73" s="32" t="str">
        <x:f>IF($O73="FAIL","FAIL",IF($O73="BLOCKED","BLOCKED",IF(AND($O73="EXCEPTION APPROVED",$K73="Yes"),"REVIEW",IF($O73="PASS","OK","PENDING"))))</x:f>
        <x:v>PENDING</x:v>
      </x:c>
    </x:row>
    <x:row r="74">
      <x:c r="A74" s="32" t="str">
        <x:v>VS-UI-003</x:v>
      </x:c>
      <x:c r="B74" s="32" t="str">
        <x:v>UI/UX</x:v>
      </x:c>
      <x:c r="C74" s="32" t="str">
        <x:v>Criterio contractual VSS</x:v>
      </x:c>
      <x:c r="D74" s="32" t="str">
        <x:v>Controles críticos no dependen solo del color.</x:v>
      </x:c>
      <x:c r="E74" s="32" t="str">
        <x:v>Ejecutar la prueba correspondiente en Editor y/o build según el nivel definido en 02 y registrar resultado reproducible.</x:v>
      </x:c>
      <x:c r="F74" s="32" t="str">
        <x:v>El criterio se cumple sin desviaciones bloqueantes y con resultado trazable.</x:v>
      </x:c>
      <x:c r="G74" s="32" t="str">
        <x:v>Revisión de accesibilidad.</x:v>
      </x:c>
      <x:c r="H74" s="32" t="str">
        <x:v>02_Vertical_Slice_Specification.md §7</x:v>
      </x:c>
      <x:c r="I74" s="32" t="str">
        <x:v>Vertical Slice Specification v0.1–v0.4; QA Plan/Matrix v0.3–v0.6</x:v>
      </x:c>
      <x:c r="J74" s="32" t="str">
        <x:v>H6</x:v>
      </x:c>
      <x:c r="K74" s="32" t="str">
        <x:v>Yes</x:v>
      </x:c>
      <x:c r="L74" s="32" t="str">
        <x:v>P0</x:v>
      </x:c>
      <x:c r="M74" s="32" t="str">
        <x:v>UX/Engineering</x:v>
      </x:c>
      <x:c r="N74" s="32" t="str">
        <x:v>QA/Production</x:v>
      </x:c>
      <x:c r="O74" s="32" t="str">
        <x:v>NOT RUN</x:v>
      </x:c>
      <x:c r="P74" s="32" t="str"/>
      <x:c r="Q74" s="32" t="str"/>
      <x:c r="R74" s="32" t="str"/>
      <x:c r="S74" s="32" t="str"/>
      <x:c r="T74" s="82" t="str"/>
      <x:c r="U74" s="32" t="str"/>
      <x:c r="V74" s="84" t="n">
        <x:v>1</x:v>
      </x:c>
      <x:c r="W74" s="84" t="n">
        <x:f>IF(OR($O74="PASS",$O74="EXCEPTION APPROVED",$O74="NOT APPLICABLE"),$V74,0)</x:f>
        <x:v>0</x:v>
      </x:c>
      <x:c r="X74" s="84" t="n">
        <x:f>IF(AND($K74="Yes",OR($O74="FAIL",$O74="BLOCKED",$O74="NOT RUN",$O74="IN PROGRESS")),1,0)</x:f>
        <x:v>1</x:v>
      </x:c>
      <x:c r="Y74" s="32" t="str">
        <x:f>IF($O74="FAIL","FAIL",IF($O74="BLOCKED","BLOCKED",IF(AND($O74="EXCEPTION APPROVED",$K74="Yes"),"REVIEW",IF($O74="PASS","OK","PENDING"))))</x:f>
        <x:v>PENDING</x:v>
      </x:c>
    </x:row>
    <x:row r="75">
      <x:c r="A75" s="32" t="str">
        <x:v>VS-UI-004</x:v>
      </x:c>
      <x:c r="B75" s="32" t="str">
        <x:v>UI/UX</x:v>
      </x:c>
      <x:c r="C75" s="32" t="str">
        <x:v>Criterio contractual VSS</x:v>
      </x:c>
      <x:c r="D75" s="32" t="str">
        <x:v>Textos incluidos están preparados para ES/EN sin desbordes bloqueantes.</x:v>
      </x:c>
      <x:c r="E75" s="32" t="str">
        <x:v>Ejecutar la prueba correspondiente en Editor y/o build según el nivel definido en 02 y registrar resultado reproducible.</x:v>
      </x:c>
      <x:c r="F75" s="32" t="str">
        <x:v>El criterio se cumple sin desviaciones bloqueantes y con resultado trazable.</x:v>
      </x:c>
      <x:c r="G75" s="32" t="str">
        <x:v>Revisión de localización.</x:v>
      </x:c>
      <x:c r="H75" s="32" t="str">
        <x:v>02_Vertical_Slice_Specification.md §7</x:v>
      </x:c>
      <x:c r="I75" s="32" t="str">
        <x:v>Vertical Slice Specification v0.1–v0.4; QA Plan/Matrix v0.3–v0.6</x:v>
      </x:c>
      <x:c r="J75" s="32" t="str">
        <x:v>H6</x:v>
      </x:c>
      <x:c r="K75" s="32" t="str">
        <x:v>Yes</x:v>
      </x:c>
      <x:c r="L75" s="32" t="str">
        <x:v>P0</x:v>
      </x:c>
      <x:c r="M75" s="32" t="str">
        <x:v>UX/Engineering</x:v>
      </x:c>
      <x:c r="N75" s="32" t="str">
        <x:v>QA/Production</x:v>
      </x:c>
      <x:c r="O75" s="32" t="str">
        <x:v>NOT RUN</x:v>
      </x:c>
      <x:c r="P75" s="32" t="str"/>
      <x:c r="Q75" s="32" t="str"/>
      <x:c r="R75" s="32" t="str"/>
      <x:c r="S75" s="32" t="str"/>
      <x:c r="T75" s="82" t="str"/>
      <x:c r="U75" s="32" t="str"/>
      <x:c r="V75" s="84" t="n">
        <x:v>1</x:v>
      </x:c>
      <x:c r="W75" s="84" t="n">
        <x:f>IF(OR($O75="PASS",$O75="EXCEPTION APPROVED",$O75="NOT APPLICABLE"),$V75,0)</x:f>
        <x:v>0</x:v>
      </x:c>
      <x:c r="X75" s="84" t="n">
        <x:f>IF(AND($K75="Yes",OR($O75="FAIL",$O75="BLOCKED",$O75="NOT RUN",$O75="IN PROGRESS")),1,0)</x:f>
        <x:v>1</x:v>
      </x:c>
      <x:c r="Y75" s="32" t="str">
        <x:f>IF($O75="FAIL","FAIL",IF($O75="BLOCKED","BLOCKED",IF(AND($O75="EXCEPTION APPROVED",$K75="Yes"),"REVIEW",IF($O75="PASS","OK","PENDING"))))</x:f>
        <x:v>PENDING</x:v>
      </x:c>
    </x:row>
    <x:row r="76">
      <x:c r="A76" s="32" t="str">
        <x:v>VS-ART-001</x:v>
      </x:c>
      <x:c r="B76" s="32" t="str">
        <x:v>Representación</x:v>
      </x:c>
      <x:c r="C76" s="32" t="str">
        <x:v>Criterio contractual VSS</x:v>
      </x:c>
      <x:c r="D76" s="32" t="str">
        <x:v>Escena cumple layout, escala y silueta aprobados.</x:v>
      </x:c>
      <x:c r="E76" s="32" t="str">
        <x:v>Ejecutar la prueba correspondiente en Editor y/o build según el nivel definido en 02 y registrar resultado reproducible.</x:v>
      </x:c>
      <x:c r="F76" s="32" t="str">
        <x:v>El criterio se cumple sin desviaciones bloqueantes y con resultado trazable.</x:v>
      </x:c>
      <x:c r="G76" s="32" t="str">
        <x:v>Revisión visual.</x:v>
      </x:c>
      <x:c r="H76" s="32" t="str">
        <x:v>02_Vertical_Slice_Specification.md §7</x:v>
      </x:c>
      <x:c r="I76" s="32" t="str">
        <x:v>Vertical Slice Specification v0.1–v0.4; QA Plan/Matrix v0.3–v0.6</x:v>
      </x:c>
      <x:c r="J76" s="32" t="str">
        <x:v>H6</x:v>
      </x:c>
      <x:c r="K76" s="32" t="str">
        <x:v>Yes</x:v>
      </x:c>
      <x:c r="L76" s="32" t="str">
        <x:v>P0</x:v>
      </x:c>
      <x:c r="M76" s="32" t="str">
        <x:v>Art/Level</x:v>
      </x:c>
      <x:c r="N76" s="32" t="str">
        <x:v>QA/Production</x:v>
      </x:c>
      <x:c r="O76" s="32" t="str">
        <x:v>NOT RUN</x:v>
      </x:c>
      <x:c r="P76" s="32" t="str"/>
      <x:c r="Q76" s="32" t="str"/>
      <x:c r="R76" s="32" t="str"/>
      <x:c r="S76" s="32" t="str"/>
      <x:c r="T76" s="82" t="str"/>
      <x:c r="U76" s="32" t="str"/>
      <x:c r="V76" s="84" t="n">
        <x:v>1</x:v>
      </x:c>
      <x:c r="W76" s="84" t="n">
        <x:f>IF(OR($O76="PASS",$O76="EXCEPTION APPROVED",$O76="NOT APPLICABLE"),$V76,0)</x:f>
        <x:v>0</x:v>
      </x:c>
      <x:c r="X76" s="84" t="n">
        <x:f>IF(AND($K76="Yes",OR($O76="FAIL",$O76="BLOCKED",$O76="NOT RUN",$O76="IN PROGRESS")),1,0)</x:f>
        <x:v>1</x:v>
      </x:c>
      <x:c r="Y76" s="32" t="str">
        <x:f>IF($O76="FAIL","FAIL",IF($O76="BLOCKED","BLOCKED",IF(AND($O76="EXCEPTION APPROVED",$K76="Yes"),"REVIEW",IF($O76="PASS","OK","PENDING"))))</x:f>
        <x:v>PENDING</x:v>
      </x:c>
    </x:row>
    <x:row r="77">
      <x:c r="A77" s="32" t="str">
        <x:v>VS-ART-002</x:v>
      </x:c>
      <x:c r="B77" s="32" t="str">
        <x:v>Representación</x:v>
      </x:c>
      <x:c r="C77" s="32" t="str">
        <x:v>Criterio contractual VSS</x:v>
      </x:c>
      <x:c r="D77" s="32" t="str">
        <x:v>Iluminación permite leer zonas, productos, clientes y cola.</x:v>
      </x:c>
      <x:c r="E77" s="32" t="str">
        <x:v>Ejecutar la prueba correspondiente en Editor y/o build según el nivel definido en 02 y registrar resultado reproducible.</x:v>
      </x:c>
      <x:c r="F77" s="32" t="str">
        <x:v>El criterio se cumple sin desviaciones bloqueantes y con resultado trazable.</x:v>
      </x:c>
      <x:c r="G77" s="32" t="str">
        <x:v>Capturas y recorrido.</x:v>
      </x:c>
      <x:c r="H77" s="32" t="str">
        <x:v>02_Vertical_Slice_Specification.md §7</x:v>
      </x:c>
      <x:c r="I77" s="32" t="str">
        <x:v>Vertical Slice Specification v0.1–v0.4; QA Plan/Matrix v0.3–v0.6</x:v>
      </x:c>
      <x:c r="J77" s="32" t="str">
        <x:v>H6</x:v>
      </x:c>
      <x:c r="K77" s="32" t="str">
        <x:v>Yes</x:v>
      </x:c>
      <x:c r="L77" s="32" t="str">
        <x:v>P0</x:v>
      </x:c>
      <x:c r="M77" s="32" t="str">
        <x:v>Art/Level</x:v>
      </x:c>
      <x:c r="N77" s="32" t="str">
        <x:v>QA/Production</x:v>
      </x:c>
      <x:c r="O77" s="32" t="str">
        <x:v>NOT RUN</x:v>
      </x:c>
      <x:c r="P77" s="32" t="str"/>
      <x:c r="Q77" s="32" t="str"/>
      <x:c r="R77" s="32" t="str"/>
      <x:c r="S77" s="32" t="str"/>
      <x:c r="T77" s="82" t="str"/>
      <x:c r="U77" s="32" t="str"/>
      <x:c r="V77" s="84" t="n">
        <x:v>1</x:v>
      </x:c>
      <x:c r="W77" s="84" t="n">
        <x:f>IF(OR($O77="PASS",$O77="EXCEPTION APPROVED",$O77="NOT APPLICABLE"),$V77,0)</x:f>
        <x:v>0</x:v>
      </x:c>
      <x:c r="X77" s="84" t="n">
        <x:f>IF(AND($K77="Yes",OR($O77="FAIL",$O77="BLOCKED",$O77="NOT RUN",$O77="IN PROGRESS")),1,0)</x:f>
        <x:v>1</x:v>
      </x:c>
      <x:c r="Y77" s="32" t="str">
        <x:f>IF($O77="FAIL","FAIL",IF($O77="BLOCKED","BLOCKED",IF(AND($O77="EXCEPTION APPROVED",$K77="Yes"),"REVIEW",IF($O77="PASS","OK","PENDING"))))</x:f>
        <x:v>PENDING</x:v>
      </x:c>
    </x:row>
    <x:row r="78">
      <x:c r="A78" s="32" t="str">
        <x:v>VS-AUD-001</x:v>
      </x:c>
      <x:c r="B78" s="32" t="str">
        <x:v>Audio</x:v>
      </x:c>
      <x:c r="C78" s="32" t="str">
        <x:v>Criterio contractual VSS</x:v>
      </x:c>
      <x:c r="D78" s="32" t="str">
        <x:v>Acciones críticas incluidas tienen feedback sonoro o alternativa aprobada.</x:v>
      </x:c>
      <x:c r="E78" s="32" t="str">
        <x:v>Ejecutar la prueba correspondiente en Editor y/o build según el nivel definido en 02 y registrar resultado reproducible.</x:v>
      </x:c>
      <x:c r="F78" s="32" t="str">
        <x:v>El criterio se cumple sin desviaciones bloqueantes y con resultado trazable.</x:v>
      </x:c>
      <x:c r="G78" s="32" t="str">
        <x:v>Checklist.</x:v>
      </x:c>
      <x:c r="H78" s="32" t="str">
        <x:v>02_Vertical_Slice_Specification.md §7</x:v>
      </x:c>
      <x:c r="I78" s="32" t="str">
        <x:v>Vertical Slice Specification v0.1–v0.4; QA Plan/Matrix v0.3–v0.6</x:v>
      </x:c>
      <x:c r="J78" s="32" t="str">
        <x:v>H6</x:v>
      </x:c>
      <x:c r="K78" s="32" t="str">
        <x:v>Yes</x:v>
      </x:c>
      <x:c r="L78" s="32" t="str">
        <x:v>P0</x:v>
      </x:c>
      <x:c r="M78" s="32" t="str">
        <x:v>Audio</x:v>
      </x:c>
      <x:c r="N78" s="32" t="str">
        <x:v>QA/Production</x:v>
      </x:c>
      <x:c r="O78" s="32" t="str">
        <x:v>NOT RUN</x:v>
      </x:c>
      <x:c r="P78" s="32" t="str"/>
      <x:c r="Q78" s="32" t="str"/>
      <x:c r="R78" s="32" t="str"/>
      <x:c r="S78" s="32" t="str"/>
      <x:c r="T78" s="82" t="str"/>
      <x:c r="U78" s="32" t="str"/>
      <x:c r="V78" s="84" t="n">
        <x:v>1</x:v>
      </x:c>
      <x:c r="W78" s="84" t="n">
        <x:f>IF(OR($O78="PASS",$O78="EXCEPTION APPROVED",$O78="NOT APPLICABLE"),$V78,0)</x:f>
        <x:v>0</x:v>
      </x:c>
      <x:c r="X78" s="84" t="n">
        <x:f>IF(AND($K78="Yes",OR($O78="FAIL",$O78="BLOCKED",$O78="NOT RUN",$O78="IN PROGRESS")),1,0)</x:f>
        <x:v>1</x:v>
      </x:c>
      <x:c r="Y78" s="32" t="str">
        <x:f>IF($O78="FAIL","FAIL",IF($O78="BLOCKED","BLOCKED",IF(AND($O78="EXCEPTION APPROVED",$K78="Yes"),"REVIEW",IF($O78="PASS","OK","PENDING"))))</x:f>
        <x:v>PENDING</x:v>
      </x:c>
    </x:row>
    <x:row r="79">
      <x:c r="A79" s="32" t="str">
        <x:v>VS-PER-001</x:v>
      </x:c>
      <x:c r="B79" s="32" t="str">
        <x:v>Rendimiento</x:v>
      </x:c>
      <x:c r="C79" s="32" t="str">
        <x:v>Criterio contractual VSS</x:v>
      </x:c>
      <x:c r="D79" s="32" t="str">
        <x:v>Prueba objetivo registra 60 FPS/1080p o desviación justificada en perfil documentado.</x:v>
      </x:c>
      <x:c r="E79" s="32" t="str">
        <x:v>Ejecutar la prueba correspondiente en Editor y/o build según el nivel definido en 02 y registrar resultado reproducible.</x:v>
      </x:c>
      <x:c r="F79" s="32" t="str">
        <x:v>El criterio se cumple sin desviaciones bloqueantes y con resultado trazable.</x:v>
      </x:c>
      <x:c r="G79" s="32" t="str">
        <x:v>Captura de profiler/medición.</x:v>
      </x:c>
      <x:c r="H79" s="32" t="str">
        <x:v>02_Vertical_Slice_Specification.md §7</x:v>
      </x:c>
      <x:c r="I79" s="32" t="str">
        <x:v>Vertical Slice Specification v0.1–v0.4; QA Plan/Matrix v0.3–v0.6</x:v>
      </x:c>
      <x:c r="J79" s="32" t="str">
        <x:v>H6</x:v>
      </x:c>
      <x:c r="K79" s="32" t="str">
        <x:v>Yes</x:v>
      </x:c>
      <x:c r="L79" s="32" t="str">
        <x:v>P0</x:v>
      </x:c>
      <x:c r="M79" s="32" t="str">
        <x:v>Engineering/QA</x:v>
      </x:c>
      <x:c r="N79" s="32" t="str">
        <x:v>QA/Production</x:v>
      </x:c>
      <x:c r="O79" s="32" t="str">
        <x:v>NOT RUN</x:v>
      </x:c>
      <x:c r="P79" s="32" t="str"/>
      <x:c r="Q79" s="32" t="str"/>
      <x:c r="R79" s="32" t="str"/>
      <x:c r="S79" s="32" t="str"/>
      <x:c r="T79" s="82" t="str"/>
      <x:c r="U79" s="32" t="str"/>
      <x:c r="V79" s="84" t="n">
        <x:v>1</x:v>
      </x:c>
      <x:c r="W79" s="84" t="n">
        <x:f>IF(OR($O79="PASS",$O79="EXCEPTION APPROVED",$O79="NOT APPLICABLE"),$V79,0)</x:f>
        <x:v>0</x:v>
      </x:c>
      <x:c r="X79" s="84" t="n">
        <x:f>IF(AND($K79="Yes",OR($O79="FAIL",$O79="BLOCKED",$O79="NOT RUN",$O79="IN PROGRESS")),1,0)</x:f>
        <x:v>1</x:v>
      </x:c>
      <x:c r="Y79" s="32" t="str">
        <x:f>IF($O79="FAIL","FAIL",IF($O79="BLOCKED","BLOCKED",IF(AND($O79="EXCEPTION APPROVED",$K79="Yes"),"REVIEW",IF($O79="PASS","OK","PENDING"))))</x:f>
        <x:v>PENDING</x:v>
      </x:c>
    </x:row>
    <x:row r="80">
      <x:c r="A80" s="32" t="str">
        <x:v>VS-PER-002</x:v>
      </x:c>
      <x:c r="B80" s="32" t="str">
        <x:v>Rendimiento</x:v>
      </x:c>
      <x:c r="C80" s="32" t="str">
        <x:v>Criterio contractual VSS</x:v>
      </x:c>
      <x:c r="D80" s="32" t="str">
        <x:v>No existe degradación acumulativa grave durante la sesión extensa.</x:v>
      </x:c>
      <x:c r="E80" s="32" t="str">
        <x:v>Ejecutar la prueba correspondiente en Editor y/o build según el nivel definido en 02 y registrar resultado reproducible.</x:v>
      </x:c>
      <x:c r="F80" s="32" t="str">
        <x:v>El criterio se cumple sin desviaciones bloqueantes y con resultado trazable.</x:v>
      </x:c>
      <x:c r="G80" s="32" t="str">
        <x:v>Soak test.</x:v>
      </x:c>
      <x:c r="H80" s="32" t="str">
        <x:v>02_Vertical_Slice_Specification.md §7</x:v>
      </x:c>
      <x:c r="I80" s="32" t="str">
        <x:v>Vertical Slice Specification v0.1–v0.4; QA Plan/Matrix v0.3–v0.6</x:v>
      </x:c>
      <x:c r="J80" s="32" t="str">
        <x:v>H6</x:v>
      </x:c>
      <x:c r="K80" s="32" t="str">
        <x:v>Yes</x:v>
      </x:c>
      <x:c r="L80" s="32" t="str">
        <x:v>P0</x:v>
      </x:c>
      <x:c r="M80" s="32" t="str">
        <x:v>Engineering/QA</x:v>
      </x:c>
      <x:c r="N80" s="32" t="str">
        <x:v>QA/Production</x:v>
      </x:c>
      <x:c r="O80" s="32" t="str">
        <x:v>NOT RUN</x:v>
      </x:c>
      <x:c r="P80" s="32" t="str"/>
      <x:c r="Q80" s="32" t="str"/>
      <x:c r="R80" s="32" t="str"/>
      <x:c r="S80" s="32" t="str"/>
      <x:c r="T80" s="82" t="str"/>
      <x:c r="U80" s="32" t="str"/>
      <x:c r="V80" s="84" t="n">
        <x:v>1</x:v>
      </x:c>
      <x:c r="W80" s="84" t="n">
        <x:f>IF(OR($O80="PASS",$O80="EXCEPTION APPROVED",$O80="NOT APPLICABLE"),$V80,0)</x:f>
        <x:v>0</x:v>
      </x:c>
      <x:c r="X80" s="84" t="n">
        <x:f>IF(AND($K80="Yes",OR($O80="FAIL",$O80="BLOCKED",$O80="NOT RUN",$O80="IN PROGRESS")),1,0)</x:f>
        <x:v>1</x:v>
      </x:c>
      <x:c r="Y80" s="32" t="str">
        <x:f>IF($O80="FAIL","FAIL",IF($O80="BLOCKED","BLOCKED",IF(AND($O80="EXCEPTION APPROVED",$K80="Yes"),"REVIEW",IF($O80="PASS","OK","PENDING"))))</x:f>
        <x:v>PENDING</x:v>
      </x:c>
    </x:row>
    <x:row r="81">
      <x:c r="A81" s="32" t="str">
        <x:v>VS-QA-001</x:v>
      </x:c>
      <x:c r="B81" s="32" t="str">
        <x:v>QA</x:v>
      </x:c>
      <x:c r="C81" s="32" t="str">
        <x:v>Criterio contractual VSS</x:v>
      </x:c>
      <x:c r="D81" s="32" t="str">
        <x:v>Suite automatizada completa permanece verde.</x:v>
      </x:c>
      <x:c r="E81" s="32" t="str">
        <x:v>Ejecutar la prueba correspondiente en Editor y/o build según el nivel definido en 02 y registrar resultado reproducible.</x:v>
      </x:c>
      <x:c r="F81" s="32" t="str">
        <x:v>El criterio se cumple sin desviaciones bloqueantes y con resultado trazable.</x:v>
      </x:c>
      <x:c r="G81" s="32" t="str">
        <x:v>Reporte de tests.</x:v>
      </x:c>
      <x:c r="H81" s="32" t="str">
        <x:v>02_Vertical_Slice_Specification.md §7</x:v>
      </x:c>
      <x:c r="I81" s="32" t="str">
        <x:v>Vertical Slice Specification v0.1–v0.4; QA Plan/Matrix v0.3–v0.6</x:v>
      </x:c>
      <x:c r="J81" s="32" t="str">
        <x:v>H6</x:v>
      </x:c>
      <x:c r="K81" s="32" t="str">
        <x:v>Yes</x:v>
      </x:c>
      <x:c r="L81" s="32" t="str">
        <x:v>P0</x:v>
      </x:c>
      <x:c r="M81" s="32" t="str">
        <x:v>QA</x:v>
      </x:c>
      <x:c r="N81" s="32" t="str">
        <x:v>QA/Production</x:v>
      </x:c>
      <x:c r="O81" s="32" t="str">
        <x:v>NOT RUN</x:v>
      </x:c>
      <x:c r="P81" s="32" t="str"/>
      <x:c r="Q81" s="32" t="str"/>
      <x:c r="R81" s="32" t="str"/>
      <x:c r="S81" s="32" t="str"/>
      <x:c r="T81" s="82" t="str"/>
      <x:c r="U81" s="32" t="str"/>
      <x:c r="V81" s="84" t="n">
        <x:v>1</x:v>
      </x:c>
      <x:c r="W81" s="84" t="n">
        <x:f>IF(OR($O81="PASS",$O81="EXCEPTION APPROVED",$O81="NOT APPLICABLE"),$V81,0)</x:f>
        <x:v>0</x:v>
      </x:c>
      <x:c r="X81" s="84" t="n">
        <x:f>IF(AND($K81="Yes",OR($O81="FAIL",$O81="BLOCKED",$O81="NOT RUN",$O81="IN PROGRESS")),1,0)</x:f>
        <x:v>1</x:v>
      </x:c>
      <x:c r="Y81" s="32" t="str">
        <x:f>IF($O81="FAIL","FAIL",IF($O81="BLOCKED","BLOCKED",IF(AND($O81="EXCEPTION APPROVED",$K81="Yes"),"REVIEW",IF($O81="PASS","OK","PENDING"))))</x:f>
        <x:v>PENDING</x:v>
      </x:c>
    </x:row>
    <x:row r="82">
      <x:c r="A82" s="32" t="str">
        <x:v>VS-QA-002</x:v>
      </x:c>
      <x:c r="B82" s="32" t="str">
        <x:v>QA</x:v>
      </x:c>
      <x:c r="C82" s="32" t="str">
        <x:v>Criterio contractual VSS</x:v>
      </x:c>
      <x:c r="D82" s="32" t="str">
        <x:v>Golden Path manual obtiene PASS reproducible.</x:v>
      </x:c>
      <x:c r="E82" s="32" t="str">
        <x:v>Ejecutar la prueba correspondiente en Editor y/o build según el nivel definido en 02 y registrar resultado reproducible.</x:v>
      </x:c>
      <x:c r="F82" s="32" t="str">
        <x:v>El criterio se cumple sin desviaciones bloqueantes y con resultado trazable.</x:v>
      </x:c>
      <x:c r="G82" s="32" t="str">
        <x:v>Acta de ejecución.</x:v>
      </x:c>
      <x:c r="H82" s="32" t="str">
        <x:v>02_Vertical_Slice_Specification.md §7</x:v>
      </x:c>
      <x:c r="I82" s="32" t="str">
        <x:v>Vertical Slice Specification v0.1–v0.4; QA Plan/Matrix v0.3–v0.6</x:v>
      </x:c>
      <x:c r="J82" s="32" t="str">
        <x:v>H6</x:v>
      </x:c>
      <x:c r="K82" s="32" t="str">
        <x:v>Yes</x:v>
      </x:c>
      <x:c r="L82" s="32" t="str">
        <x:v>P0</x:v>
      </x:c>
      <x:c r="M82" s="32" t="str">
        <x:v>QA</x:v>
      </x:c>
      <x:c r="N82" s="32" t="str">
        <x:v>QA/Production</x:v>
      </x:c>
      <x:c r="O82" s="32" t="str">
        <x:v>NOT RUN</x:v>
      </x:c>
      <x:c r="P82" s="32" t="str"/>
      <x:c r="Q82" s="32" t="str"/>
      <x:c r="R82" s="32" t="str"/>
      <x:c r="S82" s="32" t="str"/>
      <x:c r="T82" s="82" t="str"/>
      <x:c r="U82" s="32" t="str"/>
      <x:c r="V82" s="84" t="n">
        <x:v>1</x:v>
      </x:c>
      <x:c r="W82" s="84" t="n">
        <x:f>IF(OR($O82="PASS",$O82="EXCEPTION APPROVED",$O82="NOT APPLICABLE"),$V82,0)</x:f>
        <x:v>0</x:v>
      </x:c>
      <x:c r="X82" s="84" t="n">
        <x:f>IF(AND($K82="Yes",OR($O82="FAIL",$O82="BLOCKED",$O82="NOT RUN",$O82="IN PROGRESS")),1,0)</x:f>
        <x:v>1</x:v>
      </x:c>
      <x:c r="Y82" s="32" t="str">
        <x:f>IF($O82="FAIL","FAIL",IF($O82="BLOCKED","BLOCKED",IF(AND($O82="EXCEPTION APPROVED",$K82="Yes"),"REVIEW",IF($O82="PASS","OK","PENDING"))))</x:f>
        <x:v>PENDING</x:v>
      </x:c>
    </x:row>
    <x:row r="83">
      <x:c r="A83" s="32" t="str">
        <x:v>VS-BUILD-001</x:v>
      </x:c>
      <x:c r="B83" s="32" t="str">
        <x:v>Build</x:v>
      </x:c>
      <x:c r="C83" s="32" t="str">
        <x:v>Criterio contractual VSS</x:v>
      </x:c>
      <x:c r="D83" s="32" t="str">
        <x:v>Windows x64 Development Build se genera sin error.</x:v>
      </x:c>
      <x:c r="E83" s="32" t="str">
        <x:v>Ejecutar la prueba correspondiente en Editor y/o build según el nivel definido en 02 y registrar resultado reproducible.</x:v>
      </x:c>
      <x:c r="F83" s="32" t="str">
        <x:v>El criterio se cumple sin desviaciones bloqueantes y con resultado trazable.</x:v>
      </x:c>
      <x:c r="G83" s="32" t="str">
        <x:v>Artefacto y log.</x:v>
      </x:c>
      <x:c r="H83" s="32" t="str">
        <x:v>02_Vertical_Slice_Specification.md §7</x:v>
      </x:c>
      <x:c r="I83" s="32" t="str">
        <x:v>Vertical Slice Specification v0.1–v0.4; QA Plan/Matrix v0.3–v0.6</x:v>
      </x:c>
      <x:c r="J83" s="32" t="str">
        <x:v>H6</x:v>
      </x:c>
      <x:c r="K83" s="32" t="str">
        <x:v>Yes</x:v>
      </x:c>
      <x:c r="L83" s="32" t="str">
        <x:v>P0</x:v>
      </x:c>
      <x:c r="M83" s="32" t="str">
        <x:v>Build/Engineering</x:v>
      </x:c>
      <x:c r="N83" s="32" t="str">
        <x:v>QA/Production</x:v>
      </x:c>
      <x:c r="O83" s="32" t="str">
        <x:v>NOT RUN</x:v>
      </x:c>
      <x:c r="P83" s="32" t="str"/>
      <x:c r="Q83" s="32" t="str"/>
      <x:c r="R83" s="32" t="str"/>
      <x:c r="S83" s="32" t="str"/>
      <x:c r="T83" s="82" t="str"/>
      <x:c r="U83" s="32" t="str"/>
      <x:c r="V83" s="84" t="n">
        <x:v>1</x:v>
      </x:c>
      <x:c r="W83" s="84" t="n">
        <x:f>IF(OR($O83="PASS",$O83="EXCEPTION APPROVED",$O83="NOT APPLICABLE"),$V83,0)</x:f>
        <x:v>0</x:v>
      </x:c>
      <x:c r="X83" s="84" t="n">
        <x:f>IF(AND($K83="Yes",OR($O83="FAIL",$O83="BLOCKED",$O83="NOT RUN",$O83="IN PROGRESS")),1,0)</x:f>
        <x:v>1</x:v>
      </x:c>
      <x:c r="Y83" s="32" t="str">
        <x:f>IF($O83="FAIL","FAIL",IF($O83="BLOCKED","BLOCKED",IF(AND($O83="EXCEPTION APPROVED",$K83="Yes"),"REVIEW",IF($O83="PASS","OK","PENDING"))))</x:f>
        <x:v>PENDING</x:v>
      </x:c>
    </x:row>
    <x:row r="84">
      <x:c r="A84" s="32" t="str">
        <x:v>VS-BUILD-002</x:v>
      </x:c>
      <x:c r="B84" s="32" t="str">
        <x:v>Build</x:v>
      </x:c>
      <x:c r="C84" s="32" t="str">
        <x:v>Criterio contractual VSS</x:v>
      </x:c>
      <x:c r="D84" s="32" t="str">
        <x:v>Ejecutable arranca y completa Golden Path fuera del Editor.</x:v>
      </x:c>
      <x:c r="E84" s="32" t="str">
        <x:v>Ejecutar la prueba correspondiente en Editor y/o build según el nivel definido en 02 y registrar resultado reproducible.</x:v>
      </x:c>
      <x:c r="F84" s="32" t="str">
        <x:v>El criterio se cumple sin desviaciones bloqueantes y con resultado trazable.</x:v>
      </x:c>
      <x:c r="G84" s="32" t="str">
        <x:v>Acta externa.</x:v>
      </x:c>
      <x:c r="H84" s="32" t="str">
        <x:v>02_Vertical_Slice_Specification.md §7</x:v>
      </x:c>
      <x:c r="I84" s="32" t="str">
        <x:v>Vertical Slice Specification v0.1–v0.4; QA Plan/Matrix v0.3–v0.6</x:v>
      </x:c>
      <x:c r="J84" s="32" t="str">
        <x:v>H6</x:v>
      </x:c>
      <x:c r="K84" s="32" t="str">
        <x:v>Yes</x:v>
      </x:c>
      <x:c r="L84" s="32" t="str">
        <x:v>P0</x:v>
      </x:c>
      <x:c r="M84" s="32" t="str">
        <x:v>Build/Engineering</x:v>
      </x:c>
      <x:c r="N84" s="32" t="str">
        <x:v>QA/Production</x:v>
      </x:c>
      <x:c r="O84" s="32" t="str">
        <x:v>NOT RUN</x:v>
      </x:c>
      <x:c r="P84" s="32" t="str"/>
      <x:c r="Q84" s="32" t="str"/>
      <x:c r="R84" s="32" t="str"/>
      <x:c r="S84" s="32" t="str"/>
      <x:c r="T84" s="82" t="str"/>
      <x:c r="U84" s="32" t="str"/>
      <x:c r="V84" s="84" t="n">
        <x:v>1</x:v>
      </x:c>
      <x:c r="W84" s="84" t="n">
        <x:f>IF(OR($O84="PASS",$O84="EXCEPTION APPROVED",$O84="NOT APPLICABLE"),$V84,0)</x:f>
        <x:v>0</x:v>
      </x:c>
      <x:c r="X84" s="84" t="n">
        <x:f>IF(AND($K84="Yes",OR($O84="FAIL",$O84="BLOCKED",$O84="NOT RUN",$O84="IN PROGRESS")),1,0)</x:f>
        <x:v>1</x:v>
      </x:c>
      <x:c r="Y84" s="32" t="str">
        <x:f>IF($O84="FAIL","FAIL",IF($O84="BLOCKED","BLOCKED",IF(AND($O84="EXCEPTION APPROVED",$K84="Yes"),"REVIEW",IF($O84="PASS","OK","PENDING"))))</x:f>
        <x:v>PENDING</x:v>
      </x:c>
    </x:row>
    <x:row r="85">
      <x:c r="A85" s="32" t="str">
        <x:v>VS-BUILD-003</x:v>
      </x:c>
      <x:c r="B85" s="32" t="str">
        <x:v>Build</x:v>
      </x:c>
      <x:c r="C85" s="32" t="str">
        <x:v>Criterio contractual VSS</x:v>
      </x:c>
      <x:c r="D85" s="32" t="str">
        <x:v>`Player.log` no contiene errores bloqueantes o recurrentes.</x:v>
      </x:c>
      <x:c r="E85" s="32" t="str">
        <x:v>Ejecutar la prueba correspondiente en Editor y/o build según el nivel definido en 02 y registrar resultado reproducible.</x:v>
      </x:c>
      <x:c r="F85" s="32" t="str">
        <x:v>El criterio se cumple sin desviaciones bloqueantes y con resultado trazable.</x:v>
      </x:c>
      <x:c r="G85" s="32" t="str">
        <x:v>Log archivado.</x:v>
      </x:c>
      <x:c r="H85" s="32" t="str">
        <x:v>02_Vertical_Slice_Specification.md §7</x:v>
      </x:c>
      <x:c r="I85" s="32" t="str">
        <x:v>Vertical Slice Specification v0.1–v0.4; QA Plan/Matrix v0.3–v0.6</x:v>
      </x:c>
      <x:c r="J85" s="32" t="str">
        <x:v>H6</x:v>
      </x:c>
      <x:c r="K85" s="32" t="str">
        <x:v>Yes</x:v>
      </x:c>
      <x:c r="L85" s="32" t="str">
        <x:v>P0</x:v>
      </x:c>
      <x:c r="M85" s="32" t="str">
        <x:v>Build/Engineering</x:v>
      </x:c>
      <x:c r="N85" s="32" t="str">
        <x:v>QA/Production</x:v>
      </x:c>
      <x:c r="O85" s="32" t="str">
        <x:v>NOT RUN</x:v>
      </x:c>
      <x:c r="P85" s="32" t="str"/>
      <x:c r="Q85" s="32" t="str"/>
      <x:c r="R85" s="32" t="str"/>
      <x:c r="S85" s="32" t="str"/>
      <x:c r="T85" s="82" t="str"/>
      <x:c r="U85" s="32" t="str"/>
      <x:c r="V85" s="84" t="n">
        <x:v>1</x:v>
      </x:c>
      <x:c r="W85" s="84" t="n">
        <x:f>IF(OR($O85="PASS",$O85="EXCEPTION APPROVED",$O85="NOT APPLICABLE"),$V85,0)</x:f>
        <x:v>0</x:v>
      </x:c>
      <x:c r="X85" s="84" t="n">
        <x:f>IF(AND($K85="Yes",OR($O85="FAIL",$O85="BLOCKED",$O85="NOT RUN",$O85="IN PROGRESS")),1,0)</x:f>
        <x:v>1</x:v>
      </x:c>
      <x:c r="Y85" s="32" t="str">
        <x:f>IF($O85="FAIL","FAIL",IF($O85="BLOCKED","BLOCKED",IF(AND($O85="EXCEPTION APPROVED",$K85="Yes"),"REVIEW",IF($O85="PASS","OK","PENDING"))))</x:f>
        <x:v>PENDING</x:v>
      </x:c>
    </x:row>
    <x:row r="86">
      <x:c r="A86" s="32" t="str">
        <x:v>VS-DOC-001</x:v>
      </x:c>
      <x:c r="B86" s="32" t="str">
        <x:v>Documentación</x:v>
      </x:c>
      <x:c r="C86" s="32" t="str">
        <x:v>Criterio contractual VSS</x:v>
      </x:c>
      <x:c r="D86" s="32" t="str">
        <x:v>Resultados, defectos, excepciones y decisiones están trazados.</x:v>
      </x:c>
      <x:c r="E86" s="32" t="str">
        <x:v>Ejecutar la prueba correspondiente en Editor y/o build según el nivel definido en 02 y registrar resultado reproducible.</x:v>
      </x:c>
      <x:c r="F86" s="32" t="str">
        <x:v>El criterio se cumple sin desviaciones bloqueantes y con resultado trazable.</x:v>
      </x:c>
      <x:c r="G86" s="32" t="str">
        <x:v>Matriz y changelog.</x:v>
      </x:c>
      <x:c r="H86" s="32" t="str">
        <x:v>02_Vertical_Slice_Specification.md §7</x:v>
      </x:c>
      <x:c r="I86" s="32" t="str">
        <x:v>Vertical Slice Specification v0.1–v0.4; QA Plan/Matrix v0.3–v0.6</x:v>
      </x:c>
      <x:c r="J86" s="32" t="str">
        <x:v>H6</x:v>
      </x:c>
      <x:c r="K86" s="32" t="str">
        <x:v>Yes</x:v>
      </x:c>
      <x:c r="L86" s="32" t="str">
        <x:v>P0</x:v>
      </x:c>
      <x:c r="M86" s="32" t="str">
        <x:v>Production/Documentation</x:v>
      </x:c>
      <x:c r="N86" s="32" t="str">
        <x:v>QA/Production</x:v>
      </x:c>
      <x:c r="O86" s="32" t="str">
        <x:v>NOT RUN</x:v>
      </x:c>
      <x:c r="P86" s="32" t="str"/>
      <x:c r="Q86" s="32" t="str"/>
      <x:c r="R86" s="32" t="str"/>
      <x:c r="S86" s="32" t="str"/>
      <x:c r="T86" s="82" t="str"/>
      <x:c r="U86" s="32" t="str"/>
      <x:c r="V86" s="84" t="n">
        <x:v>1</x:v>
      </x:c>
      <x:c r="W86" s="84" t="n">
        <x:f>IF(OR($O86="PASS",$O86="EXCEPTION APPROVED",$O86="NOT APPLICABLE"),$V86,0)</x:f>
        <x:v>0</x:v>
      </x:c>
      <x:c r="X86" s="84" t="n">
        <x:f>IF(AND($K86="Yes",OR($O86="FAIL",$O86="BLOCKED",$O86="NOT RUN",$O86="IN PROGRESS")),1,0)</x:f>
        <x:v>1</x:v>
      </x:c>
      <x:c r="Y86" s="32" t="str">
        <x:f>IF($O86="FAIL","FAIL",IF($O86="BLOCKED","BLOCKED",IF(AND($O86="EXCEPTION APPROVED",$K86="Yes"),"REVIEW",IF($O86="PASS","OK","PENDING"))))</x:f>
        <x:v>PENDING</x:v>
      </x:c>
    </x:row>
    <x:row r="87">
      <x:c r="A87" s="32" t="str">
        <x:v>H6-GOV-001</x:v>
      </x:c>
      <x:c r="B87" s="32" t="str">
        <x:v>Gobierno y alcance</x:v>
      </x:c>
      <x:c r="C87" s="32" t="str">
        <x:v>Control especializado</x:v>
      </x:c>
      <x:c r="D87" s="32" t="str">
        <x:v>El alcance H6 está congelado y excluye empleados, investigación, puestos informáticos, online, publishing y plataforma digital.</x:v>
      </x:c>
      <x:c r="E87" s="32" t="str">
        <x:v>Comparar backlog activo, commits y escenas con 00, 02 y 06; registrar cualquier excepción mediante Change ID.</x:v>
      </x:c>
      <x:c r="F87" s="32" t="str">
        <x:v>Cumplimiento verificable sin desviaciones bloqueantes.</x:v>
      </x:c>
      <x:c r="G87" s="32" t="str">
        <x:v>Scope freeze firmado y diff de backlog.</x:v>
      </x:c>
      <x:c r="H87" s="32" t="str">
        <x:v>00_Enfoque_y_Alcance.md; 02_Vertical_Slice_Specification.md; 06_Production_Roadmap_y_Sprint_Plan.md; 15_Guia_Maestra.md</x:v>
      </x:c>
      <x:c r="I87" s="32" t="str">
        <x:v>Enfoque v0.6–v0.8; Roadmap v0.3–v0.6; VSS v0.1–v0.4</x:v>
      </x:c>
      <x:c r="J87" s="32" t="str">
        <x:v>H6</x:v>
      </x:c>
      <x:c r="K87" s="32" t="str">
        <x:v>Yes</x:v>
      </x:c>
      <x:c r="L87" s="32" t="str">
        <x:v>P0</x:v>
      </x:c>
      <x:c r="M87" s="32" t="str">
        <x:v>Production</x:v>
      </x:c>
      <x:c r="N87" s="32" t="str">
        <x:v>QA/Production</x:v>
      </x:c>
      <x:c r="O87" s="32" t="str">
        <x:v>NOT RUN</x:v>
      </x:c>
      <x:c r="P87" s="32" t="str"/>
      <x:c r="Q87" s="32" t="str"/>
      <x:c r="R87" s="32" t="str"/>
      <x:c r="S87" s="32" t="str"/>
      <x:c r="T87" s="82" t="str"/>
      <x:c r="U87" s="32" t="str"/>
      <x:c r="V87" s="84" t="n">
        <x:v>1</x:v>
      </x:c>
      <x:c r="W87" s="84" t="n">
        <x:f>IF(OR($O87="PASS",$O87="EXCEPTION APPROVED",$O87="NOT APPLICABLE"),$V87,0)</x:f>
        <x:v>0</x:v>
      </x:c>
      <x:c r="X87" s="84" t="n">
        <x:f>IF(AND($K87="Yes",OR($O87="FAIL",$O87="BLOCKED",$O87="NOT RUN",$O87="IN PROGRESS")),1,0)</x:f>
        <x:v>1</x:v>
      </x:c>
      <x:c r="Y87" s="32" t="str">
        <x:f>IF($O87="FAIL","FAIL",IF($O87="BLOCKED","BLOCKED",IF(AND($O87="EXCEPTION APPROVED",$K87="Yes"),"REVIEW",IF($O87="PASS","OK","PENDING"))))</x:f>
        <x:v>PENDING</x:v>
      </x:c>
    </x:row>
    <x:row r="88">
      <x:c r="A88" s="32" t="str">
        <x:v>H6-GOV-002</x:v>
      </x:c>
      <x:c r="B88" s="32" t="str">
        <x:v>Gobierno y alcance</x:v>
      </x:c>
      <x:c r="C88" s="32" t="str">
        <x:v>Control especializado</x:v>
      </x:c>
      <x:c r="D88" s="32" t="str">
        <x:v>No existen features nuevas introducidas durante estabilización sin aprobación formal de cambio mayor.</x:v>
      </x:c>
      <x:c r="E88" s="32" t="str">
        <x:v>Auditar cambios desde el freeze y revisar ADR/Change Register.</x:v>
      </x:c>
      <x:c r="F88" s="32" t="str">
        <x:v>Cumplimiento verificable sin desviaciones bloqueantes.</x:v>
      </x:c>
      <x:c r="G88" s="32" t="str">
        <x:v>Informe de cambios posteriores al freeze.</x:v>
      </x:c>
      <x:c r="H88" s="32" t="str">
        <x:v>00_Enfoque_y_Alcance.md; 02_Vertical_Slice_Specification.md; 06_Production_Roadmap_y_Sprint_Plan.md; 15_Guia_Maestra.md</x:v>
      </x:c>
      <x:c r="I88" s="32" t="str">
        <x:v>Enfoque v0.6–v0.8; Roadmap v0.3–v0.6; VSS v0.1–v0.4</x:v>
      </x:c>
      <x:c r="J88" s="32" t="str">
        <x:v>H6</x:v>
      </x:c>
      <x:c r="K88" s="32" t="str">
        <x:v>Yes</x:v>
      </x:c>
      <x:c r="L88" s="32" t="str">
        <x:v>P1</x:v>
      </x:c>
      <x:c r="M88" s="32" t="str">
        <x:v>Production</x:v>
      </x:c>
      <x:c r="N88" s="32" t="str">
        <x:v>QA/Production</x:v>
      </x:c>
      <x:c r="O88" s="32" t="str">
        <x:v>NOT RUN</x:v>
      </x:c>
      <x:c r="P88" s="32" t="str"/>
      <x:c r="Q88" s="32" t="str"/>
      <x:c r="R88" s="32" t="str"/>
      <x:c r="S88" s="32" t="str"/>
      <x:c r="T88" s="82" t="str"/>
      <x:c r="U88" s="32" t="str"/>
      <x:c r="V88" s="84" t="n">
        <x:v>1</x:v>
      </x:c>
      <x:c r="W88" s="84" t="n">
        <x:f>IF(OR($O88="PASS",$O88="EXCEPTION APPROVED",$O88="NOT APPLICABLE"),$V88,0)</x:f>
        <x:v>0</x:v>
      </x:c>
      <x:c r="X88" s="84" t="n">
        <x:f>IF(AND($K88="Yes",OR($O88="FAIL",$O88="BLOCKED",$O88="NOT RUN",$O88="IN PROGRESS")),1,0)</x:f>
        <x:v>1</x:v>
      </x:c>
      <x:c r="Y88" s="32" t="str">
        <x:f>IF($O88="FAIL","FAIL",IF($O88="BLOCKED","BLOCKED",IF(AND($O88="EXCEPTION APPROVED",$K88="Yes"),"REVIEW",IF($O88="PASS","OK","PENDING"))))</x:f>
        <x:v>PENDING</x:v>
      </x:c>
    </x:row>
    <x:row r="89">
      <x:c r="A89" s="32" t="str">
        <x:v>H6-GOV-003</x:v>
      </x:c>
      <x:c r="B89" s="32" t="str">
        <x:v>Gobierno y alcance</x:v>
      </x:c>
      <x:c r="C89" s="32" t="str">
        <x:v>Control especializado</x:v>
      </x:c>
      <x:c r="D89" s="32" t="str">
        <x:v>La escena objetivo, el Golden Path y el contenido mínimo coinciden con la baseline aprobada.</x:v>
      </x:c>
      <x:c r="E89" s="32" t="str">
        <x:v>Cruzar 02, 21, Build Profile y escena candidata.</x:v>
      </x:c>
      <x:c r="F89" s="32" t="str">
        <x:v>Cumplimiento verificable sin desviaciones bloqueantes.</x:v>
      </x:c>
      <x:c r="G89" s="32" t="str">
        <x:v>Matriz de coincidencia baseline-build.</x:v>
      </x:c>
      <x:c r="H89" s="32" t="str">
        <x:v>00_Enfoque_y_Alcance.md; 02_Vertical_Slice_Specification.md; 06_Production_Roadmap_y_Sprint_Plan.md; 15_Guia_Maestra.md</x:v>
      </x:c>
      <x:c r="I89" s="32" t="str">
        <x:v>Enfoque v0.6–v0.8; Roadmap v0.3–v0.6; VSS v0.1–v0.4</x:v>
      </x:c>
      <x:c r="J89" s="32" t="str">
        <x:v>H6</x:v>
      </x:c>
      <x:c r="K89" s="32" t="str">
        <x:v>Yes</x:v>
      </x:c>
      <x:c r="L89" s="32" t="str">
        <x:v>P1</x:v>
      </x:c>
      <x:c r="M89" s="32" t="str">
        <x:v>Production</x:v>
      </x:c>
      <x:c r="N89" s="32" t="str">
        <x:v>QA/Production</x:v>
      </x:c>
      <x:c r="O89" s="32" t="str">
        <x:v>NOT RUN</x:v>
      </x:c>
      <x:c r="P89" s="32" t="str"/>
      <x:c r="Q89" s="32" t="str"/>
      <x:c r="R89" s="32" t="str"/>
      <x:c r="S89" s="32" t="str"/>
      <x:c r="T89" s="82" t="str"/>
      <x:c r="U89" s="32" t="str"/>
      <x:c r="V89" s="84" t="n">
        <x:v>1</x:v>
      </x:c>
      <x:c r="W89" s="84" t="n">
        <x:f>IF(OR($O89="PASS",$O89="EXCEPTION APPROVED",$O89="NOT APPLICABLE"),$V89,0)</x:f>
        <x:v>0</x:v>
      </x:c>
      <x:c r="X89" s="84" t="n">
        <x:f>IF(AND($K89="Yes",OR($O89="FAIL",$O89="BLOCKED",$O89="NOT RUN",$O89="IN PROGRESS")),1,0)</x:f>
        <x:v>1</x:v>
      </x:c>
      <x:c r="Y89" s="32" t="str">
        <x:f>IF($O89="FAIL","FAIL",IF($O89="BLOCKED","BLOCKED",IF(AND($O89="EXCEPTION APPROVED",$K89="Yes"),"REVIEW",IF($O89="PASS","OK","PENDING"))))</x:f>
        <x:v>PENDING</x:v>
      </x:c>
    </x:row>
    <x:row r="90">
      <x:c r="A90" s="32" t="str">
        <x:v>H6-GOV-004</x:v>
      </x:c>
      <x:c r="B90" s="32" t="str">
        <x:v>Gobierno y alcance</x:v>
      </x:c>
      <x:c r="C90" s="32" t="str">
        <x:v>Control especializado</x:v>
      </x:c>
      <x:c r="D90" s="32" t="str">
        <x:v>Existe un commit candidato único, rama identificada y working copy limpia.</x:v>
      </x:c>
      <x:c r="E90" s="32" t="str">
        <x:v>Registrar branch, SHA, git status y tag/candidate label.</x:v>
      </x:c>
      <x:c r="F90" s="32" t="str">
        <x:v>Cumplimiento verificable sin desviaciones bloqueantes.</x:v>
      </x:c>
      <x:c r="G90" s="32" t="str">
        <x:v>Captura/registro Git y Build Record.</x:v>
      </x:c>
      <x:c r="H90" s="32" t="str">
        <x:v>00_Enfoque_y_Alcance.md; 02_Vertical_Slice_Specification.md; 06_Production_Roadmap_y_Sprint_Plan.md; 15_Guia_Maestra.md</x:v>
      </x:c>
      <x:c r="I90" s="32" t="str">
        <x:v>Enfoque v0.6–v0.8; Roadmap v0.3–v0.6; VSS v0.1–v0.4</x:v>
      </x:c>
      <x:c r="J90" s="32" t="str">
        <x:v>H6</x:v>
      </x:c>
      <x:c r="K90" s="32" t="str">
        <x:v>Yes</x:v>
      </x:c>
      <x:c r="L90" s="32" t="str">
        <x:v>P0</x:v>
      </x:c>
      <x:c r="M90" s="32" t="str">
        <x:v>Production</x:v>
      </x:c>
      <x:c r="N90" s="32" t="str">
        <x:v>QA/Production</x:v>
      </x:c>
      <x:c r="O90" s="32" t="str">
        <x:v>NOT RUN</x:v>
      </x:c>
      <x:c r="P90" s="32" t="str"/>
      <x:c r="Q90" s="32" t="str"/>
      <x:c r="R90" s="32" t="str"/>
      <x:c r="S90" s="32" t="str"/>
      <x:c r="T90" s="82" t="str"/>
      <x:c r="U90" s="32" t="str"/>
      <x:c r="V90" s="84" t="n">
        <x:v>1</x:v>
      </x:c>
      <x:c r="W90" s="84" t="n">
        <x:f>IF(OR($O90="PASS",$O90="EXCEPTION APPROVED",$O90="NOT APPLICABLE"),$V90,0)</x:f>
        <x:v>0</x:v>
      </x:c>
      <x:c r="X90" s="84" t="n">
        <x:f>IF(AND($K90="Yes",OR($O90="FAIL",$O90="BLOCKED",$O90="NOT RUN",$O90="IN PROGRESS")),1,0)</x:f>
        <x:v>1</x:v>
      </x:c>
      <x:c r="Y90" s="32" t="str">
        <x:f>IF($O90="FAIL","FAIL",IF($O90="BLOCKED","BLOCKED",IF(AND($O90="EXCEPTION APPROVED",$K90="Yes"),"REVIEW",IF($O90="PASS","OK","PENDING"))))</x:f>
        <x:v>PENDING</x:v>
      </x:c>
    </x:row>
    <x:row r="91">
      <x:c r="A91" s="32" t="str">
        <x:v>H6-GOV-005</x:v>
      </x:c>
      <x:c r="B91" s="32" t="str">
        <x:v>Gobierno y alcance</x:v>
      </x:c>
      <x:c r="C91" s="32" t="str">
        <x:v>Control especializado</x:v>
      </x:c>
      <x:c r="D91" s="32" t="str">
        <x:v>Todos los cambios de alcance, invariantes o aceptación tienen ADR o Change ID con impacto analizado.</x:v>
      </x:c>
      <x:c r="E91" s="32" t="str">
        <x:v>Revisar 13 y ADR Index contra commits del candidato.</x:v>
      </x:c>
      <x:c r="F91" s="32" t="str">
        <x:v>Cumplimiento verificable sin desviaciones bloqueantes.</x:v>
      </x:c>
      <x:c r="G91" s="32" t="str">
        <x:v>Extracto de trazabilidad y ADR asociados.</x:v>
      </x:c>
      <x:c r="H91" s="32" t="str">
        <x:v>00_Enfoque_y_Alcance.md; 02_Vertical_Slice_Specification.md; 06_Production_Roadmap_y_Sprint_Plan.md; 15_Guia_Maestra.md</x:v>
      </x:c>
      <x:c r="I91" s="32" t="str">
        <x:v>Enfoque v0.6–v0.8; Roadmap v0.3–v0.6; VSS v0.1–v0.4</x:v>
      </x:c>
      <x:c r="J91" s="32" t="str">
        <x:v>H6</x:v>
      </x:c>
      <x:c r="K91" s="32" t="str">
        <x:v>Yes</x:v>
      </x:c>
      <x:c r="L91" s="32" t="str">
        <x:v>P1</x:v>
      </x:c>
      <x:c r="M91" s="32" t="str">
        <x:v>Production</x:v>
      </x:c>
      <x:c r="N91" s="32" t="str">
        <x:v>QA/Production</x:v>
      </x:c>
      <x:c r="O91" s="32" t="str">
        <x:v>NOT RUN</x:v>
      </x:c>
      <x:c r="P91" s="32" t="str"/>
      <x:c r="Q91" s="32" t="str"/>
      <x:c r="R91" s="32" t="str"/>
      <x:c r="S91" s="32" t="str"/>
      <x:c r="T91" s="82" t="str"/>
      <x:c r="U91" s="32" t="str"/>
      <x:c r="V91" s="84" t="n">
        <x:v>1</x:v>
      </x:c>
      <x:c r="W91" s="84" t="n">
        <x:f>IF(OR($O91="PASS",$O91="EXCEPTION APPROVED",$O91="NOT APPLICABLE"),$V91,0)</x:f>
        <x:v>0</x:v>
      </x:c>
      <x:c r="X91" s="84" t="n">
        <x:f>IF(AND($K91="Yes",OR($O91="FAIL",$O91="BLOCKED",$O91="NOT RUN",$O91="IN PROGRESS")),1,0)</x:f>
        <x:v>1</x:v>
      </x:c>
      <x:c r="Y91" s="32" t="str">
        <x:f>IF($O91="FAIL","FAIL",IF($O91="BLOCKED","BLOCKED",IF(AND($O91="EXCEPTION APPROVED",$K91="Yes"),"REVIEW",IF($O91="PASS","OK","PENDING"))))</x:f>
        <x:v>PENDING</x:v>
      </x:c>
    </x:row>
    <x:row r="92">
      <x:c r="A92" s="32" t="str">
        <x:v>H6-GOV-006</x:v>
      </x:c>
      <x:c r="B92" s="32" t="str">
        <x:v>Gobierno y alcance</x:v>
      </x:c>
      <x:c r="C92" s="32" t="str">
        <x:v>Control especializado</x:v>
      </x:c>
      <x:c r="D92" s="32" t="str">
        <x:v>La apertura de H6 no depende de fechas ficticias ni de tareas sin criterios de aceptación.</x:v>
      </x:c>
      <x:c r="E92" s="32" t="str">
        <x:v>Revisar roadmap, sprint backlog y gate package.</x:v>
      </x:c>
      <x:c r="F92" s="32" t="str">
        <x:v>Cumplimiento verificable sin desviaciones bloqueantes.</x:v>
      </x:c>
      <x:c r="G92" s="32" t="str">
        <x:v>Acta de revisión de planificación.</x:v>
      </x:c>
      <x:c r="H92" s="32" t="str">
        <x:v>00_Enfoque_y_Alcance.md; 02_Vertical_Slice_Specification.md; 06_Production_Roadmap_y_Sprint_Plan.md; 15_Guia_Maestra.md</x:v>
      </x:c>
      <x:c r="I92" s="32" t="str">
        <x:v>Enfoque v0.6–v0.8; Roadmap v0.3–v0.6; VSS v0.1–v0.4</x:v>
      </x:c>
      <x:c r="J92" s="32" t="str">
        <x:v>H6</x:v>
      </x:c>
      <x:c r="K92" s="32" t="str">
        <x:v>Yes</x:v>
      </x:c>
      <x:c r="L92" s="32" t="str">
        <x:v>P1</x:v>
      </x:c>
      <x:c r="M92" s="32" t="str">
        <x:v>Production</x:v>
      </x:c>
      <x:c r="N92" s="32" t="str">
        <x:v>QA/Production</x:v>
      </x:c>
      <x:c r="O92" s="32" t="str">
        <x:v>NOT RUN</x:v>
      </x:c>
      <x:c r="P92" s="32" t="str"/>
      <x:c r="Q92" s="32" t="str"/>
      <x:c r="R92" s="32" t="str"/>
      <x:c r="S92" s="32" t="str"/>
      <x:c r="T92" s="82" t="str"/>
      <x:c r="U92" s="32" t="str"/>
      <x:c r="V92" s="84" t="n">
        <x:v>1</x:v>
      </x:c>
      <x:c r="W92" s="84" t="n">
        <x:f>IF(OR($O92="PASS",$O92="EXCEPTION APPROVED",$O92="NOT APPLICABLE"),$V92,0)</x:f>
        <x:v>0</x:v>
      </x:c>
      <x:c r="X92" s="84" t="n">
        <x:f>IF(AND($K92="Yes",OR($O92="FAIL",$O92="BLOCKED",$O92="NOT RUN",$O92="IN PROGRESS")),1,0)</x:f>
        <x:v>1</x:v>
      </x:c>
      <x:c r="Y92" s="32" t="str">
        <x:f>IF($O92="FAIL","FAIL",IF($O92="BLOCKED","BLOCKED",IF(AND($O92="EXCEPTION APPROVED",$K92="Yes"),"REVIEW",IF($O92="PASS","OK","PENDING"))))</x:f>
        <x:v>PENDING</x:v>
      </x:c>
    </x:row>
    <x:row r="93">
      <x:c r="A93" s="32" t="str">
        <x:v>H6-GOV-007</x:v>
      </x:c>
      <x:c r="B93" s="32" t="str">
        <x:v>Gobierno y alcance</x:v>
      </x:c>
      <x:c r="C93" s="32" t="str">
        <x:v>Control especializado</x:v>
      </x:c>
      <x:c r="D93" s="32" t="str">
        <x:v>Los términos H6, Sprint 16, Sprint 17, QA build y Steam RC se usan sin equivalencias incorrectas.</x:v>
      </x:c>
      <x:c r="E93" s="32" t="str">
        <x:v>Revisión terminológica de documentos, dashboards y nombres de builds.</x:v>
      </x:c>
      <x:c r="F93" s="32" t="str">
        <x:v>Cumplimiento verificable sin desviaciones bloqueantes.</x:v>
      </x:c>
      <x:c r="G93" s="32" t="str">
        <x:v>Checklist terminológico.</x:v>
      </x:c>
      <x:c r="H93" s="32" t="str">
        <x:v>00_Enfoque_y_Alcance.md; 02_Vertical_Slice_Specification.md; 06_Production_Roadmap_y_Sprint_Plan.md; 15_Guia_Maestra.md</x:v>
      </x:c>
      <x:c r="I93" s="32" t="str">
        <x:v>Enfoque v0.6–v0.8; Roadmap v0.3–v0.6; VSS v0.1–v0.4</x:v>
      </x:c>
      <x:c r="J93" s="32" t="str">
        <x:v>H6</x:v>
      </x:c>
      <x:c r="K93" s="32" t="str">
        <x:v>Yes</x:v>
      </x:c>
      <x:c r="L93" s="32" t="str">
        <x:v>P1</x:v>
      </x:c>
      <x:c r="M93" s="32" t="str">
        <x:v>Production</x:v>
      </x:c>
      <x:c r="N93" s="32" t="str">
        <x:v>QA/Production</x:v>
      </x:c>
      <x:c r="O93" s="32" t="str">
        <x:v>NOT RUN</x:v>
      </x:c>
      <x:c r="P93" s="32" t="str"/>
      <x:c r="Q93" s="32" t="str"/>
      <x:c r="R93" s="32" t="str"/>
      <x:c r="S93" s="32" t="str"/>
      <x:c r="T93" s="82" t="str"/>
      <x:c r="U93" s="32" t="str"/>
      <x:c r="V93" s="84" t="n">
        <x:v>1</x:v>
      </x:c>
      <x:c r="W93" s="84" t="n">
        <x:f>IF(OR($O93="PASS",$O93="EXCEPTION APPROVED",$O93="NOT APPLICABLE"),$V93,0)</x:f>
        <x:v>0</x:v>
      </x:c>
      <x:c r="X93" s="84" t="n">
        <x:f>IF(AND($K93="Yes",OR($O93="FAIL",$O93="BLOCKED",$O93="NOT RUN",$O93="IN PROGRESS")),1,0)</x:f>
        <x:v>1</x:v>
      </x:c>
      <x:c r="Y93" s="32" t="str">
        <x:f>IF($O93="FAIL","FAIL",IF($O93="BLOCKED","BLOCKED",IF(AND($O93="EXCEPTION APPROVED",$K93="Yes"),"REVIEW",IF($O93="PASS","OK","PENDING"))))</x:f>
        <x:v>PENDING</x:v>
      </x:c>
    </x:row>
    <x:row r="94">
      <x:c r="A94" s="32" t="str">
        <x:v>H6-GOV-008</x:v>
      </x:c>
      <x:c r="B94" s="32" t="str">
        <x:v>Gobierno y alcance</x:v>
      </x:c>
      <x:c r="C94" s="32" t="str">
        <x:v>Control especializado</x:v>
      </x:c>
      <x:c r="D94" s="32" t="str">
        <x:v>No se utiliza PASS WITH ACCEPTED DEBT para pérdida de datos, duplicación, build no arrancable, Golden Path roto o S0/S1.</x:v>
      </x:c>
      <x:c r="E94" s="32" t="str">
        <x:v>Revisar todas las excepciones propuestas contra política de severidad.</x:v>
      </x:c>
      <x:c r="F94" s="32" t="str">
        <x:v>Cumplimiento verificable sin desviaciones bloqueantes.</x:v>
      </x:c>
      <x:c r="G94" s="32" t="str">
        <x:v>Exception Register revisado.</x:v>
      </x:c>
      <x:c r="H94" s="32" t="str">
        <x:v>00_Enfoque_y_Alcance.md; 02_Vertical_Slice_Specification.md; 06_Production_Roadmap_y_Sprint_Plan.md; 15_Guia_Maestra.md</x:v>
      </x:c>
      <x:c r="I94" s="32" t="str">
        <x:v>Enfoque v0.6–v0.8; Roadmap v0.3–v0.6; VSS v0.1–v0.4</x:v>
      </x:c>
      <x:c r="J94" s="32" t="str">
        <x:v>H6</x:v>
      </x:c>
      <x:c r="K94" s="32" t="str">
        <x:v>Yes</x:v>
      </x:c>
      <x:c r="L94" s="32" t="str">
        <x:v>P0</x:v>
      </x:c>
      <x:c r="M94" s="32" t="str">
        <x:v>Production</x:v>
      </x:c>
      <x:c r="N94" s="32" t="str">
        <x:v>QA/Production</x:v>
      </x:c>
      <x:c r="O94" s="32" t="str">
        <x:v>NOT RUN</x:v>
      </x:c>
      <x:c r="P94" s="32" t="str"/>
      <x:c r="Q94" s="32" t="str"/>
      <x:c r="R94" s="32" t="str"/>
      <x:c r="S94" s="32" t="str"/>
      <x:c r="T94" s="82" t="str"/>
      <x:c r="U94" s="32" t="str"/>
      <x:c r="V94" s="84" t="n">
        <x:v>1</x:v>
      </x:c>
      <x:c r="W94" s="84" t="n">
        <x:f>IF(OR($O94="PASS",$O94="EXCEPTION APPROVED",$O94="NOT APPLICABLE"),$V94,0)</x:f>
        <x:v>0</x:v>
      </x:c>
      <x:c r="X94" s="84" t="n">
        <x:f>IF(AND($K94="Yes",OR($O94="FAIL",$O94="BLOCKED",$O94="NOT RUN",$O94="IN PROGRESS")),1,0)</x:f>
        <x:v>1</x:v>
      </x:c>
      <x:c r="Y94" s="32" t="str">
        <x:f>IF($O94="FAIL","FAIL",IF($O94="BLOCKED","BLOCKED",IF(AND($O94="EXCEPTION APPROVED",$K94="Yes"),"REVIEW",IF($O94="PASS","OK","PENDING"))))</x:f>
        <x:v>PENDING</x:v>
      </x:c>
    </x:row>
    <x:row r="95">
      <x:c r="A95" s="32" t="str">
        <x:v>H6-GOV-009</x:v>
      </x:c>
      <x:c r="B95" s="32" t="str">
        <x:v>Gobierno y alcance</x:v>
      </x:c>
      <x:c r="C95" s="32" t="str">
        <x:v>Control especializado</x:v>
      </x:c>
      <x:c r="D95" s="32" t="str">
        <x:v>El universo de bloqueantes de gate está normalizado y separado del contador general de defectos.</x:v>
      </x:c>
      <x:c r="E95" s="32" t="str">
        <x:v>Comparar QA, producción y defect register; verificar campo Bloquea H6.</x:v>
      </x:c>
      <x:c r="F95" s="32" t="str">
        <x:v>Cumplimiento verificable sin desviaciones bloqueantes.</x:v>
      </x:c>
      <x:c r="G95" s="32" t="str">
        <x:v>Registro único de bloqueantes y reconciliación.</x:v>
      </x:c>
      <x:c r="H95" s="32" t="str">
        <x:v>00_Enfoque_y_Alcance.md; 02_Vertical_Slice_Specification.md; 06_Production_Roadmap_y_Sprint_Plan.md; 15_Guia_Maestra.md</x:v>
      </x:c>
      <x:c r="I95" s="32" t="str">
        <x:v>Enfoque v0.6–v0.8; Roadmap v0.3–v0.6; VSS v0.1–v0.4</x:v>
      </x:c>
      <x:c r="J95" s="32" t="str">
        <x:v>H6</x:v>
      </x:c>
      <x:c r="K95" s="32" t="str">
        <x:v>Yes</x:v>
      </x:c>
      <x:c r="L95" s="32" t="str">
        <x:v>P0</x:v>
      </x:c>
      <x:c r="M95" s="32" t="str">
        <x:v>Production</x:v>
      </x:c>
      <x:c r="N95" s="32" t="str">
        <x:v>QA/Production</x:v>
      </x:c>
      <x:c r="O95" s="32" t="str">
        <x:v>NOT RUN</x:v>
      </x:c>
      <x:c r="P95" s="32" t="str"/>
      <x:c r="Q95" s="32" t="str"/>
      <x:c r="R95" s="32" t="str"/>
      <x:c r="S95" s="32" t="str"/>
      <x:c r="T95" s="82" t="str"/>
      <x:c r="U95" s="32" t="str"/>
      <x:c r="V95" s="84" t="n">
        <x:v>1</x:v>
      </x:c>
      <x:c r="W95" s="84" t="n">
        <x:f>IF(OR($O95="PASS",$O95="EXCEPTION APPROVED",$O95="NOT APPLICABLE"),$V95,0)</x:f>
        <x:v>0</x:v>
      </x:c>
      <x:c r="X95" s="84" t="n">
        <x:f>IF(AND($K95="Yes",OR($O95="FAIL",$O95="BLOCKED",$O95="NOT RUN",$O95="IN PROGRESS")),1,0)</x:f>
        <x:v>1</x:v>
      </x:c>
      <x:c r="Y95" s="32" t="str">
        <x:f>IF($O95="FAIL","FAIL",IF($O95="BLOCKED","BLOCKED",IF(AND($O95="EXCEPTION APPROVED",$K95="Yes"),"REVIEW",IF($O95="PASS","OK","PENDING"))))</x:f>
        <x:v>PENDING</x:v>
      </x:c>
    </x:row>
    <x:row r="96">
      <x:c r="A96" s="32" t="str">
        <x:v>H6-GOV-010</x:v>
      </x:c>
      <x:c r="B96" s="32" t="str">
        <x:v>Gobierno y alcance</x:v>
      </x:c>
      <x:c r="C96" s="32" t="str">
        <x:v>Control especializado</x:v>
      </x:c>
      <x:c r="D96" s="32" t="str">
        <x:v>El responsable de decisión y los revisores de H6 están identificados antes de ejecutar la candidata.</x:v>
      </x:c>
      <x:c r="E96" s="32" t="str">
        <x:v>Completar matriz RACI y hoja de firmas.</x:v>
      </x:c>
      <x:c r="F96" s="32" t="str">
        <x:v>Cumplimiento verificable sin desviaciones bloqueantes.</x:v>
      </x:c>
      <x:c r="G96" s="32" t="str">
        <x:v>RACI y signoff preparado.</x:v>
      </x:c>
      <x:c r="H96" s="32" t="str">
        <x:v>00_Enfoque_y_Alcance.md; 02_Vertical_Slice_Specification.md; 06_Production_Roadmap_y_Sprint_Plan.md; 15_Guia_Maestra.md</x:v>
      </x:c>
      <x:c r="I96" s="32" t="str">
        <x:v>Enfoque v0.6–v0.8; Roadmap v0.3–v0.6; VSS v0.1–v0.4</x:v>
      </x:c>
      <x:c r="J96" s="32" t="str">
        <x:v>H6</x:v>
      </x:c>
      <x:c r="K96" s="32" t="str">
        <x:v>Yes</x:v>
      </x:c>
      <x:c r="L96" s="32" t="str">
        <x:v>P1</x:v>
      </x:c>
      <x:c r="M96" s="32" t="str">
        <x:v>Production</x:v>
      </x:c>
      <x:c r="N96" s="32" t="str">
        <x:v>QA/Production</x:v>
      </x:c>
      <x:c r="O96" s="32" t="str">
        <x:v>NOT RUN</x:v>
      </x:c>
      <x:c r="P96" s="32" t="str"/>
      <x:c r="Q96" s="32" t="str"/>
      <x:c r="R96" s="32" t="str"/>
      <x:c r="S96" s="32" t="str"/>
      <x:c r="T96" s="82" t="str"/>
      <x:c r="U96" s="32" t="str"/>
      <x:c r="V96" s="84" t="n">
        <x:v>1</x:v>
      </x:c>
      <x:c r="W96" s="84" t="n">
        <x:f>IF(OR($O96="PASS",$O96="EXCEPTION APPROVED",$O96="NOT APPLICABLE"),$V96,0)</x:f>
        <x:v>0</x:v>
      </x:c>
      <x:c r="X96" s="84" t="n">
        <x:f>IF(AND($K96="Yes",OR($O96="FAIL",$O96="BLOCKED",$O96="NOT RUN",$O96="IN PROGRESS")),1,0)</x:f>
        <x:v>1</x:v>
      </x:c>
      <x:c r="Y96" s="32" t="str">
        <x:f>IF($O96="FAIL","FAIL",IF($O96="BLOCKED","BLOCKED",IF(AND($O96="EXCEPTION APPROVED",$K96="Yes"),"REVIEW",IF($O96="PASS","OK","PENDING"))))</x:f>
        <x:v>PENDING</x:v>
      </x:c>
    </x:row>
    <x:row r="97">
      <x:c r="A97" s="32" t="str">
        <x:v>H6-GOV-011</x:v>
      </x:c>
      <x:c r="B97" s="32" t="str">
        <x:v>Gobierno y alcance</x:v>
      </x:c>
      <x:c r="C97" s="32" t="str">
        <x:v>Control especializado</x:v>
      </x:c>
      <x:c r="D97" s="32" t="str">
        <x:v>La decisión H6 puede reproducirse meses después sin depender del historial del chat.</x:v>
      </x:c>
      <x:c r="E97" s="32" t="str">
        <x:v>Comprobar que paquete, hashes, logs, informes y acta son autosuficientes.</x:v>
      </x:c>
      <x:c r="F97" s="32" t="str">
        <x:v>Cumplimiento verificable sin desviaciones bloqueantes.</x:v>
      </x:c>
      <x:c r="G97" s="32" t="str">
        <x:v>Prueba de auditoría documental independiente.</x:v>
      </x:c>
      <x:c r="H97" s="32" t="str">
        <x:v>00_Enfoque_y_Alcance.md; 02_Vertical_Slice_Specification.md; 06_Production_Roadmap_y_Sprint_Plan.md; 15_Guia_Maestra.md</x:v>
      </x:c>
      <x:c r="I97" s="32" t="str">
        <x:v>Enfoque v0.6–v0.8; Roadmap v0.3–v0.6; VSS v0.1–v0.4</x:v>
      </x:c>
      <x:c r="J97" s="32" t="str">
        <x:v>H6</x:v>
      </x:c>
      <x:c r="K97" s="32" t="str">
        <x:v>Yes</x:v>
      </x:c>
      <x:c r="L97" s="32" t="str">
        <x:v>P1</x:v>
      </x:c>
      <x:c r="M97" s="32" t="str">
        <x:v>Production</x:v>
      </x:c>
      <x:c r="N97" s="32" t="str">
        <x:v>QA/Production</x:v>
      </x:c>
      <x:c r="O97" s="32" t="str">
        <x:v>NOT RUN</x:v>
      </x:c>
      <x:c r="P97" s="32" t="str"/>
      <x:c r="Q97" s="32" t="str"/>
      <x:c r="R97" s="32" t="str"/>
      <x:c r="S97" s="32" t="str"/>
      <x:c r="T97" s="82" t="str"/>
      <x:c r="U97" s="32" t="str"/>
      <x:c r="V97" s="84" t="n">
        <x:v>1</x:v>
      </x:c>
      <x:c r="W97" s="84" t="n">
        <x:f>IF(OR($O97="PASS",$O97="EXCEPTION APPROVED",$O97="NOT APPLICABLE"),$V97,0)</x:f>
        <x:v>0</x:v>
      </x:c>
      <x:c r="X97" s="84" t="n">
        <x:f>IF(AND($K97="Yes",OR($O97="FAIL",$O97="BLOCKED",$O97="NOT RUN",$O97="IN PROGRESS")),1,0)</x:f>
        <x:v>1</x:v>
      </x:c>
      <x:c r="Y97" s="32" t="str">
        <x:f>IF($O97="FAIL","FAIL",IF($O97="BLOCKED","BLOCKED",IF(AND($O97="EXCEPTION APPROVED",$K97="Yes"),"REVIEW",IF($O97="PASS","OK","PENDING"))))</x:f>
        <x:v>PENDING</x:v>
      </x:c>
    </x:row>
    <x:row r="98">
      <x:c r="A98" s="32" t="str">
        <x:v>H6-GOV-012</x:v>
      </x:c>
      <x:c r="B98" s="32" t="str">
        <x:v>Gobierno y alcance</x:v>
      </x:c>
      <x:c r="C98" s="32" t="str">
        <x:v>Control especializado</x:v>
      </x:c>
      <x:c r="D98" s="32" t="str">
        <x:v>Cualquier desviación aceptada incluye impacto, mitigación, propietario y trigger de reapertura.</x:v>
      </x:c>
      <x:c r="E98" s="32" t="str">
        <x:v>Revisar excepciones y deuda aceptada.</x:v>
      </x:c>
      <x:c r="F98" s="32" t="str">
        <x:v>Cumplimiento verificable sin desviaciones bloqueantes.</x:v>
      </x:c>
      <x:c r="G98" s="32" t="str">
        <x:v>Registro de excepciones completo.</x:v>
      </x:c>
      <x:c r="H98" s="32" t="str">
        <x:v>00_Enfoque_y_Alcance.md; 02_Vertical_Slice_Specification.md; 06_Production_Roadmap_y_Sprint_Plan.md; 15_Guia_Maestra.md</x:v>
      </x:c>
      <x:c r="I98" s="32" t="str">
        <x:v>Enfoque v0.6–v0.8; Roadmap v0.3–v0.6; VSS v0.1–v0.4</x:v>
      </x:c>
      <x:c r="J98" s="32" t="str">
        <x:v>H6</x:v>
      </x:c>
      <x:c r="K98" s="32" t="str">
        <x:v>Yes</x:v>
      </x:c>
      <x:c r="L98" s="32" t="str">
        <x:v>P1</x:v>
      </x:c>
      <x:c r="M98" s="32" t="str">
        <x:v>Production</x:v>
      </x:c>
      <x:c r="N98" s="32" t="str">
        <x:v>QA/Production</x:v>
      </x:c>
      <x:c r="O98" s="32" t="str">
        <x:v>NOT RUN</x:v>
      </x:c>
      <x:c r="P98" s="32" t="str"/>
      <x:c r="Q98" s="32" t="str"/>
      <x:c r="R98" s="32" t="str"/>
      <x:c r="S98" s="32" t="str"/>
      <x:c r="T98" s="82" t="str"/>
      <x:c r="U98" s="32" t="str"/>
      <x:c r="V98" s="84" t="n">
        <x:v>1</x:v>
      </x:c>
      <x:c r="W98" s="84" t="n">
        <x:f>IF(OR($O98="PASS",$O98="EXCEPTION APPROVED",$O98="NOT APPLICABLE"),$V98,0)</x:f>
        <x:v>0</x:v>
      </x:c>
      <x:c r="X98" s="84" t="n">
        <x:f>IF(AND($K98="Yes",OR($O98="FAIL",$O98="BLOCKED",$O98="NOT RUN",$O98="IN PROGRESS")),1,0)</x:f>
        <x:v>1</x:v>
      </x:c>
      <x:c r="Y98" s="32" t="str">
        <x:f>IF($O98="FAIL","FAIL",IF($O98="BLOCKED","BLOCKED",IF(AND($O98="EXCEPTION APPROVED",$K98="Yes"),"REVIEW",IF($O98="PASS","OK","PENDING"))))</x:f>
        <x:v>PENDING</x:v>
      </x:c>
    </x:row>
    <x:row r="99">
      <x:c r="A99" s="32" t="str">
        <x:v>H6-SCN-001</x:v>
      </x:c>
      <x:c r="B99" s="32" t="str">
        <x:v>StoreInitial y representación</x:v>
      </x:c>
      <x:c r="C99" s="32" t="str">
        <x:v>Control especializado</x:v>
      </x:c>
      <x:c r="D99" s="32" t="str">
        <x:v>StoreInitial.unity es la escena representativa conectada al flujo real de Bootstrap/Main Menu.</x:v>
      </x:c>
      <x:c r="E99" s="32" t="str">
        <x:v>Iniciar partida nueva y carga de slot desde build externa; comprobar escena cargada.</x:v>
      </x:c>
      <x:c r="F99" s="32" t="str">
        <x:v>Cumplimiento verificable sin desviaciones bloqueantes.</x:v>
      </x:c>
      <x:c r="G99" s="32" t="str">
        <x:v>Vídeo/capturas, log y Build Profile.</x:v>
      </x:c>
      <x:c r="H99" s="32" t="str">
        <x:v>02_Vertical_Slice_Specification.md; 17_Art_Bible.md; 19_UI_Style_Guide.md; 21_Initial_Content_Catalog.xlsx</x:v>
      </x:c>
      <x:c r="I99" s="32" t="str">
        <x:v>Art Bible v0.3–v0.5; Initial Content Catalog v0.1–v0.3; Sprint 16 StoreInitial records</x:v>
      </x:c>
      <x:c r="J99" s="32" t="str">
        <x:v>Sprint 16 / H6</x:v>
      </x:c>
      <x:c r="K99" s="32" t="str">
        <x:v>Yes</x:v>
      </x:c>
      <x:c r="L99" s="32" t="str">
        <x:v>P0</x:v>
      </x:c>
      <x:c r="M99" s="32" t="str">
        <x:v>Art/Level</x:v>
      </x:c>
      <x:c r="N99" s="32" t="str">
        <x:v>Art Direction/QA</x:v>
      </x:c>
      <x:c r="O99" s="32" t="str">
        <x:v>NOT RUN</x:v>
      </x:c>
      <x:c r="P99" s="32" t="str"/>
      <x:c r="Q99" s="32" t="str"/>
      <x:c r="R99" s="32" t="str"/>
      <x:c r="S99" s="32" t="str"/>
      <x:c r="T99" s="82" t="str"/>
      <x:c r="U99" s="32" t="str"/>
      <x:c r="V99" s="84" t="n">
        <x:v>1</x:v>
      </x:c>
      <x:c r="W99" s="84" t="n">
        <x:f>IF(OR($O99="PASS",$O99="EXCEPTION APPROVED",$O99="NOT APPLICABLE"),$V99,0)</x:f>
        <x:v>0</x:v>
      </x:c>
      <x:c r="X99" s="84" t="n">
        <x:f>IF(AND($K99="Yes",OR($O99="FAIL",$O99="BLOCKED",$O99="NOT RUN",$O99="IN PROGRESS")),1,0)</x:f>
        <x:v>1</x:v>
      </x:c>
      <x:c r="Y99" s="32" t="str">
        <x:f>IF($O99="FAIL","FAIL",IF($O99="BLOCKED","BLOCKED",IF(AND($O99="EXCEPTION APPROVED",$K99="Yes"),"REVIEW",IF($O99="PASS","OK","PENDING"))))</x:f>
        <x:v>PENDING</x:v>
      </x:c>
    </x:row>
    <x:row r="100">
      <x:c r="A100" s="32" t="str">
        <x:v>H6-SCN-002</x:v>
      </x:c>
      <x:c r="B100" s="32" t="str">
        <x:v>StoreInitial y representación</x:v>
      </x:c>
      <x:c r="C100" s="32" t="str">
        <x:v>Control especializado</x:v>
      </x:c>
      <x:c r="D100" s="32" t="str">
        <x:v>El layout aprobado mantiene entrada, circulación, exposición, checkout, recepción y almacén funcionales.</x:v>
      </x:c>
      <x:c r="E100" s="32" t="str">
        <x:v>Recorrer puntos obligatorios y comparar con layout de referencia.</x:v>
      </x:c>
      <x:c r="F100" s="32" t="str">
        <x:v>Cumplimiento verificable sin desviaciones bloqueantes.</x:v>
      </x:c>
      <x:c r="G100" s="32" t="str">
        <x:v>Plano anotado y capturas de revisión.</x:v>
      </x:c>
      <x:c r="H100" s="32" t="str">
        <x:v>02_Vertical_Slice_Specification.md; 17_Art_Bible.md; 19_UI_Style_Guide.md; 21_Initial_Content_Catalog.xlsx</x:v>
      </x:c>
      <x:c r="I100" s="32" t="str">
        <x:v>Art Bible v0.3–v0.5; Initial Content Catalog v0.1–v0.3; Sprint 16 StoreInitial records</x:v>
      </x:c>
      <x:c r="J100" s="32" t="str">
        <x:v>Sprint 16 / H6</x:v>
      </x:c>
      <x:c r="K100" s="32" t="str">
        <x:v>Yes</x:v>
      </x:c>
      <x:c r="L100" s="32" t="str">
        <x:v>P1</x:v>
      </x:c>
      <x:c r="M100" s="32" t="str">
        <x:v>Art/Level</x:v>
      </x:c>
      <x:c r="N100" s="32" t="str">
        <x:v>Art Direction/QA</x:v>
      </x:c>
      <x:c r="O100" s="32" t="str">
        <x:v>NOT RUN</x:v>
      </x:c>
      <x:c r="P100" s="32" t="str"/>
      <x:c r="Q100" s="32" t="str"/>
      <x:c r="R100" s="32" t="str"/>
      <x:c r="S100" s="32" t="str"/>
      <x:c r="T100" s="82" t="str"/>
      <x:c r="U100" s="32" t="str"/>
      <x:c r="V100" s="84" t="n">
        <x:v>1</x:v>
      </x:c>
      <x:c r="W100" s="84" t="n">
        <x:f>IF(OR($O100="PASS",$O100="EXCEPTION APPROVED",$O100="NOT APPLICABLE"),$V100,0)</x:f>
        <x:v>0</x:v>
      </x:c>
      <x:c r="X100" s="84" t="n">
        <x:f>IF(AND($K100="Yes",OR($O100="FAIL",$O100="BLOCKED",$O100="NOT RUN",$O100="IN PROGRESS")),1,0)</x:f>
        <x:v>1</x:v>
      </x:c>
      <x:c r="Y100" s="32" t="str">
        <x:f>IF($O100="FAIL","FAIL",IF($O100="BLOCKED","BLOCKED",IF(AND($O100="EXCEPTION APPROVED",$K100="Yes"),"REVIEW",IF($O100="PASS","OK","PENDING"))))</x:f>
        <x:v>PENDING</x:v>
      </x:c>
    </x:row>
    <x:row r="101">
      <x:c r="A101" s="32" t="str">
        <x:v>H6-SCN-003</x:v>
      </x:c>
      <x:c r="B101" s="32" t="str">
        <x:v>StoreInitial y representación</x:v>
      </x:c>
      <x:c r="C101" s="32" t="str">
        <x:v>Control especializado</x:v>
      </x:c>
      <x:c r="D101" s="32" t="str">
        <x:v>La puerta visual, collider, navegación y lógica de entrada/salida coinciden.</x:v>
      </x:c>
      <x:c r="E101" s="32" t="str">
        <x:v>Probar jugador y múltiples clientes atravesando la puerta.</x:v>
      </x:c>
      <x:c r="F101" s="32" t="str">
        <x:v>Cumplimiento verificable sin desviaciones bloqueantes.</x:v>
      </x:c>
      <x:c r="G101" s="32" t="str">
        <x:v>Acta de navegación y vídeo.</x:v>
      </x:c>
      <x:c r="H101" s="32" t="str">
        <x:v>02_Vertical_Slice_Specification.md; 17_Art_Bible.md; 19_UI_Style_Guide.md; 21_Initial_Content_Catalog.xlsx</x:v>
      </x:c>
      <x:c r="I101" s="32" t="str">
        <x:v>Art Bible v0.3–v0.5; Initial Content Catalog v0.1–v0.3; Sprint 16 StoreInitial records</x:v>
      </x:c>
      <x:c r="J101" s="32" t="str">
        <x:v>Sprint 16 / H6</x:v>
      </x:c>
      <x:c r="K101" s="32" t="str">
        <x:v>Yes</x:v>
      </x:c>
      <x:c r="L101" s="32" t="str">
        <x:v>P1</x:v>
      </x:c>
      <x:c r="M101" s="32" t="str">
        <x:v>Art/Level</x:v>
      </x:c>
      <x:c r="N101" s="32" t="str">
        <x:v>Art Direction/QA</x:v>
      </x:c>
      <x:c r="O101" s="32" t="str">
        <x:v>NOT RUN</x:v>
      </x:c>
      <x:c r="P101" s="32" t="str"/>
      <x:c r="Q101" s="32" t="str"/>
      <x:c r="R101" s="32" t="str"/>
      <x:c r="S101" s="32" t="str"/>
      <x:c r="T101" s="82" t="str"/>
      <x:c r="U101" s="32" t="str"/>
      <x:c r="V101" s="84" t="n">
        <x:v>1</x:v>
      </x:c>
      <x:c r="W101" s="84" t="n">
        <x:f>IF(OR($O101="PASS",$O101="EXCEPTION APPROVED",$O101="NOT APPLICABLE"),$V101,0)</x:f>
        <x:v>0</x:v>
      </x:c>
      <x:c r="X101" s="84" t="n">
        <x:f>IF(AND($K101="Yes",OR($O101="FAIL",$O101="BLOCKED",$O101="NOT RUN",$O101="IN PROGRESS")),1,0)</x:f>
        <x:v>1</x:v>
      </x:c>
      <x:c r="Y101" s="32" t="str">
        <x:f>IF($O101="FAIL","FAIL",IF($O101="BLOCKED","BLOCKED",IF(AND($O101="EXCEPTION APPROVED",$K101="Yes"),"REVIEW",IF($O101="PASS","OK","PENDING"))))</x:f>
        <x:v>PENDING</x:v>
      </x:c>
    </x:row>
    <x:row r="102">
      <x:c r="A102" s="32" t="str">
        <x:v>H6-SCN-004</x:v>
      </x:c>
      <x:c r="B102" s="32" t="str">
        <x:v>StoreInitial y representación</x:v>
      </x:c>
      <x:c r="C102" s="32" t="str">
        <x:v>Control especializado</x:v>
      </x:c>
      <x:c r="D102" s="32" t="str">
        <x:v>No existen placeholders visibles no exceptuados en cámara normal de juego.</x:v>
      </x:c>
      <x:c r="E102" s="32" t="str">
        <x:v>Barrido visual de toda la tienda y estados del Golden Path.</x:v>
      </x:c>
      <x:c r="F102" s="32" t="str">
        <x:v>Cumplimiento verificable sin desviaciones bloqueantes.</x:v>
      </x:c>
      <x:c r="G102" s="32" t="str">
        <x:v>Set de capturas 1080p y lista de excepciones.</x:v>
      </x:c>
      <x:c r="H102" s="32" t="str">
        <x:v>02_Vertical_Slice_Specification.md; 17_Art_Bible.md; 19_UI_Style_Guide.md; 21_Initial_Content_Catalog.xlsx</x:v>
      </x:c>
      <x:c r="I102" s="32" t="str">
        <x:v>Art Bible v0.3–v0.5; Initial Content Catalog v0.1–v0.3; Sprint 16 StoreInitial records</x:v>
      </x:c>
      <x:c r="J102" s="32" t="str">
        <x:v>Sprint 16 / H6</x:v>
      </x:c>
      <x:c r="K102" s="32" t="str">
        <x:v>Yes</x:v>
      </x:c>
      <x:c r="L102" s="32" t="str">
        <x:v>P1</x:v>
      </x:c>
      <x:c r="M102" s="32" t="str">
        <x:v>Art/Level</x:v>
      </x:c>
      <x:c r="N102" s="32" t="str">
        <x:v>Art Direction/QA</x:v>
      </x:c>
      <x:c r="O102" s="32" t="str">
        <x:v>NOT RUN</x:v>
      </x:c>
      <x:c r="P102" s="32" t="str"/>
      <x:c r="Q102" s="32" t="str"/>
      <x:c r="R102" s="32" t="str"/>
      <x:c r="S102" s="32" t="str"/>
      <x:c r="T102" s="82" t="str"/>
      <x:c r="U102" s="32" t="str"/>
      <x:c r="V102" s="84" t="n">
        <x:v>1</x:v>
      </x:c>
      <x:c r="W102" s="84" t="n">
        <x:f>IF(OR($O102="PASS",$O102="EXCEPTION APPROVED",$O102="NOT APPLICABLE"),$V102,0)</x:f>
        <x:v>0</x:v>
      </x:c>
      <x:c r="X102" s="84" t="n">
        <x:f>IF(AND($K102="Yes",OR($O102="FAIL",$O102="BLOCKED",$O102="NOT RUN",$O102="IN PROGRESS")),1,0)</x:f>
        <x:v>1</x:v>
      </x:c>
      <x:c r="Y102" s="32" t="str">
        <x:f>IF($O102="FAIL","FAIL",IF($O102="BLOCKED","BLOCKED",IF(AND($O102="EXCEPTION APPROVED",$K102="Yes"),"REVIEW",IF($O102="PASS","OK","PENDING"))))</x:f>
        <x:v>PENDING</x:v>
      </x:c>
    </x:row>
    <x:row r="103">
      <x:c r="A103" s="32" t="str">
        <x:v>H6-SCN-005</x:v>
      </x:c>
      <x:c r="B103" s="32" t="str">
        <x:v>StoreInitial y representación</x:v>
      </x:c>
      <x:c r="C103" s="32" t="str">
        <x:v>Control especializado</x:v>
      </x:c>
      <x:c r="D103" s="32" t="str">
        <x:v>Los muebles representativos sustituyen blockouts sin alterar huellas, pivotes, colliders ni puntos de interacción.</x:v>
      </x:c>
      <x:c r="E103" s="32" t="str">
        <x:v>Probar colocar, mover, retirar, reponer y guardar cada familia.</x:v>
      </x:c>
      <x:c r="F103" s="32" t="str">
        <x:v>Cumplimiento verificable sin desviaciones bloqueantes.</x:v>
      </x:c>
      <x:c r="G103" s="32" t="str">
        <x:v>Matriz prefab-función y pruebas.</x:v>
      </x:c>
      <x:c r="H103" s="32" t="str">
        <x:v>02_Vertical_Slice_Specification.md; 17_Art_Bible.md; 19_UI_Style_Guide.md; 21_Initial_Content_Catalog.xlsx</x:v>
      </x:c>
      <x:c r="I103" s="32" t="str">
        <x:v>Art Bible v0.3–v0.5; Initial Content Catalog v0.1–v0.3; Sprint 16 StoreInitial records</x:v>
      </x:c>
      <x:c r="J103" s="32" t="str">
        <x:v>Sprint 16 / H6</x:v>
      </x:c>
      <x:c r="K103" s="32" t="str">
        <x:v>Yes</x:v>
      </x:c>
      <x:c r="L103" s="32" t="str">
        <x:v>P1</x:v>
      </x:c>
      <x:c r="M103" s="32" t="str">
        <x:v>Art/Level</x:v>
      </x:c>
      <x:c r="N103" s="32" t="str">
        <x:v>Art Direction/QA</x:v>
      </x:c>
      <x:c r="O103" s="32" t="str">
        <x:v>NOT RUN</x:v>
      </x:c>
      <x:c r="P103" s="32" t="str"/>
      <x:c r="Q103" s="32" t="str"/>
      <x:c r="R103" s="32" t="str"/>
      <x:c r="S103" s="32" t="str"/>
      <x:c r="T103" s="82" t="str"/>
      <x:c r="U103" s="32" t="str"/>
      <x:c r="V103" s="84" t="n">
        <x:v>1</x:v>
      </x:c>
      <x:c r="W103" s="84" t="n">
        <x:f>IF(OR($O103="PASS",$O103="EXCEPTION APPROVED",$O103="NOT APPLICABLE"),$V103,0)</x:f>
        <x:v>0</x:v>
      </x:c>
      <x:c r="X103" s="84" t="n">
        <x:f>IF(AND($K103="Yes",OR($O103="FAIL",$O103="BLOCKED",$O103="NOT RUN",$O103="IN PROGRESS")),1,0)</x:f>
        <x:v>1</x:v>
      </x:c>
      <x:c r="Y103" s="32" t="str">
        <x:f>IF($O103="FAIL","FAIL",IF($O103="BLOCKED","BLOCKED",IF(AND($O103="EXCEPTION APPROVED",$K103="Yes"),"REVIEW",IF($O103="PASS","OK","PENDING"))))</x:f>
        <x:v>PENDING</x:v>
      </x:c>
    </x:row>
    <x:row r="104">
      <x:c r="A104" s="32" t="str">
        <x:v>H6-SCN-006</x:v>
      </x:c>
      <x:c r="B104" s="32" t="str">
        <x:v>StoreInitial y representación</x:v>
      </x:c>
      <x:c r="C104" s="32" t="str">
        <x:v>Control especializado</x:v>
      </x:c>
      <x:c r="D104" s="32" t="str">
        <x:v>Los productos visibles corresponden al catálogo incluido y a su asignación lógica.</x:v>
      </x:c>
      <x:c r="E104" s="32" t="str">
        <x:v>Comparar contenido 21, ScriptableObjects y visuales en displays.</x:v>
      </x:c>
      <x:c r="F104" s="32" t="str">
        <x:v>Cumplimiento verificable sin desviaciones bloqueantes.</x:v>
      </x:c>
      <x:c r="G104" s="32" t="str">
        <x:v>Capturas y auditoría de catálogo.</x:v>
      </x:c>
      <x:c r="H104" s="32" t="str">
        <x:v>02_Vertical_Slice_Specification.md; 17_Art_Bible.md; 19_UI_Style_Guide.md; 21_Initial_Content_Catalog.xlsx</x:v>
      </x:c>
      <x:c r="I104" s="32" t="str">
        <x:v>Art Bible v0.3–v0.5; Initial Content Catalog v0.1–v0.3; Sprint 16 StoreInitial records</x:v>
      </x:c>
      <x:c r="J104" s="32" t="str">
        <x:v>Sprint 16 / H6</x:v>
      </x:c>
      <x:c r="K104" s="32" t="str">
        <x:v>Yes</x:v>
      </x:c>
      <x:c r="L104" s="32" t="str">
        <x:v>P1</x:v>
      </x:c>
      <x:c r="M104" s="32" t="str">
        <x:v>Art/Level</x:v>
      </x:c>
      <x:c r="N104" s="32" t="str">
        <x:v>Art Direction/QA</x:v>
      </x:c>
      <x:c r="O104" s="32" t="str">
        <x:v>NOT RUN</x:v>
      </x:c>
      <x:c r="P104" s="32" t="str"/>
      <x:c r="Q104" s="32" t="str"/>
      <x:c r="R104" s="32" t="str"/>
      <x:c r="S104" s="32" t="str"/>
      <x:c r="T104" s="82" t="str"/>
      <x:c r="U104" s="32" t="str"/>
      <x:c r="V104" s="84" t="n">
        <x:v>1</x:v>
      </x:c>
      <x:c r="W104" s="84" t="n">
        <x:f>IF(OR($O104="PASS",$O104="EXCEPTION APPROVED",$O104="NOT APPLICABLE"),$V104,0)</x:f>
        <x:v>0</x:v>
      </x:c>
      <x:c r="X104" s="84" t="n">
        <x:f>IF(AND($K104="Yes",OR($O104="FAIL",$O104="BLOCKED",$O104="NOT RUN",$O104="IN PROGRESS")),1,0)</x:f>
        <x:v>1</x:v>
      </x:c>
      <x:c r="Y104" s="32" t="str">
        <x:f>IF($O104="FAIL","FAIL",IF($O104="BLOCKED","BLOCKED",IF(AND($O104="EXCEPTION APPROVED",$K104="Yes"),"REVIEW",IF($O104="PASS","OK","PENDING"))))</x:f>
        <x:v>PENDING</x:v>
      </x:c>
    </x:row>
    <x:row r="105">
      <x:c r="A105" s="32" t="str">
        <x:v>H6-SCN-007</x:v>
      </x:c>
      <x:c r="B105" s="32" t="str">
        <x:v>StoreInitial y representación</x:v>
      </x:c>
      <x:c r="C105" s="32" t="str">
        <x:v>Control especializado</x:v>
      </x:c>
      <x:c r="D105" s="32" t="str">
        <x:v>Iluminación y materiales permiten leer rutas, zonas, productos, clientes, cola y checkout.</x:v>
      </x:c>
      <x:c r="E105" s="32" t="str">
        <x:v>Recorrido en condiciones normales y capturas de referencia.</x:v>
      </x:c>
      <x:c r="F105" s="32" t="str">
        <x:v>Cumplimiento verificable sin desviaciones bloqueantes.</x:v>
      </x:c>
      <x:c r="G105" s="32" t="str">
        <x:v>Revisión visual aprobada.</x:v>
      </x:c>
      <x:c r="H105" s="32" t="str">
        <x:v>02_Vertical_Slice_Specification.md; 17_Art_Bible.md; 19_UI_Style_Guide.md; 21_Initial_Content_Catalog.xlsx</x:v>
      </x:c>
      <x:c r="I105" s="32" t="str">
        <x:v>Art Bible v0.3–v0.5; Initial Content Catalog v0.1–v0.3; Sprint 16 StoreInitial records</x:v>
      </x:c>
      <x:c r="J105" s="32" t="str">
        <x:v>Sprint 16 / H6</x:v>
      </x:c>
      <x:c r="K105" s="32" t="str">
        <x:v>Yes</x:v>
      </x:c>
      <x:c r="L105" s="32" t="str">
        <x:v>P1</x:v>
      </x:c>
      <x:c r="M105" s="32" t="str">
        <x:v>Art/Level</x:v>
      </x:c>
      <x:c r="N105" s="32" t="str">
        <x:v>Art Direction/QA</x:v>
      </x:c>
      <x:c r="O105" s="32" t="str">
        <x:v>NOT RUN</x:v>
      </x:c>
      <x:c r="P105" s="32" t="str"/>
      <x:c r="Q105" s="32" t="str"/>
      <x:c r="R105" s="32" t="str"/>
      <x:c r="S105" s="32" t="str"/>
      <x:c r="T105" s="82" t="str"/>
      <x:c r="U105" s="32" t="str"/>
      <x:c r="V105" s="84" t="n">
        <x:v>1</x:v>
      </x:c>
      <x:c r="W105" s="84" t="n">
        <x:f>IF(OR($O105="PASS",$O105="EXCEPTION APPROVED",$O105="NOT APPLICABLE"),$V105,0)</x:f>
        <x:v>0</x:v>
      </x:c>
      <x:c r="X105" s="84" t="n">
        <x:f>IF(AND($K105="Yes",OR($O105="FAIL",$O105="BLOCKED",$O105="NOT RUN",$O105="IN PROGRESS")),1,0)</x:f>
        <x:v>1</x:v>
      </x:c>
      <x:c r="Y105" s="32" t="str">
        <x:f>IF($O105="FAIL","FAIL",IF($O105="BLOCKED","BLOCKED",IF(AND($O105="EXCEPTION APPROVED",$K105="Yes"),"REVIEW",IF($O105="PASS","OK","PENDING"))))</x:f>
        <x:v>PENDING</x:v>
      </x:c>
    </x:row>
    <x:row r="106">
      <x:c r="A106" s="32" t="str">
        <x:v>H6-SCN-008</x:v>
      </x:c>
      <x:c r="B106" s="32" t="str">
        <x:v>StoreInitial y representación</x:v>
      </x:c>
      <x:c r="C106" s="32" t="str">
        <x:v>Control especializado</x:v>
      </x:c>
      <x:c r="D106" s="32" t="str">
        <x:v>Las superficies caminables y NavMesh coinciden con arquitectura y mobiliario final.</x:v>
      </x:c>
      <x:c r="E106" s="32" t="str">
        <x:v>Bake/validación y prueba con saturación de agentes.</x:v>
      </x:c>
      <x:c r="F106" s="32" t="str">
        <x:v>Cumplimiento verificable sin desviaciones bloqueantes.</x:v>
      </x:c>
      <x:c r="G106" s="32" t="str">
        <x:v>Capturas NavMesh, logs y test de saturación.</x:v>
      </x:c>
      <x:c r="H106" s="32" t="str">
        <x:v>02_Vertical_Slice_Specification.md; 17_Art_Bible.md; 19_UI_Style_Guide.md; 21_Initial_Content_Catalog.xlsx</x:v>
      </x:c>
      <x:c r="I106" s="32" t="str">
        <x:v>Art Bible v0.3–v0.5; Initial Content Catalog v0.1–v0.3; Sprint 16 StoreInitial records</x:v>
      </x:c>
      <x:c r="J106" s="32" t="str">
        <x:v>Sprint 16 / H6</x:v>
      </x:c>
      <x:c r="K106" s="32" t="str">
        <x:v>Yes</x:v>
      </x:c>
      <x:c r="L106" s="32" t="str">
        <x:v>P1</x:v>
      </x:c>
      <x:c r="M106" s="32" t="str">
        <x:v>Art/Level</x:v>
      </x:c>
      <x:c r="N106" s="32" t="str">
        <x:v>Art Direction/QA</x:v>
      </x:c>
      <x:c r="O106" s="32" t="str">
        <x:v>NOT RUN</x:v>
      </x:c>
      <x:c r="P106" s="32" t="str"/>
      <x:c r="Q106" s="32" t="str"/>
      <x:c r="R106" s="32" t="str"/>
      <x:c r="S106" s="32" t="str"/>
      <x:c r="T106" s="82" t="str"/>
      <x:c r="U106" s="32" t="str"/>
      <x:c r="V106" s="84" t="n">
        <x:v>1</x:v>
      </x:c>
      <x:c r="W106" s="84" t="n">
        <x:f>IF(OR($O106="PASS",$O106="EXCEPTION APPROVED",$O106="NOT APPLICABLE"),$V106,0)</x:f>
        <x:v>0</x:v>
      </x:c>
      <x:c r="X106" s="84" t="n">
        <x:f>IF(AND($K106="Yes",OR($O106="FAIL",$O106="BLOCKED",$O106="NOT RUN",$O106="IN PROGRESS")),1,0)</x:f>
        <x:v>1</x:v>
      </x:c>
      <x:c r="Y106" s="32" t="str">
        <x:f>IF($O106="FAIL","FAIL",IF($O106="BLOCKED","BLOCKED",IF(AND($O106="EXCEPTION APPROVED",$K106="Yes"),"REVIEW",IF($O106="PASS","OK","PENDING"))))</x:f>
        <x:v>PENDING</x:v>
      </x:c>
    </x:row>
    <x:row r="107">
      <x:c r="A107" s="32" t="str">
        <x:v>H6-SCN-009</x:v>
      </x:c>
      <x:c r="B107" s="32" t="str">
        <x:v>StoreInitial y representación</x:v>
      </x:c>
      <x:c r="C107" s="32" t="str">
        <x:v>Control especializado</x:v>
      </x:c>
      <x:c r="D107" s="32" t="str">
        <x:v>No existen referencias perdidas, Missing Scripts o errores recurrentes al cargar la escena.</x:v>
      </x:c>
      <x:c r="E107" s="32" t="str">
        <x:v>Validar escena, ejecutar build y revisar Player.log.</x:v>
      </x:c>
      <x:c r="F107" s="32" t="str">
        <x:v>Cumplimiento verificable sin desviaciones bloqueantes.</x:v>
      </x:c>
      <x:c r="G107" s="32" t="str">
        <x:v>Scene validation report y Player.log.</x:v>
      </x:c>
      <x:c r="H107" s="32" t="str">
        <x:v>02_Vertical_Slice_Specification.md; 17_Art_Bible.md; 19_UI_Style_Guide.md; 21_Initial_Content_Catalog.xlsx</x:v>
      </x:c>
      <x:c r="I107" s="32" t="str">
        <x:v>Art Bible v0.3–v0.5; Initial Content Catalog v0.1–v0.3; Sprint 16 StoreInitial records</x:v>
      </x:c>
      <x:c r="J107" s="32" t="str">
        <x:v>Sprint 16 / H6</x:v>
      </x:c>
      <x:c r="K107" s="32" t="str">
        <x:v>Yes</x:v>
      </x:c>
      <x:c r="L107" s="32" t="str">
        <x:v>P0</x:v>
      </x:c>
      <x:c r="M107" s="32" t="str">
        <x:v>Art/Level</x:v>
      </x:c>
      <x:c r="N107" s="32" t="str">
        <x:v>Art Direction/QA</x:v>
      </x:c>
      <x:c r="O107" s="32" t="str">
        <x:v>NOT RUN</x:v>
      </x:c>
      <x:c r="P107" s="32" t="str"/>
      <x:c r="Q107" s="32" t="str"/>
      <x:c r="R107" s="32" t="str"/>
      <x:c r="S107" s="32" t="str"/>
      <x:c r="T107" s="82" t="str"/>
      <x:c r="U107" s="32" t="str"/>
      <x:c r="V107" s="84" t="n">
        <x:v>1</x:v>
      </x:c>
      <x:c r="W107" s="84" t="n">
        <x:f>IF(OR($O107="PASS",$O107="EXCEPTION APPROVED",$O107="NOT APPLICABLE"),$V107,0)</x:f>
        <x:v>0</x:v>
      </x:c>
      <x:c r="X107" s="84" t="n">
        <x:f>IF(AND($K107="Yes",OR($O107="FAIL",$O107="BLOCKED",$O107="NOT RUN",$O107="IN PROGRESS")),1,0)</x:f>
        <x:v>1</x:v>
      </x:c>
      <x:c r="Y107" s="32" t="str">
        <x:f>IF($O107="FAIL","FAIL",IF($O107="BLOCKED","BLOCKED",IF(AND($O107="EXCEPTION APPROVED",$K107="Yes"),"REVIEW",IF($O107="PASS","OK","PENDING"))))</x:f>
        <x:v>PENDING</x:v>
      </x:c>
    </x:row>
    <x:row r="108">
      <x:c r="A108" s="32" t="str">
        <x:v>H6-SCN-010</x:v>
      </x:c>
      <x:c r="B108" s="32" t="str">
        <x:v>StoreInitial y representación</x:v>
      </x:c>
      <x:c r="C108" s="32" t="str">
        <x:v>Control especializado</x:v>
      </x:c>
      <x:c r="D108" s="32" t="str">
        <x:v>La composición visual conserva la identidad objetivo negra/verde de VRM Games donde corresponde sin imponerla a proveedores o clientes.</x:v>
      </x:c>
      <x:c r="E108" s="32" t="str">
        <x:v>Comparar con Art Bible y objetivos visuales aprobados.</x:v>
      </x:c>
      <x:c r="F108" s="32" t="str">
        <x:v>Cumplimiento verificable sin desviaciones bloqueantes.</x:v>
      </x:c>
      <x:c r="G108" s="32" t="str">
        <x:v>Acta de dirección artística.</x:v>
      </x:c>
      <x:c r="H108" s="32" t="str">
        <x:v>02_Vertical_Slice_Specification.md; 17_Art_Bible.md; 19_UI_Style_Guide.md; 21_Initial_Content_Catalog.xlsx</x:v>
      </x:c>
      <x:c r="I108" s="32" t="str">
        <x:v>Art Bible v0.3–v0.5; Initial Content Catalog v0.1–v0.3; Sprint 16 StoreInitial records</x:v>
      </x:c>
      <x:c r="J108" s="32" t="str">
        <x:v>Sprint 16 / H6</x:v>
      </x:c>
      <x:c r="K108" s="32" t="str">
        <x:v>Yes</x:v>
      </x:c>
      <x:c r="L108" s="32" t="str">
        <x:v>P1</x:v>
      </x:c>
      <x:c r="M108" s="32" t="str">
        <x:v>Art/Level</x:v>
      </x:c>
      <x:c r="N108" s="32" t="str">
        <x:v>Art Direction/QA</x:v>
      </x:c>
      <x:c r="O108" s="32" t="str">
        <x:v>NOT RUN</x:v>
      </x:c>
      <x:c r="P108" s="32" t="str"/>
      <x:c r="Q108" s="32" t="str"/>
      <x:c r="R108" s="32" t="str"/>
      <x:c r="S108" s="32" t="str"/>
      <x:c r="T108" s="82" t="str"/>
      <x:c r="U108" s="32" t="str"/>
      <x:c r="V108" s="84" t="n">
        <x:v>1</x:v>
      </x:c>
      <x:c r="W108" s="84" t="n">
        <x:f>IF(OR($O108="PASS",$O108="EXCEPTION APPROVED",$O108="NOT APPLICABLE"),$V108,0)</x:f>
        <x:v>0</x:v>
      </x:c>
      <x:c r="X108" s="84" t="n">
        <x:f>IF(AND($K108="Yes",OR($O108="FAIL",$O108="BLOCKED",$O108="NOT RUN",$O108="IN PROGRESS")),1,0)</x:f>
        <x:v>1</x:v>
      </x:c>
      <x:c r="Y108" s="32" t="str">
        <x:f>IF($O108="FAIL","FAIL",IF($O108="BLOCKED","BLOCKED",IF(AND($O108="EXCEPTION APPROVED",$K108="Yes"),"REVIEW",IF($O108="PASS","OK","PENDING"))))</x:f>
        <x:v>PENDING</x:v>
      </x:c>
    </x:row>
    <x:row r="109">
      <x:c r="A109" s="32" t="str">
        <x:v>H6-SCN-011</x:v>
      </x:c>
      <x:c r="B109" s="32" t="str">
        <x:v>StoreInitial y representación</x:v>
      </x:c>
      <x:c r="C109" s="32" t="str">
        <x:v>Control especializado</x:v>
      </x:c>
      <x:c r="D109" s="32" t="str">
        <x:v>Los elementos de debug, etiquetas de Sprint o mensajes de blockout no aparecen en la candidata H6.</x:v>
      </x:c>
      <x:c r="E109" s="32" t="str">
        <x:v>Buscar textos y GameObjects de desarrollo en escena/build.</x:v>
      </x:c>
      <x:c r="F109" s="32" t="str">
        <x:v>Cumplimiento verificable sin desviaciones bloqueantes.</x:v>
      </x:c>
      <x:c r="G109" s="32" t="str">
        <x:v>Checklist debug-clean y capturas.</x:v>
      </x:c>
      <x:c r="H109" s="32" t="str">
        <x:v>02_Vertical_Slice_Specification.md; 17_Art_Bible.md; 19_UI_Style_Guide.md; 21_Initial_Content_Catalog.xlsx</x:v>
      </x:c>
      <x:c r="I109" s="32" t="str">
        <x:v>Art Bible v0.3–v0.5; Initial Content Catalog v0.1–v0.3; Sprint 16 StoreInitial records</x:v>
      </x:c>
      <x:c r="J109" s="32" t="str">
        <x:v>Sprint 16 / H6</x:v>
      </x:c>
      <x:c r="K109" s="32" t="str">
        <x:v>Yes</x:v>
      </x:c>
      <x:c r="L109" s="32" t="str">
        <x:v>P1</x:v>
      </x:c>
      <x:c r="M109" s="32" t="str">
        <x:v>Art/Level</x:v>
      </x:c>
      <x:c r="N109" s="32" t="str">
        <x:v>Art Direction/QA</x:v>
      </x:c>
      <x:c r="O109" s="32" t="str">
        <x:v>NOT RUN</x:v>
      </x:c>
      <x:c r="P109" s="32" t="str"/>
      <x:c r="Q109" s="32" t="str"/>
      <x:c r="R109" s="32" t="str"/>
      <x:c r="S109" s="32" t="str"/>
      <x:c r="T109" s="82" t="str"/>
      <x:c r="U109" s="32" t="str"/>
      <x:c r="V109" s="84" t="n">
        <x:v>1</x:v>
      </x:c>
      <x:c r="W109" s="84" t="n">
        <x:f>IF(OR($O109="PASS",$O109="EXCEPTION APPROVED",$O109="NOT APPLICABLE"),$V109,0)</x:f>
        <x:v>0</x:v>
      </x:c>
      <x:c r="X109" s="84" t="n">
        <x:f>IF(AND($K109="Yes",OR($O109="FAIL",$O109="BLOCKED",$O109="NOT RUN",$O109="IN PROGRESS")),1,0)</x:f>
        <x:v>1</x:v>
      </x:c>
      <x:c r="Y109" s="32" t="str">
        <x:f>IF($O109="FAIL","FAIL",IF($O109="BLOCKED","BLOCKED",IF(AND($O109="EXCEPTION APPROVED",$K109="Yes"),"REVIEW",IF($O109="PASS","OK","PENDING"))))</x:f>
        <x:v>PENDING</x:v>
      </x:c>
    </x:row>
    <x:row r="110">
      <x:c r="A110" s="32" t="str">
        <x:v>H6-SCN-012</x:v>
      </x:c>
      <x:c r="B110" s="32" t="str">
        <x:v>StoreInitial y representación</x:v>
      </x:c>
      <x:c r="C110" s="32" t="str">
        <x:v>Control especializado</x:v>
      </x:c>
      <x:c r="D110" s="32" t="str">
        <x:v>La escena puede ejecutarse sin herramientas editor-only ni generadores procedurales de shell necesarios para su funcionamiento.</x:v>
      </x:c>
      <x:c r="E110" s="32" t="str">
        <x:v>Clean build desde checkout y ejecución externa.</x:v>
      </x:c>
      <x:c r="F110" s="32" t="str">
        <x:v>Cumplimiento verificable sin desviaciones bloqueantes.</x:v>
      </x:c>
      <x:c r="G110" s="32" t="str">
        <x:v>Build log y acta externa.</x:v>
      </x:c>
      <x:c r="H110" s="32" t="str">
        <x:v>02_Vertical_Slice_Specification.md; 17_Art_Bible.md; 19_UI_Style_Guide.md; 21_Initial_Content_Catalog.xlsx</x:v>
      </x:c>
      <x:c r="I110" s="32" t="str">
        <x:v>Art Bible v0.3–v0.5; Initial Content Catalog v0.1–v0.3; Sprint 16 StoreInitial records</x:v>
      </x:c>
      <x:c r="J110" s="32" t="str">
        <x:v>Sprint 16 / H6</x:v>
      </x:c>
      <x:c r="K110" s="32" t="str">
        <x:v>Yes</x:v>
      </x:c>
      <x:c r="L110" s="32" t="str">
        <x:v>P1</x:v>
      </x:c>
      <x:c r="M110" s="32" t="str">
        <x:v>Art/Level</x:v>
      </x:c>
      <x:c r="N110" s="32" t="str">
        <x:v>Art Direction/QA</x:v>
      </x:c>
      <x:c r="O110" s="32" t="str">
        <x:v>NOT RUN</x:v>
      </x:c>
      <x:c r="P110" s="32" t="str"/>
      <x:c r="Q110" s="32" t="str"/>
      <x:c r="R110" s="32" t="str"/>
      <x:c r="S110" s="32" t="str"/>
      <x:c r="T110" s="82" t="str"/>
      <x:c r="U110" s="32" t="str"/>
      <x:c r="V110" s="84" t="n">
        <x:v>1</x:v>
      </x:c>
      <x:c r="W110" s="84" t="n">
        <x:f>IF(OR($O110="PASS",$O110="EXCEPTION APPROVED",$O110="NOT APPLICABLE"),$V110,0)</x:f>
        <x:v>0</x:v>
      </x:c>
      <x:c r="X110" s="84" t="n">
        <x:f>IF(AND($K110="Yes",OR($O110="FAIL",$O110="BLOCKED",$O110="NOT RUN",$O110="IN PROGRESS")),1,0)</x:f>
        <x:v>1</x:v>
      </x:c>
      <x:c r="Y110" s="32" t="str">
        <x:f>IF($O110="FAIL","FAIL",IF($O110="BLOCKED","BLOCKED",IF(AND($O110="EXCEPTION APPROVED",$K110="Yes"),"REVIEW",IF($O110="PASS","OK","PENDING"))))</x:f>
        <x:v>PENDING</x:v>
      </x:c>
    </x:row>
    <x:row r="111">
      <x:c r="A111" s="32" t="str">
        <x:v>H6-SCN-013</x:v>
      </x:c>
      <x:c r="B111" s="32" t="str">
        <x:v>StoreInitial y representación</x:v>
      </x:c>
      <x:c r="C111" s="32" t="str">
        <x:v>Control especializado</x:v>
      </x:c>
      <x:c r="D111" s="32" t="str">
        <x:v>El contenido mínimo incluido está cerrado y no se usa volumen de contenido para ocultar deuda funcional.</x:v>
      </x:c>
      <x:c r="E111" s="32" t="str">
        <x:v>Comparar catálogo, backlog y requisitos H6.</x:v>
      </x:c>
      <x:c r="F111" s="32" t="str">
        <x:v>Cumplimiento verificable sin desviaciones bloqueantes.</x:v>
      </x:c>
      <x:c r="G111" s="32" t="str">
        <x:v>Content freeze firmado.</x:v>
      </x:c>
      <x:c r="H111" s="32" t="str">
        <x:v>02_Vertical_Slice_Specification.md; 17_Art_Bible.md; 19_UI_Style_Guide.md; 21_Initial_Content_Catalog.xlsx</x:v>
      </x:c>
      <x:c r="I111" s="32" t="str">
        <x:v>Art Bible v0.3–v0.5; Initial Content Catalog v0.1–v0.3; Sprint 16 StoreInitial records</x:v>
      </x:c>
      <x:c r="J111" s="32" t="str">
        <x:v>Sprint 16 / H6</x:v>
      </x:c>
      <x:c r="K111" s="32" t="str">
        <x:v>Yes</x:v>
      </x:c>
      <x:c r="L111" s="32" t="str">
        <x:v>P1</x:v>
      </x:c>
      <x:c r="M111" s="32" t="str">
        <x:v>Art/Level</x:v>
      </x:c>
      <x:c r="N111" s="32" t="str">
        <x:v>Art Direction/QA</x:v>
      </x:c>
      <x:c r="O111" s="32" t="str">
        <x:v>NOT RUN</x:v>
      </x:c>
      <x:c r="P111" s="32" t="str"/>
      <x:c r="Q111" s="32" t="str"/>
      <x:c r="R111" s="32" t="str"/>
      <x:c r="S111" s="32" t="str"/>
      <x:c r="T111" s="82" t="str"/>
      <x:c r="U111" s="32" t="str"/>
      <x:c r="V111" s="84" t="n">
        <x:v>1</x:v>
      </x:c>
      <x:c r="W111" s="84" t="n">
        <x:f>IF(OR($O111="PASS",$O111="EXCEPTION APPROVED",$O111="NOT APPLICABLE"),$V111,0)</x:f>
        <x:v>0</x:v>
      </x:c>
      <x:c r="X111" s="84" t="n">
        <x:f>IF(AND($K111="Yes",OR($O111="FAIL",$O111="BLOCKED",$O111="NOT RUN",$O111="IN PROGRESS")),1,0)</x:f>
        <x:v>1</x:v>
      </x:c>
      <x:c r="Y111" s="32" t="str">
        <x:f>IF($O111="FAIL","FAIL",IF($O111="BLOCKED","BLOCKED",IF(AND($O111="EXCEPTION APPROVED",$K111="Yes"),"REVIEW",IF($O111="PASS","OK","PENDING"))))</x:f>
        <x:v>PENDING</x:v>
      </x:c>
    </x:row>
    <x:row r="112">
      <x:c r="A112" s="32" t="str">
        <x:v>H6-SCN-014</x:v>
      </x:c>
      <x:c r="B112" s="32" t="str">
        <x:v>StoreInitial y representación</x:v>
      </x:c>
      <x:c r="C112" s="32" t="str">
        <x:v>Control especializado</x:v>
      </x:c>
      <x:c r="D112" s="32" t="str">
        <x:v>La escena mantiene escala, silueta y densidad coherentes con el target visual aprobado.</x:v>
      </x:c>
      <x:c r="E112" s="32" t="str">
        <x:v>Revisión con referencias y métricas de escala.</x:v>
      </x:c>
      <x:c r="F112" s="32" t="str">
        <x:v>Cumplimiento verificable sin desviaciones bloqueantes.</x:v>
      </x:c>
      <x:c r="G112" s="32" t="str">
        <x:v>Comparativa visual anotada.</x:v>
      </x:c>
      <x:c r="H112" s="32" t="str">
        <x:v>02_Vertical_Slice_Specification.md; 17_Art_Bible.md; 19_UI_Style_Guide.md; 21_Initial_Content_Catalog.xlsx</x:v>
      </x:c>
      <x:c r="I112" s="32" t="str">
        <x:v>Art Bible v0.3–v0.5; Initial Content Catalog v0.1–v0.3; Sprint 16 StoreInitial records</x:v>
      </x:c>
      <x:c r="J112" s="32" t="str">
        <x:v>Sprint 16 / H6</x:v>
      </x:c>
      <x:c r="K112" s="32" t="str">
        <x:v>Yes</x:v>
      </x:c>
      <x:c r="L112" s="32" t="str">
        <x:v>P1</x:v>
      </x:c>
      <x:c r="M112" s="32" t="str">
        <x:v>Art/Level</x:v>
      </x:c>
      <x:c r="N112" s="32" t="str">
        <x:v>Art Direction/QA</x:v>
      </x:c>
      <x:c r="O112" s="32" t="str">
        <x:v>NOT RUN</x:v>
      </x:c>
      <x:c r="P112" s="32" t="str"/>
      <x:c r="Q112" s="32" t="str"/>
      <x:c r="R112" s="32" t="str"/>
      <x:c r="S112" s="32" t="str"/>
      <x:c r="T112" s="82" t="str"/>
      <x:c r="U112" s="32" t="str"/>
      <x:c r="V112" s="84" t="n">
        <x:v>1</x:v>
      </x:c>
      <x:c r="W112" s="84" t="n">
        <x:f>IF(OR($O112="PASS",$O112="EXCEPTION APPROVED",$O112="NOT APPLICABLE"),$V112,0)</x:f>
        <x:v>0</x:v>
      </x:c>
      <x:c r="X112" s="84" t="n">
        <x:f>IF(AND($K112="Yes",OR($O112="FAIL",$O112="BLOCKED",$O112="NOT RUN",$O112="IN PROGRESS")),1,0)</x:f>
        <x:v>1</x:v>
      </x:c>
      <x:c r="Y112" s="32" t="str">
        <x:f>IF($O112="FAIL","FAIL",IF($O112="BLOCKED","BLOCKED",IF(AND($O112="EXCEPTION APPROVED",$K112="Yes"),"REVIEW",IF($O112="PASS","OK","PENDING"))))</x:f>
        <x:v>PENDING</x:v>
      </x:c>
    </x:row>
    <x:row r="113">
      <x:c r="A113" s="32" t="str">
        <x:v>H6-SCN-015</x:v>
      </x:c>
      <x:c r="B113" s="32" t="str">
        <x:v>StoreInitial y representación</x:v>
      </x:c>
      <x:c r="C113" s="32" t="str">
        <x:v>Control especializado</x:v>
      </x:c>
      <x:c r="D113" s="32" t="str">
        <x:v>Todos los puntos funcionales requeridos son accesibles tras configuraciones válidas de mobiliario.</x:v>
      </x:c>
      <x:c r="E113" s="32" t="str">
        <x:v>Ejecutar matriz de colocaciones límite y rutas.</x:v>
      </x:c>
      <x:c r="F113" s="32" t="str">
        <x:v>Cumplimiento verificable sin desviaciones bloqueantes.</x:v>
      </x:c>
      <x:c r="G113" s="32" t="str">
        <x:v>Resultados de acceso y defectos asociados.</x:v>
      </x:c>
      <x:c r="H113" s="32" t="str">
        <x:v>02_Vertical_Slice_Specification.md; 17_Art_Bible.md; 19_UI_Style_Guide.md; 21_Initial_Content_Catalog.xlsx</x:v>
      </x:c>
      <x:c r="I113" s="32" t="str">
        <x:v>Art Bible v0.3–v0.5; Initial Content Catalog v0.1–v0.3; Sprint 16 StoreInitial records</x:v>
      </x:c>
      <x:c r="J113" s="32" t="str">
        <x:v>Sprint 16 / H6</x:v>
      </x:c>
      <x:c r="K113" s="32" t="str">
        <x:v>Yes</x:v>
      </x:c>
      <x:c r="L113" s="32" t="str">
        <x:v>P1</x:v>
      </x:c>
      <x:c r="M113" s="32" t="str">
        <x:v>Art/Level</x:v>
      </x:c>
      <x:c r="N113" s="32" t="str">
        <x:v>Art Direction/QA</x:v>
      </x:c>
      <x:c r="O113" s="32" t="str">
        <x:v>NOT RUN</x:v>
      </x:c>
      <x:c r="P113" s="32" t="str"/>
      <x:c r="Q113" s="32" t="str"/>
      <x:c r="R113" s="32" t="str"/>
      <x:c r="S113" s="32" t="str"/>
      <x:c r="T113" s="82" t="str"/>
      <x:c r="U113" s="32" t="str"/>
      <x:c r="V113" s="84" t="n">
        <x:v>1</x:v>
      </x:c>
      <x:c r="W113" s="84" t="n">
        <x:f>IF(OR($O113="PASS",$O113="EXCEPTION APPROVED",$O113="NOT APPLICABLE"),$V113,0)</x:f>
        <x:v>0</x:v>
      </x:c>
      <x:c r="X113" s="84" t="n">
        <x:f>IF(AND($K113="Yes",OR($O113="FAIL",$O113="BLOCKED",$O113="NOT RUN",$O113="IN PROGRESS")),1,0)</x:f>
        <x:v>1</x:v>
      </x:c>
      <x:c r="Y113" s="32" t="str">
        <x:f>IF($O113="FAIL","FAIL",IF($O113="BLOCKED","BLOCKED",IF(AND($O113="EXCEPTION APPROVED",$K113="Yes"),"REVIEW",IF($O113="PASS","OK","PENDING"))))</x:f>
        <x:v>PENDING</x:v>
      </x:c>
    </x:row>
    <x:row r="114">
      <x:c r="A114" s="32" t="str">
        <x:v>H6-SCN-016</x:v>
      </x:c>
      <x:c r="B114" s="32" t="str">
        <x:v>StoreInitial y representación</x:v>
      </x:c>
      <x:c r="C114" s="32" t="str">
        <x:v>Control especializado</x:v>
      </x:c>
      <x:c r="D114" s="32" t="str">
        <x:v>Las oclusiones de cámara no impiden acciones críticas y existen mitigaciones aprobadas.</x:v>
      </x:c>
      <x:c r="E114" s="32" t="str">
        <x:v>Probar órbita/zoom en zonas densas y cerca de paredes.</x:v>
      </x:c>
      <x:c r="F114" s="32" t="str">
        <x:v>Cumplimiento verificable sin desviaciones bloqueantes.</x:v>
      </x:c>
      <x:c r="G114" s="32" t="str">
        <x:v>Capturas y registro de UX.</x:v>
      </x:c>
      <x:c r="H114" s="32" t="str">
        <x:v>02_Vertical_Slice_Specification.md; 17_Art_Bible.md; 19_UI_Style_Guide.md; 21_Initial_Content_Catalog.xlsx</x:v>
      </x:c>
      <x:c r="I114" s="32" t="str">
        <x:v>Art Bible v0.3–v0.5; Initial Content Catalog v0.1–v0.3; Sprint 16 StoreInitial records</x:v>
      </x:c>
      <x:c r="J114" s="32" t="str">
        <x:v>Sprint 16 / H6</x:v>
      </x:c>
      <x:c r="K114" s="32" t="str">
        <x:v>Yes</x:v>
      </x:c>
      <x:c r="L114" s="32" t="str">
        <x:v>P1</x:v>
      </x:c>
      <x:c r="M114" s="32" t="str">
        <x:v>Art/Level</x:v>
      </x:c>
      <x:c r="N114" s="32" t="str">
        <x:v>Art Direction/QA</x:v>
      </x:c>
      <x:c r="O114" s="32" t="str">
        <x:v>NOT RUN</x:v>
      </x:c>
      <x:c r="P114" s="32" t="str"/>
      <x:c r="Q114" s="32" t="str"/>
      <x:c r="R114" s="32" t="str"/>
      <x:c r="S114" s="32" t="str"/>
      <x:c r="T114" s="82" t="str"/>
      <x:c r="U114" s="32" t="str"/>
      <x:c r="V114" s="84" t="n">
        <x:v>1</x:v>
      </x:c>
      <x:c r="W114" s="84" t="n">
        <x:f>IF(OR($O114="PASS",$O114="EXCEPTION APPROVED",$O114="NOT APPLICABLE"),$V114,0)</x:f>
        <x:v>0</x:v>
      </x:c>
      <x:c r="X114" s="84" t="n">
        <x:f>IF(AND($K114="Yes",OR($O114="FAIL",$O114="BLOCKED",$O114="NOT RUN",$O114="IN PROGRESS")),1,0)</x:f>
        <x:v>1</x:v>
      </x:c>
      <x:c r="Y114" s="32" t="str">
        <x:f>IF($O114="FAIL","FAIL",IF($O114="BLOCKED","BLOCKED",IF(AND($O114="EXCEPTION APPROVED",$K114="Yes"),"REVIEW",IF($O114="PASS","OK","PENDING"))))</x:f>
        <x:v>PENDING</x:v>
      </x:c>
    </x:row>
    <x:row r="115">
      <x:c r="A115" s="32" t="str">
        <x:v>H6-UXA-001</x:v>
      </x:c>
      <x:c r="B115" s="32" t="str">
        <x:v>UI, input y accesibilidad</x:v>
      </x:c>
      <x:c r="C115" s="32" t="str">
        <x:v>Control especializado</x:v>
      </x:c>
      <x:c r="D115" s="32" t="str">
        <x:v>Todas las pantallas del Golden Path pueden operarse con ratón y teclado sin propagación de input al mundo.</x:v>
      </x:c>
      <x:c r="E115" s="32" t="str">
        <x:v>Ejecutar flujo completo, incluyendo modales, listas, sliders y confirmaciones.</x:v>
      </x:c>
      <x:c r="F115" s="32" t="str">
        <x:v>Cumplimiento verificable sin desviaciones bloqueantes.</x:v>
      </x:c>
      <x:c r="G115" s="32" t="str">
        <x:v>Vídeo de recorrido y matriz de input.</x:v>
      </x:c>
      <x:c r="H115" s="32" t="str">
        <x:v>05_UX_Flow.md; 19_UI_Style_Guide.md; 29_Accessibility_and_Inclusive_Design_Plan.md</x:v>
      </x:c>
      <x:c r="I115" s="32" t="str">
        <x:v>UX Flow v0.3–v0.5; UI Style Guide v0.3–v0.5; ADR/Sprint 15 accessibility preferences</x:v>
      </x:c>
      <x:c r="J115" s="32" t="str">
        <x:v>Sprint 17 / H6</x:v>
      </x:c>
      <x:c r="K115" s="32" t="str">
        <x:v>Yes</x:v>
      </x:c>
      <x:c r="L115" s="32" t="str">
        <x:v>P0</x:v>
      </x:c>
      <x:c r="M115" s="32" t="str">
        <x:v>UX/Engineering</x:v>
      </x:c>
      <x:c r="N115" s="32" t="str">
        <x:v>Accessibility/QA</x:v>
      </x:c>
      <x:c r="O115" s="32" t="str">
        <x:v>NOT RUN</x:v>
      </x:c>
      <x:c r="P115" s="32" t="str"/>
      <x:c r="Q115" s="32" t="str"/>
      <x:c r="R115" s="32" t="str"/>
      <x:c r="S115" s="32" t="str"/>
      <x:c r="T115" s="82" t="str"/>
      <x:c r="U115" s="32" t="str"/>
      <x:c r="V115" s="84" t="n">
        <x:v>1</x:v>
      </x:c>
      <x:c r="W115" s="84" t="n">
        <x:f>IF(OR($O115="PASS",$O115="EXCEPTION APPROVED",$O115="NOT APPLICABLE"),$V115,0)</x:f>
        <x:v>0</x:v>
      </x:c>
      <x:c r="X115" s="84" t="n">
        <x:f>IF(AND($K115="Yes",OR($O115="FAIL",$O115="BLOCKED",$O115="NOT RUN",$O115="IN PROGRESS")),1,0)</x:f>
        <x:v>1</x:v>
      </x:c>
      <x:c r="Y115" s="32" t="str">
        <x:f>IF($O115="FAIL","FAIL",IF($O115="BLOCKED","BLOCKED",IF(AND($O115="EXCEPTION APPROVED",$K115="Yes"),"REVIEW",IF($O115="PASS","OK","PENDING"))))</x:f>
        <x:v>PENDING</x:v>
      </x:c>
    </x:row>
    <x:row r="116">
      <x:c r="A116" s="32" t="str">
        <x:v>H6-UXA-002</x:v>
      </x:c>
      <x:c r="B116" s="32" t="str">
        <x:v>UI, input y accesibilidad</x:v>
      </x:c>
      <x:c r="C116" s="32" t="str">
        <x:v>Control especializado</x:v>
      </x:c>
      <x:c r="D116" s="32" t="str">
        <x:v>El foco visual es visible, estable y sigue un orden lógico en las superficies que admiten teclado/mando.</x:v>
      </x:c>
      <x:c r="E116" s="32" t="str">
        <x:v>Recorrer controles sin ratón y registrar saltos/atrapamientos.</x:v>
      </x:c>
      <x:c r="F116" s="32" t="str">
        <x:v>Cumplimiento verificable sin desviaciones bloqueantes.</x:v>
      </x:c>
      <x:c r="G116" s="32" t="str">
        <x:v>Checklist de foco.</x:v>
      </x:c>
      <x:c r="H116" s="32" t="str">
        <x:v>05_UX_Flow.md; 19_UI_Style_Guide.md; 29_Accessibility_and_Inclusive_Design_Plan.md</x:v>
      </x:c>
      <x:c r="I116" s="32" t="str">
        <x:v>UX Flow v0.3–v0.5; UI Style Guide v0.3–v0.5; ADR/Sprint 15 accessibility preferences</x:v>
      </x:c>
      <x:c r="J116" s="32" t="str">
        <x:v>Sprint 17 / H6</x:v>
      </x:c>
      <x:c r="K116" s="32" t="str">
        <x:v>Yes</x:v>
      </x:c>
      <x:c r="L116" s="32" t="str">
        <x:v>P1</x:v>
      </x:c>
      <x:c r="M116" s="32" t="str">
        <x:v>UX/Engineering</x:v>
      </x:c>
      <x:c r="N116" s="32" t="str">
        <x:v>Accessibility/QA</x:v>
      </x:c>
      <x:c r="O116" s="32" t="str">
        <x:v>NOT RUN</x:v>
      </x:c>
      <x:c r="P116" s="32" t="str"/>
      <x:c r="Q116" s="32" t="str"/>
      <x:c r="R116" s="32" t="str"/>
      <x:c r="S116" s="32" t="str"/>
      <x:c r="T116" s="82" t="str"/>
      <x:c r="U116" s="32" t="str"/>
      <x:c r="V116" s="84" t="n">
        <x:v>1</x:v>
      </x:c>
      <x:c r="W116" s="84" t="n">
        <x:f>IF(OR($O116="PASS",$O116="EXCEPTION APPROVED",$O116="NOT APPLICABLE"),$V116,0)</x:f>
        <x:v>0</x:v>
      </x:c>
      <x:c r="X116" s="84" t="n">
        <x:f>IF(AND($K116="Yes",OR($O116="FAIL",$O116="BLOCKED",$O116="NOT RUN",$O116="IN PROGRESS")),1,0)</x:f>
        <x:v>1</x:v>
      </x:c>
      <x:c r="Y116" s="32" t="str">
        <x:f>IF($O116="FAIL","FAIL",IF($O116="BLOCKED","BLOCKED",IF(AND($O116="EXCEPTION APPROVED",$K116="Yes"),"REVIEW",IF($O116="PASS","OK","PENDING"))))</x:f>
        <x:v>PENDING</x:v>
      </x:c>
    </x:row>
    <x:row r="117">
      <x:c r="A117" s="32" t="str">
        <x:v>H6-UXA-003</x:v>
      </x:c>
      <x:c r="B117" s="32" t="str">
        <x:v>UI, input y accesibilidad</x:v>
      </x:c>
      <x:c r="C117" s="32" t="str">
        <x:v>Control especializado</x:v>
      </x:c>
      <x:c r="D117" s="32" t="str">
        <x:v>Escape/Cancelar respeta la jerarquía de cierre y nunca abandona o modifica estado de forma ambigua.</x:v>
      </x:c>
      <x:c r="E117" s="32" t="str">
        <x:v>Probar cancelación en cada modal y modo de colocación.</x:v>
      </x:c>
      <x:c r="F117" s="32" t="str">
        <x:v>Cumplimiento verificable sin desviaciones bloqueantes.</x:v>
      </x:c>
      <x:c r="G117" s="32" t="str">
        <x:v>Matriz de cancelación.</x:v>
      </x:c>
      <x:c r="H117" s="32" t="str">
        <x:v>05_UX_Flow.md; 19_UI_Style_Guide.md; 29_Accessibility_and_Inclusive_Design_Plan.md</x:v>
      </x:c>
      <x:c r="I117" s="32" t="str">
        <x:v>UX Flow v0.3–v0.5; UI Style Guide v0.3–v0.5; ADR/Sprint 15 accessibility preferences</x:v>
      </x:c>
      <x:c r="J117" s="32" t="str">
        <x:v>Sprint 17 / H6</x:v>
      </x:c>
      <x:c r="K117" s="32" t="str">
        <x:v>Yes</x:v>
      </x:c>
      <x:c r="L117" s="32" t="str">
        <x:v>P1</x:v>
      </x:c>
      <x:c r="M117" s="32" t="str">
        <x:v>UX/Engineering</x:v>
      </x:c>
      <x:c r="N117" s="32" t="str">
        <x:v>Accessibility/QA</x:v>
      </x:c>
      <x:c r="O117" s="32" t="str">
        <x:v>NOT RUN</x:v>
      </x:c>
      <x:c r="P117" s="32" t="str"/>
      <x:c r="Q117" s="32" t="str"/>
      <x:c r="R117" s="32" t="str"/>
      <x:c r="S117" s="32" t="str"/>
      <x:c r="T117" s="82" t="str"/>
      <x:c r="U117" s="32" t="str"/>
      <x:c r="V117" s="84" t="n">
        <x:v>1</x:v>
      </x:c>
      <x:c r="W117" s="84" t="n">
        <x:f>IF(OR($O117="PASS",$O117="EXCEPTION APPROVED",$O117="NOT APPLICABLE"),$V117,0)</x:f>
        <x:v>0</x:v>
      </x:c>
      <x:c r="X117" s="84" t="n">
        <x:f>IF(AND($K117="Yes",OR($O117="FAIL",$O117="BLOCKED",$O117="NOT RUN",$O117="IN PROGRESS")),1,0)</x:f>
        <x:v>1</x:v>
      </x:c>
      <x:c r="Y117" s="32" t="str">
        <x:f>IF($O117="FAIL","FAIL",IF($O117="BLOCKED","BLOCKED",IF(AND($O117="EXCEPTION APPROVED",$K117="Yes"),"REVIEW",IF($O117="PASS","OK","PENDING"))))</x:f>
        <x:v>PENDING</x:v>
      </x:c>
    </x:row>
    <x:row r="118">
      <x:c r="A118" s="32" t="str">
        <x:v>H6-UXA-004</x:v>
      </x:c>
      <x:c r="B118" s="32" t="str">
        <x:v>UI, input y accesibilidad</x:v>
      </x:c>
      <x:c r="C118" s="32" t="str">
        <x:v>Control especializado</x:v>
      </x:c>
      <x:c r="D118" s="32" t="str">
        <x:v>La escala de UI entre 80–150 % funciona en las resoluciones H6 sin ocultar acciones críticas.</x:v>
      </x:c>
      <x:c r="E118" s="32" t="str">
        <x:v>Ejecutar pantallas a mínimo, 100 % y máximo.</x:v>
      </x:c>
      <x:c r="F118" s="32" t="str">
        <x:v>Cumplimiento verificable sin desviaciones bloqueantes.</x:v>
      </x:c>
      <x:c r="G118" s="32" t="str">
        <x:v>Capturas por resolución y escala.</x:v>
      </x:c>
      <x:c r="H118" s="32" t="str">
        <x:v>05_UX_Flow.md; 19_UI_Style_Guide.md; 29_Accessibility_and_Inclusive_Design_Plan.md</x:v>
      </x:c>
      <x:c r="I118" s="32" t="str">
        <x:v>UX Flow v0.3–v0.5; UI Style Guide v0.3–v0.5; ADR/Sprint 15 accessibility preferences</x:v>
      </x:c>
      <x:c r="J118" s="32" t="str">
        <x:v>Sprint 17 / H6</x:v>
      </x:c>
      <x:c r="K118" s="32" t="str">
        <x:v>Yes</x:v>
      </x:c>
      <x:c r="L118" s="32" t="str">
        <x:v>P1</x:v>
      </x:c>
      <x:c r="M118" s="32" t="str">
        <x:v>UX/Engineering</x:v>
      </x:c>
      <x:c r="N118" s="32" t="str">
        <x:v>Accessibility/QA</x:v>
      </x:c>
      <x:c r="O118" s="32" t="str">
        <x:v>NOT RUN</x:v>
      </x:c>
      <x:c r="P118" s="32" t="str"/>
      <x:c r="Q118" s="32" t="str"/>
      <x:c r="R118" s="32" t="str"/>
      <x:c r="S118" s="32" t="str"/>
      <x:c r="T118" s="82" t="str"/>
      <x:c r="U118" s="32" t="str"/>
      <x:c r="V118" s="84" t="n">
        <x:v>1</x:v>
      </x:c>
      <x:c r="W118" s="84" t="n">
        <x:f>IF(OR($O118="PASS",$O118="EXCEPTION APPROVED",$O118="NOT APPLICABLE"),$V118,0)</x:f>
        <x:v>0</x:v>
      </x:c>
      <x:c r="X118" s="84" t="n">
        <x:f>IF(AND($K118="Yes",OR($O118="FAIL",$O118="BLOCKED",$O118="NOT RUN",$O118="IN PROGRESS")),1,0)</x:f>
        <x:v>1</x:v>
      </x:c>
      <x:c r="Y118" s="32" t="str">
        <x:f>IF($O118="FAIL","FAIL",IF($O118="BLOCKED","BLOCKED",IF(AND($O118="EXCEPTION APPROVED",$K118="Yes"),"REVIEW",IF($O118="PASS","OK","PENDING"))))</x:f>
        <x:v>PENDING</x:v>
      </x:c>
    </x:row>
    <x:row r="119">
      <x:c r="A119" s="32" t="str">
        <x:v>H6-UXA-005</x:v>
      </x:c>
      <x:c r="B119" s="32" t="str">
        <x:v>UI, input y accesibilidad</x:v>
      </x:c>
      <x:c r="C119" s="32" t="str">
        <x:v>Control especializado</x:v>
      </x:c>
      <x:c r="D119" s="32" t="str">
        <x:v>La escala de texto entre 80–150 % no produce desbordes bloqueantes en ES/EN.</x:v>
      </x:c>
      <x:c r="E119" s="32" t="str">
        <x:v>Prueba matricial por idioma, escala y resolución.</x:v>
      </x:c>
      <x:c r="F119" s="32" t="str">
        <x:v>Cumplimiento verificable sin desviaciones bloqueantes.</x:v>
      </x:c>
      <x:c r="G119" s="32" t="str">
        <x:v>Matriz visual.</x:v>
      </x:c>
      <x:c r="H119" s="32" t="str">
        <x:v>05_UX_Flow.md; 19_UI_Style_Guide.md; 29_Accessibility_and_Inclusive_Design_Plan.md</x:v>
      </x:c>
      <x:c r="I119" s="32" t="str">
        <x:v>UX Flow v0.3–v0.5; UI Style Guide v0.3–v0.5; ADR/Sprint 15 accessibility preferences</x:v>
      </x:c>
      <x:c r="J119" s="32" t="str">
        <x:v>Sprint 17 / H6</x:v>
      </x:c>
      <x:c r="K119" s="32" t="str">
        <x:v>Yes</x:v>
      </x:c>
      <x:c r="L119" s="32" t="str">
        <x:v>P1</x:v>
      </x:c>
      <x:c r="M119" s="32" t="str">
        <x:v>UX/Engineering</x:v>
      </x:c>
      <x:c r="N119" s="32" t="str">
        <x:v>Accessibility/QA</x:v>
      </x:c>
      <x:c r="O119" s="32" t="str">
        <x:v>NOT RUN</x:v>
      </x:c>
      <x:c r="P119" s="32" t="str"/>
      <x:c r="Q119" s="32" t="str"/>
      <x:c r="R119" s="32" t="str"/>
      <x:c r="S119" s="32" t="str"/>
      <x:c r="T119" s="82" t="str"/>
      <x:c r="U119" s="32" t="str"/>
      <x:c r="V119" s="84" t="n">
        <x:v>1</x:v>
      </x:c>
      <x:c r="W119" s="84" t="n">
        <x:f>IF(OR($O119="PASS",$O119="EXCEPTION APPROVED",$O119="NOT APPLICABLE"),$V119,0)</x:f>
        <x:v>0</x:v>
      </x:c>
      <x:c r="X119" s="84" t="n">
        <x:f>IF(AND($K119="Yes",OR($O119="FAIL",$O119="BLOCKED",$O119="NOT RUN",$O119="IN PROGRESS")),1,0)</x:f>
        <x:v>1</x:v>
      </x:c>
      <x:c r="Y119" s="32" t="str">
        <x:f>IF($O119="FAIL","FAIL",IF($O119="BLOCKED","BLOCKED",IF(AND($O119="EXCEPTION APPROVED",$K119="Yes"),"REVIEW",IF($O119="PASS","OK","PENDING"))))</x:f>
        <x:v>PENDING</x:v>
      </x:c>
    </x:row>
    <x:row r="120">
      <x:c r="A120" s="32" t="str">
        <x:v>H6-UXA-006</x:v>
      </x:c>
      <x:c r="B120" s="32" t="str">
        <x:v>UI, input y accesibilidad</x:v>
      </x:c>
      <x:c r="C120" s="32" t="str">
        <x:v>Control especializado</x:v>
      </x:c>
      <x:c r="D120" s="32" t="str">
        <x:v>La preferencia de reducción de movimiento afecta a todas las animaciones/VFX definidos como reducibles.</x:v>
      </x:c>
      <x:c r="E120" s="32" t="str">
        <x:v>Comparar ON/OFF durante Golden Path y transiciones.</x:v>
      </x:c>
      <x:c r="F120" s="32" t="str">
        <x:v>Cumplimiento verificable sin desviaciones bloqueantes.</x:v>
      </x:c>
      <x:c r="G120" s="32" t="str">
        <x:v>Vídeo comparativo y lista de consumidores.</x:v>
      </x:c>
      <x:c r="H120" s="32" t="str">
        <x:v>05_UX_Flow.md; 19_UI_Style_Guide.md; 29_Accessibility_and_Inclusive_Design_Plan.md</x:v>
      </x:c>
      <x:c r="I120" s="32" t="str">
        <x:v>UX Flow v0.3–v0.5; UI Style Guide v0.3–v0.5; ADR/Sprint 15 accessibility preferences</x:v>
      </x:c>
      <x:c r="J120" s="32" t="str">
        <x:v>Sprint 17 / H6</x:v>
      </x:c>
      <x:c r="K120" s="32" t="str">
        <x:v>Yes</x:v>
      </x:c>
      <x:c r="L120" s="32" t="str">
        <x:v>P1</x:v>
      </x:c>
      <x:c r="M120" s="32" t="str">
        <x:v>UX/Engineering</x:v>
      </x:c>
      <x:c r="N120" s="32" t="str">
        <x:v>Accessibility/QA</x:v>
      </x:c>
      <x:c r="O120" s="32" t="str">
        <x:v>NOT RUN</x:v>
      </x:c>
      <x:c r="P120" s="32" t="str"/>
      <x:c r="Q120" s="32" t="str"/>
      <x:c r="R120" s="32" t="str"/>
      <x:c r="S120" s="32" t="str"/>
      <x:c r="T120" s="82" t="str"/>
      <x:c r="U120" s="32" t="str"/>
      <x:c r="V120" s="84" t="n">
        <x:v>1</x:v>
      </x:c>
      <x:c r="W120" s="84" t="n">
        <x:f>IF(OR($O120="PASS",$O120="EXCEPTION APPROVED",$O120="NOT APPLICABLE"),$V120,0)</x:f>
        <x:v>0</x:v>
      </x:c>
      <x:c r="X120" s="84" t="n">
        <x:f>IF(AND($K120="Yes",OR($O120="FAIL",$O120="BLOCKED",$O120="NOT RUN",$O120="IN PROGRESS")),1,0)</x:f>
        <x:v>1</x:v>
      </x:c>
      <x:c r="Y120" s="32" t="str">
        <x:f>IF($O120="FAIL","FAIL",IF($O120="BLOCKED","BLOCKED",IF(AND($O120="EXCEPTION APPROVED",$K120="Yes"),"REVIEW",IF($O120="PASS","OK","PENDING"))))</x:f>
        <x:v>PENDING</x:v>
      </x:c>
    </x:row>
    <x:row r="121">
      <x:c r="A121" s="32" t="str">
        <x:v>H6-UXA-007</x:v>
      </x:c>
      <x:c r="B121" s="32" t="str">
        <x:v>UI, input y accesibilidad</x:v>
      </x:c>
      <x:c r="C121" s="32" t="str">
        <x:v>Control especializado</x:v>
      </x:c>
      <x:c r="D121" s="32" t="str">
        <x:v>Los controles y señales críticas no dependen únicamente del color.</x:v>
      </x:c>
      <x:c r="E121" s="32" t="str">
        <x:v>Revisión de iconos, texto, forma y estados con simulación de color.</x:v>
      </x:c>
      <x:c r="F121" s="32" t="str">
        <x:v>Cumplimiento verificable sin desviaciones bloqueantes.</x:v>
      </x:c>
      <x:c r="G121" s="32" t="str">
        <x:v>Checklist de redundancia visual.</x:v>
      </x:c>
      <x:c r="H121" s="32" t="str">
        <x:v>05_UX_Flow.md; 19_UI_Style_Guide.md; 29_Accessibility_and_Inclusive_Design_Plan.md</x:v>
      </x:c>
      <x:c r="I121" s="32" t="str">
        <x:v>UX Flow v0.3–v0.5; UI Style Guide v0.3–v0.5; ADR/Sprint 15 accessibility preferences</x:v>
      </x:c>
      <x:c r="J121" s="32" t="str">
        <x:v>Sprint 17 / H6</x:v>
      </x:c>
      <x:c r="K121" s="32" t="str">
        <x:v>Yes</x:v>
      </x:c>
      <x:c r="L121" s="32" t="str">
        <x:v>P1</x:v>
      </x:c>
      <x:c r="M121" s="32" t="str">
        <x:v>UX/Engineering</x:v>
      </x:c>
      <x:c r="N121" s="32" t="str">
        <x:v>Accessibility/QA</x:v>
      </x:c>
      <x:c r="O121" s="32" t="str">
        <x:v>NOT RUN</x:v>
      </x:c>
      <x:c r="P121" s="32" t="str"/>
      <x:c r="Q121" s="32" t="str"/>
      <x:c r="R121" s="32" t="str"/>
      <x:c r="S121" s="32" t="str"/>
      <x:c r="T121" s="82" t="str"/>
      <x:c r="U121" s="32" t="str"/>
      <x:c r="V121" s="84" t="n">
        <x:v>1</x:v>
      </x:c>
      <x:c r="W121" s="84" t="n">
        <x:f>IF(OR($O121="PASS",$O121="EXCEPTION APPROVED",$O121="NOT APPLICABLE"),$V121,0)</x:f>
        <x:v>0</x:v>
      </x:c>
      <x:c r="X121" s="84" t="n">
        <x:f>IF(AND($K121="Yes",OR($O121="FAIL",$O121="BLOCKED",$O121="NOT RUN",$O121="IN PROGRESS")),1,0)</x:f>
        <x:v>1</x:v>
      </x:c>
      <x:c r="Y121" s="32" t="str">
        <x:f>IF($O121="FAIL","FAIL",IF($O121="BLOCKED","BLOCKED",IF(AND($O121="EXCEPTION APPROVED",$K121="Yes"),"REVIEW",IF($O121="PASS","OK","PENDING"))))</x:f>
        <x:v>PENDING</x:v>
      </x:c>
    </x:row>
    <x:row r="122">
      <x:c r="A122" s="32" t="str">
        <x:v>H6-UXA-008</x:v>
      </x:c>
      <x:c r="B122" s="32" t="str">
        <x:v>UI, input y accesibilidad</x:v>
      </x:c>
      <x:c r="C122" s="32" t="str">
        <x:v>Control especializado</x:v>
      </x:c>
      <x:c r="D122" s="32" t="str">
        <x:v>Errores, rechazos y estados inválidos explican causa y siguiente acción posible.</x:v>
      </x:c>
      <x:c r="E122" s="32" t="str">
        <x:v>Forzar casos negativos en pedidos, colocación, precio, checkout y guardado.</x:v>
      </x:c>
      <x:c r="F122" s="32" t="str">
        <x:v>Cumplimiento verificable sin desviaciones bloqueantes.</x:v>
      </x:c>
      <x:c r="G122" s="32" t="str">
        <x:v>Capturas de mensajes y resultados.</x:v>
      </x:c>
      <x:c r="H122" s="32" t="str">
        <x:v>05_UX_Flow.md; 19_UI_Style_Guide.md; 29_Accessibility_and_Inclusive_Design_Plan.md</x:v>
      </x:c>
      <x:c r="I122" s="32" t="str">
        <x:v>UX Flow v0.3–v0.5; UI Style Guide v0.3–v0.5; ADR/Sprint 15 accessibility preferences</x:v>
      </x:c>
      <x:c r="J122" s="32" t="str">
        <x:v>Sprint 17 / H6</x:v>
      </x:c>
      <x:c r="K122" s="32" t="str">
        <x:v>Yes</x:v>
      </x:c>
      <x:c r="L122" s="32" t="str">
        <x:v>P1</x:v>
      </x:c>
      <x:c r="M122" s="32" t="str">
        <x:v>UX/Engineering</x:v>
      </x:c>
      <x:c r="N122" s="32" t="str">
        <x:v>Accessibility/QA</x:v>
      </x:c>
      <x:c r="O122" s="32" t="str">
        <x:v>NOT RUN</x:v>
      </x:c>
      <x:c r="P122" s="32" t="str"/>
      <x:c r="Q122" s="32" t="str"/>
      <x:c r="R122" s="32" t="str"/>
      <x:c r="S122" s="32" t="str"/>
      <x:c r="T122" s="82" t="str"/>
      <x:c r="U122" s="32" t="str"/>
      <x:c r="V122" s="84" t="n">
        <x:v>1</x:v>
      </x:c>
      <x:c r="W122" s="84" t="n">
        <x:f>IF(OR($O122="PASS",$O122="EXCEPTION APPROVED",$O122="NOT APPLICABLE"),$V122,0)</x:f>
        <x:v>0</x:v>
      </x:c>
      <x:c r="X122" s="84" t="n">
        <x:f>IF(AND($K122="Yes",OR($O122="FAIL",$O122="BLOCKED",$O122="NOT RUN",$O122="IN PROGRESS")),1,0)</x:f>
        <x:v>1</x:v>
      </x:c>
      <x:c r="Y122" s="32" t="str">
        <x:f>IF($O122="FAIL","FAIL",IF($O122="BLOCKED","BLOCKED",IF(AND($O122="EXCEPTION APPROVED",$K122="Yes"),"REVIEW",IF($O122="PASS","OK","PENDING"))))</x:f>
        <x:v>PENDING</x:v>
      </x:c>
    </x:row>
    <x:row r="123">
      <x:c r="A123" s="32" t="str">
        <x:v>H6-UXA-009</x:v>
      </x:c>
      <x:c r="B123" s="32" t="str">
        <x:v>UI, input y accesibilidad</x:v>
      </x:c>
      <x:c r="C123" s="32" t="str">
        <x:v>Control especializado</x:v>
      </x:c>
      <x:c r="D123" s="32" t="str">
        <x:v>Las confirmaciones destructivas configurables se aplican de forma consistente.</x:v>
      </x:c>
      <x:c r="E123" s="32" t="str">
        <x:v>Probar borrar slot, salir con cambios y acciones destructivas incluidas.</x:v>
      </x:c>
      <x:c r="F123" s="32" t="str">
        <x:v>Cumplimiento verificable sin desviaciones bloqueantes.</x:v>
      </x:c>
      <x:c r="G123" s="32" t="str">
        <x:v>Registro de pruebas.</x:v>
      </x:c>
      <x:c r="H123" s="32" t="str">
        <x:v>05_UX_Flow.md; 19_UI_Style_Guide.md; 29_Accessibility_and_Inclusive_Design_Plan.md</x:v>
      </x:c>
      <x:c r="I123" s="32" t="str">
        <x:v>UX Flow v0.3–v0.5; UI Style Guide v0.3–v0.5; ADR/Sprint 15 accessibility preferences</x:v>
      </x:c>
      <x:c r="J123" s="32" t="str">
        <x:v>Sprint 17 / H6</x:v>
      </x:c>
      <x:c r="K123" s="32" t="str">
        <x:v>Yes</x:v>
      </x:c>
      <x:c r="L123" s="32" t="str">
        <x:v>P1</x:v>
      </x:c>
      <x:c r="M123" s="32" t="str">
        <x:v>UX/Engineering</x:v>
      </x:c>
      <x:c r="N123" s="32" t="str">
        <x:v>Accessibility/QA</x:v>
      </x:c>
      <x:c r="O123" s="32" t="str">
        <x:v>NOT RUN</x:v>
      </x:c>
      <x:c r="P123" s="32" t="str"/>
      <x:c r="Q123" s="32" t="str"/>
      <x:c r="R123" s="32" t="str"/>
      <x:c r="S123" s="32" t="str"/>
      <x:c r="T123" s="82" t="str"/>
      <x:c r="U123" s="32" t="str"/>
      <x:c r="V123" s="84" t="n">
        <x:v>1</x:v>
      </x:c>
      <x:c r="W123" s="84" t="n">
        <x:f>IF(OR($O123="PASS",$O123="EXCEPTION APPROVED",$O123="NOT APPLICABLE"),$V123,0)</x:f>
        <x:v>0</x:v>
      </x:c>
      <x:c r="X123" s="84" t="n">
        <x:f>IF(AND($K123="Yes",OR($O123="FAIL",$O123="BLOCKED",$O123="NOT RUN",$O123="IN PROGRESS")),1,0)</x:f>
        <x:v>1</x:v>
      </x:c>
      <x:c r="Y123" s="32" t="str">
        <x:f>IF($O123="FAIL","FAIL",IF($O123="BLOCKED","BLOCKED",IF(AND($O123="EXCEPTION APPROVED",$K123="Yes"),"REVIEW",IF($O123="PASS","OK","PENDING"))))</x:f>
        <x:v>PENDING</x:v>
      </x:c>
    </x:row>
    <x:row r="124">
      <x:c r="A124" s="32" t="str">
        <x:v>H6-UXA-010</x:v>
      </x:c>
      <x:c r="B124" s="32" t="str">
        <x:v>UI, input y accesibilidad</x:v>
      </x:c>
      <x:c r="C124" s="32" t="str">
        <x:v>Control especializado</x:v>
      </x:c>
      <x:c r="D124" s="32" t="str">
        <x:v>El tutorial o guía permite completar el Golden Path sin depender de texto de debug.</x:v>
      </x:c>
      <x:c r="E124" s="32" t="str">
        <x:v>Sesión con usuario no familiarizado y registro de bloqueos.</x:v>
      </x:c>
      <x:c r="F124" s="32" t="str">
        <x:v>Cumplimiento verificable sin desviaciones bloqueantes.</x:v>
      </x:c>
      <x:c r="G124" s="32" t="str">
        <x:v>Acta de playtest y lista de fricciones.</x:v>
      </x:c>
      <x:c r="H124" s="32" t="str">
        <x:v>05_UX_Flow.md; 19_UI_Style_Guide.md; 29_Accessibility_and_Inclusive_Design_Plan.md</x:v>
      </x:c>
      <x:c r="I124" s="32" t="str">
        <x:v>UX Flow v0.3–v0.5; UI Style Guide v0.3–v0.5; ADR/Sprint 15 accessibility preferences</x:v>
      </x:c>
      <x:c r="J124" s="32" t="str">
        <x:v>Sprint 17 / H6</x:v>
      </x:c>
      <x:c r="K124" s="32" t="str">
        <x:v>Yes</x:v>
      </x:c>
      <x:c r="L124" s="32" t="str">
        <x:v>P1</x:v>
      </x:c>
      <x:c r="M124" s="32" t="str">
        <x:v>UX/Engineering</x:v>
      </x:c>
      <x:c r="N124" s="32" t="str">
        <x:v>Accessibility/QA</x:v>
      </x:c>
      <x:c r="O124" s="32" t="str">
        <x:v>NOT RUN</x:v>
      </x:c>
      <x:c r="P124" s="32" t="str"/>
      <x:c r="Q124" s="32" t="str"/>
      <x:c r="R124" s="32" t="str"/>
      <x:c r="S124" s="32" t="str"/>
      <x:c r="T124" s="82" t="str"/>
      <x:c r="U124" s="32" t="str"/>
      <x:c r="V124" s="84" t="n">
        <x:v>1</x:v>
      </x:c>
      <x:c r="W124" s="84" t="n">
        <x:f>IF(OR($O124="PASS",$O124="EXCEPTION APPROVED",$O124="NOT APPLICABLE"),$V124,0)</x:f>
        <x:v>0</x:v>
      </x:c>
      <x:c r="X124" s="84" t="n">
        <x:f>IF(AND($K124="Yes",OR($O124="FAIL",$O124="BLOCKED",$O124="NOT RUN",$O124="IN PROGRESS")),1,0)</x:f>
        <x:v>1</x:v>
      </x:c>
      <x:c r="Y124" s="32" t="str">
        <x:f>IF($O124="FAIL","FAIL",IF($O124="BLOCKED","BLOCKED",IF(AND($O124="EXCEPTION APPROVED",$K124="Yes"),"REVIEW",IF($O124="PASS","OK","PENDING"))))</x:f>
        <x:v>PENDING</x:v>
      </x:c>
    </x:row>
    <x:row r="125">
      <x:c r="A125" s="32" t="str">
        <x:v>H6-UXA-011</x:v>
      </x:c>
      <x:c r="B125" s="32" t="str">
        <x:v>UI, input y accesibilidad</x:v>
      </x:c>
      <x:c r="C125" s="32" t="str">
        <x:v>Control especializado</x:v>
      </x:c>
      <x:c r="D125" s="32" t="str">
        <x:v>Las opciones globales persisten entre sesiones y slots según su alcance definido.</x:v>
      </x:c>
      <x:c r="E125" s="32" t="str">
        <x:v>Cambiar opciones, reiniciar aplicación y alternar slots.</x:v>
      </x:c>
      <x:c r="F125" s="32" t="str">
        <x:v>Cumplimiento verificable sin desviaciones bloqueantes.</x:v>
      </x:c>
      <x:c r="G125" s="32" t="str">
        <x:v>Diff de preferencias y vídeo.</x:v>
      </x:c>
      <x:c r="H125" s="32" t="str">
        <x:v>05_UX_Flow.md; 19_UI_Style_Guide.md; 29_Accessibility_and_Inclusive_Design_Plan.md</x:v>
      </x:c>
      <x:c r="I125" s="32" t="str">
        <x:v>UX Flow v0.3–v0.5; UI Style Guide v0.3–v0.5; ADR/Sprint 15 accessibility preferences</x:v>
      </x:c>
      <x:c r="J125" s="32" t="str">
        <x:v>Sprint 17 / H6</x:v>
      </x:c>
      <x:c r="K125" s="32" t="str">
        <x:v>Yes</x:v>
      </x:c>
      <x:c r="L125" s="32" t="str">
        <x:v>P1</x:v>
      </x:c>
      <x:c r="M125" s="32" t="str">
        <x:v>UX/Engineering</x:v>
      </x:c>
      <x:c r="N125" s="32" t="str">
        <x:v>Accessibility/QA</x:v>
      </x:c>
      <x:c r="O125" s="32" t="str">
        <x:v>NOT RUN</x:v>
      </x:c>
      <x:c r="P125" s="32" t="str"/>
      <x:c r="Q125" s="32" t="str"/>
      <x:c r="R125" s="32" t="str"/>
      <x:c r="S125" s="32" t="str"/>
      <x:c r="T125" s="82" t="str"/>
      <x:c r="U125" s="32" t="str"/>
      <x:c r="V125" s="84" t="n">
        <x:v>1</x:v>
      </x:c>
      <x:c r="W125" s="84" t="n">
        <x:f>IF(OR($O125="PASS",$O125="EXCEPTION APPROVED",$O125="NOT APPLICABLE"),$V125,0)</x:f>
        <x:v>0</x:v>
      </x:c>
      <x:c r="X125" s="84" t="n">
        <x:f>IF(AND($K125="Yes",OR($O125="FAIL",$O125="BLOCKED",$O125="NOT RUN",$O125="IN PROGRESS")),1,0)</x:f>
        <x:v>1</x:v>
      </x:c>
      <x:c r="Y125" s="32" t="str">
        <x:f>IF($O125="FAIL","FAIL",IF($O125="BLOCKED","BLOCKED",IF(AND($O125="EXCEPTION APPROVED",$K125="Yes"),"REVIEW",IF($O125="PASS","OK","PENDING"))))</x:f>
        <x:v>PENDING</x:v>
      </x:c>
    </x:row>
    <x:row r="126">
      <x:c r="A126" s="32" t="str">
        <x:v>H6-UXA-012</x:v>
      </x:c>
      <x:c r="B126" s="32" t="str">
        <x:v>UI, input y accesibilidad</x:v>
      </x:c>
      <x:c r="C126" s="32" t="str">
        <x:v>Control especializado</x:v>
      </x:c>
      <x:c r="D126" s="32" t="str">
        <x:v>La UI no corta precios, cantidades, IDs visibles o acciones esenciales en 1080p y resolución mínima aprobada.</x:v>
      </x:c>
      <x:c r="E126" s="32" t="str">
        <x:v>Recorrido completo en matriz de resoluciones.</x:v>
      </x:c>
      <x:c r="F126" s="32" t="str">
        <x:v>Cumplimiento verificable sin desviaciones bloqueantes.</x:v>
      </x:c>
      <x:c r="G126" s="32" t="str">
        <x:v>Capturas y defect register.</x:v>
      </x:c>
      <x:c r="H126" s="32" t="str">
        <x:v>05_UX_Flow.md; 19_UI_Style_Guide.md; 29_Accessibility_and_Inclusive_Design_Plan.md</x:v>
      </x:c>
      <x:c r="I126" s="32" t="str">
        <x:v>UX Flow v0.3–v0.5; UI Style Guide v0.3–v0.5; ADR/Sprint 15 accessibility preferences</x:v>
      </x:c>
      <x:c r="J126" s="32" t="str">
        <x:v>Sprint 17 / H6</x:v>
      </x:c>
      <x:c r="K126" s="32" t="str">
        <x:v>Yes</x:v>
      </x:c>
      <x:c r="L126" s="32" t="str">
        <x:v>P1</x:v>
      </x:c>
      <x:c r="M126" s="32" t="str">
        <x:v>UX/Engineering</x:v>
      </x:c>
      <x:c r="N126" s="32" t="str">
        <x:v>Accessibility/QA</x:v>
      </x:c>
      <x:c r="O126" s="32" t="str">
        <x:v>NOT RUN</x:v>
      </x:c>
      <x:c r="P126" s="32" t="str"/>
      <x:c r="Q126" s="32" t="str"/>
      <x:c r="R126" s="32" t="str"/>
      <x:c r="S126" s="32" t="str"/>
      <x:c r="T126" s="82" t="str"/>
      <x:c r="U126" s="32" t="str"/>
      <x:c r="V126" s="84" t="n">
        <x:v>1</x:v>
      </x:c>
      <x:c r="W126" s="84" t="n">
        <x:f>IF(OR($O126="PASS",$O126="EXCEPTION APPROVED",$O126="NOT APPLICABLE"),$V126,0)</x:f>
        <x:v>0</x:v>
      </x:c>
      <x:c r="X126" s="84" t="n">
        <x:f>IF(AND($K126="Yes",OR($O126="FAIL",$O126="BLOCKED",$O126="NOT RUN",$O126="IN PROGRESS")),1,0)</x:f>
        <x:v>1</x:v>
      </x:c>
      <x:c r="Y126" s="32" t="str">
        <x:f>IF($O126="FAIL","FAIL",IF($O126="BLOCKED","BLOCKED",IF(AND($O126="EXCEPTION APPROVED",$K126="Yes"),"REVIEW",IF($O126="PASS","OK","PENDING"))))</x:f>
        <x:v>PENDING</x:v>
      </x:c>
    </x:row>
    <x:row r="127">
      <x:c r="A127" s="32" t="str">
        <x:v>H6-UXA-013</x:v>
      </x:c>
      <x:c r="B127" s="32" t="str">
        <x:v>UI, input y accesibilidad</x:v>
      </x:c>
      <x:c r="C127" s="32" t="str">
        <x:v>Control especializado</x:v>
      </x:c>
      <x:c r="D127" s="32" t="str">
        <x:v>Las alertas y notificaciones tienen duración suficiente o configuración compatible con accesibilidad cognitiva.</x:v>
      </x:c>
      <x:c r="E127" s="32" t="str">
        <x:v>Probar duración y acumulación de mensajes.</x:v>
      </x:c>
      <x:c r="F127" s="32" t="str">
        <x:v>Cumplimiento verificable sin desviaciones bloqueantes.</x:v>
      </x:c>
      <x:c r="G127" s="32" t="str">
        <x:v>Registro de timing.</x:v>
      </x:c>
      <x:c r="H127" s="32" t="str">
        <x:v>05_UX_Flow.md; 19_UI_Style_Guide.md; 29_Accessibility_and_Inclusive_Design_Plan.md</x:v>
      </x:c>
      <x:c r="I127" s="32" t="str">
        <x:v>UX Flow v0.3–v0.5; UI Style Guide v0.3–v0.5; ADR/Sprint 15 accessibility preferences</x:v>
      </x:c>
      <x:c r="J127" s="32" t="str">
        <x:v>Sprint 17 / H6</x:v>
      </x:c>
      <x:c r="K127" s="32" t="str">
        <x:v>Yes</x:v>
      </x:c>
      <x:c r="L127" s="32" t="str">
        <x:v>P1</x:v>
      </x:c>
      <x:c r="M127" s="32" t="str">
        <x:v>UX/Engineering</x:v>
      </x:c>
      <x:c r="N127" s="32" t="str">
        <x:v>Accessibility/QA</x:v>
      </x:c>
      <x:c r="O127" s="32" t="str">
        <x:v>NOT RUN</x:v>
      </x:c>
      <x:c r="P127" s="32" t="str"/>
      <x:c r="Q127" s="32" t="str"/>
      <x:c r="R127" s="32" t="str"/>
      <x:c r="S127" s="32" t="str"/>
      <x:c r="T127" s="82" t="str"/>
      <x:c r="U127" s="32" t="str"/>
      <x:c r="V127" s="84" t="n">
        <x:v>1</x:v>
      </x:c>
      <x:c r="W127" s="84" t="n">
        <x:f>IF(OR($O127="PASS",$O127="EXCEPTION APPROVED",$O127="NOT APPLICABLE"),$V127,0)</x:f>
        <x:v>0</x:v>
      </x:c>
      <x:c r="X127" s="84" t="n">
        <x:f>IF(AND($K127="Yes",OR($O127="FAIL",$O127="BLOCKED",$O127="NOT RUN",$O127="IN PROGRESS")),1,0)</x:f>
        <x:v>1</x:v>
      </x:c>
      <x:c r="Y127" s="32" t="str">
        <x:f>IF($O127="FAIL","FAIL",IF($O127="BLOCKED","BLOCKED",IF(AND($O127="EXCEPTION APPROVED",$K127="Yes"),"REVIEW",IF($O127="PASS","OK","PENDING"))))</x:f>
        <x:v>PENDING</x:v>
      </x:c>
    </x:row>
    <x:row r="128">
      <x:c r="A128" s="32" t="str">
        <x:v>H6-UXA-014</x:v>
      </x:c>
      <x:c r="B128" s="32" t="str">
        <x:v>UI, input y accesibilidad</x:v>
      </x:c>
      <x:c r="C128" s="32" t="str">
        <x:v>Control especializado</x:v>
      </x:c>
      <x:c r="D128" s="32" t="str">
        <x:v>Las características no implementadas —remapeo completo, narración, subtítulos o mando integral— no se declaran como disponibles.</x:v>
      </x:c>
      <x:c r="E128" s="32" t="str">
        <x:v>Revisar UI, documentación, Steam draft y marketing claims.</x:v>
      </x:c>
      <x:c r="F128" s="32" t="str">
        <x:v>Cumplimiento verificable sin desviaciones bloqueantes.</x:v>
      </x:c>
      <x:c r="G128" s="32" t="str">
        <x:v>Matriz de claims aprobada.</x:v>
      </x:c>
      <x:c r="H128" s="32" t="str">
        <x:v>05_UX_Flow.md; 19_UI_Style_Guide.md; 29_Accessibility_and_Inclusive_Design_Plan.md</x:v>
      </x:c>
      <x:c r="I128" s="32" t="str">
        <x:v>UX Flow v0.3–v0.5; UI Style Guide v0.3–v0.5; ADR/Sprint 15 accessibility preferences</x:v>
      </x:c>
      <x:c r="J128" s="32" t="str">
        <x:v>Sprint 17 / H6</x:v>
      </x:c>
      <x:c r="K128" s="32" t="str">
        <x:v>Yes</x:v>
      </x:c>
      <x:c r="L128" s="32" t="str">
        <x:v>P1</x:v>
      </x:c>
      <x:c r="M128" s="32" t="str">
        <x:v>UX/Engineering</x:v>
      </x:c>
      <x:c r="N128" s="32" t="str">
        <x:v>Accessibility/QA</x:v>
      </x:c>
      <x:c r="O128" s="32" t="str">
        <x:v>NOT RUN</x:v>
      </x:c>
      <x:c r="P128" s="32" t="str"/>
      <x:c r="Q128" s="32" t="str"/>
      <x:c r="R128" s="32" t="str"/>
      <x:c r="S128" s="32" t="str"/>
      <x:c r="T128" s="82" t="str"/>
      <x:c r="U128" s="32" t="str"/>
      <x:c r="V128" s="84" t="n">
        <x:v>1</x:v>
      </x:c>
      <x:c r="W128" s="84" t="n">
        <x:f>IF(OR($O128="PASS",$O128="EXCEPTION APPROVED",$O128="NOT APPLICABLE"),$V128,0)</x:f>
        <x:v>0</x:v>
      </x:c>
      <x:c r="X128" s="84" t="n">
        <x:f>IF(AND($K128="Yes",OR($O128="FAIL",$O128="BLOCKED",$O128="NOT RUN",$O128="IN PROGRESS")),1,0)</x:f>
        <x:v>1</x:v>
      </x:c>
      <x:c r="Y128" s="32" t="str">
        <x:f>IF($O128="FAIL","FAIL",IF($O128="BLOCKED","BLOCKED",IF(AND($O128="EXCEPTION APPROVED",$K128="Yes"),"REVIEW",IF($O128="PASS","OK","PENDING"))))</x:f>
        <x:v>PENDING</x:v>
      </x:c>
    </x:row>
    <x:row r="129">
      <x:c r="A129" s="32" t="str">
        <x:v>H6-LOC-001</x:v>
      </x:c>
      <x:c r="B129" s="32" t="str">
        <x:v>Localización ES/EN</x:v>
      </x:c>
      <x:c r="C129" s="32" t="str">
        <x:v>Control especializado</x:v>
      </x:c>
      <x:c r="D129" s="32" t="str">
        <x:v>Todas las strings runtime incluidas en H6 usan claves canónicas y no texto hardcodeado salvo excepción aprobada.</x:v>
      </x:c>
      <x:c r="E129" s="32" t="str">
        <x:v>Escaneo de código/assets y ejecución con reporte de keys.</x:v>
      </x:c>
      <x:c r="F129" s="32" t="str">
        <x:v>Cumplimiento verificable sin desviaciones bloqueantes.</x:v>
      </x:c>
      <x:c r="G129" s="32" t="str">
        <x:v>Informe de hardcodes y excepciones.</x:v>
      </x:c>
      <x:c r="H129" s="32" t="str">
        <x:v>22_Localization_Plan.md; 29_Accessibility_and_Inclusive_Design_Plan.md</x:v>
      </x:c>
      <x:c r="I129" s="32" t="str">
        <x:v>Localization Plan v0.3–v0.5; UX/UI v0.3–v0.5</x:v>
      </x:c>
      <x:c r="J129" s="32" t="str">
        <x:v>Sprint 17 / H6</x:v>
      </x:c>
      <x:c r="K129" s="32" t="str">
        <x:v>Yes</x:v>
      </x:c>
      <x:c r="L129" s="32" t="str">
        <x:v>P1</x:v>
      </x:c>
      <x:c r="M129" s="32" t="str">
        <x:v>Localization/UX</x:v>
      </x:c>
      <x:c r="N129" s="32" t="str">
        <x:v>LQA/QA</x:v>
      </x:c>
      <x:c r="O129" s="32" t="str">
        <x:v>NOT RUN</x:v>
      </x:c>
      <x:c r="P129" s="32" t="str"/>
      <x:c r="Q129" s="32" t="str"/>
      <x:c r="R129" s="32" t="str"/>
      <x:c r="S129" s="32" t="str"/>
      <x:c r="T129" s="82" t="str"/>
      <x:c r="U129" s="32" t="str"/>
      <x:c r="V129" s="84" t="n">
        <x:v>1</x:v>
      </x:c>
      <x:c r="W129" s="84" t="n">
        <x:f>IF(OR($O129="PASS",$O129="EXCEPTION APPROVED",$O129="NOT APPLICABLE"),$V129,0)</x:f>
        <x:v>0</x:v>
      </x:c>
      <x:c r="X129" s="84" t="n">
        <x:f>IF(AND($K129="Yes",OR($O129="FAIL",$O129="BLOCKED",$O129="NOT RUN",$O129="IN PROGRESS")),1,0)</x:f>
        <x:v>1</x:v>
      </x:c>
      <x:c r="Y129" s="32" t="str">
        <x:f>IF($O129="FAIL","FAIL",IF($O129="BLOCKED","BLOCKED",IF(AND($O129="EXCEPTION APPROVED",$K129="Yes"),"REVIEW",IF($O129="PASS","OK","PENDING"))))</x:f>
        <x:v>PENDING</x:v>
      </x:c>
    </x:row>
    <x:row r="130">
      <x:c r="A130" s="32" t="str">
        <x:v>H6-LOC-002</x:v>
      </x:c>
      <x:c r="B130" s="32" t="str">
        <x:v>Localización ES/EN</x:v>
      </x:c>
      <x:c r="C130" s="32" t="str">
        <x:v>Control especializado</x:v>
      </x:c>
      <x:c r="D130" s="32" t="str">
        <x:v>Las tablas es-ES y en-US contienen todas las entradas referenciadas en el alcance H6.</x:v>
      </x:c>
      <x:c r="E130" s="32" t="str">
        <x:v>Generar auditoría de missing entries por colección.</x:v>
      </x:c>
      <x:c r="F130" s="32" t="str">
        <x:v>Cumplimiento verificable sin desviaciones bloqueantes.</x:v>
      </x:c>
      <x:c r="G130" s="32" t="str">
        <x:v>Reporte de cobertura 100 %.</x:v>
      </x:c>
      <x:c r="H130" s="32" t="str">
        <x:v>22_Localization_Plan.md; 29_Accessibility_and_Inclusive_Design_Plan.md</x:v>
      </x:c>
      <x:c r="I130" s="32" t="str">
        <x:v>Localization Plan v0.3–v0.5; UX/UI v0.3–v0.5</x:v>
      </x:c>
      <x:c r="J130" s="32" t="str">
        <x:v>Sprint 17 / H6</x:v>
      </x:c>
      <x:c r="K130" s="32" t="str">
        <x:v>Yes</x:v>
      </x:c>
      <x:c r="L130" s="32" t="str">
        <x:v>P1</x:v>
      </x:c>
      <x:c r="M130" s="32" t="str">
        <x:v>Localization/UX</x:v>
      </x:c>
      <x:c r="N130" s="32" t="str">
        <x:v>LQA/QA</x:v>
      </x:c>
      <x:c r="O130" s="32" t="str">
        <x:v>NOT RUN</x:v>
      </x:c>
      <x:c r="P130" s="32" t="str"/>
      <x:c r="Q130" s="32" t="str"/>
      <x:c r="R130" s="32" t="str"/>
      <x:c r="S130" s="32" t="str"/>
      <x:c r="T130" s="82" t="str"/>
      <x:c r="U130" s="32" t="str"/>
      <x:c r="V130" s="84" t="n">
        <x:v>1</x:v>
      </x:c>
      <x:c r="W130" s="84" t="n">
        <x:f>IF(OR($O130="PASS",$O130="EXCEPTION APPROVED",$O130="NOT APPLICABLE"),$V130,0)</x:f>
        <x:v>0</x:v>
      </x:c>
      <x:c r="X130" s="84" t="n">
        <x:f>IF(AND($K130="Yes",OR($O130="FAIL",$O130="BLOCKED",$O130="NOT RUN",$O130="IN PROGRESS")),1,0)</x:f>
        <x:v>1</x:v>
      </x:c>
      <x:c r="Y130" s="32" t="str">
        <x:f>IF($O130="FAIL","FAIL",IF($O130="BLOCKED","BLOCKED",IF(AND($O130="EXCEPTION APPROVED",$K130="Yes"),"REVIEW",IF($O130="PASS","OK","PENDING"))))</x:f>
        <x:v>PENDING</x:v>
      </x:c>
    </x:row>
    <x:row r="131">
      <x:c r="A131" s="32" t="str">
        <x:v>H6-LOC-003</x:v>
      </x:c>
      <x:c r="B131" s="32" t="str">
        <x:v>Localización ES/EN</x:v>
      </x:c>
      <x:c r="C131" s="32" t="str">
        <x:v>Control especializado</x:v>
      </x:c>
      <x:c r="D131" s="32" t="str">
        <x:v>No aparecen claves, tokens, placeholders o fallbacks visibles durante el Golden Path en ambos idiomas.</x:v>
      </x:c>
      <x:c r="E131" s="32" t="str">
        <x:v>Completar Golden Path ES y EN y revisar Player.log.</x:v>
      </x:c>
      <x:c r="F131" s="32" t="str">
        <x:v>Cumplimiento verificable sin desviaciones bloqueantes.</x:v>
      </x:c>
      <x:c r="G131" s="32" t="str">
        <x:v>Actas ES/EN y logs.</x:v>
      </x:c>
      <x:c r="H131" s="32" t="str">
        <x:v>22_Localization_Plan.md; 29_Accessibility_and_Inclusive_Design_Plan.md</x:v>
      </x:c>
      <x:c r="I131" s="32" t="str">
        <x:v>Localization Plan v0.3–v0.5; UX/UI v0.3–v0.5</x:v>
      </x:c>
      <x:c r="J131" s="32" t="str">
        <x:v>Sprint 17 / H6</x:v>
      </x:c>
      <x:c r="K131" s="32" t="str">
        <x:v>Yes</x:v>
      </x:c>
      <x:c r="L131" s="32" t="str">
        <x:v>P0</x:v>
      </x:c>
      <x:c r="M131" s="32" t="str">
        <x:v>Localization/UX</x:v>
      </x:c>
      <x:c r="N131" s="32" t="str">
        <x:v>LQA/QA</x:v>
      </x:c>
      <x:c r="O131" s="32" t="str">
        <x:v>NOT RUN</x:v>
      </x:c>
      <x:c r="P131" s="32" t="str"/>
      <x:c r="Q131" s="32" t="str"/>
      <x:c r="R131" s="32" t="str"/>
      <x:c r="S131" s="32" t="str"/>
      <x:c r="T131" s="82" t="str"/>
      <x:c r="U131" s="32" t="str"/>
      <x:c r="V131" s="84" t="n">
        <x:v>1</x:v>
      </x:c>
      <x:c r="W131" s="84" t="n">
        <x:f>IF(OR($O131="PASS",$O131="EXCEPTION APPROVED",$O131="NOT APPLICABLE"),$V131,0)</x:f>
        <x:v>0</x:v>
      </x:c>
      <x:c r="X131" s="84" t="n">
        <x:f>IF(AND($K131="Yes",OR($O131="FAIL",$O131="BLOCKED",$O131="NOT RUN",$O131="IN PROGRESS")),1,0)</x:f>
        <x:v>1</x:v>
      </x:c>
      <x:c r="Y131" s="32" t="str">
        <x:f>IF($O131="FAIL","FAIL",IF($O131="BLOCKED","BLOCKED",IF(AND($O131="EXCEPTION APPROVED",$K131="Yes"),"REVIEW",IF($O131="PASS","OK","PENDING"))))</x:f>
        <x:v>PENDING</x:v>
      </x:c>
    </x:row>
    <x:row r="132">
      <x:c r="A132" s="32" t="str">
        <x:v>H6-LOC-004</x:v>
      </x:c>
      <x:c r="B132" s="32" t="str">
        <x:v>Localización ES/EN</x:v>
      </x:c>
      <x:c r="C132" s="32" t="str">
        <x:v>Control especializado</x:v>
      </x:c>
      <x:c r="D132" s="32" t="str">
        <x:v>El cambio de idioma es reproducible y persiste según el alcance de preferencias.</x:v>
      </x:c>
      <x:c r="E132" s="32" t="str">
        <x:v>Cambiar idioma, navegar, guardar, reiniciar y recargar.</x:v>
      </x:c>
      <x:c r="F132" s="32" t="str">
        <x:v>Cumplimiento verificable sin desviaciones bloqueantes.</x:v>
      </x:c>
      <x:c r="G132" s="32" t="str">
        <x:v>Vídeo y archivo de preferencias.</x:v>
      </x:c>
      <x:c r="H132" s="32" t="str">
        <x:v>22_Localization_Plan.md; 29_Accessibility_and_Inclusive_Design_Plan.md</x:v>
      </x:c>
      <x:c r="I132" s="32" t="str">
        <x:v>Localization Plan v0.3–v0.5; UX/UI v0.3–v0.5</x:v>
      </x:c>
      <x:c r="J132" s="32" t="str">
        <x:v>Sprint 17 / H6</x:v>
      </x:c>
      <x:c r="K132" s="32" t="str">
        <x:v>Yes</x:v>
      </x:c>
      <x:c r="L132" s="32" t="str">
        <x:v>P1</x:v>
      </x:c>
      <x:c r="M132" s="32" t="str">
        <x:v>Localization/UX</x:v>
      </x:c>
      <x:c r="N132" s="32" t="str">
        <x:v>LQA/QA</x:v>
      </x:c>
      <x:c r="O132" s="32" t="str">
        <x:v>NOT RUN</x:v>
      </x:c>
      <x:c r="P132" s="32" t="str"/>
      <x:c r="Q132" s="32" t="str"/>
      <x:c r="R132" s="32" t="str"/>
      <x:c r="S132" s="32" t="str"/>
      <x:c r="T132" s="82" t="str"/>
      <x:c r="U132" s="32" t="str"/>
      <x:c r="V132" s="84" t="n">
        <x:v>1</x:v>
      </x:c>
      <x:c r="W132" s="84" t="n">
        <x:f>IF(OR($O132="PASS",$O132="EXCEPTION APPROVED",$O132="NOT APPLICABLE"),$V132,0)</x:f>
        <x:v>0</x:v>
      </x:c>
      <x:c r="X132" s="84" t="n">
        <x:f>IF(AND($K132="Yes",OR($O132="FAIL",$O132="BLOCKED",$O132="NOT RUN",$O132="IN PROGRESS")),1,0)</x:f>
        <x:v>1</x:v>
      </x:c>
      <x:c r="Y132" s="32" t="str">
        <x:f>IF($O132="FAIL","FAIL",IF($O132="BLOCKED","BLOCKED",IF(AND($O132="EXCEPTION APPROVED",$K132="Yes"),"REVIEW",IF($O132="PASS","OK","PENDING"))))</x:f>
        <x:v>PENDING</x:v>
      </x:c>
    </x:row>
    <x:row r="133">
      <x:c r="A133" s="32" t="str">
        <x:v>H6-LOC-005</x:v>
      </x:c>
      <x:c r="B133" s="32" t="str">
        <x:v>Localización ES/EN</x:v>
      </x:c>
      <x:c r="C133" s="32" t="str">
        <x:v>Control especializado</x:v>
      </x:c>
      <x:c r="D133" s="32" t="str">
        <x:v>Moneda, números, porcentajes, fechas y plurales se formatean mediante locale y no concatenación frágil.</x:v>
      </x:c>
      <x:c r="E133" s="32" t="str">
        <x:v>Probar casos límite y valores variables en ES/EN.</x:v>
      </x:c>
      <x:c r="F133" s="32" t="str">
        <x:v>Cumplimiento verificable sin desviaciones bloqueantes.</x:v>
      </x:c>
      <x:c r="G133" s="32" t="str">
        <x:v>Matriz de formato.</x:v>
      </x:c>
      <x:c r="H133" s="32" t="str">
        <x:v>22_Localization_Plan.md; 29_Accessibility_and_Inclusive_Design_Plan.md</x:v>
      </x:c>
      <x:c r="I133" s="32" t="str">
        <x:v>Localization Plan v0.3–v0.5; UX/UI v0.3–v0.5</x:v>
      </x:c>
      <x:c r="J133" s="32" t="str">
        <x:v>Sprint 17 / H6</x:v>
      </x:c>
      <x:c r="K133" s="32" t="str">
        <x:v>Yes</x:v>
      </x:c>
      <x:c r="L133" s="32" t="str">
        <x:v>P1</x:v>
      </x:c>
      <x:c r="M133" s="32" t="str">
        <x:v>Localization/UX</x:v>
      </x:c>
      <x:c r="N133" s="32" t="str">
        <x:v>LQA/QA</x:v>
      </x:c>
      <x:c r="O133" s="32" t="str">
        <x:v>NOT RUN</x:v>
      </x:c>
      <x:c r="P133" s="32" t="str"/>
      <x:c r="Q133" s="32" t="str"/>
      <x:c r="R133" s="32" t="str"/>
      <x:c r="S133" s="32" t="str"/>
      <x:c r="T133" s="82" t="str"/>
      <x:c r="U133" s="32" t="str"/>
      <x:c r="V133" s="84" t="n">
        <x:v>1</x:v>
      </x:c>
      <x:c r="W133" s="84" t="n">
        <x:f>IF(OR($O133="PASS",$O133="EXCEPTION APPROVED",$O133="NOT APPLICABLE"),$V133,0)</x:f>
        <x:v>0</x:v>
      </x:c>
      <x:c r="X133" s="84" t="n">
        <x:f>IF(AND($K133="Yes",OR($O133="FAIL",$O133="BLOCKED",$O133="NOT RUN",$O133="IN PROGRESS")),1,0)</x:f>
        <x:v>1</x:v>
      </x:c>
      <x:c r="Y133" s="32" t="str">
        <x:f>IF($O133="FAIL","FAIL",IF($O133="BLOCKED","BLOCKED",IF(AND($O133="EXCEPTION APPROVED",$K133="Yes"),"REVIEW",IF($O133="PASS","OK","PENDING"))))</x:f>
        <x:v>PENDING</x:v>
      </x:c>
    </x:row>
    <x:row r="134">
      <x:c r="A134" s="32" t="str">
        <x:v>H6-LOC-006</x:v>
      </x:c>
      <x:c r="B134" s="32" t="str">
        <x:v>Localización ES/EN</x:v>
      </x:c>
      <x:c r="C134" s="32" t="str">
        <x:v>Control especializado</x:v>
      </x:c>
      <x:c r="D134" s="32" t="str">
        <x:v>La fuente final o aprobada contiene todos los glyphs necesarios y tiene fallback controlado.</x:v>
      </x:c>
      <x:c r="E134" s="32" t="str">
        <x:v>Auditar caracteres, acentos, símbolos monetarios y signos.</x:v>
      </x:c>
      <x:c r="F134" s="32" t="str">
        <x:v>Cumplimiento verificable sin desviaciones bloqueantes.</x:v>
      </x:c>
      <x:c r="G134" s="32" t="str">
        <x:v>Reporte de glyphs y licencia.</x:v>
      </x:c>
      <x:c r="H134" s="32" t="str">
        <x:v>22_Localization_Plan.md; 29_Accessibility_and_Inclusive_Design_Plan.md</x:v>
      </x:c>
      <x:c r="I134" s="32" t="str">
        <x:v>Localization Plan v0.3–v0.5; UX/UI v0.3–v0.5</x:v>
      </x:c>
      <x:c r="J134" s="32" t="str">
        <x:v>Sprint 17 / H6</x:v>
      </x:c>
      <x:c r="K134" s="32" t="str">
        <x:v>Yes</x:v>
      </x:c>
      <x:c r="L134" s="32" t="str">
        <x:v>P1</x:v>
      </x:c>
      <x:c r="M134" s="32" t="str">
        <x:v>Localization/UX</x:v>
      </x:c>
      <x:c r="N134" s="32" t="str">
        <x:v>LQA/QA</x:v>
      </x:c>
      <x:c r="O134" s="32" t="str">
        <x:v>NOT RUN</x:v>
      </x:c>
      <x:c r="P134" s="32" t="str"/>
      <x:c r="Q134" s="32" t="str"/>
      <x:c r="R134" s="32" t="str"/>
      <x:c r="S134" s="32" t="str"/>
      <x:c r="T134" s="82" t="str"/>
      <x:c r="U134" s="32" t="str"/>
      <x:c r="V134" s="84" t="n">
        <x:v>1</x:v>
      </x:c>
      <x:c r="W134" s="84" t="n">
        <x:f>IF(OR($O134="PASS",$O134="EXCEPTION APPROVED",$O134="NOT APPLICABLE"),$V134,0)</x:f>
        <x:v>0</x:v>
      </x:c>
      <x:c r="X134" s="84" t="n">
        <x:f>IF(AND($K134="Yes",OR($O134="FAIL",$O134="BLOCKED",$O134="NOT RUN",$O134="IN PROGRESS")),1,0)</x:f>
        <x:v>1</x:v>
      </x:c>
      <x:c r="Y134" s="32" t="str">
        <x:f>IF($O134="FAIL","FAIL",IF($O134="BLOCKED","BLOCKED",IF(AND($O134="EXCEPTION APPROVED",$K134="Yes"),"REVIEW",IF($O134="PASS","OK","PENDING"))))</x:f>
        <x:v>PENDING</x:v>
      </x:c>
    </x:row>
    <x:row r="135">
      <x:c r="A135" s="32" t="str">
        <x:v>H6-LOC-007</x:v>
      </x:c>
      <x:c r="B135" s="32" t="str">
        <x:v>Localización ES/EN</x:v>
      </x:c>
      <x:c r="C135" s="32" t="str">
        <x:v>Control especializado</x:v>
      </x:c>
      <x:c r="D135" s="32" t="str">
        <x:v>La pseudolocalización no produce desbordes o recortes bloqueantes.</x:v>
      </x:c>
      <x:c r="E135" s="32" t="str">
        <x:v>Ejecutar pantallas y HUD con pseudolocale expandido.</x:v>
      </x:c>
      <x:c r="F135" s="32" t="str">
        <x:v>Cumplimiento verificable sin desviaciones bloqueantes.</x:v>
      </x:c>
      <x:c r="G135" s="32" t="str">
        <x:v>Capturas y defectos.</x:v>
      </x:c>
      <x:c r="H135" s="32" t="str">
        <x:v>22_Localization_Plan.md; 29_Accessibility_and_Inclusive_Design_Plan.md</x:v>
      </x:c>
      <x:c r="I135" s="32" t="str">
        <x:v>Localization Plan v0.3–v0.5; UX/UI v0.3–v0.5</x:v>
      </x:c>
      <x:c r="J135" s="32" t="str">
        <x:v>Sprint 17 / H6</x:v>
      </x:c>
      <x:c r="K135" s="32" t="str">
        <x:v>Yes</x:v>
      </x:c>
      <x:c r="L135" s="32" t="str">
        <x:v>P1</x:v>
      </x:c>
      <x:c r="M135" s="32" t="str">
        <x:v>Localization/UX</x:v>
      </x:c>
      <x:c r="N135" s="32" t="str">
        <x:v>LQA/QA</x:v>
      </x:c>
      <x:c r="O135" s="32" t="str">
        <x:v>NOT RUN</x:v>
      </x:c>
      <x:c r="P135" s="32" t="str"/>
      <x:c r="Q135" s="32" t="str"/>
      <x:c r="R135" s="32" t="str"/>
      <x:c r="S135" s="32" t="str"/>
      <x:c r="T135" s="82" t="str"/>
      <x:c r="U135" s="32" t="str"/>
      <x:c r="V135" s="84" t="n">
        <x:v>1</x:v>
      </x:c>
      <x:c r="W135" s="84" t="n">
        <x:f>IF(OR($O135="PASS",$O135="EXCEPTION APPROVED",$O135="NOT APPLICABLE"),$V135,0)</x:f>
        <x:v>0</x:v>
      </x:c>
      <x:c r="X135" s="84" t="n">
        <x:f>IF(AND($K135="Yes",OR($O135="FAIL",$O135="BLOCKED",$O135="NOT RUN",$O135="IN PROGRESS")),1,0)</x:f>
        <x:v>1</x:v>
      </x:c>
      <x:c r="Y135" s="32" t="str">
        <x:f>IF($O135="FAIL","FAIL",IF($O135="BLOCKED","BLOCKED",IF(AND($O135="EXCEPTION APPROVED",$K135="Yes"),"REVIEW",IF($O135="PASS","OK","PENDING"))))</x:f>
        <x:v>PENDING</x:v>
      </x:c>
    </x:row>
    <x:row r="136">
      <x:c r="A136" s="32" t="str">
        <x:v>H6-LOC-008</x:v>
      </x:c>
      <x:c r="B136" s="32" t="str">
        <x:v>Localización ES/EN</x:v>
      </x:c>
      <x:c r="C136" s="32" t="str">
        <x:v>Control especializado</x:v>
      </x:c>
      <x:c r="D136" s="32" t="str">
        <x:v>Los comentarios de contexto, variables y límites están completos para entradas H6.</x:v>
      </x:c>
      <x:c r="E136" s="32" t="str">
        <x:v>Revisar metadata de tablas y paquete de traducción.</x:v>
      </x:c>
      <x:c r="F136" s="32" t="str">
        <x:v>Cumplimiento verificable sin desviaciones bloqueantes.</x:v>
      </x:c>
      <x:c r="G136" s="32" t="str">
        <x:v>Informe de metadata.</x:v>
      </x:c>
      <x:c r="H136" s="32" t="str">
        <x:v>22_Localization_Plan.md; 29_Accessibility_and_Inclusive_Design_Plan.md</x:v>
      </x:c>
      <x:c r="I136" s="32" t="str">
        <x:v>Localization Plan v0.3–v0.5; UX/UI v0.3–v0.5</x:v>
      </x:c>
      <x:c r="J136" s="32" t="str">
        <x:v>Sprint 17 / H6</x:v>
      </x:c>
      <x:c r="K136" s="32" t="str">
        <x:v>Yes</x:v>
      </x:c>
      <x:c r="L136" s="32" t="str">
        <x:v>P1</x:v>
      </x:c>
      <x:c r="M136" s="32" t="str">
        <x:v>Localization/UX</x:v>
      </x:c>
      <x:c r="N136" s="32" t="str">
        <x:v>LQA/QA</x:v>
      </x:c>
      <x:c r="O136" s="32" t="str">
        <x:v>NOT RUN</x:v>
      </x:c>
      <x:c r="P136" s="32" t="str"/>
      <x:c r="Q136" s="32" t="str"/>
      <x:c r="R136" s="32" t="str"/>
      <x:c r="S136" s="32" t="str"/>
      <x:c r="T136" s="82" t="str"/>
      <x:c r="U136" s="32" t="str"/>
      <x:c r="V136" s="84" t="n">
        <x:v>1</x:v>
      </x:c>
      <x:c r="W136" s="84" t="n">
        <x:f>IF(OR($O136="PASS",$O136="EXCEPTION APPROVED",$O136="NOT APPLICABLE"),$V136,0)</x:f>
        <x:v>0</x:v>
      </x:c>
      <x:c r="X136" s="84" t="n">
        <x:f>IF(AND($K136="Yes",OR($O136="FAIL",$O136="BLOCKED",$O136="NOT RUN",$O136="IN PROGRESS")),1,0)</x:f>
        <x:v>1</x:v>
      </x:c>
      <x:c r="Y136" s="32" t="str">
        <x:f>IF($O136="FAIL","FAIL",IF($O136="BLOCKED","BLOCKED",IF(AND($O136="EXCEPTION APPROVED",$K136="Yes"),"REVIEW",IF($O136="PASS","OK","PENDING"))))</x:f>
        <x:v>PENDING</x:v>
      </x:c>
    </x:row>
    <x:row r="137">
      <x:c r="A137" s="32" t="str">
        <x:v>H6-LOC-009</x:v>
      </x:c>
      <x:c r="B137" s="32" t="str">
        <x:v>Localización ES/EN</x:v>
      </x:c>
      <x:c r="C137" s="32" t="str">
        <x:v>Control especializado</x:v>
      </x:c>
      <x:c r="D137" s="32" t="str">
        <x:v>El glosario de términos de juego está aprobado y aplicado de forma consistente en ES/EN.</x:v>
      </x:c>
      <x:c r="E137" s="32" t="str">
        <x:v>Revisión terminológica cruzada de UI, tutorial y contenido.</x:v>
      </x:c>
      <x:c r="F137" s="32" t="str">
        <x:v>Cumplimiento verificable sin desviaciones bloqueantes.</x:v>
      </x:c>
      <x:c r="G137" s="32" t="str">
        <x:v>Glosario versionado y QA terminológica.</x:v>
      </x:c>
      <x:c r="H137" s="32" t="str">
        <x:v>22_Localization_Plan.md; 29_Accessibility_and_Inclusive_Design_Plan.md</x:v>
      </x:c>
      <x:c r="I137" s="32" t="str">
        <x:v>Localization Plan v0.3–v0.5; UX/UI v0.3–v0.5</x:v>
      </x:c>
      <x:c r="J137" s="32" t="str">
        <x:v>Sprint 17 / H6</x:v>
      </x:c>
      <x:c r="K137" s="32" t="str">
        <x:v>Yes</x:v>
      </x:c>
      <x:c r="L137" s="32" t="str">
        <x:v>P1</x:v>
      </x:c>
      <x:c r="M137" s="32" t="str">
        <x:v>Localization/UX</x:v>
      </x:c>
      <x:c r="N137" s="32" t="str">
        <x:v>LQA/QA</x:v>
      </x:c>
      <x:c r="O137" s="32" t="str">
        <x:v>NOT RUN</x:v>
      </x:c>
      <x:c r="P137" s="32" t="str"/>
      <x:c r="Q137" s="32" t="str"/>
      <x:c r="R137" s="32" t="str"/>
      <x:c r="S137" s="32" t="str"/>
      <x:c r="T137" s="82" t="str"/>
      <x:c r="U137" s="32" t="str"/>
      <x:c r="V137" s="84" t="n">
        <x:v>1</x:v>
      </x:c>
      <x:c r="W137" s="84" t="n">
        <x:f>IF(OR($O137="PASS",$O137="EXCEPTION APPROVED",$O137="NOT APPLICABLE"),$V137,0)</x:f>
        <x:v>0</x:v>
      </x:c>
      <x:c r="X137" s="84" t="n">
        <x:f>IF(AND($K137="Yes",OR($O137="FAIL",$O137="BLOCKED",$O137="NOT RUN",$O137="IN PROGRESS")),1,0)</x:f>
        <x:v>1</x:v>
      </x:c>
      <x:c r="Y137" s="32" t="str">
        <x:f>IF($O137="FAIL","FAIL",IF($O137="BLOCKED","BLOCKED",IF(AND($O137="EXCEPTION APPROVED",$K137="Yes"),"REVIEW",IF($O137="PASS","OK","PENDING"))))</x:f>
        <x:v>PENDING</x:v>
      </x:c>
    </x:row>
    <x:row r="138">
      <x:c r="A138" s="32" t="str">
        <x:v>H6-LOC-010</x:v>
      </x:c>
      <x:c r="B138" s="32" t="str">
        <x:v>Localización ES/EN</x:v>
      </x:c>
      <x:c r="C138" s="32" t="str">
        <x:v>Control especializado</x:v>
      </x:c>
      <x:c r="D138" s="32" t="str">
        <x:v>No existen strings de Sprint, phase, debug o instrucciones internas en la build H6.</x:v>
      </x:c>
      <x:c r="E138" s="32" t="str">
        <x:v>Búsqueda automatizada y recorrido manual.</x:v>
      </x:c>
      <x:c r="F138" s="32" t="str">
        <x:v>Cumplimiento verificable sin desviaciones bloqueantes.</x:v>
      </x:c>
      <x:c r="G138" s="32" t="str">
        <x:v>Informe debug-string-clean.</x:v>
      </x:c>
      <x:c r="H138" s="32" t="str">
        <x:v>22_Localization_Plan.md; 29_Accessibility_and_Inclusive_Design_Plan.md</x:v>
      </x:c>
      <x:c r="I138" s="32" t="str">
        <x:v>Localization Plan v0.3–v0.5; UX/UI v0.3–v0.5</x:v>
      </x:c>
      <x:c r="J138" s="32" t="str">
        <x:v>Sprint 17 / H6</x:v>
      </x:c>
      <x:c r="K138" s="32" t="str">
        <x:v>Yes</x:v>
      </x:c>
      <x:c r="L138" s="32" t="str">
        <x:v>P1</x:v>
      </x:c>
      <x:c r="M138" s="32" t="str">
        <x:v>Localization/UX</x:v>
      </x:c>
      <x:c r="N138" s="32" t="str">
        <x:v>LQA/QA</x:v>
      </x:c>
      <x:c r="O138" s="32" t="str">
        <x:v>NOT RUN</x:v>
      </x:c>
      <x:c r="P138" s="32" t="str"/>
      <x:c r="Q138" s="32" t="str"/>
      <x:c r="R138" s="32" t="str"/>
      <x:c r="S138" s="32" t="str"/>
      <x:c r="T138" s="82" t="str"/>
      <x:c r="U138" s="32" t="str"/>
      <x:c r="V138" s="84" t="n">
        <x:v>1</x:v>
      </x:c>
      <x:c r="W138" s="84" t="n">
        <x:f>IF(OR($O138="PASS",$O138="EXCEPTION APPROVED",$O138="NOT APPLICABLE"),$V138,0)</x:f>
        <x:v>0</x:v>
      </x:c>
      <x:c r="X138" s="84" t="n">
        <x:f>IF(AND($K138="Yes",OR($O138="FAIL",$O138="BLOCKED",$O138="NOT RUN",$O138="IN PROGRESS")),1,0)</x:f>
        <x:v>1</x:v>
      </x:c>
      <x:c r="Y138" s="32" t="str">
        <x:f>IF($O138="FAIL","FAIL",IF($O138="BLOCKED","BLOCKED",IF(AND($O138="EXCEPTION APPROVED",$K138="Yes"),"REVIEW",IF($O138="PASS","OK","PENDING"))))</x:f>
        <x:v>PENDING</x:v>
      </x:c>
    </x:row>
    <x:row r="139">
      <x:c r="A139" s="32" t="str">
        <x:v>H6-LOC-011</x:v>
      </x:c>
      <x:c r="B139" s="32" t="str">
        <x:v>Localización ES/EN</x:v>
      </x:c>
      <x:c r="C139" s="32" t="str">
        <x:v>Control especializado</x:v>
      </x:c>
      <x:c r="D139" s="32" t="str">
        <x:v>Los archivos de localización, Shared Data, .meta y dependencias están versionados y sobreviven a clean checkout.</x:v>
      </x:c>
      <x:c r="E139" s="32" t="str">
        <x:v>Clonar/limpiar proyecto y generar build.</x:v>
      </x:c>
      <x:c r="F139" s="32" t="str">
        <x:v>Cumplimiento verificable sin desviaciones bloqueantes.</x:v>
      </x:c>
      <x:c r="G139" s="32" t="str">
        <x:v>Clean checkout record.</x:v>
      </x:c>
      <x:c r="H139" s="32" t="str">
        <x:v>22_Localization_Plan.md; 29_Accessibility_and_Inclusive_Design_Plan.md</x:v>
      </x:c>
      <x:c r="I139" s="32" t="str">
        <x:v>Localization Plan v0.3–v0.5; UX/UI v0.3–v0.5</x:v>
      </x:c>
      <x:c r="J139" s="32" t="str">
        <x:v>Sprint 17 / H6</x:v>
      </x:c>
      <x:c r="K139" s="32" t="str">
        <x:v>Yes</x:v>
      </x:c>
      <x:c r="L139" s="32" t="str">
        <x:v>P1</x:v>
      </x:c>
      <x:c r="M139" s="32" t="str">
        <x:v>Localization/UX</x:v>
      </x:c>
      <x:c r="N139" s="32" t="str">
        <x:v>LQA/QA</x:v>
      </x:c>
      <x:c r="O139" s="32" t="str">
        <x:v>NOT RUN</x:v>
      </x:c>
      <x:c r="P139" s="32" t="str"/>
      <x:c r="Q139" s="32" t="str"/>
      <x:c r="R139" s="32" t="str"/>
      <x:c r="S139" s="32" t="str"/>
      <x:c r="T139" s="82" t="str"/>
      <x:c r="U139" s="32" t="str"/>
      <x:c r="V139" s="84" t="n">
        <x:v>1</x:v>
      </x:c>
      <x:c r="W139" s="84" t="n">
        <x:f>IF(OR($O139="PASS",$O139="EXCEPTION APPROVED",$O139="NOT APPLICABLE"),$V139,0)</x:f>
        <x:v>0</x:v>
      </x:c>
      <x:c r="X139" s="84" t="n">
        <x:f>IF(AND($K139="Yes",OR($O139="FAIL",$O139="BLOCKED",$O139="NOT RUN",$O139="IN PROGRESS")),1,0)</x:f>
        <x:v>1</x:v>
      </x:c>
      <x:c r="Y139" s="32" t="str">
        <x:f>IF($O139="FAIL","FAIL",IF($O139="BLOCKED","BLOCKED",IF(AND($O139="EXCEPTION APPROVED",$K139="Yes"),"REVIEW",IF($O139="PASS","OK","PENDING"))))</x:f>
        <x:v>PENDING</x:v>
      </x:c>
    </x:row>
    <x:row r="140">
      <x:c r="A140" s="32" t="str">
        <x:v>H6-LOC-012</x:v>
      </x:c>
      <x:c r="B140" s="32" t="str">
        <x:v>Localización ES/EN</x:v>
      </x:c>
      <x:c r="C140" s="32" t="str">
        <x:v>Control especializado</x:v>
      </x:c>
      <x:c r="D140" s="32" t="str">
        <x:v>Player.log no contiene missing table, missing entry, glyph o format exception recurrentes.</x:v>
      </x:c>
      <x:c r="E140" s="32" t="str">
        <x:v>Revisar log tras Golden Path ES/EN.</x:v>
      </x:c>
      <x:c r="F140" s="32" t="str">
        <x:v>Cumplimiento verificable sin desviaciones bloqueantes.</x:v>
      </x:c>
      <x:c r="G140" s="32" t="str">
        <x:v>Player.log anotado.</x:v>
      </x:c>
      <x:c r="H140" s="32" t="str">
        <x:v>22_Localization_Plan.md; 29_Accessibility_and_Inclusive_Design_Plan.md</x:v>
      </x:c>
      <x:c r="I140" s="32" t="str">
        <x:v>Localization Plan v0.3–v0.5; UX/UI v0.3–v0.5</x:v>
      </x:c>
      <x:c r="J140" s="32" t="str">
        <x:v>Sprint 17 / H6</x:v>
      </x:c>
      <x:c r="K140" s="32" t="str">
        <x:v>Yes</x:v>
      </x:c>
      <x:c r="L140" s="32" t="str">
        <x:v>P1</x:v>
      </x:c>
      <x:c r="M140" s="32" t="str">
        <x:v>Localization/UX</x:v>
      </x:c>
      <x:c r="N140" s="32" t="str">
        <x:v>LQA/QA</x:v>
      </x:c>
      <x:c r="O140" s="32" t="str">
        <x:v>NOT RUN</x:v>
      </x:c>
      <x:c r="P140" s="32" t="str"/>
      <x:c r="Q140" s="32" t="str"/>
      <x:c r="R140" s="32" t="str"/>
      <x:c r="S140" s="32" t="str"/>
      <x:c r="T140" s="82" t="str"/>
      <x:c r="U140" s="32" t="str"/>
      <x:c r="V140" s="84" t="n">
        <x:v>1</x:v>
      </x:c>
      <x:c r="W140" s="84" t="n">
        <x:f>IF(OR($O140="PASS",$O140="EXCEPTION APPROVED",$O140="NOT APPLICABLE"),$V140,0)</x:f>
        <x:v>0</x:v>
      </x:c>
      <x:c r="X140" s="84" t="n">
        <x:f>IF(AND($K140="Yes",OR($O140="FAIL",$O140="BLOCKED",$O140="NOT RUN",$O140="IN PROGRESS")),1,0)</x:f>
        <x:v>1</x:v>
      </x:c>
      <x:c r="Y140" s="32" t="str">
        <x:f>IF($O140="FAIL","FAIL",IF($O140="BLOCKED","BLOCKED",IF(AND($O140="EXCEPTION APPROVED",$K140="Yes"),"REVIEW",IF($O140="PASS","OK","PENDING"))))</x:f>
        <x:v>PENDING</x:v>
      </x:c>
    </x:row>
    <x:row r="141">
      <x:c r="A141" s="32" t="str">
        <x:v>H6-LOC-013</x:v>
      </x:c>
      <x:c r="B141" s="32" t="str">
        <x:v>Localización ES/EN</x:v>
      </x:c>
      <x:c r="C141" s="32" t="str">
        <x:v>Control especializado</x:v>
      </x:c>
      <x:c r="D141" s="32" t="str">
        <x:v>La localización H6 funciona sin conexión de red.</x:v>
      </x:c>
      <x:c r="E141" s="32" t="str">
        <x:v>Ejecutar candidata offline en ambos idiomas.</x:v>
      </x:c>
      <x:c r="F141" s="32" t="str">
        <x:v>Cumplimiento verificable sin desviaciones bloqueantes.</x:v>
      </x:c>
      <x:c r="G141" s="32" t="str">
        <x:v>Acta offline.</x:v>
      </x:c>
      <x:c r="H141" s="32" t="str">
        <x:v>22_Localization_Plan.md; 29_Accessibility_and_Inclusive_Design_Plan.md</x:v>
      </x:c>
      <x:c r="I141" s="32" t="str">
        <x:v>Localization Plan v0.3–v0.5; UX/UI v0.3–v0.5</x:v>
      </x:c>
      <x:c r="J141" s="32" t="str">
        <x:v>Sprint 17 / H6</x:v>
      </x:c>
      <x:c r="K141" s="32" t="str">
        <x:v>Yes</x:v>
      </x:c>
      <x:c r="L141" s="32" t="str">
        <x:v>P1</x:v>
      </x:c>
      <x:c r="M141" s="32" t="str">
        <x:v>Localization/UX</x:v>
      </x:c>
      <x:c r="N141" s="32" t="str">
        <x:v>LQA/QA</x:v>
      </x:c>
      <x:c r="O141" s="32" t="str">
        <x:v>NOT RUN</x:v>
      </x:c>
      <x:c r="P141" s="32" t="str"/>
      <x:c r="Q141" s="32" t="str"/>
      <x:c r="R141" s="32" t="str"/>
      <x:c r="S141" s="32" t="str"/>
      <x:c r="T141" s="82" t="str"/>
      <x:c r="U141" s="32" t="str"/>
      <x:c r="V141" s="84" t="n">
        <x:v>1</x:v>
      </x:c>
      <x:c r="W141" s="84" t="n">
        <x:f>IF(OR($O141="PASS",$O141="EXCEPTION APPROVED",$O141="NOT APPLICABLE"),$V141,0)</x:f>
        <x:v>0</x:v>
      </x:c>
      <x:c r="X141" s="84" t="n">
        <x:f>IF(AND($K141="Yes",OR($O141="FAIL",$O141="BLOCKED",$O141="NOT RUN",$O141="IN PROGRESS")),1,0)</x:f>
        <x:v>1</x:v>
      </x:c>
      <x:c r="Y141" s="32" t="str">
        <x:f>IF($O141="FAIL","FAIL",IF($O141="BLOCKED","BLOCKED",IF(AND($O141="EXCEPTION APPROVED",$K141="Yes"),"REVIEW",IF($O141="PASS","OK","PENDING"))))</x:f>
        <x:v>PENDING</x:v>
      </x:c>
    </x:row>
    <x:row r="142">
      <x:c r="A142" s="32" t="str">
        <x:v>H6-LOC-014</x:v>
      </x:c>
      <x:c r="B142" s="32" t="str">
        <x:v>Localización ES/EN</x:v>
      </x:c>
      <x:c r="C142" s="32" t="str">
        <x:v>Control especializado</x:v>
      </x:c>
      <x:c r="D142" s="32" t="str">
        <x:v>Los créditos de traducción y proveedores están preparados sin exponer datos personales no autorizados.</x:v>
      </x:c>
      <x:c r="E142" s="32" t="str">
        <x:v>Revisar Legal Register y credits draft.</x:v>
      </x:c>
      <x:c r="F142" s="32" t="str">
        <x:v>Cumplimiento verificable sin desviaciones bloqueantes.</x:v>
      </x:c>
      <x:c r="G142" s="32" t="str">
        <x:v>Aprobación legal/privacidad.</x:v>
      </x:c>
      <x:c r="H142" s="32" t="str">
        <x:v>22_Localization_Plan.md; 29_Accessibility_and_Inclusive_Design_Plan.md</x:v>
      </x:c>
      <x:c r="I142" s="32" t="str">
        <x:v>Localization Plan v0.3–v0.5; UX/UI v0.3–v0.5</x:v>
      </x:c>
      <x:c r="J142" s="32" t="str">
        <x:v>Sprint 17 / H6</x:v>
      </x:c>
      <x:c r="K142" s="32" t="str">
        <x:v>Yes</x:v>
      </x:c>
      <x:c r="L142" s="32" t="str">
        <x:v>P1</x:v>
      </x:c>
      <x:c r="M142" s="32" t="str">
        <x:v>Localization/UX</x:v>
      </x:c>
      <x:c r="N142" s="32" t="str">
        <x:v>LQA/QA</x:v>
      </x:c>
      <x:c r="O142" s="32" t="str">
        <x:v>NOT RUN</x:v>
      </x:c>
      <x:c r="P142" s="32" t="str"/>
      <x:c r="Q142" s="32" t="str"/>
      <x:c r="R142" s="32" t="str"/>
      <x:c r="S142" s="32" t="str"/>
      <x:c r="T142" s="82" t="str"/>
      <x:c r="U142" s="32" t="str"/>
      <x:c r="V142" s="84" t="n">
        <x:v>1</x:v>
      </x:c>
      <x:c r="W142" s="84" t="n">
        <x:f>IF(OR($O142="PASS",$O142="EXCEPTION APPROVED",$O142="NOT APPLICABLE"),$V142,0)</x:f>
        <x:v>0</x:v>
      </x:c>
      <x:c r="X142" s="84" t="n">
        <x:f>IF(AND($K142="Yes",OR($O142="FAIL",$O142="BLOCKED",$O142="NOT RUN",$O142="IN PROGRESS")),1,0)</x:f>
        <x:v>1</x:v>
      </x:c>
      <x:c r="Y142" s="32" t="str">
        <x:f>IF($O142="FAIL","FAIL",IF($O142="BLOCKED","BLOCKED",IF(AND($O142="EXCEPTION APPROVED",$K142="Yes"),"REVIEW",IF($O142="PASS","OK","PENDING"))))</x:f>
        <x:v>PENDING</x:v>
      </x:c>
    </x:row>
    <x:row r="143">
      <x:c r="A143" s="32" t="str">
        <x:v>H6-ART-001</x:v>
      </x:c>
      <x:c r="B143" s="32" t="str">
        <x:v>Arte y presentación</x:v>
      </x:c>
      <x:c r="C143" s="32" t="str">
        <x:v>Control especializado</x:v>
      </x:c>
      <x:c r="D143" s="32" t="str">
        <x:v>La dirección visual de la candidata coincide con el target aprobado para Tier E/StoreInitial.</x:v>
      </x:c>
      <x:c r="E143" s="32" t="str">
        <x:v>Comparativa lado a lado con referencias aprobadas.</x:v>
      </x:c>
      <x:c r="F143" s="32" t="str">
        <x:v>Cumplimiento verificable sin desviaciones bloqueantes.</x:v>
      </x:c>
      <x:c r="G143" s="32" t="str">
        <x:v>Review board y signoff de arte.</x:v>
      </x:c>
      <x:c r="H143" s="32" t="str">
        <x:v>17_Art_Bible.md; 19_UI_Style_Guide.md; 23_Legal_Credits_and_Licenses_Register.xlsx</x:v>
      </x:c>
      <x:c r="I143" s="32" t="str">
        <x:v>Art Bible v0.3–v0.5; UI Guide v0.3–v0.5; historical asset records</x:v>
      </x:c>
      <x:c r="J143" s="32" t="str">
        <x:v>Sprint 16 / H6</x:v>
      </x:c>
      <x:c r="K143" s="32" t="str">
        <x:v>Yes</x:v>
      </x:c>
      <x:c r="L143" s="32" t="str">
        <x:v>P1</x:v>
      </x:c>
      <x:c r="M143" s="32" t="str">
        <x:v>Art</x:v>
      </x:c>
      <x:c r="N143" s="32" t="str">
        <x:v>Art Direction/Legal/QA</x:v>
      </x:c>
      <x:c r="O143" s="32" t="str">
        <x:v>NOT RUN</x:v>
      </x:c>
      <x:c r="P143" s="32" t="str"/>
      <x:c r="Q143" s="32" t="str"/>
      <x:c r="R143" s="32" t="str"/>
      <x:c r="S143" s="32" t="str"/>
      <x:c r="T143" s="82" t="str"/>
      <x:c r="U143" s="32" t="str"/>
      <x:c r="V143" s="84" t="n">
        <x:v>1</x:v>
      </x:c>
      <x:c r="W143" s="84" t="n">
        <x:f>IF(OR($O143="PASS",$O143="EXCEPTION APPROVED",$O143="NOT APPLICABLE"),$V143,0)</x:f>
        <x:v>0</x:v>
      </x:c>
      <x:c r="X143" s="84" t="n">
        <x:f>IF(AND($K143="Yes",OR($O143="FAIL",$O143="BLOCKED",$O143="NOT RUN",$O143="IN PROGRESS")),1,0)</x:f>
        <x:v>1</x:v>
      </x:c>
      <x:c r="Y143" s="32" t="str">
        <x:f>IF($O143="FAIL","FAIL",IF($O143="BLOCKED","BLOCKED",IF(AND($O143="EXCEPTION APPROVED",$K143="Yes"),"REVIEW",IF($O143="PASS","OK","PENDING"))))</x:f>
        <x:v>PENDING</x:v>
      </x:c>
    </x:row>
    <x:row r="144">
      <x:c r="A144" s="32" t="str">
        <x:v>H6-ART-002</x:v>
      </x:c>
      <x:c r="B144" s="32" t="str">
        <x:v>Arte y presentación</x:v>
      </x:c>
      <x:c r="C144" s="32" t="str">
        <x:v>Control especializado</x:v>
      </x:c>
      <x:c r="D144" s="32" t="str">
        <x:v>Los assets incluidos tienen escala, pivote, orientación, naming y prefab correctos.</x:v>
      </x:c>
      <x:c r="E144" s="32" t="str">
        <x:v>Auditoría de importación y prueba funcional.</x:v>
      </x:c>
      <x:c r="F144" s="32" t="str">
        <x:v>Cumplimiento verificable sin desviaciones bloqueantes.</x:v>
      </x:c>
      <x:c r="G144" s="32" t="str">
        <x:v>Asset validation report.</x:v>
      </x:c>
      <x:c r="H144" s="32" t="str">
        <x:v>17_Art_Bible.md; 19_UI_Style_Guide.md; 23_Legal_Credits_and_Licenses_Register.xlsx</x:v>
      </x:c>
      <x:c r="I144" s="32" t="str">
        <x:v>Art Bible v0.3–v0.5; UI Guide v0.3–v0.5; historical asset records</x:v>
      </x:c>
      <x:c r="J144" s="32" t="str">
        <x:v>Sprint 16 / H6</x:v>
      </x:c>
      <x:c r="K144" s="32" t="str">
        <x:v>Yes</x:v>
      </x:c>
      <x:c r="L144" s="32" t="str">
        <x:v>P1</x:v>
      </x:c>
      <x:c r="M144" s="32" t="str">
        <x:v>Art</x:v>
      </x:c>
      <x:c r="N144" s="32" t="str">
        <x:v>Art Direction/Legal/QA</x:v>
      </x:c>
      <x:c r="O144" s="32" t="str">
        <x:v>NOT RUN</x:v>
      </x:c>
      <x:c r="P144" s="32" t="str"/>
      <x:c r="Q144" s="32" t="str"/>
      <x:c r="R144" s="32" t="str"/>
      <x:c r="S144" s="32" t="str"/>
      <x:c r="T144" s="82" t="str"/>
      <x:c r="U144" s="32" t="str"/>
      <x:c r="V144" s="84" t="n">
        <x:v>1</x:v>
      </x:c>
      <x:c r="W144" s="84" t="n">
        <x:f>IF(OR($O144="PASS",$O144="EXCEPTION APPROVED",$O144="NOT APPLICABLE"),$V144,0)</x:f>
        <x:v>0</x:v>
      </x:c>
      <x:c r="X144" s="84" t="n">
        <x:f>IF(AND($K144="Yes",OR($O144="FAIL",$O144="BLOCKED",$O144="NOT RUN",$O144="IN PROGRESS")),1,0)</x:f>
        <x:v>1</x:v>
      </x:c>
      <x:c r="Y144" s="32" t="str">
        <x:f>IF($O144="FAIL","FAIL",IF($O144="BLOCKED","BLOCKED",IF(AND($O144="EXCEPTION APPROVED",$K144="Yes"),"REVIEW",IF($O144="PASS","OK","PENDING"))))</x:f>
        <x:v>PENDING</x:v>
      </x:c>
    </x:row>
    <x:row r="145">
      <x:c r="A145" s="32" t="str">
        <x:v>H6-ART-003</x:v>
      </x:c>
      <x:c r="B145" s="32" t="str">
        <x:v>Arte y presentación</x:v>
      </x:c>
      <x:c r="C145" s="32" t="str">
        <x:v>Control especializado</x:v>
      </x:c>
      <x:c r="D145" s="32" t="str">
        <x:v>No existen materiales rosas, texturas ausentes, UV rotas o normals invertidas visibles.</x:v>
      </x:c>
      <x:c r="E145" s="32" t="str">
        <x:v>Recorrido visual y revisión de logs de importación.</x:v>
      </x:c>
      <x:c r="F145" s="32" t="str">
        <x:v>Cumplimiento verificable sin desviaciones bloqueantes.</x:v>
      </x:c>
      <x:c r="G145" s="32" t="str">
        <x:v>Capturas y lista de incidencias.</x:v>
      </x:c>
      <x:c r="H145" s="32" t="str">
        <x:v>17_Art_Bible.md; 19_UI_Style_Guide.md; 23_Legal_Credits_and_Licenses_Register.xlsx</x:v>
      </x:c>
      <x:c r="I145" s="32" t="str">
        <x:v>Art Bible v0.3–v0.5; UI Guide v0.3–v0.5; historical asset records</x:v>
      </x:c>
      <x:c r="J145" s="32" t="str">
        <x:v>Sprint 16 / H6</x:v>
      </x:c>
      <x:c r="K145" s="32" t="str">
        <x:v>Yes</x:v>
      </x:c>
      <x:c r="L145" s="32" t="str">
        <x:v>P1</x:v>
      </x:c>
      <x:c r="M145" s="32" t="str">
        <x:v>Art</x:v>
      </x:c>
      <x:c r="N145" s="32" t="str">
        <x:v>Art Direction/Legal/QA</x:v>
      </x:c>
      <x:c r="O145" s="32" t="str">
        <x:v>NOT RUN</x:v>
      </x:c>
      <x:c r="P145" s="32" t="str"/>
      <x:c r="Q145" s="32" t="str"/>
      <x:c r="R145" s="32" t="str"/>
      <x:c r="S145" s="32" t="str"/>
      <x:c r="T145" s="82" t="str"/>
      <x:c r="U145" s="32" t="str"/>
      <x:c r="V145" s="84" t="n">
        <x:v>1</x:v>
      </x:c>
      <x:c r="W145" s="84" t="n">
        <x:f>IF(OR($O145="PASS",$O145="EXCEPTION APPROVED",$O145="NOT APPLICABLE"),$V145,0)</x:f>
        <x:v>0</x:v>
      </x:c>
      <x:c r="X145" s="84" t="n">
        <x:f>IF(AND($K145="Yes",OR($O145="FAIL",$O145="BLOCKED",$O145="NOT RUN",$O145="IN PROGRESS")),1,0)</x:f>
        <x:v>1</x:v>
      </x:c>
      <x:c r="Y145" s="32" t="str">
        <x:f>IF($O145="FAIL","FAIL",IF($O145="BLOCKED","BLOCKED",IF(AND($O145="EXCEPTION APPROVED",$K145="Yes"),"REVIEW",IF($O145="PASS","OK","PENDING"))))</x:f>
        <x:v>PENDING</x:v>
      </x:c>
    </x:row>
    <x:row r="146">
      <x:c r="A146" s="32" t="str">
        <x:v>H6-ART-004</x:v>
      </x:c>
      <x:c r="B146" s="32" t="str">
        <x:v>Arte y presentación</x:v>
      </x:c>
      <x:c r="C146" s="32" t="str">
        <x:v>Control especializado</x:v>
      </x:c>
      <x:c r="D146" s="32" t="str">
        <x:v>Las texturas y materiales respetan presupuestos y no introducen degradación severa.</x:v>
      </x:c>
      <x:c r="E146" s="32" t="str">
        <x:v>Auditar import settings y profiling de memoria/GPU.</x:v>
      </x:c>
      <x:c r="F146" s="32" t="str">
        <x:v>Cumplimiento verificable sin desviaciones bloqueantes.</x:v>
      </x:c>
      <x:c r="G146" s="32" t="str">
        <x:v>Informe de assets y profiler.</x:v>
      </x:c>
      <x:c r="H146" s="32" t="str">
        <x:v>17_Art_Bible.md; 19_UI_Style_Guide.md; 23_Legal_Credits_and_Licenses_Register.xlsx</x:v>
      </x:c>
      <x:c r="I146" s="32" t="str">
        <x:v>Art Bible v0.3–v0.5; UI Guide v0.3–v0.5; historical asset records</x:v>
      </x:c>
      <x:c r="J146" s="32" t="str">
        <x:v>Sprint 16 / H6</x:v>
      </x:c>
      <x:c r="K146" s="32" t="str">
        <x:v>Yes</x:v>
      </x:c>
      <x:c r="L146" s="32" t="str">
        <x:v>P1</x:v>
      </x:c>
      <x:c r="M146" s="32" t="str">
        <x:v>Art</x:v>
      </x:c>
      <x:c r="N146" s="32" t="str">
        <x:v>Art Direction/Legal/QA</x:v>
      </x:c>
      <x:c r="O146" s="32" t="str">
        <x:v>NOT RUN</x:v>
      </x:c>
      <x:c r="P146" s="32" t="str"/>
      <x:c r="Q146" s="32" t="str"/>
      <x:c r="R146" s="32" t="str"/>
      <x:c r="S146" s="32" t="str"/>
      <x:c r="T146" s="82" t="str"/>
      <x:c r="U146" s="32" t="str"/>
      <x:c r="V146" s="84" t="n">
        <x:v>1</x:v>
      </x:c>
      <x:c r="W146" s="84" t="n">
        <x:f>IF(OR($O146="PASS",$O146="EXCEPTION APPROVED",$O146="NOT APPLICABLE"),$V146,0)</x:f>
        <x:v>0</x:v>
      </x:c>
      <x:c r="X146" s="84" t="n">
        <x:f>IF(AND($K146="Yes",OR($O146="FAIL",$O146="BLOCKED",$O146="NOT RUN",$O146="IN PROGRESS")),1,0)</x:f>
        <x:v>1</x:v>
      </x:c>
      <x:c r="Y146" s="32" t="str">
        <x:f>IF($O146="FAIL","FAIL",IF($O146="BLOCKED","BLOCKED",IF(AND($O146="EXCEPTION APPROVED",$K146="Yes"),"REVIEW",IF($O146="PASS","OK","PENDING"))))</x:f>
        <x:v>PENDING</x:v>
      </x:c>
    </x:row>
    <x:row r="147">
      <x:c r="A147" s="32" t="str">
        <x:v>H6-ART-005</x:v>
      </x:c>
      <x:c r="B147" s="32" t="str">
        <x:v>Arte y presentación</x:v>
      </x:c>
      <x:c r="C147" s="32" t="str">
        <x:v>Control especializado</x:v>
      </x:c>
      <x:c r="D147" s="32" t="str">
        <x:v>Los LOD/culling aprobados no producen popping que impida leer productos o clientes.</x:v>
      </x:c>
      <x:c r="E147" s="32" t="str">
        <x:v>Recorrido de cámara a distancias extremas.</x:v>
      </x:c>
      <x:c r="F147" s="32" t="str">
        <x:v>Cumplimiento verificable sin desviaciones bloqueantes.</x:v>
      </x:c>
      <x:c r="G147" s="32" t="str">
        <x:v>Vídeo y capturas.</x:v>
      </x:c>
      <x:c r="H147" s="32" t="str">
        <x:v>17_Art_Bible.md; 19_UI_Style_Guide.md; 23_Legal_Credits_and_Licenses_Register.xlsx</x:v>
      </x:c>
      <x:c r="I147" s="32" t="str">
        <x:v>Art Bible v0.3–v0.5; UI Guide v0.3–v0.5; historical asset records</x:v>
      </x:c>
      <x:c r="J147" s="32" t="str">
        <x:v>Sprint 16 / H6</x:v>
      </x:c>
      <x:c r="K147" s="32" t="str">
        <x:v>Yes</x:v>
      </x:c>
      <x:c r="L147" s="32" t="str">
        <x:v>P1</x:v>
      </x:c>
      <x:c r="M147" s="32" t="str">
        <x:v>Art</x:v>
      </x:c>
      <x:c r="N147" s="32" t="str">
        <x:v>Art Direction/Legal/QA</x:v>
      </x:c>
      <x:c r="O147" s="32" t="str">
        <x:v>NOT RUN</x:v>
      </x:c>
      <x:c r="P147" s="32" t="str"/>
      <x:c r="Q147" s="32" t="str"/>
      <x:c r="R147" s="32" t="str"/>
      <x:c r="S147" s="32" t="str"/>
      <x:c r="T147" s="82" t="str"/>
      <x:c r="U147" s="32" t="str"/>
      <x:c r="V147" s="84" t="n">
        <x:v>1</x:v>
      </x:c>
      <x:c r="W147" s="84" t="n">
        <x:f>IF(OR($O147="PASS",$O147="EXCEPTION APPROVED",$O147="NOT APPLICABLE"),$V147,0)</x:f>
        <x:v>0</x:v>
      </x:c>
      <x:c r="X147" s="84" t="n">
        <x:f>IF(AND($K147="Yes",OR($O147="FAIL",$O147="BLOCKED",$O147="NOT RUN",$O147="IN PROGRESS")),1,0)</x:f>
        <x:v>1</x:v>
      </x:c>
      <x:c r="Y147" s="32" t="str">
        <x:f>IF($O147="FAIL","FAIL",IF($O147="BLOCKED","BLOCKED",IF(AND($O147="EXCEPTION APPROVED",$K147="Yes"),"REVIEW",IF($O147="PASS","OK","PENDING"))))</x:f>
        <x:v>PENDING</x:v>
      </x:c>
    </x:row>
    <x:row r="148">
      <x:c r="A148" s="32" t="str">
        <x:v>H6-ART-006</x:v>
      </x:c>
      <x:c r="B148" s="32" t="str">
        <x:v>Arte y presentación</x:v>
      </x:c>
      <x:c r="C148" s="32" t="str">
        <x:v>Control especializado</x:v>
      </x:c>
      <x:c r="D148" s="32" t="str">
        <x:v>VFX y partículas no generan flashes, obstrucción o movimiento incompatible con preferencias.</x:v>
      </x:c>
      <x:c r="E148" s="32" t="str">
        <x:v>Prueba normal y reduce motion.</x:v>
      </x:c>
      <x:c r="F148" s="32" t="str">
        <x:v>Cumplimiento verificable sin desviaciones bloqueantes.</x:v>
      </x:c>
      <x:c r="G148" s="32" t="str">
        <x:v>Checklist VFX/accessibility.</x:v>
      </x:c>
      <x:c r="H148" s="32" t="str">
        <x:v>17_Art_Bible.md; 19_UI_Style_Guide.md; 23_Legal_Credits_and_Licenses_Register.xlsx</x:v>
      </x:c>
      <x:c r="I148" s="32" t="str">
        <x:v>Art Bible v0.3–v0.5; UI Guide v0.3–v0.5; historical asset records</x:v>
      </x:c>
      <x:c r="J148" s="32" t="str">
        <x:v>Sprint 16 / H6</x:v>
      </x:c>
      <x:c r="K148" s="32" t="str">
        <x:v>Yes</x:v>
      </x:c>
      <x:c r="L148" s="32" t="str">
        <x:v>P1</x:v>
      </x:c>
      <x:c r="M148" s="32" t="str">
        <x:v>Art</x:v>
      </x:c>
      <x:c r="N148" s="32" t="str">
        <x:v>Art Direction/Legal/QA</x:v>
      </x:c>
      <x:c r="O148" s="32" t="str">
        <x:v>NOT RUN</x:v>
      </x:c>
      <x:c r="P148" s="32" t="str"/>
      <x:c r="Q148" s="32" t="str"/>
      <x:c r="R148" s="32" t="str"/>
      <x:c r="S148" s="32" t="str"/>
      <x:c r="T148" s="82" t="str"/>
      <x:c r="U148" s="32" t="str"/>
      <x:c r="V148" s="84" t="n">
        <x:v>1</x:v>
      </x:c>
      <x:c r="W148" s="84" t="n">
        <x:f>IF(OR($O148="PASS",$O148="EXCEPTION APPROVED",$O148="NOT APPLICABLE"),$V148,0)</x:f>
        <x:v>0</x:v>
      </x:c>
      <x:c r="X148" s="84" t="n">
        <x:f>IF(AND($K148="Yes",OR($O148="FAIL",$O148="BLOCKED",$O148="NOT RUN",$O148="IN PROGRESS")),1,0)</x:f>
        <x:v>1</x:v>
      </x:c>
      <x:c r="Y148" s="32" t="str">
        <x:f>IF($O148="FAIL","FAIL",IF($O148="BLOCKED","BLOCKED",IF(AND($O148="EXCEPTION APPROVED",$K148="Yes"),"REVIEW",IF($O148="PASS","OK","PENDING"))))</x:f>
        <x:v>PENDING</x:v>
      </x:c>
    </x:row>
    <x:row r="149">
      <x:c r="A149" s="32" t="str">
        <x:v>H6-ART-007</x:v>
      </x:c>
      <x:c r="B149" s="32" t="str">
        <x:v>Arte y presentación</x:v>
      </x:c>
      <x:c r="C149" s="32" t="str">
        <x:v>Control especializado</x:v>
      </x:c>
      <x:c r="D149" s="32" t="str">
        <x:v>La UI utiliza sprites, iconos y estados coherentes con la guía visual.</x:v>
      </x:c>
      <x:c r="E149" s="32" t="str">
        <x:v>Auditoría de pantallas y componentes.</x:v>
      </x:c>
      <x:c r="F149" s="32" t="str">
        <x:v>Cumplimiento verificable sin desviaciones bloqueantes.</x:v>
      </x:c>
      <x:c r="G149" s="32" t="str">
        <x:v>UI visual audit.</x:v>
      </x:c>
      <x:c r="H149" s="32" t="str">
        <x:v>17_Art_Bible.md; 19_UI_Style_Guide.md; 23_Legal_Credits_and_Licenses_Register.xlsx</x:v>
      </x:c>
      <x:c r="I149" s="32" t="str">
        <x:v>Art Bible v0.3–v0.5; UI Guide v0.3–v0.5; historical asset records</x:v>
      </x:c>
      <x:c r="J149" s="32" t="str">
        <x:v>Sprint 16 / H6</x:v>
      </x:c>
      <x:c r="K149" s="32" t="str">
        <x:v>Yes</x:v>
      </x:c>
      <x:c r="L149" s="32" t="str">
        <x:v>P1</x:v>
      </x:c>
      <x:c r="M149" s="32" t="str">
        <x:v>Art</x:v>
      </x:c>
      <x:c r="N149" s="32" t="str">
        <x:v>Art Direction/Legal/QA</x:v>
      </x:c>
      <x:c r="O149" s="32" t="str">
        <x:v>NOT RUN</x:v>
      </x:c>
      <x:c r="P149" s="32" t="str"/>
      <x:c r="Q149" s="32" t="str"/>
      <x:c r="R149" s="32" t="str"/>
      <x:c r="S149" s="32" t="str"/>
      <x:c r="T149" s="82" t="str"/>
      <x:c r="U149" s="32" t="str"/>
      <x:c r="V149" s="84" t="n">
        <x:v>1</x:v>
      </x:c>
      <x:c r="W149" s="84" t="n">
        <x:f>IF(OR($O149="PASS",$O149="EXCEPTION APPROVED",$O149="NOT APPLICABLE"),$V149,0)</x:f>
        <x:v>0</x:v>
      </x:c>
      <x:c r="X149" s="84" t="n">
        <x:f>IF(AND($K149="Yes",OR($O149="FAIL",$O149="BLOCKED",$O149="NOT RUN",$O149="IN PROGRESS")),1,0)</x:f>
        <x:v>1</x:v>
      </x:c>
      <x:c r="Y149" s="32" t="str">
        <x:f>IF($O149="FAIL","FAIL",IF($O149="BLOCKED","BLOCKED",IF(AND($O149="EXCEPTION APPROVED",$K149="Yes"),"REVIEW",IF($O149="PASS","OK","PENDING"))))</x:f>
        <x:v>PENDING</x:v>
      </x:c>
    </x:row>
    <x:row r="150">
      <x:c r="A150" s="32" t="str">
        <x:v>H6-ART-008</x:v>
      </x:c>
      <x:c r="B150" s="32" t="str">
        <x:v>Arte y presentación</x:v>
      </x:c>
      <x:c r="C150" s="32" t="str">
        <x:v>Control especializado</x:v>
      </x:c>
      <x:c r="D150" s="32" t="str">
        <x:v>Las capturas de evidencia se obtienen de la build candidata sin overlays de debug.</x:v>
      </x:c>
      <x:c r="E150" s="32" t="str">
        <x:v>Comparar build ID y capturas.</x:v>
      </x:c>
      <x:c r="F150" s="32" t="str">
        <x:v>Cumplimiento verificable sin desviaciones bloqueantes.</x:v>
      </x:c>
      <x:c r="G150" s="32" t="str">
        <x:v>Set de capturas con metadata.</x:v>
      </x:c>
      <x:c r="H150" s="32" t="str">
        <x:v>17_Art_Bible.md; 19_UI_Style_Guide.md; 23_Legal_Credits_and_Licenses_Register.xlsx</x:v>
      </x:c>
      <x:c r="I150" s="32" t="str">
        <x:v>Art Bible v0.3–v0.5; UI Guide v0.3–v0.5; historical asset records</x:v>
      </x:c>
      <x:c r="J150" s="32" t="str">
        <x:v>Sprint 16 / H6</x:v>
      </x:c>
      <x:c r="K150" s="32" t="str">
        <x:v>Yes</x:v>
      </x:c>
      <x:c r="L150" s="32" t="str">
        <x:v>P1</x:v>
      </x:c>
      <x:c r="M150" s="32" t="str">
        <x:v>Art</x:v>
      </x:c>
      <x:c r="N150" s="32" t="str">
        <x:v>Art Direction/Legal/QA</x:v>
      </x:c>
      <x:c r="O150" s="32" t="str">
        <x:v>NOT RUN</x:v>
      </x:c>
      <x:c r="P150" s="32" t="str"/>
      <x:c r="Q150" s="32" t="str"/>
      <x:c r="R150" s="32" t="str"/>
      <x:c r="S150" s="32" t="str"/>
      <x:c r="T150" s="82" t="str"/>
      <x:c r="U150" s="32" t="str"/>
      <x:c r="V150" s="84" t="n">
        <x:v>1</x:v>
      </x:c>
      <x:c r="W150" s="84" t="n">
        <x:f>IF(OR($O150="PASS",$O150="EXCEPTION APPROVED",$O150="NOT APPLICABLE"),$V150,0)</x:f>
        <x:v>0</x:v>
      </x:c>
      <x:c r="X150" s="84" t="n">
        <x:f>IF(AND($K150="Yes",OR($O150="FAIL",$O150="BLOCKED",$O150="NOT RUN",$O150="IN PROGRESS")),1,0)</x:f>
        <x:v>1</x:v>
      </x:c>
      <x:c r="Y150" s="32" t="str">
        <x:f>IF($O150="FAIL","FAIL",IF($O150="BLOCKED","BLOCKED",IF(AND($O150="EXCEPTION APPROVED",$K150="Yes"),"REVIEW",IF($O150="PASS","OK","PENDING"))))</x:f>
        <x:v>PENDING</x:v>
      </x:c>
    </x:row>
    <x:row r="151">
      <x:c r="A151" s="32" t="str">
        <x:v>H6-ART-009</x:v>
      </x:c>
      <x:c r="B151" s="32" t="str">
        <x:v>Arte y presentación</x:v>
      </x:c>
      <x:c r="C151" s="32" t="str">
        <x:v>Control especializado</x:v>
      </x:c>
      <x:c r="D151" s="32" t="str">
        <x:v>Los personajes/clientes/proveedores mantienen diversidad y claridad sin estereotipos dañinos.</x:v>
      </x:c>
      <x:c r="E151" s="32" t="str">
        <x:v>Revisión inclusiva de modelos, ropa y nomenclatura.</x:v>
      </x:c>
      <x:c r="F151" s="32" t="str">
        <x:v>Cumplimiento verificable sin desviaciones bloqueantes.</x:v>
      </x:c>
      <x:c r="G151" s="32" t="str">
        <x:v>Acta de revisión inclusiva.</x:v>
      </x:c>
      <x:c r="H151" s="32" t="str">
        <x:v>17_Art_Bible.md; 19_UI_Style_Guide.md; 23_Legal_Credits_and_Licenses_Register.xlsx</x:v>
      </x:c>
      <x:c r="I151" s="32" t="str">
        <x:v>Art Bible v0.3–v0.5; UI Guide v0.3–v0.5; historical asset records</x:v>
      </x:c>
      <x:c r="J151" s="32" t="str">
        <x:v>Sprint 16 / H6</x:v>
      </x:c>
      <x:c r="K151" s="32" t="str">
        <x:v>Yes</x:v>
      </x:c>
      <x:c r="L151" s="32" t="str">
        <x:v>P1</x:v>
      </x:c>
      <x:c r="M151" s="32" t="str">
        <x:v>Art</x:v>
      </x:c>
      <x:c r="N151" s="32" t="str">
        <x:v>Art Direction/Legal/QA</x:v>
      </x:c>
      <x:c r="O151" s="32" t="str">
        <x:v>NOT RUN</x:v>
      </x:c>
      <x:c r="P151" s="32" t="str"/>
      <x:c r="Q151" s="32" t="str"/>
      <x:c r="R151" s="32" t="str"/>
      <x:c r="S151" s="32" t="str"/>
      <x:c r="T151" s="82" t="str"/>
      <x:c r="U151" s="32" t="str"/>
      <x:c r="V151" s="84" t="n">
        <x:v>1</x:v>
      </x:c>
      <x:c r="W151" s="84" t="n">
        <x:f>IF(OR($O151="PASS",$O151="EXCEPTION APPROVED",$O151="NOT APPLICABLE"),$V151,0)</x:f>
        <x:v>0</x:v>
      </x:c>
      <x:c r="X151" s="84" t="n">
        <x:f>IF(AND($K151="Yes",OR($O151="FAIL",$O151="BLOCKED",$O151="NOT RUN",$O151="IN PROGRESS")),1,0)</x:f>
        <x:v>1</x:v>
      </x:c>
      <x:c r="Y151" s="32" t="str">
        <x:f>IF($O151="FAIL","FAIL",IF($O151="BLOCKED","BLOCKED",IF(AND($O151="EXCEPTION APPROVED",$K151="Yes"),"REVIEW",IF($O151="PASS","OK","PENDING"))))</x:f>
        <x:v>PENDING</x:v>
      </x:c>
    </x:row>
    <x:row r="152">
      <x:c r="A152" s="32" t="str">
        <x:v>H6-ART-010</x:v>
      </x:c>
      <x:c r="B152" s="32" t="str">
        <x:v>Arte y presentación</x:v>
      </x:c>
      <x:c r="C152" s="32" t="str">
        <x:v>Control especializado</x:v>
      </x:c>
      <x:c r="D152" s="32" t="str">
        <x:v>La densidad visual no oculta feedback crítico ni puntos de interacción.</x:v>
      </x:c>
      <x:c r="E152" s="32" t="str">
        <x:v>Pruebas en configuración de tienda cargada.</x:v>
      </x:c>
      <x:c r="F152" s="32" t="str">
        <x:v>Cumplimiento verificable sin desviaciones bloqueantes.</x:v>
      </x:c>
      <x:c r="G152" s="32" t="str">
        <x:v>Capturas y observaciones UX.</x:v>
      </x:c>
      <x:c r="H152" s="32" t="str">
        <x:v>17_Art_Bible.md; 19_UI_Style_Guide.md; 23_Legal_Credits_and_Licenses_Register.xlsx</x:v>
      </x:c>
      <x:c r="I152" s="32" t="str">
        <x:v>Art Bible v0.3–v0.5; UI Guide v0.3–v0.5; historical asset records</x:v>
      </x:c>
      <x:c r="J152" s="32" t="str">
        <x:v>Sprint 16 / H6</x:v>
      </x:c>
      <x:c r="K152" s="32" t="str">
        <x:v>Yes</x:v>
      </x:c>
      <x:c r="L152" s="32" t="str">
        <x:v>P1</x:v>
      </x:c>
      <x:c r="M152" s="32" t="str">
        <x:v>Art</x:v>
      </x:c>
      <x:c r="N152" s="32" t="str">
        <x:v>Art Direction/Legal/QA</x:v>
      </x:c>
      <x:c r="O152" s="32" t="str">
        <x:v>NOT RUN</x:v>
      </x:c>
      <x:c r="P152" s="32" t="str"/>
      <x:c r="Q152" s="32" t="str"/>
      <x:c r="R152" s="32" t="str"/>
      <x:c r="S152" s="32" t="str"/>
      <x:c r="T152" s="82" t="str"/>
      <x:c r="U152" s="32" t="str"/>
      <x:c r="V152" s="84" t="n">
        <x:v>1</x:v>
      </x:c>
      <x:c r="W152" s="84" t="n">
        <x:f>IF(OR($O152="PASS",$O152="EXCEPTION APPROVED",$O152="NOT APPLICABLE"),$V152,0)</x:f>
        <x:v>0</x:v>
      </x:c>
      <x:c r="X152" s="84" t="n">
        <x:f>IF(AND($K152="Yes",OR($O152="FAIL",$O152="BLOCKED",$O152="NOT RUN",$O152="IN PROGRESS")),1,0)</x:f>
        <x:v>1</x:v>
      </x:c>
      <x:c r="Y152" s="32" t="str">
        <x:f>IF($O152="FAIL","FAIL",IF($O152="BLOCKED","BLOCKED",IF(AND($O152="EXCEPTION APPROVED",$K152="Yes"),"REVIEW",IF($O152="PASS","OK","PENDING"))))</x:f>
        <x:v>PENDING</x:v>
      </x:c>
    </x:row>
    <x:row r="153">
      <x:c r="A153" s="32" t="str">
        <x:v>H6-ART-011</x:v>
      </x:c>
      <x:c r="B153" s="32" t="str">
        <x:v>Arte y presentación</x:v>
      </x:c>
      <x:c r="C153" s="32" t="str">
        <x:v>Control especializado</x:v>
      </x:c>
      <x:c r="D153" s="32" t="str">
        <x:v>Los assets de terceros usados en H6 están vinculados a una licencia/procedencia registrada.</x:v>
      </x:c>
      <x:c r="E153" s="32" t="str">
        <x:v>Cruzar Asset GUID/path con 23.</x:v>
      </x:c>
      <x:c r="F153" s="32" t="str">
        <x:v>Cumplimiento verificable sin desviaciones bloqueantes.</x:v>
      </x:c>
      <x:c r="G153" s="32" t="str">
        <x:v>Reporte de cobertura legal.</x:v>
      </x:c>
      <x:c r="H153" s="32" t="str">
        <x:v>17_Art_Bible.md; 19_UI_Style_Guide.md; 23_Legal_Credits_and_Licenses_Register.xlsx</x:v>
      </x:c>
      <x:c r="I153" s="32" t="str">
        <x:v>Art Bible v0.3–v0.5; UI Guide v0.3–v0.5; historical asset records</x:v>
      </x:c>
      <x:c r="J153" s="32" t="str">
        <x:v>Sprint 16 / H6</x:v>
      </x:c>
      <x:c r="K153" s="32" t="str">
        <x:v>Yes</x:v>
      </x:c>
      <x:c r="L153" s="32" t="str">
        <x:v>P1</x:v>
      </x:c>
      <x:c r="M153" s="32" t="str">
        <x:v>Art</x:v>
      </x:c>
      <x:c r="N153" s="32" t="str">
        <x:v>Art Direction/Legal/QA</x:v>
      </x:c>
      <x:c r="O153" s="32" t="str">
        <x:v>NOT RUN</x:v>
      </x:c>
      <x:c r="P153" s="32" t="str"/>
      <x:c r="Q153" s="32" t="str"/>
      <x:c r="R153" s="32" t="str"/>
      <x:c r="S153" s="32" t="str"/>
      <x:c r="T153" s="82" t="str"/>
      <x:c r="U153" s="32" t="str"/>
      <x:c r="V153" s="84" t="n">
        <x:v>1</x:v>
      </x:c>
      <x:c r="W153" s="84" t="n">
        <x:f>IF(OR($O153="PASS",$O153="EXCEPTION APPROVED",$O153="NOT APPLICABLE"),$V153,0)</x:f>
        <x:v>0</x:v>
      </x:c>
      <x:c r="X153" s="84" t="n">
        <x:f>IF(AND($K153="Yes",OR($O153="FAIL",$O153="BLOCKED",$O153="NOT RUN",$O153="IN PROGRESS")),1,0)</x:f>
        <x:v>1</x:v>
      </x:c>
      <x:c r="Y153" s="32" t="str">
        <x:f>IF($O153="FAIL","FAIL",IF($O153="BLOCKED","BLOCKED",IF(AND($O153="EXCEPTION APPROVED",$K153="Yes"),"REVIEW",IF($O153="PASS","OK","PENDING"))))</x:f>
        <x:v>PENDING</x:v>
      </x:c>
    </x:row>
    <x:row r="154">
      <x:c r="A154" s="32" t="str">
        <x:v>H6-ART-012</x:v>
      </x:c>
      <x:c r="B154" s="32" t="str">
        <x:v>Arte y presentación</x:v>
      </x:c>
      <x:c r="C154" s="32" t="str">
        <x:v>Control especializado</x:v>
      </x:c>
      <x:c r="D154" s="32" t="str">
        <x:v>No se reutilizan marcas reales, logos o trade dress no autorizados.</x:v>
      </x:c>
      <x:c r="E154" s="32" t="str">
        <x:v>Revisión visual/legal de todos los assets visibles.</x:v>
      </x:c>
      <x:c r="F154" s="32" t="str">
        <x:v>Cumplimiento verificable sin desviaciones bloqueantes.</x:v>
      </x:c>
      <x:c r="G154" s="32" t="str">
        <x:v>Legal art clearance.</x:v>
      </x:c>
      <x:c r="H154" s="32" t="str">
        <x:v>17_Art_Bible.md; 19_UI_Style_Guide.md; 23_Legal_Credits_and_Licenses_Register.xlsx</x:v>
      </x:c>
      <x:c r="I154" s="32" t="str">
        <x:v>Art Bible v0.3–v0.5; UI Guide v0.3–v0.5; historical asset records</x:v>
      </x:c>
      <x:c r="J154" s="32" t="str">
        <x:v>Sprint 16 / H6</x:v>
      </x:c>
      <x:c r="K154" s="32" t="str">
        <x:v>Yes</x:v>
      </x:c>
      <x:c r="L154" s="32" t="str">
        <x:v>P1</x:v>
      </x:c>
      <x:c r="M154" s="32" t="str">
        <x:v>Art</x:v>
      </x:c>
      <x:c r="N154" s="32" t="str">
        <x:v>Art Direction/Legal/QA</x:v>
      </x:c>
      <x:c r="O154" s="32" t="str">
        <x:v>NOT RUN</x:v>
      </x:c>
      <x:c r="P154" s="32" t="str"/>
      <x:c r="Q154" s="32" t="str"/>
      <x:c r="R154" s="32" t="str"/>
      <x:c r="S154" s="32" t="str"/>
      <x:c r="T154" s="82" t="str"/>
      <x:c r="U154" s="32" t="str"/>
      <x:c r="V154" s="84" t="n">
        <x:v>1</x:v>
      </x:c>
      <x:c r="W154" s="84" t="n">
        <x:f>IF(OR($O154="PASS",$O154="EXCEPTION APPROVED",$O154="NOT APPLICABLE"),$V154,0)</x:f>
        <x:v>0</x:v>
      </x:c>
      <x:c r="X154" s="84" t="n">
        <x:f>IF(AND($K154="Yes",OR($O154="FAIL",$O154="BLOCKED",$O154="NOT RUN",$O154="IN PROGRESS")),1,0)</x:f>
        <x:v>1</x:v>
      </x:c>
      <x:c r="Y154" s="32" t="str">
        <x:f>IF($O154="FAIL","FAIL",IF($O154="BLOCKED","BLOCKED",IF(AND($O154="EXCEPTION APPROVED",$K154="Yes"),"REVIEW",IF($O154="PASS","OK","PENDING"))))</x:f>
        <x:v>PENDING</x:v>
      </x:c>
    </x:row>
    <x:row r="155">
      <x:c r="A155" s="32" t="str">
        <x:v>H6-AUD-001</x:v>
      </x:c>
      <x:c r="B155" s="32" t="str">
        <x:v>Audio</x:v>
      </x:c>
      <x:c r="C155" s="32" t="str">
        <x:v>Control especializado</x:v>
      </x:c>
      <x:c r="D155" s="32" t="str">
        <x:v>Las acciones críticas incluidas tienen feedback sonoro o alternativa visual aprobada.</x:v>
      </x:c>
      <x:c r="E155" s="32" t="str">
        <x:v>Recorrer Golden Path con audio y con audio silenciado.</x:v>
      </x:c>
      <x:c r="F155" s="32" t="str">
        <x:v>Cumplimiento verificable sin desviaciones bloqueantes.</x:v>
      </x:c>
      <x:c r="G155" s="32" t="str">
        <x:v>Audio cue checklist.</x:v>
      </x:c>
      <x:c r="H155" s="32" t="str">
        <x:v>18_Audio_Bible.md; 23_Legal_Credits_and_Licenses_Register.xlsx; 29_Accessibility_and_Inclusive_Design_Plan.md</x:v>
      </x:c>
      <x:c r="I155" s="32" t="str">
        <x:v>Audio Bible v0.3–v0.5; Legal Register v0.3–v0.5</x:v>
      </x:c>
      <x:c r="J155" s="32" t="str">
        <x:v>H6</x:v>
      </x:c>
      <x:c r="K155" s="32" t="str">
        <x:v>Yes</x:v>
      </x:c>
      <x:c r="L155" s="32" t="str">
        <x:v>P1</x:v>
      </x:c>
      <x:c r="M155" s="32" t="str">
        <x:v>Audio</x:v>
      </x:c>
      <x:c r="N155" s="32" t="str">
        <x:v>QA/Legal</x:v>
      </x:c>
      <x:c r="O155" s="32" t="str">
        <x:v>NOT RUN</x:v>
      </x:c>
      <x:c r="P155" s="32" t="str"/>
      <x:c r="Q155" s="32" t="str"/>
      <x:c r="R155" s="32" t="str"/>
      <x:c r="S155" s="32" t="str"/>
      <x:c r="T155" s="82" t="str"/>
      <x:c r="U155" s="32" t="str"/>
      <x:c r="V155" s="84" t="n">
        <x:v>1</x:v>
      </x:c>
      <x:c r="W155" s="84" t="n">
        <x:f>IF(OR($O155="PASS",$O155="EXCEPTION APPROVED",$O155="NOT APPLICABLE"),$V155,0)</x:f>
        <x:v>0</x:v>
      </x:c>
      <x:c r="X155" s="84" t="n">
        <x:f>IF(AND($K155="Yes",OR($O155="FAIL",$O155="BLOCKED",$O155="NOT RUN",$O155="IN PROGRESS")),1,0)</x:f>
        <x:v>1</x:v>
      </x:c>
      <x:c r="Y155" s="32" t="str">
        <x:f>IF($O155="FAIL","FAIL",IF($O155="BLOCKED","BLOCKED",IF(AND($O155="EXCEPTION APPROVED",$K155="Yes"),"REVIEW",IF($O155="PASS","OK","PENDING"))))</x:f>
        <x:v>PENDING</x:v>
      </x:c>
    </x:row>
    <x:row r="156">
      <x:c r="A156" s="32" t="str">
        <x:v>H6-AUD-002</x:v>
      </x:c>
      <x:c r="B156" s="32" t="str">
        <x:v>Audio</x:v>
      </x:c>
      <x:c r="C156" s="32" t="str">
        <x:v>Control especializado</x:v>
      </x:c>
      <x:c r="D156" s="32" t="str">
        <x:v>Los buses/canales de volumen funcionan y persisten.</x:v>
      </x:c>
      <x:c r="E156" s="32" t="str">
        <x:v>Probar master, música, SFX y otros canales definidos.</x:v>
      </x:c>
      <x:c r="F156" s="32" t="str">
        <x:v>Cumplimiento verificable sin desviaciones bloqueantes.</x:v>
      </x:c>
      <x:c r="G156" s="32" t="str">
        <x:v>Matriz de audio settings.</x:v>
      </x:c>
      <x:c r="H156" s="32" t="str">
        <x:v>18_Audio_Bible.md; 23_Legal_Credits_and_Licenses_Register.xlsx; 29_Accessibility_and_Inclusive_Design_Plan.md</x:v>
      </x:c>
      <x:c r="I156" s="32" t="str">
        <x:v>Audio Bible v0.3–v0.5; Legal Register v0.3–v0.5</x:v>
      </x:c>
      <x:c r="J156" s="32" t="str">
        <x:v>H6</x:v>
      </x:c>
      <x:c r="K156" s="32" t="str">
        <x:v>Yes</x:v>
      </x:c>
      <x:c r="L156" s="32" t="str">
        <x:v>P1</x:v>
      </x:c>
      <x:c r="M156" s="32" t="str">
        <x:v>Audio</x:v>
      </x:c>
      <x:c r="N156" s="32" t="str">
        <x:v>QA/Legal</x:v>
      </x:c>
      <x:c r="O156" s="32" t="str">
        <x:v>NOT RUN</x:v>
      </x:c>
      <x:c r="P156" s="32" t="str"/>
      <x:c r="Q156" s="32" t="str"/>
      <x:c r="R156" s="32" t="str"/>
      <x:c r="S156" s="32" t="str"/>
      <x:c r="T156" s="82" t="str"/>
      <x:c r="U156" s="32" t="str"/>
      <x:c r="V156" s="84" t="n">
        <x:v>1</x:v>
      </x:c>
      <x:c r="W156" s="84" t="n">
        <x:f>IF(OR($O156="PASS",$O156="EXCEPTION APPROVED",$O156="NOT APPLICABLE"),$V156,0)</x:f>
        <x:v>0</x:v>
      </x:c>
      <x:c r="X156" s="84" t="n">
        <x:f>IF(AND($K156="Yes",OR($O156="FAIL",$O156="BLOCKED",$O156="NOT RUN",$O156="IN PROGRESS")),1,0)</x:f>
        <x:v>1</x:v>
      </x:c>
      <x:c r="Y156" s="32" t="str">
        <x:f>IF($O156="FAIL","FAIL",IF($O156="BLOCKED","BLOCKED",IF(AND($O156="EXCEPTION APPROVED",$K156="Yes"),"REVIEW",IF($O156="PASS","OK","PENDING"))))</x:f>
        <x:v>PENDING</x:v>
      </x:c>
    </x:row>
    <x:row r="157">
      <x:c r="A157" s="32" t="str">
        <x:v>H6-AUD-003</x:v>
      </x:c>
      <x:c r="B157" s="32" t="str">
        <x:v>Audio</x:v>
      </x:c>
      <x:c r="C157" s="32" t="str">
        <x:v>Control especializado</x:v>
      </x:c>
      <x:c r="D157" s="32" t="str">
        <x:v>No existen clips ausentes, referencias rotas o errores de reproducción recurrentes.</x:v>
      </x:c>
      <x:c r="E157" s="32" t="str">
        <x:v>Revisar escena, consola y Player.log.</x:v>
      </x:c>
      <x:c r="F157" s="32" t="str">
        <x:v>Cumplimiento verificable sin desviaciones bloqueantes.</x:v>
      </x:c>
      <x:c r="G157" s="32" t="str">
        <x:v>Audio validation report.</x:v>
      </x:c>
      <x:c r="H157" s="32" t="str">
        <x:v>18_Audio_Bible.md; 23_Legal_Credits_and_Licenses_Register.xlsx; 29_Accessibility_and_Inclusive_Design_Plan.md</x:v>
      </x:c>
      <x:c r="I157" s="32" t="str">
        <x:v>Audio Bible v0.3–v0.5; Legal Register v0.3–v0.5</x:v>
      </x:c>
      <x:c r="J157" s="32" t="str">
        <x:v>H6</x:v>
      </x:c>
      <x:c r="K157" s="32" t="str">
        <x:v>Yes</x:v>
      </x:c>
      <x:c r="L157" s="32" t="str">
        <x:v>P1</x:v>
      </x:c>
      <x:c r="M157" s="32" t="str">
        <x:v>Audio</x:v>
      </x:c>
      <x:c r="N157" s="32" t="str">
        <x:v>QA/Legal</x:v>
      </x:c>
      <x:c r="O157" s="32" t="str">
        <x:v>NOT RUN</x:v>
      </x:c>
      <x:c r="P157" s="32" t="str"/>
      <x:c r="Q157" s="32" t="str"/>
      <x:c r="R157" s="32" t="str"/>
      <x:c r="S157" s="32" t="str"/>
      <x:c r="T157" s="82" t="str"/>
      <x:c r="U157" s="32" t="str"/>
      <x:c r="V157" s="84" t="n">
        <x:v>1</x:v>
      </x:c>
      <x:c r="W157" s="84" t="n">
        <x:f>IF(OR($O157="PASS",$O157="EXCEPTION APPROVED",$O157="NOT APPLICABLE"),$V157,0)</x:f>
        <x:v>0</x:v>
      </x:c>
      <x:c r="X157" s="84" t="n">
        <x:f>IF(AND($K157="Yes",OR($O157="FAIL",$O157="BLOCKED",$O157="NOT RUN",$O157="IN PROGRESS")),1,0)</x:f>
        <x:v>1</x:v>
      </x:c>
      <x:c r="Y157" s="32" t="str">
        <x:f>IF($O157="FAIL","FAIL",IF($O157="BLOCKED","BLOCKED",IF(AND($O157="EXCEPTION APPROVED",$K157="Yes"),"REVIEW",IF($O157="PASS","OK","PENDING"))))</x:f>
        <x:v>PENDING</x:v>
      </x:c>
    </x:row>
    <x:row r="158">
      <x:c r="A158" s="32" t="str">
        <x:v>H6-AUD-004</x:v>
      </x:c>
      <x:c r="B158" s="32" t="str">
        <x:v>Audio</x:v>
      </x:c>
      <x:c r="C158" s="32" t="str">
        <x:v>Control especializado</x:v>
      </x:c>
      <x:c r="D158" s="32" t="str">
        <x:v>Los clips no presentan clipping, ruido, loops defectuosos o variación de loudness extrema.</x:v>
      </x:c>
      <x:c r="E158" s="32" t="str">
        <x:v>Escucha técnica y medición aprobada.</x:v>
      </x:c>
      <x:c r="F158" s="32" t="str">
        <x:v>Cumplimiento verificable sin desviaciones bloqueantes.</x:v>
      </x:c>
      <x:c r="G158" s="32" t="str">
        <x:v>Informe de mezcla/loudness.</x:v>
      </x:c>
      <x:c r="H158" s="32" t="str">
        <x:v>18_Audio_Bible.md; 23_Legal_Credits_and_Licenses_Register.xlsx; 29_Accessibility_and_Inclusive_Design_Plan.md</x:v>
      </x:c>
      <x:c r="I158" s="32" t="str">
        <x:v>Audio Bible v0.3–v0.5; Legal Register v0.3–v0.5</x:v>
      </x:c>
      <x:c r="J158" s="32" t="str">
        <x:v>H6</x:v>
      </x:c>
      <x:c r="K158" s="32" t="str">
        <x:v>Yes</x:v>
      </x:c>
      <x:c r="L158" s="32" t="str">
        <x:v>P1</x:v>
      </x:c>
      <x:c r="M158" s="32" t="str">
        <x:v>Audio</x:v>
      </x:c>
      <x:c r="N158" s="32" t="str">
        <x:v>QA/Legal</x:v>
      </x:c>
      <x:c r="O158" s="32" t="str">
        <x:v>NOT RUN</x:v>
      </x:c>
      <x:c r="P158" s="32" t="str"/>
      <x:c r="Q158" s="32" t="str"/>
      <x:c r="R158" s="32" t="str"/>
      <x:c r="S158" s="32" t="str"/>
      <x:c r="T158" s="82" t="str"/>
      <x:c r="U158" s="32" t="str"/>
      <x:c r="V158" s="84" t="n">
        <x:v>1</x:v>
      </x:c>
      <x:c r="W158" s="84" t="n">
        <x:f>IF(OR($O158="PASS",$O158="EXCEPTION APPROVED",$O158="NOT APPLICABLE"),$V158,0)</x:f>
        <x:v>0</x:v>
      </x:c>
      <x:c r="X158" s="84" t="n">
        <x:f>IF(AND($K158="Yes",OR($O158="FAIL",$O158="BLOCKED",$O158="NOT RUN",$O158="IN PROGRESS")),1,0)</x:f>
        <x:v>1</x:v>
      </x:c>
      <x:c r="Y158" s="32" t="str">
        <x:f>IF($O158="FAIL","FAIL",IF($O158="BLOCKED","BLOCKED",IF(AND($O158="EXCEPTION APPROVED",$K158="Yes"),"REVIEW",IF($O158="PASS","OK","PENDING"))))</x:f>
        <x:v>PENDING</x:v>
      </x:c>
    </x:row>
    <x:row r="159">
      <x:c r="A159" s="32" t="str">
        <x:v>H6-AUD-005</x:v>
      </x:c>
      <x:c r="B159" s="32" t="str">
        <x:v>Audio</x:v>
      </x:c>
      <x:c r="C159" s="32" t="str">
        <x:v>Control especializado</x:v>
      </x:c>
      <x:c r="D159" s="32" t="str">
        <x:v>La simultaneidad de clientes y acciones no supera límites de voces ni degrada el rendimiento.</x:v>
      </x:c>
      <x:c r="E159" s="32" t="str">
        <x:v>Stress de 8 clientes y múltiples acciones.</x:v>
      </x:c>
      <x:c r="F159" s="32" t="str">
        <x:v>Cumplimiento verificable sin desviaciones bloqueantes.</x:v>
      </x:c>
      <x:c r="G159" s="32" t="str">
        <x:v>Profiler/audio voices record.</x:v>
      </x:c>
      <x:c r="H159" s="32" t="str">
        <x:v>18_Audio_Bible.md; 23_Legal_Credits_and_Licenses_Register.xlsx; 29_Accessibility_and_Inclusive_Design_Plan.md</x:v>
      </x:c>
      <x:c r="I159" s="32" t="str">
        <x:v>Audio Bible v0.3–v0.5; Legal Register v0.3–v0.5</x:v>
      </x:c>
      <x:c r="J159" s="32" t="str">
        <x:v>H6</x:v>
      </x:c>
      <x:c r="K159" s="32" t="str">
        <x:v>Yes</x:v>
      </x:c>
      <x:c r="L159" s="32" t="str">
        <x:v>P1</x:v>
      </x:c>
      <x:c r="M159" s="32" t="str">
        <x:v>Audio</x:v>
      </x:c>
      <x:c r="N159" s="32" t="str">
        <x:v>QA/Legal</x:v>
      </x:c>
      <x:c r="O159" s="32" t="str">
        <x:v>NOT RUN</x:v>
      </x:c>
      <x:c r="P159" s="32" t="str"/>
      <x:c r="Q159" s="32" t="str"/>
      <x:c r="R159" s="32" t="str"/>
      <x:c r="S159" s="32" t="str"/>
      <x:c r="T159" s="82" t="str"/>
      <x:c r="U159" s="32" t="str"/>
      <x:c r="V159" s="84" t="n">
        <x:v>1</x:v>
      </x:c>
      <x:c r="W159" s="84" t="n">
        <x:f>IF(OR($O159="PASS",$O159="EXCEPTION APPROVED",$O159="NOT APPLICABLE"),$V159,0)</x:f>
        <x:v>0</x:v>
      </x:c>
      <x:c r="X159" s="84" t="n">
        <x:f>IF(AND($K159="Yes",OR($O159="FAIL",$O159="BLOCKED",$O159="NOT RUN",$O159="IN PROGRESS")),1,0)</x:f>
        <x:v>1</x:v>
      </x:c>
      <x:c r="Y159" s="32" t="str">
        <x:f>IF($O159="FAIL","FAIL",IF($O159="BLOCKED","BLOCKED",IF(AND($O159="EXCEPTION APPROVED",$K159="Yes"),"REVIEW",IF($O159="PASS","OK","PENDING"))))</x:f>
        <x:v>PENDING</x:v>
      </x:c>
    </x:row>
    <x:row r="160">
      <x:c r="A160" s="32" t="str">
        <x:v>H6-AUD-006</x:v>
      </x:c>
      <x:c r="B160" s="32" t="str">
        <x:v>Audio</x:v>
      </x:c>
      <x:c r="C160" s="32" t="str">
        <x:v>Control especializado</x:v>
      </x:c>
      <x:c r="D160" s="32" t="str">
        <x:v>Las licencias, autores y condiciones de cada clip están registradas.</x:v>
      </x:c>
      <x:c r="E160" s="32" t="str">
        <x:v>Cruzar Assets/Audio con 23.</x:v>
      </x:c>
      <x:c r="F160" s="32" t="str">
        <x:v>Cumplimiento verificable sin desviaciones bloqueantes.</x:v>
      </x:c>
      <x:c r="G160" s="32" t="str">
        <x:v>Cobertura de licencias de audio.</x:v>
      </x:c>
      <x:c r="H160" s="32" t="str">
        <x:v>18_Audio_Bible.md; 23_Legal_Credits_and_Licenses_Register.xlsx; 29_Accessibility_and_Inclusive_Design_Plan.md</x:v>
      </x:c>
      <x:c r="I160" s="32" t="str">
        <x:v>Audio Bible v0.3–v0.5; Legal Register v0.3–v0.5</x:v>
      </x:c>
      <x:c r="J160" s="32" t="str">
        <x:v>H6</x:v>
      </x:c>
      <x:c r="K160" s="32" t="str">
        <x:v>Yes</x:v>
      </x:c>
      <x:c r="L160" s="32" t="str">
        <x:v>P0</x:v>
      </x:c>
      <x:c r="M160" s="32" t="str">
        <x:v>Audio</x:v>
      </x:c>
      <x:c r="N160" s="32" t="str">
        <x:v>QA/Legal</x:v>
      </x:c>
      <x:c r="O160" s="32" t="str">
        <x:v>NOT RUN</x:v>
      </x:c>
      <x:c r="P160" s="32" t="str"/>
      <x:c r="Q160" s="32" t="str"/>
      <x:c r="R160" s="32" t="str"/>
      <x:c r="S160" s="32" t="str"/>
      <x:c r="T160" s="82" t="str"/>
      <x:c r="U160" s="32" t="str"/>
      <x:c r="V160" s="84" t="n">
        <x:v>1</x:v>
      </x:c>
      <x:c r="W160" s="84" t="n">
        <x:f>IF(OR($O160="PASS",$O160="EXCEPTION APPROVED",$O160="NOT APPLICABLE"),$V160,0)</x:f>
        <x:v>0</x:v>
      </x:c>
      <x:c r="X160" s="84" t="n">
        <x:f>IF(AND($K160="Yes",OR($O160="FAIL",$O160="BLOCKED",$O160="NOT RUN",$O160="IN PROGRESS")),1,0)</x:f>
        <x:v>1</x:v>
      </x:c>
      <x:c r="Y160" s="32" t="str">
        <x:f>IF($O160="FAIL","FAIL",IF($O160="BLOCKED","BLOCKED",IF(AND($O160="EXCEPTION APPROVED",$K160="Yes"),"REVIEW",IF($O160="PASS","OK","PENDING"))))</x:f>
        <x:v>PENDING</x:v>
      </x:c>
    </x:row>
    <x:row r="161">
      <x:c r="A161" s="32" t="str">
        <x:v>H6-AUD-007</x:v>
      </x:c>
      <x:c r="B161" s="32" t="str">
        <x:v>Audio</x:v>
      </x:c>
      <x:c r="C161" s="32" t="str">
        <x:v>Control especializado</x:v>
      </x:c>
      <x:c r="D161" s="32" t="str">
        <x:v>No se incluyen pistas o stems temporales no autorizados en el paquete H6.</x:v>
      </x:c>
      <x:c r="E161" s="32" t="str">
        <x:v>Inventario de clips incluidos en build.</x:v>
      </x:c>
      <x:c r="F161" s="32" t="str">
        <x:v>Cumplimiento verificable sin desviaciones bloqueantes.</x:v>
      </x:c>
      <x:c r="G161" s="32" t="str">
        <x:v>Build audio manifest.</x:v>
      </x:c>
      <x:c r="H161" s="32" t="str">
        <x:v>18_Audio_Bible.md; 23_Legal_Credits_and_Licenses_Register.xlsx; 29_Accessibility_and_Inclusive_Design_Plan.md</x:v>
      </x:c>
      <x:c r="I161" s="32" t="str">
        <x:v>Audio Bible v0.3–v0.5; Legal Register v0.3–v0.5</x:v>
      </x:c>
      <x:c r="J161" s="32" t="str">
        <x:v>H6</x:v>
      </x:c>
      <x:c r="K161" s="32" t="str">
        <x:v>Yes</x:v>
      </x:c>
      <x:c r="L161" s="32" t="str">
        <x:v>P1</x:v>
      </x:c>
      <x:c r="M161" s="32" t="str">
        <x:v>Audio</x:v>
      </x:c>
      <x:c r="N161" s="32" t="str">
        <x:v>QA/Legal</x:v>
      </x:c>
      <x:c r="O161" s="32" t="str">
        <x:v>NOT RUN</x:v>
      </x:c>
      <x:c r="P161" s="32" t="str"/>
      <x:c r="Q161" s="32" t="str"/>
      <x:c r="R161" s="32" t="str"/>
      <x:c r="S161" s="32" t="str"/>
      <x:c r="T161" s="82" t="str"/>
      <x:c r="U161" s="32" t="str"/>
      <x:c r="V161" s="84" t="n">
        <x:v>1</x:v>
      </x:c>
      <x:c r="W161" s="84" t="n">
        <x:f>IF(OR($O161="PASS",$O161="EXCEPTION APPROVED",$O161="NOT APPLICABLE"),$V161,0)</x:f>
        <x:v>0</x:v>
      </x:c>
      <x:c r="X161" s="84" t="n">
        <x:f>IF(AND($K161="Yes",OR($O161="FAIL",$O161="BLOCKED",$O161="NOT RUN",$O161="IN PROGRESS")),1,0)</x:f>
        <x:v>1</x:v>
      </x:c>
      <x:c r="Y161" s="32" t="str">
        <x:f>IF($O161="FAIL","FAIL",IF($O161="BLOCKED","BLOCKED",IF(AND($O161="EXCEPTION APPROVED",$K161="Yes"),"REVIEW",IF($O161="PASS","OK","PENDING"))))</x:f>
        <x:v>PENDING</x:v>
      </x:c>
    </x:row>
    <x:row r="162">
      <x:c r="A162" s="32" t="str">
        <x:v>H6-AUD-008</x:v>
      </x:c>
      <x:c r="B162" s="32" t="str">
        <x:v>Audio</x:v>
      </x:c>
      <x:c r="C162" s="32" t="str">
        <x:v>Control especializado</x:v>
      </x:c>
      <x:c r="D162" s="32" t="str">
        <x:v>La ausencia de subtítulos/captions para contenido no verbal no se comunica como característica disponible.</x:v>
      </x:c>
      <x:c r="E162" s="32" t="str">
        <x:v>Revisar claims y surfaces públicas.</x:v>
      </x:c>
      <x:c r="F162" s="32" t="str">
        <x:v>Cumplimiento verificable sin desviaciones bloqueantes.</x:v>
      </x:c>
      <x:c r="G162" s="32" t="str">
        <x:v>Matriz de claims.</x:v>
      </x:c>
      <x:c r="H162" s="32" t="str">
        <x:v>18_Audio_Bible.md; 23_Legal_Credits_and_Licenses_Register.xlsx; 29_Accessibility_and_Inclusive_Design_Plan.md</x:v>
      </x:c>
      <x:c r="I162" s="32" t="str">
        <x:v>Audio Bible v0.3–v0.5; Legal Register v0.3–v0.5</x:v>
      </x:c>
      <x:c r="J162" s="32" t="str">
        <x:v>H6</x:v>
      </x:c>
      <x:c r="K162" s="32" t="str">
        <x:v>Yes</x:v>
      </x:c>
      <x:c r="L162" s="32" t="str">
        <x:v>P1</x:v>
      </x:c>
      <x:c r="M162" s="32" t="str">
        <x:v>Audio</x:v>
      </x:c>
      <x:c r="N162" s="32" t="str">
        <x:v>QA/Legal</x:v>
      </x:c>
      <x:c r="O162" s="32" t="str">
        <x:v>NOT RUN</x:v>
      </x:c>
      <x:c r="P162" s="32" t="str"/>
      <x:c r="Q162" s="32" t="str"/>
      <x:c r="R162" s="32" t="str"/>
      <x:c r="S162" s="32" t="str"/>
      <x:c r="T162" s="82" t="str"/>
      <x:c r="U162" s="32" t="str"/>
      <x:c r="V162" s="84" t="n">
        <x:v>1</x:v>
      </x:c>
      <x:c r="W162" s="84" t="n">
        <x:f>IF(OR($O162="PASS",$O162="EXCEPTION APPROVED",$O162="NOT APPLICABLE"),$V162,0)</x:f>
        <x:v>0</x:v>
      </x:c>
      <x:c r="X162" s="84" t="n">
        <x:f>IF(AND($K162="Yes",OR($O162="FAIL",$O162="BLOCKED",$O162="NOT RUN",$O162="IN PROGRESS")),1,0)</x:f>
        <x:v>1</x:v>
      </x:c>
      <x:c r="Y162" s="32" t="str">
        <x:f>IF($O162="FAIL","FAIL",IF($O162="BLOCKED","BLOCKED",IF(AND($O162="EXCEPTION APPROVED",$K162="Yes"),"REVIEW",IF($O162="PASS","OK","PENDING"))))</x:f>
        <x:v>PENDING</x:v>
      </x:c>
    </x:row>
    <x:row r="163">
      <x:c r="A163" s="32" t="str">
        <x:v>H6-AUD-009</x:v>
      </x:c>
      <x:c r="B163" s="32" t="str">
        <x:v>Audio</x:v>
      </x:c>
      <x:c r="C163" s="32" t="str">
        <x:v>Control especializado</x:v>
      </x:c>
      <x:c r="D163" s="32" t="str">
        <x:v>Los sonidos repetitivos de operaciones no generan fatiga severa durante siete días.</x:v>
      </x:c>
      <x:c r="E163" s="32" t="str">
        <x:v>Sesión extensa y feedback QA.</x:v>
      </x:c>
      <x:c r="F163" s="32" t="str">
        <x:v>Cumplimiento verificable sin desviaciones bloqueantes.</x:v>
      </x:c>
      <x:c r="G163" s="32" t="str">
        <x:v>Soak audio notes.</x:v>
      </x:c>
      <x:c r="H163" s="32" t="str">
        <x:v>18_Audio_Bible.md; 23_Legal_Credits_and_Licenses_Register.xlsx; 29_Accessibility_and_Inclusive_Design_Plan.md</x:v>
      </x:c>
      <x:c r="I163" s="32" t="str">
        <x:v>Audio Bible v0.3–v0.5; Legal Register v0.3–v0.5</x:v>
      </x:c>
      <x:c r="J163" s="32" t="str">
        <x:v>H6</x:v>
      </x:c>
      <x:c r="K163" s="32" t="str">
        <x:v>Yes</x:v>
      </x:c>
      <x:c r="L163" s="32" t="str">
        <x:v>P1</x:v>
      </x:c>
      <x:c r="M163" s="32" t="str">
        <x:v>Audio</x:v>
      </x:c>
      <x:c r="N163" s="32" t="str">
        <x:v>QA/Legal</x:v>
      </x:c>
      <x:c r="O163" s="32" t="str">
        <x:v>NOT RUN</x:v>
      </x:c>
      <x:c r="P163" s="32" t="str"/>
      <x:c r="Q163" s="32" t="str"/>
      <x:c r="R163" s="32" t="str"/>
      <x:c r="S163" s="32" t="str"/>
      <x:c r="T163" s="82" t="str"/>
      <x:c r="U163" s="32" t="str"/>
      <x:c r="V163" s="84" t="n">
        <x:v>1</x:v>
      </x:c>
      <x:c r="W163" s="84" t="n">
        <x:f>IF(OR($O163="PASS",$O163="EXCEPTION APPROVED",$O163="NOT APPLICABLE"),$V163,0)</x:f>
        <x:v>0</x:v>
      </x:c>
      <x:c r="X163" s="84" t="n">
        <x:f>IF(AND($K163="Yes",OR($O163="FAIL",$O163="BLOCKED",$O163="NOT RUN",$O163="IN PROGRESS")),1,0)</x:f>
        <x:v>1</x:v>
      </x:c>
      <x:c r="Y163" s="32" t="str">
        <x:f>IF($O163="FAIL","FAIL",IF($O163="BLOCKED","BLOCKED",IF(AND($O163="EXCEPTION APPROVED",$K163="Yes"),"REVIEW",IF($O163="PASS","OK","PENDING"))))</x:f>
        <x:v>PENDING</x:v>
      </x:c>
    </x:row>
    <x:row r="164">
      <x:c r="A164" s="32" t="str">
        <x:v>H6-AUD-010</x:v>
      </x:c>
      <x:c r="B164" s="32" t="str">
        <x:v>Audio</x:v>
      </x:c>
      <x:c r="C164" s="32" t="str">
        <x:v>Control especializado</x:v>
      </x:c>
      <x:c r="D164" s="32" t="str">
        <x:v>El comportamiento offline y tras cambio de dispositivo de audio es controlado.</x:v>
      </x:c>
      <x:c r="E164" s="32" t="str">
        <x:v>Desconectar/reconectar dispositivo y ejecutar sin red.</x:v>
      </x:c>
      <x:c r="F164" s="32" t="str">
        <x:v>Cumplimiento verificable sin desviaciones bloqueantes.</x:v>
      </x:c>
      <x:c r="G164" s="32" t="str">
        <x:v>Acta de resiliencia de audio.</x:v>
      </x:c>
      <x:c r="H164" s="32" t="str">
        <x:v>18_Audio_Bible.md; 23_Legal_Credits_and_Licenses_Register.xlsx; 29_Accessibility_and_Inclusive_Design_Plan.md</x:v>
      </x:c>
      <x:c r="I164" s="32" t="str">
        <x:v>Audio Bible v0.3–v0.5; Legal Register v0.3–v0.5</x:v>
      </x:c>
      <x:c r="J164" s="32" t="str">
        <x:v>H6</x:v>
      </x:c>
      <x:c r="K164" s="32" t="str">
        <x:v>Yes</x:v>
      </x:c>
      <x:c r="L164" s="32" t="str">
        <x:v>P1</x:v>
      </x:c>
      <x:c r="M164" s="32" t="str">
        <x:v>Audio</x:v>
      </x:c>
      <x:c r="N164" s="32" t="str">
        <x:v>QA/Legal</x:v>
      </x:c>
      <x:c r="O164" s="32" t="str">
        <x:v>NOT RUN</x:v>
      </x:c>
      <x:c r="P164" s="32" t="str"/>
      <x:c r="Q164" s="32" t="str"/>
      <x:c r="R164" s="32" t="str"/>
      <x:c r="S164" s="32" t="str"/>
      <x:c r="T164" s="82" t="str"/>
      <x:c r="U164" s="32" t="str"/>
      <x:c r="V164" s="84" t="n">
        <x:v>1</x:v>
      </x:c>
      <x:c r="W164" s="84" t="n">
        <x:f>IF(OR($O164="PASS",$O164="EXCEPTION APPROVED",$O164="NOT APPLICABLE"),$V164,0)</x:f>
        <x:v>0</x:v>
      </x:c>
      <x:c r="X164" s="84" t="n">
        <x:f>IF(AND($K164="Yes",OR($O164="FAIL",$O164="BLOCKED",$O164="NOT RUN",$O164="IN PROGRESS")),1,0)</x:f>
        <x:v>1</x:v>
      </x:c>
      <x:c r="Y164" s="32" t="str">
        <x:f>IF($O164="FAIL","FAIL",IF($O164="BLOCKED","BLOCKED",IF(AND($O164="EXCEPTION APPROVED",$K164="Yes"),"REVIEW",IF($O164="PASS","OK","PENDING"))))</x:f>
        <x:v>PENDING</x:v>
      </x:c>
    </x:row>
    <x:row r="165">
      <x:c r="A165" s="32" t="str">
        <x:v>H6-QA-001</x:v>
      </x:c>
      <x:c r="B165" s="32" t="str">
        <x:v>QA, defectos y regresión</x:v>
      </x:c>
      <x:c r="C165" s="32" t="str">
        <x:v>Control especializado</x:v>
      </x:c>
      <x:c r="D165" s="32" t="str">
        <x:v>La suite automatizada completa se ejecuta en el commit candidato y termina verde.</x:v>
      </x:c>
      <x:c r="E165" s="32" t="str">
        <x:v>Ejecutar EditMode/PlayMode/otras suites definidas desde entorno limpio.</x:v>
      </x:c>
      <x:c r="F165" s="32" t="str">
        <x:v>Cumplimiento verificable sin desviaciones bloqueantes.</x:v>
      </x:c>
      <x:c r="G165" s="32" t="str">
        <x:v>Test reports con SHA.</x:v>
      </x:c>
      <x:c r="H165" s="32" t="str">
        <x:v>07_QA_Testing_Plan.md; 08_QA_Testing_Matrix.xlsx; 15_Guia_Maestra.md</x:v>
      </x:c>
      <x:c r="I165" s="32" t="str">
        <x:v>QA Plan/Matrix v0.3–v0.6; Sprint 1–16 acceptance matrices and validation checklists</x:v>
      </x:c>
      <x:c r="J165" s="32" t="str">
        <x:v>H6</x:v>
      </x:c>
      <x:c r="K165" s="32" t="str">
        <x:v>Yes</x:v>
      </x:c>
      <x:c r="L165" s="32" t="str">
        <x:v>P0</x:v>
      </x:c>
      <x:c r="M165" s="32" t="str">
        <x:v>QA</x:v>
      </x:c>
      <x:c r="N165" s="32" t="str">
        <x:v>Production/Engineering</x:v>
      </x:c>
      <x:c r="O165" s="32" t="str">
        <x:v>NOT RUN</x:v>
      </x:c>
      <x:c r="P165" s="32" t="str"/>
      <x:c r="Q165" s="32" t="str"/>
      <x:c r="R165" s="32" t="str"/>
      <x:c r="S165" s="32" t="str"/>
      <x:c r="T165" s="82" t="str"/>
      <x:c r="U165" s="32" t="str"/>
      <x:c r="V165" s="84" t="n">
        <x:v>1</x:v>
      </x:c>
      <x:c r="W165" s="84" t="n">
        <x:f>IF(OR($O165="PASS",$O165="EXCEPTION APPROVED",$O165="NOT APPLICABLE"),$V165,0)</x:f>
        <x:v>0</x:v>
      </x:c>
      <x:c r="X165" s="84" t="n">
        <x:f>IF(AND($K165="Yes",OR($O165="FAIL",$O165="BLOCKED",$O165="NOT RUN",$O165="IN PROGRESS")),1,0)</x:f>
        <x:v>1</x:v>
      </x:c>
      <x:c r="Y165" s="32" t="str">
        <x:f>IF($O165="FAIL","FAIL",IF($O165="BLOCKED","BLOCKED",IF(AND($O165="EXCEPTION APPROVED",$K165="Yes"),"REVIEW",IF($O165="PASS","OK","PENDING"))))</x:f>
        <x:v>PENDING</x:v>
      </x:c>
    </x:row>
    <x:row r="166">
      <x:c r="A166" s="32" t="str">
        <x:v>H6-QA-002</x:v>
      </x:c>
      <x:c r="B166" s="32" t="str">
        <x:v>QA, defectos y regresión</x:v>
      </x:c>
      <x:c r="C166" s="32" t="str">
        <x:v>Control especializado</x:v>
      </x:c>
      <x:c r="D166" s="32" t="str">
        <x:v>No se acepta como PASS ningún test flaky, omitido sin justificación o ejecutado sobre SHA distinto.</x:v>
      </x:c>
      <x:c r="E166" s="32" t="str">
        <x:v>Revisar resultados, retries y metadata.</x:v>
      </x:c>
      <x:c r="F166" s="32" t="str">
        <x:v>Cumplimiento verificable sin desviaciones bloqueantes.</x:v>
      </x:c>
      <x:c r="G166" s="32" t="str">
        <x:v>Informe de estabilidad de tests.</x:v>
      </x:c>
      <x:c r="H166" s="32" t="str">
        <x:v>07_QA_Testing_Plan.md; 08_QA_Testing_Matrix.xlsx; 15_Guia_Maestra.md</x:v>
      </x:c>
      <x:c r="I166" s="32" t="str">
        <x:v>QA Plan/Matrix v0.3–v0.6; Sprint 1–16 acceptance matrices and validation checklists</x:v>
      </x:c>
      <x:c r="J166" s="32" t="str">
        <x:v>H6</x:v>
      </x:c>
      <x:c r="K166" s="32" t="str">
        <x:v>Yes</x:v>
      </x:c>
      <x:c r="L166" s="32" t="str">
        <x:v>P1</x:v>
      </x:c>
      <x:c r="M166" s="32" t="str">
        <x:v>QA</x:v>
      </x:c>
      <x:c r="N166" s="32" t="str">
        <x:v>Production/Engineering</x:v>
      </x:c>
      <x:c r="O166" s="32" t="str">
        <x:v>NOT RUN</x:v>
      </x:c>
      <x:c r="P166" s="32" t="str"/>
      <x:c r="Q166" s="32" t="str"/>
      <x:c r="R166" s="32" t="str"/>
      <x:c r="S166" s="32" t="str"/>
      <x:c r="T166" s="82" t="str"/>
      <x:c r="U166" s="32" t="str"/>
      <x:c r="V166" s="84" t="n">
        <x:v>1</x:v>
      </x:c>
      <x:c r="W166" s="84" t="n">
        <x:f>IF(OR($O166="PASS",$O166="EXCEPTION APPROVED",$O166="NOT APPLICABLE"),$V166,0)</x:f>
        <x:v>0</x:v>
      </x:c>
      <x:c r="X166" s="84" t="n">
        <x:f>IF(AND($K166="Yes",OR($O166="FAIL",$O166="BLOCKED",$O166="NOT RUN",$O166="IN PROGRESS")),1,0)</x:f>
        <x:v>1</x:v>
      </x:c>
      <x:c r="Y166" s="32" t="str">
        <x:f>IF($O166="FAIL","FAIL",IF($O166="BLOCKED","BLOCKED",IF(AND($O166="EXCEPTION APPROVED",$K166="Yes"),"REVIEW",IF($O166="PASS","OK","PENDING"))))</x:f>
        <x:v>PENDING</x:v>
      </x:c>
    </x:row>
    <x:row r="167">
      <x:c r="A167" s="32" t="str">
        <x:v>H6-QA-003</x:v>
      </x:c>
      <x:c r="B167" s="32" t="str">
        <x:v>QA, defectos y regresión</x:v>
      </x:c>
      <x:c r="C167" s="32" t="str">
        <x:v>Control especializado</x:v>
      </x:c>
      <x:c r="D167" s="32" t="str">
        <x:v>El Golden Path manual se completa sin herramientas de debug en build externa.</x:v>
      </x:c>
      <x:c r="E167" s="32" t="str">
        <x:v>Ejecutar guion oficial completo.</x:v>
      </x:c>
      <x:c r="F167" s="32" t="str">
        <x:v>Cumplimiento verificable sin desviaciones bloqueantes.</x:v>
      </x:c>
      <x:c r="G167" s="32" t="str">
        <x:v>Golden Path Record y vídeo.</x:v>
      </x:c>
      <x:c r="H167" s="32" t="str">
        <x:v>07_QA_Testing_Plan.md; 08_QA_Testing_Matrix.xlsx; 15_Guia_Maestra.md</x:v>
      </x:c>
      <x:c r="I167" s="32" t="str">
        <x:v>QA Plan/Matrix v0.3–v0.6; Sprint 1–16 acceptance matrices and validation checklists</x:v>
      </x:c>
      <x:c r="J167" s="32" t="str">
        <x:v>H6</x:v>
      </x:c>
      <x:c r="K167" s="32" t="str">
        <x:v>Yes</x:v>
      </x:c>
      <x:c r="L167" s="32" t="str">
        <x:v>P0</x:v>
      </x:c>
      <x:c r="M167" s="32" t="str">
        <x:v>QA</x:v>
      </x:c>
      <x:c r="N167" s="32" t="str">
        <x:v>Production/Engineering</x:v>
      </x:c>
      <x:c r="O167" s="32" t="str">
        <x:v>NOT RUN</x:v>
      </x:c>
      <x:c r="P167" s="32" t="str"/>
      <x:c r="Q167" s="32" t="str"/>
      <x:c r="R167" s="32" t="str"/>
      <x:c r="S167" s="32" t="str"/>
      <x:c r="T167" s="82" t="str"/>
      <x:c r="U167" s="32" t="str"/>
      <x:c r="V167" s="84" t="n">
        <x:v>1</x:v>
      </x:c>
      <x:c r="W167" s="84" t="n">
        <x:f>IF(OR($O167="PASS",$O167="EXCEPTION APPROVED",$O167="NOT APPLICABLE"),$V167,0)</x:f>
        <x:v>0</x:v>
      </x:c>
      <x:c r="X167" s="84" t="n">
        <x:f>IF(AND($K167="Yes",OR($O167="FAIL",$O167="BLOCKED",$O167="NOT RUN",$O167="IN PROGRESS")),1,0)</x:f>
        <x:v>1</x:v>
      </x:c>
      <x:c r="Y167" s="32" t="str">
        <x:f>IF($O167="FAIL","FAIL",IF($O167="BLOCKED","BLOCKED",IF(AND($O167="EXCEPTION APPROVED",$K167="Yes"),"REVIEW",IF($O167="PASS","OK","PENDING"))))</x:f>
        <x:v>PENDING</x:v>
      </x:c>
    </x:row>
    <x:row r="168">
      <x:c r="A168" s="32" t="str">
        <x:v>H6-QA-004</x:v>
      </x:c>
      <x:c r="B168" s="32" t="str">
        <x:v>QA, defectos y regresión</x:v>
      </x:c>
      <x:c r="C168" s="32" t="str">
        <x:v>Control especializado</x:v>
      </x:c>
      <x:c r="D168" s="32" t="str">
        <x:v>La campaña persistente de siete días se completa con compras, ventas, guardados y cargas.</x:v>
      </x:c>
      <x:c r="E168" s="32" t="str">
        <x:v>Ejecutar sesión extensa y auditoría económica/inventario.</x:v>
      </x:c>
      <x:c r="F168" s="32" t="str">
        <x:v>Cumplimiento verificable sin desviaciones bloqueantes.</x:v>
      </x:c>
      <x:c r="G168" s="32" t="str">
        <x:v>Seven Day Run Record.</x:v>
      </x:c>
      <x:c r="H168" s="32" t="str">
        <x:v>07_QA_Testing_Plan.md; 08_QA_Testing_Matrix.xlsx; 15_Guia_Maestra.md</x:v>
      </x:c>
      <x:c r="I168" s="32" t="str">
        <x:v>QA Plan/Matrix v0.3–v0.6; Sprint 1–16 acceptance matrices and validation checklists</x:v>
      </x:c>
      <x:c r="J168" s="32" t="str">
        <x:v>H6</x:v>
      </x:c>
      <x:c r="K168" s="32" t="str">
        <x:v>Yes</x:v>
      </x:c>
      <x:c r="L168" s="32" t="str">
        <x:v>P0</x:v>
      </x:c>
      <x:c r="M168" s="32" t="str">
        <x:v>QA</x:v>
      </x:c>
      <x:c r="N168" s="32" t="str">
        <x:v>Production/Engineering</x:v>
      </x:c>
      <x:c r="O168" s="32" t="str">
        <x:v>NOT RUN</x:v>
      </x:c>
      <x:c r="P168" s="32" t="str"/>
      <x:c r="Q168" s="32" t="str"/>
      <x:c r="R168" s="32" t="str"/>
      <x:c r="S168" s="32" t="str"/>
      <x:c r="T168" s="82" t="str"/>
      <x:c r="U168" s="32" t="str"/>
      <x:c r="V168" s="84" t="n">
        <x:v>1</x:v>
      </x:c>
      <x:c r="W168" s="84" t="n">
        <x:f>IF(OR($O168="PASS",$O168="EXCEPTION APPROVED",$O168="NOT APPLICABLE"),$V168,0)</x:f>
        <x:v>0</x:v>
      </x:c>
      <x:c r="X168" s="84" t="n">
        <x:f>IF(AND($K168="Yes",OR($O168="FAIL",$O168="BLOCKED",$O168="NOT RUN",$O168="IN PROGRESS")),1,0)</x:f>
        <x:v>1</x:v>
      </x:c>
      <x:c r="Y168" s="32" t="str">
        <x:f>IF($O168="FAIL","FAIL",IF($O168="BLOCKED","BLOCKED",IF(AND($O168="EXCEPTION APPROVED",$K168="Yes"),"REVIEW",IF($O168="PASS","OK","PENDING"))))</x:f>
        <x:v>PENDING</x:v>
      </x:c>
    </x:row>
    <x:row r="169">
      <x:c r="A169" s="32" t="str">
        <x:v>H6-QA-005</x:v>
      </x:c>
      <x:c r="B169" s="32" t="str">
        <x:v>QA, defectos y regresión</x:v>
      </x:c>
      <x:c r="C169" s="32" t="str">
        <x:v>Control especializado</x:v>
      </x:c>
      <x:c r="D169" s="32" t="str">
        <x:v>Se prueban nueva instalación, tres slots, cierre manual/forzado y recuperación soportada.</x:v>
      </x:c>
      <x:c r="E169" s="32" t="str">
        <x:v>Ejecutar escenarios VS-TST correspondientes.</x:v>
      </x:c>
      <x:c r="F169" s="32" t="str">
        <x:v>Cumplimiento verificable sin desviaciones bloqueantes.</x:v>
      </x:c>
      <x:c r="G169" s="32" t="str">
        <x:v>Actas de escenarios.</x:v>
      </x:c>
      <x:c r="H169" s="32" t="str">
        <x:v>07_QA_Testing_Plan.md; 08_QA_Testing_Matrix.xlsx; 15_Guia_Maestra.md</x:v>
      </x:c>
      <x:c r="I169" s="32" t="str">
        <x:v>QA Plan/Matrix v0.3–v0.6; Sprint 1–16 acceptance matrices and validation checklists</x:v>
      </x:c>
      <x:c r="J169" s="32" t="str">
        <x:v>H6</x:v>
      </x:c>
      <x:c r="K169" s="32" t="str">
        <x:v>Yes</x:v>
      </x:c>
      <x:c r="L169" s="32" t="str">
        <x:v>P1</x:v>
      </x:c>
      <x:c r="M169" s="32" t="str">
        <x:v>QA</x:v>
      </x:c>
      <x:c r="N169" s="32" t="str">
        <x:v>Production/Engineering</x:v>
      </x:c>
      <x:c r="O169" s="32" t="str">
        <x:v>NOT RUN</x:v>
      </x:c>
      <x:c r="P169" s="32" t="str"/>
      <x:c r="Q169" s="32" t="str"/>
      <x:c r="R169" s="32" t="str"/>
      <x:c r="S169" s="32" t="str"/>
      <x:c r="T169" s="82" t="str"/>
      <x:c r="U169" s="32" t="str"/>
      <x:c r="V169" s="84" t="n">
        <x:v>1</x:v>
      </x:c>
      <x:c r="W169" s="84" t="n">
        <x:f>IF(OR($O169="PASS",$O169="EXCEPTION APPROVED",$O169="NOT APPLICABLE"),$V169,0)</x:f>
        <x:v>0</x:v>
      </x:c>
      <x:c r="X169" s="84" t="n">
        <x:f>IF(AND($K169="Yes",OR($O169="FAIL",$O169="BLOCKED",$O169="NOT RUN",$O169="IN PROGRESS")),1,0)</x:f>
        <x:v>1</x:v>
      </x:c>
      <x:c r="Y169" s="32" t="str">
        <x:f>IF($O169="FAIL","FAIL",IF($O169="BLOCKED","BLOCKED",IF(AND($O169="EXCEPTION APPROVED",$K169="Yes"),"REVIEW",IF($O169="PASS","OK","PENDING"))))</x:f>
        <x:v>PENDING</x:v>
      </x:c>
    </x:row>
    <x:row r="170">
      <x:c r="A170" s="32" t="str">
        <x:v>H6-QA-006</x:v>
      </x:c>
      <x:c r="B170" s="32" t="str">
        <x:v>QA, defectos y regresión</x:v>
      </x:c>
      <x:c r="C170" s="32" t="str">
        <x:v>Control especializado</x:v>
      </x:c>
      <x:c r="D170" s="32" t="str">
        <x:v>El registro de defectos distingue severidad, prioridad, gate y campo Bloquea H6.</x:v>
      </x:c>
      <x:c r="E170" s="32" t="str">
        <x:v>Auditar defect register.</x:v>
      </x:c>
      <x:c r="F170" s="32" t="str">
        <x:v>Cumplimiento verificable sin desviaciones bloqueantes.</x:v>
      </x:c>
      <x:c r="G170" s="32" t="str">
        <x:v>Export del registro.</x:v>
      </x:c>
      <x:c r="H170" s="32" t="str">
        <x:v>07_QA_Testing_Plan.md; 08_QA_Testing_Matrix.xlsx; 15_Guia_Maestra.md</x:v>
      </x:c>
      <x:c r="I170" s="32" t="str">
        <x:v>QA Plan/Matrix v0.3–v0.6; Sprint 1–16 acceptance matrices and validation checklists</x:v>
      </x:c>
      <x:c r="J170" s="32" t="str">
        <x:v>H6</x:v>
      </x:c>
      <x:c r="K170" s="32" t="str">
        <x:v>Yes</x:v>
      </x:c>
      <x:c r="L170" s="32" t="str">
        <x:v>P1</x:v>
      </x:c>
      <x:c r="M170" s="32" t="str">
        <x:v>QA</x:v>
      </x:c>
      <x:c r="N170" s="32" t="str">
        <x:v>Production/Engineering</x:v>
      </x:c>
      <x:c r="O170" s="32" t="str">
        <x:v>NOT RUN</x:v>
      </x:c>
      <x:c r="P170" s="32" t="str"/>
      <x:c r="Q170" s="32" t="str"/>
      <x:c r="R170" s="32" t="str"/>
      <x:c r="S170" s="32" t="str"/>
      <x:c r="T170" s="82" t="str"/>
      <x:c r="U170" s="32" t="str"/>
      <x:c r="V170" s="84" t="n">
        <x:v>1</x:v>
      </x:c>
      <x:c r="W170" s="84" t="n">
        <x:f>IF(OR($O170="PASS",$O170="EXCEPTION APPROVED",$O170="NOT APPLICABLE"),$V170,0)</x:f>
        <x:v>0</x:v>
      </x:c>
      <x:c r="X170" s="84" t="n">
        <x:f>IF(AND($K170="Yes",OR($O170="FAIL",$O170="BLOCKED",$O170="NOT RUN",$O170="IN PROGRESS")),1,0)</x:f>
        <x:v>1</x:v>
      </x:c>
      <x:c r="Y170" s="32" t="str">
        <x:f>IF($O170="FAIL","FAIL",IF($O170="BLOCKED","BLOCKED",IF(AND($O170="EXCEPTION APPROVED",$K170="Yes"),"REVIEW",IF($O170="PASS","OK","PENDING"))))</x:f>
        <x:v>PENDING</x:v>
      </x:c>
    </x:row>
    <x:row r="171">
      <x:c r="A171" s="32" t="str">
        <x:v>H6-QA-007</x:v>
      </x:c>
      <x:c r="B171" s="32" t="str">
        <x:v>QA, defectos y regresión</x:v>
      </x:c>
      <x:c r="C171" s="32" t="str">
        <x:v>Control especializado</x:v>
      </x:c>
      <x:c r="D171" s="32" t="str">
        <x:v>Existen cero S0 y cero S1 abiertos en el universo del gate.</x:v>
      </x:c>
      <x:c r="E171" s="32" t="str">
        <x:v>Filtrar defectos por severidad y gate.</x:v>
      </x:c>
      <x:c r="F171" s="32" t="str">
        <x:v>Cumplimiento verificable sin desviaciones bloqueantes.</x:v>
      </x:c>
      <x:c r="G171" s="32" t="str">
        <x:v>Reporte cero bloqueantes.</x:v>
      </x:c>
      <x:c r="H171" s="32" t="str">
        <x:v>07_QA_Testing_Plan.md; 08_QA_Testing_Matrix.xlsx; 15_Guia_Maestra.md</x:v>
      </x:c>
      <x:c r="I171" s="32" t="str">
        <x:v>QA Plan/Matrix v0.3–v0.6; Sprint 1–16 acceptance matrices and validation checklists</x:v>
      </x:c>
      <x:c r="J171" s="32" t="str">
        <x:v>H6</x:v>
      </x:c>
      <x:c r="K171" s="32" t="str">
        <x:v>Yes</x:v>
      </x:c>
      <x:c r="L171" s="32" t="str">
        <x:v>P0</x:v>
      </x:c>
      <x:c r="M171" s="32" t="str">
        <x:v>QA</x:v>
      </x:c>
      <x:c r="N171" s="32" t="str">
        <x:v>Production/Engineering</x:v>
      </x:c>
      <x:c r="O171" s="32" t="str">
        <x:v>NOT RUN</x:v>
      </x:c>
      <x:c r="P171" s="32" t="str"/>
      <x:c r="Q171" s="32" t="str"/>
      <x:c r="R171" s="32" t="str"/>
      <x:c r="S171" s="32" t="str"/>
      <x:c r="T171" s="82" t="str"/>
      <x:c r="U171" s="32" t="str"/>
      <x:c r="V171" s="84" t="n">
        <x:v>1</x:v>
      </x:c>
      <x:c r="W171" s="84" t="n">
        <x:f>IF(OR($O171="PASS",$O171="EXCEPTION APPROVED",$O171="NOT APPLICABLE"),$V171,0)</x:f>
        <x:v>0</x:v>
      </x:c>
      <x:c r="X171" s="84" t="n">
        <x:f>IF(AND($K171="Yes",OR($O171="FAIL",$O171="BLOCKED",$O171="NOT RUN",$O171="IN PROGRESS")),1,0)</x:f>
        <x:v>1</x:v>
      </x:c>
      <x:c r="Y171" s="32" t="str">
        <x:f>IF($O171="FAIL","FAIL",IF($O171="BLOCKED","BLOCKED",IF(AND($O171="EXCEPTION APPROVED",$K171="Yes"),"REVIEW",IF($O171="PASS","OK","PENDING"))))</x:f>
        <x:v>PENDING</x:v>
      </x:c>
    </x:row>
    <x:row r="172">
      <x:c r="A172" s="32" t="str">
        <x:v>H6-QA-008</x:v>
      </x:c>
      <x:c r="B172" s="32" t="str">
        <x:v>QA, defectos y regresión</x:v>
      </x:c>
      <x:c r="C172" s="32" t="str">
        <x:v>Control especializado</x:v>
      </x:c>
      <x:c r="D172" s="32" t="str">
        <x:v>Todo S2 abierto tiene resolución o excepción formal aprobada.</x:v>
      </x:c>
      <x:c r="E172" s="32" t="str">
        <x:v>Revisar S2 y Exception Register.</x:v>
      </x:c>
      <x:c r="F172" s="32" t="str">
        <x:v>Cumplimiento verificable sin desviaciones bloqueantes.</x:v>
      </x:c>
      <x:c r="G172" s="32" t="str">
        <x:v>Lista de S2 resueltos/exceptuados.</x:v>
      </x:c>
      <x:c r="H172" s="32" t="str">
        <x:v>07_QA_Testing_Plan.md; 08_QA_Testing_Matrix.xlsx; 15_Guia_Maestra.md</x:v>
      </x:c>
      <x:c r="I172" s="32" t="str">
        <x:v>QA Plan/Matrix v0.3–v0.6; Sprint 1–16 acceptance matrices and validation checklists</x:v>
      </x:c>
      <x:c r="J172" s="32" t="str">
        <x:v>H6</x:v>
      </x:c>
      <x:c r="K172" s="32" t="str">
        <x:v>Yes</x:v>
      </x:c>
      <x:c r="L172" s="32" t="str">
        <x:v>P1</x:v>
      </x:c>
      <x:c r="M172" s="32" t="str">
        <x:v>QA</x:v>
      </x:c>
      <x:c r="N172" s="32" t="str">
        <x:v>Production/Engineering</x:v>
      </x:c>
      <x:c r="O172" s="32" t="str">
        <x:v>NOT RUN</x:v>
      </x:c>
      <x:c r="P172" s="32" t="str"/>
      <x:c r="Q172" s="32" t="str"/>
      <x:c r="R172" s="32" t="str"/>
      <x:c r="S172" s="32" t="str"/>
      <x:c r="T172" s="82" t="str"/>
      <x:c r="U172" s="32" t="str"/>
      <x:c r="V172" s="84" t="n">
        <x:v>1</x:v>
      </x:c>
      <x:c r="W172" s="84" t="n">
        <x:f>IF(OR($O172="PASS",$O172="EXCEPTION APPROVED",$O172="NOT APPLICABLE"),$V172,0)</x:f>
        <x:v>0</x:v>
      </x:c>
      <x:c r="X172" s="84" t="n">
        <x:f>IF(AND($K172="Yes",OR($O172="FAIL",$O172="BLOCKED",$O172="NOT RUN",$O172="IN PROGRESS")),1,0)</x:f>
        <x:v>1</x:v>
      </x:c>
      <x:c r="Y172" s="32" t="str">
        <x:f>IF($O172="FAIL","FAIL",IF($O172="BLOCKED","BLOCKED",IF(AND($O172="EXCEPTION APPROVED",$K172="Yes"),"REVIEW",IF($O172="PASS","OK","PENDING"))))</x:f>
        <x:v>PENDING</x:v>
      </x:c>
    </x:row>
    <x:row r="173">
      <x:c r="A173" s="32" t="str">
        <x:v>H6-QA-009</x:v>
      </x:c>
      <x:c r="B173" s="32" t="str">
        <x:v>QA, defectos y regresión</x:v>
      </x:c>
      <x:c r="C173" s="32" t="str">
        <x:v>Control especializado</x:v>
      </x:c>
      <x:c r="D173" s="32" t="str">
        <x:v>Los S3/S4 aceptados no forman un problema sistémico ni contradicen la representatividad.</x:v>
      </x:c>
      <x:c r="E173" s="32" t="str">
        <x:v>Revisión agregada por área y frecuencia.</x:v>
      </x:c>
      <x:c r="F173" s="32" t="str">
        <x:v>Cumplimiento verificable sin desviaciones bloqueantes.</x:v>
      </x:c>
      <x:c r="G173" s="32" t="str">
        <x:v>Known Issues aprobado.</x:v>
      </x:c>
      <x:c r="H173" s="32" t="str">
        <x:v>07_QA_Testing_Plan.md; 08_QA_Testing_Matrix.xlsx; 15_Guia_Maestra.md</x:v>
      </x:c>
      <x:c r="I173" s="32" t="str">
        <x:v>QA Plan/Matrix v0.3–v0.6; Sprint 1–16 acceptance matrices and validation checklists</x:v>
      </x:c>
      <x:c r="J173" s="32" t="str">
        <x:v>H6</x:v>
      </x:c>
      <x:c r="K173" s="32" t="str">
        <x:v>Yes</x:v>
      </x:c>
      <x:c r="L173" s="32" t="str">
        <x:v>P1</x:v>
      </x:c>
      <x:c r="M173" s="32" t="str">
        <x:v>QA</x:v>
      </x:c>
      <x:c r="N173" s="32" t="str">
        <x:v>Production/Engineering</x:v>
      </x:c>
      <x:c r="O173" s="32" t="str">
        <x:v>NOT RUN</x:v>
      </x:c>
      <x:c r="P173" s="32" t="str"/>
      <x:c r="Q173" s="32" t="str"/>
      <x:c r="R173" s="32" t="str"/>
      <x:c r="S173" s="32" t="str"/>
      <x:c r="T173" s="82" t="str"/>
      <x:c r="U173" s="32" t="str"/>
      <x:c r="V173" s="84" t="n">
        <x:v>1</x:v>
      </x:c>
      <x:c r="W173" s="84" t="n">
        <x:f>IF(OR($O173="PASS",$O173="EXCEPTION APPROVED",$O173="NOT APPLICABLE"),$V173,0)</x:f>
        <x:v>0</x:v>
      </x:c>
      <x:c r="X173" s="84" t="n">
        <x:f>IF(AND($K173="Yes",OR($O173="FAIL",$O173="BLOCKED",$O173="NOT RUN",$O173="IN PROGRESS")),1,0)</x:f>
        <x:v>1</x:v>
      </x:c>
      <x:c r="Y173" s="32" t="str">
        <x:f>IF($O173="FAIL","FAIL",IF($O173="BLOCKED","BLOCKED",IF(AND($O173="EXCEPTION APPROVED",$K173="Yes"),"REVIEW",IF($O173="PASS","OK","PENDING"))))</x:f>
        <x:v>PENDING</x:v>
      </x:c>
    </x:row>
    <x:row r="174">
      <x:c r="A174" s="32" t="str">
        <x:v>H6-QA-010</x:v>
      </x:c>
      <x:c r="B174" s="32" t="str">
        <x:v>QA, defectos y regresión</x:v>
      </x:c>
      <x:c r="C174" s="32" t="str">
        <x:v>Control especializado</x:v>
      </x:c>
      <x:c r="D174" s="32" t="str">
        <x:v>Cada corrección de S0/S1/S2 incluye prueba de regresión vinculada.</x:v>
      </x:c>
      <x:c r="E174" s="32" t="str">
        <x:v>Cruzar defectos cerrados con Test ID/evidencia.</x:v>
      </x:c>
      <x:c r="F174" s="32" t="str">
        <x:v>Cumplimiento verificable sin desviaciones bloqueantes.</x:v>
      </x:c>
      <x:c r="G174" s="32" t="str">
        <x:v>Matriz defecto-prueba.</x:v>
      </x:c>
      <x:c r="H174" s="32" t="str">
        <x:v>07_QA_Testing_Plan.md; 08_QA_Testing_Matrix.xlsx; 15_Guia_Maestra.md</x:v>
      </x:c>
      <x:c r="I174" s="32" t="str">
        <x:v>QA Plan/Matrix v0.3–v0.6; Sprint 1–16 acceptance matrices and validation checklists</x:v>
      </x:c>
      <x:c r="J174" s="32" t="str">
        <x:v>H6</x:v>
      </x:c>
      <x:c r="K174" s="32" t="str">
        <x:v>Yes</x:v>
      </x:c>
      <x:c r="L174" s="32" t="str">
        <x:v>P1</x:v>
      </x:c>
      <x:c r="M174" s="32" t="str">
        <x:v>QA</x:v>
      </x:c>
      <x:c r="N174" s="32" t="str">
        <x:v>Production/Engineering</x:v>
      </x:c>
      <x:c r="O174" s="32" t="str">
        <x:v>NOT RUN</x:v>
      </x:c>
      <x:c r="P174" s="32" t="str"/>
      <x:c r="Q174" s="32" t="str"/>
      <x:c r="R174" s="32" t="str"/>
      <x:c r="S174" s="32" t="str"/>
      <x:c r="T174" s="82" t="str"/>
      <x:c r="U174" s="32" t="str"/>
      <x:c r="V174" s="84" t="n">
        <x:v>1</x:v>
      </x:c>
      <x:c r="W174" s="84" t="n">
        <x:f>IF(OR($O174="PASS",$O174="EXCEPTION APPROVED",$O174="NOT APPLICABLE"),$V174,0)</x:f>
        <x:v>0</x:v>
      </x:c>
      <x:c r="X174" s="84" t="n">
        <x:f>IF(AND($K174="Yes",OR($O174="FAIL",$O174="BLOCKED",$O174="NOT RUN",$O174="IN PROGRESS")),1,0)</x:f>
        <x:v>1</x:v>
      </x:c>
      <x:c r="Y174" s="32" t="str">
        <x:f>IF($O174="FAIL","FAIL",IF($O174="BLOCKED","BLOCKED",IF(AND($O174="EXCEPTION APPROVED",$K174="Yes"),"REVIEW",IF($O174="PASS","OK","PENDING"))))</x:f>
        <x:v>PENDING</x:v>
      </x:c>
    </x:row>
    <x:row r="175">
      <x:c r="A175" s="32" t="str">
        <x:v>H6-QA-011</x:v>
      </x:c>
      <x:c r="B175" s="32" t="str">
        <x:v>QA, defectos y regresión</x:v>
      </x:c>
      <x:c r="C175" s="32" t="str">
        <x:v>Control especializado</x:v>
      </x:c>
      <x:c r="D175" s="32" t="str">
        <x:v>Player.log se revisa completo y los errores recurrentes están cerrados o exceptuados.</x:v>
      </x:c>
      <x:c r="E175" s="32" t="str">
        <x:v>Analizar log de Golden Path, siete días y soak.</x:v>
      </x:c>
      <x:c r="F175" s="32" t="str">
        <x:v>Cumplimiento verificable sin desviaciones bloqueantes.</x:v>
      </x:c>
      <x:c r="G175" s="32" t="str">
        <x:v>Player.log anotado.</x:v>
      </x:c>
      <x:c r="H175" s="32" t="str">
        <x:v>07_QA_Testing_Plan.md; 08_QA_Testing_Matrix.xlsx; 15_Guia_Maestra.md</x:v>
      </x:c>
      <x:c r="I175" s="32" t="str">
        <x:v>QA Plan/Matrix v0.3–v0.6; Sprint 1–16 acceptance matrices and validation checklists</x:v>
      </x:c>
      <x:c r="J175" s="32" t="str">
        <x:v>H6</x:v>
      </x:c>
      <x:c r="K175" s="32" t="str">
        <x:v>Yes</x:v>
      </x:c>
      <x:c r="L175" s="32" t="str">
        <x:v>P1</x:v>
      </x:c>
      <x:c r="M175" s="32" t="str">
        <x:v>QA</x:v>
      </x:c>
      <x:c r="N175" s="32" t="str">
        <x:v>Production/Engineering</x:v>
      </x:c>
      <x:c r="O175" s="32" t="str">
        <x:v>NOT RUN</x:v>
      </x:c>
      <x:c r="P175" s="32" t="str"/>
      <x:c r="Q175" s="32" t="str"/>
      <x:c r="R175" s="32" t="str"/>
      <x:c r="S175" s="32" t="str"/>
      <x:c r="T175" s="82" t="str"/>
      <x:c r="U175" s="32" t="str"/>
      <x:c r="V175" s="84" t="n">
        <x:v>1</x:v>
      </x:c>
      <x:c r="W175" s="84" t="n">
        <x:f>IF(OR($O175="PASS",$O175="EXCEPTION APPROVED",$O175="NOT APPLICABLE"),$V175,0)</x:f>
        <x:v>0</x:v>
      </x:c>
      <x:c r="X175" s="84" t="n">
        <x:f>IF(AND($K175="Yes",OR($O175="FAIL",$O175="BLOCKED",$O175="NOT RUN",$O175="IN PROGRESS")),1,0)</x:f>
        <x:v>1</x:v>
      </x:c>
      <x:c r="Y175" s="32" t="str">
        <x:f>IF($O175="FAIL","FAIL",IF($O175="BLOCKED","BLOCKED",IF(AND($O175="EXCEPTION APPROVED",$K175="Yes"),"REVIEW",IF($O175="PASS","OK","PENDING"))))</x:f>
        <x:v>PENDING</x:v>
      </x:c>
    </x:row>
    <x:row r="176">
      <x:c r="A176" s="32" t="str">
        <x:v>H6-QA-012</x:v>
      </x:c>
      <x:c r="B176" s="32" t="str">
        <x:v>QA, defectos y regresión</x:v>
      </x:c>
      <x:c r="C176" s="32" t="str">
        <x:v>Control especializado</x:v>
      </x:c>
      <x:c r="D176" s="32" t="str">
        <x:v>Las ejecuciones registran build, SHA, hardware, idioma, resolución, fecha y ejecutor.</x:v>
      </x:c>
      <x:c r="E176" s="32" t="str">
        <x:v>Auditar test records.</x:v>
      </x:c>
      <x:c r="F176" s="32" t="str">
        <x:v>Cumplimiento verificable sin desviaciones bloqueantes.</x:v>
      </x:c>
      <x:c r="G176" s="32" t="str">
        <x:v>Reporte de completitud de metadata.</x:v>
      </x:c>
      <x:c r="H176" s="32" t="str">
        <x:v>07_QA_Testing_Plan.md; 08_QA_Testing_Matrix.xlsx; 15_Guia_Maestra.md</x:v>
      </x:c>
      <x:c r="I176" s="32" t="str">
        <x:v>QA Plan/Matrix v0.3–v0.6; Sprint 1–16 acceptance matrices and validation checklists</x:v>
      </x:c>
      <x:c r="J176" s="32" t="str">
        <x:v>H6</x:v>
      </x:c>
      <x:c r="K176" s="32" t="str">
        <x:v>Yes</x:v>
      </x:c>
      <x:c r="L176" s="32" t="str">
        <x:v>P1</x:v>
      </x:c>
      <x:c r="M176" s="32" t="str">
        <x:v>QA</x:v>
      </x:c>
      <x:c r="N176" s="32" t="str">
        <x:v>Production/Engineering</x:v>
      </x:c>
      <x:c r="O176" s="32" t="str">
        <x:v>NOT RUN</x:v>
      </x:c>
      <x:c r="P176" s="32" t="str"/>
      <x:c r="Q176" s="32" t="str"/>
      <x:c r="R176" s="32" t="str"/>
      <x:c r="S176" s="32" t="str"/>
      <x:c r="T176" s="82" t="str"/>
      <x:c r="U176" s="32" t="str"/>
      <x:c r="V176" s="84" t="n">
        <x:v>1</x:v>
      </x:c>
      <x:c r="W176" s="84" t="n">
        <x:f>IF(OR($O176="PASS",$O176="EXCEPTION APPROVED",$O176="NOT APPLICABLE"),$V176,0)</x:f>
        <x:v>0</x:v>
      </x:c>
      <x:c r="X176" s="84" t="n">
        <x:f>IF(AND($K176="Yes",OR($O176="FAIL",$O176="BLOCKED",$O176="NOT RUN",$O176="IN PROGRESS")),1,0)</x:f>
        <x:v>1</x:v>
      </x:c>
      <x:c r="Y176" s="32" t="str">
        <x:f>IF($O176="FAIL","FAIL",IF($O176="BLOCKED","BLOCKED",IF(AND($O176="EXCEPTION APPROVED",$K176="Yes"),"REVIEW",IF($O176="PASS","OK","PENDING"))))</x:f>
        <x:v>PENDING</x:v>
      </x:c>
    </x:row>
    <x:row r="177">
      <x:c r="A177" s="32" t="str">
        <x:v>H6-QA-013</x:v>
      </x:c>
      <x:c r="B177" s="32" t="str">
        <x:v>QA, defectos y regresión</x:v>
      </x:c>
      <x:c r="C177" s="32" t="str">
        <x:v>Control especializado</x:v>
      </x:c>
      <x:c r="D177" s="32" t="str">
        <x:v>La regresión cubre tanto capacidades automatizadas históricas como integración representativa nueva.</x:v>
      </x:c>
      <x:c r="E177" s="32" t="str">
        <x:v>Comparar baseline test histórica con matriz actual.</x:v>
      </x:c>
      <x:c r="F177" s="32" t="str">
        <x:v>Cumplimiento verificable sin desviaciones bloqueantes.</x:v>
      </x:c>
      <x:c r="G177" s="32" t="str">
        <x:v>Mapa de cobertura.</x:v>
      </x:c>
      <x:c r="H177" s="32" t="str">
        <x:v>07_QA_Testing_Plan.md; 08_QA_Testing_Matrix.xlsx; 15_Guia_Maestra.md</x:v>
      </x:c>
      <x:c r="I177" s="32" t="str">
        <x:v>QA Plan/Matrix v0.3–v0.6; Sprint 1–16 acceptance matrices and validation checklists</x:v>
      </x:c>
      <x:c r="J177" s="32" t="str">
        <x:v>H6</x:v>
      </x:c>
      <x:c r="K177" s="32" t="str">
        <x:v>Yes</x:v>
      </x:c>
      <x:c r="L177" s="32" t="str">
        <x:v>P1</x:v>
      </x:c>
      <x:c r="M177" s="32" t="str">
        <x:v>QA</x:v>
      </x:c>
      <x:c r="N177" s="32" t="str">
        <x:v>Production/Engineering</x:v>
      </x:c>
      <x:c r="O177" s="32" t="str">
        <x:v>NOT RUN</x:v>
      </x:c>
      <x:c r="P177" s="32" t="str"/>
      <x:c r="Q177" s="32" t="str"/>
      <x:c r="R177" s="32" t="str"/>
      <x:c r="S177" s="32" t="str"/>
      <x:c r="T177" s="82" t="str"/>
      <x:c r="U177" s="32" t="str"/>
      <x:c r="V177" s="84" t="n">
        <x:v>1</x:v>
      </x:c>
      <x:c r="W177" s="84" t="n">
        <x:f>IF(OR($O177="PASS",$O177="EXCEPTION APPROVED",$O177="NOT APPLICABLE"),$V177,0)</x:f>
        <x:v>0</x:v>
      </x:c>
      <x:c r="X177" s="84" t="n">
        <x:f>IF(AND($K177="Yes",OR($O177="FAIL",$O177="BLOCKED",$O177="NOT RUN",$O177="IN PROGRESS")),1,0)</x:f>
        <x:v>1</x:v>
      </x:c>
      <x:c r="Y177" s="32" t="str">
        <x:f>IF($O177="FAIL","FAIL",IF($O177="BLOCKED","BLOCKED",IF(AND($O177="EXCEPTION APPROVED",$K177="Yes"),"REVIEW",IF($O177="PASS","OK","PENDING"))))</x:f>
        <x:v>PENDING</x:v>
      </x:c>
    </x:row>
    <x:row r="178">
      <x:c r="A178" s="32" t="str">
        <x:v>H6-QA-014</x:v>
      </x:c>
      <x:c r="B178" s="32" t="str">
        <x:v>QA, defectos y regresión</x:v>
      </x:c>
      <x:c r="C178" s="32" t="str">
        <x:v>Control especializado</x:v>
      </x:c>
      <x:c r="D178" s="32" t="str">
        <x:v>Los resultados de QA no mezclan casos, aserciones y controles sin etiquetar la unidad.</x:v>
      </x:c>
      <x:c r="E178" s="32" t="str">
        <x:v>Revisar dashboards e informes.</x:v>
      </x:c>
      <x:c r="F178" s="32" t="str">
        <x:v>Cumplimiento verificable sin desviaciones bloqueantes.</x:v>
      </x:c>
      <x:c r="G178" s="32" t="str">
        <x:v>Reconciliación de conteos.</x:v>
      </x:c>
      <x:c r="H178" s="32" t="str">
        <x:v>07_QA_Testing_Plan.md; 08_QA_Testing_Matrix.xlsx; 15_Guia_Maestra.md</x:v>
      </x:c>
      <x:c r="I178" s="32" t="str">
        <x:v>QA Plan/Matrix v0.3–v0.6; Sprint 1–16 acceptance matrices and validation checklists</x:v>
      </x:c>
      <x:c r="J178" s="32" t="str">
        <x:v>H6</x:v>
      </x:c>
      <x:c r="K178" s="32" t="str">
        <x:v>Yes</x:v>
      </x:c>
      <x:c r="L178" s="32" t="str">
        <x:v>P1</x:v>
      </x:c>
      <x:c r="M178" s="32" t="str">
        <x:v>QA</x:v>
      </x:c>
      <x:c r="N178" s="32" t="str">
        <x:v>Production/Engineering</x:v>
      </x:c>
      <x:c r="O178" s="32" t="str">
        <x:v>NOT RUN</x:v>
      </x:c>
      <x:c r="P178" s="32" t="str"/>
      <x:c r="Q178" s="32" t="str"/>
      <x:c r="R178" s="32" t="str"/>
      <x:c r="S178" s="32" t="str"/>
      <x:c r="T178" s="82" t="str"/>
      <x:c r="U178" s="32" t="str"/>
      <x:c r="V178" s="84" t="n">
        <x:v>1</x:v>
      </x:c>
      <x:c r="W178" s="84" t="n">
        <x:f>IF(OR($O178="PASS",$O178="EXCEPTION APPROVED",$O178="NOT APPLICABLE"),$V178,0)</x:f>
        <x:v>0</x:v>
      </x:c>
      <x:c r="X178" s="84" t="n">
        <x:f>IF(AND($K178="Yes",OR($O178="FAIL",$O178="BLOCKED",$O178="NOT RUN",$O178="IN PROGRESS")),1,0)</x:f>
        <x:v>1</x:v>
      </x:c>
      <x:c r="Y178" s="32" t="str">
        <x:f>IF($O178="FAIL","FAIL",IF($O178="BLOCKED","BLOCKED",IF(AND($O178="EXCEPTION APPROVED",$K178="Yes"),"REVIEW",IF($O178="PASS","OK","PENDING"))))</x:f>
        <x:v>PENDING</x:v>
      </x:c>
    </x:row>
    <x:row r="179">
      <x:c r="A179" s="32" t="str">
        <x:v>H6-QA-015</x:v>
      </x:c>
      <x:c r="B179" s="32" t="str">
        <x:v>QA, defectos y regresión</x:v>
      </x:c>
      <x:c r="C179" s="32" t="str">
        <x:v>Control especializado</x:v>
      </x:c>
      <x:c r="D179" s="32" t="str">
        <x:v>Se ejecuta una sesión sin conexión y una sesión tras reinicio del sistema.</x:v>
      </x:c>
      <x:c r="E179" s="32" t="str">
        <x:v>Ejecutar candidata offline y tras reboot.</x:v>
      </x:c>
      <x:c r="F179" s="32" t="str">
        <x:v>Cumplimiento verificable sin desviaciones bloqueantes.</x:v>
      </x:c>
      <x:c r="G179" s="32" t="str">
        <x:v>Actas de entorno.</x:v>
      </x:c>
      <x:c r="H179" s="32" t="str">
        <x:v>07_QA_Testing_Plan.md; 08_QA_Testing_Matrix.xlsx; 15_Guia_Maestra.md</x:v>
      </x:c>
      <x:c r="I179" s="32" t="str">
        <x:v>QA Plan/Matrix v0.3–v0.6; Sprint 1–16 acceptance matrices and validation checklists</x:v>
      </x:c>
      <x:c r="J179" s="32" t="str">
        <x:v>H6</x:v>
      </x:c>
      <x:c r="K179" s="32" t="str">
        <x:v>Yes</x:v>
      </x:c>
      <x:c r="L179" s="32" t="str">
        <x:v>P1</x:v>
      </x:c>
      <x:c r="M179" s="32" t="str">
        <x:v>QA</x:v>
      </x:c>
      <x:c r="N179" s="32" t="str">
        <x:v>Production/Engineering</x:v>
      </x:c>
      <x:c r="O179" s="32" t="str">
        <x:v>NOT RUN</x:v>
      </x:c>
      <x:c r="P179" s="32" t="str"/>
      <x:c r="Q179" s="32" t="str"/>
      <x:c r="R179" s="32" t="str"/>
      <x:c r="S179" s="32" t="str"/>
      <x:c r="T179" s="82" t="str"/>
      <x:c r="U179" s="32" t="str"/>
      <x:c r="V179" s="84" t="n">
        <x:v>1</x:v>
      </x:c>
      <x:c r="W179" s="84" t="n">
        <x:f>IF(OR($O179="PASS",$O179="EXCEPTION APPROVED",$O179="NOT APPLICABLE"),$V179,0)</x:f>
        <x:v>0</x:v>
      </x:c>
      <x:c r="X179" s="84" t="n">
        <x:f>IF(AND($K179="Yes",OR($O179="FAIL",$O179="BLOCKED",$O179="NOT RUN",$O179="IN PROGRESS")),1,0)</x:f>
        <x:v>1</x:v>
      </x:c>
      <x:c r="Y179" s="32" t="str">
        <x:f>IF($O179="FAIL","FAIL",IF($O179="BLOCKED","BLOCKED",IF(AND($O179="EXCEPTION APPROVED",$K179="Yes"),"REVIEW",IF($O179="PASS","OK","PENDING"))))</x:f>
        <x:v>PENDING</x:v>
      </x:c>
    </x:row>
    <x:row r="180">
      <x:c r="A180" s="32" t="str">
        <x:v>H6-QA-016</x:v>
      </x:c>
      <x:c r="B180" s="32" t="str">
        <x:v>QA, defectos y regresión</x:v>
      </x:c>
      <x:c r="C180" s="32" t="str">
        <x:v>Control especializado</x:v>
      </x:c>
      <x:c r="D180" s="32" t="str">
        <x:v>La decisión final se basa en evidencia de la candidata inmutable, no en resultados de builds previas.</x:v>
      </x:c>
      <x:c r="E180" s="32" t="str">
        <x:v>Cruzar todos los registros con Build ID/SHA/checksum.</x:v>
      </x:c>
      <x:c r="F180" s="32" t="str">
        <x:v>Cumplimiento verificable sin desviaciones bloqueantes.</x:v>
      </x:c>
      <x:c r="G180" s="32" t="str">
        <x:v>Informe de consistencia de evidencia.</x:v>
      </x:c>
      <x:c r="H180" s="32" t="str">
        <x:v>07_QA_Testing_Plan.md; 08_QA_Testing_Matrix.xlsx; 15_Guia_Maestra.md</x:v>
      </x:c>
      <x:c r="I180" s="32" t="str">
        <x:v>QA Plan/Matrix v0.3–v0.6; Sprint 1–16 acceptance matrices and validation checklists</x:v>
      </x:c>
      <x:c r="J180" s="32" t="str">
        <x:v>H6</x:v>
      </x:c>
      <x:c r="K180" s="32" t="str">
        <x:v>Yes</x:v>
      </x:c>
      <x:c r="L180" s="32" t="str">
        <x:v>P1</x:v>
      </x:c>
      <x:c r="M180" s="32" t="str">
        <x:v>QA</x:v>
      </x:c>
      <x:c r="N180" s="32" t="str">
        <x:v>Production/Engineering</x:v>
      </x:c>
      <x:c r="O180" s="32" t="str">
        <x:v>NOT RUN</x:v>
      </x:c>
      <x:c r="P180" s="32" t="str"/>
      <x:c r="Q180" s="32" t="str"/>
      <x:c r="R180" s="32" t="str"/>
      <x:c r="S180" s="32" t="str"/>
      <x:c r="T180" s="82" t="str"/>
      <x:c r="U180" s="32" t="str"/>
      <x:c r="V180" s="84" t="n">
        <x:v>1</x:v>
      </x:c>
      <x:c r="W180" s="84" t="n">
        <x:f>IF(OR($O180="PASS",$O180="EXCEPTION APPROVED",$O180="NOT APPLICABLE"),$V180,0)</x:f>
        <x:v>0</x:v>
      </x:c>
      <x:c r="X180" s="84" t="n">
        <x:f>IF(AND($K180="Yes",OR($O180="FAIL",$O180="BLOCKED",$O180="NOT RUN",$O180="IN PROGRESS")),1,0)</x:f>
        <x:v>1</x:v>
      </x:c>
      <x:c r="Y180" s="32" t="str">
        <x:f>IF($O180="FAIL","FAIL",IF($O180="BLOCKED","BLOCKED",IF(AND($O180="EXCEPTION APPROVED",$K180="Yes"),"REVIEW",IF($O180="PASS","OK","PENDING"))))</x:f>
        <x:v>PENDING</x:v>
      </x:c>
    </x:row>
    <x:row r="181">
      <x:c r="A181" s="32" t="str">
        <x:v>H6-SAV-001</x:v>
      </x:c>
      <x:c r="B181" s="32" t="str">
        <x:v>Persistencia y recuperación</x:v>
      </x:c>
      <x:c r="C181" s="32" t="str">
        <x:v>Control especializado</x:v>
      </x:c>
      <x:c r="D181" s="32" t="str">
        <x:v>El conjunto persistente mínimo de H6 está explícitamente definido y coincide con la experiencia disponible.</x:v>
      </x:c>
      <x:c r="E181" s="32" t="str">
        <x:v>Comparar schema/modelo de datos con acciones del Golden Path.</x:v>
      </x:c>
      <x:c r="F181" s="32" t="str">
        <x:v>Cumplimiento verificable sin desviaciones bloqueantes.</x:v>
      </x:c>
      <x:c r="G181" s="32" t="str">
        <x:v>Persistent scope matrix.</x:v>
      </x:c>
      <x:c r="H181" s="32" t="str">
        <x:v>03_Technical_Design_Document.md; 04_Modelo_de_Datos.md; 26_Privacy_Data_and_Telemetry_Plan.md</x:v>
      </x:c>
      <x:c r="I181" s="32" t="str">
        <x:v>TDD/Modelo de Datos v0.3–v0.6; Sprint 2 save skeleton and later persistence records</x:v>
      </x:c>
      <x:c r="J181" s="32" t="str">
        <x:v>H6</x:v>
      </x:c>
      <x:c r="K181" s="32" t="str">
        <x:v>Yes</x:v>
      </x:c>
      <x:c r="L181" s="32" t="str">
        <x:v>P0</x:v>
      </x:c>
      <x:c r="M181" s="32" t="str">
        <x:v>Engineering</x:v>
      </x:c>
      <x:c r="N181" s="32" t="str">
        <x:v>QA/Architecture</x:v>
      </x:c>
      <x:c r="O181" s="32" t="str">
        <x:v>NOT RUN</x:v>
      </x:c>
      <x:c r="P181" s="32" t="str"/>
      <x:c r="Q181" s="32" t="str"/>
      <x:c r="R181" s="32" t="str"/>
      <x:c r="S181" s="32" t="str"/>
      <x:c r="T181" s="82" t="str"/>
      <x:c r="U181" s="32" t="str"/>
      <x:c r="V181" s="84" t="n">
        <x:v>1</x:v>
      </x:c>
      <x:c r="W181" s="84" t="n">
        <x:f>IF(OR($O181="PASS",$O181="EXCEPTION APPROVED",$O181="NOT APPLICABLE"),$V181,0)</x:f>
        <x:v>0</x:v>
      </x:c>
      <x:c r="X181" s="84" t="n">
        <x:f>IF(AND($K181="Yes",OR($O181="FAIL",$O181="BLOCKED",$O181="NOT RUN",$O181="IN PROGRESS")),1,0)</x:f>
        <x:v>1</x:v>
      </x:c>
      <x:c r="Y181" s="32" t="str">
        <x:f>IF($O181="FAIL","FAIL",IF($O181="BLOCKED","BLOCKED",IF(AND($O181="EXCEPTION APPROVED",$K181="Yes"),"REVIEW",IF($O181="PASS","OK","PENDING"))))</x:f>
        <x:v>PENDING</x:v>
      </x:c>
    </x:row>
    <x:row r="182">
      <x:c r="A182" s="32" t="str">
        <x:v>H6-SAV-002</x:v>
      </x:c>
      <x:c r="B182" s="32" t="str">
        <x:v>Persistencia y recuperación</x:v>
      </x:c>
      <x:c r="C182" s="32" t="str">
        <x:v>Control especializado</x:v>
      </x:c>
      <x:c r="D182" s="32" t="str">
        <x:v>Guardar y cargar conserva equivalencia de inventario, muebles, pedidos, precios, economía, día y preferencias correspondientes.</x:v>
      </x:c>
      <x:c r="E182" s="32" t="str">
        <x:v>Snapshot/diff antes y después de recarga.</x:v>
      </x:c>
      <x:c r="F182" s="32" t="str">
        <x:v>Cumplimiento verificable sin desviaciones bloqueantes.</x:v>
      </x:c>
      <x:c r="G182" s="32" t="str">
        <x:v>Save comparison report.</x:v>
      </x:c>
      <x:c r="H182" s="32" t="str">
        <x:v>03_Technical_Design_Document.md; 04_Modelo_de_Datos.md; 26_Privacy_Data_and_Telemetry_Plan.md</x:v>
      </x:c>
      <x:c r="I182" s="32" t="str">
        <x:v>TDD/Modelo de Datos v0.3–v0.6; Sprint 2 save skeleton and later persistence records</x:v>
      </x:c>
      <x:c r="J182" s="32" t="str">
        <x:v>H6</x:v>
      </x:c>
      <x:c r="K182" s="32" t="str">
        <x:v>Yes</x:v>
      </x:c>
      <x:c r="L182" s="32" t="str">
        <x:v>P0</x:v>
      </x:c>
      <x:c r="M182" s="32" t="str">
        <x:v>Engineering</x:v>
      </x:c>
      <x:c r="N182" s="32" t="str">
        <x:v>QA/Architecture</x:v>
      </x:c>
      <x:c r="O182" s="32" t="str">
        <x:v>NOT RUN</x:v>
      </x:c>
      <x:c r="P182" s="32" t="str"/>
      <x:c r="Q182" s="32" t="str"/>
      <x:c r="R182" s="32" t="str"/>
      <x:c r="S182" s="32" t="str"/>
      <x:c r="T182" s="82" t="str"/>
      <x:c r="U182" s="32" t="str"/>
      <x:c r="V182" s="84" t="n">
        <x:v>1</x:v>
      </x:c>
      <x:c r="W182" s="84" t="n">
        <x:f>IF(OR($O182="PASS",$O182="EXCEPTION APPROVED",$O182="NOT APPLICABLE"),$V182,0)</x:f>
        <x:v>0</x:v>
      </x:c>
      <x:c r="X182" s="84" t="n">
        <x:f>IF(AND($K182="Yes",OR($O182="FAIL",$O182="BLOCKED",$O182="NOT RUN",$O182="IN PROGRESS")),1,0)</x:f>
        <x:v>1</x:v>
      </x:c>
      <x:c r="Y182" s="32" t="str">
        <x:f>IF($O182="FAIL","FAIL",IF($O182="BLOCKED","BLOCKED",IF(AND($O182="EXCEPTION APPROVED",$K182="Yes"),"REVIEW",IF($O182="PASS","OK","PENDING"))))</x:f>
        <x:v>PENDING</x:v>
      </x:c>
    </x:row>
    <x:row r="183">
      <x:c r="A183" s="32" t="str">
        <x:v>H6-SAV-003</x:v>
      </x:c>
      <x:c r="B183" s="32" t="str">
        <x:v>Persistencia y recuperación</x:v>
      </x:c>
      <x:c r="C183" s="32" t="str">
        <x:v>Control especializado</x:v>
      </x:c>
      <x:c r="D183" s="32" t="str">
        <x:v>La colocación dinámica incluida persiste posición, rotación, tipo e ID.</x:v>
      </x:c>
      <x:c r="E183" s="32" t="str">
        <x:v>Mover/retirar/colocar, guardar, reiniciar y cargar.</x:v>
      </x:c>
      <x:c r="F183" s="32" t="str">
        <x:v>Cumplimiento verificable sin desviaciones bloqueantes.</x:v>
      </x:c>
      <x:c r="G183" s="32" t="str">
        <x:v>Diff y capturas.</x:v>
      </x:c>
      <x:c r="H183" s="32" t="str">
        <x:v>03_Technical_Design_Document.md; 04_Modelo_de_Datos.md; 26_Privacy_Data_and_Telemetry_Plan.md</x:v>
      </x:c>
      <x:c r="I183" s="32" t="str">
        <x:v>TDD/Modelo de Datos v0.3–v0.6; Sprint 2 save skeleton and later persistence records</x:v>
      </x:c>
      <x:c r="J183" s="32" t="str">
        <x:v>H6</x:v>
      </x:c>
      <x:c r="K183" s="32" t="str">
        <x:v>Yes</x:v>
      </x:c>
      <x:c r="L183" s="32" t="str">
        <x:v>P1</x:v>
      </x:c>
      <x:c r="M183" s="32" t="str">
        <x:v>Engineering</x:v>
      </x:c>
      <x:c r="N183" s="32" t="str">
        <x:v>QA/Architecture</x:v>
      </x:c>
      <x:c r="O183" s="32" t="str">
        <x:v>NOT RUN</x:v>
      </x:c>
      <x:c r="P183" s="32" t="str"/>
      <x:c r="Q183" s="32" t="str"/>
      <x:c r="R183" s="32" t="str"/>
      <x:c r="S183" s="32" t="str"/>
      <x:c r="T183" s="82" t="str"/>
      <x:c r="U183" s="32" t="str"/>
      <x:c r="V183" s="84" t="n">
        <x:v>1</x:v>
      </x:c>
      <x:c r="W183" s="84" t="n">
        <x:f>IF(OR($O183="PASS",$O183="EXCEPTION APPROVED",$O183="NOT APPLICABLE"),$V183,0)</x:f>
        <x:v>0</x:v>
      </x:c>
      <x:c r="X183" s="84" t="n">
        <x:f>IF(AND($K183="Yes",OR($O183="FAIL",$O183="BLOCKED",$O183="NOT RUN",$O183="IN PROGRESS")),1,0)</x:f>
        <x:v>1</x:v>
      </x:c>
      <x:c r="Y183" s="32" t="str">
        <x:f>IF($O183="FAIL","FAIL",IF($O183="BLOCKED","BLOCKED",IF(AND($O183="EXCEPTION APPROVED",$K183="Yes"),"REVIEW",IF($O183="PASS","OK","PENDING"))))</x:f>
        <x:v>PENDING</x:v>
      </x:c>
    </x:row>
    <x:row r="184">
      <x:c r="A184" s="32" t="str">
        <x:v>H6-SAV-004</x:v>
      </x:c>
      <x:c r="B184" s="32" t="str">
        <x:v>Persistencia y recuperación</x:v>
      </x:c>
      <x:c r="C184" s="32" t="str">
        <x:v>Control especializado</x:v>
      </x:c>
      <x:c r="D184" s="32" t="str">
        <x:v>Cargar repetidamente no duplica entidades, pedidos, stock, clientes, movimientos o ingresos.</x:v>
      </x:c>
      <x:c r="E184" s="32" t="str">
        <x:v>Ciclo de cargas repetidas y auditoría de IDs/cantidades.</x:v>
      </x:c>
      <x:c r="F184" s="32" t="str">
        <x:v>Cumplimiento verificable sin desviaciones bloqueantes.</x:v>
      </x:c>
      <x:c r="G184" s="32" t="str">
        <x:v>Repetition test report.</x:v>
      </x:c>
      <x:c r="H184" s="32" t="str">
        <x:v>03_Technical_Design_Document.md; 04_Modelo_de_Datos.md; 26_Privacy_Data_and_Telemetry_Plan.md</x:v>
      </x:c>
      <x:c r="I184" s="32" t="str">
        <x:v>TDD/Modelo de Datos v0.3–v0.6; Sprint 2 save skeleton and later persistence records</x:v>
      </x:c>
      <x:c r="J184" s="32" t="str">
        <x:v>H6</x:v>
      </x:c>
      <x:c r="K184" s="32" t="str">
        <x:v>Yes</x:v>
      </x:c>
      <x:c r="L184" s="32" t="str">
        <x:v>P1</x:v>
      </x:c>
      <x:c r="M184" s="32" t="str">
        <x:v>Engineering</x:v>
      </x:c>
      <x:c r="N184" s="32" t="str">
        <x:v>QA/Architecture</x:v>
      </x:c>
      <x:c r="O184" s="32" t="str">
        <x:v>NOT RUN</x:v>
      </x:c>
      <x:c r="P184" s="32" t="str"/>
      <x:c r="Q184" s="32" t="str"/>
      <x:c r="R184" s="32" t="str"/>
      <x:c r="S184" s="32" t="str"/>
      <x:c r="T184" s="82" t="str"/>
      <x:c r="U184" s="32" t="str"/>
      <x:c r="V184" s="84" t="n">
        <x:v>1</x:v>
      </x:c>
      <x:c r="W184" s="84" t="n">
        <x:f>IF(OR($O184="PASS",$O184="EXCEPTION APPROVED",$O184="NOT APPLICABLE"),$V184,0)</x:f>
        <x:v>0</x:v>
      </x:c>
      <x:c r="X184" s="84" t="n">
        <x:f>IF(AND($K184="Yes",OR($O184="FAIL",$O184="BLOCKED",$O184="NOT RUN",$O184="IN PROGRESS")),1,0)</x:f>
        <x:v>1</x:v>
      </x:c>
      <x:c r="Y184" s="32" t="str">
        <x:f>IF($O184="FAIL","FAIL",IF($O184="BLOCKED","BLOCKED",IF(AND($O184="EXCEPTION APPROVED",$K184="Yes"),"REVIEW",IF($O184="PASS","OK","PENDING"))))</x:f>
        <x:v>PENDING</x:v>
      </x:c>
    </x:row>
    <x:row r="185">
      <x:c r="A185" s="32" t="str">
        <x:v>H6-SAV-005</x:v>
      </x:c>
      <x:c r="B185" s="32" t="str">
        <x:v>Persistencia y recuperación</x:v>
      </x:c>
      <x:c r="C185" s="32" t="str">
        <x:v>Control especializado</x:v>
      </x:c>
      <x:c r="D185" s="32" t="str">
        <x:v>Los tres slots son independientes y las preferencias globales no contaminan datos de partida.</x:v>
      </x:c>
      <x:c r="E185" s="32" t="str">
        <x:v>Crear estados divergentes y alternar slots.</x:v>
      </x:c>
      <x:c r="F185" s="32" t="str">
        <x:v>Cumplimiento verificable sin desviaciones bloqueantes.</x:v>
      </x:c>
      <x:c r="G185" s="32" t="str">
        <x:v>Slot isolation record.</x:v>
      </x:c>
      <x:c r="H185" s="32" t="str">
        <x:v>03_Technical_Design_Document.md; 04_Modelo_de_Datos.md; 26_Privacy_Data_and_Telemetry_Plan.md</x:v>
      </x:c>
      <x:c r="I185" s="32" t="str">
        <x:v>TDD/Modelo de Datos v0.3–v0.6; Sprint 2 save skeleton and later persistence records</x:v>
      </x:c>
      <x:c r="J185" s="32" t="str">
        <x:v>H6</x:v>
      </x:c>
      <x:c r="K185" s="32" t="str">
        <x:v>Yes</x:v>
      </x:c>
      <x:c r="L185" s="32" t="str">
        <x:v>P1</x:v>
      </x:c>
      <x:c r="M185" s="32" t="str">
        <x:v>Engineering</x:v>
      </x:c>
      <x:c r="N185" s="32" t="str">
        <x:v>QA/Architecture</x:v>
      </x:c>
      <x:c r="O185" s="32" t="str">
        <x:v>NOT RUN</x:v>
      </x:c>
      <x:c r="P185" s="32" t="str"/>
      <x:c r="Q185" s="32" t="str"/>
      <x:c r="R185" s="32" t="str"/>
      <x:c r="S185" s="32" t="str"/>
      <x:c r="T185" s="82" t="str"/>
      <x:c r="U185" s="32" t="str"/>
      <x:c r="V185" s="84" t="n">
        <x:v>1</x:v>
      </x:c>
      <x:c r="W185" s="84" t="n">
        <x:f>IF(OR($O185="PASS",$O185="EXCEPTION APPROVED",$O185="NOT APPLICABLE"),$V185,0)</x:f>
        <x:v>0</x:v>
      </x:c>
      <x:c r="X185" s="84" t="n">
        <x:f>IF(AND($K185="Yes",OR($O185="FAIL",$O185="BLOCKED",$O185="NOT RUN",$O185="IN PROGRESS")),1,0)</x:f>
        <x:v>1</x:v>
      </x:c>
      <x:c r="Y185" s="32" t="str">
        <x:f>IF($O185="FAIL","FAIL",IF($O185="BLOCKED","BLOCKED",IF(AND($O185="EXCEPTION APPROVED",$K185="Yes"),"REVIEW",IF($O185="PASS","OK","PENDING"))))</x:f>
        <x:v>PENDING</x:v>
      </x:c>
    </x:row>
    <x:row r="186">
      <x:c r="A186" s="32" t="str">
        <x:v>H6-SAV-006</x:v>
      </x:c>
      <x:c r="B186" s="32" t="str">
        <x:v>Persistencia y recuperación</x:v>
      </x:c>
      <x:c r="C186" s="32" t="str">
        <x:v>Control especializado</x:v>
      </x:c>
      <x:c r="D186" s="32" t="str">
        <x:v>El versionado de save y la migración soportada están documentados y probados.</x:v>
      </x:c>
      <x:c r="E186" s="32" t="str">
        <x:v>Cargar fixtures de versiones admitidas.</x:v>
      </x:c>
      <x:c r="F186" s="32" t="str">
        <x:v>Cumplimiento verificable sin desviaciones bloqueantes.</x:v>
      </x:c>
      <x:c r="G186" s="32" t="str">
        <x:v>Migration test report.</x:v>
      </x:c>
      <x:c r="H186" s="32" t="str">
        <x:v>03_Technical_Design_Document.md; 04_Modelo_de_Datos.md; 26_Privacy_Data_and_Telemetry_Plan.md</x:v>
      </x:c>
      <x:c r="I186" s="32" t="str">
        <x:v>TDD/Modelo de Datos v0.3–v0.6; Sprint 2 save skeleton and later persistence records</x:v>
      </x:c>
      <x:c r="J186" s="32" t="str">
        <x:v>H6</x:v>
      </x:c>
      <x:c r="K186" s="32" t="str">
        <x:v>Yes</x:v>
      </x:c>
      <x:c r="L186" s="32" t="str">
        <x:v>P1</x:v>
      </x:c>
      <x:c r="M186" s="32" t="str">
        <x:v>Engineering</x:v>
      </x:c>
      <x:c r="N186" s="32" t="str">
        <x:v>QA/Architecture</x:v>
      </x:c>
      <x:c r="O186" s="32" t="str">
        <x:v>NOT RUN</x:v>
      </x:c>
      <x:c r="P186" s="32" t="str"/>
      <x:c r="Q186" s="32" t="str"/>
      <x:c r="R186" s="32" t="str"/>
      <x:c r="S186" s="32" t="str"/>
      <x:c r="T186" s="82" t="str"/>
      <x:c r="U186" s="32" t="str"/>
      <x:c r="V186" s="84" t="n">
        <x:v>1</x:v>
      </x:c>
      <x:c r="W186" s="84" t="n">
        <x:f>IF(OR($O186="PASS",$O186="EXCEPTION APPROVED",$O186="NOT APPLICABLE"),$V186,0)</x:f>
        <x:v>0</x:v>
      </x:c>
      <x:c r="X186" s="84" t="n">
        <x:f>IF(AND($K186="Yes",OR($O186="FAIL",$O186="BLOCKED",$O186="NOT RUN",$O186="IN PROGRESS")),1,0)</x:f>
        <x:v>1</x:v>
      </x:c>
      <x:c r="Y186" s="32" t="str">
        <x:f>IF($O186="FAIL","FAIL",IF($O186="BLOCKED","BLOCKED",IF(AND($O186="EXCEPTION APPROVED",$K186="Yes"),"REVIEW",IF($O186="PASS","OK","PENDING"))))</x:f>
        <x:v>PENDING</x:v>
      </x:c>
    </x:row>
    <x:row r="187">
      <x:c r="A187" s="32" t="str">
        <x:v>H6-SAV-007</x:v>
      </x:c>
      <x:c r="B187" s="32" t="str">
        <x:v>Persistencia y recuperación</x:v>
      </x:c>
      <x:c r="C187" s="32" t="str">
        <x:v>Control especializado</x:v>
      </x:c>
      <x:c r="D187" s="32" t="str">
        <x:v>Archivo ausente/corrupto se maneja sin sobrescribir evidencia y con recuperación aprobada.</x:v>
      </x:c>
      <x:c r="E187" s="32" t="str">
        <x:v>Fault injection y restore/backup.</x:v>
      </x:c>
      <x:c r="F187" s="32" t="str">
        <x:v>Cumplimiento verificable sin desviaciones bloqueantes.</x:v>
      </x:c>
      <x:c r="G187" s="32" t="str">
        <x:v>Recovery record.</x:v>
      </x:c>
      <x:c r="H187" s="32" t="str">
        <x:v>03_Technical_Design_Document.md; 04_Modelo_de_Datos.md; 26_Privacy_Data_and_Telemetry_Plan.md</x:v>
      </x:c>
      <x:c r="I187" s="32" t="str">
        <x:v>TDD/Modelo de Datos v0.3–v0.6; Sprint 2 save skeleton and later persistence records</x:v>
      </x:c>
      <x:c r="J187" s="32" t="str">
        <x:v>H6</x:v>
      </x:c>
      <x:c r="K187" s="32" t="str">
        <x:v>Yes</x:v>
      </x:c>
      <x:c r="L187" s="32" t="str">
        <x:v>P0</x:v>
      </x:c>
      <x:c r="M187" s="32" t="str">
        <x:v>Engineering</x:v>
      </x:c>
      <x:c r="N187" s="32" t="str">
        <x:v>QA/Architecture</x:v>
      </x:c>
      <x:c r="O187" s="32" t="str">
        <x:v>NOT RUN</x:v>
      </x:c>
      <x:c r="P187" s="32" t="str"/>
      <x:c r="Q187" s="32" t="str"/>
      <x:c r="R187" s="32" t="str"/>
      <x:c r="S187" s="32" t="str"/>
      <x:c r="T187" s="82" t="str"/>
      <x:c r="U187" s="32" t="str"/>
      <x:c r="V187" s="84" t="n">
        <x:v>1</x:v>
      </x:c>
      <x:c r="W187" s="84" t="n">
        <x:f>IF(OR($O187="PASS",$O187="EXCEPTION APPROVED",$O187="NOT APPLICABLE"),$V187,0)</x:f>
        <x:v>0</x:v>
      </x:c>
      <x:c r="X187" s="84" t="n">
        <x:f>IF(AND($K187="Yes",OR($O187="FAIL",$O187="BLOCKED",$O187="NOT RUN",$O187="IN PROGRESS")),1,0)</x:f>
        <x:v>1</x:v>
      </x:c>
      <x:c r="Y187" s="32" t="str">
        <x:f>IF($O187="FAIL","FAIL",IF($O187="BLOCKED","BLOCKED",IF(AND($O187="EXCEPTION APPROVED",$K187="Yes"),"REVIEW",IF($O187="PASS","OK","PENDING"))))</x:f>
        <x:v>PENDING</x:v>
      </x:c>
    </x:row>
    <x:row r="188">
      <x:c r="A188" s="32" t="str">
        <x:v>H6-SAV-008</x:v>
      </x:c>
      <x:c r="B188" s="32" t="str">
        <x:v>Persistencia y recuperación</x:v>
      </x:c>
      <x:c r="C188" s="32" t="str">
        <x:v>Control especializado</x:v>
      </x:c>
      <x:c r="D188" s="32" t="str">
        <x:v>El guardado/autosave no produce estado parcial si falla la escritura.</x:v>
      </x:c>
      <x:c r="E188" s="32" t="str">
        <x:v>Interrumpir escritura en entorno controlado.</x:v>
      </x:c>
      <x:c r="F188" s="32" t="str">
        <x:v>Cumplimiento verificable sin desviaciones bloqueantes.</x:v>
      </x:c>
      <x:c r="G188" s="32" t="str">
        <x:v>Atomicity/fault injection report.</x:v>
      </x:c>
      <x:c r="H188" s="32" t="str">
        <x:v>03_Technical_Design_Document.md; 04_Modelo_de_Datos.md; 26_Privacy_Data_and_Telemetry_Plan.md</x:v>
      </x:c>
      <x:c r="I188" s="32" t="str">
        <x:v>TDD/Modelo de Datos v0.3–v0.6; Sprint 2 save skeleton and later persistence records</x:v>
      </x:c>
      <x:c r="J188" s="32" t="str">
        <x:v>H6</x:v>
      </x:c>
      <x:c r="K188" s="32" t="str">
        <x:v>Yes</x:v>
      </x:c>
      <x:c r="L188" s="32" t="str">
        <x:v>P1</x:v>
      </x:c>
      <x:c r="M188" s="32" t="str">
        <x:v>Engineering</x:v>
      </x:c>
      <x:c r="N188" s="32" t="str">
        <x:v>QA/Architecture</x:v>
      </x:c>
      <x:c r="O188" s="32" t="str">
        <x:v>NOT RUN</x:v>
      </x:c>
      <x:c r="P188" s="32" t="str"/>
      <x:c r="Q188" s="32" t="str"/>
      <x:c r="R188" s="32" t="str"/>
      <x:c r="S188" s="32" t="str"/>
      <x:c r="T188" s="82" t="str"/>
      <x:c r="U188" s="32" t="str"/>
      <x:c r="V188" s="84" t="n">
        <x:v>1</x:v>
      </x:c>
      <x:c r="W188" s="84" t="n">
        <x:f>IF(OR($O188="PASS",$O188="EXCEPTION APPROVED",$O188="NOT APPLICABLE"),$V188,0)</x:f>
        <x:v>0</x:v>
      </x:c>
      <x:c r="X188" s="84" t="n">
        <x:f>IF(AND($K188="Yes",OR($O188="FAIL",$O188="BLOCKED",$O188="NOT RUN",$O188="IN PROGRESS")),1,0)</x:f>
        <x:v>1</x:v>
      </x:c>
      <x:c r="Y188" s="32" t="str">
        <x:f>IF($O188="FAIL","FAIL",IF($O188="BLOCKED","BLOCKED",IF(AND($O188="EXCEPTION APPROVED",$K188="Yes"),"REVIEW",IF($O188="PASS","OK","PENDING"))))</x:f>
        <x:v>PENDING</x:v>
      </x:c>
    </x:row>
    <x:row r="189">
      <x:c r="A189" s="32" t="str">
        <x:v>H6-SAV-009</x:v>
      </x:c>
      <x:c r="B189" s="32" t="str">
        <x:v>Persistencia y recuperación</x:v>
      </x:c>
      <x:c r="C189" s="32" t="str">
        <x:v>Control especializado</x:v>
      </x:c>
      <x:c r="D189" s="32" t="str">
        <x:v>Los tiempos de guardar, salir y cargar cumplen el presupuesto o tienen desviación formal.</x:v>
      </x:c>
      <x:c r="E189" s="32" t="str">
        <x:v>Medir en hardware registrado y dataset representativo.</x:v>
      </x:c>
      <x:c r="F189" s="32" t="str">
        <x:v>Cumplimiento verificable sin desviaciones bloqueantes.</x:v>
      </x:c>
      <x:c r="G189" s="32" t="str">
        <x:v>Timing report.</x:v>
      </x:c>
      <x:c r="H189" s="32" t="str">
        <x:v>03_Technical_Design_Document.md; 04_Modelo_de_Datos.md; 26_Privacy_Data_and_Telemetry_Plan.md</x:v>
      </x:c>
      <x:c r="I189" s="32" t="str">
        <x:v>TDD/Modelo de Datos v0.3–v0.6; Sprint 2 save skeleton and later persistence records</x:v>
      </x:c>
      <x:c r="J189" s="32" t="str">
        <x:v>H6</x:v>
      </x:c>
      <x:c r="K189" s="32" t="str">
        <x:v>Yes</x:v>
      </x:c>
      <x:c r="L189" s="32" t="str">
        <x:v>P1</x:v>
      </x:c>
      <x:c r="M189" s="32" t="str">
        <x:v>Engineering</x:v>
      </x:c>
      <x:c r="N189" s="32" t="str">
        <x:v>QA/Architecture</x:v>
      </x:c>
      <x:c r="O189" s="32" t="str">
        <x:v>NOT RUN</x:v>
      </x:c>
      <x:c r="P189" s="32" t="str"/>
      <x:c r="Q189" s="32" t="str"/>
      <x:c r="R189" s="32" t="str"/>
      <x:c r="S189" s="32" t="str"/>
      <x:c r="T189" s="82" t="str"/>
      <x:c r="U189" s="32" t="str"/>
      <x:c r="V189" s="84" t="n">
        <x:v>1</x:v>
      </x:c>
      <x:c r="W189" s="84" t="n">
        <x:f>IF(OR($O189="PASS",$O189="EXCEPTION APPROVED",$O189="NOT APPLICABLE"),$V189,0)</x:f>
        <x:v>0</x:v>
      </x:c>
      <x:c r="X189" s="84" t="n">
        <x:f>IF(AND($K189="Yes",OR($O189="FAIL",$O189="BLOCKED",$O189="NOT RUN",$O189="IN PROGRESS")),1,0)</x:f>
        <x:v>1</x:v>
      </x:c>
      <x:c r="Y189" s="32" t="str">
        <x:f>IF($O189="FAIL","FAIL",IF($O189="BLOCKED","BLOCKED",IF(AND($O189="EXCEPTION APPROVED",$K189="Yes"),"REVIEW",IF($O189="PASS","OK","PENDING"))))</x:f>
        <x:v>PENDING</x:v>
      </x:c>
    </x:row>
    <x:row r="190">
      <x:c r="A190" s="32" t="str">
        <x:v>H6-SAV-010</x:v>
      </x:c>
      <x:c r="B190" s="32" t="str">
        <x:v>Persistencia y recuperación</x:v>
      </x:c>
      <x:c r="C190" s="32" t="str">
        <x:v>Control especializado</x:v>
      </x:c>
      <x:c r="D190" s="32" t="str">
        <x:v>Los logs de persistencia no exponen datos sensibles ni rutas innecesarias en build candidata.</x:v>
      </x:c>
      <x:c r="E190" s="32" t="str">
        <x:v>Revisar Player.log y artefactos.</x:v>
      </x:c>
      <x:c r="F190" s="32" t="str">
        <x:v>Cumplimiento verificable sin desviaciones bloqueantes.</x:v>
      </x:c>
      <x:c r="G190" s="32" t="str">
        <x:v>Log privacy review.</x:v>
      </x:c>
      <x:c r="H190" s="32" t="str">
        <x:v>03_Technical_Design_Document.md; 04_Modelo_de_Datos.md; 26_Privacy_Data_and_Telemetry_Plan.md</x:v>
      </x:c>
      <x:c r="I190" s="32" t="str">
        <x:v>TDD/Modelo de Datos v0.3–v0.6; Sprint 2 save skeleton and later persistence records</x:v>
      </x:c>
      <x:c r="J190" s="32" t="str">
        <x:v>H6</x:v>
      </x:c>
      <x:c r="K190" s="32" t="str">
        <x:v>Yes</x:v>
      </x:c>
      <x:c r="L190" s="32" t="str">
        <x:v>P1</x:v>
      </x:c>
      <x:c r="M190" s="32" t="str">
        <x:v>Engineering</x:v>
      </x:c>
      <x:c r="N190" s="32" t="str">
        <x:v>QA/Architecture</x:v>
      </x:c>
      <x:c r="O190" s="32" t="str">
        <x:v>NOT RUN</x:v>
      </x:c>
      <x:c r="P190" s="32" t="str"/>
      <x:c r="Q190" s="32" t="str"/>
      <x:c r="R190" s="32" t="str"/>
      <x:c r="S190" s="32" t="str"/>
      <x:c r="T190" s="82" t="str"/>
      <x:c r="U190" s="32" t="str"/>
      <x:c r="V190" s="84" t="n">
        <x:v>1</x:v>
      </x:c>
      <x:c r="W190" s="84" t="n">
        <x:f>IF(OR($O190="PASS",$O190="EXCEPTION APPROVED",$O190="NOT APPLICABLE"),$V190,0)</x:f>
        <x:v>0</x:v>
      </x:c>
      <x:c r="X190" s="84" t="n">
        <x:f>IF(AND($K190="Yes",OR($O190="FAIL",$O190="BLOCKED",$O190="NOT RUN",$O190="IN PROGRESS")),1,0)</x:f>
        <x:v>1</x:v>
      </x:c>
      <x:c r="Y190" s="32" t="str">
        <x:f>IF($O190="FAIL","FAIL",IF($O190="BLOCKED","BLOCKED",IF(AND($O190="EXCEPTION APPROVED",$K190="Yes"),"REVIEW",IF($O190="PASS","OK","PENDING"))))</x:f>
        <x:v>PENDING</x:v>
      </x:c>
    </x:row>
    <x:row r="191">
      <x:c r="A191" s="32" t="str">
        <x:v>H6-PER-001</x:v>
      </x:c>
      <x:c r="B191" s="32" t="str">
        <x:v>Rendimiento y estabilidad</x:v>
      </x:c>
      <x:c r="C191" s="32" t="str">
        <x:v>Control especializado</x:v>
      </x:c>
      <x:c r="D191" s="32" t="str">
        <x:v>La candidata se perfila en hardware registrado, build Player y escena representativa equipada.</x:v>
      </x:c>
      <x:c r="E191" s="32" t="str">
        <x:v>Ejecutar protocolo de 30 con metadata completa.</x:v>
      </x:c>
      <x:c r="F191" s="32" t="str">
        <x:v>Cumplimiento verificable sin desviaciones bloqueantes.</x:v>
      </x:c>
      <x:c r="G191" s="32" t="str">
        <x:v>Performance Run Record.</x:v>
      </x:c>
      <x:c r="H191" s="32" t="str">
        <x:v>30_Performance_and_Optimization_Plan.md; 02_Vertical_Slice_Specification.md</x:v>
      </x:c>
      <x:c r="I191" s="32" t="str">
        <x:v>TDD/VSS/Art/Audio historical v0.3–v0.6 performance targets</x:v>
      </x:c>
      <x:c r="J191" s="32" t="str">
        <x:v>Sprint 17 / H6</x:v>
      </x:c>
      <x:c r="K191" s="32" t="str">
        <x:v>Yes</x:v>
      </x:c>
      <x:c r="L191" s="32" t="str">
        <x:v>P0</x:v>
      </x:c>
      <x:c r="M191" s="32" t="str">
        <x:v>Engineering/QA</x:v>
      </x:c>
      <x:c r="N191" s="32" t="str">
        <x:v>Technical Direction</x:v>
      </x:c>
      <x:c r="O191" s="32" t="str">
        <x:v>NOT RUN</x:v>
      </x:c>
      <x:c r="P191" s="32" t="str"/>
      <x:c r="Q191" s="32" t="str"/>
      <x:c r="R191" s="32" t="str"/>
      <x:c r="S191" s="32" t="str"/>
      <x:c r="T191" s="82" t="str"/>
      <x:c r="U191" s="32" t="str"/>
      <x:c r="V191" s="84" t="n">
        <x:v>1</x:v>
      </x:c>
      <x:c r="W191" s="84" t="n">
        <x:f>IF(OR($O191="PASS",$O191="EXCEPTION APPROVED",$O191="NOT APPLICABLE"),$V191,0)</x:f>
        <x:v>0</x:v>
      </x:c>
      <x:c r="X191" s="84" t="n">
        <x:f>IF(AND($K191="Yes",OR($O191="FAIL",$O191="BLOCKED",$O191="NOT RUN",$O191="IN PROGRESS")),1,0)</x:f>
        <x:v>1</x:v>
      </x:c>
      <x:c r="Y191" s="32" t="str">
        <x:f>IF($O191="FAIL","FAIL",IF($O191="BLOCKED","BLOCKED",IF(AND($O191="EXCEPTION APPROVED",$K191="Yes"),"REVIEW",IF($O191="PASS","OK","PENDING"))))</x:f>
        <x:v>PENDING</x:v>
      </x:c>
    </x:row>
    <x:row r="192">
      <x:c r="A192" s="32" t="str">
        <x:v>H6-PER-002</x:v>
      </x:c>
      <x:c r="B192" s="32" t="str">
        <x:v>Rendimiento y estabilidad</x:v>
      </x:c>
      <x:c r="C192" s="32" t="str">
        <x:v>Control especializado</x:v>
      </x:c>
      <x:c r="D192" s="32" t="str">
        <x:v>El objetivo provisional de 60 FPS a 1080p se mide con media, percentiles/frame time y desviaciones.</x:v>
      </x:c>
      <x:c r="E192" s="32" t="str">
        <x:v>Capturar métricas en escenarios definidos.</x:v>
      </x:c>
      <x:c r="F192" s="32" t="str">
        <x:v>Cumplimiento verificable sin desviaciones bloqueantes.</x:v>
      </x:c>
      <x:c r="G192" s="32" t="str">
        <x:v>Profiler/capture y tabla de resultados.</x:v>
      </x:c>
      <x:c r="H192" s="32" t="str">
        <x:v>30_Performance_and_Optimization_Plan.md; 02_Vertical_Slice_Specification.md</x:v>
      </x:c>
      <x:c r="I192" s="32" t="str">
        <x:v>TDD/VSS/Art/Audio historical v0.3–v0.6 performance targets</x:v>
      </x:c>
      <x:c r="J192" s="32" t="str">
        <x:v>Sprint 17 / H6</x:v>
      </x:c>
      <x:c r="K192" s="32" t="str">
        <x:v>Yes</x:v>
      </x:c>
      <x:c r="L192" s="32" t="str">
        <x:v>P1</x:v>
      </x:c>
      <x:c r="M192" s="32" t="str">
        <x:v>Engineering/QA</x:v>
      </x:c>
      <x:c r="N192" s="32" t="str">
        <x:v>Technical Direction</x:v>
      </x:c>
      <x:c r="O192" s="32" t="str">
        <x:v>NOT RUN</x:v>
      </x:c>
      <x:c r="P192" s="32" t="str"/>
      <x:c r="Q192" s="32" t="str"/>
      <x:c r="R192" s="32" t="str"/>
      <x:c r="S192" s="32" t="str"/>
      <x:c r="T192" s="82" t="str"/>
      <x:c r="U192" s="32" t="str"/>
      <x:c r="V192" s="84" t="n">
        <x:v>1</x:v>
      </x:c>
      <x:c r="W192" s="84" t="n">
        <x:f>IF(OR($O192="PASS",$O192="EXCEPTION APPROVED",$O192="NOT APPLICABLE"),$V192,0)</x:f>
        <x:v>0</x:v>
      </x:c>
      <x:c r="X192" s="84" t="n">
        <x:f>IF(AND($K192="Yes",OR($O192="FAIL",$O192="BLOCKED",$O192="NOT RUN",$O192="IN PROGRESS")),1,0)</x:f>
        <x:v>1</x:v>
      </x:c>
      <x:c r="Y192" s="32" t="str">
        <x:f>IF($O192="FAIL","FAIL",IF($O192="BLOCKED","BLOCKED",IF(AND($O192="EXCEPTION APPROVED",$K192="Yes"),"REVIEW",IF($O192="PASS","OK","PENDING"))))</x:f>
        <x:v>PENDING</x:v>
      </x:c>
    </x:row>
    <x:row r="193">
      <x:c r="A193" s="32" t="str">
        <x:v>H6-PER-003</x:v>
      </x:c>
      <x:c r="B193" s="32" t="str">
        <x:v>Rendimiento y estabilidad</x:v>
      </x:c>
      <x:c r="C193" s="32" t="str">
        <x:v>Control especializado</x:v>
      </x:c>
      <x:c r="D193" s="32" t="str">
        <x:v>La prueba con hasta 8 clientes no presenta stutter persistente ni bloqueo de simulación.</x:v>
      </x:c>
      <x:c r="E193" s="32" t="str">
        <x:v>Ejecutar escenario de saturación.</x:v>
      </x:c>
      <x:c r="F193" s="32" t="str">
        <x:v>Cumplimiento verificable sin desviaciones bloqueantes.</x:v>
      </x:c>
      <x:c r="G193" s="32" t="str">
        <x:v>Frame-time trace y vídeo.</x:v>
      </x:c>
      <x:c r="H193" s="32" t="str">
        <x:v>30_Performance_and_Optimization_Plan.md; 02_Vertical_Slice_Specification.md</x:v>
      </x:c>
      <x:c r="I193" s="32" t="str">
        <x:v>TDD/VSS/Art/Audio historical v0.3–v0.6 performance targets</x:v>
      </x:c>
      <x:c r="J193" s="32" t="str">
        <x:v>Sprint 17 / H6</x:v>
      </x:c>
      <x:c r="K193" s="32" t="str">
        <x:v>Yes</x:v>
      </x:c>
      <x:c r="L193" s="32" t="str">
        <x:v>P1</x:v>
      </x:c>
      <x:c r="M193" s="32" t="str">
        <x:v>Engineering/QA</x:v>
      </x:c>
      <x:c r="N193" s="32" t="str">
        <x:v>Technical Direction</x:v>
      </x:c>
      <x:c r="O193" s="32" t="str">
        <x:v>NOT RUN</x:v>
      </x:c>
      <x:c r="P193" s="32" t="str"/>
      <x:c r="Q193" s="32" t="str"/>
      <x:c r="R193" s="32" t="str"/>
      <x:c r="S193" s="32" t="str"/>
      <x:c r="T193" s="82" t="str"/>
      <x:c r="U193" s="32" t="str"/>
      <x:c r="V193" s="84" t="n">
        <x:v>1</x:v>
      </x:c>
      <x:c r="W193" s="84" t="n">
        <x:f>IF(OR($O193="PASS",$O193="EXCEPTION APPROVED",$O193="NOT APPLICABLE"),$V193,0)</x:f>
        <x:v>0</x:v>
      </x:c>
      <x:c r="X193" s="84" t="n">
        <x:f>IF(AND($K193="Yes",OR($O193="FAIL",$O193="BLOCKED",$O193="NOT RUN",$O193="IN PROGRESS")),1,0)</x:f>
        <x:v>1</x:v>
      </x:c>
      <x:c r="Y193" s="32" t="str">
        <x:f>IF($O193="FAIL","FAIL",IF($O193="BLOCKED","BLOCKED",IF(AND($O193="EXCEPTION APPROVED",$K193="Yes"),"REVIEW",IF($O193="PASS","OK","PENDING"))))</x:f>
        <x:v>PENDING</x:v>
      </x:c>
    </x:row>
    <x:row r="194">
      <x:c r="A194" s="32" t="str">
        <x:v>H6-PER-004</x:v>
      </x:c>
      <x:c r="B194" s="32" t="str">
        <x:v>Rendimiento y estabilidad</x:v>
      </x:c>
      <x:c r="C194" s="32" t="str">
        <x:v>Control especializado</x:v>
      </x:c>
      <x:c r="D194" s="32" t="str">
        <x:v>El tiempo de carga del slice se mide frente al objetivo histórico &lt;5 s.</x:v>
      </x:c>
      <x:c r="E194" s="32" t="str">
        <x:v>Medir cold/warm load con protocolo repetible.</x:v>
      </x:c>
      <x:c r="F194" s="32" t="str">
        <x:v>Cumplimiento verificable sin desviaciones bloqueantes.</x:v>
      </x:c>
      <x:c r="G194" s="32" t="str">
        <x:v>Load timing report.</x:v>
      </x:c>
      <x:c r="H194" s="32" t="str">
        <x:v>30_Performance_and_Optimization_Plan.md; 02_Vertical_Slice_Specification.md</x:v>
      </x:c>
      <x:c r="I194" s="32" t="str">
        <x:v>TDD/VSS/Art/Audio historical v0.3–v0.6 performance targets</x:v>
      </x:c>
      <x:c r="J194" s="32" t="str">
        <x:v>Sprint 17 / H6</x:v>
      </x:c>
      <x:c r="K194" s="32" t="str">
        <x:v>Yes</x:v>
      </x:c>
      <x:c r="L194" s="32" t="str">
        <x:v>P1</x:v>
      </x:c>
      <x:c r="M194" s="32" t="str">
        <x:v>Engineering/QA</x:v>
      </x:c>
      <x:c r="N194" s="32" t="str">
        <x:v>Technical Direction</x:v>
      </x:c>
      <x:c r="O194" s="32" t="str">
        <x:v>NOT RUN</x:v>
      </x:c>
      <x:c r="P194" s="32" t="str"/>
      <x:c r="Q194" s="32" t="str"/>
      <x:c r="R194" s="32" t="str"/>
      <x:c r="S194" s="32" t="str"/>
      <x:c r="T194" s="82" t="str"/>
      <x:c r="U194" s="32" t="str"/>
      <x:c r="V194" s="84" t="n">
        <x:v>1</x:v>
      </x:c>
      <x:c r="W194" s="84" t="n">
        <x:f>IF(OR($O194="PASS",$O194="EXCEPTION APPROVED",$O194="NOT APPLICABLE"),$V194,0)</x:f>
        <x:v>0</x:v>
      </x:c>
      <x:c r="X194" s="84" t="n">
        <x:f>IF(AND($K194="Yes",OR($O194="FAIL",$O194="BLOCKED",$O194="NOT RUN",$O194="IN PROGRESS")),1,0)</x:f>
        <x:v>1</x:v>
      </x:c>
      <x:c r="Y194" s="32" t="str">
        <x:f>IF($O194="FAIL","FAIL",IF($O194="BLOCKED","BLOCKED",IF(AND($O194="EXCEPTION APPROVED",$K194="Yes"),"REVIEW",IF($O194="PASS","OK","PENDING"))))</x:f>
        <x:v>PENDING</x:v>
      </x:c>
    </x:row>
    <x:row r="195">
      <x:c r="A195" s="32" t="str">
        <x:v>H6-PER-005</x:v>
      </x:c>
      <x:c r="B195" s="32" t="str">
        <x:v>Rendimiento y estabilidad</x:v>
      </x:c>
      <x:c r="C195" s="32" t="str">
        <x:v>Control especializado</x:v>
      </x:c>
      <x:c r="D195" s="32" t="str">
        <x:v>Guardar/cerrar se mide frente al objetivo histórico &lt;2 s o se documenta desviación.</x:v>
      </x:c>
      <x:c r="E195" s="32" t="str">
        <x:v>Medir múltiples datasets.</x:v>
      </x:c>
      <x:c r="F195" s="32" t="str">
        <x:v>Cumplimiento verificable sin desviaciones bloqueantes.</x:v>
      </x:c>
      <x:c r="G195" s="32" t="str">
        <x:v>Save/exit timing report.</x:v>
      </x:c>
      <x:c r="H195" s="32" t="str">
        <x:v>30_Performance_and_Optimization_Plan.md; 02_Vertical_Slice_Specification.md</x:v>
      </x:c>
      <x:c r="I195" s="32" t="str">
        <x:v>TDD/VSS/Art/Audio historical v0.3–v0.6 performance targets</x:v>
      </x:c>
      <x:c r="J195" s="32" t="str">
        <x:v>Sprint 17 / H6</x:v>
      </x:c>
      <x:c r="K195" s="32" t="str">
        <x:v>Yes</x:v>
      </x:c>
      <x:c r="L195" s="32" t="str">
        <x:v>P1</x:v>
      </x:c>
      <x:c r="M195" s="32" t="str">
        <x:v>Engineering/QA</x:v>
      </x:c>
      <x:c r="N195" s="32" t="str">
        <x:v>Technical Direction</x:v>
      </x:c>
      <x:c r="O195" s="32" t="str">
        <x:v>NOT RUN</x:v>
      </x:c>
      <x:c r="P195" s="32" t="str"/>
      <x:c r="Q195" s="32" t="str"/>
      <x:c r="R195" s="32" t="str"/>
      <x:c r="S195" s="32" t="str"/>
      <x:c r="T195" s="82" t="str"/>
      <x:c r="U195" s="32" t="str"/>
      <x:c r="V195" s="84" t="n">
        <x:v>1</x:v>
      </x:c>
      <x:c r="W195" s="84" t="n">
        <x:f>IF(OR($O195="PASS",$O195="EXCEPTION APPROVED",$O195="NOT APPLICABLE"),$V195,0)</x:f>
        <x:v>0</x:v>
      </x:c>
      <x:c r="X195" s="84" t="n">
        <x:f>IF(AND($K195="Yes",OR($O195="FAIL",$O195="BLOCKED",$O195="NOT RUN",$O195="IN PROGRESS")),1,0)</x:f>
        <x:v>1</x:v>
      </x:c>
      <x:c r="Y195" s="32" t="str">
        <x:f>IF($O195="FAIL","FAIL",IF($O195="BLOCKED","BLOCKED",IF(AND($O195="EXCEPTION APPROVED",$K195="Yes"),"REVIEW",IF($O195="PASS","OK","PENDING"))))</x:f>
        <x:v>PENDING</x:v>
      </x:c>
    </x:row>
    <x:row r="196">
      <x:c r="A196" s="32" t="str">
        <x:v>H6-PER-006</x:v>
      </x:c>
      <x:c r="B196" s="32" t="str">
        <x:v>Rendimiento y estabilidad</x:v>
      </x:c>
      <x:c r="C196" s="32" t="str">
        <x:v>Control especializado</x:v>
      </x:c>
      <x:c r="D196" s="32" t="str">
        <x:v>Las allocations por frame en estado estable son próximas a cero o están justificadas.</x:v>
      </x:c>
      <x:c r="E196" s="32" t="str">
        <x:v>Profiler Memory/GC durante simulación estable.</x:v>
      </x:c>
      <x:c r="F196" s="32" t="str">
        <x:v>Cumplimiento verificable sin desviaciones bloqueantes.</x:v>
      </x:c>
      <x:c r="G196" s="32" t="str">
        <x:v>Allocation capture.</x:v>
      </x:c>
      <x:c r="H196" s="32" t="str">
        <x:v>30_Performance_and_Optimization_Plan.md; 02_Vertical_Slice_Specification.md</x:v>
      </x:c>
      <x:c r="I196" s="32" t="str">
        <x:v>TDD/VSS/Art/Audio historical v0.3–v0.6 performance targets</x:v>
      </x:c>
      <x:c r="J196" s="32" t="str">
        <x:v>Sprint 17 / H6</x:v>
      </x:c>
      <x:c r="K196" s="32" t="str">
        <x:v>Yes</x:v>
      </x:c>
      <x:c r="L196" s="32" t="str">
        <x:v>P1</x:v>
      </x:c>
      <x:c r="M196" s="32" t="str">
        <x:v>Engineering/QA</x:v>
      </x:c>
      <x:c r="N196" s="32" t="str">
        <x:v>Technical Direction</x:v>
      </x:c>
      <x:c r="O196" s="32" t="str">
        <x:v>NOT RUN</x:v>
      </x:c>
      <x:c r="P196" s="32" t="str"/>
      <x:c r="Q196" s="32" t="str"/>
      <x:c r="R196" s="32" t="str"/>
      <x:c r="S196" s="32" t="str"/>
      <x:c r="T196" s="82" t="str"/>
      <x:c r="U196" s="32" t="str"/>
      <x:c r="V196" s="84" t="n">
        <x:v>1</x:v>
      </x:c>
      <x:c r="W196" s="84" t="n">
        <x:f>IF(OR($O196="PASS",$O196="EXCEPTION APPROVED",$O196="NOT APPLICABLE"),$V196,0)</x:f>
        <x:v>0</x:v>
      </x:c>
      <x:c r="X196" s="84" t="n">
        <x:f>IF(AND($K196="Yes",OR($O196="FAIL",$O196="BLOCKED",$O196="NOT RUN",$O196="IN PROGRESS")),1,0)</x:f>
        <x:v>1</x:v>
      </x:c>
      <x:c r="Y196" s="32" t="str">
        <x:f>IF($O196="FAIL","FAIL",IF($O196="BLOCKED","BLOCKED",IF(AND($O196="EXCEPTION APPROVED",$K196="Yes"),"REVIEW",IF($O196="PASS","OK","PENDING"))))</x:f>
        <x:v>PENDING</x:v>
      </x:c>
    </x:row>
    <x:row r="197">
      <x:c r="A197" s="32" t="str">
        <x:v>H6-PER-007</x:v>
      </x:c>
      <x:c r="B197" s="32" t="str">
        <x:v>Rendimiento y estabilidad</x:v>
      </x:c>
      <x:c r="C197" s="32" t="str">
        <x:v>Control especializado</x:v>
      </x:c>
      <x:c r="D197" s="32" t="str">
        <x:v>No existe crecimiento de memoria grave durante Golden Path, siete días y soak.</x:v>
      </x:c>
      <x:c r="E197" s="32" t="str">
        <x:v>Registrar memoria inicial, picos y final.</x:v>
      </x:c>
      <x:c r="F197" s="32" t="str">
        <x:v>Cumplimiento verificable sin desviaciones bloqueantes.</x:v>
      </x:c>
      <x:c r="G197" s="32" t="str">
        <x:v>Memory timeline.</x:v>
      </x:c>
      <x:c r="H197" s="32" t="str">
        <x:v>30_Performance_and_Optimization_Plan.md; 02_Vertical_Slice_Specification.md</x:v>
      </x:c>
      <x:c r="I197" s="32" t="str">
        <x:v>TDD/VSS/Art/Audio historical v0.3–v0.6 performance targets</x:v>
      </x:c>
      <x:c r="J197" s="32" t="str">
        <x:v>Sprint 17 / H6</x:v>
      </x:c>
      <x:c r="K197" s="32" t="str">
        <x:v>Yes</x:v>
      </x:c>
      <x:c r="L197" s="32" t="str">
        <x:v>P1</x:v>
      </x:c>
      <x:c r="M197" s="32" t="str">
        <x:v>Engineering/QA</x:v>
      </x:c>
      <x:c r="N197" s="32" t="str">
        <x:v>Technical Direction</x:v>
      </x:c>
      <x:c r="O197" s="32" t="str">
        <x:v>NOT RUN</x:v>
      </x:c>
      <x:c r="P197" s="32" t="str"/>
      <x:c r="Q197" s="32" t="str"/>
      <x:c r="R197" s="32" t="str"/>
      <x:c r="S197" s="32" t="str"/>
      <x:c r="T197" s="82" t="str"/>
      <x:c r="U197" s="32" t="str"/>
      <x:c r="V197" s="84" t="n">
        <x:v>1</x:v>
      </x:c>
      <x:c r="W197" s="84" t="n">
        <x:f>IF(OR($O197="PASS",$O197="EXCEPTION APPROVED",$O197="NOT APPLICABLE"),$V197,0)</x:f>
        <x:v>0</x:v>
      </x:c>
      <x:c r="X197" s="84" t="n">
        <x:f>IF(AND($K197="Yes",OR($O197="FAIL",$O197="BLOCKED",$O197="NOT RUN",$O197="IN PROGRESS")),1,0)</x:f>
        <x:v>1</x:v>
      </x:c>
      <x:c r="Y197" s="32" t="str">
        <x:f>IF($O197="FAIL","FAIL",IF($O197="BLOCKED","BLOCKED",IF(AND($O197="EXCEPTION APPROVED",$K197="Yes"),"REVIEW",IF($O197="PASS","OK","PENDING"))))</x:f>
        <x:v>PENDING</x:v>
      </x:c>
    </x:row>
    <x:row r="198">
      <x:c r="A198" s="32" t="str">
        <x:v>H6-PER-008</x:v>
      </x:c>
      <x:c r="B198" s="32" t="str">
        <x:v>Rendimiento y estabilidad</x:v>
      </x:c>
      <x:c r="C198" s="32" t="str">
        <x:v>Control especializado</x:v>
      </x:c>
      <x:c r="D198" s="32" t="str">
        <x:v>No hay degradación acumulativa de FPS, navegación, audio o UI durante sesión extensa.</x:v>
      </x:c>
      <x:c r="E198" s="32" t="str">
        <x:v>Comparar ventanas temporales de soak.</x:v>
      </x:c>
      <x:c r="F198" s="32" t="str">
        <x:v>Cumplimiento verificable sin desviaciones bloqueantes.</x:v>
      </x:c>
      <x:c r="G198" s="32" t="str">
        <x:v>Soak report.</x:v>
      </x:c>
      <x:c r="H198" s="32" t="str">
        <x:v>30_Performance_and_Optimization_Plan.md; 02_Vertical_Slice_Specification.md</x:v>
      </x:c>
      <x:c r="I198" s="32" t="str">
        <x:v>TDD/VSS/Art/Audio historical v0.3–v0.6 performance targets</x:v>
      </x:c>
      <x:c r="J198" s="32" t="str">
        <x:v>Sprint 17 / H6</x:v>
      </x:c>
      <x:c r="K198" s="32" t="str">
        <x:v>Yes</x:v>
      </x:c>
      <x:c r="L198" s="32" t="str">
        <x:v>P1</x:v>
      </x:c>
      <x:c r="M198" s="32" t="str">
        <x:v>Engineering/QA</x:v>
      </x:c>
      <x:c r="N198" s="32" t="str">
        <x:v>Technical Direction</x:v>
      </x:c>
      <x:c r="O198" s="32" t="str">
        <x:v>NOT RUN</x:v>
      </x:c>
      <x:c r="P198" s="32" t="str"/>
      <x:c r="Q198" s="32" t="str"/>
      <x:c r="R198" s="32" t="str"/>
      <x:c r="S198" s="32" t="str"/>
      <x:c r="T198" s="82" t="str"/>
      <x:c r="U198" s="32" t="str"/>
      <x:c r="V198" s="84" t="n">
        <x:v>1</x:v>
      </x:c>
      <x:c r="W198" s="84" t="n">
        <x:f>IF(OR($O198="PASS",$O198="EXCEPTION APPROVED",$O198="NOT APPLICABLE"),$V198,0)</x:f>
        <x:v>0</x:v>
      </x:c>
      <x:c r="X198" s="84" t="n">
        <x:f>IF(AND($K198="Yes",OR($O198="FAIL",$O198="BLOCKED",$O198="NOT RUN",$O198="IN PROGRESS")),1,0)</x:f>
        <x:v>1</x:v>
      </x:c>
      <x:c r="Y198" s="32" t="str">
        <x:f>IF($O198="FAIL","FAIL",IF($O198="BLOCKED","BLOCKED",IF(AND($O198="EXCEPTION APPROVED",$K198="Yes"),"REVIEW",IF($O198="PASS","OK","PENDING"))))</x:f>
        <x:v>PENDING</x:v>
      </x:c>
    </x:row>
    <x:row r="199">
      <x:c r="A199" s="32" t="str">
        <x:v>H6-PER-009</x:v>
      </x:c>
      <x:c r="B199" s="32" t="str">
        <x:v>Rendimiento y estabilidad</x:v>
      </x:c>
      <x:c r="C199" s="32" t="str">
        <x:v>Control especializado</x:v>
      </x:c>
      <x:c r="D199" s="32" t="str">
        <x:v>Sombras, SSAO, luces, transparencias y VFX se revisan en el coste real de StoreInitial.</x:v>
      </x:c>
      <x:c r="E199" s="32" t="str">
        <x:v>GPU profiling y pruebas de toggles diagnósticos.</x:v>
      </x:c>
      <x:c r="F199" s="32" t="str">
        <x:v>Cumplimiento verificable sin desviaciones bloqueantes.</x:v>
      </x:c>
      <x:c r="G199" s="32" t="str">
        <x:v>GPU budget report.</x:v>
      </x:c>
      <x:c r="H199" s="32" t="str">
        <x:v>30_Performance_and_Optimization_Plan.md; 02_Vertical_Slice_Specification.md</x:v>
      </x:c>
      <x:c r="I199" s="32" t="str">
        <x:v>TDD/VSS/Art/Audio historical v0.3–v0.6 performance targets</x:v>
      </x:c>
      <x:c r="J199" s="32" t="str">
        <x:v>Sprint 17 / H6</x:v>
      </x:c>
      <x:c r="K199" s="32" t="str">
        <x:v>Yes</x:v>
      </x:c>
      <x:c r="L199" s="32" t="str">
        <x:v>P1</x:v>
      </x:c>
      <x:c r="M199" s="32" t="str">
        <x:v>Engineering/QA</x:v>
      </x:c>
      <x:c r="N199" s="32" t="str">
        <x:v>Technical Direction</x:v>
      </x:c>
      <x:c r="O199" s="32" t="str">
        <x:v>NOT RUN</x:v>
      </x:c>
      <x:c r="P199" s="32" t="str"/>
      <x:c r="Q199" s="32" t="str"/>
      <x:c r="R199" s="32" t="str"/>
      <x:c r="S199" s="32" t="str"/>
      <x:c r="T199" s="82" t="str"/>
      <x:c r="U199" s="32" t="str"/>
      <x:c r="V199" s="84" t="n">
        <x:v>1</x:v>
      </x:c>
      <x:c r="W199" s="84" t="n">
        <x:f>IF(OR($O199="PASS",$O199="EXCEPTION APPROVED",$O199="NOT APPLICABLE"),$V199,0)</x:f>
        <x:v>0</x:v>
      </x:c>
      <x:c r="X199" s="84" t="n">
        <x:f>IF(AND($K199="Yes",OR($O199="FAIL",$O199="BLOCKED",$O199="NOT RUN",$O199="IN PROGRESS")),1,0)</x:f>
        <x:v>1</x:v>
      </x:c>
      <x:c r="Y199" s="32" t="str">
        <x:f>IF($O199="FAIL","FAIL",IF($O199="BLOCKED","BLOCKED",IF(AND($O199="EXCEPTION APPROVED",$K199="Yes"),"REVIEW",IF($O199="PASS","OK","PENDING"))))</x:f>
        <x:v>PENDING</x:v>
      </x:c>
    </x:row>
    <x:row r="200">
      <x:c r="A200" s="32" t="str">
        <x:v>H6-PER-010</x:v>
      </x:c>
      <x:c r="B200" s="32" t="str">
        <x:v>Rendimiento y estabilidad</x:v>
      </x:c>
      <x:c r="C200" s="32" t="str">
        <x:v>Control especializado</x:v>
      </x:c>
      <x:c r="D200" s="32" t="str">
        <x:v>La UI y localización extrema no generan spikes frecuentes de layout o GC.</x:v>
      </x:c>
      <x:c r="E200" s="32" t="str">
        <x:v>Profiler con ES/EN y escalas 80/150 %.</x:v>
      </x:c>
      <x:c r="F200" s="32" t="str">
        <x:v>Cumplimiento verificable sin desviaciones bloqueantes.</x:v>
      </x:c>
      <x:c r="G200" s="32" t="str">
        <x:v>UI performance trace.</x:v>
      </x:c>
      <x:c r="H200" s="32" t="str">
        <x:v>30_Performance_and_Optimization_Plan.md; 02_Vertical_Slice_Specification.md</x:v>
      </x:c>
      <x:c r="I200" s="32" t="str">
        <x:v>TDD/VSS/Art/Audio historical v0.3–v0.6 performance targets</x:v>
      </x:c>
      <x:c r="J200" s="32" t="str">
        <x:v>Sprint 17 / H6</x:v>
      </x:c>
      <x:c r="K200" s="32" t="str">
        <x:v>Yes</x:v>
      </x:c>
      <x:c r="L200" s="32" t="str">
        <x:v>P1</x:v>
      </x:c>
      <x:c r="M200" s="32" t="str">
        <x:v>Engineering/QA</x:v>
      </x:c>
      <x:c r="N200" s="32" t="str">
        <x:v>Technical Direction</x:v>
      </x:c>
      <x:c r="O200" s="32" t="str">
        <x:v>NOT RUN</x:v>
      </x:c>
      <x:c r="P200" s="32" t="str"/>
      <x:c r="Q200" s="32" t="str"/>
      <x:c r="R200" s="32" t="str"/>
      <x:c r="S200" s="32" t="str"/>
      <x:c r="T200" s="82" t="str"/>
      <x:c r="U200" s="32" t="str"/>
      <x:c r="V200" s="84" t="n">
        <x:v>1</x:v>
      </x:c>
      <x:c r="W200" s="84" t="n">
        <x:f>IF(OR($O200="PASS",$O200="EXCEPTION APPROVED",$O200="NOT APPLICABLE"),$V200,0)</x:f>
        <x:v>0</x:v>
      </x:c>
      <x:c r="X200" s="84" t="n">
        <x:f>IF(AND($K200="Yes",OR($O200="FAIL",$O200="BLOCKED",$O200="NOT RUN",$O200="IN PROGRESS")),1,0)</x:f>
        <x:v>1</x:v>
      </x:c>
      <x:c r="Y200" s="32" t="str">
        <x:f>IF($O200="FAIL","FAIL",IF($O200="BLOCKED","BLOCKED",IF(AND($O200="EXCEPTION APPROVED",$K200="Yes"),"REVIEW",IF($O200="PASS","OK","PENDING"))))</x:f>
        <x:v>PENDING</x:v>
      </x:c>
    </x:row>
    <x:row r="201">
      <x:c r="A201" s="32" t="str">
        <x:v>H6-PER-011</x:v>
      </x:c>
      <x:c r="B201" s="32" t="str">
        <x:v>Rendimiento y estabilidad</x:v>
      </x:c>
      <x:c r="C201" s="32" t="str">
        <x:v>Control especializado</x:v>
      </x:c>
      <x:c r="D201" s="32" t="str">
        <x:v>Audio y número de voces permanecen dentro del presupuesto durante saturación.</x:v>
      </x:c>
      <x:c r="E201" s="32" t="str">
        <x:v>Audio Profiler con eventos simultáneos.</x:v>
      </x:c>
      <x:c r="F201" s="32" t="str">
        <x:v>Cumplimiento verificable sin desviaciones bloqueantes.</x:v>
      </x:c>
      <x:c r="G201" s="32" t="str">
        <x:v>Audio performance record.</x:v>
      </x:c>
      <x:c r="H201" s="32" t="str">
        <x:v>30_Performance_and_Optimization_Plan.md; 02_Vertical_Slice_Specification.md</x:v>
      </x:c>
      <x:c r="I201" s="32" t="str">
        <x:v>TDD/VSS/Art/Audio historical v0.3–v0.6 performance targets</x:v>
      </x:c>
      <x:c r="J201" s="32" t="str">
        <x:v>Sprint 17 / H6</x:v>
      </x:c>
      <x:c r="K201" s="32" t="str">
        <x:v>Yes</x:v>
      </x:c>
      <x:c r="L201" s="32" t="str">
        <x:v>P1</x:v>
      </x:c>
      <x:c r="M201" s="32" t="str">
        <x:v>Engineering/QA</x:v>
      </x:c>
      <x:c r="N201" s="32" t="str">
        <x:v>Technical Direction</x:v>
      </x:c>
      <x:c r="O201" s="32" t="str">
        <x:v>NOT RUN</x:v>
      </x:c>
      <x:c r="P201" s="32" t="str"/>
      <x:c r="Q201" s="32" t="str"/>
      <x:c r="R201" s="32" t="str"/>
      <x:c r="S201" s="32" t="str"/>
      <x:c r="T201" s="82" t="str"/>
      <x:c r="U201" s="32" t="str"/>
      <x:c r="V201" s="84" t="n">
        <x:v>1</x:v>
      </x:c>
      <x:c r="W201" s="84" t="n">
        <x:f>IF(OR($O201="PASS",$O201="EXCEPTION APPROVED",$O201="NOT APPLICABLE"),$V201,0)</x:f>
        <x:v>0</x:v>
      </x:c>
      <x:c r="X201" s="84" t="n">
        <x:f>IF(AND($K201="Yes",OR($O201="FAIL",$O201="BLOCKED",$O201="NOT RUN",$O201="IN PROGRESS")),1,0)</x:f>
        <x:v>1</x:v>
      </x:c>
      <x:c r="Y201" s="32" t="str">
        <x:f>IF($O201="FAIL","FAIL",IF($O201="BLOCKED","BLOCKED",IF(AND($O201="EXCEPTION APPROVED",$K201="Yes"),"REVIEW",IF($O201="PASS","OK","PENDING"))))</x:f>
        <x:v>PENDING</x:v>
      </x:c>
    </x:row>
    <x:row r="202">
      <x:c r="A202" s="32" t="str">
        <x:v>H6-PER-012</x:v>
      </x:c>
      <x:c r="B202" s="32" t="str">
        <x:v>Rendimiento y estabilidad</x:v>
      </x:c>
      <x:c r="C202" s="32" t="str">
        <x:v>Control especializado</x:v>
      </x:c>
      <x:c r="D202" s="32" t="str">
        <x:v>La resolución, modo de ventana, VSync y frame cap tienen decisión de producto cerrada para H6.</x:v>
      </x:c>
      <x:c r="E202" s="32" t="str">
        <x:v>Revisar settings y validarlos en build.</x:v>
      </x:c>
      <x:c r="F202" s="32" t="str">
        <x:v>Cumplimiento verificable sin desviaciones bloqueantes.</x:v>
      </x:c>
      <x:c r="G202" s="32" t="str">
        <x:v>PC presentation decision record.</x:v>
      </x:c>
      <x:c r="H202" s="32" t="str">
        <x:v>30_Performance_and_Optimization_Plan.md; 02_Vertical_Slice_Specification.md</x:v>
      </x:c>
      <x:c r="I202" s="32" t="str">
        <x:v>TDD/VSS/Art/Audio historical v0.3–v0.6 performance targets</x:v>
      </x:c>
      <x:c r="J202" s="32" t="str">
        <x:v>Sprint 17 / H6</x:v>
      </x:c>
      <x:c r="K202" s="32" t="str">
        <x:v>Yes</x:v>
      </x:c>
      <x:c r="L202" s="32" t="str">
        <x:v>P1</x:v>
      </x:c>
      <x:c r="M202" s="32" t="str">
        <x:v>Engineering/QA</x:v>
      </x:c>
      <x:c r="N202" s="32" t="str">
        <x:v>Technical Direction</x:v>
      </x:c>
      <x:c r="O202" s="32" t="str">
        <x:v>NOT RUN</x:v>
      </x:c>
      <x:c r="P202" s="32" t="str"/>
      <x:c r="Q202" s="32" t="str"/>
      <x:c r="R202" s="32" t="str"/>
      <x:c r="S202" s="32" t="str"/>
      <x:c r="T202" s="82" t="str"/>
      <x:c r="U202" s="32" t="str"/>
      <x:c r="V202" s="84" t="n">
        <x:v>1</x:v>
      </x:c>
      <x:c r="W202" s="84" t="n">
        <x:f>IF(OR($O202="PASS",$O202="EXCEPTION APPROVED",$O202="NOT APPLICABLE"),$V202,0)</x:f>
        <x:v>0</x:v>
      </x:c>
      <x:c r="X202" s="84" t="n">
        <x:f>IF(AND($K202="Yes",OR($O202="FAIL",$O202="BLOCKED",$O202="NOT RUN",$O202="IN PROGRESS")),1,0)</x:f>
        <x:v>1</x:v>
      </x:c>
      <x:c r="Y202" s="32" t="str">
        <x:f>IF($O202="FAIL","FAIL",IF($O202="BLOCKED","BLOCKED",IF(AND($O202="EXCEPTION APPROVED",$K202="Yes"),"REVIEW",IF($O202="PASS","OK","PENDING"))))</x:f>
        <x:v>PENDING</x:v>
      </x:c>
    </x:row>
    <x:row r="203">
      <x:c r="A203" s="32" t="str">
        <x:v>H6-PER-013</x:v>
      </x:c>
      <x:c r="B203" s="32" t="str">
        <x:v>Rendimiento y estabilidad</x:v>
      </x:c>
      <x:c r="C203" s="32" t="str">
        <x:v>Control especializado</x:v>
      </x:c>
      <x:c r="D203" s="32" t="str">
        <x:v>Los presets o settings disponibles no permiten una configuración rota o no probada.</x:v>
      </x:c>
      <x:c r="E203" s="32" t="str">
        <x:v>Ejecutar combinaciones soportadas.</x:v>
      </x:c>
      <x:c r="F203" s="32" t="str">
        <x:v>Cumplimiento verificable sin desviaciones bloqueantes.</x:v>
      </x:c>
      <x:c r="G203" s="32" t="str">
        <x:v>Settings matrix.</x:v>
      </x:c>
      <x:c r="H203" s="32" t="str">
        <x:v>30_Performance_and_Optimization_Plan.md; 02_Vertical_Slice_Specification.md</x:v>
      </x:c>
      <x:c r="I203" s="32" t="str">
        <x:v>TDD/VSS/Art/Audio historical v0.3–v0.6 performance targets</x:v>
      </x:c>
      <x:c r="J203" s="32" t="str">
        <x:v>Sprint 17 / H6</x:v>
      </x:c>
      <x:c r="K203" s="32" t="str">
        <x:v>Yes</x:v>
      </x:c>
      <x:c r="L203" s="32" t="str">
        <x:v>P1</x:v>
      </x:c>
      <x:c r="M203" s="32" t="str">
        <x:v>Engineering/QA</x:v>
      </x:c>
      <x:c r="N203" s="32" t="str">
        <x:v>Technical Direction</x:v>
      </x:c>
      <x:c r="O203" s="32" t="str">
        <x:v>NOT RUN</x:v>
      </x:c>
      <x:c r="P203" s="32" t="str"/>
      <x:c r="Q203" s="32" t="str"/>
      <x:c r="R203" s="32" t="str"/>
      <x:c r="S203" s="32" t="str"/>
      <x:c r="T203" s="82" t="str"/>
      <x:c r="U203" s="32" t="str"/>
      <x:c r="V203" s="84" t="n">
        <x:v>1</x:v>
      </x:c>
      <x:c r="W203" s="84" t="n">
        <x:f>IF(OR($O203="PASS",$O203="EXCEPTION APPROVED",$O203="NOT APPLICABLE"),$V203,0)</x:f>
        <x:v>0</x:v>
      </x:c>
      <x:c r="X203" s="84" t="n">
        <x:f>IF(AND($K203="Yes",OR($O203="FAIL",$O203="BLOCKED",$O203="NOT RUN",$O203="IN PROGRESS")),1,0)</x:f>
        <x:v>1</x:v>
      </x:c>
      <x:c r="Y203" s="32" t="str">
        <x:f>IF($O203="FAIL","FAIL",IF($O203="BLOCKED","BLOCKED",IF(AND($O203="EXCEPTION APPROVED",$K203="Yes"),"REVIEW",IF($O203="PASS","OK","PENDING"))))</x:f>
        <x:v>PENDING</x:v>
      </x:c>
    </x:row>
    <x:row r="204">
      <x:c r="A204" s="32" t="str">
        <x:v>H6-PER-014</x:v>
      </x:c>
      <x:c r="B204" s="32" t="str">
        <x:v>Rendimiento y estabilidad</x:v>
      </x:c>
      <x:c r="C204" s="32" t="str">
        <x:v>Control especializado</x:v>
      </x:c>
      <x:c r="D204" s="32" t="str">
        <x:v>Toda desviación del presupuesto incluye escenario, hardware, impacto y plan de mitigación.</x:v>
      </x:c>
      <x:c r="E204" s="32" t="str">
        <x:v>Revisar Performance Exceptions.</x:v>
      </x:c>
      <x:c r="F204" s="32" t="str">
        <x:v>Cumplimiento verificable sin desviaciones bloqueantes.</x:v>
      </x:c>
      <x:c r="G204" s="32" t="str">
        <x:v>Registro de desviaciones.</x:v>
      </x:c>
      <x:c r="H204" s="32" t="str">
        <x:v>30_Performance_and_Optimization_Plan.md; 02_Vertical_Slice_Specification.md</x:v>
      </x:c>
      <x:c r="I204" s="32" t="str">
        <x:v>TDD/VSS/Art/Audio historical v0.3–v0.6 performance targets</x:v>
      </x:c>
      <x:c r="J204" s="32" t="str">
        <x:v>Sprint 17 / H6</x:v>
      </x:c>
      <x:c r="K204" s="32" t="str">
        <x:v>Yes</x:v>
      </x:c>
      <x:c r="L204" s="32" t="str">
        <x:v>P1</x:v>
      </x:c>
      <x:c r="M204" s="32" t="str">
        <x:v>Engineering/QA</x:v>
      </x:c>
      <x:c r="N204" s="32" t="str">
        <x:v>Technical Direction</x:v>
      </x:c>
      <x:c r="O204" s="32" t="str">
        <x:v>NOT RUN</x:v>
      </x:c>
      <x:c r="P204" s="32" t="str"/>
      <x:c r="Q204" s="32" t="str"/>
      <x:c r="R204" s="32" t="str"/>
      <x:c r="S204" s="32" t="str"/>
      <x:c r="T204" s="82" t="str"/>
      <x:c r="U204" s="32" t="str"/>
      <x:c r="V204" s="84" t="n">
        <x:v>1</x:v>
      </x:c>
      <x:c r="W204" s="84" t="n">
        <x:f>IF(OR($O204="PASS",$O204="EXCEPTION APPROVED",$O204="NOT APPLICABLE"),$V204,0)</x:f>
        <x:v>0</x:v>
      </x:c>
      <x:c r="X204" s="84" t="n">
        <x:f>IF(AND($K204="Yes",OR($O204="FAIL",$O204="BLOCKED",$O204="NOT RUN",$O204="IN PROGRESS")),1,0)</x:f>
        <x:v>1</x:v>
      </x:c>
      <x:c r="Y204" s="32" t="str">
        <x:f>IF($O204="FAIL","FAIL",IF($O204="BLOCKED","BLOCKED",IF(AND($O204="EXCEPTION APPROVED",$K204="Yes"),"REVIEW",IF($O204="PASS","OK","PENDING"))))</x:f>
        <x:v>PENDING</x:v>
      </x:c>
    </x:row>
    <x:row r="205">
      <x:c r="A205" s="32" t="str">
        <x:v>H6-BLD-001</x:v>
      </x:c>
      <x:c r="B205" s="32" t="str">
        <x:v>Build, versión e integridad</x:v>
      </x:c>
      <x:c r="C205" s="32" t="str">
        <x:v>Control especializado</x:v>
      </x:c>
      <x:c r="D205" s="32" t="str">
        <x:v>Existe un Build Profile H6 controlado con Bootstrap, MainMenu y StoreInitial, sin TestLab ni escenas no autorizadas.</x:v>
      </x:c>
      <x:c r="E205" s="32" t="str">
        <x:v>Inspeccionar profile y manifest de escenas.</x:v>
      </x:c>
      <x:c r="F205" s="32" t="str">
        <x:v>Cumplimiento verificable sin desviaciones bloqueantes.</x:v>
      </x:c>
      <x:c r="G205" s="32" t="str">
        <x:v>Build Profile manifest.</x:v>
      </x:c>
      <x:c r="H205" s="32" t="str">
        <x:v>11_Build_y_Versioning_Guide.md; 27_Security_and_Incident_Response_Plan.md; 30_Performance_and_Optimization_Plan.md</x:v>
      </x:c>
      <x:c r="I205" s="32" t="str">
        <x:v>Build Guide v0.3–v0.6; ADR phase-level build evidence; Sprint build execution records</x:v>
      </x:c>
      <x:c r="J205" s="32" t="str">
        <x:v>H6</x:v>
      </x:c>
      <x:c r="K205" s="32" t="str">
        <x:v>Yes</x:v>
      </x:c>
      <x:c r="L205" s="32" t="str">
        <x:v>P0</x:v>
      </x:c>
      <x:c r="M205" s="32" t="str">
        <x:v>Build/Engineering</x:v>
      </x:c>
      <x:c r="N205" s="32" t="str">
        <x:v>QA/Security/Production</x:v>
      </x:c>
      <x:c r="O205" s="32" t="str">
        <x:v>NOT RUN</x:v>
      </x:c>
      <x:c r="P205" s="32" t="str"/>
      <x:c r="Q205" s="32" t="str"/>
      <x:c r="R205" s="32" t="str"/>
      <x:c r="S205" s="32" t="str"/>
      <x:c r="T205" s="82" t="str"/>
      <x:c r="U205" s="32" t="str"/>
      <x:c r="V205" s="84" t="n">
        <x:v>1</x:v>
      </x:c>
      <x:c r="W205" s="84" t="n">
        <x:f>IF(OR($O205="PASS",$O205="EXCEPTION APPROVED",$O205="NOT APPLICABLE"),$V205,0)</x:f>
        <x:v>0</x:v>
      </x:c>
      <x:c r="X205" s="84" t="n">
        <x:f>IF(AND($K205="Yes",OR($O205="FAIL",$O205="BLOCKED",$O205="NOT RUN",$O205="IN PROGRESS")),1,0)</x:f>
        <x:v>1</x:v>
      </x:c>
      <x:c r="Y205" s="32" t="str">
        <x:f>IF($O205="FAIL","FAIL",IF($O205="BLOCKED","BLOCKED",IF(AND($O205="EXCEPTION APPROVED",$K205="Yes"),"REVIEW",IF($O205="PASS","OK","PENDING"))))</x:f>
        <x:v>PENDING</x:v>
      </x:c>
    </x:row>
    <x:row r="206">
      <x:c r="A206" s="32" t="str">
        <x:v>H6-BLD-002</x:v>
      </x:c>
      <x:c r="B206" s="32" t="str">
        <x:v>Build, versión e integridad</x:v>
      </x:c>
      <x:c r="C206" s="32" t="str">
        <x:v>Control especializado</x:v>
      </x:c>
      <x:c r="D206" s="32" t="str">
        <x:v>La candidata Windows x64 se genera desde clean checkout con Unity y paquetes registrados.</x:v>
      </x:c>
      <x:c r="E206" s="32" t="str">
        <x:v>Ejecutar preflight y build reproducible.</x:v>
      </x:c>
      <x:c r="F206" s="32" t="str">
        <x:v>Cumplimiento verificable sin desviaciones bloqueantes.</x:v>
      </x:c>
      <x:c r="G206" s="32" t="str">
        <x:v>Build log y environment manifest.</x:v>
      </x:c>
      <x:c r="H206" s="32" t="str">
        <x:v>11_Build_y_Versioning_Guide.md; 27_Security_and_Incident_Response_Plan.md; 30_Performance_and_Optimization_Plan.md</x:v>
      </x:c>
      <x:c r="I206" s="32" t="str">
        <x:v>Build Guide v0.3–v0.6; ADR phase-level build evidence; Sprint build execution records</x:v>
      </x:c>
      <x:c r="J206" s="32" t="str">
        <x:v>H6</x:v>
      </x:c>
      <x:c r="K206" s="32" t="str">
        <x:v>Yes</x:v>
      </x:c>
      <x:c r="L206" s="32" t="str">
        <x:v>P0</x:v>
      </x:c>
      <x:c r="M206" s="32" t="str">
        <x:v>Build/Engineering</x:v>
      </x:c>
      <x:c r="N206" s="32" t="str">
        <x:v>QA/Security/Production</x:v>
      </x:c>
      <x:c r="O206" s="32" t="str">
        <x:v>NOT RUN</x:v>
      </x:c>
      <x:c r="P206" s="32" t="str"/>
      <x:c r="Q206" s="32" t="str"/>
      <x:c r="R206" s="32" t="str"/>
      <x:c r="S206" s="32" t="str"/>
      <x:c r="T206" s="82" t="str"/>
      <x:c r="U206" s="32" t="str"/>
      <x:c r="V206" s="84" t="n">
        <x:v>1</x:v>
      </x:c>
      <x:c r="W206" s="84" t="n">
        <x:f>IF(OR($O206="PASS",$O206="EXCEPTION APPROVED",$O206="NOT APPLICABLE"),$V206,0)</x:f>
        <x:v>0</x:v>
      </x:c>
      <x:c r="X206" s="84" t="n">
        <x:f>IF(AND($K206="Yes",OR($O206="FAIL",$O206="BLOCKED",$O206="NOT RUN",$O206="IN PROGRESS")),1,0)</x:f>
        <x:v>1</x:v>
      </x:c>
      <x:c r="Y206" s="32" t="str">
        <x:f>IF($O206="FAIL","FAIL",IF($O206="BLOCKED","BLOCKED",IF(AND($O206="EXCEPTION APPROVED",$K206="Yes"),"REVIEW",IF($O206="PASS","OK","PENDING"))))</x:f>
        <x:v>PENDING</x:v>
      </x:c>
    </x:row>
    <x:row r="207">
      <x:c r="A207" s="32" t="str">
        <x:v>H6-BLD-003</x:v>
      </x:c>
      <x:c r="B207" s="32" t="str">
        <x:v>Build, versión e integridad</x:v>
      </x:c>
      <x:c r="C207" s="32" t="str">
        <x:v>Control especializado</x:v>
      </x:c>
      <x:c r="D207" s="32" t="str">
        <x:v>La versión de aplicación, Build ID, Sprint/Gate, SHA y fecha son coherentes en ejecutable y registros.</x:v>
      </x:c>
      <x:c r="E207" s="32" t="str">
        <x:v>Comparar About/log/build record/package.</x:v>
      </x:c>
      <x:c r="F207" s="32" t="str">
        <x:v>Cumplimiento verificable sin desviaciones bloqueantes.</x:v>
      </x:c>
      <x:c r="G207" s="32" t="str">
        <x:v>Metadata consistency report.</x:v>
      </x:c>
      <x:c r="H207" s="32" t="str">
        <x:v>11_Build_y_Versioning_Guide.md; 27_Security_and_Incident_Response_Plan.md; 30_Performance_and_Optimization_Plan.md</x:v>
      </x:c>
      <x:c r="I207" s="32" t="str">
        <x:v>Build Guide v0.3–v0.6; ADR phase-level build evidence; Sprint build execution records</x:v>
      </x:c>
      <x:c r="J207" s="32" t="str">
        <x:v>H6</x:v>
      </x:c>
      <x:c r="K207" s="32" t="str">
        <x:v>Yes</x:v>
      </x:c>
      <x:c r="L207" s="32" t="str">
        <x:v>P1</x:v>
      </x:c>
      <x:c r="M207" s="32" t="str">
        <x:v>Build/Engineering</x:v>
      </x:c>
      <x:c r="N207" s="32" t="str">
        <x:v>QA/Security/Production</x:v>
      </x:c>
      <x:c r="O207" s="32" t="str">
        <x:v>NOT RUN</x:v>
      </x:c>
      <x:c r="P207" s="32" t="str"/>
      <x:c r="Q207" s="32" t="str"/>
      <x:c r="R207" s="32" t="str"/>
      <x:c r="S207" s="32" t="str"/>
      <x:c r="T207" s="82" t="str"/>
      <x:c r="U207" s="32" t="str"/>
      <x:c r="V207" s="84" t="n">
        <x:v>1</x:v>
      </x:c>
      <x:c r="W207" s="84" t="n">
        <x:f>IF(OR($O207="PASS",$O207="EXCEPTION APPROVED",$O207="NOT APPLICABLE"),$V207,0)</x:f>
        <x:v>0</x:v>
      </x:c>
      <x:c r="X207" s="84" t="n">
        <x:f>IF(AND($K207="Yes",OR($O207="FAIL",$O207="BLOCKED",$O207="NOT RUN",$O207="IN PROGRESS")),1,0)</x:f>
        <x:v>1</x:v>
      </x:c>
      <x:c r="Y207" s="32" t="str">
        <x:f>IF($O207="FAIL","FAIL",IF($O207="BLOCKED","BLOCKED",IF(AND($O207="EXCEPTION APPROVED",$K207="Yes"),"REVIEW",IF($O207="PASS","OK","PENDING"))))</x:f>
        <x:v>PENDING</x:v>
      </x:c>
    </x:row>
    <x:row r="208">
      <x:c r="A208" s="32" t="str">
        <x:v>H6-BLD-004</x:v>
      </x:c>
      <x:c r="B208" s="32" t="str">
        <x:v>Build, versión e integridad</x:v>
      </x:c>
      <x:c r="C208" s="32" t="str">
        <x:v>Control especializado</x:v>
      </x:c>
      <x:c r="D208" s="32" t="str">
        <x:v>El artefacto H6 es inmutable y dispone de checksum SHA-256 verificado.</x:v>
      </x:c>
      <x:c r="E208" s="32" t="str">
        <x:v>Calcular checksum, copiar y recalcular.</x:v>
      </x:c>
      <x:c r="F208" s="32" t="str">
        <x:v>Cumplimiento verificable sin desviaciones bloqueantes.</x:v>
      </x:c>
      <x:c r="G208" s="32" t="str">
        <x:v>Checksum file y verificación.</x:v>
      </x:c>
      <x:c r="H208" s="32" t="str">
        <x:v>11_Build_y_Versioning_Guide.md; 27_Security_and_Incident_Response_Plan.md; 30_Performance_and_Optimization_Plan.md</x:v>
      </x:c>
      <x:c r="I208" s="32" t="str">
        <x:v>Build Guide v0.3–v0.6; ADR phase-level build evidence; Sprint build execution records</x:v>
      </x:c>
      <x:c r="J208" s="32" t="str">
        <x:v>H6</x:v>
      </x:c>
      <x:c r="K208" s="32" t="str">
        <x:v>Yes</x:v>
      </x:c>
      <x:c r="L208" s="32" t="str">
        <x:v>P0</x:v>
      </x:c>
      <x:c r="M208" s="32" t="str">
        <x:v>Build/Engineering</x:v>
      </x:c>
      <x:c r="N208" s="32" t="str">
        <x:v>QA/Security/Production</x:v>
      </x:c>
      <x:c r="O208" s="32" t="str">
        <x:v>NOT RUN</x:v>
      </x:c>
      <x:c r="P208" s="32" t="str"/>
      <x:c r="Q208" s="32" t="str"/>
      <x:c r="R208" s="32" t="str"/>
      <x:c r="S208" s="32" t="str"/>
      <x:c r="T208" s="82" t="str"/>
      <x:c r="U208" s="32" t="str"/>
      <x:c r="V208" s="84" t="n">
        <x:v>1</x:v>
      </x:c>
      <x:c r="W208" s="84" t="n">
        <x:f>IF(OR($O208="PASS",$O208="EXCEPTION APPROVED",$O208="NOT APPLICABLE"),$V208,0)</x:f>
        <x:v>0</x:v>
      </x:c>
      <x:c r="X208" s="84" t="n">
        <x:f>IF(AND($K208="Yes",OR($O208="FAIL",$O208="BLOCKED",$O208="NOT RUN",$O208="IN PROGRESS")),1,0)</x:f>
        <x:v>1</x:v>
      </x:c>
      <x:c r="Y208" s="32" t="str">
        <x:f>IF($O208="FAIL","FAIL",IF($O208="BLOCKED","BLOCKED",IF(AND($O208="EXCEPTION APPROVED",$K208="Yes"),"REVIEW",IF($O208="PASS","OK","PENDING"))))</x:f>
        <x:v>PENDING</x:v>
      </x:c>
    </x:row>
    <x:row r="209">
      <x:c r="A209" s="32" t="str">
        <x:v>H6-BLD-005</x:v>
      </x:c>
      <x:c r="B209" s="32" t="str">
        <x:v>Build, versión e integridad</x:v>
      </x:c>
      <x:c r="C209" s="32" t="str">
        <x:v>Control especializado</x:v>
      </x:c>
      <x:c r="D209" s="32" t="str">
        <x:v>El ejecutable arranca fuera del Editor en una máquina/usuario distinto del entorno de desarrollo cuando sea posible.</x:v>
      </x:c>
      <x:c r="E209" s="32" t="str">
        <x:v>Prueba externa controlada.</x:v>
      </x:c>
      <x:c r="F209" s="32" t="str">
        <x:v>Cumplimiento verificable sin desviaciones bloqueantes.</x:v>
      </x:c>
      <x:c r="G209" s="32" t="str">
        <x:v>External execution record.</x:v>
      </x:c>
      <x:c r="H209" s="32" t="str">
        <x:v>11_Build_y_Versioning_Guide.md; 27_Security_and_Incident_Response_Plan.md; 30_Performance_and_Optimization_Plan.md</x:v>
      </x:c>
      <x:c r="I209" s="32" t="str">
        <x:v>Build Guide v0.3–v0.6; ADR phase-level build evidence; Sprint build execution records</x:v>
      </x:c>
      <x:c r="J209" s="32" t="str">
        <x:v>H6</x:v>
      </x:c>
      <x:c r="K209" s="32" t="str">
        <x:v>Yes</x:v>
      </x:c>
      <x:c r="L209" s="32" t="str">
        <x:v>P1</x:v>
      </x:c>
      <x:c r="M209" s="32" t="str">
        <x:v>Build/Engineering</x:v>
      </x:c>
      <x:c r="N209" s="32" t="str">
        <x:v>QA/Security/Production</x:v>
      </x:c>
      <x:c r="O209" s="32" t="str">
        <x:v>NOT RUN</x:v>
      </x:c>
      <x:c r="P209" s="32" t="str"/>
      <x:c r="Q209" s="32" t="str"/>
      <x:c r="R209" s="32" t="str"/>
      <x:c r="S209" s="32" t="str"/>
      <x:c r="T209" s="82" t="str"/>
      <x:c r="U209" s="32" t="str"/>
      <x:c r="V209" s="84" t="n">
        <x:v>1</x:v>
      </x:c>
      <x:c r="W209" s="84" t="n">
        <x:f>IF(OR($O209="PASS",$O209="EXCEPTION APPROVED",$O209="NOT APPLICABLE"),$V209,0)</x:f>
        <x:v>0</x:v>
      </x:c>
      <x:c r="X209" s="84" t="n">
        <x:f>IF(AND($K209="Yes",OR($O209="FAIL",$O209="BLOCKED",$O209="NOT RUN",$O209="IN PROGRESS")),1,0)</x:f>
        <x:v>1</x:v>
      </x:c>
      <x:c r="Y209" s="32" t="str">
        <x:f>IF($O209="FAIL","FAIL",IF($O209="BLOCKED","BLOCKED",IF(AND($O209="EXCEPTION APPROVED",$K209="Yes"),"REVIEW",IF($O209="PASS","OK","PENDING"))))</x:f>
        <x:v>PENDING</x:v>
      </x:c>
    </x:row>
    <x:row r="210">
      <x:c r="A210" s="32" t="str">
        <x:v>H6-BLD-006</x:v>
      </x:c>
      <x:c r="B210" s="32" t="str">
        <x:v>Build, versión e integridad</x:v>
      </x:c>
      <x:c r="C210" s="32" t="str">
        <x:v>Control especializado</x:v>
      </x:c>
      <x:c r="D210" s="32" t="str">
        <x:v>La build no depende de rutas locales, Library previa, assets ignorados o archivos no versionados.</x:v>
      </x:c>
      <x:c r="E210" s="32" t="str">
        <x:v>Clean checkout/build y comparación de manifest.</x:v>
      </x:c>
      <x:c r="F210" s="32" t="str">
        <x:v>Cumplimiento verificable sin desviaciones bloqueantes.</x:v>
      </x:c>
      <x:c r="G210" s="32" t="str">
        <x:v>Reproducibility record.</x:v>
      </x:c>
      <x:c r="H210" s="32" t="str">
        <x:v>11_Build_y_Versioning_Guide.md; 27_Security_and_Incident_Response_Plan.md; 30_Performance_and_Optimization_Plan.md</x:v>
      </x:c>
      <x:c r="I210" s="32" t="str">
        <x:v>Build Guide v0.3–v0.6; ADR phase-level build evidence; Sprint build execution records</x:v>
      </x:c>
      <x:c r="J210" s="32" t="str">
        <x:v>H6</x:v>
      </x:c>
      <x:c r="K210" s="32" t="str">
        <x:v>Yes</x:v>
      </x:c>
      <x:c r="L210" s="32" t="str">
        <x:v>P1</x:v>
      </x:c>
      <x:c r="M210" s="32" t="str">
        <x:v>Build/Engineering</x:v>
      </x:c>
      <x:c r="N210" s="32" t="str">
        <x:v>QA/Security/Production</x:v>
      </x:c>
      <x:c r="O210" s="32" t="str">
        <x:v>NOT RUN</x:v>
      </x:c>
      <x:c r="P210" s="32" t="str"/>
      <x:c r="Q210" s="32" t="str"/>
      <x:c r="R210" s="32" t="str"/>
      <x:c r="S210" s="32" t="str"/>
      <x:c r="T210" s="82" t="str"/>
      <x:c r="U210" s="32" t="str"/>
      <x:c r="V210" s="84" t="n">
        <x:v>1</x:v>
      </x:c>
      <x:c r="W210" s="84" t="n">
        <x:f>IF(OR($O210="PASS",$O210="EXCEPTION APPROVED",$O210="NOT APPLICABLE"),$V210,0)</x:f>
        <x:v>0</x:v>
      </x:c>
      <x:c r="X210" s="84" t="n">
        <x:f>IF(AND($K210="Yes",OR($O210="FAIL",$O210="BLOCKED",$O210="NOT RUN",$O210="IN PROGRESS")),1,0)</x:f>
        <x:v>1</x:v>
      </x:c>
      <x:c r="Y210" s="32" t="str">
        <x:f>IF($O210="FAIL","FAIL",IF($O210="BLOCKED","BLOCKED",IF(AND($O210="EXCEPTION APPROVED",$K210="Yes"),"REVIEW",IF($O210="PASS","OK","PENDING"))))</x:f>
        <x:v>PENDING</x:v>
      </x:c>
    </x:row>
    <x:row r="211">
      <x:c r="A211" s="32" t="str">
        <x:v>H6-BLD-007</x:v>
      </x:c>
      <x:c r="B211" s="32" t="str">
        <x:v>Build, versión e integridad</x:v>
      </x:c>
      <x:c r="C211" s="32" t="str">
        <x:v>Control especializado</x:v>
      </x:c>
      <x:c r="D211" s="32" t="str">
        <x:v>El paquete contiene únicamente archivos necesarios y no incluye secretos, drafts, previews o herramientas internas.</x:v>
      </x:c>
      <x:c r="E211" s="32" t="str">
        <x:v>Inventario de paquete y secrets scan.</x:v>
      </x:c>
      <x:c r="F211" s="32" t="str">
        <x:v>Cumplimiento verificable sin desviaciones bloqueantes.</x:v>
      </x:c>
      <x:c r="G211" s="32" t="str">
        <x:v>Package audit report.</x:v>
      </x:c>
      <x:c r="H211" s="32" t="str">
        <x:v>11_Build_y_Versioning_Guide.md; 27_Security_and_Incident_Response_Plan.md; 30_Performance_and_Optimization_Plan.md</x:v>
      </x:c>
      <x:c r="I211" s="32" t="str">
        <x:v>Build Guide v0.3–v0.6; ADR phase-level build evidence; Sprint build execution records</x:v>
      </x:c>
      <x:c r="J211" s="32" t="str">
        <x:v>H6</x:v>
      </x:c>
      <x:c r="K211" s="32" t="str">
        <x:v>Yes</x:v>
      </x:c>
      <x:c r="L211" s="32" t="str">
        <x:v>P1</x:v>
      </x:c>
      <x:c r="M211" s="32" t="str">
        <x:v>Build/Engineering</x:v>
      </x:c>
      <x:c r="N211" s="32" t="str">
        <x:v>QA/Security/Production</x:v>
      </x:c>
      <x:c r="O211" s="32" t="str">
        <x:v>NOT RUN</x:v>
      </x:c>
      <x:c r="P211" s="32" t="str"/>
      <x:c r="Q211" s="32" t="str"/>
      <x:c r="R211" s="32" t="str"/>
      <x:c r="S211" s="32" t="str"/>
      <x:c r="T211" s="82" t="str"/>
      <x:c r="U211" s="32" t="str"/>
      <x:c r="V211" s="84" t="n">
        <x:v>1</x:v>
      </x:c>
      <x:c r="W211" s="84" t="n">
        <x:f>IF(OR($O211="PASS",$O211="EXCEPTION APPROVED",$O211="NOT APPLICABLE"),$V211,0)</x:f>
        <x:v>0</x:v>
      </x:c>
      <x:c r="X211" s="84" t="n">
        <x:f>IF(AND($K211="Yes",OR($O211="FAIL",$O211="BLOCKED",$O211="NOT RUN",$O211="IN PROGRESS")),1,0)</x:f>
        <x:v>1</x:v>
      </x:c>
      <x:c r="Y211" s="32" t="str">
        <x:f>IF($O211="FAIL","FAIL",IF($O211="BLOCKED","BLOCKED",IF(AND($O211="EXCEPTION APPROVED",$K211="Yes"),"REVIEW",IF($O211="PASS","OK","PENDING"))))</x:f>
        <x:v>PENDING</x:v>
      </x:c>
    </x:row>
    <x:row r="212">
      <x:c r="A212" s="32" t="str">
        <x:v>H6-BLD-008</x:v>
      </x:c>
      <x:c r="B212" s="32" t="str">
        <x:v>Build, versión e integridad</x:v>
      </x:c>
      <x:c r="C212" s="32" t="str">
        <x:v>Control especializado</x:v>
      </x:c>
      <x:c r="D212" s="32" t="str">
        <x:v>Development symbols/logging se incluyen o excluyen según perfil definido y quedan documentados.</x:v>
      </x:c>
      <x:c r="E212" s="32" t="str">
        <x:v>Revisar build settings y contenido del paquete.</x:v>
      </x:c>
      <x:c r="F212" s="32" t="str">
        <x:v>Cumplimiento verificable sin desviaciones bloqueantes.</x:v>
      </x:c>
      <x:c r="G212" s="32" t="str">
        <x:v>Build configuration record.</x:v>
      </x:c>
      <x:c r="H212" s="32" t="str">
        <x:v>11_Build_y_Versioning_Guide.md; 27_Security_and_Incident_Response_Plan.md; 30_Performance_and_Optimization_Plan.md</x:v>
      </x:c>
      <x:c r="I212" s="32" t="str">
        <x:v>Build Guide v0.3–v0.6; ADR phase-level build evidence; Sprint build execution records</x:v>
      </x:c>
      <x:c r="J212" s="32" t="str">
        <x:v>H6</x:v>
      </x:c>
      <x:c r="K212" s="32" t="str">
        <x:v>Yes</x:v>
      </x:c>
      <x:c r="L212" s="32" t="str">
        <x:v>P1</x:v>
      </x:c>
      <x:c r="M212" s="32" t="str">
        <x:v>Build/Engineering</x:v>
      </x:c>
      <x:c r="N212" s="32" t="str">
        <x:v>QA/Security/Production</x:v>
      </x:c>
      <x:c r="O212" s="32" t="str">
        <x:v>NOT RUN</x:v>
      </x:c>
      <x:c r="P212" s="32" t="str"/>
      <x:c r="Q212" s="32" t="str"/>
      <x:c r="R212" s="32" t="str"/>
      <x:c r="S212" s="32" t="str"/>
      <x:c r="T212" s="82" t="str"/>
      <x:c r="U212" s="32" t="str"/>
      <x:c r="V212" s="84" t="n">
        <x:v>1</x:v>
      </x:c>
      <x:c r="W212" s="84" t="n">
        <x:f>IF(OR($O212="PASS",$O212="EXCEPTION APPROVED",$O212="NOT APPLICABLE"),$V212,0)</x:f>
        <x:v>0</x:v>
      </x:c>
      <x:c r="X212" s="84" t="n">
        <x:f>IF(AND($K212="Yes",OR($O212="FAIL",$O212="BLOCKED",$O212="NOT RUN",$O212="IN PROGRESS")),1,0)</x:f>
        <x:v>1</x:v>
      </x:c>
      <x:c r="Y212" s="32" t="str">
        <x:f>IF($O212="FAIL","FAIL",IF($O212="BLOCKED","BLOCKED",IF(AND($O212="EXCEPTION APPROVED",$K212="Yes"),"REVIEW",IF($O212="PASS","OK","PENDING"))))</x:f>
        <x:v>PENDING</x:v>
      </x:c>
    </x:row>
    <x:row r="213">
      <x:c r="A213" s="32" t="str">
        <x:v>H6-BLD-009</x:v>
      </x:c>
      <x:c r="B213" s="32" t="str">
        <x:v>Build, versión e integridad</x:v>
      </x:c>
      <x:c r="C213" s="32" t="str">
        <x:v>Control especializado</x:v>
      </x:c>
      <x:c r="D213" s="32" t="str">
        <x:v>Player.log de arranque, Golden Path y cierre no contiene errores bloqueantes o recurrentes.</x:v>
      </x:c>
      <x:c r="E213" s="32" t="str">
        <x:v>Revisar logs de varias ejecuciones.</x:v>
      </x:c>
      <x:c r="F213" s="32" t="str">
        <x:v>Cumplimiento verificable sin desviaciones bloqueantes.</x:v>
      </x:c>
      <x:c r="G213" s="32" t="str">
        <x:v>Logs anotados.</x:v>
      </x:c>
      <x:c r="H213" s="32" t="str">
        <x:v>11_Build_y_Versioning_Guide.md; 27_Security_and_Incident_Response_Plan.md; 30_Performance_and_Optimization_Plan.md</x:v>
      </x:c>
      <x:c r="I213" s="32" t="str">
        <x:v>Build Guide v0.3–v0.6; ADR phase-level build evidence; Sprint build execution records</x:v>
      </x:c>
      <x:c r="J213" s="32" t="str">
        <x:v>H6</x:v>
      </x:c>
      <x:c r="K213" s="32" t="str">
        <x:v>Yes</x:v>
      </x:c>
      <x:c r="L213" s="32" t="str">
        <x:v>P1</x:v>
      </x:c>
      <x:c r="M213" s="32" t="str">
        <x:v>Build/Engineering</x:v>
      </x:c>
      <x:c r="N213" s="32" t="str">
        <x:v>QA/Security/Production</x:v>
      </x:c>
      <x:c r="O213" s="32" t="str">
        <x:v>NOT RUN</x:v>
      </x:c>
      <x:c r="P213" s="32" t="str"/>
      <x:c r="Q213" s="32" t="str"/>
      <x:c r="R213" s="32" t="str"/>
      <x:c r="S213" s="32" t="str"/>
      <x:c r="T213" s="82" t="str"/>
      <x:c r="U213" s="32" t="str"/>
      <x:c r="V213" s="84" t="n">
        <x:v>1</x:v>
      </x:c>
      <x:c r="W213" s="84" t="n">
        <x:f>IF(OR($O213="PASS",$O213="EXCEPTION APPROVED",$O213="NOT APPLICABLE"),$V213,0)</x:f>
        <x:v>0</x:v>
      </x:c>
      <x:c r="X213" s="84" t="n">
        <x:f>IF(AND($K213="Yes",OR($O213="FAIL",$O213="BLOCKED",$O213="NOT RUN",$O213="IN PROGRESS")),1,0)</x:f>
        <x:v>1</x:v>
      </x:c>
      <x:c r="Y213" s="32" t="str">
        <x:f>IF($O213="FAIL","FAIL",IF($O213="BLOCKED","BLOCKED",IF(AND($O213="EXCEPTION APPROVED",$K213="Yes"),"REVIEW",IF($O213="PASS","OK","PENDING"))))</x:f>
        <x:v>PENDING</x:v>
      </x:c>
    </x:row>
    <x:row r="214">
      <x:c r="A214" s="32" t="str">
        <x:v>H6-BLD-010</x:v>
      </x:c>
      <x:c r="B214" s="32" t="str">
        <x:v>Build, versión e integridad</x:v>
      </x:c>
      <x:c r="C214" s="32" t="str">
        <x:v>Control especializado</x:v>
      </x:c>
      <x:c r="D214" s="32" t="str">
        <x:v>La build funciona offline y sin credenciales de servicios de desarrollo.</x:v>
      </x:c>
      <x:c r="E214" s="32" t="str">
        <x:v>Ejecutar aislada de red y limpiar variables/credenciales.</x:v>
      </x:c>
      <x:c r="F214" s="32" t="str">
        <x:v>Cumplimiento verificable sin desviaciones bloqueantes.</x:v>
      </x:c>
      <x:c r="G214" s="32" t="str">
        <x:v>Offline execution record.</x:v>
      </x:c>
      <x:c r="H214" s="32" t="str">
        <x:v>11_Build_y_Versioning_Guide.md; 27_Security_and_Incident_Response_Plan.md; 30_Performance_and_Optimization_Plan.md</x:v>
      </x:c>
      <x:c r="I214" s="32" t="str">
        <x:v>Build Guide v0.3–v0.6; ADR phase-level build evidence; Sprint build execution records</x:v>
      </x:c>
      <x:c r="J214" s="32" t="str">
        <x:v>H6</x:v>
      </x:c>
      <x:c r="K214" s="32" t="str">
        <x:v>Yes</x:v>
      </x:c>
      <x:c r="L214" s="32" t="str">
        <x:v>P1</x:v>
      </x:c>
      <x:c r="M214" s="32" t="str">
        <x:v>Build/Engineering</x:v>
      </x:c>
      <x:c r="N214" s="32" t="str">
        <x:v>QA/Security/Production</x:v>
      </x:c>
      <x:c r="O214" s="32" t="str">
        <x:v>NOT RUN</x:v>
      </x:c>
      <x:c r="P214" s="32" t="str"/>
      <x:c r="Q214" s="32" t="str"/>
      <x:c r="R214" s="32" t="str"/>
      <x:c r="S214" s="32" t="str"/>
      <x:c r="T214" s="82" t="str"/>
      <x:c r="U214" s="32" t="str"/>
      <x:c r="V214" s="84" t="n">
        <x:v>1</x:v>
      </x:c>
      <x:c r="W214" s="84" t="n">
        <x:f>IF(OR($O214="PASS",$O214="EXCEPTION APPROVED",$O214="NOT APPLICABLE"),$V214,0)</x:f>
        <x:v>0</x:v>
      </x:c>
      <x:c r="X214" s="84" t="n">
        <x:f>IF(AND($K214="Yes",OR($O214="FAIL",$O214="BLOCKED",$O214="NOT RUN",$O214="IN PROGRESS")),1,0)</x:f>
        <x:v>1</x:v>
      </x:c>
      <x:c r="Y214" s="32" t="str">
        <x:f>IF($O214="FAIL","FAIL",IF($O214="BLOCKED","BLOCKED",IF(AND($O214="EXCEPTION APPROVED",$K214="Yes"),"REVIEW",IF($O214="PASS","OK","PENDING"))))</x:f>
        <x:v>PENDING</x:v>
      </x:c>
    </x:row>
    <x:row r="215">
      <x:c r="A215" s="32" t="str">
        <x:v>H6-BLD-011</x:v>
      </x:c>
      <x:c r="B215" s="32" t="str">
        <x:v>Build, versión e integridad</x:v>
      </x:c>
      <x:c r="C215" s="32" t="str">
        <x:v>Control especializado</x:v>
      </x:c>
      <x:c r="D215" s="32" t="str">
        <x:v>Las dependencias y packages coinciden con manifest/lock versionados.</x:v>
      </x:c>
      <x:c r="E215" s="32" t="str">
        <x:v>Comparar Packages y environment manifest.</x:v>
      </x:c>
      <x:c r="F215" s="32" t="str">
        <x:v>Cumplimiento verificable sin desviaciones bloqueantes.</x:v>
      </x:c>
      <x:c r="G215" s="32" t="str">
        <x:v>Dependency manifest.</x:v>
      </x:c>
      <x:c r="H215" s="32" t="str">
        <x:v>11_Build_y_Versioning_Guide.md; 27_Security_and_Incident_Response_Plan.md; 30_Performance_and_Optimization_Plan.md</x:v>
      </x:c>
      <x:c r="I215" s="32" t="str">
        <x:v>Build Guide v0.3–v0.6; ADR phase-level build evidence; Sprint build execution records</x:v>
      </x:c>
      <x:c r="J215" s="32" t="str">
        <x:v>H6</x:v>
      </x:c>
      <x:c r="K215" s="32" t="str">
        <x:v>Yes</x:v>
      </x:c>
      <x:c r="L215" s="32" t="str">
        <x:v>P1</x:v>
      </x:c>
      <x:c r="M215" s="32" t="str">
        <x:v>Build/Engineering</x:v>
      </x:c>
      <x:c r="N215" s="32" t="str">
        <x:v>QA/Security/Production</x:v>
      </x:c>
      <x:c r="O215" s="32" t="str">
        <x:v>NOT RUN</x:v>
      </x:c>
      <x:c r="P215" s="32" t="str"/>
      <x:c r="Q215" s="32" t="str"/>
      <x:c r="R215" s="32" t="str"/>
      <x:c r="S215" s="32" t="str"/>
      <x:c r="T215" s="82" t="str"/>
      <x:c r="U215" s="32" t="str"/>
      <x:c r="V215" s="84" t="n">
        <x:v>1</x:v>
      </x:c>
      <x:c r="W215" s="84" t="n">
        <x:f>IF(OR($O215="PASS",$O215="EXCEPTION APPROVED",$O215="NOT APPLICABLE"),$V215,0)</x:f>
        <x:v>0</x:v>
      </x:c>
      <x:c r="X215" s="84" t="n">
        <x:f>IF(AND($K215="Yes",OR($O215="FAIL",$O215="BLOCKED",$O215="NOT RUN",$O215="IN PROGRESS")),1,0)</x:f>
        <x:v>1</x:v>
      </x:c>
      <x:c r="Y215" s="32" t="str">
        <x:f>IF($O215="FAIL","FAIL",IF($O215="BLOCKED","BLOCKED",IF(AND($O215="EXCEPTION APPROVED",$K215="Yes"),"REVIEW",IF($O215="PASS","OK","PENDING"))))</x:f>
        <x:v>PENDING</x:v>
      </x:c>
    </x:row>
    <x:row r="216">
      <x:c r="A216" s="32" t="str">
        <x:v>H6-BLD-012</x:v>
      </x:c>
      <x:c r="B216" s="32" t="str">
        <x:v>Build, versión e integridad</x:v>
      </x:c>
      <x:c r="C216" s="32" t="str">
        <x:v>Control especializado</x:v>
      </x:c>
      <x:c r="D216" s="32" t="str">
        <x:v>No se actualizan Unity, URP o paquetes después del freeze sin reabrir validación.</x:v>
      </x:c>
      <x:c r="E216" s="32" t="str">
        <x:v>Comparar versiones con freeze record.</x:v>
      </x:c>
      <x:c r="F216" s="32" t="str">
        <x:v>Cumplimiento verificable sin desviaciones bloqueantes.</x:v>
      </x:c>
      <x:c r="G216" s="32" t="str">
        <x:v>Version freeze diff.</x:v>
      </x:c>
      <x:c r="H216" s="32" t="str">
        <x:v>11_Build_y_Versioning_Guide.md; 27_Security_and_Incident_Response_Plan.md; 30_Performance_and_Optimization_Plan.md</x:v>
      </x:c>
      <x:c r="I216" s="32" t="str">
        <x:v>Build Guide v0.3–v0.6; ADR phase-level build evidence; Sprint build execution records</x:v>
      </x:c>
      <x:c r="J216" s="32" t="str">
        <x:v>H6</x:v>
      </x:c>
      <x:c r="K216" s="32" t="str">
        <x:v>Yes</x:v>
      </x:c>
      <x:c r="L216" s="32" t="str">
        <x:v>P1</x:v>
      </x:c>
      <x:c r="M216" s="32" t="str">
        <x:v>Build/Engineering</x:v>
      </x:c>
      <x:c r="N216" s="32" t="str">
        <x:v>QA/Security/Production</x:v>
      </x:c>
      <x:c r="O216" s="32" t="str">
        <x:v>NOT RUN</x:v>
      </x:c>
      <x:c r="P216" s="32" t="str"/>
      <x:c r="Q216" s="32" t="str"/>
      <x:c r="R216" s="32" t="str"/>
      <x:c r="S216" s="32" t="str"/>
      <x:c r="T216" s="82" t="str"/>
      <x:c r="U216" s="32" t="str"/>
      <x:c r="V216" s="84" t="n">
        <x:v>1</x:v>
      </x:c>
      <x:c r="W216" s="84" t="n">
        <x:f>IF(OR($O216="PASS",$O216="EXCEPTION APPROVED",$O216="NOT APPLICABLE"),$V216,0)</x:f>
        <x:v>0</x:v>
      </x:c>
      <x:c r="X216" s="84" t="n">
        <x:f>IF(AND($K216="Yes",OR($O216="FAIL",$O216="BLOCKED",$O216="NOT RUN",$O216="IN PROGRESS")),1,0)</x:f>
        <x:v>1</x:v>
      </x:c>
      <x:c r="Y216" s="32" t="str">
        <x:f>IF($O216="FAIL","FAIL",IF($O216="BLOCKED","BLOCKED",IF(AND($O216="EXCEPTION APPROVED",$K216="Yes"),"REVIEW",IF($O216="PASS","OK","PENDING"))))</x:f>
        <x:v>PENDING</x:v>
      </x:c>
    </x:row>
    <x:row r="217">
      <x:c r="A217" s="32" t="str">
        <x:v>H6-BLD-013</x:v>
      </x:c>
      <x:c r="B217" s="32" t="str">
        <x:v>Build, versión e integridad</x:v>
      </x:c>
      <x:c r="C217" s="32" t="str">
        <x:v>Control especializado</x:v>
      </x:c>
      <x:c r="D217" s="32" t="str">
        <x:v>El build pipeline conserva logs completos y código de salida fiable.</x:v>
      </x:c>
      <x:c r="E217" s="32" t="str">
        <x:v>Ejecutar éxito y fallo controlado.</x:v>
      </x:c>
      <x:c r="F217" s="32" t="str">
        <x:v>Cumplimiento verificable sin desviaciones bloqueantes.</x:v>
      </x:c>
      <x:c r="G217" s="32" t="str">
        <x:v>CI/local pipeline records.</x:v>
      </x:c>
      <x:c r="H217" s="32" t="str">
        <x:v>11_Build_y_Versioning_Guide.md; 27_Security_and_Incident_Response_Plan.md; 30_Performance_and_Optimization_Plan.md</x:v>
      </x:c>
      <x:c r="I217" s="32" t="str">
        <x:v>Build Guide v0.3–v0.6; ADR phase-level build evidence; Sprint build execution records</x:v>
      </x:c>
      <x:c r="J217" s="32" t="str">
        <x:v>H6</x:v>
      </x:c>
      <x:c r="K217" s="32" t="str">
        <x:v>Yes</x:v>
      </x:c>
      <x:c r="L217" s="32" t="str">
        <x:v>P1</x:v>
      </x:c>
      <x:c r="M217" s="32" t="str">
        <x:v>Build/Engineering</x:v>
      </x:c>
      <x:c r="N217" s="32" t="str">
        <x:v>QA/Security/Production</x:v>
      </x:c>
      <x:c r="O217" s="32" t="str">
        <x:v>NOT RUN</x:v>
      </x:c>
      <x:c r="P217" s="32" t="str"/>
      <x:c r="Q217" s="32" t="str"/>
      <x:c r="R217" s="32" t="str"/>
      <x:c r="S217" s="32" t="str"/>
      <x:c r="T217" s="82" t="str"/>
      <x:c r="U217" s="32" t="str"/>
      <x:c r="V217" s="84" t="n">
        <x:v>1</x:v>
      </x:c>
      <x:c r="W217" s="84" t="n">
        <x:f>IF(OR($O217="PASS",$O217="EXCEPTION APPROVED",$O217="NOT APPLICABLE"),$V217,0)</x:f>
        <x:v>0</x:v>
      </x:c>
      <x:c r="X217" s="84" t="n">
        <x:f>IF(AND($K217="Yes",OR($O217="FAIL",$O217="BLOCKED",$O217="NOT RUN",$O217="IN PROGRESS")),1,0)</x:f>
        <x:v>1</x:v>
      </x:c>
      <x:c r="Y217" s="32" t="str">
        <x:f>IF($O217="FAIL","FAIL",IF($O217="BLOCKED","BLOCKED",IF(AND($O217="EXCEPTION APPROVED",$K217="Yes"),"REVIEW",IF($O217="PASS","OK","PENDING"))))</x:f>
        <x:v>PENDING</x:v>
      </x:c>
    </x:row>
    <x:row r="218">
      <x:c r="A218" s="32" t="str">
        <x:v>H6-BLD-014</x:v>
      </x:c>
      <x:c r="B218" s="32" t="str">
        <x:v>Build, versión e integridad</x:v>
      </x:c>
      <x:c r="C218" s="32" t="str">
        <x:v>Control especializado</x:v>
      </x:c>
      <x:c r="D218" s="32" t="str">
        <x:v>El nombre del paquete y carpetas no realiza claims comerciales no autorizados.</x:v>
      </x:c>
      <x:c r="E218" s="32" t="str">
        <x:v>Revisar naming contra legal/marketing.</x:v>
      </x:c>
      <x:c r="F218" s="32" t="str">
        <x:v>Cumplimiento verificable sin desviaciones bloqueantes.</x:v>
      </x:c>
      <x:c r="G218" s="32" t="str">
        <x:v>Package naming approval.</x:v>
      </x:c>
      <x:c r="H218" s="32" t="str">
        <x:v>11_Build_y_Versioning_Guide.md; 27_Security_and_Incident_Response_Plan.md; 30_Performance_and_Optimization_Plan.md</x:v>
      </x:c>
      <x:c r="I218" s="32" t="str">
        <x:v>Build Guide v0.3–v0.6; ADR phase-level build evidence; Sprint build execution records</x:v>
      </x:c>
      <x:c r="J218" s="32" t="str">
        <x:v>H6</x:v>
      </x:c>
      <x:c r="K218" s="32" t="str">
        <x:v>Yes</x:v>
      </x:c>
      <x:c r="L218" s="32" t="str">
        <x:v>P1</x:v>
      </x:c>
      <x:c r="M218" s="32" t="str">
        <x:v>Build/Engineering</x:v>
      </x:c>
      <x:c r="N218" s="32" t="str">
        <x:v>QA/Security/Production</x:v>
      </x:c>
      <x:c r="O218" s="32" t="str">
        <x:v>NOT RUN</x:v>
      </x:c>
      <x:c r="P218" s="32" t="str"/>
      <x:c r="Q218" s="32" t="str"/>
      <x:c r="R218" s="32" t="str"/>
      <x:c r="S218" s="32" t="str"/>
      <x:c r="T218" s="82" t="str"/>
      <x:c r="U218" s="32" t="str"/>
      <x:c r="V218" s="84" t="n">
        <x:v>1</x:v>
      </x:c>
      <x:c r="W218" s="84" t="n">
        <x:f>IF(OR($O218="PASS",$O218="EXCEPTION APPROVED",$O218="NOT APPLICABLE"),$V218,0)</x:f>
        <x:v>0</x:v>
      </x:c>
      <x:c r="X218" s="84" t="n">
        <x:f>IF(AND($K218="Yes",OR($O218="FAIL",$O218="BLOCKED",$O218="NOT RUN",$O218="IN PROGRESS")),1,0)</x:f>
        <x:v>1</x:v>
      </x:c>
      <x:c r="Y218" s="32" t="str">
        <x:f>IF($O218="FAIL","FAIL",IF($O218="BLOCKED","BLOCKED",IF(AND($O218="EXCEPTION APPROVED",$K218="Yes"),"REVIEW",IF($O218="PASS","OK","PENDING"))))</x:f>
        <x:v>PENDING</x:v>
      </x:c>
    </x:row>
    <x:row r="219">
      <x:c r="A219" s="32" t="str">
        <x:v>H6-BLD-015</x:v>
      </x:c>
      <x:c r="B219" s="32" t="str">
        <x:v>Build, versión e integridad</x:v>
      </x:c>
      <x:c r="C219" s="32" t="str">
        <x:v>Control especializado</x:v>
      </x:c>
      <x:c r="D219" s="32" t="str">
        <x:v>La candidata se archiva con manifest de archivos, tamaños y hashes.</x:v>
      </x:c>
      <x:c r="E219" s="32" t="str">
        <x:v>Generar manifest recursivo y validar.</x:v>
      </x:c>
      <x:c r="F219" s="32" t="str">
        <x:v>Cumplimiento verificable sin desviaciones bloqueantes.</x:v>
      </x:c>
      <x:c r="G219" s="32" t="str">
        <x:v>Artifact manifest.</x:v>
      </x:c>
      <x:c r="H219" s="32" t="str">
        <x:v>11_Build_y_Versioning_Guide.md; 27_Security_and_Incident_Response_Plan.md; 30_Performance_and_Optimization_Plan.md</x:v>
      </x:c>
      <x:c r="I219" s="32" t="str">
        <x:v>Build Guide v0.3–v0.6; ADR phase-level build evidence; Sprint build execution records</x:v>
      </x:c>
      <x:c r="J219" s="32" t="str">
        <x:v>H6</x:v>
      </x:c>
      <x:c r="K219" s="32" t="str">
        <x:v>Yes</x:v>
      </x:c>
      <x:c r="L219" s="32" t="str">
        <x:v>P1</x:v>
      </x:c>
      <x:c r="M219" s="32" t="str">
        <x:v>Build/Engineering</x:v>
      </x:c>
      <x:c r="N219" s="32" t="str">
        <x:v>QA/Security/Production</x:v>
      </x:c>
      <x:c r="O219" s="32" t="str">
        <x:v>NOT RUN</x:v>
      </x:c>
      <x:c r="P219" s="32" t="str"/>
      <x:c r="Q219" s="32" t="str"/>
      <x:c r="R219" s="32" t="str"/>
      <x:c r="S219" s="32" t="str"/>
      <x:c r="T219" s="82" t="str"/>
      <x:c r="U219" s="32" t="str"/>
      <x:c r="V219" s="84" t="n">
        <x:v>1</x:v>
      </x:c>
      <x:c r="W219" s="84" t="n">
        <x:f>IF(OR($O219="PASS",$O219="EXCEPTION APPROVED",$O219="NOT APPLICABLE"),$V219,0)</x:f>
        <x:v>0</x:v>
      </x:c>
      <x:c r="X219" s="84" t="n">
        <x:f>IF(AND($K219="Yes",OR($O219="FAIL",$O219="BLOCKED",$O219="NOT RUN",$O219="IN PROGRESS")),1,0)</x:f>
        <x:v>1</x:v>
      </x:c>
      <x:c r="Y219" s="32" t="str">
        <x:f>IF($O219="FAIL","FAIL",IF($O219="BLOCKED","BLOCKED",IF(AND($O219="EXCEPTION APPROVED",$K219="Yes"),"REVIEW",IF($O219="PASS","OK","PENDING"))))</x:f>
        <x:v>PENDING</x:v>
      </x:c>
    </x:row>
    <x:row r="220">
      <x:c r="A220" s="32" t="str">
        <x:v>H6-BLD-016</x:v>
      </x:c>
      <x:c r="B220" s="32" t="str">
        <x:v>Build, versión e integridad</x:v>
      </x:c>
      <x:c r="C220" s="32" t="str">
        <x:v>Control especializado</x:v>
      </x:c>
      <x:c r="D220" s="32" t="str">
        <x:v>Existe una build QA separada de la candidata H6 cuando contiene TestLab, cheats o diagnósticos.</x:v>
      </x:c>
      <x:c r="E220" s="32" t="str">
        <x:v>Comparar profiles y artefactos.</x:v>
      </x:c>
      <x:c r="F220" s="32" t="str">
        <x:v>Cumplimiento verificable sin desviaciones bloqueantes.</x:v>
      </x:c>
      <x:c r="G220" s="32" t="str">
        <x:v>Build channel matrix.</x:v>
      </x:c>
      <x:c r="H220" s="32" t="str">
        <x:v>11_Build_y_Versioning_Guide.md; 27_Security_and_Incident_Response_Plan.md; 30_Performance_and_Optimization_Plan.md</x:v>
      </x:c>
      <x:c r="I220" s="32" t="str">
        <x:v>Build Guide v0.3–v0.6; ADR phase-level build evidence; Sprint build execution records</x:v>
      </x:c>
      <x:c r="J220" s="32" t="str">
        <x:v>H6</x:v>
      </x:c>
      <x:c r="K220" s="32" t="str">
        <x:v>Yes</x:v>
      </x:c>
      <x:c r="L220" s="32" t="str">
        <x:v>P1</x:v>
      </x:c>
      <x:c r="M220" s="32" t="str">
        <x:v>Build/Engineering</x:v>
      </x:c>
      <x:c r="N220" s="32" t="str">
        <x:v>QA/Security/Production</x:v>
      </x:c>
      <x:c r="O220" s="32" t="str">
        <x:v>NOT RUN</x:v>
      </x:c>
      <x:c r="P220" s="32" t="str"/>
      <x:c r="Q220" s="32" t="str"/>
      <x:c r="R220" s="32" t="str"/>
      <x:c r="S220" s="32" t="str"/>
      <x:c r="T220" s="82" t="str"/>
      <x:c r="U220" s="32" t="str"/>
      <x:c r="V220" s="84" t="n">
        <x:v>1</x:v>
      </x:c>
      <x:c r="W220" s="84" t="n">
        <x:f>IF(OR($O220="PASS",$O220="EXCEPTION APPROVED",$O220="NOT APPLICABLE"),$V220,0)</x:f>
        <x:v>0</x:v>
      </x:c>
      <x:c r="X220" s="84" t="n">
        <x:f>IF(AND($K220="Yes",OR($O220="FAIL",$O220="BLOCKED",$O220="NOT RUN",$O220="IN PROGRESS")),1,0)</x:f>
        <x:v>1</x:v>
      </x:c>
      <x:c r="Y220" s="32" t="str">
        <x:f>IF($O220="FAIL","FAIL",IF($O220="BLOCKED","BLOCKED",IF(AND($O220="EXCEPTION APPROVED",$K220="Yes"),"REVIEW",IF($O220="PASS","OK","PENDING"))))</x:f>
        <x:v>PENDING</x:v>
      </x:c>
    </x:row>
    <x:row r="221">
      <x:c r="A221" s="32" t="str">
        <x:v>H6-SEC-001</x:v>
      </x:c>
      <x:c r="B221" s="32" t="str">
        <x:v>Seguridad y privacidad</x:v>
      </x:c>
      <x:c r="C221" s="32" t="str">
        <x:v>Control especializado</x:v>
      </x:c>
      <x:c r="D221" s="32" t="str">
        <x:v>No existen secretos, tokens, credenciales o claves privadas en repositorio, build, logs o evidencias.</x:v>
      </x:c>
      <x:c r="E221" s="32" t="str">
        <x:v>Secrets scan y revisión manual de artefactos.</x:v>
      </x:c>
      <x:c r="F221" s="32" t="str">
        <x:v>Cumplimiento verificable sin desviaciones bloqueantes.</x:v>
      </x:c>
      <x:c r="G221" s="32" t="str">
        <x:v>Scan report.</x:v>
      </x:c>
      <x:c r="H221" s="32" t="str">
        <x:v>26_Privacy_Data_and_Telemetry_Plan.md; 27_Security_and_Incident_Response_Plan.md</x:v>
      </x:c>
      <x:c r="I221" s="32" t="str">
        <x:v>Historical build, legal and governance records; no autonomous security plan before document 27</x:v>
      </x:c>
      <x:c r="J221" s="32" t="str">
        <x:v>H6</x:v>
      </x:c>
      <x:c r="K221" s="32" t="str">
        <x:v>Yes</x:v>
      </x:c>
      <x:c r="L221" s="32" t="str">
        <x:v>P0</x:v>
      </x:c>
      <x:c r="M221" s="32" t="str">
        <x:v>Security/Engineering</x:v>
      </x:c>
      <x:c r="N221" s="32" t="str">
        <x:v>Privacy/Production</x:v>
      </x:c>
      <x:c r="O221" s="32" t="str">
        <x:v>NOT RUN</x:v>
      </x:c>
      <x:c r="P221" s="32" t="str"/>
      <x:c r="Q221" s="32" t="str"/>
      <x:c r="R221" s="32" t="str"/>
      <x:c r="S221" s="32" t="str"/>
      <x:c r="T221" s="82" t="str"/>
      <x:c r="U221" s="32" t="str"/>
      <x:c r="V221" s="84" t="n">
        <x:v>1</x:v>
      </x:c>
      <x:c r="W221" s="84" t="n">
        <x:f>IF(OR($O221="PASS",$O221="EXCEPTION APPROVED",$O221="NOT APPLICABLE"),$V221,0)</x:f>
        <x:v>0</x:v>
      </x:c>
      <x:c r="X221" s="84" t="n">
        <x:f>IF(AND($K221="Yes",OR($O221="FAIL",$O221="BLOCKED",$O221="NOT RUN",$O221="IN PROGRESS")),1,0)</x:f>
        <x:v>1</x:v>
      </x:c>
      <x:c r="Y221" s="32" t="str">
        <x:f>IF($O221="FAIL","FAIL",IF($O221="BLOCKED","BLOCKED",IF(AND($O221="EXCEPTION APPROVED",$K221="Yes"),"REVIEW",IF($O221="PASS","OK","PENDING"))))</x:f>
        <x:v>PENDING</x:v>
      </x:c>
    </x:row>
    <x:row r="222">
      <x:c r="A222" s="32" t="str">
        <x:v>H6-SEC-002</x:v>
      </x:c>
      <x:c r="B222" s="32" t="str">
        <x:v>Seguridad y privacidad</x:v>
      </x:c>
      <x:c r="C222" s="32" t="str">
        <x:v>Control especializado</x:v>
      </x:c>
      <x:c r="D222" s="32" t="str">
        <x:v>Las dependencias y packages tienen revisión de vulnerabilidades y procedencia suficiente para H6.</x:v>
      </x:c>
      <x:c r="E222" s="32" t="str">
        <x:v>Inventario y consulta de advisories/lockfile.</x:v>
      </x:c>
      <x:c r="F222" s="32" t="str">
        <x:v>Cumplimiento verificable sin desviaciones bloqueantes.</x:v>
      </x:c>
      <x:c r="G222" s="32" t="str">
        <x:v>Dependency security report.</x:v>
      </x:c>
      <x:c r="H222" s="32" t="str">
        <x:v>26_Privacy_Data_and_Telemetry_Plan.md; 27_Security_and_Incident_Response_Plan.md</x:v>
      </x:c>
      <x:c r="I222" s="32" t="str">
        <x:v>Historical build, legal and governance records; no autonomous security plan before document 27</x:v>
      </x:c>
      <x:c r="J222" s="32" t="str">
        <x:v>H6</x:v>
      </x:c>
      <x:c r="K222" s="32" t="str">
        <x:v>Yes</x:v>
      </x:c>
      <x:c r="L222" s="32" t="str">
        <x:v>P1</x:v>
      </x:c>
      <x:c r="M222" s="32" t="str">
        <x:v>Security/Engineering</x:v>
      </x:c>
      <x:c r="N222" s="32" t="str">
        <x:v>Privacy/Production</x:v>
      </x:c>
      <x:c r="O222" s="32" t="str">
        <x:v>NOT RUN</x:v>
      </x:c>
      <x:c r="P222" s="32" t="str"/>
      <x:c r="Q222" s="32" t="str"/>
      <x:c r="R222" s="32" t="str"/>
      <x:c r="S222" s="32" t="str"/>
      <x:c r="T222" s="82" t="str"/>
      <x:c r="U222" s="32" t="str"/>
      <x:c r="V222" s="84" t="n">
        <x:v>1</x:v>
      </x:c>
      <x:c r="W222" s="84" t="n">
        <x:f>IF(OR($O222="PASS",$O222="EXCEPTION APPROVED",$O222="NOT APPLICABLE"),$V222,0)</x:f>
        <x:v>0</x:v>
      </x:c>
      <x:c r="X222" s="84" t="n">
        <x:f>IF(AND($K222="Yes",OR($O222="FAIL",$O222="BLOCKED",$O222="NOT RUN",$O222="IN PROGRESS")),1,0)</x:f>
        <x:v>1</x:v>
      </x:c>
      <x:c r="Y222" s="32" t="str">
        <x:f>IF($O222="FAIL","FAIL",IF($O222="BLOCKED","BLOCKED",IF(AND($O222="EXCEPTION APPROVED",$K222="Yes"),"REVIEW",IF($O222="PASS","OK","PENDING"))))</x:f>
        <x:v>PENDING</x:v>
      </x:c>
    </x:row>
    <x:row r="223">
      <x:c r="A223" s="32" t="str">
        <x:v>H6-SEC-003</x:v>
      </x:c>
      <x:c r="B223" s="32" t="str">
        <x:v>Seguridad y privacidad</x:v>
      </x:c>
      <x:c r="C223" s="32" t="str">
        <x:v>Control especializado</x:v>
      </x:c>
      <x:c r="D223" s="32" t="str">
        <x:v>Los logs de build y runtime no exponen datos personales, rutas sensibles o credenciales.</x:v>
      </x:c>
      <x:c r="E223" s="32" t="str">
        <x:v>Revisión de logs y fault cases.</x:v>
      </x:c>
      <x:c r="F223" s="32" t="str">
        <x:v>Cumplimiento verificable sin desviaciones bloqueantes.</x:v>
      </x:c>
      <x:c r="G223" s="32" t="str">
        <x:v>Log sanitization report.</x:v>
      </x:c>
      <x:c r="H223" s="32" t="str">
        <x:v>26_Privacy_Data_and_Telemetry_Plan.md; 27_Security_and_Incident_Response_Plan.md</x:v>
      </x:c>
      <x:c r="I223" s="32" t="str">
        <x:v>Historical build, legal and governance records; no autonomous security plan before document 27</x:v>
      </x:c>
      <x:c r="J223" s="32" t="str">
        <x:v>H6</x:v>
      </x:c>
      <x:c r="K223" s="32" t="str">
        <x:v>Yes</x:v>
      </x:c>
      <x:c r="L223" s="32" t="str">
        <x:v>P1</x:v>
      </x:c>
      <x:c r="M223" s="32" t="str">
        <x:v>Security/Engineering</x:v>
      </x:c>
      <x:c r="N223" s="32" t="str">
        <x:v>Privacy/Production</x:v>
      </x:c>
      <x:c r="O223" s="32" t="str">
        <x:v>NOT RUN</x:v>
      </x:c>
      <x:c r="P223" s="32" t="str"/>
      <x:c r="Q223" s="32" t="str"/>
      <x:c r="R223" s="32" t="str"/>
      <x:c r="S223" s="32" t="str"/>
      <x:c r="T223" s="82" t="str"/>
      <x:c r="U223" s="32" t="str"/>
      <x:c r="V223" s="84" t="n">
        <x:v>1</x:v>
      </x:c>
      <x:c r="W223" s="84" t="n">
        <x:f>IF(OR($O223="PASS",$O223="EXCEPTION APPROVED",$O223="NOT APPLICABLE"),$V223,0)</x:f>
        <x:v>0</x:v>
      </x:c>
      <x:c r="X223" s="84" t="n">
        <x:f>IF(AND($K223="Yes",OR($O223="FAIL",$O223="BLOCKED",$O223="NOT RUN",$O223="IN PROGRESS")),1,0)</x:f>
        <x:v>1</x:v>
      </x:c>
      <x:c r="Y223" s="32" t="str">
        <x:f>IF($O223="FAIL","FAIL",IF($O223="BLOCKED","BLOCKED",IF(AND($O223="EXCEPTION APPROVED",$K223="Yes"),"REVIEW",IF($O223="PASS","OK","PENDING"))))</x:f>
        <x:v>PENDING</x:v>
      </x:c>
    </x:row>
    <x:row r="224">
      <x:c r="A224" s="32" t="str">
        <x:v>H6-SEC-004</x:v>
      </x:c>
      <x:c r="B224" s="32" t="str">
        <x:v>Seguridad y privacidad</x:v>
      </x:c>
      <x:c r="C224" s="32" t="str">
        <x:v>Control especializado</x:v>
      </x:c>
      <x:c r="D224" s="32" t="str">
        <x:v>La telemetría remota no es necesaria para completar H6 y permanece desactivada/no presente salvo aprobación.</x:v>
      </x:c>
      <x:c r="E224" s="32" t="str">
        <x:v>Inspeccionar tráfico, configuración y código.</x:v>
      </x:c>
      <x:c r="F224" s="32" t="str">
        <x:v>Cumplimiento verificable sin desviaciones bloqueantes.</x:v>
      </x:c>
      <x:c r="G224" s="32" t="str">
        <x:v>Telemetry state record.</x:v>
      </x:c>
      <x:c r="H224" s="32" t="str">
        <x:v>26_Privacy_Data_and_Telemetry_Plan.md; 27_Security_and_Incident_Response_Plan.md</x:v>
      </x:c>
      <x:c r="I224" s="32" t="str">
        <x:v>Historical build, legal and governance records; no autonomous security plan before document 27</x:v>
      </x:c>
      <x:c r="J224" s="32" t="str">
        <x:v>H6</x:v>
      </x:c>
      <x:c r="K224" s="32" t="str">
        <x:v>Yes</x:v>
      </x:c>
      <x:c r="L224" s="32" t="str">
        <x:v>P1</x:v>
      </x:c>
      <x:c r="M224" s="32" t="str">
        <x:v>Security/Engineering</x:v>
      </x:c>
      <x:c r="N224" s="32" t="str">
        <x:v>Privacy/Production</x:v>
      </x:c>
      <x:c r="O224" s="32" t="str">
        <x:v>NOT RUN</x:v>
      </x:c>
      <x:c r="P224" s="32" t="str"/>
      <x:c r="Q224" s="32" t="str"/>
      <x:c r="R224" s="32" t="str"/>
      <x:c r="S224" s="32" t="str"/>
      <x:c r="T224" s="82" t="str"/>
      <x:c r="U224" s="32" t="str"/>
      <x:c r="V224" s="84" t="n">
        <x:v>1</x:v>
      </x:c>
      <x:c r="W224" s="84" t="n">
        <x:f>IF(OR($O224="PASS",$O224="EXCEPTION APPROVED",$O224="NOT APPLICABLE"),$V224,0)</x:f>
        <x:v>0</x:v>
      </x:c>
      <x:c r="X224" s="84" t="n">
        <x:f>IF(AND($K224="Yes",OR($O224="FAIL",$O224="BLOCKED",$O224="NOT RUN",$O224="IN PROGRESS")),1,0)</x:f>
        <x:v>1</x:v>
      </x:c>
      <x:c r="Y224" s="32" t="str">
        <x:f>IF($O224="FAIL","FAIL",IF($O224="BLOCKED","BLOCKED",IF(AND($O224="EXCEPTION APPROVED",$K224="Yes"),"REVIEW",IF($O224="PASS","OK","PENDING"))))</x:f>
        <x:v>PENDING</x:v>
      </x:c>
    </x:row>
    <x:row r="225">
      <x:c r="A225" s="32" t="str">
        <x:v>H6-SEC-005</x:v>
      </x:c>
      <x:c r="B225" s="32" t="str">
        <x:v>Seguridad y privacidad</x:v>
      </x:c>
      <x:c r="C225" s="32" t="str">
        <x:v>Control especializado</x:v>
      </x:c>
      <x:c r="D225" s="32" t="str">
        <x:v>Existe inventario de datos tratados por la build y su base/propósito está documentado.</x:v>
      </x:c>
      <x:c r="E225" s="32" t="str">
        <x:v>Cruzar funciones con 26.</x:v>
      </x:c>
      <x:c r="F225" s="32" t="str">
        <x:v>Cumplimiento verificable sin desviaciones bloqueantes.</x:v>
      </x:c>
      <x:c r="G225" s="32" t="str">
        <x:v>Data inventory.</x:v>
      </x:c>
      <x:c r="H225" s="32" t="str">
        <x:v>26_Privacy_Data_and_Telemetry_Plan.md; 27_Security_and_Incident_Response_Plan.md</x:v>
      </x:c>
      <x:c r="I225" s="32" t="str">
        <x:v>Historical build, legal and governance records; no autonomous security plan before document 27</x:v>
      </x:c>
      <x:c r="J225" s="32" t="str">
        <x:v>H6</x:v>
      </x:c>
      <x:c r="K225" s="32" t="str">
        <x:v>Yes</x:v>
      </x:c>
      <x:c r="L225" s="32" t="str">
        <x:v>P1</x:v>
      </x:c>
      <x:c r="M225" s="32" t="str">
        <x:v>Security/Engineering</x:v>
      </x:c>
      <x:c r="N225" s="32" t="str">
        <x:v>Privacy/Production</x:v>
      </x:c>
      <x:c r="O225" s="32" t="str">
        <x:v>NOT RUN</x:v>
      </x:c>
      <x:c r="P225" s="32" t="str"/>
      <x:c r="Q225" s="32" t="str"/>
      <x:c r="R225" s="32" t="str"/>
      <x:c r="S225" s="32" t="str"/>
      <x:c r="T225" s="82" t="str"/>
      <x:c r="U225" s="32" t="str"/>
      <x:c r="V225" s="84" t="n">
        <x:v>1</x:v>
      </x:c>
      <x:c r="W225" s="84" t="n">
        <x:f>IF(OR($O225="PASS",$O225="EXCEPTION APPROVED",$O225="NOT APPLICABLE"),$V225,0)</x:f>
        <x:v>0</x:v>
      </x:c>
      <x:c r="X225" s="84" t="n">
        <x:f>IF(AND($K225="Yes",OR($O225="FAIL",$O225="BLOCKED",$O225="NOT RUN",$O225="IN PROGRESS")),1,0)</x:f>
        <x:v>1</x:v>
      </x:c>
      <x:c r="Y225" s="32" t="str">
        <x:f>IF($O225="FAIL","FAIL",IF($O225="BLOCKED","BLOCKED",IF(AND($O225="EXCEPTION APPROVED",$K225="Yes"),"REVIEW",IF($O225="PASS","OK","PENDING"))))</x:f>
        <x:v>PENDING</x:v>
      </x:c>
    </x:row>
    <x:row r="226">
      <x:c r="A226" s="32" t="str">
        <x:v>H6-SEC-006</x:v>
      </x:c>
      <x:c r="B226" s="32" t="str">
        <x:v>Seguridad y privacidad</x:v>
      </x:c>
      <x:c r="C226" s="32" t="str">
        <x:v>Control especializado</x:v>
      </x:c>
      <x:c r="D226" s="32" t="str">
        <x:v>Los archivos de save/configuración se almacenan en ubicación controlada y con permisos adecuados.</x:v>
      </x:c>
      <x:c r="E226" s="32" t="str">
        <x:v>Revisar rutas y comportamiento multiusuario.</x:v>
      </x:c>
      <x:c r="F226" s="32" t="str">
        <x:v>Cumplimiento verificable sin desviaciones bloqueantes.</x:v>
      </x:c>
      <x:c r="G226" s="32" t="str">
        <x:v>Storage review.</x:v>
      </x:c>
      <x:c r="H226" s="32" t="str">
        <x:v>26_Privacy_Data_and_Telemetry_Plan.md; 27_Security_and_Incident_Response_Plan.md</x:v>
      </x:c>
      <x:c r="I226" s="32" t="str">
        <x:v>Historical build, legal and governance records; no autonomous security plan before document 27</x:v>
      </x:c>
      <x:c r="J226" s="32" t="str">
        <x:v>H6</x:v>
      </x:c>
      <x:c r="K226" s="32" t="str">
        <x:v>Yes</x:v>
      </x:c>
      <x:c r="L226" s="32" t="str">
        <x:v>P1</x:v>
      </x:c>
      <x:c r="M226" s="32" t="str">
        <x:v>Security/Engineering</x:v>
      </x:c>
      <x:c r="N226" s="32" t="str">
        <x:v>Privacy/Production</x:v>
      </x:c>
      <x:c r="O226" s="32" t="str">
        <x:v>NOT RUN</x:v>
      </x:c>
      <x:c r="P226" s="32" t="str"/>
      <x:c r="Q226" s="32" t="str"/>
      <x:c r="R226" s="32" t="str"/>
      <x:c r="S226" s="32" t="str"/>
      <x:c r="T226" s="82" t="str"/>
      <x:c r="U226" s="32" t="str"/>
      <x:c r="V226" s="84" t="n">
        <x:v>1</x:v>
      </x:c>
      <x:c r="W226" s="84" t="n">
        <x:f>IF(OR($O226="PASS",$O226="EXCEPTION APPROVED",$O226="NOT APPLICABLE"),$V226,0)</x:f>
        <x:v>0</x:v>
      </x:c>
      <x:c r="X226" s="84" t="n">
        <x:f>IF(AND($K226="Yes",OR($O226="FAIL",$O226="BLOCKED",$O226="NOT RUN",$O226="IN PROGRESS")),1,0)</x:f>
        <x:v>1</x:v>
      </x:c>
      <x:c r="Y226" s="32" t="str">
        <x:f>IF($O226="FAIL","FAIL",IF($O226="BLOCKED","BLOCKED",IF(AND($O226="EXCEPTION APPROVED",$K226="Yes"),"REVIEW",IF($O226="PASS","OK","PENDING"))))</x:f>
        <x:v>PENDING</x:v>
      </x:c>
    </x:row>
    <x:row r="227">
      <x:c r="A227" s="32" t="str">
        <x:v>H6-SEC-007</x:v>
      </x:c>
      <x:c r="B227" s="32" t="str">
        <x:v>Seguridad y privacidad</x:v>
      </x:c>
      <x:c r="C227" s="32" t="str">
        <x:v>Control especializado</x:v>
      </x:c>
      <x:c r="D227" s="32" t="str">
        <x:v>La build no ejecuta descargas, actualizaciones o conexiones ocultas no declaradas.</x:v>
      </x:c>
      <x:c r="E227" s="32" t="str">
        <x:v>Prueba offline y captura de red.</x:v>
      </x:c>
      <x:c r="F227" s="32" t="str">
        <x:v>Cumplimiento verificable sin desviaciones bloqueantes.</x:v>
      </x:c>
      <x:c r="G227" s="32" t="str">
        <x:v>Network behavior report.</x:v>
      </x:c>
      <x:c r="H227" s="32" t="str">
        <x:v>26_Privacy_Data_and_Telemetry_Plan.md; 27_Security_and_Incident_Response_Plan.md</x:v>
      </x:c>
      <x:c r="I227" s="32" t="str">
        <x:v>Historical build, legal and governance records; no autonomous security plan before document 27</x:v>
      </x:c>
      <x:c r="J227" s="32" t="str">
        <x:v>H6</x:v>
      </x:c>
      <x:c r="K227" s="32" t="str">
        <x:v>Yes</x:v>
      </x:c>
      <x:c r="L227" s="32" t="str">
        <x:v>P1</x:v>
      </x:c>
      <x:c r="M227" s="32" t="str">
        <x:v>Security/Engineering</x:v>
      </x:c>
      <x:c r="N227" s="32" t="str">
        <x:v>Privacy/Production</x:v>
      </x:c>
      <x:c r="O227" s="32" t="str">
        <x:v>NOT RUN</x:v>
      </x:c>
      <x:c r="P227" s="32" t="str"/>
      <x:c r="Q227" s="32" t="str"/>
      <x:c r="R227" s="32" t="str"/>
      <x:c r="S227" s="32" t="str"/>
      <x:c r="T227" s="82" t="str"/>
      <x:c r="U227" s="32" t="str"/>
      <x:c r="V227" s="84" t="n">
        <x:v>1</x:v>
      </x:c>
      <x:c r="W227" s="84" t="n">
        <x:f>IF(OR($O227="PASS",$O227="EXCEPTION APPROVED",$O227="NOT APPLICABLE"),$V227,0)</x:f>
        <x:v>0</x:v>
      </x:c>
      <x:c r="X227" s="84" t="n">
        <x:f>IF(AND($K227="Yes",OR($O227="FAIL",$O227="BLOCKED",$O227="NOT RUN",$O227="IN PROGRESS")),1,0)</x:f>
        <x:v>1</x:v>
      </x:c>
      <x:c r="Y227" s="32" t="str">
        <x:f>IF($O227="FAIL","FAIL",IF($O227="BLOCKED","BLOCKED",IF(AND($O227="EXCEPTION APPROVED",$K227="Yes"),"REVIEW",IF($O227="PASS","OK","PENDING"))))</x:f>
        <x:v>PENDING</x:v>
      </x:c>
    </x:row>
    <x:row r="228">
      <x:c r="A228" s="32" t="str">
        <x:v>H6-SEC-008</x:v>
      </x:c>
      <x:c r="B228" s="32" t="str">
        <x:v>Seguridad y privacidad</x:v>
      </x:c>
      <x:c r="C228" s="32" t="str">
        <x:v>Control especializado</x:v>
      </x:c>
      <x:c r="D228" s="32" t="str">
        <x:v>Backups de repositorio y documentación existen y se ha verificado una restauración básica.</x:v>
      </x:c>
      <x:c r="E228" s="32" t="str">
        <x:v>Restore drill de muestra.</x:v>
      </x:c>
      <x:c r="F228" s="32" t="str">
        <x:v>Cumplimiento verificable sin desviaciones bloqueantes.</x:v>
      </x:c>
      <x:c r="G228" s="32" t="str">
        <x:v>Backup restore record.</x:v>
      </x:c>
      <x:c r="H228" s="32" t="str">
        <x:v>26_Privacy_Data_and_Telemetry_Plan.md; 27_Security_and_Incident_Response_Plan.md</x:v>
      </x:c>
      <x:c r="I228" s="32" t="str">
        <x:v>Historical build, legal and governance records; no autonomous security plan before document 27</x:v>
      </x:c>
      <x:c r="J228" s="32" t="str">
        <x:v>H6</x:v>
      </x:c>
      <x:c r="K228" s="32" t="str">
        <x:v>Yes</x:v>
      </x:c>
      <x:c r="L228" s="32" t="str">
        <x:v>P1</x:v>
      </x:c>
      <x:c r="M228" s="32" t="str">
        <x:v>Security/Engineering</x:v>
      </x:c>
      <x:c r="N228" s="32" t="str">
        <x:v>Privacy/Production</x:v>
      </x:c>
      <x:c r="O228" s="32" t="str">
        <x:v>NOT RUN</x:v>
      </x:c>
      <x:c r="P228" s="32" t="str"/>
      <x:c r="Q228" s="32" t="str"/>
      <x:c r="R228" s="32" t="str"/>
      <x:c r="S228" s="32" t="str"/>
      <x:c r="T228" s="82" t="str"/>
      <x:c r="U228" s="32" t="str"/>
      <x:c r="V228" s="84" t="n">
        <x:v>1</x:v>
      </x:c>
      <x:c r="W228" s="84" t="n">
        <x:f>IF(OR($O228="PASS",$O228="EXCEPTION APPROVED",$O228="NOT APPLICABLE"),$V228,0)</x:f>
        <x:v>0</x:v>
      </x:c>
      <x:c r="X228" s="84" t="n">
        <x:f>IF(AND($K228="Yes",OR($O228="FAIL",$O228="BLOCKED",$O228="NOT RUN",$O228="IN PROGRESS")),1,0)</x:f>
        <x:v>1</x:v>
      </x:c>
      <x:c r="Y228" s="32" t="str">
        <x:f>IF($O228="FAIL","FAIL",IF($O228="BLOCKED","BLOCKED",IF(AND($O228="EXCEPTION APPROVED",$K228="Yes"),"REVIEW",IF($O228="PASS","OK","PENDING"))))</x:f>
        <x:v>PENDING</x:v>
      </x:c>
    </x:row>
    <x:row r="229">
      <x:c r="A229" s="32" t="str">
        <x:v>H6-SEC-009</x:v>
      </x:c>
      <x:c r="B229" s="32" t="str">
        <x:v>Seguridad y privacidad</x:v>
      </x:c>
      <x:c r="C229" s="32" t="str">
        <x:v>Control especializado</x:v>
      </x:c>
      <x:c r="D229" s="32" t="str">
        <x:v>Los accesos a Steam, firma, repositorio y almacenamiento de builds aplican mínimo privilegio.</x:v>
      </x:c>
      <x:c r="E229" s="32" t="str">
        <x:v>Revisión de cuentas y permisos.</x:v>
      </x:c>
      <x:c r="F229" s="32" t="str">
        <x:v>Cumplimiento verificable sin desviaciones bloqueantes.</x:v>
      </x:c>
      <x:c r="G229" s="32" t="str">
        <x:v>Access review.</x:v>
      </x:c>
      <x:c r="H229" s="32" t="str">
        <x:v>26_Privacy_Data_and_Telemetry_Plan.md; 27_Security_and_Incident_Response_Plan.md</x:v>
      </x:c>
      <x:c r="I229" s="32" t="str">
        <x:v>Historical build, legal and governance records; no autonomous security plan before document 27</x:v>
      </x:c>
      <x:c r="J229" s="32" t="str">
        <x:v>H6</x:v>
      </x:c>
      <x:c r="K229" s="32" t="str">
        <x:v>Yes</x:v>
      </x:c>
      <x:c r="L229" s="32" t="str">
        <x:v>P1</x:v>
      </x:c>
      <x:c r="M229" s="32" t="str">
        <x:v>Security/Engineering</x:v>
      </x:c>
      <x:c r="N229" s="32" t="str">
        <x:v>Privacy/Production</x:v>
      </x:c>
      <x:c r="O229" s="32" t="str">
        <x:v>NOT RUN</x:v>
      </x:c>
      <x:c r="P229" s="32" t="str"/>
      <x:c r="Q229" s="32" t="str"/>
      <x:c r="R229" s="32" t="str"/>
      <x:c r="S229" s="32" t="str"/>
      <x:c r="T229" s="82" t="str"/>
      <x:c r="U229" s="32" t="str"/>
      <x:c r="V229" s="84" t="n">
        <x:v>1</x:v>
      </x:c>
      <x:c r="W229" s="84" t="n">
        <x:f>IF(OR($O229="PASS",$O229="EXCEPTION APPROVED",$O229="NOT APPLICABLE"),$V229,0)</x:f>
        <x:v>0</x:v>
      </x:c>
      <x:c r="X229" s="84" t="n">
        <x:f>IF(AND($K229="Yes",OR($O229="FAIL",$O229="BLOCKED",$O229="NOT RUN",$O229="IN PROGRESS")),1,0)</x:f>
        <x:v>1</x:v>
      </x:c>
      <x:c r="Y229" s="32" t="str">
        <x:f>IF($O229="FAIL","FAIL",IF($O229="BLOCKED","BLOCKED",IF(AND($O229="EXCEPTION APPROVED",$K229="Yes"),"REVIEW",IF($O229="PASS","OK","PENDING"))))</x:f>
        <x:v>PENDING</x:v>
      </x:c>
    </x:row>
    <x:row r="230">
      <x:c r="A230" s="32" t="str">
        <x:v>H6-SEC-010</x:v>
      </x:c>
      <x:c r="B230" s="32" t="str">
        <x:v>Seguridad y privacidad</x:v>
      </x:c>
      <x:c r="C230" s="32" t="str">
        <x:v>Control especializado</x:v>
      </x:c>
      <x:c r="D230" s="32" t="str">
        <x:v>Existe contacto y procedimiento para responder a un incidente que afecte la candidata.</x:v>
      </x:c>
      <x:c r="E230" s="32" t="str">
        <x:v>Revisar 27 y realizar tabletop breve.</x:v>
      </x:c>
      <x:c r="F230" s="32" t="str">
        <x:v>Cumplimiento verificable sin desviaciones bloqueantes.</x:v>
      </x:c>
      <x:c r="G230" s="32" t="str">
        <x:v>Incident tabletop record.</x:v>
      </x:c>
      <x:c r="H230" s="32" t="str">
        <x:v>26_Privacy_Data_and_Telemetry_Plan.md; 27_Security_and_Incident_Response_Plan.md</x:v>
      </x:c>
      <x:c r="I230" s="32" t="str">
        <x:v>Historical build, legal and governance records; no autonomous security plan before document 27</x:v>
      </x:c>
      <x:c r="J230" s="32" t="str">
        <x:v>H6</x:v>
      </x:c>
      <x:c r="K230" s="32" t="str">
        <x:v>Yes</x:v>
      </x:c>
      <x:c r="L230" s="32" t="str">
        <x:v>P1</x:v>
      </x:c>
      <x:c r="M230" s="32" t="str">
        <x:v>Security/Engineering</x:v>
      </x:c>
      <x:c r="N230" s="32" t="str">
        <x:v>Privacy/Production</x:v>
      </x:c>
      <x:c r="O230" s="32" t="str">
        <x:v>NOT RUN</x:v>
      </x:c>
      <x:c r="P230" s="32" t="str"/>
      <x:c r="Q230" s="32" t="str"/>
      <x:c r="R230" s="32" t="str"/>
      <x:c r="S230" s="32" t="str"/>
      <x:c r="T230" s="82" t="str"/>
      <x:c r="U230" s="32" t="str"/>
      <x:c r="V230" s="84" t="n">
        <x:v>1</x:v>
      </x:c>
      <x:c r="W230" s="84" t="n">
        <x:f>IF(OR($O230="PASS",$O230="EXCEPTION APPROVED",$O230="NOT APPLICABLE"),$V230,0)</x:f>
        <x:v>0</x:v>
      </x:c>
      <x:c r="X230" s="84" t="n">
        <x:f>IF(AND($K230="Yes",OR($O230="FAIL",$O230="BLOCKED",$O230="NOT RUN",$O230="IN PROGRESS")),1,0)</x:f>
        <x:v>1</x:v>
      </x:c>
      <x:c r="Y230" s="32" t="str">
        <x:f>IF($O230="FAIL","FAIL",IF($O230="BLOCKED","BLOCKED",IF(AND($O230="EXCEPTION APPROVED",$K230="Yes"),"REVIEW",IF($O230="PASS","OK","PENDING"))))</x:f>
        <x:v>PENDING</x:v>
      </x:c>
    </x:row>
    <x:row r="231">
      <x:c r="A231" s="32" t="str">
        <x:v>H6-SEC-011</x:v>
      </x:c>
      <x:c r="B231" s="32" t="str">
        <x:v>Seguridad y privacidad</x:v>
      </x:c>
      <x:c r="C231" s="32" t="str">
        <x:v>Control especializado</x:v>
      </x:c>
      <x:c r="D231" s="32" t="str">
        <x:v>Los artefactos de crash/debug que puedan contener información sensible se manejan con reglas definidas.</x:v>
      </x:c>
      <x:c r="E231" s="32" t="str">
        <x:v>Revisar flujo de recopilación y almacenamiento.</x:v>
      </x:c>
      <x:c r="F231" s="32" t="str">
        <x:v>Cumplimiento verificable sin desviaciones bloqueantes.</x:v>
      </x:c>
      <x:c r="G231" s="32" t="str">
        <x:v>Crash artifact handling record.</x:v>
      </x:c>
      <x:c r="H231" s="32" t="str">
        <x:v>26_Privacy_Data_and_Telemetry_Plan.md; 27_Security_and_Incident_Response_Plan.md</x:v>
      </x:c>
      <x:c r="I231" s="32" t="str">
        <x:v>Historical build, legal and governance records; no autonomous security plan before document 27</x:v>
      </x:c>
      <x:c r="J231" s="32" t="str">
        <x:v>H6</x:v>
      </x:c>
      <x:c r="K231" s="32" t="str">
        <x:v>Yes</x:v>
      </x:c>
      <x:c r="L231" s="32" t="str">
        <x:v>P1</x:v>
      </x:c>
      <x:c r="M231" s="32" t="str">
        <x:v>Security/Engineering</x:v>
      </x:c>
      <x:c r="N231" s="32" t="str">
        <x:v>Privacy/Production</x:v>
      </x:c>
      <x:c r="O231" s="32" t="str">
        <x:v>NOT RUN</x:v>
      </x:c>
      <x:c r="P231" s="32" t="str"/>
      <x:c r="Q231" s="32" t="str"/>
      <x:c r="R231" s="32" t="str"/>
      <x:c r="S231" s="32" t="str"/>
      <x:c r="T231" s="82" t="str"/>
      <x:c r="U231" s="32" t="str"/>
      <x:c r="V231" s="84" t="n">
        <x:v>1</x:v>
      </x:c>
      <x:c r="W231" s="84" t="n">
        <x:f>IF(OR($O231="PASS",$O231="EXCEPTION APPROVED",$O231="NOT APPLICABLE"),$V231,0)</x:f>
        <x:v>0</x:v>
      </x:c>
      <x:c r="X231" s="84" t="n">
        <x:f>IF(AND($K231="Yes",OR($O231="FAIL",$O231="BLOCKED",$O231="NOT RUN",$O231="IN PROGRESS")),1,0)</x:f>
        <x:v>1</x:v>
      </x:c>
      <x:c r="Y231" s="32" t="str">
        <x:f>IF($O231="FAIL","FAIL",IF($O231="BLOCKED","BLOCKED",IF(AND($O231="EXCEPTION APPROVED",$K231="Yes"),"REVIEW",IF($O231="PASS","OK","PENDING"))))</x:f>
        <x:v>PENDING</x:v>
      </x:c>
    </x:row>
    <x:row r="232">
      <x:c r="A232" s="32" t="str">
        <x:v>H6-SEC-012</x:v>
      </x:c>
      <x:c r="B232" s="32" t="str">
        <x:v>Seguridad y privacidad</x:v>
      </x:c>
      <x:c r="C232" s="32" t="str">
        <x:v>Control especializado</x:v>
      </x:c>
      <x:c r="D232" s="32" t="str">
        <x:v>Cualquier proveedor/herramienta que reciba datos del proyecto está registrado o fuera del flujo H6.</x:v>
      </x:c>
      <x:c r="E232" s="32" t="str">
        <x:v>Auditar herramientas y exportaciones.</x:v>
      </x:c>
      <x:c r="F232" s="32" t="str">
        <x:v>Cumplimiento verificable sin desviaciones bloqueantes.</x:v>
      </x:c>
      <x:c r="G232" s="32" t="str">
        <x:v>Processor/tool inventory.</x:v>
      </x:c>
      <x:c r="H232" s="32" t="str">
        <x:v>26_Privacy_Data_and_Telemetry_Plan.md; 27_Security_and_Incident_Response_Plan.md</x:v>
      </x:c>
      <x:c r="I232" s="32" t="str">
        <x:v>Historical build, legal and governance records; no autonomous security plan before document 27</x:v>
      </x:c>
      <x:c r="J232" s="32" t="str">
        <x:v>H6</x:v>
      </x:c>
      <x:c r="K232" s="32" t="str">
        <x:v>Yes</x:v>
      </x:c>
      <x:c r="L232" s="32" t="str">
        <x:v>P1</x:v>
      </x:c>
      <x:c r="M232" s="32" t="str">
        <x:v>Security/Engineering</x:v>
      </x:c>
      <x:c r="N232" s="32" t="str">
        <x:v>Privacy/Production</x:v>
      </x:c>
      <x:c r="O232" s="32" t="str">
        <x:v>NOT RUN</x:v>
      </x:c>
      <x:c r="P232" s="32" t="str"/>
      <x:c r="Q232" s="32" t="str"/>
      <x:c r="R232" s="32" t="str"/>
      <x:c r="S232" s="32" t="str"/>
      <x:c r="T232" s="82" t="str"/>
      <x:c r="U232" s="32" t="str"/>
      <x:c r="V232" s="84" t="n">
        <x:v>1</x:v>
      </x:c>
      <x:c r="W232" s="84" t="n">
        <x:f>IF(OR($O232="PASS",$O232="EXCEPTION APPROVED",$O232="NOT APPLICABLE"),$V232,0)</x:f>
        <x:v>0</x:v>
      </x:c>
      <x:c r="X232" s="84" t="n">
        <x:f>IF(AND($K232="Yes",OR($O232="FAIL",$O232="BLOCKED",$O232="NOT RUN",$O232="IN PROGRESS")),1,0)</x:f>
        <x:v>1</x:v>
      </x:c>
      <x:c r="Y232" s="32" t="str">
        <x:f>IF($O232="FAIL","FAIL",IF($O232="BLOCKED","BLOCKED",IF(AND($O232="EXCEPTION APPROVED",$K232="Yes"),"REVIEW",IF($O232="PASS","OK","PENDING"))))</x:f>
        <x:v>PENDING</x:v>
      </x:c>
    </x:row>
    <x:row r="233">
      <x:c r="A233" s="32" t="str">
        <x:v>H6-LEG-001</x:v>
      </x:c>
      <x:c r="B233" s="32" t="str">
        <x:v>Legal, créditos y licencias</x:v>
      </x:c>
      <x:c r="C233" s="32" t="str">
        <x:v>Control especializado</x:v>
      </x:c>
      <x:c r="D233" s="32" t="str">
        <x:v>El nombre de trabajo y el nombre del estudio no se presentan como clearance comercial definitivo sin validación.</x:v>
      </x:c>
      <x:c r="E233" s="32" t="str">
        <x:v>Revisar splash, package, documentos y capturas.</x:v>
      </x:c>
      <x:c r="F233" s="32" t="str">
        <x:v>Cumplimiento verificable sin desviaciones bloqueantes.</x:v>
      </x:c>
      <x:c r="G233" s="32" t="str">
        <x:v>Naming status record.</x:v>
      </x:c>
      <x:c r="H233" s="32" t="str">
        <x:v>23_Legal_Credits_and_Licenses_Register.xlsx; 28_Marketing_and_Communication_Plan.md</x:v>
      </x:c>
      <x:c r="I233" s="32" t="str">
        <x:v>Legal/Credits/Licenses Register v0.3–v0.5; Marketing Plan v0.3–v0.5</x:v>
      </x:c>
      <x:c r="J233" s="32" t="str">
        <x:v>H6</x:v>
      </x:c>
      <x:c r="K233" s="32" t="str">
        <x:v>Yes</x:v>
      </x:c>
      <x:c r="L233" s="32" t="str">
        <x:v>P0</x:v>
      </x:c>
      <x:c r="M233" s="32" t="str">
        <x:v>Legal/Production</x:v>
      </x:c>
      <x:c r="N233" s="32" t="str">
        <x:v>Production/Security</x:v>
      </x:c>
      <x:c r="O233" s="32" t="str">
        <x:v>NOT RUN</x:v>
      </x:c>
      <x:c r="P233" s="32" t="str"/>
      <x:c r="Q233" s="32" t="str"/>
      <x:c r="R233" s="32" t="str"/>
      <x:c r="S233" s="32" t="str"/>
      <x:c r="T233" s="82" t="str"/>
      <x:c r="U233" s="32" t="str"/>
      <x:c r="V233" s="84" t="n">
        <x:v>1</x:v>
      </x:c>
      <x:c r="W233" s="84" t="n">
        <x:f>IF(OR($O233="PASS",$O233="EXCEPTION APPROVED",$O233="NOT APPLICABLE"),$V233,0)</x:f>
        <x:v>0</x:v>
      </x:c>
      <x:c r="X233" s="84" t="n">
        <x:f>IF(AND($K233="Yes",OR($O233="FAIL",$O233="BLOCKED",$O233="NOT RUN",$O233="IN PROGRESS")),1,0)</x:f>
        <x:v>1</x:v>
      </x:c>
      <x:c r="Y233" s="32" t="str">
        <x:f>IF($O233="FAIL","FAIL",IF($O233="BLOCKED","BLOCKED",IF(AND($O233="EXCEPTION APPROVED",$K233="Yes"),"REVIEW",IF($O233="PASS","OK","PENDING"))))</x:f>
        <x:v>PENDING</x:v>
      </x:c>
    </x:row>
    <x:row r="234">
      <x:c r="A234" s="32" t="str">
        <x:v>H6-LEG-002</x:v>
      </x:c>
      <x:c r="B234" s="32" t="str">
        <x:v>Legal, créditos y licencias</x:v>
      </x:c>
      <x:c r="C234" s="32" t="str">
        <x:v>Control especializado</x:v>
      </x:c>
      <x:c r="D234" s="32" t="str">
        <x:v>Cada asset de terceros incluido tiene licencia, fuente, versión, uso permitido y evidencia archivada.</x:v>
      </x:c>
      <x:c r="E234" s="32" t="str">
        <x:v>Cruzar build manifest con 23.</x:v>
      </x:c>
      <x:c r="F234" s="32" t="str">
        <x:v>Cumplimiento verificable sin desviaciones bloqueantes.</x:v>
      </x:c>
      <x:c r="G234" s="32" t="str">
        <x:v>License coverage report.</x:v>
      </x:c>
      <x:c r="H234" s="32" t="str">
        <x:v>23_Legal_Credits_and_Licenses_Register.xlsx; 28_Marketing_and_Communication_Plan.md</x:v>
      </x:c>
      <x:c r="I234" s="32" t="str">
        <x:v>Legal/Credits/Licenses Register v0.3–v0.5; Marketing Plan v0.3–v0.5</x:v>
      </x:c>
      <x:c r="J234" s="32" t="str">
        <x:v>H6</x:v>
      </x:c>
      <x:c r="K234" s="32" t="str">
        <x:v>Yes</x:v>
      </x:c>
      <x:c r="L234" s="32" t="str">
        <x:v>P0</x:v>
      </x:c>
      <x:c r="M234" s="32" t="str">
        <x:v>Legal/Production</x:v>
      </x:c>
      <x:c r="N234" s="32" t="str">
        <x:v>Production/Security</x:v>
      </x:c>
      <x:c r="O234" s="32" t="str">
        <x:v>NOT RUN</x:v>
      </x:c>
      <x:c r="P234" s="32" t="str"/>
      <x:c r="Q234" s="32" t="str"/>
      <x:c r="R234" s="32" t="str"/>
      <x:c r="S234" s="32" t="str"/>
      <x:c r="T234" s="82" t="str"/>
      <x:c r="U234" s="32" t="str"/>
      <x:c r="V234" s="84" t="n">
        <x:v>1</x:v>
      </x:c>
      <x:c r="W234" s="84" t="n">
        <x:f>IF(OR($O234="PASS",$O234="EXCEPTION APPROVED",$O234="NOT APPLICABLE"),$V234,0)</x:f>
        <x:v>0</x:v>
      </x:c>
      <x:c r="X234" s="84" t="n">
        <x:f>IF(AND($K234="Yes",OR($O234="FAIL",$O234="BLOCKED",$O234="NOT RUN",$O234="IN PROGRESS")),1,0)</x:f>
        <x:v>1</x:v>
      </x:c>
      <x:c r="Y234" s="32" t="str">
        <x:f>IF($O234="FAIL","FAIL",IF($O234="BLOCKED","BLOCKED",IF(AND($O234="EXCEPTION APPROVED",$K234="Yes"),"REVIEW",IF($O234="PASS","OK","PENDING"))))</x:f>
        <x:v>PENDING</x:v>
      </x:c>
    </x:row>
    <x:row r="235">
      <x:c r="A235" s="32" t="str">
        <x:v>H6-LEG-003</x:v>
      </x:c>
      <x:c r="B235" s="32" t="str">
        <x:v>Legal, créditos y licencias</x:v>
      </x:c>
      <x:c r="C235" s="32" t="str">
        <x:v>Control especializado</x:v>
      </x:c>
      <x:c r="D235" s="32" t="str">
        <x:v>Las fuentes tipográficas incluidas tienen licencia compatible con distribución.</x:v>
      </x:c>
      <x:c r="E235" s="32" t="str">
        <x:v>Revisar archivo, licencia y embedding.</x:v>
      </x:c>
      <x:c r="F235" s="32" t="str">
        <x:v>Cumplimiento verificable sin desviaciones bloqueantes.</x:v>
      </x:c>
      <x:c r="G235" s="32" t="str">
        <x:v>Font license record.</x:v>
      </x:c>
      <x:c r="H235" s="32" t="str">
        <x:v>23_Legal_Credits_and_Licenses_Register.xlsx; 28_Marketing_and_Communication_Plan.md</x:v>
      </x:c>
      <x:c r="I235" s="32" t="str">
        <x:v>Legal/Credits/Licenses Register v0.3–v0.5; Marketing Plan v0.3–v0.5</x:v>
      </x:c>
      <x:c r="J235" s="32" t="str">
        <x:v>H6</x:v>
      </x:c>
      <x:c r="K235" s="32" t="str">
        <x:v>Yes</x:v>
      </x:c>
      <x:c r="L235" s="32" t="str">
        <x:v>P1</x:v>
      </x:c>
      <x:c r="M235" s="32" t="str">
        <x:v>Legal/Production</x:v>
      </x:c>
      <x:c r="N235" s="32" t="str">
        <x:v>Production/Security</x:v>
      </x:c>
      <x:c r="O235" s="32" t="str">
        <x:v>NOT RUN</x:v>
      </x:c>
      <x:c r="P235" s="32" t="str"/>
      <x:c r="Q235" s="32" t="str"/>
      <x:c r="R235" s="32" t="str"/>
      <x:c r="S235" s="32" t="str"/>
      <x:c r="T235" s="82" t="str"/>
      <x:c r="U235" s="32" t="str"/>
      <x:c r="V235" s="84" t="n">
        <x:v>1</x:v>
      </x:c>
      <x:c r="W235" s="84" t="n">
        <x:f>IF(OR($O235="PASS",$O235="EXCEPTION APPROVED",$O235="NOT APPLICABLE"),$V235,0)</x:f>
        <x:v>0</x:v>
      </x:c>
      <x:c r="X235" s="84" t="n">
        <x:f>IF(AND($K235="Yes",OR($O235="FAIL",$O235="BLOCKED",$O235="NOT RUN",$O235="IN PROGRESS")),1,0)</x:f>
        <x:v>1</x:v>
      </x:c>
      <x:c r="Y235" s="32" t="str">
        <x:f>IF($O235="FAIL","FAIL",IF($O235="BLOCKED","BLOCKED",IF(AND($O235="EXCEPTION APPROVED",$K235="Yes"),"REVIEW",IF($O235="PASS","OK","PENDING"))))</x:f>
        <x:v>PENDING</x:v>
      </x:c>
    </x:row>
    <x:row r="236">
      <x:c r="A236" s="32" t="str">
        <x:v>H6-LEG-004</x:v>
      </x:c>
      <x:c r="B236" s="32" t="str">
        <x:v>Legal, créditos y licencias</x:v>
      </x:c>
      <x:c r="C236" s="32" t="str">
        <x:v>Control especializado</x:v>
      </x:c>
      <x:c r="D236" s="32" t="str">
        <x:v>Todo audio incluido tiene autorización de distribución y créditos definidos.</x:v>
      </x:c>
      <x:c r="E236" s="32" t="str">
        <x:v>Cruzar audio manifest con 23.</x:v>
      </x:c>
      <x:c r="F236" s="32" t="str">
        <x:v>Cumplimiento verificable sin desviaciones bloqueantes.</x:v>
      </x:c>
      <x:c r="G236" s="32" t="str">
        <x:v>Audio license coverage.</x:v>
      </x:c>
      <x:c r="H236" s="32" t="str">
        <x:v>23_Legal_Credits_and_Licenses_Register.xlsx; 28_Marketing_and_Communication_Plan.md</x:v>
      </x:c>
      <x:c r="I236" s="32" t="str">
        <x:v>Legal/Credits/Licenses Register v0.3–v0.5; Marketing Plan v0.3–v0.5</x:v>
      </x:c>
      <x:c r="J236" s="32" t="str">
        <x:v>H6</x:v>
      </x:c>
      <x:c r="K236" s="32" t="str">
        <x:v>Yes</x:v>
      </x:c>
      <x:c r="L236" s="32" t="str">
        <x:v>P1</x:v>
      </x:c>
      <x:c r="M236" s="32" t="str">
        <x:v>Legal/Production</x:v>
      </x:c>
      <x:c r="N236" s="32" t="str">
        <x:v>Production/Security</x:v>
      </x:c>
      <x:c r="O236" s="32" t="str">
        <x:v>NOT RUN</x:v>
      </x:c>
      <x:c r="P236" s="32" t="str"/>
      <x:c r="Q236" s="32" t="str"/>
      <x:c r="R236" s="32" t="str"/>
      <x:c r="S236" s="32" t="str"/>
      <x:c r="T236" s="82" t="str"/>
      <x:c r="U236" s="32" t="str"/>
      <x:c r="V236" s="84" t="n">
        <x:v>1</x:v>
      </x:c>
      <x:c r="W236" s="84" t="n">
        <x:f>IF(OR($O236="PASS",$O236="EXCEPTION APPROVED",$O236="NOT APPLICABLE"),$V236,0)</x:f>
        <x:v>0</x:v>
      </x:c>
      <x:c r="X236" s="84" t="n">
        <x:f>IF(AND($K236="Yes",OR($O236="FAIL",$O236="BLOCKED",$O236="NOT RUN",$O236="IN PROGRESS")),1,0)</x:f>
        <x:v>1</x:v>
      </x:c>
      <x:c r="Y236" s="32" t="str">
        <x:f>IF($O236="FAIL","FAIL",IF($O236="BLOCKED","BLOCKED",IF(AND($O236="EXCEPTION APPROVED",$K236="Yes"),"REVIEW",IF($O236="PASS","OK","PENDING"))))</x:f>
        <x:v>PENDING</x:v>
      </x:c>
    </x:row>
    <x:row r="237">
      <x:c r="A237" s="32" t="str">
        <x:v>H6-LEG-005</x:v>
      </x:c>
      <x:c r="B237" s="32" t="str">
        <x:v>Legal, créditos y licencias</x:v>
      </x:c>
      <x:c r="C237" s="32" t="str">
        <x:v>Control especializado</x:v>
      </x:c>
      <x:c r="D237" s="32" t="str">
        <x:v>No existen marcas, logos, nombres de producto o diseños protegidos no autorizados.</x:v>
      </x:c>
      <x:c r="E237" s="32" t="str">
        <x:v>Revisión legal de arte, UI y texto.</x:v>
      </x:c>
      <x:c r="F237" s="32" t="str">
        <x:v>Cumplimiento verificable sin desviaciones bloqueantes.</x:v>
      </x:c>
      <x:c r="G237" s="32" t="str">
        <x:v>IP clearance checklist.</x:v>
      </x:c>
      <x:c r="H237" s="32" t="str">
        <x:v>23_Legal_Credits_and_Licenses_Register.xlsx; 28_Marketing_and_Communication_Plan.md</x:v>
      </x:c>
      <x:c r="I237" s="32" t="str">
        <x:v>Legal/Credits/Licenses Register v0.3–v0.5; Marketing Plan v0.3–v0.5</x:v>
      </x:c>
      <x:c r="J237" s="32" t="str">
        <x:v>H6</x:v>
      </x:c>
      <x:c r="K237" s="32" t="str">
        <x:v>Yes</x:v>
      </x:c>
      <x:c r="L237" s="32" t="str">
        <x:v>P1</x:v>
      </x:c>
      <x:c r="M237" s="32" t="str">
        <x:v>Legal/Production</x:v>
      </x:c>
      <x:c r="N237" s="32" t="str">
        <x:v>Production/Security</x:v>
      </x:c>
      <x:c r="O237" s="32" t="str">
        <x:v>NOT RUN</x:v>
      </x:c>
      <x:c r="P237" s="32" t="str"/>
      <x:c r="Q237" s="32" t="str"/>
      <x:c r="R237" s="32" t="str"/>
      <x:c r="S237" s="32" t="str"/>
      <x:c r="T237" s="82" t="str"/>
      <x:c r="U237" s="32" t="str"/>
      <x:c r="V237" s="84" t="n">
        <x:v>1</x:v>
      </x:c>
      <x:c r="W237" s="84" t="n">
        <x:f>IF(OR($O237="PASS",$O237="EXCEPTION APPROVED",$O237="NOT APPLICABLE"),$V237,0)</x:f>
        <x:v>0</x:v>
      </x:c>
      <x:c r="X237" s="84" t="n">
        <x:f>IF(AND($K237="Yes",OR($O237="FAIL",$O237="BLOCKED",$O237="NOT RUN",$O237="IN PROGRESS")),1,0)</x:f>
        <x:v>1</x:v>
      </x:c>
      <x:c r="Y237" s="32" t="str">
        <x:f>IF($O237="FAIL","FAIL",IF($O237="BLOCKED","BLOCKED",IF(AND($O237="EXCEPTION APPROVED",$K237="Yes"),"REVIEW",IF($O237="PASS","OK","PENDING"))))</x:f>
        <x:v>PENDING</x:v>
      </x:c>
    </x:row>
    <x:row r="238">
      <x:c r="A238" s="32" t="str">
        <x:v>H6-LEG-006</x:v>
      </x:c>
      <x:c r="B238" s="32" t="str">
        <x:v>Legal, créditos y licencias</x:v>
      </x:c>
      <x:c r="C238" s="32" t="str">
        <x:v>Control especializado</x:v>
      </x:c>
      <x:c r="D238" s="32" t="str">
        <x:v>Los notices y atribuciones obligatorios están preparados para el paquete correspondiente.</x:v>
      </x:c>
      <x:c r="E238" s="32" t="str">
        <x:v>Generar notices desde registro de licencias.</x:v>
      </x:c>
      <x:c r="F238" s="32" t="str">
        <x:v>Cumplimiento verificable sin desviaciones bloqueantes.</x:v>
      </x:c>
      <x:c r="G238" s="32" t="str">
        <x:v>Third-party notices draft.</x:v>
      </x:c>
      <x:c r="H238" s="32" t="str">
        <x:v>23_Legal_Credits_and_Licenses_Register.xlsx; 28_Marketing_and_Communication_Plan.md</x:v>
      </x:c>
      <x:c r="I238" s="32" t="str">
        <x:v>Legal/Credits/Licenses Register v0.3–v0.5; Marketing Plan v0.3–v0.5</x:v>
      </x:c>
      <x:c r="J238" s="32" t="str">
        <x:v>H6</x:v>
      </x:c>
      <x:c r="K238" s="32" t="str">
        <x:v>Yes</x:v>
      </x:c>
      <x:c r="L238" s="32" t="str">
        <x:v>P1</x:v>
      </x:c>
      <x:c r="M238" s="32" t="str">
        <x:v>Legal/Production</x:v>
      </x:c>
      <x:c r="N238" s="32" t="str">
        <x:v>Production/Security</x:v>
      </x:c>
      <x:c r="O238" s="32" t="str">
        <x:v>NOT RUN</x:v>
      </x:c>
      <x:c r="P238" s="32" t="str"/>
      <x:c r="Q238" s="32" t="str"/>
      <x:c r="R238" s="32" t="str"/>
      <x:c r="S238" s="32" t="str"/>
      <x:c r="T238" s="82" t="str"/>
      <x:c r="U238" s="32" t="str"/>
      <x:c r="V238" s="84" t="n">
        <x:v>1</x:v>
      </x:c>
      <x:c r="W238" s="84" t="n">
        <x:f>IF(OR($O238="PASS",$O238="EXCEPTION APPROVED",$O238="NOT APPLICABLE"),$V238,0)</x:f>
        <x:v>0</x:v>
      </x:c>
      <x:c r="X238" s="84" t="n">
        <x:f>IF(AND($K238="Yes",OR($O238="FAIL",$O238="BLOCKED",$O238="NOT RUN",$O238="IN PROGRESS")),1,0)</x:f>
        <x:v>1</x:v>
      </x:c>
      <x:c r="Y238" s="32" t="str">
        <x:f>IF($O238="FAIL","FAIL",IF($O238="BLOCKED","BLOCKED",IF(AND($O238="EXCEPTION APPROVED",$K238="Yes"),"REVIEW",IF($O238="PASS","OK","PENDING"))))</x:f>
        <x:v>PENDING</x:v>
      </x:c>
    </x:row>
    <x:row r="239">
      <x:c r="A239" s="32" t="str">
        <x:v>H6-LEG-007</x:v>
      </x:c>
      <x:c r="B239" s="32" t="str">
        <x:v>Legal, créditos y licencias</x:v>
      </x:c>
      <x:c r="C239" s="32" t="str">
        <x:v>Control especializado</x:v>
      </x:c>
      <x:c r="D239" s="32" t="str">
        <x:v>Los créditos del equipo/proveedores respetan nombres autorizados y privacidad.</x:v>
      </x:c>
      <x:c r="E239" s="32" t="str">
        <x:v>Revisión de consentimientos y créditos.</x:v>
      </x:c>
      <x:c r="F239" s="32" t="str">
        <x:v>Cumplimiento verificable sin desviaciones bloqueantes.</x:v>
      </x:c>
      <x:c r="G239" s="32" t="str">
        <x:v>Credits approval.</x:v>
      </x:c>
      <x:c r="H239" s="32" t="str">
        <x:v>23_Legal_Credits_and_Licenses_Register.xlsx; 28_Marketing_and_Communication_Plan.md</x:v>
      </x:c>
      <x:c r="I239" s="32" t="str">
        <x:v>Legal/Credits/Licenses Register v0.3–v0.5; Marketing Plan v0.3–v0.5</x:v>
      </x:c>
      <x:c r="J239" s="32" t="str">
        <x:v>H6</x:v>
      </x:c>
      <x:c r="K239" s="32" t="str">
        <x:v>Yes</x:v>
      </x:c>
      <x:c r="L239" s="32" t="str">
        <x:v>P1</x:v>
      </x:c>
      <x:c r="M239" s="32" t="str">
        <x:v>Legal/Production</x:v>
      </x:c>
      <x:c r="N239" s="32" t="str">
        <x:v>Production/Security</x:v>
      </x:c>
      <x:c r="O239" s="32" t="str">
        <x:v>NOT RUN</x:v>
      </x:c>
      <x:c r="P239" s="32" t="str"/>
      <x:c r="Q239" s="32" t="str"/>
      <x:c r="R239" s="32" t="str"/>
      <x:c r="S239" s="32" t="str"/>
      <x:c r="T239" s="82" t="str"/>
      <x:c r="U239" s="32" t="str"/>
      <x:c r="V239" s="84" t="n">
        <x:v>1</x:v>
      </x:c>
      <x:c r="W239" s="84" t="n">
        <x:f>IF(OR($O239="PASS",$O239="EXCEPTION APPROVED",$O239="NOT APPLICABLE"),$V239,0)</x:f>
        <x:v>0</x:v>
      </x:c>
      <x:c r="X239" s="84" t="n">
        <x:f>IF(AND($K239="Yes",OR($O239="FAIL",$O239="BLOCKED",$O239="NOT RUN",$O239="IN PROGRESS")),1,0)</x:f>
        <x:v>1</x:v>
      </x:c>
      <x:c r="Y239" s="32" t="str">
        <x:f>IF($O239="FAIL","FAIL",IF($O239="BLOCKED","BLOCKED",IF(AND($O239="EXCEPTION APPROVED",$K239="Yes"),"REVIEW",IF($O239="PASS","OK","PENDING"))))</x:f>
        <x:v>PENDING</x:v>
      </x:c>
    </x:row>
    <x:row r="240">
      <x:c r="A240" s="32" t="str">
        <x:v>H6-LEG-008</x:v>
      </x:c>
      <x:c r="B240" s="32" t="str">
        <x:v>Legal, créditos y licencias</x:v>
      </x:c>
      <x:c r="C240" s="32" t="str">
        <x:v>Control especializado</x:v>
      </x:c>
      <x:c r="D240" s="32" t="str">
        <x:v>Las licencias de Unity/packages/SDK usados se han revisado para el uso previsto.</x:v>
      </x:c>
      <x:c r="E240" s="32" t="str">
        <x:v>Inventario de packages y términos aplicables.</x:v>
      </x:c>
      <x:c r="F240" s="32" t="str">
        <x:v>Cumplimiento verificable sin desviaciones bloqueantes.</x:v>
      </x:c>
      <x:c r="G240" s="32" t="str">
        <x:v>Package legal review.</x:v>
      </x:c>
      <x:c r="H240" s="32" t="str">
        <x:v>23_Legal_Credits_and_Licenses_Register.xlsx; 28_Marketing_and_Communication_Plan.md</x:v>
      </x:c>
      <x:c r="I240" s="32" t="str">
        <x:v>Legal/Credits/Licenses Register v0.3–v0.5; Marketing Plan v0.3–v0.5</x:v>
      </x:c>
      <x:c r="J240" s="32" t="str">
        <x:v>H6</x:v>
      </x:c>
      <x:c r="K240" s="32" t="str">
        <x:v>Yes</x:v>
      </x:c>
      <x:c r="L240" s="32" t="str">
        <x:v>P1</x:v>
      </x:c>
      <x:c r="M240" s="32" t="str">
        <x:v>Legal/Production</x:v>
      </x:c>
      <x:c r="N240" s="32" t="str">
        <x:v>Production/Security</x:v>
      </x:c>
      <x:c r="O240" s="32" t="str">
        <x:v>NOT RUN</x:v>
      </x:c>
      <x:c r="P240" s="32" t="str"/>
      <x:c r="Q240" s="32" t="str"/>
      <x:c r="R240" s="32" t="str"/>
      <x:c r="S240" s="32" t="str"/>
      <x:c r="T240" s="82" t="str"/>
      <x:c r="U240" s="32" t="str"/>
      <x:c r="V240" s="84" t="n">
        <x:v>1</x:v>
      </x:c>
      <x:c r="W240" s="84" t="n">
        <x:f>IF(OR($O240="PASS",$O240="EXCEPTION APPROVED",$O240="NOT APPLICABLE"),$V240,0)</x:f>
        <x:v>0</x:v>
      </x:c>
      <x:c r="X240" s="84" t="n">
        <x:f>IF(AND($K240="Yes",OR($O240="FAIL",$O240="BLOCKED",$O240="NOT RUN",$O240="IN PROGRESS")),1,0)</x:f>
        <x:v>1</x:v>
      </x:c>
      <x:c r="Y240" s="32" t="str">
        <x:f>IF($O240="FAIL","FAIL",IF($O240="BLOCKED","BLOCKED",IF(AND($O240="EXCEPTION APPROVED",$K240="Yes"),"REVIEW",IF($O240="PASS","OK","PENDING"))))</x:f>
        <x:v>PENDING</x:v>
      </x:c>
    </x:row>
    <x:row r="241">
      <x:c r="A241" s="32" t="str">
        <x:v>H6-LEG-009</x:v>
      </x:c>
      <x:c r="B241" s="32" t="str">
        <x:v>Legal, créditos y licencias</x:v>
      </x:c>
      <x:c r="C241" s="32" t="str">
        <x:v>Control especializado</x:v>
      </x:c>
      <x:c r="D241" s="32" t="str">
        <x:v>Las capturas, vídeos y evidencias H6 no incorporan contenido externo no autorizado.</x:v>
      </x:c>
      <x:c r="E241" s="32" t="str">
        <x:v>Revisión previa a compartir.</x:v>
      </x:c>
      <x:c r="F241" s="32" t="str">
        <x:v>Cumplimiento verificable sin desviaciones bloqueantes.</x:v>
      </x:c>
      <x:c r="G241" s="32" t="str">
        <x:v>Media clearance record.</x:v>
      </x:c>
      <x:c r="H241" s="32" t="str">
        <x:v>23_Legal_Credits_and_Licenses_Register.xlsx; 28_Marketing_and_Communication_Plan.md</x:v>
      </x:c>
      <x:c r="I241" s="32" t="str">
        <x:v>Legal/Credits/Licenses Register v0.3–v0.5; Marketing Plan v0.3–v0.5</x:v>
      </x:c>
      <x:c r="J241" s="32" t="str">
        <x:v>H6</x:v>
      </x:c>
      <x:c r="K241" s="32" t="str">
        <x:v>Yes</x:v>
      </x:c>
      <x:c r="L241" s="32" t="str">
        <x:v>P1</x:v>
      </x:c>
      <x:c r="M241" s="32" t="str">
        <x:v>Legal/Production</x:v>
      </x:c>
      <x:c r="N241" s="32" t="str">
        <x:v>Production/Security</x:v>
      </x:c>
      <x:c r="O241" s="32" t="str">
        <x:v>NOT RUN</x:v>
      </x:c>
      <x:c r="P241" s="32" t="str"/>
      <x:c r="Q241" s="32" t="str"/>
      <x:c r="R241" s="32" t="str"/>
      <x:c r="S241" s="32" t="str"/>
      <x:c r="T241" s="82" t="str"/>
      <x:c r="U241" s="32" t="str"/>
      <x:c r="V241" s="84" t="n">
        <x:v>1</x:v>
      </x:c>
      <x:c r="W241" s="84" t="n">
        <x:f>IF(OR($O241="PASS",$O241="EXCEPTION APPROVED",$O241="NOT APPLICABLE"),$V241,0)</x:f>
        <x:v>0</x:v>
      </x:c>
      <x:c r="X241" s="84" t="n">
        <x:f>IF(AND($K241="Yes",OR($O241="FAIL",$O241="BLOCKED",$O241="NOT RUN",$O241="IN PROGRESS")),1,0)</x:f>
        <x:v>1</x:v>
      </x:c>
      <x:c r="Y241" s="32" t="str">
        <x:f>IF($O241="FAIL","FAIL",IF($O241="BLOCKED","BLOCKED",IF(AND($O241="EXCEPTION APPROVED",$K241="Yes"),"REVIEW",IF($O241="PASS","OK","PENDING"))))</x:f>
        <x:v>PENDING</x:v>
      </x:c>
    </x:row>
    <x:row r="242">
      <x:c r="A242" s="32" t="str">
        <x:v>H6-LEG-010</x:v>
      </x:c>
      <x:c r="B242" s="32" t="str">
        <x:v>Legal, créditos y licencias</x:v>
      </x:c>
      <x:c r="C242" s="32" t="str">
        <x:v>Control especializado</x:v>
      </x:c>
      <x:c r="D242" s="32" t="str">
        <x:v>Los documentos legales históricos no se tratan como prueba suficiente cuando falta el registro vigente.</x:v>
      </x:c>
      <x:c r="E242" s="32" t="str">
        <x:v>Comparar versiones y estado de 23.</x:v>
      </x:c>
      <x:c r="F242" s="32" t="str">
        <x:v>Cumplimiento verificable sin desviaciones bloqueantes.</x:v>
      </x:c>
      <x:c r="G242" s="32" t="str">
        <x:v>Legal baseline reconciliation.</x:v>
      </x:c>
      <x:c r="H242" s="32" t="str">
        <x:v>23_Legal_Credits_and_Licenses_Register.xlsx; 28_Marketing_and_Communication_Plan.md</x:v>
      </x:c>
      <x:c r="I242" s="32" t="str">
        <x:v>Legal/Credits/Licenses Register v0.3–v0.5; Marketing Plan v0.3–v0.5</x:v>
      </x:c>
      <x:c r="J242" s="32" t="str">
        <x:v>H6</x:v>
      </x:c>
      <x:c r="K242" s="32" t="str">
        <x:v>Yes</x:v>
      </x:c>
      <x:c r="L242" s="32" t="str">
        <x:v>P1</x:v>
      </x:c>
      <x:c r="M242" s="32" t="str">
        <x:v>Legal/Production</x:v>
      </x:c>
      <x:c r="N242" s="32" t="str">
        <x:v>Production/Security</x:v>
      </x:c>
      <x:c r="O242" s="32" t="str">
        <x:v>NOT RUN</x:v>
      </x:c>
      <x:c r="P242" s="32" t="str"/>
      <x:c r="Q242" s="32" t="str"/>
      <x:c r="R242" s="32" t="str"/>
      <x:c r="S242" s="32" t="str"/>
      <x:c r="T242" s="82" t="str"/>
      <x:c r="U242" s="32" t="str"/>
      <x:c r="V242" s="84" t="n">
        <x:v>1</x:v>
      </x:c>
      <x:c r="W242" s="84" t="n">
        <x:f>IF(OR($O242="PASS",$O242="EXCEPTION APPROVED",$O242="NOT APPLICABLE"),$V242,0)</x:f>
        <x:v>0</x:v>
      </x:c>
      <x:c r="X242" s="84" t="n">
        <x:f>IF(AND($K242="Yes",OR($O242="FAIL",$O242="BLOCKED",$O242="NOT RUN",$O242="IN PROGRESS")),1,0)</x:f>
        <x:v>1</x:v>
      </x:c>
      <x:c r="Y242" s="32" t="str">
        <x:f>IF($O242="FAIL","FAIL",IF($O242="BLOCKED","BLOCKED",IF(AND($O242="EXCEPTION APPROVED",$K242="Yes"),"REVIEW",IF($O242="PASS","OK","PENDING"))))</x:f>
        <x:v>PENDING</x:v>
      </x:c>
    </x:row>
    <x:row r="243">
      <x:c r="A243" s="32" t="str">
        <x:v>H6-LEG-011</x:v>
      </x:c>
      <x:c r="B243" s="32" t="str">
        <x:v>Legal, créditos y licencias</x:v>
      </x:c>
      <x:c r="C243" s="32" t="str">
        <x:v>Control especializado</x:v>
      </x:c>
      <x:c r="D243" s="32" t="str">
        <x:v>Cualquier excepción de licencia bloqueante impide empaquetar la candidata hasta resolver o retirar el asset.</x:v>
      </x:c>
      <x:c r="E243" s="32" t="str">
        <x:v>Filtrar registro por BLOCKING/UNKNOWN.</x:v>
      </x:c>
      <x:c r="F243" s="32" t="str">
        <x:v>Cumplimiento verificable sin desviaciones bloqueantes.</x:v>
      </x:c>
      <x:c r="G243" s="32" t="str">
        <x:v>Zero blocking licenses report.</x:v>
      </x:c>
      <x:c r="H243" s="32" t="str">
        <x:v>23_Legal_Credits_and_Licenses_Register.xlsx; 28_Marketing_and_Communication_Plan.md</x:v>
      </x:c>
      <x:c r="I243" s="32" t="str">
        <x:v>Legal/Credits/Licenses Register v0.3–v0.5; Marketing Plan v0.3–v0.5</x:v>
      </x:c>
      <x:c r="J243" s="32" t="str">
        <x:v>H6</x:v>
      </x:c>
      <x:c r="K243" s="32" t="str">
        <x:v>Yes</x:v>
      </x:c>
      <x:c r="L243" s="32" t="str">
        <x:v>P0</x:v>
      </x:c>
      <x:c r="M243" s="32" t="str">
        <x:v>Legal/Production</x:v>
      </x:c>
      <x:c r="N243" s="32" t="str">
        <x:v>Production/Security</x:v>
      </x:c>
      <x:c r="O243" s="32" t="str">
        <x:v>NOT RUN</x:v>
      </x:c>
      <x:c r="P243" s="32" t="str"/>
      <x:c r="Q243" s="32" t="str"/>
      <x:c r="R243" s="32" t="str"/>
      <x:c r="S243" s="32" t="str"/>
      <x:c r="T243" s="82" t="str"/>
      <x:c r="U243" s="32" t="str"/>
      <x:c r="V243" s="84" t="n">
        <x:v>1</x:v>
      </x:c>
      <x:c r="W243" s="84" t="n">
        <x:f>IF(OR($O243="PASS",$O243="EXCEPTION APPROVED",$O243="NOT APPLICABLE"),$V243,0)</x:f>
        <x:v>0</x:v>
      </x:c>
      <x:c r="X243" s="84" t="n">
        <x:f>IF(AND($K243="Yes",OR($O243="FAIL",$O243="BLOCKED",$O243="NOT RUN",$O243="IN PROGRESS")),1,0)</x:f>
        <x:v>1</x:v>
      </x:c>
      <x:c r="Y243" s="32" t="str">
        <x:f>IF($O243="FAIL","FAIL",IF($O243="BLOCKED","BLOCKED",IF(AND($O243="EXCEPTION APPROVED",$K243="Yes"),"REVIEW",IF($O243="PASS","OK","PENDING"))))</x:f>
        <x:v>PENDING</x:v>
      </x:c>
    </x:row>
    <x:row r="244">
      <x:c r="A244" s="32" t="str">
        <x:v>H6-LEG-012</x:v>
      </x:c>
      <x:c r="B244" s="32" t="str">
        <x:v>Legal, créditos y licencias</x:v>
      </x:c>
      <x:c r="C244" s="32" t="str">
        <x:v>Control especializado</x:v>
      </x:c>
      <x:c r="D244" s="32" t="str">
        <x:v>La distribución H6 se limita al público autorizado y no se presenta como demo pública.</x:v>
      </x:c>
      <x:c r="E244" s="32" t="str">
        <x:v>Revisar canal, destinatarios y copy.</x:v>
      </x:c>
      <x:c r="F244" s="32" t="str">
        <x:v>Cumplimiento verificable sin desviaciones bloqueantes.</x:v>
      </x:c>
      <x:c r="G244" s="32" t="str">
        <x:v>Distribution authorization.</x:v>
      </x:c>
      <x:c r="H244" s="32" t="str">
        <x:v>23_Legal_Credits_and_Licenses_Register.xlsx; 28_Marketing_and_Communication_Plan.md</x:v>
      </x:c>
      <x:c r="I244" s="32" t="str">
        <x:v>Legal/Credits/Licenses Register v0.3–v0.5; Marketing Plan v0.3–v0.5</x:v>
      </x:c>
      <x:c r="J244" s="32" t="str">
        <x:v>H6</x:v>
      </x:c>
      <x:c r="K244" s="32" t="str">
        <x:v>Yes</x:v>
      </x:c>
      <x:c r="L244" s="32" t="str">
        <x:v>P1</x:v>
      </x:c>
      <x:c r="M244" s="32" t="str">
        <x:v>Legal/Production</x:v>
      </x:c>
      <x:c r="N244" s="32" t="str">
        <x:v>Production/Security</x:v>
      </x:c>
      <x:c r="O244" s="32" t="str">
        <x:v>NOT RUN</x:v>
      </x:c>
      <x:c r="P244" s="32" t="str"/>
      <x:c r="Q244" s="32" t="str"/>
      <x:c r="R244" s="32" t="str"/>
      <x:c r="S244" s="32" t="str"/>
      <x:c r="T244" s="82" t="str"/>
      <x:c r="U244" s="32" t="str"/>
      <x:c r="V244" s="84" t="n">
        <x:v>1</x:v>
      </x:c>
      <x:c r="W244" s="84" t="n">
        <x:f>IF(OR($O244="PASS",$O244="EXCEPTION APPROVED",$O244="NOT APPLICABLE"),$V244,0)</x:f>
        <x:v>0</x:v>
      </x:c>
      <x:c r="X244" s="84" t="n">
        <x:f>IF(AND($K244="Yes",OR($O244="FAIL",$O244="BLOCKED",$O244="NOT RUN",$O244="IN PROGRESS")),1,0)</x:f>
        <x:v>1</x:v>
      </x:c>
      <x:c r="Y244" s="32" t="str">
        <x:f>IF($O244="FAIL","FAIL",IF($O244="BLOCKED","BLOCKED",IF(AND($O244="EXCEPTION APPROVED",$K244="Yes"),"REVIEW",IF($O244="PASS","OK","PENDING"))))</x:f>
        <x:v>PENDING</x:v>
      </x:c>
    </x:row>
    <x:row r="245">
      <x:c r="A245" s="32" t="str">
        <x:v>H6-DOC-001</x:v>
      </x:c>
      <x:c r="B245" s="32" t="str">
        <x:v>Documentación y trazabilidad</x:v>
      </x:c>
      <x:c r="C245" s="32" t="str">
        <x:v>Control especializado</x:v>
      </x:c>
      <x:c r="D245" s="32" t="str">
        <x:v>Los documentos 00–34 están inventariados con nombre, versión, estado, autoridad y relación correctos.</x:v>
      </x:c>
      <x:c r="E245" s="32" t="str">
        <x:v>Comparar carpeta candidata con 13, 14, 15, 31, 32, 33 y 34.</x:v>
      </x:c>
      <x:c r="F245" s="32" t="str">
        <x:v>Cumplimiento verificable sin desviaciones bloqueantes.</x:v>
      </x:c>
      <x:c r="G245" s="32" t="str">
        <x:v>Inventario documental 00–34 y estado de consolidación.</x:v>
      </x:c>
      <x:c r="H245" s="32" t="str">
        <x:v>12_Excel_Maestro_de_Produccion.xlsx; 13_Trazabilidad_y_Control_de_Cambios.xlsx; 14_Project_Binder_Indice_Maestro.md; 15_Guia_Maestra.md; 16_Auditoria_Global_de_Coherencia.md; 31_H6_and_Release_Readiness_Checklist.xlsx; 32_Documentation_Baseline_Manifest.xlsx; 33_Project_Risk_Register_and_Business_Continuity_Plan.xlsx; 34_Final_Handoff_and_Project_Operations_Manual.md</x:v>
      </x:c>
      <x:c r="I245" s="32" t="str">
        <x:v>Project Binder, guides, manifests, validation reports, risk registers and handoffs v0.3–v0.6; sprint closure ledgers</x:v>
      </x:c>
      <x:c r="J245" s="32" t="str">
        <x:v>H6</x:v>
      </x:c>
      <x:c r="K245" s="32" t="str">
        <x:v>Yes</x:v>
      </x:c>
      <x:c r="L245" s="32" t="str">
        <x:v>P1</x:v>
      </x:c>
      <x:c r="M245" s="32" t="str">
        <x:v>Documentation/Production</x:v>
      </x:c>
      <x:c r="N245" s="32" t="str">
        <x:v>QA/Production</x:v>
      </x:c>
      <x:c r="O245" s="32" t="str">
        <x:v>NOT RUN</x:v>
      </x:c>
      <x:c r="P245" s="32" t="str"/>
      <x:c r="Q245" s="32" t="str"/>
      <x:c r="R245" s="32" t="str"/>
      <x:c r="S245" s="32" t="str"/>
      <x:c r="T245" s="82" t="str"/>
      <x:c r="U245" s="32" t="str"/>
      <x:c r="V245" s="84" t="n">
        <x:v>1</x:v>
      </x:c>
      <x:c r="W245" s="84" t="n">
        <x:f>IF(OR($O245="PASS",$O245="EXCEPTION APPROVED",$O245="NOT APPLICABLE"),$V245,0)</x:f>
        <x:v>0</x:v>
      </x:c>
      <x:c r="X245" s="84" t="n">
        <x:f>IF(AND($K245="Yes",OR($O245="FAIL",$O245="BLOCKED",$O245="NOT RUN",$O245="IN PROGRESS")),1,0)</x:f>
        <x:v>1</x:v>
      </x:c>
      <x:c r="Y245" s="32" t="str">
        <x:f>IF($O245="FAIL","FAIL",IF($O245="BLOCKED","BLOCKED",IF(AND($O245="EXCEPTION APPROVED",$K245="Yes"),"REVIEW",IF($O245="PASS","OK","PENDING"))))</x:f>
        <x:v>PENDING</x:v>
      </x:c>
    </x:row>
    <x:row r="246">
      <x:c r="A246" s="32" t="str">
        <x:v>H6-DOC-002</x:v>
      </x:c>
      <x:c r="B246" s="32" t="str">
        <x:v>Documentación y trazabilidad</x:v>
      </x:c>
      <x:c r="C246" s="32" t="str">
        <x:v>Control especializado</x:v>
      </x:c>
      <x:c r="D246" s="32" t="str">
        <x:v>Los requisitos H6 están vinculados a pruebas, evidencias, defectos y builds mediante IDs estables.</x:v>
      </x:c>
      <x:c r="E246" s="32" t="str">
        <x:v>Auditar muestras y cobertura.</x:v>
      </x:c>
      <x:c r="F246" s="32" t="str">
        <x:v>Cumplimiento verificable sin desviaciones bloqueantes.</x:v>
      </x:c>
      <x:c r="G246" s="32" t="str">
        <x:v>Traceability coverage report.</x:v>
      </x:c>
      <x:c r="H246" s="32" t="str">
        <x:v>12_Excel_Maestro_de_Produccion.xlsx; 13_Trazabilidad_y_Control_de_Cambios.xlsx; 14_Project_Binder_Indice_Maestro.md; 15_Guia_Maestra.md; 16_Auditoria_Global_de_Coherencia.md; 31_H6_and_Release_Readiness_Checklist.xlsx; 32_Documentation_Baseline_Manifest.xlsx; 33_Project_Risk_Register_and_Business_Continuity_Plan.xlsx; 34_Final_Handoff_and_Project_Operations_Manual.md</x:v>
      </x:c>
      <x:c r="I246" s="32" t="str">
        <x:v>Project Binder, guides, manifests, validation reports, risk registers and handoffs v0.3–v0.6; sprint closure ledgers</x:v>
      </x:c>
      <x:c r="J246" s="32" t="str">
        <x:v>H6</x:v>
      </x:c>
      <x:c r="K246" s="32" t="str">
        <x:v>Yes</x:v>
      </x:c>
      <x:c r="L246" s="32" t="str">
        <x:v>P0</x:v>
      </x:c>
      <x:c r="M246" s="32" t="str">
        <x:v>Documentation/Production</x:v>
      </x:c>
      <x:c r="N246" s="32" t="str">
        <x:v>QA/Production</x:v>
      </x:c>
      <x:c r="O246" s="32" t="str">
        <x:v>NOT RUN</x:v>
      </x:c>
      <x:c r="P246" s="32" t="str"/>
      <x:c r="Q246" s="32" t="str"/>
      <x:c r="R246" s="32" t="str"/>
      <x:c r="S246" s="32" t="str"/>
      <x:c r="T246" s="82" t="str"/>
      <x:c r="U246" s="32" t="str"/>
      <x:c r="V246" s="84" t="n">
        <x:v>1</x:v>
      </x:c>
      <x:c r="W246" s="84" t="n">
        <x:f>IF(OR($O246="PASS",$O246="EXCEPTION APPROVED",$O246="NOT APPLICABLE"),$V246,0)</x:f>
        <x:v>0</x:v>
      </x:c>
      <x:c r="X246" s="84" t="n">
        <x:f>IF(AND($K246="Yes",OR($O246="FAIL",$O246="BLOCKED",$O246="NOT RUN",$O246="IN PROGRESS")),1,0)</x:f>
        <x:v>1</x:v>
      </x:c>
      <x:c r="Y246" s="32" t="str">
        <x:f>IF($O246="FAIL","FAIL",IF($O246="BLOCKED","BLOCKED",IF(AND($O246="EXCEPTION APPROVED",$K246="Yes"),"REVIEW",IF($O246="PASS","OK","PENDING"))))</x:f>
        <x:v>PENDING</x:v>
      </x:c>
    </x:row>
    <x:row r="247">
      <x:c r="A247" s="32" t="str">
        <x:v>H6-DOC-003</x:v>
      </x:c>
      <x:c r="B247" s="32" t="str">
        <x:v>Documentación y trazabilidad</x:v>
      </x:c>
      <x:c r="C247" s="32" t="str">
        <x:v>Control especializado</x:v>
      </x:c>
      <x:c r="D247" s="32" t="str">
        <x:v>Los hashes o campos pendientes no producen PASS automático en dashboards.</x:v>
      </x:c>
      <x:c r="E247" s="32" t="str">
        <x:v>Probar fórmulas con campos vacíos.</x:v>
      </x:c>
      <x:c r="F247" s="32" t="str">
        <x:v>Cumplimiento verificable sin desviaciones bloqueantes.</x:v>
      </x:c>
      <x:c r="G247" s="32" t="str">
        <x:v>Spreadsheet formula audit.</x:v>
      </x:c>
      <x:c r="H247" s="32" t="str">
        <x:v>12_Excel_Maestro_de_Produccion.xlsx; 13_Trazabilidad_y_Control_de_Cambios.xlsx; 14_Project_Binder_Indice_Maestro.md; 15_Guia_Maestra.md; 16_Auditoria_Global_de_Coherencia.md; 31_H6_and_Release_Readiness_Checklist.xlsx; 32_Documentation_Baseline_Manifest.xlsx; 33_Project_Risk_Register_and_Business_Continuity_Plan.xlsx; 34_Final_Handoff_and_Project_Operations_Manual.md</x:v>
      </x:c>
      <x:c r="I247" s="32" t="str">
        <x:v>Project Binder, guides, manifests, validation reports, risk registers and handoffs v0.3–v0.6; sprint closure ledgers</x:v>
      </x:c>
      <x:c r="J247" s="32" t="str">
        <x:v>H6</x:v>
      </x:c>
      <x:c r="K247" s="32" t="str">
        <x:v>Yes</x:v>
      </x:c>
      <x:c r="L247" s="32" t="str">
        <x:v>P1</x:v>
      </x:c>
      <x:c r="M247" s="32" t="str">
        <x:v>Documentation/Production</x:v>
      </x:c>
      <x:c r="N247" s="32" t="str">
        <x:v>QA/Production</x:v>
      </x:c>
      <x:c r="O247" s="32" t="str">
        <x:v>NOT RUN</x:v>
      </x:c>
      <x:c r="P247" s="32" t="str"/>
      <x:c r="Q247" s="32" t="str"/>
      <x:c r="R247" s="32" t="str"/>
      <x:c r="S247" s="32" t="str"/>
      <x:c r="T247" s="82" t="str"/>
      <x:c r="U247" s="32" t="str"/>
      <x:c r="V247" s="84" t="n">
        <x:v>1</x:v>
      </x:c>
      <x:c r="W247" s="84" t="n">
        <x:f>IF(OR($O247="PASS",$O247="EXCEPTION APPROVED",$O247="NOT APPLICABLE"),$V247,0)</x:f>
        <x:v>0</x:v>
      </x:c>
      <x:c r="X247" s="84" t="n">
        <x:f>IF(AND($K247="Yes",OR($O247="FAIL",$O247="BLOCKED",$O247="NOT RUN",$O247="IN PROGRESS")),1,0)</x:f>
        <x:v>1</x:v>
      </x:c>
      <x:c r="Y247" s="32" t="str">
        <x:f>IF($O247="FAIL","FAIL",IF($O247="BLOCKED","BLOCKED",IF(AND($O247="EXCEPTION APPROVED",$K247="Yes"),"REVIEW",IF($O247="PASS","OK","PENDING"))))</x:f>
        <x:v>PENDING</x:v>
      </x:c>
    </x:row>
    <x:row r="248">
      <x:c r="A248" s="32" t="str">
        <x:v>H6-DOC-004</x:v>
      </x:c>
      <x:c r="B248" s="32" t="str">
        <x:v>Documentación y trazabilidad</x:v>
      </x:c>
      <x:c r="C248" s="32" t="str">
        <x:v>Control especializado</x:v>
      </x:c>
      <x:c r="D248" s="32" t="str">
        <x:v>Los conteos de requisitos, casos, aserciones y controles indican su unidad.</x:v>
      </x:c>
      <x:c r="E248" s="32" t="str">
        <x:v>Revisar 08, 12, 13, 31 e informes.</x:v>
      </x:c>
      <x:c r="F248" s="32" t="str">
        <x:v>Cumplimiento verificable sin desviaciones bloqueantes.</x:v>
      </x:c>
      <x:c r="G248" s="32" t="str">
        <x:v>Metrics taxonomy review.</x:v>
      </x:c>
      <x:c r="H248" s="32" t="str">
        <x:v>12_Excel_Maestro_de_Produccion.xlsx; 13_Trazabilidad_y_Control_de_Cambios.xlsx; 14_Project_Binder_Indice_Maestro.md; 15_Guia_Maestra.md; 16_Auditoria_Global_de_Coherencia.md; 31_H6_and_Release_Readiness_Checklist.xlsx; 32_Documentation_Baseline_Manifest.xlsx; 33_Project_Risk_Register_and_Business_Continuity_Plan.xlsx; 34_Final_Handoff_and_Project_Operations_Manual.md</x:v>
      </x:c>
      <x:c r="I248" s="32" t="str">
        <x:v>Project Binder, guides, manifests, validation reports, risk registers and handoffs v0.3–v0.6; sprint closure ledgers</x:v>
      </x:c>
      <x:c r="J248" s="32" t="str">
        <x:v>H6</x:v>
      </x:c>
      <x:c r="K248" s="32" t="str">
        <x:v>Yes</x:v>
      </x:c>
      <x:c r="L248" s="32" t="str">
        <x:v>P1</x:v>
      </x:c>
      <x:c r="M248" s="32" t="str">
        <x:v>Documentation/Production</x:v>
      </x:c>
      <x:c r="N248" s="32" t="str">
        <x:v>QA/Production</x:v>
      </x:c>
      <x:c r="O248" s="32" t="str">
        <x:v>NOT RUN</x:v>
      </x:c>
      <x:c r="P248" s="32" t="str"/>
      <x:c r="Q248" s="32" t="str"/>
      <x:c r="R248" s="32" t="str"/>
      <x:c r="S248" s="32" t="str"/>
      <x:c r="T248" s="82" t="str"/>
      <x:c r="U248" s="32" t="str"/>
      <x:c r="V248" s="84" t="n">
        <x:v>1</x:v>
      </x:c>
      <x:c r="W248" s="84" t="n">
        <x:f>IF(OR($O248="PASS",$O248="EXCEPTION APPROVED",$O248="NOT APPLICABLE"),$V248,0)</x:f>
        <x:v>0</x:v>
      </x:c>
      <x:c r="X248" s="84" t="n">
        <x:f>IF(AND($K248="Yes",OR($O248="FAIL",$O248="BLOCKED",$O248="NOT RUN",$O248="IN PROGRESS")),1,0)</x:f>
        <x:v>1</x:v>
      </x:c>
      <x:c r="Y248" s="32" t="str">
        <x:f>IF($O248="FAIL","FAIL",IF($O248="BLOCKED","BLOCKED",IF(AND($O248="EXCEPTION APPROVED",$K248="Yes"),"REVIEW",IF($O248="PASS","OK","PENDING"))))</x:f>
        <x:v>PENDING</x:v>
      </x:c>
    </x:row>
    <x:row r="249">
      <x:c r="A249" s="32" t="str">
        <x:v>H6-DOC-005</x:v>
      </x:c>
      <x:c r="B249" s="32" t="str">
        <x:v>Documentación y trazabilidad</x:v>
      </x:c>
      <x:c r="C249" s="32" t="str">
        <x:v>Control especializado</x:v>
      </x:c>
      <x:c r="D249" s="32" t="str">
        <x:v>Las referencias de baseline/versiones no apuntan de forma engañosa a v0.6 cuando el documento es consolidado.</x:v>
      </x:c>
      <x:c r="E249" s="32" t="str">
        <x:v>Escaneo de metadata y referencias.</x:v>
      </x:c>
      <x:c r="F249" s="32" t="str">
        <x:v>Cumplimiento verificable sin desviaciones bloqueantes.</x:v>
      </x:c>
      <x:c r="G249" s="32" t="str">
        <x:v>Metadata audit.</x:v>
      </x:c>
      <x:c r="H249" s="32" t="str">
        <x:v>12_Excel_Maestro_de_Produccion.xlsx; 13_Trazabilidad_y_Control_de_Cambios.xlsx; 14_Project_Binder_Indice_Maestro.md; 15_Guia_Maestra.md; 16_Auditoria_Global_de_Coherencia.md; 31_H6_and_Release_Readiness_Checklist.xlsx; 32_Documentation_Baseline_Manifest.xlsx; 33_Project_Risk_Register_and_Business_Continuity_Plan.xlsx; 34_Final_Handoff_and_Project_Operations_Manual.md</x:v>
      </x:c>
      <x:c r="I249" s="32" t="str">
        <x:v>Project Binder, guides, manifests, validation reports, risk registers and handoffs v0.3–v0.6; sprint closure ledgers</x:v>
      </x:c>
      <x:c r="J249" s="32" t="str">
        <x:v>H6</x:v>
      </x:c>
      <x:c r="K249" s="32" t="str">
        <x:v>Yes</x:v>
      </x:c>
      <x:c r="L249" s="32" t="str">
        <x:v>P1</x:v>
      </x:c>
      <x:c r="M249" s="32" t="str">
        <x:v>Documentation/Production</x:v>
      </x:c>
      <x:c r="N249" s="32" t="str">
        <x:v>QA/Production</x:v>
      </x:c>
      <x:c r="O249" s="32" t="str">
        <x:v>NOT RUN</x:v>
      </x:c>
      <x:c r="P249" s="32" t="str"/>
      <x:c r="Q249" s="32" t="str"/>
      <x:c r="R249" s="32" t="str"/>
      <x:c r="S249" s="32" t="str"/>
      <x:c r="T249" s="82" t="str"/>
      <x:c r="U249" s="32" t="str"/>
      <x:c r="V249" s="84" t="n">
        <x:v>1</x:v>
      </x:c>
      <x:c r="W249" s="84" t="n">
        <x:f>IF(OR($O249="PASS",$O249="EXCEPTION APPROVED",$O249="NOT APPLICABLE"),$V249,0)</x:f>
        <x:v>0</x:v>
      </x:c>
      <x:c r="X249" s="84" t="n">
        <x:f>IF(AND($K249="Yes",OR($O249="FAIL",$O249="BLOCKED",$O249="NOT RUN",$O249="IN PROGRESS")),1,0)</x:f>
        <x:v>1</x:v>
      </x:c>
      <x:c r="Y249" s="32" t="str">
        <x:f>IF($O249="FAIL","FAIL",IF($O249="BLOCKED","BLOCKED",IF(AND($O249="EXCEPTION APPROVED",$K249="Yes"),"REVIEW",IF($O249="PASS","OK","PENDING"))))</x:f>
        <x:v>PENDING</x:v>
      </x:c>
    </x:row>
    <x:row r="250">
      <x:c r="A250" s="32" t="str">
        <x:v>H6-DOC-006</x:v>
      </x:c>
      <x:c r="B250" s="32" t="str">
        <x:v>Documentación y trazabilidad</x:v>
      </x:c>
      <x:c r="C250" s="32" t="str">
        <x:v>Control especializado</x:v>
      </x:c>
      <x:c r="D250" s="32" t="str">
        <x:v>Los hallazgos A1/A2 relevantes para H6 están cerrados o transferidos con decisión explícita.</x:v>
      </x:c>
      <x:c r="E250" s="32" t="str">
        <x:v>Revisar hoja de defectos/excepciones y auditoría 16.</x:v>
      </x:c>
      <x:c r="F250" s="32" t="str">
        <x:v>Cumplimiento verificable sin desviaciones bloqueantes.</x:v>
      </x:c>
      <x:c r="G250" s="32" t="str">
        <x:v>Audit finding closure report.</x:v>
      </x:c>
      <x:c r="H250" s="32" t="str">
        <x:v>12_Excel_Maestro_de_Produccion.xlsx; 13_Trazabilidad_y_Control_de_Cambios.xlsx; 14_Project_Binder_Indice_Maestro.md; 15_Guia_Maestra.md; 16_Auditoria_Global_de_Coherencia.md; 31_H6_and_Release_Readiness_Checklist.xlsx; 32_Documentation_Baseline_Manifest.xlsx; 33_Project_Risk_Register_and_Business_Continuity_Plan.xlsx; 34_Final_Handoff_and_Project_Operations_Manual.md</x:v>
      </x:c>
      <x:c r="I250" s="32" t="str">
        <x:v>Project Binder, guides, manifests, validation reports, risk registers and handoffs v0.3–v0.6; sprint closure ledgers</x:v>
      </x:c>
      <x:c r="J250" s="32" t="str">
        <x:v>H6</x:v>
      </x:c>
      <x:c r="K250" s="32" t="str">
        <x:v>Yes</x:v>
      </x:c>
      <x:c r="L250" s="32" t="str">
        <x:v>P1</x:v>
      </x:c>
      <x:c r="M250" s="32" t="str">
        <x:v>Documentation/Production</x:v>
      </x:c>
      <x:c r="N250" s="32" t="str">
        <x:v>QA/Production</x:v>
      </x:c>
      <x:c r="O250" s="32" t="str">
        <x:v>NOT RUN</x:v>
      </x:c>
      <x:c r="P250" s="32" t="str"/>
      <x:c r="Q250" s="32" t="str"/>
      <x:c r="R250" s="32" t="str"/>
      <x:c r="S250" s="32" t="str"/>
      <x:c r="T250" s="82" t="str"/>
      <x:c r="U250" s="32" t="str"/>
      <x:c r="V250" s="84" t="n">
        <x:v>1</x:v>
      </x:c>
      <x:c r="W250" s="84" t="n">
        <x:f>IF(OR($O250="PASS",$O250="EXCEPTION APPROVED",$O250="NOT APPLICABLE"),$V250,0)</x:f>
        <x:v>0</x:v>
      </x:c>
      <x:c r="X250" s="84" t="n">
        <x:f>IF(AND($K250="Yes",OR($O250="FAIL",$O250="BLOCKED",$O250="NOT RUN",$O250="IN PROGRESS")),1,0)</x:f>
        <x:v>1</x:v>
      </x:c>
      <x:c r="Y250" s="32" t="str">
        <x:f>IF($O250="FAIL","FAIL",IF($O250="BLOCKED","BLOCKED",IF(AND($O250="EXCEPTION APPROVED",$K250="Yes"),"REVIEW",IF($O250="PASS","OK","PENDING"))))</x:f>
        <x:v>PENDING</x:v>
      </x:c>
    </x:row>
    <x:row r="251">
      <x:c r="A251" s="32" t="str">
        <x:v>H6-DOC-007</x:v>
      </x:c>
      <x:c r="B251" s="32" t="str">
        <x:v>Documentación y trazabilidad</x:v>
      </x:c>
      <x:c r="C251" s="32" t="str">
        <x:v>Control especializado</x:v>
      </x:c>
      <x:c r="D251" s="32" t="str">
        <x:v>El paquete de evidencias sigue la estructura definida por 02 y contiene todos los archivos obligatorios.</x:v>
      </x:c>
      <x:c r="E251" s="32" t="str">
        <x:v>Validar carpetas y manifest.</x:v>
      </x:c>
      <x:c r="F251" s="32" t="str">
        <x:v>Cumplimiento verificable sin desviaciones bloqueantes.</x:v>
      </x:c>
      <x:c r="G251" s="32" t="str">
        <x:v>Evidence package validation.</x:v>
      </x:c>
      <x:c r="H251" s="32" t="str">
        <x:v>12_Excel_Maestro_de_Produccion.xlsx; 13_Trazabilidad_y_Control_de_Cambios.xlsx; 14_Project_Binder_Indice_Maestro.md; 15_Guia_Maestra.md; 16_Auditoria_Global_de_Coherencia.md; 31_H6_and_Release_Readiness_Checklist.xlsx; 32_Documentation_Baseline_Manifest.xlsx; 33_Project_Risk_Register_and_Business_Continuity_Plan.xlsx; 34_Final_Handoff_and_Project_Operations_Manual.md</x:v>
      </x:c>
      <x:c r="I251" s="32" t="str">
        <x:v>Project Binder, guides, manifests, validation reports, risk registers and handoffs v0.3–v0.6; sprint closure ledgers</x:v>
      </x:c>
      <x:c r="J251" s="32" t="str">
        <x:v>H6</x:v>
      </x:c>
      <x:c r="K251" s="32" t="str">
        <x:v>Yes</x:v>
      </x:c>
      <x:c r="L251" s="32" t="str">
        <x:v>P1</x:v>
      </x:c>
      <x:c r="M251" s="32" t="str">
        <x:v>Documentation/Production</x:v>
      </x:c>
      <x:c r="N251" s="32" t="str">
        <x:v>QA/Production</x:v>
      </x:c>
      <x:c r="O251" s="32" t="str">
        <x:v>NOT RUN</x:v>
      </x:c>
      <x:c r="P251" s="32" t="str"/>
      <x:c r="Q251" s="32" t="str"/>
      <x:c r="R251" s="32" t="str"/>
      <x:c r="S251" s="32" t="str"/>
      <x:c r="T251" s="82" t="str"/>
      <x:c r="U251" s="32" t="str"/>
      <x:c r="V251" s="84" t="n">
        <x:v>1</x:v>
      </x:c>
      <x:c r="W251" s="84" t="n">
        <x:f>IF(OR($O251="PASS",$O251="EXCEPTION APPROVED",$O251="NOT APPLICABLE"),$V251,0)</x:f>
        <x:v>0</x:v>
      </x:c>
      <x:c r="X251" s="84" t="n">
        <x:f>IF(AND($K251="Yes",OR($O251="FAIL",$O251="BLOCKED",$O251="NOT RUN",$O251="IN PROGRESS")),1,0)</x:f>
        <x:v>1</x:v>
      </x:c>
      <x:c r="Y251" s="32" t="str">
        <x:f>IF($O251="FAIL","FAIL",IF($O251="BLOCKED","BLOCKED",IF(AND($O251="EXCEPTION APPROVED",$K251="Yes"),"REVIEW",IF($O251="PASS","OK","PENDING"))))</x:f>
        <x:v>PENDING</x:v>
      </x:c>
    </x:row>
    <x:row r="252">
      <x:c r="A252" s="32" t="str">
        <x:v>H6-DOC-008</x:v>
      </x:c>
      <x:c r="B252" s="32" t="str">
        <x:v>Documentación y trazabilidad</x:v>
      </x:c>
      <x:c r="C252" s="32" t="str">
        <x:v>Control especializado</x:v>
      </x:c>
      <x:c r="D252" s="32" t="str">
        <x:v>Cada evidencia identifica build, SHA, fecha, ejecutor y resultado.</x:v>
      </x:c>
      <x:c r="E252" s="32" t="str">
        <x:v>Auditar register y archivos.</x:v>
      </x:c>
      <x:c r="F252" s="32" t="str">
        <x:v>Cumplimiento verificable sin desviaciones bloqueantes.</x:v>
      </x:c>
      <x:c r="G252" s="32" t="str">
        <x:v>Evidence metadata completeness.</x:v>
      </x:c>
      <x:c r="H252" s="32" t="str">
        <x:v>12_Excel_Maestro_de_Produccion.xlsx; 13_Trazabilidad_y_Control_de_Cambios.xlsx; 14_Project_Binder_Indice_Maestro.md; 15_Guia_Maestra.md; 16_Auditoria_Global_de_Coherencia.md; 31_H6_and_Release_Readiness_Checklist.xlsx; 32_Documentation_Baseline_Manifest.xlsx; 33_Project_Risk_Register_and_Business_Continuity_Plan.xlsx; 34_Final_Handoff_and_Project_Operations_Manual.md</x:v>
      </x:c>
      <x:c r="I252" s="32" t="str">
        <x:v>Project Binder, guides, manifests, validation reports, risk registers and handoffs v0.3–v0.6; sprint closure ledgers</x:v>
      </x:c>
      <x:c r="J252" s="32" t="str">
        <x:v>H6</x:v>
      </x:c>
      <x:c r="K252" s="32" t="str">
        <x:v>Yes</x:v>
      </x:c>
      <x:c r="L252" s="32" t="str">
        <x:v>P1</x:v>
      </x:c>
      <x:c r="M252" s="32" t="str">
        <x:v>Documentation/Production</x:v>
      </x:c>
      <x:c r="N252" s="32" t="str">
        <x:v>QA/Production</x:v>
      </x:c>
      <x:c r="O252" s="32" t="str">
        <x:v>NOT RUN</x:v>
      </x:c>
      <x:c r="P252" s="32" t="str"/>
      <x:c r="Q252" s="32" t="str"/>
      <x:c r="R252" s="32" t="str"/>
      <x:c r="S252" s="32" t="str"/>
      <x:c r="T252" s="82" t="str"/>
      <x:c r="U252" s="32" t="str"/>
      <x:c r="V252" s="84" t="n">
        <x:v>1</x:v>
      </x:c>
      <x:c r="W252" s="84" t="n">
        <x:f>IF(OR($O252="PASS",$O252="EXCEPTION APPROVED",$O252="NOT APPLICABLE"),$V252,0)</x:f>
        <x:v>0</x:v>
      </x:c>
      <x:c r="X252" s="84" t="n">
        <x:f>IF(AND($K252="Yes",OR($O252="FAIL",$O252="BLOCKED",$O252="NOT RUN",$O252="IN PROGRESS")),1,0)</x:f>
        <x:v>1</x:v>
      </x:c>
      <x:c r="Y252" s="32" t="str">
        <x:f>IF($O252="FAIL","FAIL",IF($O252="BLOCKED","BLOCKED",IF(AND($O252="EXCEPTION APPROVED",$K252="Yes"),"REVIEW",IF($O252="PASS","OK","PENDING"))))</x:f>
        <x:v>PENDING</x:v>
      </x:c>
    </x:row>
    <x:row r="253">
      <x:c r="A253" s="32" t="str">
        <x:v>H6-DOC-009</x:v>
      </x:c>
      <x:c r="B253" s="32" t="str">
        <x:v>Documentación y trazabilidad</x:v>
      </x:c>
      <x:c r="C253" s="32" t="str">
        <x:v>Control especializado</x:v>
      </x:c>
      <x:c r="D253" s="32" t="str">
        <x:v>Las decisiones históricas conservadas y sustituidas están documentadas sin borrar la genealogía.</x:v>
      </x:c>
      <x:c r="E253" s="32" t="str">
        <x:v>Revisar trazabilidad histórica de 31.</x:v>
      </x:c>
      <x:c r="F253" s="32" t="str">
        <x:v>Cumplimiento verificable sin desviaciones bloqueantes.</x:v>
      </x:c>
      <x:c r="G253" s="32" t="str">
        <x:v>Historical lineage review.</x:v>
      </x:c>
      <x:c r="H253" s="32" t="str">
        <x:v>12_Excel_Maestro_de_Produccion.xlsx; 13_Trazabilidad_y_Control_de_Cambios.xlsx; 14_Project_Binder_Indice_Maestro.md; 15_Guia_Maestra.md; 16_Auditoria_Global_de_Coherencia.md; 31_H6_and_Release_Readiness_Checklist.xlsx; 32_Documentation_Baseline_Manifest.xlsx; 33_Project_Risk_Register_and_Business_Continuity_Plan.xlsx; 34_Final_Handoff_and_Project_Operations_Manual.md</x:v>
      </x:c>
      <x:c r="I253" s="32" t="str">
        <x:v>Project Binder, guides, manifests, validation reports, risk registers and handoffs v0.3–v0.6; sprint closure ledgers</x:v>
      </x:c>
      <x:c r="J253" s="32" t="str">
        <x:v>H6</x:v>
      </x:c>
      <x:c r="K253" s="32" t="str">
        <x:v>Yes</x:v>
      </x:c>
      <x:c r="L253" s="32" t="str">
        <x:v>P1</x:v>
      </x:c>
      <x:c r="M253" s="32" t="str">
        <x:v>Documentation/Production</x:v>
      </x:c>
      <x:c r="N253" s="32" t="str">
        <x:v>QA/Production</x:v>
      </x:c>
      <x:c r="O253" s="32" t="str">
        <x:v>NOT RUN</x:v>
      </x:c>
      <x:c r="P253" s="32" t="str"/>
      <x:c r="Q253" s="32" t="str"/>
      <x:c r="R253" s="32" t="str"/>
      <x:c r="S253" s="32" t="str"/>
      <x:c r="T253" s="82" t="str"/>
      <x:c r="U253" s="32" t="str"/>
      <x:c r="V253" s="84" t="n">
        <x:v>1</x:v>
      </x:c>
      <x:c r="W253" s="84" t="n">
        <x:f>IF(OR($O253="PASS",$O253="EXCEPTION APPROVED",$O253="NOT APPLICABLE"),$V253,0)</x:f>
        <x:v>0</x:v>
      </x:c>
      <x:c r="X253" s="84" t="n">
        <x:f>IF(AND($K253="Yes",OR($O253="FAIL",$O253="BLOCKED",$O253="NOT RUN",$O253="IN PROGRESS")),1,0)</x:f>
        <x:v>1</x:v>
      </x:c>
      <x:c r="Y253" s="32" t="str">
        <x:f>IF($O253="FAIL","FAIL",IF($O253="BLOCKED","BLOCKED",IF(AND($O253="EXCEPTION APPROVED",$K253="Yes"),"REVIEW",IF($O253="PASS","OK","PENDING"))))</x:f>
        <x:v>PENDING</x:v>
      </x:c>
    </x:row>
    <x:row r="254">
      <x:c r="A254" s="32" t="str">
        <x:v>H6-DOC-010</x:v>
      </x:c>
      <x:c r="B254" s="32" t="str">
        <x:v>Documentación y trazabilidad</x:v>
      </x:c>
      <x:c r="C254" s="32" t="str">
        <x:v>Control especializado</x:v>
      </x:c>
      <x:c r="D254" s="32" t="str">
        <x:v>El changelog registra cambios desde la baseline previa hasta la candidata.</x:v>
      </x:c>
      <x:c r="E254" s="32" t="str">
        <x:v>Comparar commits y documentos.</x:v>
      </x:c>
      <x:c r="F254" s="32" t="str">
        <x:v>Cumplimiento verificable sin desviaciones bloqueantes.</x:v>
      </x:c>
      <x:c r="G254" s="32" t="str">
        <x:v>Candidate changelog.</x:v>
      </x:c>
      <x:c r="H254" s="32" t="str">
        <x:v>12_Excel_Maestro_de_Produccion.xlsx; 13_Trazabilidad_y_Control_de_Cambios.xlsx; 14_Project_Binder_Indice_Maestro.md; 15_Guia_Maestra.md; 16_Auditoria_Global_de_Coherencia.md; 31_H6_and_Release_Readiness_Checklist.xlsx; 32_Documentation_Baseline_Manifest.xlsx; 33_Project_Risk_Register_and_Business_Continuity_Plan.xlsx; 34_Final_Handoff_and_Project_Operations_Manual.md</x:v>
      </x:c>
      <x:c r="I254" s="32" t="str">
        <x:v>Project Binder, guides, manifests, validation reports, risk registers and handoffs v0.3–v0.6; sprint closure ledgers</x:v>
      </x:c>
      <x:c r="J254" s="32" t="str">
        <x:v>H6</x:v>
      </x:c>
      <x:c r="K254" s="32" t="str">
        <x:v>Yes</x:v>
      </x:c>
      <x:c r="L254" s="32" t="str">
        <x:v>P1</x:v>
      </x:c>
      <x:c r="M254" s="32" t="str">
        <x:v>Documentation/Production</x:v>
      </x:c>
      <x:c r="N254" s="32" t="str">
        <x:v>QA/Production</x:v>
      </x:c>
      <x:c r="O254" s="32" t="str">
        <x:v>NOT RUN</x:v>
      </x:c>
      <x:c r="P254" s="32" t="str"/>
      <x:c r="Q254" s="32" t="str"/>
      <x:c r="R254" s="32" t="str"/>
      <x:c r="S254" s="32" t="str"/>
      <x:c r="T254" s="82" t="str"/>
      <x:c r="U254" s="32" t="str"/>
      <x:c r="V254" s="84" t="n">
        <x:v>1</x:v>
      </x:c>
      <x:c r="W254" s="84" t="n">
        <x:f>IF(OR($O254="PASS",$O254="EXCEPTION APPROVED",$O254="NOT APPLICABLE"),$V254,0)</x:f>
        <x:v>0</x:v>
      </x:c>
      <x:c r="X254" s="84" t="n">
        <x:f>IF(AND($K254="Yes",OR($O254="FAIL",$O254="BLOCKED",$O254="NOT RUN",$O254="IN PROGRESS")),1,0)</x:f>
        <x:v>1</x:v>
      </x:c>
      <x:c r="Y254" s="32" t="str">
        <x:f>IF($O254="FAIL","FAIL",IF($O254="BLOCKED","BLOCKED",IF(AND($O254="EXCEPTION APPROVED",$K254="Yes"),"REVIEW",IF($O254="PASS","OK","PENDING"))))</x:f>
        <x:v>PENDING</x:v>
      </x:c>
    </x:row>
    <x:row r="255">
      <x:c r="A255" s="32" t="str">
        <x:v>H6-DOC-011</x:v>
      </x:c>
      <x:c r="B255" s="32" t="str">
        <x:v>Documentación y trazabilidad</x:v>
      </x:c>
      <x:c r="C255" s="32" t="str">
        <x:v>Control especializado</x:v>
      </x:c>
      <x:c r="D255" s="32" t="str">
        <x:v>Existe acta formal de PASS, FAIL o PASS WITH ACCEPTED DEBT con firmas/roles.</x:v>
      </x:c>
      <x:c r="E255" s="32" t="str">
        <x:v>Completar hoja Gate Signoff.</x:v>
      </x:c>
      <x:c r="F255" s="32" t="str">
        <x:v>Cumplimiento verificable sin desviaciones bloqueantes.</x:v>
      </x:c>
      <x:c r="G255" s="32" t="str">
        <x:v>H6 decision record.</x:v>
      </x:c>
      <x:c r="H255" s="32" t="str">
        <x:v>12_Excel_Maestro_de_Produccion.xlsx; 13_Trazabilidad_y_Control_de_Cambios.xlsx; 14_Project_Binder_Indice_Maestro.md; 15_Guia_Maestra.md; 16_Auditoria_Global_de_Coherencia.md; 31_H6_and_Release_Readiness_Checklist.xlsx; 32_Documentation_Baseline_Manifest.xlsx; 33_Project_Risk_Register_and_Business_Continuity_Plan.xlsx; 34_Final_Handoff_and_Project_Operations_Manual.md</x:v>
      </x:c>
      <x:c r="I255" s="32" t="str">
        <x:v>Project Binder, guides, manifests, validation reports, risk registers and handoffs v0.3–v0.6; sprint closure ledgers</x:v>
      </x:c>
      <x:c r="J255" s="32" t="str">
        <x:v>H6</x:v>
      </x:c>
      <x:c r="K255" s="32" t="str">
        <x:v>Yes</x:v>
      </x:c>
      <x:c r="L255" s="32" t="str">
        <x:v>P0</x:v>
      </x:c>
      <x:c r="M255" s="32" t="str">
        <x:v>Documentation/Production</x:v>
      </x:c>
      <x:c r="N255" s="32" t="str">
        <x:v>QA/Production</x:v>
      </x:c>
      <x:c r="O255" s="32" t="str">
        <x:v>NOT RUN</x:v>
      </x:c>
      <x:c r="P255" s="32" t="str"/>
      <x:c r="Q255" s="32" t="str"/>
      <x:c r="R255" s="32" t="str"/>
      <x:c r="S255" s="32" t="str"/>
      <x:c r="T255" s="82" t="str"/>
      <x:c r="U255" s="32" t="str"/>
      <x:c r="V255" s="84" t="n">
        <x:v>1</x:v>
      </x:c>
      <x:c r="W255" s="84" t="n">
        <x:f>IF(OR($O255="PASS",$O255="EXCEPTION APPROVED",$O255="NOT APPLICABLE"),$V255,0)</x:f>
        <x:v>0</x:v>
      </x:c>
      <x:c r="X255" s="84" t="n">
        <x:f>IF(AND($K255="Yes",OR($O255="FAIL",$O255="BLOCKED",$O255="NOT RUN",$O255="IN PROGRESS")),1,0)</x:f>
        <x:v>1</x:v>
      </x:c>
      <x:c r="Y255" s="32" t="str">
        <x:f>IF($O255="FAIL","FAIL",IF($O255="BLOCKED","BLOCKED",IF(AND($O255="EXCEPTION APPROVED",$K255="Yes"),"REVIEW",IF($O255="PASS","OK","PENDING"))))</x:f>
        <x:v>PENDING</x:v>
      </x:c>
    </x:row>
    <x:row r="256">
      <x:c r="A256" s="32" t="str">
        <x:v>H6-DOC-012</x:v>
      </x:c>
      <x:c r="B256" s="32" t="str">
        <x:v>Documentación y trazabilidad</x:v>
      </x:c>
      <x:c r="C256" s="32" t="str">
        <x:v>Control especializado</x:v>
      </x:c>
      <x:c r="D256" s="32" t="str">
        <x:v>La baseline H6 puede congelarse sin incluir drafts, previews o archivos temporales.</x:v>
      </x:c>
      <x:c r="E256" s="32" t="str">
        <x:v>Auditar paquete final.</x:v>
      </x:c>
      <x:c r="F256" s="32" t="str">
        <x:v>Cumplimiento verificable sin desviaciones bloqueantes.</x:v>
      </x:c>
      <x:c r="G256" s="32" t="str">
        <x:v>Packaging audit.</x:v>
      </x:c>
      <x:c r="H256" s="32" t="str">
        <x:v>12_Excel_Maestro_de_Produccion.xlsx; 13_Trazabilidad_y_Control_de_Cambios.xlsx; 14_Project_Binder_Indice_Maestro.md; 15_Guia_Maestra.md; 16_Auditoria_Global_de_Coherencia.md; 31_H6_and_Release_Readiness_Checklist.xlsx; 32_Documentation_Baseline_Manifest.xlsx; 33_Project_Risk_Register_and_Business_Continuity_Plan.xlsx; 34_Final_Handoff_and_Project_Operations_Manual.md</x:v>
      </x:c>
      <x:c r="I256" s="32" t="str">
        <x:v>Project Binder, guides, manifests, validation reports, risk registers and handoffs v0.3–v0.6; sprint closure ledgers</x:v>
      </x:c>
      <x:c r="J256" s="32" t="str">
        <x:v>H6</x:v>
      </x:c>
      <x:c r="K256" s="32" t="str">
        <x:v>Yes</x:v>
      </x:c>
      <x:c r="L256" s="32" t="str">
        <x:v>P1</x:v>
      </x:c>
      <x:c r="M256" s="32" t="str">
        <x:v>Documentation/Production</x:v>
      </x:c>
      <x:c r="N256" s="32" t="str">
        <x:v>QA/Production</x:v>
      </x:c>
      <x:c r="O256" s="32" t="str">
        <x:v>NOT RUN</x:v>
      </x:c>
      <x:c r="P256" s="32" t="str"/>
      <x:c r="Q256" s="32" t="str"/>
      <x:c r="R256" s="32" t="str"/>
      <x:c r="S256" s="32" t="str"/>
      <x:c r="T256" s="82" t="str"/>
      <x:c r="U256" s="32" t="str"/>
      <x:c r="V256" s="84" t="n">
        <x:v>1</x:v>
      </x:c>
      <x:c r="W256" s="84" t="n">
        <x:f>IF(OR($O256="PASS",$O256="EXCEPTION APPROVED",$O256="NOT APPLICABLE"),$V256,0)</x:f>
        <x:v>0</x:v>
      </x:c>
      <x:c r="X256" s="84" t="n">
        <x:f>IF(AND($K256="Yes",OR($O256="FAIL",$O256="BLOCKED",$O256="NOT RUN",$O256="IN PROGRESS")),1,0)</x:f>
        <x:v>1</x:v>
      </x:c>
      <x:c r="Y256" s="32" t="str">
        <x:f>IF($O256="FAIL","FAIL",IF($O256="BLOCKED","BLOCKED",IF(AND($O256="EXCEPTION APPROVED",$K256="Yes"),"REVIEW",IF($O256="PASS","OK","PENDING"))))</x:f>
        <x:v>PENDING</x:v>
      </x:c>
    </x:row>
    <x:row r="257">
      <x:c r="A257" s="32" t="str">
        <x:v>H6-DOC-013</x:v>
      </x:c>
      <x:c r="B257" s="32" t="str">
        <x:v>Documentación y trazabilidad</x:v>
      </x:c>
      <x:c r="C257" s="32" t="str">
        <x:v>Control especializado</x:v>
      </x:c>
      <x:c r="D257" s="32" t="str">
        <x:v>12–15 y 21/23 están actualizados tras RC1; 31 está regenerado; 33/34, 32 candidata y 16 candidata conservan una secuencia explícita y verificable.</x:v>
      </x:c>
      <x:c r="E257" s="32" t="str">
        <x:v>Revisar 12/08_Consolidacion_Doc, 13/09_Consolidacion_Baseline, 31/12_Integracion_00_34 y el estado real de 32–34.</x:v>
      </x:c>
      <x:c r="F257" s="32" t="str">
        <x:v>Matriz de consolidación con estados y siguiente dependencia.</x:v>
      </x:c>
      <x:c r="G257" s="32"/>
      <x:c r="H257" s="32" t="str">
        <x:v>12_Excel_Maestro_de_Produccion.xlsx; 13_Trazabilidad_y_Control_de_Cambios.xlsx; 14_Project_Binder_Indice_Maestro.md; 15_Guia_Maestra.md; 16_Auditoria_Global_de_Coherencia.md; 31_H6_and_Release_Readiness_Checklist.xlsx; 32_Documentation_Baseline_Manifest.xlsx; 33_Project_Risk_Register_and_Business_Continuity_Plan.xlsx; 34_Final_Handoff_and_Project_Operations_Manual.md</x:v>
      </x:c>
      <x:c r="I257" s="32" t="str">
        <x:v>Project Binder, guides, manifests, validation reports, risk registers and handoffs v0.3–v0.6; sprint closure ledgers</x:v>
      </x:c>
      <x:c r="J257" s="32" t="str">
        <x:v>H6</x:v>
      </x:c>
      <x:c r="K257" s="32" t="str">
        <x:v>Yes</x:v>
      </x:c>
      <x:c r="L257" s="32" t="str">
        <x:v>P1</x:v>
      </x:c>
      <x:c r="M257" s="32" t="str">
        <x:v>Documentation/Production</x:v>
      </x:c>
      <x:c r="N257" s="32" t="str">
        <x:v>QA/Production</x:v>
      </x:c>
      <x:c r="O257" s="32" t="str">
        <x:v>NOT RUN</x:v>
      </x:c>
      <x:c r="P257" s="32" t="str"/>
      <x:c r="Q257" s="32" t="str"/>
      <x:c r="R257" s="32" t="str"/>
      <x:c r="S257" s="32" t="str"/>
      <x:c r="T257" s="82" t="str"/>
      <x:c r="U257" s="32" t="str"/>
      <x:c r="V257" s="84" t="n">
        <x:v>1</x:v>
      </x:c>
      <x:c r="W257" s="84" t="n">
        <x:f>IF(OR($O257="PASS",$O257="EXCEPTION APPROVED",$O257="NOT APPLICABLE"),$V257,0)</x:f>
        <x:v>0</x:v>
      </x:c>
      <x:c r="X257" s="84" t="n">
        <x:f>IF(AND($K257="Yes",OR($O257="FAIL",$O257="BLOCKED",$O257="NOT RUN",$O257="IN PROGRESS")),1,0)</x:f>
        <x:v>1</x:v>
      </x:c>
      <x:c r="Y257" s="32" t="str">
        <x:f>IF($O257="FAIL","FAIL",IF($O257="BLOCKED","BLOCKED",IF(AND($O257="EXCEPTION APPROVED",$K257="Yes"),"REVIEW",IF($O257="PASS","OK","PENDING"))))</x:f>
        <x:v>PENDING</x:v>
      </x:c>
    </x:row>
    <x:row r="258">
      <x:c r="A258" s="32" t="str">
        <x:v>H6-DOC-014</x:v>
      </x:c>
      <x:c r="B258" s="32" t="str">
        <x:v>Documentación y trazabilidad</x:v>
      </x:c>
      <x:c r="C258" s="32" t="str">
        <x:v>Control especializado</x:v>
      </x:c>
      <x:c r="D258" s="32" t="str">
        <x:v>El paquete H6 y la baseline documental conservan checksums externos, referencias y reglas de autorreferencia correctas.</x:v>
      </x:c>
      <x:c r="E258" s="32" t="str">
        <x:v>Recalcular y cruzar hashes; verificar que el hash de 31/32 no se incrusta de forma autorreferente.</x:v>
      </x:c>
      <x:c r="F258" s="32" t="str">
        <x:v>Informe de integridad y checksums externos.</x:v>
      </x:c>
      <x:c r="G258" s="32"/>
      <x:c r="H258" s="32" t="str">
        <x:v>12_Excel_Maestro_de_Produccion.xlsx; 13_Trazabilidad_y_Control_de_Cambios.xlsx; 14_Project_Binder_Indice_Maestro.md; 15_Guia_Maestra.md; 16_Auditoria_Global_de_Coherencia.md; 31_H6_and_Release_Readiness_Checklist.xlsx; 32_Documentation_Baseline_Manifest.xlsx; 33_Project_Risk_Register_and_Business_Continuity_Plan.xlsx; 34_Final_Handoff_and_Project_Operations_Manual.md</x:v>
      </x:c>
      <x:c r="I258" s="32" t="str">
        <x:v>Project Binder, guides, manifests, validation reports, risk registers and handoffs v0.3–v0.6; sprint closure ledgers</x:v>
      </x:c>
      <x:c r="J258" s="32" t="str">
        <x:v>H6</x:v>
      </x:c>
      <x:c r="K258" s="32" t="str">
        <x:v>Yes</x:v>
      </x:c>
      <x:c r="L258" s="32" t="str">
        <x:v>P0</x:v>
      </x:c>
      <x:c r="M258" s="32" t="str">
        <x:v>Documentation/Production</x:v>
      </x:c>
      <x:c r="N258" s="32" t="str">
        <x:v>QA/Production</x:v>
      </x:c>
      <x:c r="O258" s="32" t="str">
        <x:v>NOT RUN</x:v>
      </x:c>
      <x:c r="P258" s="32" t="str"/>
      <x:c r="Q258" s="32" t="str"/>
      <x:c r="R258" s="32" t="str"/>
      <x:c r="S258" s="32" t="str"/>
      <x:c r="T258" s="82" t="str"/>
      <x:c r="U258" s="32" t="str"/>
      <x:c r="V258" s="84" t="n">
        <x:v>1</x:v>
      </x:c>
      <x:c r="W258" s="84" t="n">
        <x:f>IF(OR($O258="PASS",$O258="EXCEPTION APPROVED",$O258="NOT APPLICABLE"),$V258,0)</x:f>
        <x:v>0</x:v>
      </x:c>
      <x:c r="X258" s="84" t="n">
        <x:f>IF(AND($K258="Yes",OR($O258="FAIL",$O258="BLOCKED",$O258="NOT RUN",$O258="IN PROGRESS")),1,0)</x:f>
        <x:v>1</x:v>
      </x:c>
      <x:c r="Y258" s="32" t="str">
        <x:f>IF($O258="FAIL","FAIL",IF($O258="BLOCKED","BLOCKED",IF(AND($O258="EXCEPTION APPROVED",$K258="Yes"),"REVIEW",IF($O258="PASS","OK","PENDING"))))</x:f>
        <x:v>PENDING</x:v>
      </x:c>
    </x:row>
    <x:row r="259">
      <x:c r="A259" s="32" t="str">
        <x:v>H6-DEC-001</x:v>
      </x:c>
      <x:c r="B259" s="32" t="str">
        <x:v>Paquete de decisión H6</x:v>
      </x:c>
      <x:c r="C259" s="32" t="str">
        <x:v>Control especializado</x:v>
      </x:c>
      <x:c r="D259" s="32" t="str">
        <x:v>La candidata inmutable incluye Build ID, versión, SHA, checksum y canal.</x:v>
      </x:c>
      <x:c r="E259" s="32" t="str">
        <x:v>Revisar build record y artefacto.</x:v>
      </x:c>
      <x:c r="F259" s="32" t="str">
        <x:v>Cumplimiento verificable sin desviaciones bloqueantes.</x:v>
      </x:c>
      <x:c r="G259" s="32" t="str">
        <x:v>Build Record completo.</x:v>
      </x:c>
      <x:c r="H259" s="32" t="str">
        <x:v>02_Vertical_Slice_Specification.md; 15_Guia_Maestra.md; 31_H6_and_Release_Readiness_Checklist.xlsx</x:v>
      </x:c>
      <x:c r="I259" s="32" t="str">
        <x:v>Historical package manifests, validation reports and build evidence policies v0.3–v0.6</x:v>
      </x:c>
      <x:c r="J259" s="32" t="str">
        <x:v>H6</x:v>
      </x:c>
      <x:c r="K259" s="32" t="str">
        <x:v>Yes</x:v>
      </x:c>
      <x:c r="L259" s="32" t="str">
        <x:v>P0</x:v>
      </x:c>
      <x:c r="M259" s="32" t="str">
        <x:v>Production</x:v>
      </x:c>
      <x:c r="N259" s="32" t="str">
        <x:v>All Discipline Leads</x:v>
      </x:c>
      <x:c r="O259" s="32" t="str">
        <x:v>NOT RUN</x:v>
      </x:c>
      <x:c r="P259" s="32" t="str"/>
      <x:c r="Q259" s="32" t="str"/>
      <x:c r="R259" s="32" t="str"/>
      <x:c r="S259" s="32" t="str"/>
      <x:c r="T259" s="82" t="str"/>
      <x:c r="U259" s="32" t="str"/>
      <x:c r="V259" s="84" t="n">
        <x:v>1</x:v>
      </x:c>
      <x:c r="W259" s="84" t="n">
        <x:f>IF(OR($O259="PASS",$O259="EXCEPTION APPROVED",$O259="NOT APPLICABLE"),$V259,0)</x:f>
        <x:v>0</x:v>
      </x:c>
      <x:c r="X259" s="84" t="n">
        <x:f>IF(AND($K259="Yes",OR($O259="FAIL",$O259="BLOCKED",$O259="NOT RUN",$O259="IN PROGRESS")),1,0)</x:f>
        <x:v>1</x:v>
      </x:c>
      <x:c r="Y259" s="32" t="str">
        <x:f>IF($O259="FAIL","FAIL",IF($O259="BLOCKED","BLOCKED",IF(AND($O259="EXCEPTION APPROVED",$K259="Yes"),"REVIEW",IF($O259="PASS","OK","PENDING"))))</x:f>
        <x:v>PENDING</x:v>
      </x:c>
    </x:row>
    <x:row r="260">
      <x:c r="A260" s="32" t="str">
        <x:v>H6-DEC-002</x:v>
      </x:c>
      <x:c r="B260" s="32" t="str">
        <x:v>Paquete de decisión H6</x:v>
      </x:c>
      <x:c r="C260" s="32" t="str">
        <x:v>Control especializado</x:v>
      </x:c>
      <x:c r="D260" s="32" t="str">
        <x:v>Existe manifest de Unity, packages, escenas, profile y archivos distribuidos.</x:v>
      </x:c>
      <x:c r="E260" s="32" t="str">
        <x:v>Comparar manifests con candidato.</x:v>
      </x:c>
      <x:c r="F260" s="32" t="str">
        <x:v>Cumplimiento verificable sin desviaciones bloqueantes.</x:v>
      </x:c>
      <x:c r="G260" s="32" t="str">
        <x:v>Environment/package manifests.</x:v>
      </x:c>
      <x:c r="H260" s="32" t="str">
        <x:v>02_Vertical_Slice_Specification.md; 15_Guia_Maestra.md; 31_H6_and_Release_Readiness_Checklist.xlsx</x:v>
      </x:c>
      <x:c r="I260" s="32" t="str">
        <x:v>Historical package manifests, validation reports and build evidence policies v0.3–v0.6</x:v>
      </x:c>
      <x:c r="J260" s="32" t="str">
        <x:v>H6</x:v>
      </x:c>
      <x:c r="K260" s="32" t="str">
        <x:v>Yes</x:v>
      </x:c>
      <x:c r="L260" s="32" t="str">
        <x:v>P1</x:v>
      </x:c>
      <x:c r="M260" s="32" t="str">
        <x:v>Production</x:v>
      </x:c>
      <x:c r="N260" s="32" t="str">
        <x:v>All Discipline Leads</x:v>
      </x:c>
      <x:c r="O260" s="32" t="str">
        <x:v>NOT RUN</x:v>
      </x:c>
      <x:c r="P260" s="32" t="str"/>
      <x:c r="Q260" s="32" t="str"/>
      <x:c r="R260" s="32" t="str"/>
      <x:c r="S260" s="32" t="str"/>
      <x:c r="T260" s="82" t="str"/>
      <x:c r="U260" s="32" t="str"/>
      <x:c r="V260" s="84" t="n">
        <x:v>1</x:v>
      </x:c>
      <x:c r="W260" s="84" t="n">
        <x:f>IF(OR($O260="PASS",$O260="EXCEPTION APPROVED",$O260="NOT APPLICABLE"),$V260,0)</x:f>
        <x:v>0</x:v>
      </x:c>
      <x:c r="X260" s="84" t="n">
        <x:f>IF(AND($K260="Yes",OR($O260="FAIL",$O260="BLOCKED",$O260="NOT RUN",$O260="IN PROGRESS")),1,0)</x:f>
        <x:v>1</x:v>
      </x:c>
      <x:c r="Y260" s="32" t="str">
        <x:f>IF($O260="FAIL","FAIL",IF($O260="BLOCKED","BLOCKED",IF(AND($O260="EXCEPTION APPROVED",$K260="Yes"),"REVIEW",IF($O260="PASS","OK","PENDING"))))</x:f>
        <x:v>PENDING</x:v>
      </x:c>
    </x:row>
    <x:row r="261">
      <x:c r="A261" s="32" t="str">
        <x:v>H6-DEC-003</x:v>
      </x:c>
      <x:c r="B261" s="32" t="str">
        <x:v>Paquete de decisión H6</x:v>
      </x:c>
      <x:c r="C261" s="32" t="str">
        <x:v>Control especializado</x:v>
      </x:c>
      <x:c r="D261" s="32" t="str">
        <x:v>Se incluyen test reports automatizados y ejecuciones manuales.</x:v>
      </x:c>
      <x:c r="E261" s="32" t="str">
        <x:v>Validar Evidence Register.</x:v>
      </x:c>
      <x:c r="F261" s="32" t="str">
        <x:v>Cumplimiento verificable sin desviaciones bloqueantes.</x:v>
      </x:c>
      <x:c r="G261" s="32" t="str">
        <x:v>Test evidence package.</x:v>
      </x:c>
      <x:c r="H261" s="32" t="str">
        <x:v>02_Vertical_Slice_Specification.md; 15_Guia_Maestra.md; 31_H6_and_Release_Readiness_Checklist.xlsx</x:v>
      </x:c>
      <x:c r="I261" s="32" t="str">
        <x:v>Historical package manifests, validation reports and build evidence policies v0.3–v0.6</x:v>
      </x:c>
      <x:c r="J261" s="32" t="str">
        <x:v>H6</x:v>
      </x:c>
      <x:c r="K261" s="32" t="str">
        <x:v>Yes</x:v>
      </x:c>
      <x:c r="L261" s="32" t="str">
        <x:v>P1</x:v>
      </x:c>
      <x:c r="M261" s="32" t="str">
        <x:v>Production</x:v>
      </x:c>
      <x:c r="N261" s="32" t="str">
        <x:v>All Discipline Leads</x:v>
      </x:c>
      <x:c r="O261" s="32" t="str">
        <x:v>NOT RUN</x:v>
      </x:c>
      <x:c r="P261" s="32" t="str"/>
      <x:c r="Q261" s="32" t="str"/>
      <x:c r="R261" s="32" t="str"/>
      <x:c r="S261" s="32" t="str"/>
      <x:c r="T261" s="82" t="str"/>
      <x:c r="U261" s="32" t="str"/>
      <x:c r="V261" s="84" t="n">
        <x:v>1</x:v>
      </x:c>
      <x:c r="W261" s="84" t="n">
        <x:f>IF(OR($O261="PASS",$O261="EXCEPTION APPROVED",$O261="NOT APPLICABLE"),$V261,0)</x:f>
        <x:v>0</x:v>
      </x:c>
      <x:c r="X261" s="84" t="n">
        <x:f>IF(AND($K261="Yes",OR($O261="FAIL",$O261="BLOCKED",$O261="NOT RUN",$O261="IN PROGRESS")),1,0)</x:f>
        <x:v>1</x:v>
      </x:c>
      <x:c r="Y261" s="32" t="str">
        <x:f>IF($O261="FAIL","FAIL",IF($O261="BLOCKED","BLOCKED",IF(AND($O261="EXCEPTION APPROVED",$K261="Yes"),"REVIEW",IF($O261="PASS","OK","PENDING"))))</x:f>
        <x:v>PENDING</x:v>
      </x:c>
    </x:row>
    <x:row r="262">
      <x:c r="A262" s="32" t="str">
        <x:v>H6-DEC-004</x:v>
      </x:c>
      <x:c r="B262" s="32" t="str">
        <x:v>Paquete de decisión H6</x:v>
      </x:c>
      <x:c r="C262" s="32" t="str">
        <x:v>Control especializado</x:v>
      </x:c>
      <x:c r="D262" s="32" t="str">
        <x:v>Se incluyen Golden Path Record y Seven Day Run Record aprobados.</x:v>
      </x:c>
      <x:c r="E262" s="32" t="str">
        <x:v>Revisar firmas y build IDs.</x:v>
      </x:c>
      <x:c r="F262" s="32" t="str">
        <x:v>Cumplimiento verificable sin desviaciones bloqueantes.</x:v>
      </x:c>
      <x:c r="G262" s="32" t="str">
        <x:v>Records firmados.</x:v>
      </x:c>
      <x:c r="H262" s="32" t="str">
        <x:v>02_Vertical_Slice_Specification.md; 15_Guia_Maestra.md; 31_H6_and_Release_Readiness_Checklist.xlsx</x:v>
      </x:c>
      <x:c r="I262" s="32" t="str">
        <x:v>Historical package manifests, validation reports and build evidence policies v0.3–v0.6</x:v>
      </x:c>
      <x:c r="J262" s="32" t="str">
        <x:v>H6</x:v>
      </x:c>
      <x:c r="K262" s="32" t="str">
        <x:v>Yes</x:v>
      </x:c>
      <x:c r="L262" s="32" t="str">
        <x:v>P0</x:v>
      </x:c>
      <x:c r="M262" s="32" t="str">
        <x:v>Production</x:v>
      </x:c>
      <x:c r="N262" s="32" t="str">
        <x:v>All Discipline Leads</x:v>
      </x:c>
      <x:c r="O262" s="32" t="str">
        <x:v>NOT RUN</x:v>
      </x:c>
      <x:c r="P262" s="32" t="str"/>
      <x:c r="Q262" s="32" t="str"/>
      <x:c r="R262" s="32" t="str"/>
      <x:c r="S262" s="32" t="str"/>
      <x:c r="T262" s="82" t="str"/>
      <x:c r="U262" s="32" t="str"/>
      <x:c r="V262" s="84" t="n">
        <x:v>1</x:v>
      </x:c>
      <x:c r="W262" s="84" t="n">
        <x:f>IF(OR($O262="PASS",$O262="EXCEPTION APPROVED",$O262="NOT APPLICABLE"),$V262,0)</x:f>
        <x:v>0</x:v>
      </x:c>
      <x:c r="X262" s="84" t="n">
        <x:f>IF(AND($K262="Yes",OR($O262="FAIL",$O262="BLOCKED",$O262="NOT RUN",$O262="IN PROGRESS")),1,0)</x:f>
        <x:v>1</x:v>
      </x:c>
      <x:c r="Y262" s="32" t="str">
        <x:f>IF($O262="FAIL","FAIL",IF($O262="BLOCKED","BLOCKED",IF(AND($O262="EXCEPTION APPROVED",$K262="Yes"),"REVIEW",IF($O262="PASS","OK","PENDING"))))</x:f>
        <x:v>PENDING</x:v>
      </x:c>
    </x:row>
    <x:row r="263">
      <x:c r="A263" s="32" t="str">
        <x:v>H6-DEC-005</x:v>
      </x:c>
      <x:c r="B263" s="32" t="str">
        <x:v>Paquete de decisión H6</x:v>
      </x:c>
      <x:c r="C263" s="32" t="str">
        <x:v>Control especializado</x:v>
      </x:c>
      <x:c r="D263" s="32" t="str">
        <x:v>Se incluyen Player.log, métricas de rendimiento y soak.</x:v>
      </x:c>
      <x:c r="E263" s="32" t="str">
        <x:v>Validar logs y performance records.</x:v>
      </x:c>
      <x:c r="F263" s="32" t="str">
        <x:v>Cumplimiento verificable sin desviaciones bloqueantes.</x:v>
      </x:c>
      <x:c r="G263" s="32" t="str">
        <x:v>Runtime evidence package.</x:v>
      </x:c>
      <x:c r="H263" s="32" t="str">
        <x:v>02_Vertical_Slice_Specification.md; 15_Guia_Maestra.md; 31_H6_and_Release_Readiness_Checklist.xlsx</x:v>
      </x:c>
      <x:c r="I263" s="32" t="str">
        <x:v>Historical package manifests, validation reports and build evidence policies v0.3–v0.6</x:v>
      </x:c>
      <x:c r="J263" s="32" t="str">
        <x:v>H6</x:v>
      </x:c>
      <x:c r="K263" s="32" t="str">
        <x:v>Yes</x:v>
      </x:c>
      <x:c r="L263" s="32" t="str">
        <x:v>P1</x:v>
      </x:c>
      <x:c r="M263" s="32" t="str">
        <x:v>Production</x:v>
      </x:c>
      <x:c r="N263" s="32" t="str">
        <x:v>All Discipline Leads</x:v>
      </x:c>
      <x:c r="O263" s="32" t="str">
        <x:v>NOT RUN</x:v>
      </x:c>
      <x:c r="P263" s="32" t="str"/>
      <x:c r="Q263" s="32" t="str"/>
      <x:c r="R263" s="32" t="str"/>
      <x:c r="S263" s="32" t="str"/>
      <x:c r="T263" s="82" t="str"/>
      <x:c r="U263" s="32" t="str"/>
      <x:c r="V263" s="84" t="n">
        <x:v>1</x:v>
      </x:c>
      <x:c r="W263" s="84" t="n">
        <x:f>IF(OR($O263="PASS",$O263="EXCEPTION APPROVED",$O263="NOT APPLICABLE"),$V263,0)</x:f>
        <x:v>0</x:v>
      </x:c>
      <x:c r="X263" s="84" t="n">
        <x:f>IF(AND($K263="Yes",OR($O263="FAIL",$O263="BLOCKED",$O263="NOT RUN",$O263="IN PROGRESS")),1,0)</x:f>
        <x:v>1</x:v>
      </x:c>
      <x:c r="Y263" s="32" t="str">
        <x:f>IF($O263="FAIL","FAIL",IF($O263="BLOCKED","BLOCKED",IF(AND($O263="EXCEPTION APPROVED",$K263="Yes"),"REVIEW",IF($O263="PASS","OK","PENDING"))))</x:f>
        <x:v>PENDING</x:v>
      </x:c>
    </x:row>
    <x:row r="264">
      <x:c r="A264" s="32" t="str">
        <x:v>H6-DEC-006</x:v>
      </x:c>
      <x:c r="B264" s="32" t="str">
        <x:v>Paquete de decisión H6</x:v>
      </x:c>
      <x:c r="C264" s="32" t="str">
        <x:v>Control especializado</x:v>
      </x:c>
      <x:c r="D264" s="32" t="str">
        <x:v>Se incluye estado de defectos, deuda aceptada, excepciones y Known Issues.</x:v>
      </x:c>
      <x:c r="E264" s="32" t="str">
        <x:v>Comparar registros y decisión.</x:v>
      </x:c>
      <x:c r="F264" s="32" t="str">
        <x:v>Cumplimiento verificable sin desviaciones bloqueantes.</x:v>
      </x:c>
      <x:c r="G264" s="32" t="str">
        <x:v>Defect/exception package.</x:v>
      </x:c>
      <x:c r="H264" s="32" t="str">
        <x:v>02_Vertical_Slice_Specification.md; 15_Guia_Maestra.md; 31_H6_and_Release_Readiness_Checklist.xlsx</x:v>
      </x:c>
      <x:c r="I264" s="32" t="str">
        <x:v>Historical package manifests, validation reports and build evidence policies v0.3–v0.6</x:v>
      </x:c>
      <x:c r="J264" s="32" t="str">
        <x:v>H6</x:v>
      </x:c>
      <x:c r="K264" s="32" t="str">
        <x:v>Yes</x:v>
      </x:c>
      <x:c r="L264" s="32" t="str">
        <x:v>P1</x:v>
      </x:c>
      <x:c r="M264" s="32" t="str">
        <x:v>Production</x:v>
      </x:c>
      <x:c r="N264" s="32" t="str">
        <x:v>All Discipline Leads</x:v>
      </x:c>
      <x:c r="O264" s="32" t="str">
        <x:v>NOT RUN</x:v>
      </x:c>
      <x:c r="P264" s="32" t="str"/>
      <x:c r="Q264" s="32" t="str"/>
      <x:c r="R264" s="32" t="str"/>
      <x:c r="S264" s="32" t="str"/>
      <x:c r="T264" s="82" t="str"/>
      <x:c r="U264" s="32" t="str"/>
      <x:c r="V264" s="84" t="n">
        <x:v>1</x:v>
      </x:c>
      <x:c r="W264" s="84" t="n">
        <x:f>IF(OR($O264="PASS",$O264="EXCEPTION APPROVED",$O264="NOT APPLICABLE"),$V264,0)</x:f>
        <x:v>0</x:v>
      </x:c>
      <x:c r="X264" s="84" t="n">
        <x:f>IF(AND($K264="Yes",OR($O264="FAIL",$O264="BLOCKED",$O264="NOT RUN",$O264="IN PROGRESS")),1,0)</x:f>
        <x:v>1</x:v>
      </x:c>
      <x:c r="Y264" s="32" t="str">
        <x:f>IF($O264="FAIL","FAIL",IF($O264="BLOCKED","BLOCKED",IF(AND($O264="EXCEPTION APPROVED",$K264="Yes"),"REVIEW",IF($O264="PASS","OK","PENDING"))))</x:f>
        <x:v>PENDING</x:v>
      </x:c>
    </x:row>
    <x:row r="265">
      <x:c r="A265" s="32" t="str">
        <x:v>H6-DEC-007</x:v>
      </x:c>
      <x:c r="B265" s="32" t="str">
        <x:v>Paquete de decisión H6</x:v>
      </x:c>
      <x:c r="C265" s="32" t="str">
        <x:v>Control especializado</x:v>
      </x:c>
      <x:c r="D265" s="32" t="str">
        <x:v>Se incluye evidencia visual, ES/EN y accesibilidad básica.</x:v>
      </x:c>
      <x:c r="E265" s="32" t="str">
        <x:v>Validar capturas/matrices.</x:v>
      </x:c>
      <x:c r="F265" s="32" t="str">
        <x:v>Cumplimiento verificable sin desviaciones bloqueantes.</x:v>
      </x:c>
      <x:c r="G265" s="32" t="str">
        <x:v>Visual/LQA/accessibility package.</x:v>
      </x:c>
      <x:c r="H265" s="32" t="str">
        <x:v>02_Vertical_Slice_Specification.md; 15_Guia_Maestra.md; 31_H6_and_Release_Readiness_Checklist.xlsx</x:v>
      </x:c>
      <x:c r="I265" s="32" t="str">
        <x:v>Historical package manifests, validation reports and build evidence policies v0.3–v0.6</x:v>
      </x:c>
      <x:c r="J265" s="32" t="str">
        <x:v>H6</x:v>
      </x:c>
      <x:c r="K265" s="32" t="str">
        <x:v>Yes</x:v>
      </x:c>
      <x:c r="L265" s="32" t="str">
        <x:v>P1</x:v>
      </x:c>
      <x:c r="M265" s="32" t="str">
        <x:v>Production</x:v>
      </x:c>
      <x:c r="N265" s="32" t="str">
        <x:v>All Discipline Leads</x:v>
      </x:c>
      <x:c r="O265" s="32" t="str">
        <x:v>NOT RUN</x:v>
      </x:c>
      <x:c r="P265" s="32" t="str"/>
      <x:c r="Q265" s="32" t="str"/>
      <x:c r="R265" s="32" t="str"/>
      <x:c r="S265" s="32" t="str"/>
      <x:c r="T265" s="82" t="str"/>
      <x:c r="U265" s="32" t="str"/>
      <x:c r="V265" s="84" t="n">
        <x:v>1</x:v>
      </x:c>
      <x:c r="W265" s="84" t="n">
        <x:f>IF(OR($O265="PASS",$O265="EXCEPTION APPROVED",$O265="NOT APPLICABLE"),$V265,0)</x:f>
        <x:v>0</x:v>
      </x:c>
      <x:c r="X265" s="84" t="n">
        <x:f>IF(AND($K265="Yes",OR($O265="FAIL",$O265="BLOCKED",$O265="NOT RUN",$O265="IN PROGRESS")),1,0)</x:f>
        <x:v>1</x:v>
      </x:c>
      <x:c r="Y265" s="32" t="str">
        <x:f>IF($O265="FAIL","FAIL",IF($O265="BLOCKED","BLOCKED",IF(AND($O265="EXCEPTION APPROVED",$K265="Yes"),"REVIEW",IF($O265="PASS","OK","PENDING"))))</x:f>
        <x:v>PENDING</x:v>
      </x:c>
    </x:row>
    <x:row r="266">
      <x:c r="A266" s="32" t="str">
        <x:v>H6-DEC-008</x:v>
      </x:c>
      <x:c r="B266" s="32" t="str">
        <x:v>Paquete de decisión H6</x:v>
      </x:c>
      <x:c r="C266" s="32" t="str">
        <x:v>Control especializado</x:v>
      </x:c>
      <x:c r="D266" s="32" t="str">
        <x:v>Se incluye estado legal, licencias, seguridad y privacidad del candidato.</x:v>
      </x:c>
      <x:c r="E266" s="32" t="str">
        <x:v>Revisar signoffs especializados.</x:v>
      </x:c>
      <x:c r="F266" s="32" t="str">
        <x:v>Cumplimiento verificable sin desviaciones bloqueantes.</x:v>
      </x:c>
      <x:c r="G266" s="32" t="str">
        <x:v>Compliance signoff package.</x:v>
      </x:c>
      <x:c r="H266" s="32" t="str">
        <x:v>02_Vertical_Slice_Specification.md; 15_Guia_Maestra.md; 31_H6_and_Release_Readiness_Checklist.xlsx</x:v>
      </x:c>
      <x:c r="I266" s="32" t="str">
        <x:v>Historical package manifests, validation reports and build evidence policies v0.3–v0.6</x:v>
      </x:c>
      <x:c r="J266" s="32" t="str">
        <x:v>H6</x:v>
      </x:c>
      <x:c r="K266" s="32" t="str">
        <x:v>Yes</x:v>
      </x:c>
      <x:c r="L266" s="32" t="str">
        <x:v>P1</x:v>
      </x:c>
      <x:c r="M266" s="32" t="str">
        <x:v>Production</x:v>
      </x:c>
      <x:c r="N266" s="32" t="str">
        <x:v>All Discipline Leads</x:v>
      </x:c>
      <x:c r="O266" s="32" t="str">
        <x:v>NOT RUN</x:v>
      </x:c>
      <x:c r="P266" s="32" t="str"/>
      <x:c r="Q266" s="32" t="str"/>
      <x:c r="R266" s="32" t="str"/>
      <x:c r="S266" s="32" t="str"/>
      <x:c r="T266" s="82" t="str"/>
      <x:c r="U266" s="32" t="str"/>
      <x:c r="V266" s="84" t="n">
        <x:v>1</x:v>
      </x:c>
      <x:c r="W266" s="84" t="n">
        <x:f>IF(OR($O266="PASS",$O266="EXCEPTION APPROVED",$O266="NOT APPLICABLE"),$V266,0)</x:f>
        <x:v>0</x:v>
      </x:c>
      <x:c r="X266" s="84" t="n">
        <x:f>IF(AND($K266="Yes",OR($O266="FAIL",$O266="BLOCKED",$O266="NOT RUN",$O266="IN PROGRESS")),1,0)</x:f>
        <x:v>1</x:v>
      </x:c>
      <x:c r="Y266" s="32" t="str">
        <x:f>IF($O266="FAIL","FAIL",IF($O266="BLOCKED","BLOCKED",IF(AND($O266="EXCEPTION APPROVED",$K266="Yes"),"REVIEW",IF($O266="PASS","OK","PENDING"))))</x:f>
        <x:v>PENDING</x:v>
      </x:c>
    </x:row>
    <x:row r="267">
      <x:c r="A267" s="32" t="str">
        <x:v>H6-DEC-009</x:v>
      </x:c>
      <x:c r="B267" s="32" t="str">
        <x:v>Paquete de decisión H6</x:v>
      </x:c>
      <x:c r="C267" s="32" t="str">
        <x:v>Control especializado</x:v>
      </x:c>
      <x:c r="D267" s="32" t="str">
        <x:v>Se incluye estado de documentación, trazabilidad y auditoría.</x:v>
      </x:c>
      <x:c r="E267" s="32" t="str">
        <x:v>Validar document inventory y findings.</x:v>
      </x:c>
      <x:c r="F267" s="32" t="str">
        <x:v>Cumplimiento verificable sin desviaciones bloqueantes.</x:v>
      </x:c>
      <x:c r="G267" s="32" t="str">
        <x:v>Documentation signoff.</x:v>
      </x:c>
      <x:c r="H267" s="32" t="str">
        <x:v>02_Vertical_Slice_Specification.md; 15_Guia_Maestra.md; 31_H6_and_Release_Readiness_Checklist.xlsx</x:v>
      </x:c>
      <x:c r="I267" s="32" t="str">
        <x:v>Historical package manifests, validation reports and build evidence policies v0.3–v0.6</x:v>
      </x:c>
      <x:c r="J267" s="32" t="str">
        <x:v>H6</x:v>
      </x:c>
      <x:c r="K267" s="32" t="str">
        <x:v>Yes</x:v>
      </x:c>
      <x:c r="L267" s="32" t="str">
        <x:v>P1</x:v>
      </x:c>
      <x:c r="M267" s="32" t="str">
        <x:v>Production</x:v>
      </x:c>
      <x:c r="N267" s="32" t="str">
        <x:v>All Discipline Leads</x:v>
      </x:c>
      <x:c r="O267" s="32" t="str">
        <x:v>NOT RUN</x:v>
      </x:c>
      <x:c r="P267" s="32" t="str"/>
      <x:c r="Q267" s="32" t="str"/>
      <x:c r="R267" s="32" t="str"/>
      <x:c r="S267" s="32" t="str"/>
      <x:c r="T267" s="82" t="str"/>
      <x:c r="U267" s="32" t="str"/>
      <x:c r="V267" s="84" t="n">
        <x:v>1</x:v>
      </x:c>
      <x:c r="W267" s="84" t="n">
        <x:f>IF(OR($O267="PASS",$O267="EXCEPTION APPROVED",$O267="NOT APPLICABLE"),$V267,0)</x:f>
        <x:v>0</x:v>
      </x:c>
      <x:c r="X267" s="84" t="n">
        <x:f>IF(AND($K267="Yes",OR($O267="FAIL",$O267="BLOCKED",$O267="NOT RUN",$O267="IN PROGRESS")),1,0)</x:f>
        <x:v>1</x:v>
      </x:c>
      <x:c r="Y267" s="32" t="str">
        <x:f>IF($O267="FAIL","FAIL",IF($O267="BLOCKED","BLOCKED",IF(AND($O267="EXCEPTION APPROVED",$K267="Yes"),"REVIEW",IF($O267="PASS","OK","PENDING"))))</x:f>
        <x:v>PENDING</x:v>
      </x:c>
    </x:row>
    <x:row r="268">
      <x:c r="A268" s="32" t="str">
        <x:v>H6-DEC-010</x:v>
      </x:c>
      <x:c r="B268" s="32" t="str">
        <x:v>Paquete de decisión H6</x:v>
      </x:c>
      <x:c r="C268" s="32" t="str">
        <x:v>Control especializado</x:v>
      </x:c>
      <x:c r="D268" s="32" t="str">
        <x:v>La reunión de decisión registra participantes, discrepancias, resultado y acciones.</x:v>
      </x:c>
      <x:c r="E268" s="32" t="str">
        <x:v>Completar acta.</x:v>
      </x:c>
      <x:c r="F268" s="32" t="str">
        <x:v>Cumplimiento verificable sin desviaciones bloqueantes.</x:v>
      </x:c>
      <x:c r="G268" s="32" t="str">
        <x:v>H6 Decision Minutes.</x:v>
      </x:c>
      <x:c r="H268" s="32" t="str">
        <x:v>02_Vertical_Slice_Specification.md; 15_Guia_Maestra.md; 31_H6_and_Release_Readiness_Checklist.xlsx</x:v>
      </x:c>
      <x:c r="I268" s="32" t="str">
        <x:v>Historical package manifests, validation reports and build evidence policies v0.3–v0.6</x:v>
      </x:c>
      <x:c r="J268" s="32" t="str">
        <x:v>H6</x:v>
      </x:c>
      <x:c r="K268" s="32" t="str">
        <x:v>Yes</x:v>
      </x:c>
      <x:c r="L268" s="32" t="str">
        <x:v>P1</x:v>
      </x:c>
      <x:c r="M268" s="32" t="str">
        <x:v>Production</x:v>
      </x:c>
      <x:c r="N268" s="32" t="str">
        <x:v>All Discipline Leads</x:v>
      </x:c>
      <x:c r="O268" s="32" t="str">
        <x:v>NOT RUN</x:v>
      </x:c>
      <x:c r="P268" s="32" t="str"/>
      <x:c r="Q268" s="32" t="str"/>
      <x:c r="R268" s="32" t="str"/>
      <x:c r="S268" s="32" t="str"/>
      <x:c r="T268" s="82" t="str"/>
      <x:c r="U268" s="32" t="str"/>
      <x:c r="V268" s="84" t="n">
        <x:v>1</x:v>
      </x:c>
      <x:c r="W268" s="84" t="n">
        <x:f>IF(OR($O268="PASS",$O268="EXCEPTION APPROVED",$O268="NOT APPLICABLE"),$V268,0)</x:f>
        <x:v>0</x:v>
      </x:c>
      <x:c r="X268" s="84" t="n">
        <x:f>IF(AND($K268="Yes",OR($O268="FAIL",$O268="BLOCKED",$O268="NOT RUN",$O268="IN PROGRESS")),1,0)</x:f>
        <x:v>1</x:v>
      </x:c>
      <x:c r="Y268" s="32" t="str">
        <x:f>IF($O268="FAIL","FAIL",IF($O268="BLOCKED","BLOCKED",IF(AND($O268="EXCEPTION APPROVED",$K268="Yes"),"REVIEW",IF($O268="PASS","OK","PENDING"))))</x:f>
        <x:v>PENDING</x:v>
      </x:c>
    </x:row>
    <x:row r="269">
      <x:c r="A269" s="32" t="str">
        <x:v>H6-DEC-011</x:v>
      </x:c>
      <x:c r="B269" s="32" t="str">
        <x:v>Paquete de decisión H6</x:v>
      </x:c>
      <x:c r="C269" s="32" t="str">
        <x:v>Control especializado</x:v>
      </x:c>
      <x:c r="D269" s="32" t="str">
        <x:v>Un resultado FAIL identifica blockers, propietarios y condición de reentrada.</x:v>
      </x:c>
      <x:c r="E269" s="32" t="str">
        <x:v>Revisar acta y risk/dependency log.</x:v>
      </x:c>
      <x:c r="F269" s="32" t="str">
        <x:v>Cumplimiento verificable sin desviaciones bloqueantes.</x:v>
      </x:c>
      <x:c r="G269" s="32" t="str">
        <x:v>Re-entry plan.</x:v>
      </x:c>
      <x:c r="H269" s="32" t="str">
        <x:v>02_Vertical_Slice_Specification.md; 15_Guia_Maestra.md; 31_H6_and_Release_Readiness_Checklist.xlsx</x:v>
      </x:c>
      <x:c r="I269" s="32" t="str">
        <x:v>Historical package manifests, validation reports and build evidence policies v0.3–v0.6</x:v>
      </x:c>
      <x:c r="J269" s="32" t="str">
        <x:v>H6</x:v>
      </x:c>
      <x:c r="K269" s="32" t="str">
        <x:v>Yes</x:v>
      </x:c>
      <x:c r="L269" s="32" t="str">
        <x:v>P1</x:v>
      </x:c>
      <x:c r="M269" s="32" t="str">
        <x:v>Production</x:v>
      </x:c>
      <x:c r="N269" s="32" t="str">
        <x:v>All Discipline Leads</x:v>
      </x:c>
      <x:c r="O269" s="32" t="str">
        <x:v>NOT RUN</x:v>
      </x:c>
      <x:c r="P269" s="32" t="str"/>
      <x:c r="Q269" s="32" t="str"/>
      <x:c r="R269" s="32" t="str"/>
      <x:c r="S269" s="32" t="str"/>
      <x:c r="T269" s="82" t="str"/>
      <x:c r="U269" s="32" t="str"/>
      <x:c r="V269" s="84" t="n">
        <x:v>1</x:v>
      </x:c>
      <x:c r="W269" s="84" t="n">
        <x:f>IF(OR($O269="PASS",$O269="EXCEPTION APPROVED",$O269="NOT APPLICABLE"),$V269,0)</x:f>
        <x:v>0</x:v>
      </x:c>
      <x:c r="X269" s="84" t="n">
        <x:f>IF(AND($K269="Yes",OR($O269="FAIL",$O269="BLOCKED",$O269="NOT RUN",$O269="IN PROGRESS")),1,0)</x:f>
        <x:v>1</x:v>
      </x:c>
      <x:c r="Y269" s="32" t="str">
        <x:f>IF($O269="FAIL","FAIL",IF($O269="BLOCKED","BLOCKED",IF(AND($O269="EXCEPTION APPROVED",$K269="Yes"),"REVIEW",IF($O269="PASS","OK","PENDING"))))</x:f>
        <x:v>PENDING</x:v>
      </x:c>
    </x:row>
    <x:row r="270">
      <x:c r="A270" s="32" t="str">
        <x:v>H6-DEC-012</x:v>
      </x:c>
      <x:c r="B270" s="32" t="str">
        <x:v>Paquete de decisión H6</x:v>
      </x:c>
      <x:c r="C270" s="32" t="str">
        <x:v>Control especializado</x:v>
      </x:c>
      <x:c r="D270" s="32" t="str">
        <x:v>Un resultado PASS congela la baseline y prohíbe seguir sobre una working copy ambigua.</x:v>
      </x:c>
      <x:c r="E270" s="32" t="str">
        <x:v>Crear tag/baseline y handoff.</x:v>
      </x:c>
      <x:c r="F270" s="32" t="str">
        <x:v>Cumplimiento verificable sin desviaciones bloqueantes.</x:v>
      </x:c>
      <x:c r="G270" s="32" t="str">
        <x:v>Baseline freeze record.</x:v>
      </x:c>
      <x:c r="H270" s="32" t="str">
        <x:v>02_Vertical_Slice_Specification.md; 15_Guia_Maestra.md; 31_H6_and_Release_Readiness_Checklist.xlsx</x:v>
      </x:c>
      <x:c r="I270" s="32" t="str">
        <x:v>Historical package manifests, validation reports and build evidence policies v0.3–v0.6</x:v>
      </x:c>
      <x:c r="J270" s="32" t="str">
        <x:v>H6</x:v>
      </x:c>
      <x:c r="K270" s="32" t="str">
        <x:v>Yes</x:v>
      </x:c>
      <x:c r="L270" s="32" t="str">
        <x:v>P1</x:v>
      </x:c>
      <x:c r="M270" s="32" t="str">
        <x:v>Production</x:v>
      </x:c>
      <x:c r="N270" s="32" t="str">
        <x:v>All Discipline Leads</x:v>
      </x:c>
      <x:c r="O270" s="32" t="str">
        <x:v>NOT RUN</x:v>
      </x:c>
      <x:c r="P270" s="32" t="str"/>
      <x:c r="Q270" s="32" t="str"/>
      <x:c r="R270" s="32" t="str"/>
      <x:c r="S270" s="32" t="str"/>
      <x:c r="T270" s="82" t="str"/>
      <x:c r="U270" s="32" t="str"/>
      <x:c r="V270" s="84" t="n">
        <x:v>1</x:v>
      </x:c>
      <x:c r="W270" s="84" t="n">
        <x:f>IF(OR($O270="PASS",$O270="EXCEPTION APPROVED",$O270="NOT APPLICABLE"),$V270,0)</x:f>
        <x:v>0</x:v>
      </x:c>
      <x:c r="X270" s="84" t="n">
        <x:f>IF(AND($K270="Yes",OR($O270="FAIL",$O270="BLOCKED",$O270="NOT RUN",$O270="IN PROGRESS")),1,0)</x:f>
        <x:v>1</x:v>
      </x:c>
      <x:c r="Y270" s="32" t="str">
        <x:f>IF($O270="FAIL","FAIL",IF($O270="BLOCKED","BLOCKED",IF(AND($O270="EXCEPTION APPROVED",$K270="Yes"),"REVIEW",IF($O270="PASS","OK","PENDING"))))</x:f>
        <x:v>PENDING</x:v>
      </x:c>
    </x:row>
    <x:row r="271">
      <x:c r="A271" s="96" t="str">
        <x:v>H6-DOC-015</x:v>
      </x:c>
      <x:c r="B271" s="96" t="str">
        <x:v>Documentación y trazabilidad</x:v>
      </x:c>
      <x:c r="C271" s="96" t="str">
        <x:v>Validación 32</x:v>
      </x:c>
      <x:c r="D271" s="96" t="str">
        <x:v>El manifiesto 32 existe y distingue con claridad versión RC1, candidata y definitiva.</x:v>
      </x:c>
      <x:c r="E271" s="96" t="str">
        <x:v>Revisar dashboard, inventario, cierre y control de cambios de 32.</x:v>
      </x:c>
      <x:c r="F271" s="96" t="str">
        <x:v>No se confunde presencia del archivo con baseline congelada.</x:v>
      </x:c>
      <x:c r="G271" s="96" t="str">
        <x:v>EVD-DOC-002</x:v>
      </x:c>
      <x:c r="H271" s="96" t="str">
        <x:v>32_Documentation_Baseline_Manifest.xlsx; 13_Trazabilidad_y_Control_de_Cambios.xlsx</x:v>
      </x:c>
      <x:c r="I271" s="96" t="str">
        <x:v>Manifests y validation reports v0.3–v0.6</x:v>
      </x:c>
      <x:c r="J271" s="96" t="str">
        <x:v>H6 / Baseline</x:v>
      </x:c>
      <x:c r="K271" s="96" t="str">
        <x:v>Yes</x:v>
      </x:c>
      <x:c r="L271" s="96" t="str">
        <x:v>P1</x:v>
      </x:c>
      <x:c r="M271" s="96" t="str">
        <x:v>Documentation/Production</x:v>
      </x:c>
      <x:c r="N271" s="96" t="str">
        <x:v>QA/Production</x:v>
      </x:c>
      <x:c r="O271" s="96" t="str">
        <x:v>NOT RUN</x:v>
      </x:c>
      <x:c r="P271" s="96" t="str">
        <x:v>EVD-DOC-002</x:v>
      </x:c>
      <x:c r="Q271" s="96"/>
      <x:c r="R271" s="96" t="str">
        <x:v>31 y 33–34 disponibles</x:v>
      </x:c>
      <x:c r="S271" s="96" t="str">
        <x:v>PKG-DOC-RC1</x:v>
      </x:c>
      <x:c r="T271" s="96"/>
      <x:c r="U271" s="96"/>
      <x:c r="V271" s="96" t="n">
        <x:v>1</x:v>
      </x:c>
      <x:c r="W271" s="96" t="n">
        <x:f>IF(OR($O271="PASS",$O271="EXCEPTION APPROVED",$O271="NOT APPLICABLE"),$V271,0)</x:f>
        <x:v>0</x:v>
      </x:c>
      <x:c r="X271" s="96" t="n">
        <x:f>IF(AND($K271="Yes",OR($O271="FAIL",$O271="BLOCKED",$O271="NOT RUN",$O271="IN PROGRESS")),1,0)</x:f>
        <x:v>1</x:v>
      </x:c>
      <x:c r="Y271" s="96" t="str">
        <x:f>IF($O271="FAIL","FAIL",IF($O271="BLOCKED","BLOCKED",IF(AND($O271="EXCEPTION APPROVED",$K271="Yes"),"REVIEW",IF($O271="PASS","OK","PENDING"))))</x:f>
        <x:v>PENDING</x:v>
      </x:c>
    </x:row>
    <x:row r="272">
      <x:c r="A272" s="96" t="str">
        <x:v>H6-DOC-016</x:v>
      </x:c>
      <x:c r="B272" s="96" t="str">
        <x:v>Documentación y trazabilidad</x:v>
      </x:c>
      <x:c r="C272" s="96" t="str">
        <x:v>Validación 32</x:v>
      </x:c>
      <x:c r="D272" s="96" t="str">
        <x:v>El inventario candidato de 32 contiene 00–34, versiones, tamaños, estados, autoridad, sustituciones y hashes no autorreferentes.</x:v>
      </x:c>
      <x:c r="E272" s="96" t="str">
        <x:v>Muestrear filas y comparar con archivos reales.</x:v>
      </x:c>
      <x:c r="F272" s="96" t="str">
        <x:v>Inventario íntegro y coherente; SHA propio tratado externamente.</x:v>
      </x:c>
      <x:c r="G272" s="96" t="str">
        <x:v>EVD-DOC-002</x:v>
      </x:c>
      <x:c r="H272" s="96" t="str">
        <x:v>32_Documentation_Baseline_Manifest.xlsx; 13_Trazabilidad_y_Control_de_Cambios.xlsx</x:v>
      </x:c>
      <x:c r="I272" s="96" t="str">
        <x:v>Historical manifests/checksums</x:v>
      </x:c>
      <x:c r="J272" s="96" t="str">
        <x:v>H6 / Baseline</x:v>
      </x:c>
      <x:c r="K272" s="96" t="str">
        <x:v>Yes</x:v>
      </x:c>
      <x:c r="L272" s="96" t="str">
        <x:v>P0</x:v>
      </x:c>
      <x:c r="M272" s="96" t="str">
        <x:v>Documentation/Production</x:v>
      </x:c>
      <x:c r="N272" s="96" t="str">
        <x:v>QA/Production</x:v>
      </x:c>
      <x:c r="O272" s="96" t="str">
        <x:v>NOT RUN</x:v>
      </x:c>
      <x:c r="P272" s="96" t="str">
        <x:v>EVD-DOC-002</x:v>
      </x:c>
      <x:c r="Q272" s="96"/>
      <x:c r="R272" s="96" t="str">
        <x:v>32 candidata regenerada</x:v>
      </x:c>
      <x:c r="S272" s="96" t="str">
        <x:v>PKG-DOC-RC1</x:v>
      </x:c>
      <x:c r="T272" s="96"/>
      <x:c r="U272" s="96"/>
      <x:c r="V272" s="96" t="n">
        <x:v>1</x:v>
      </x:c>
      <x:c r="W272" s="96" t="n">
        <x:f>IF(OR($O272="PASS",$O272="EXCEPTION APPROVED",$O272="NOT APPLICABLE"),$V272,0)</x:f>
        <x:v>0</x:v>
      </x:c>
      <x:c r="X272" s="96" t="n">
        <x:f>IF(AND($K272="Yes",OR($O272="FAIL",$O272="BLOCKED",$O272="NOT RUN",$O272="IN PROGRESS")),1,0)</x:f>
        <x:v>1</x:v>
      </x:c>
      <x:c r="Y272" s="96" t="str">
        <x:f>IF($O272="FAIL","FAIL",IF($O272="BLOCKED","BLOCKED",IF(AND($O272="EXCEPTION APPROVED",$K272="Yes"),"REVIEW",IF($O272="PASS","OK","PENDING"))))</x:f>
        <x:v>PENDING</x:v>
      </x:c>
    </x:row>
    <x:row r="273">
      <x:c r="A273" s="96" t="str">
        <x:v>H6-DOC-017</x:v>
      </x:c>
      <x:c r="B273" s="96" t="str">
        <x:v>Documentación y trazabilidad</x:v>
      </x:c>
      <x:c r="C273" s="96" t="str">
        <x:v>Validación 33</x:v>
      </x:c>
      <x:c r="D273" s="96" t="str">
        <x:v>El documento 33 existe y sus riesgos críticos, tratamientos, BIA, dependencias, backups, restauración y ejercicios tienen estructura operativa.</x:v>
      </x:c>
      <x:c r="E273" s="96" t="str">
        <x:v>Revisar hojas clave de 33 y cruzar con 10_Riesgos_Dependencias.</x:v>
      </x:c>
      <x:c r="F273" s="96" t="str">
        <x:v>Contenido completo; estados no verificados permanecen abiertos.</x:v>
      </x:c>
      <x:c r="G273" s="96" t="str">
        <x:v>EVD-DOC-003</x:v>
      </x:c>
      <x:c r="H273" s="96" t="str">
        <x:v>33_Project_Risk_Register_and_Business_Continuity_Plan.xlsx; 27_Security_and_Incident_Response_Plan.md</x:v>
      </x:c>
      <x:c r="I273" s="96" t="str">
        <x:v>Risk/continuity sources v0.3–v0.6</x:v>
      </x:c>
      <x:c r="J273" s="96" t="str">
        <x:v>H6 / Baseline</x:v>
      </x:c>
      <x:c r="K273" s="96" t="str">
        <x:v>Yes</x:v>
      </x:c>
      <x:c r="L273" s="96" t="str">
        <x:v>P1</x:v>
      </x:c>
      <x:c r="M273" s="96" t="str">
        <x:v>Risk/Production</x:v>
      </x:c>
      <x:c r="N273" s="96" t="str">
        <x:v>QA/Security</x:v>
      </x:c>
      <x:c r="O273" s="96" t="str">
        <x:v>NOT RUN</x:v>
      </x:c>
      <x:c r="P273" s="96" t="str">
        <x:v>EVD-DOC-003</x:v>
      </x:c>
      <x:c r="Q273" s="96"/>
      <x:c r="R273" s="96" t="str">
        <x:v>33 actualizado de forma dirigida</x:v>
      </x:c>
      <x:c r="S273" s="96"/>
      <x:c r="T273" s="96"/>
      <x:c r="U273" s="96"/>
      <x:c r="V273" s="96" t="n">
        <x:v>1</x:v>
      </x:c>
      <x:c r="W273" s="96" t="n">
        <x:f>IF(OR($O273="PASS",$O273="EXCEPTION APPROVED",$O273="NOT APPLICABLE"),$V273,0)</x:f>
        <x:v>0</x:v>
      </x:c>
      <x:c r="X273" s="96" t="n">
        <x:f>IF(AND($K273="Yes",OR($O273="FAIL",$O273="BLOCKED",$O273="NOT RUN",$O273="IN PROGRESS")),1,0)</x:f>
        <x:v>1</x:v>
      </x:c>
      <x:c r="Y273" s="96" t="str">
        <x:f>IF($O273="FAIL","FAIL",IF($O273="BLOCKED","BLOCKED",IF(AND($O273="EXCEPTION APPROVED",$K273="Yes"),"REVIEW",IF($O273="PASS","OK","PENDING"))))</x:f>
        <x:v>PENDING</x:v>
      </x:c>
    </x:row>
    <x:row r="274">
      <x:c r="A274" s="96" t="str">
        <x:v>H6-DOC-018</x:v>
      </x:c>
      <x:c r="B274" s="96" t="str">
        <x:v>Documentación y trazabilidad</x:v>
      </x:c>
      <x:c r="C274" s="96" t="str">
        <x:v>Validación 34</x:v>
      </x:c>
      <x:c r="D274" s="96" t="str">
        <x:v>El manual 34 contiene procedimientos actuales para retomar, construir, probar, transferir, recuperar y cerrar el proyecto.</x:v>
      </x:c>
      <x:c r="E274" s="96" t="str">
        <x:v>Ejecutar revisión guiada y prueba de handoff independiente.</x:v>
      </x:c>
      <x:c r="F274" s="96" t="str">
        <x:v>Un colaborador puede orientarse sin contexto de chat y detecta los gates abiertos.</x:v>
      </x:c>
      <x:c r="G274" s="96" t="str">
        <x:v>EVD-DOC-004</x:v>
      </x:c>
      <x:c r="H274" s="96" t="str">
        <x:v>34_Final_Handoff_and_Project_Operations_Manual.md; 15_Guia_Maestra.md</x:v>
      </x:c>
      <x:c r="I274" s="96" t="str">
        <x:v>Historical handoffs v0.3–v0.6</x:v>
      </x:c>
      <x:c r="J274" s="96" t="str">
        <x:v>H6 / Baseline</x:v>
      </x:c>
      <x:c r="K274" s="96" t="str">
        <x:v>Yes</x:v>
      </x:c>
      <x:c r="L274" s="96" t="str">
        <x:v>P1</x:v>
      </x:c>
      <x:c r="M274" s="96" t="str">
        <x:v>Documentation/Production</x:v>
      </x:c>
      <x:c r="N274" s="96" t="str">
        <x:v>Independent Reviewer</x:v>
      </x:c>
      <x:c r="O274" s="96" t="str">
        <x:v>NOT RUN</x:v>
      </x:c>
      <x:c r="P274" s="96" t="str">
        <x:v>EVD-DOC-004</x:v>
      </x:c>
      <x:c r="Q274" s="96"/>
      <x:c r="R274" s="96" t="str">
        <x:v>34 actualizado después de 33</x:v>
      </x:c>
      <x:c r="S274" s="96"/>
      <x:c r="T274" s="96"/>
      <x:c r="U274" s="96"/>
      <x:c r="V274" s="96" t="n">
        <x:v>1</x:v>
      </x:c>
      <x:c r="W274" s="96" t="n">
        <x:f>IF(OR($O274="PASS",$O274="EXCEPTION APPROVED",$O274="NOT APPLICABLE"),$V274,0)</x:f>
        <x:v>0</x:v>
      </x:c>
      <x:c r="X274" s="96" t="n">
        <x:f>IF(AND($K274="Yes",OR($O274="FAIL",$O274="BLOCKED",$O274="NOT RUN",$O274="IN PROGRESS")),1,0)</x:f>
        <x:v>1</x:v>
      </x:c>
      <x:c r="Y274" s="96" t="str">
        <x:f>IF($O274="FAIL","FAIL",IF($O274="BLOCKED","BLOCKED",IF(AND($O274="EXCEPTION APPROVED",$K274="Yes"),"REVIEW",IF($O274="PASS","OK","PENDING"))))</x:f>
        <x:v>PENDING</x:v>
      </x:c>
    </x:row>
    <x:row r="275">
      <x:c r="A275" s="96" t="str">
        <x:v>H6-DOC-019</x:v>
      </x:c>
      <x:c r="B275" s="96" t="str">
        <x:v>Documentación y trazabilidad</x:v>
      </x:c>
      <x:c r="C275" s="96" t="str">
        <x:v>Gobierno actualizado</x:v>
      </x:c>
      <x:c r="D275" s="96" t="str">
        <x:v>12, 13, 14, 15, 21, 23 y 31 reflejan 00–34 y el estado real de H6, release, continuidad y baseline.</x:v>
      </x:c>
      <x:c r="E275" s="96" t="str">
        <x:v>Cruzar versiones, hashes externos y referencias mutuas.</x:v>
      </x:c>
      <x:c r="F275" s="96" t="str">
        <x:v>No quedan referencias que traten 32–34 como documentos futuros.</x:v>
      </x:c>
      <x:c r="G275" s="96" t="str">
        <x:v>EVD-DOC-001</x:v>
      </x:c>
      <x:c r="H275" s="96" t="str">
        <x:v>12_Excel_Maestro_de_Produccion.xlsx; 13_Trazabilidad_y_Control_de_Cambios.xlsx; 14_Project_Binder_Indice_Maestro.md; 15_Guia_Maestra.md; 21_Initial_Content_Catalog.xlsx; 23_Legal_Credits_and_Licenses_Register.xlsx; 31_H6_and_Release_Readiness_Checklist.xlsx</x:v>
      </x:c>
      <x:c r="I275" s="96" t="str">
        <x:v>Governance workbooks and binders</x:v>
      </x:c>
      <x:c r="J275" s="96" t="str">
        <x:v>H6 / Baseline</x:v>
      </x:c>
      <x:c r="K275" s="96" t="str">
        <x:v>Yes</x:v>
      </x:c>
      <x:c r="L275" s="96" t="str">
        <x:v>P1</x:v>
      </x:c>
      <x:c r="M275" s="96" t="str">
        <x:v>Documentation/Production</x:v>
      </x:c>
      <x:c r="N275" s="96" t="str">
        <x:v>QA/Production</x:v>
      </x:c>
      <x:c r="O275" s="96" t="str">
        <x:v>NOT RUN</x:v>
      </x:c>
      <x:c r="P275" s="96" t="str">
        <x:v>EVD-DOC-001</x:v>
      </x:c>
      <x:c r="Q275" s="96"/>
      <x:c r="R275" s="96" t="str">
        <x:v>Regeneraciones post-RC1 disponibles</x:v>
      </x:c>
      <x:c r="S275" s="96" t="str">
        <x:v>PKG-DOC-RC1</x:v>
      </x:c>
      <x:c r="T275" s="96"/>
      <x:c r="U275" s="96"/>
      <x:c r="V275" s="96" t="n">
        <x:v>1</x:v>
      </x:c>
      <x:c r="W275" s="96" t="n">
        <x:f>IF(OR($O275="PASS",$O275="EXCEPTION APPROVED",$O275="NOT APPLICABLE"),$V275,0)</x:f>
        <x:v>0</x:v>
      </x:c>
      <x:c r="X275" s="96" t="n">
        <x:f>IF(AND($K275="Yes",OR($O275="FAIL",$O275="BLOCKED",$O275="NOT RUN",$O275="IN PROGRESS")),1,0)</x:f>
        <x:v>1</x:v>
      </x:c>
      <x:c r="Y275" s="96" t="str">
        <x:f>IF($O275="FAIL","FAIL",IF($O275="BLOCKED","BLOCKED",IF(AND($O275="EXCEPTION APPROVED",$K275="Yes"),"REVIEW",IF($O275="PASS","OK","PENDING"))))</x:f>
        <x:v>PENDING</x:v>
      </x:c>
    </x:row>
    <x:row r="276">
      <x:c r="A276" s="96" t="str">
        <x:v>H6-DOC-020</x:v>
      </x:c>
      <x:c r="B276" s="96" t="str">
        <x:v>Documentación y trazabilidad</x:v>
      </x:c>
      <x:c r="C276" s="96" t="str">
        <x:v>Auditoría candidata</x:v>
      </x:c>
      <x:c r="D276" s="96" t="str">
        <x:v>16 se regenera sobre el conjunto completo y clasifica hallazgos como BLOCKER, HIGH, MEDIUM, LOW o INFORMATIONAL.</x:v>
      </x:c>
      <x:c r="E276" s="96" t="str">
        <x:v>Ejecutar auditoría estructural, técnica, producción, legal e integridad.</x:v>
      </x:c>
      <x:c r="F276" s="96" t="str">
        <x:v>Todos los hallazgos quedan registrados y enlazados.</x:v>
      </x:c>
      <x:c r="G276" s="96" t="str">
        <x:v>EVD-DOC-005</x:v>
      </x:c>
      <x:c r="H276" s="96" t="str">
        <x:v>16_Auditoria_Global_de_Coherencia.md; 13_Trazabilidad_y_Control_de_Cambios.xlsx</x:v>
      </x:c>
      <x:c r="I276" s="96" t="str">
        <x:v>Validation reports v0.3–v0.6</x:v>
      </x:c>
      <x:c r="J276" s="96" t="str">
        <x:v>H6 / Baseline</x:v>
      </x:c>
      <x:c r="K276" s="96" t="str">
        <x:v>Yes</x:v>
      </x:c>
      <x:c r="L276" s="96" t="str">
        <x:v>P0</x:v>
      </x:c>
      <x:c r="M276" s="96" t="str">
        <x:v>Documentation/QA</x:v>
      </x:c>
      <x:c r="N276" s="96" t="str">
        <x:v>Project Owner</x:v>
      </x:c>
      <x:c r="O276" s="96" t="str">
        <x:v>NOT RUN</x:v>
      </x:c>
      <x:c r="P276" s="96" t="str">
        <x:v>EVD-DOC-005</x:v>
      </x:c>
      <x:c r="Q276" s="96"/>
      <x:c r="R276" s="96" t="str">
        <x:v>32 candidata disponible</x:v>
      </x:c>
      <x:c r="S276" s="96" t="str">
        <x:v>PKG-DOC-RC1</x:v>
      </x:c>
      <x:c r="T276" s="96"/>
      <x:c r="U276" s="96"/>
      <x:c r="V276" s="96" t="n">
        <x:v>1</x:v>
      </x:c>
      <x:c r="W276" s="96" t="n">
        <x:f>IF(OR($O276="PASS",$O276="EXCEPTION APPROVED",$O276="NOT APPLICABLE"),$V276,0)</x:f>
        <x:v>0</x:v>
      </x:c>
      <x:c r="X276" s="96" t="n">
        <x:f>IF(AND($K276="Yes",OR($O276="FAIL",$O276="BLOCKED",$O276="NOT RUN",$O276="IN PROGRESS")),1,0)</x:f>
        <x:v>1</x:v>
      </x:c>
      <x:c r="Y276" s="96" t="str">
        <x:f>IF($O276="FAIL","FAIL",IF($O276="BLOCKED","BLOCKED",IF(AND($O276="EXCEPTION APPROVED",$K276="Yes"),"REVIEW",IF($O276="PASS","OK","PENDING"))))</x:f>
        <x:v>PENDING</x:v>
      </x:c>
    </x:row>
    <x:row r="277">
      <x:c r="A277" s="96" t="str">
        <x:v>H6-DOC-021</x:v>
      </x:c>
      <x:c r="B277" s="96" t="str">
        <x:v>Documentación y trazabilidad</x:v>
      </x:c>
      <x:c r="C277" s="96" t="str">
        <x:v>Auditoría final</x:v>
      </x:c>
      <x:c r="D277" s="96" t="str">
        <x:v>No existen hallazgos BLOCKER/HIGH abiertos ni excepciones sin aprobación formal en la auditoría final 16.</x:v>
      </x:c>
      <x:c r="E277" s="96" t="str">
        <x:v>Revisar 16 final, 13, 06 y signoffs.</x:v>
      </x:c>
      <x:c r="F277" s="96" t="str">
        <x:v>Cero bloqueantes documentales sin resolver.</x:v>
      </x:c>
      <x:c r="G277" s="96" t="str">
        <x:v>EVD-DOC-005</x:v>
      </x:c>
      <x:c r="H277" s="96" t="str">
        <x:v>16_Auditoria_Global_de_Coherencia.md; 13_Trazabilidad_y_Control_de_Cambios.xlsx; 06_Defectos_Excepciones</x:v>
      </x:c>
      <x:c r="I277" s="96" t="str">
        <x:v>Validation reports v0.3–v0.6</x:v>
      </x:c>
      <x:c r="J277" s="96" t="str">
        <x:v>H6 / Baseline</x:v>
      </x:c>
      <x:c r="K277" s="96" t="str">
        <x:v>Yes</x:v>
      </x:c>
      <x:c r="L277" s="96" t="str">
        <x:v>P0</x:v>
      </x:c>
      <x:c r="M277" s="96" t="str">
        <x:v>Documentation/QA</x:v>
      </x:c>
      <x:c r="N277" s="96" t="str">
        <x:v>Project Owner</x:v>
      </x:c>
      <x:c r="O277" s="96" t="str">
        <x:v>NOT RUN</x:v>
      </x:c>
      <x:c r="P277" s="96" t="str">
        <x:v>EVD-DOC-005</x:v>
      </x:c>
      <x:c r="Q277" s="96"/>
      <x:c r="R277" s="96" t="str">
        <x:v>Correcciones de auditoría aplicadas</x:v>
      </x:c>
      <x:c r="S277" s="96" t="str">
        <x:v>PKG-DOC-FINAL</x:v>
      </x:c>
      <x:c r="T277" s="96"/>
      <x:c r="U277" s="96"/>
      <x:c r="V277" s="96" t="n">
        <x:v>1</x:v>
      </x:c>
      <x:c r="W277" s="96" t="n">
        <x:f>IF(OR($O277="PASS",$O277="EXCEPTION APPROVED",$O277="NOT APPLICABLE"),$V277,0)</x:f>
        <x:v>0</x:v>
      </x:c>
      <x:c r="X277" s="96" t="n">
        <x:f>IF(AND($K277="Yes",OR($O277="FAIL",$O277="BLOCKED",$O277="NOT RUN",$O277="IN PROGRESS")),1,0)</x:f>
        <x:v>1</x:v>
      </x:c>
      <x:c r="Y277" s="96" t="str">
        <x:f>IF($O277="FAIL","FAIL",IF($O277="BLOCKED","BLOCKED",IF(AND($O277="EXCEPTION APPROVED",$K277="Yes"),"REVIEW",IF($O277="PASS","OK","PENDING"))))</x:f>
        <x:v>PENDING</x:v>
      </x:c>
    </x:row>
    <x:row r="278">
      <x:c r="A278" s="96" t="str">
        <x:v>H6-DOC-022</x:v>
      </x:c>
      <x:c r="B278" s="96" t="str">
        <x:v>Documentación y trazabilidad</x:v>
      </x:c>
      <x:c r="C278" s="96" t="str">
        <x:v>Artefactos externos</x:v>
      </x:c>
      <x:c r="D278" s="96" t="str">
        <x:v>PACKAGE_MANIFEST, CHECKSUMS_SHA256, DOCUMENTATION_VALIDATION_REPORT, VERSION, README_FIRST, BASELINE_CHANGELOG y RESTORE_AND_VERIFY están presentes y coherentes.</x:v>
      </x:c>
      <x:c r="E278" s="96" t="str">
        <x:v>Validar lista blanca, contenido y referencias.</x:v>
      </x:c>
      <x:c r="F278" s="96" t="str">
        <x:v>Artefactos externos completos y sin información provisional engañosa.</x:v>
      </x:c>
      <x:c r="G278" s="96" t="str">
        <x:v>EVD-DOC-006</x:v>
      </x:c>
      <x:c r="H278" s="96" t="str">
        <x:v>32_Documentation_Baseline_Manifest.xlsx; 34_Final_Handoff_and_Project_Operations_Manual.md</x:v>
      </x:c>
      <x:c r="I278" s="96" t="str">
        <x:v>Historical manifests/checksums</x:v>
      </x:c>
      <x:c r="J278" s="96" t="str">
        <x:v>H6 / Baseline</x:v>
      </x:c>
      <x:c r="K278" s="96" t="str">
        <x:v>Yes</x:v>
      </x:c>
      <x:c r="L278" s="96" t="str">
        <x:v>P1</x:v>
      </x:c>
      <x:c r="M278" s="96" t="str">
        <x:v>Documentation/Build</x:v>
      </x:c>
      <x:c r="N278" s="96" t="str">
        <x:v>QA/Production</x:v>
      </x:c>
      <x:c r="O278" s="96" t="str">
        <x:v>NOT RUN</x:v>
      </x:c>
      <x:c r="P278" s="96" t="str">
        <x:v>EVD-DOC-006</x:v>
      </x:c>
      <x:c r="Q278" s="96"/>
      <x:c r="R278" s="96" t="str">
        <x:v>16 final y 32 final</x:v>
      </x:c>
      <x:c r="S278" s="96" t="str">
        <x:v>PKG-DOC-FINAL</x:v>
      </x:c>
      <x:c r="T278" s="96"/>
      <x:c r="U278" s="96"/>
      <x:c r="V278" s="96" t="n">
        <x:v>1</x:v>
      </x:c>
      <x:c r="W278" s="96" t="n">
        <x:f>IF(OR($O278="PASS",$O278="EXCEPTION APPROVED",$O278="NOT APPLICABLE"),$V278,0)</x:f>
        <x:v>0</x:v>
      </x:c>
      <x:c r="X278" s="96" t="n">
        <x:f>IF(AND($K278="Yes",OR($O278="FAIL",$O278="BLOCKED",$O278="NOT RUN",$O278="IN PROGRESS")),1,0)</x:f>
        <x:v>1</x:v>
      </x:c>
      <x:c r="Y278" s="96" t="str">
        <x:f>IF($O278="FAIL","FAIL",IF($O278="BLOCKED","BLOCKED",IF(AND($O278="EXCEPTION APPROVED",$K278="Yes"),"REVIEW",IF($O278="PASS","OK","PENDING"))))</x:f>
        <x:v>PENDING</x:v>
      </x:c>
    </x:row>
    <x:row r="279">
      <x:c r="A279" s="96" t="str">
        <x:v>H6-DOC-023</x:v>
      </x:c>
      <x:c r="B279" s="96" t="str">
        <x:v>Documentación y trazabilidad</x:v>
      </x:c>
      <x:c r="C279" s="96" t="str">
        <x:v>Integridad de paquete</x:v>
      </x:c>
      <x:c r="D279" s="96" t="str">
        <x:v>El ZIP inmutable se genera desde lista blanca, excluye drafts/previews/temporales y todos los hashes coinciden tras extracción.</x:v>
      </x:c>
      <x:c r="E279" s="96" t="str">
        <x:v>Crear ZIP, calcular SHA externo, extraer y verificar recursivamente.</x:v>
      </x:c>
      <x:c r="F279" s="96" t="str">
        <x:v>Integridad PASS sin archivos inesperados.</x:v>
      </x:c>
      <x:c r="G279" s="96" t="str">
        <x:v>EVD-DOC-006</x:v>
      </x:c>
      <x:c r="H279" s="96" t="str">
        <x:v>32_Documentation_Baseline_Manifest.xlsx; 34_Final_Handoff_and_Project_Operations_Manual.md</x:v>
      </x:c>
      <x:c r="I279" s="96" t="str">
        <x:v>Historical package validation</x:v>
      </x:c>
      <x:c r="J279" s="96" t="str">
        <x:v>H6 / Baseline</x:v>
      </x:c>
      <x:c r="K279" s="96" t="str">
        <x:v>Yes</x:v>
      </x:c>
      <x:c r="L279" s="96" t="str">
        <x:v>P0</x:v>
      </x:c>
      <x:c r="M279" s="96" t="str">
        <x:v>Documentation/Build</x:v>
      </x:c>
      <x:c r="N279" s="96" t="str">
        <x:v>QA/Security</x:v>
      </x:c>
      <x:c r="O279" s="96" t="str">
        <x:v>NOT RUN</x:v>
      </x:c>
      <x:c r="P279" s="96" t="str">
        <x:v>EVD-DOC-006</x:v>
      </x:c>
      <x:c r="Q279" s="96"/>
      <x:c r="R279" s="96" t="str">
        <x:v>Paquete final preparado</x:v>
      </x:c>
      <x:c r="S279" s="96" t="str">
        <x:v>PKG-DOC-FINAL</x:v>
      </x:c>
      <x:c r="T279" s="96"/>
      <x:c r="U279" s="96"/>
      <x:c r="V279" s="96" t="n">
        <x:v>1</x:v>
      </x:c>
      <x:c r="W279" s="96" t="n">
        <x:f>IF(OR($O279="PASS",$O279="EXCEPTION APPROVED",$O279="NOT APPLICABLE"),$V279,0)</x:f>
        <x:v>0</x:v>
      </x:c>
      <x:c r="X279" s="96" t="n">
        <x:f>IF(AND($K279="Yes",OR($O279="FAIL",$O279="BLOCKED",$O279="NOT RUN",$O279="IN PROGRESS")),1,0)</x:f>
        <x:v>1</x:v>
      </x:c>
      <x:c r="Y279" s="96" t="str">
        <x:f>IF($O279="FAIL","FAIL",IF($O279="BLOCKED","BLOCKED",IF(AND($O279="EXCEPTION APPROVED",$K279="Yes"),"REVIEW",IF($O279="PASS","OK","PENDING"))))</x:f>
        <x:v>PENDING</x:v>
      </x:c>
    </x:row>
    <x:row r="280">
      <x:c r="A280" s="96" t="str">
        <x:v>H6-DOC-024</x:v>
      </x:c>
      <x:c r="B280" s="96" t="str">
        <x:v>Documentación y trazabilidad</x:v>
      </x:c>
      <x:c r="C280" s="96" t="str">
        <x:v>Restauración</x:v>
      </x:c>
      <x:c r="D280" s="96" t="str">
        <x:v>La baseline y el proyecto se restauran en ubicación independiente y el procedimiento queda registrado.</x:v>
      </x:c>
      <x:c r="E280" s="96" t="str">
        <x:v>Ejecutar prueba limpia de extracción, apertura de Excel/Markdown y verificación de hashes.</x:v>
      </x:c>
      <x:c r="F280" s="96" t="str">
        <x:v>Restauración reproducible y registro firmado.</x:v>
      </x:c>
      <x:c r="G280" s="96" t="str">
        <x:v>EVD-DOC-007</x:v>
      </x:c>
      <x:c r="H280" s="96" t="str">
        <x:v>33_Project_Risk_Register_and_Business_Continuity_Plan.xlsx; 34_Final_Handoff_and_Project_Operations_Manual.md</x:v>
      </x:c>
      <x:c r="I280" s="96" t="str">
        <x:v>Historical recovery procedures</x:v>
      </x:c>
      <x:c r="J280" s="96" t="str">
        <x:v>H6 / Baseline</x:v>
      </x:c>
      <x:c r="K280" s="96" t="str">
        <x:v>Yes</x:v>
      </x:c>
      <x:c r="L280" s="96" t="str">
        <x:v>P0</x:v>
      </x:c>
      <x:c r="M280" s="96" t="str">
        <x:v>Documentation/Production</x:v>
      </x:c>
      <x:c r="N280" s="96" t="str">
        <x:v>Independent Reviewer</x:v>
      </x:c>
      <x:c r="O280" s="96" t="str">
        <x:v>NOT RUN</x:v>
      </x:c>
      <x:c r="P280" s="96" t="str">
        <x:v>EVD-DOC-007</x:v>
      </x:c>
      <x:c r="Q280" s="96"/>
      <x:c r="R280" s="96" t="str">
        <x:v>PKG-DOC-FINAL disponible</x:v>
      </x:c>
      <x:c r="S280" s="96" t="str">
        <x:v>PKG-DOC-FINAL</x:v>
      </x:c>
      <x:c r="T280" s="96"/>
      <x:c r="U280" s="96"/>
      <x:c r="V280" s="96" t="n">
        <x:v>1</x:v>
      </x:c>
      <x:c r="W280" s="96" t="n">
        <x:f>IF(OR($O280="PASS",$O280="EXCEPTION APPROVED",$O280="NOT APPLICABLE"),$V280,0)</x:f>
        <x:v>0</x:v>
      </x:c>
      <x:c r="X280" s="96" t="n">
        <x:f>IF(AND($K280="Yes",OR($O280="FAIL",$O280="BLOCKED",$O280="NOT RUN",$O280="IN PROGRESS")),1,0)</x:f>
        <x:v>1</x:v>
      </x:c>
      <x:c r="Y280" s="96" t="str">
        <x:f>IF($O280="FAIL","FAIL",IF($O280="BLOCKED","BLOCKED",IF(AND($O280="EXCEPTION APPROVED",$K280="Yes"),"REVIEW",IF($O280="PASS","OK","PENDING"))))</x:f>
        <x:v>PENDING</x:v>
      </x:c>
    </x:row>
    <x:row r="281">
      <x:c r="A281" s="96" t="str">
        <x:v>H6-DOC-025</x:v>
      </x:c>
      <x:c r="B281" s="96" t="str">
        <x:v>Documentación y trazabilidad</x:v>
      </x:c>
      <x:c r="C281" s="96" t="str">
        <x:v>Git y versionado</x:v>
      </x:c>
      <x:c r="D281" s="96" t="str">
        <x:v>Commit SHA, tag documental, versión de Unity y relación con el proyecto están registrados en 13, 32, 34 y PACKAGE_MANIFEST.</x:v>
      </x:c>
      <x:c r="E281" s="96" t="str">
        <x:v>Comparar repositorio, tag y documentos.</x:v>
      </x:c>
      <x:c r="F281" s="96" t="str">
        <x:v>Todos los identificadores coinciden.</x:v>
      </x:c>
      <x:c r="G281" s="96" t="str">
        <x:v>EVD-DOC-008</x:v>
      </x:c>
      <x:c r="H281" s="96" t="str">
        <x:v>13_Trazabilidad_y_Control_de_Cambios.xlsx; 32_Documentation_Baseline_Manifest.xlsx; 34_Final_Handoff_and_Project_Operations_Manual.md</x:v>
      </x:c>
      <x:c r="I281" s="96" t="str">
        <x:v>Historical baseline tags/commits</x:v>
      </x:c>
      <x:c r="J281" s="96" t="str">
        <x:v>H6 / Baseline</x:v>
      </x:c>
      <x:c r="K281" s="96" t="str">
        <x:v>Yes</x:v>
      </x:c>
      <x:c r="L281" s="96" t="str">
        <x:v>P1</x:v>
      </x:c>
      <x:c r="M281" s="96" t="str">
        <x:v>Documentation/Production</x:v>
      </x:c>
      <x:c r="N281" s="96" t="str">
        <x:v>Build/QA</x:v>
      </x:c>
      <x:c r="O281" s="96" t="str">
        <x:v>NOT RUN</x:v>
      </x:c>
      <x:c r="P281" s="96" t="str">
        <x:v>EVD-DOC-008</x:v>
      </x:c>
      <x:c r="Q281" s="96"/>
      <x:c r="R281" s="96" t="str">
        <x:v>Commit y tag creados</x:v>
      </x:c>
      <x:c r="S281" s="96" t="str">
        <x:v>PKG-DOC-FINAL</x:v>
      </x:c>
      <x:c r="T281" s="96"/>
      <x:c r="U281" s="96"/>
      <x:c r="V281" s="96" t="n">
        <x:v>1</x:v>
      </x:c>
      <x:c r="W281" s="96" t="n">
        <x:f>IF(OR($O281="PASS",$O281="EXCEPTION APPROVED",$O281="NOT APPLICABLE"),$V281,0)</x:f>
        <x:v>0</x:v>
      </x:c>
      <x:c r="X281" s="96" t="n">
        <x:f>IF(AND($K281="Yes",OR($O281="FAIL",$O281="BLOCKED",$O281="NOT RUN",$O281="IN PROGRESS")),1,0)</x:f>
        <x:v>1</x:v>
      </x:c>
      <x:c r="Y281" s="96" t="str">
        <x:f>IF($O281="FAIL","FAIL",IF($O281="BLOCKED","BLOCKED",IF(AND($O281="EXCEPTION APPROVED",$K281="Yes"),"REVIEW",IF($O281="PASS","OK","PENDING"))))</x:f>
        <x:v>PENDING</x:v>
      </x:c>
    </x:row>
    <x:row r="282">
      <x:c r="A282" s="96" t="str">
        <x:v>H6-DOC-026</x:v>
      </x:c>
      <x:c r="B282" s="96" t="str">
        <x:v>Documentación y trazabilidad</x:v>
      </x:c>
      <x:c r="C282" s="96" t="str">
        <x:v>Autorreferencia de hash</x:v>
      </x:c>
      <x:c r="D282" s="96" t="str">
        <x:v>Los hashes de 31, 32 y del ZIP se registran en artefactos externos posteriores sin ciclos ni valores obsoletos.</x:v>
      </x:c>
      <x:c r="E282" s="96" t="str">
        <x:v>Recalcular en orden y verificar manifest externo.</x:v>
      </x:c>
      <x:c r="F282" s="96" t="str">
        <x:v>No existe hash autorreferente o inválido.</x:v>
      </x:c>
      <x:c r="G282" s="96" t="str">
        <x:v>EVD-DOC-006</x:v>
      </x:c>
      <x:c r="H282" s="96" t="str">
        <x:v>32_Documentation_Baseline_Manifest.xlsx; CHECKSUMS_SHA256.txt</x:v>
      </x:c>
      <x:c r="I282" s="96" t="str">
        <x:v>Historical checksum rules</x:v>
      </x:c>
      <x:c r="J282" s="96" t="str">
        <x:v>H6 / Baseline</x:v>
      </x:c>
      <x:c r="K282" s="96" t="str">
        <x:v>Yes</x:v>
      </x:c>
      <x:c r="L282" s="96" t="str">
        <x:v>P0</x:v>
      </x:c>
      <x:c r="M282" s="96" t="str">
        <x:v>Documentation/Build</x:v>
      </x:c>
      <x:c r="N282" s="96" t="str">
        <x:v>QA</x:v>
      </x:c>
      <x:c r="O282" s="96" t="str">
        <x:v>NOT RUN</x:v>
      </x:c>
      <x:c r="P282" s="96" t="str">
        <x:v>EVD-DOC-006</x:v>
      </x:c>
      <x:c r="Q282" s="96"/>
      <x:c r="R282" s="96" t="str">
        <x:v>Exportaciones finales completadas</x:v>
      </x:c>
      <x:c r="S282" s="96" t="str">
        <x:v>PKG-DOC-FINAL</x:v>
      </x:c>
      <x:c r="T282" s="96"/>
      <x:c r="U282" s="96"/>
      <x:c r="V282" s="96" t="n">
        <x:v>1</x:v>
      </x:c>
      <x:c r="W282" s="96" t="n">
        <x:f>IF(OR($O282="PASS",$O282="EXCEPTION APPROVED",$O282="NOT APPLICABLE"),$V282,0)</x:f>
        <x:v>0</x:v>
      </x:c>
      <x:c r="X282" s="96" t="n">
        <x:f>IF(AND($K282="Yes",OR($O282="FAIL",$O282="BLOCKED",$O282="NOT RUN",$O282="IN PROGRESS")),1,0)</x:f>
        <x:v>1</x:v>
      </x:c>
      <x:c r="Y282" s="96" t="str">
        <x:f>IF($O282="FAIL","FAIL",IF($O282="BLOCKED","BLOCKED",IF(AND($O282="EXCEPTION APPROVED",$K282="Yes"),"REVIEW",IF($O282="PASS","OK","PENDING"))))</x:f>
        <x:v>PENDING</x:v>
      </x:c>
    </x:row>
    <x:row r="283">
      <x:c r="A283" s="96" t="str">
        <x:v>H6-DOC-027</x:v>
      </x:c>
      <x:c r="B283" s="96" t="str">
        <x:v>Documentación y trazabilidad</x:v>
      </x:c>
      <x:c r="C283" s="96" t="str">
        <x:v>Trazabilidad histórica</x:v>
      </x:c>
      <x:c r="D283" s="96" t="str">
        <x:v>31 conserva fuentes históricas y añade 31–34 sin reescribir decisiones previas ni presentar hashes antiguos como vigentes.</x:v>
      </x:c>
      <x:c r="E283" s="96" t="str">
        <x:v>Muestrear 09_Trazabilidad_Historica y comparar con 13/32.</x:v>
      </x:c>
      <x:c r="F283" s="96" t="str">
        <x:v>Genealogía completa y estado actual distinguible.</x:v>
      </x:c>
      <x:c r="G283" s="96" t="str">
        <x:v>EVD-DOC-001</x:v>
      </x:c>
      <x:c r="H283" s="96" t="str">
        <x:v>13_Trazabilidad_y_Control_de_Cambios.xlsx; 31_H6_and_Release_Readiness_Checklist.xlsx; 32_Documentation_Baseline_Manifest.xlsx</x:v>
      </x:c>
      <x:c r="I283" s="96" t="str">
        <x:v>Baselines v0.3–v0.6 and sprint records</x:v>
      </x:c>
      <x:c r="J283" s="96" t="str">
        <x:v>H6 / Baseline</x:v>
      </x:c>
      <x:c r="K283" s="96" t="str">
        <x:v>Yes</x:v>
      </x:c>
      <x:c r="L283" s="96" t="str">
        <x:v>P1</x:v>
      </x:c>
      <x:c r="M283" s="96" t="str">
        <x:v>Documentation/Production</x:v>
      </x:c>
      <x:c r="N283" s="96" t="str">
        <x:v>QA/Production</x:v>
      </x:c>
      <x:c r="O283" s="96" t="str">
        <x:v>NOT RUN</x:v>
      </x:c>
      <x:c r="P283" s="96" t="str">
        <x:v>EVD-DOC-001</x:v>
      </x:c>
      <x:c r="Q283" s="96"/>
      <x:c r="R283" s="96" t="str">
        <x:v>31 regenerado</x:v>
      </x:c>
      <x:c r="S283" s="96" t="str">
        <x:v>PKG-DOC-RC1</x:v>
      </x:c>
      <x:c r="T283" s="96"/>
      <x:c r="U283" s="96"/>
      <x:c r="V283" s="96" t="n">
        <x:v>1</x:v>
      </x:c>
      <x:c r="W283" s="96" t="n">
        <x:f>IF(OR($O283="PASS",$O283="EXCEPTION APPROVED",$O283="NOT APPLICABLE"),$V283,0)</x:f>
        <x:v>0</x:v>
      </x:c>
      <x:c r="X283" s="96" t="n">
        <x:f>IF(AND($K283="Yes",OR($O283="FAIL",$O283="BLOCKED",$O283="NOT RUN",$O283="IN PROGRESS")),1,0)</x:f>
        <x:v>1</x:v>
      </x:c>
      <x:c r="Y283" s="96" t="str">
        <x:f>IF($O283="FAIL","FAIL",IF($O283="BLOCKED","BLOCKED",IF(AND($O283="EXCEPTION APPROVED",$K283="Yes"),"REVIEW",IF($O283="PASS","OK","PENDING"))))</x:f>
        <x:v>PENDING</x:v>
      </x:c>
    </x:row>
    <x:row r="284">
      <x:c r="A284" s="96" t="str">
        <x:v>H6-DOC-028</x:v>
      </x:c>
      <x:c r="B284" s="96" t="str">
        <x:v>Documentación y trazabilidad</x:v>
      </x:c>
      <x:c r="C284" s="96" t="str">
        <x:v>Estado operativo</x:v>
      </x:c>
      <x:c r="D284" s="96" t="str">
        <x:v>Ningún control H6, release, riesgo, continuidad o baseline se marca PASS solo por existir un documento o una plantilla.</x:v>
      </x:c>
      <x:c r="E284" s="96" t="str">
        <x:v>Inspeccionar dashboards, fórmulas y estados iniciales.</x:v>
      </x:c>
      <x:c r="F284" s="96" t="str">
        <x:v>Todos los controles sin evidencia permanecen NOT RUN/MISSING/OPEN.</x:v>
      </x:c>
      <x:c r="G284" s="96" t="str">
        <x:v>EVD-DOC-001</x:v>
      </x:c>
      <x:c r="H284" s="96" t="str">
        <x:v>31_H6_and_Release_Readiness_Checklist.xlsx; 33_Project_Risk_Register_and_Business_Continuity_Plan.xlsx</x:v>
      </x:c>
      <x:c r="I284" s="96" t="str">
        <x:v>Historical gate evidence policies</x:v>
      </x:c>
      <x:c r="J284" s="96" t="str">
        <x:v>H6 / Baseline</x:v>
      </x:c>
      <x:c r="K284" s="96" t="str">
        <x:v>Yes</x:v>
      </x:c>
      <x:c r="L284" s="96" t="str">
        <x:v>P0</x:v>
      </x:c>
      <x:c r="M284" s="96" t="str">
        <x:v>QA/Production</x:v>
      </x:c>
      <x:c r="N284" s="96" t="str">
        <x:v>Project Owner</x:v>
      </x:c>
      <x:c r="O284" s="96" t="str">
        <x:v>NOT RUN</x:v>
      </x:c>
      <x:c r="P284" s="96" t="str">
        <x:v>EVD-DOC-001</x:v>
      </x:c>
      <x:c r="Q284" s="96"/>
      <x:c r="R284" s="96" t="str">
        <x:v>Regeneración 31 finalizada</x:v>
      </x:c>
      <x:c r="S284" s="96" t="str">
        <x:v>PKG-DOC-RC1</x:v>
      </x:c>
      <x:c r="T284" s="96"/>
      <x:c r="U284" s="96"/>
      <x:c r="V284" s="96" t="n">
        <x:v>1</x:v>
      </x:c>
      <x:c r="W284" s="96" t="n">
        <x:f>IF(OR($O284="PASS",$O284="EXCEPTION APPROVED",$O284="NOT APPLICABLE"),$V284,0)</x:f>
        <x:v>0</x:v>
      </x:c>
      <x:c r="X284" s="96" t="n">
        <x:f>IF(AND($K284="Yes",OR($O284="FAIL",$O284="BLOCKED",$O284="NOT RUN",$O284="IN PROGRESS")),1,0)</x:f>
        <x:v>1</x:v>
      </x:c>
      <x:c r="Y284" s="96" t="str">
        <x:f>IF($O284="FAIL","FAIL",IF($O284="BLOCKED","BLOCKED",IF(AND($O284="EXCEPTION APPROVED",$K284="Yes"),"REVIEW",IF($O284="PASS","OK","PENDING"))))</x:f>
        <x:v>PENDING</x:v>
      </x:c>
    </x:row>
    <x:row r="285">
      <x:c r="A285" s="96" t="str">
        <x:v>W0-CHAR-TIM</x:v>
      </x:c>
      <x:c r="B285" s="96" t="str">
        <x:v>Tiempo</x:v>
      </x:c>
      <x:c r="C285" s="96" t="str">
        <x:v>Caracterización W1</x:v>
      </x:c>
      <x:c r="D285" s="96" t="str">
        <x:v>Ejecutar CHAR-TIM-001…008 sobre baseline efbc1a8 antes de W1.</x:v>
      </x:c>
      <x:c r="E285" s="96" t="str">
        <x:v>Ejecutar casos en 08 y adjuntar resultados.</x:v>
      </x:c>
      <x:c r="F285" s="96" t="str">
        <x:v>Baseline temporal capturada sin omisiones.</x:v>
      </x:c>
      <x:c r="G285" s="96" t="str">
        <x:v>Execution IDs + logs + capturas</x:v>
      </x:c>
      <x:c r="H285" s="96" t="str">
        <x:v>08_QA_Testing_Matrix.xlsx</x:v>
      </x:c>
      <x:c r="I285" s="96" t="str">
        <x:v>ADR-0074/0075</x:v>
      </x:c>
      <x:c r="J285" s="96" t="str">
        <x:v>Sprint17_Phase1 / W1</x:v>
      </x:c>
      <x:c r="K285" s="96" t="str">
        <x:v>Yes</x:v>
      </x:c>
      <x:c r="L285" s="96" t="str">
        <x:v>P0</x:v>
      </x:c>
      <x:c r="M285" s="96" t="str">
        <x:v>QA / Discipline</x:v>
      </x:c>
      <x:c r="N285" s="96" t="str">
        <x:v>Production</x:v>
      </x:c>
      <x:c r="O285" s="96" t="str">
        <x:v>NOT RUN</x:v>
      </x:c>
      <x:c r="P285" s="96"/>
      <x:c r="Q285" s="96"/>
      <x:c r="R285" s="96"/>
      <x:c r="S285" s="96"/>
      <x:c r="T285" s="96"/>
      <x:c r="U285" s="96" t="str">
        <x:v>W0 defined 2026-07-07</x:v>
      </x:c>
      <x:c r="V285" s="96" t="n">
        <x:v>1</x:v>
      </x:c>
      <x:c r="W285" s="96" t="n">
        <x:v>0</x:v>
      </x:c>
      <x:c r="X285" s="96" t="n">
        <x:v>1</x:v>
      </x:c>
      <x:c r="Y285" s="96" t="str">
        <x:v>PENDING</x:v>
      </x:c>
    </x:row>
    <x:row r="286">
      <x:c r="A286" s="96" t="str">
        <x:v>W0-CHAR-CUS</x:v>
      </x:c>
      <x:c r="B286" s="96" t="str">
        <x:v>Clientes</x:v>
      </x:c>
      <x:c r="C286" s="96" t="str">
        <x:v>Caracterización W2</x:v>
      </x:c>
      <x:c r="D286" s="96" t="str">
        <x:v>Ejecutar CHAR-CUS-001…009 antes de W2.</x:v>
      </x:c>
      <x:c r="E286" s="96" t="str">
        <x:v>Ejecutar casos en 08 y adjuntar resultados.</x:v>
      </x:c>
      <x:c r="F286" s="96" t="str">
        <x:v>Checkout/población baseline capturados.</x:v>
      </x:c>
      <x:c r="G286" s="96" t="str">
        <x:v>Execution IDs + logs + capturas</x:v>
      </x:c>
      <x:c r="H286" s="96" t="str">
        <x:v>08_QA_Testing_Matrix.xlsx</x:v>
      </x:c>
      <x:c r="I286" s="96" t="str">
        <x:v>ADR-0077/0078</x:v>
      </x:c>
      <x:c r="J286" s="96" t="str">
        <x:v>Sprint17_Phase1 / W2</x:v>
      </x:c>
      <x:c r="K286" s="96" t="str">
        <x:v>Yes</x:v>
      </x:c>
      <x:c r="L286" s="96" t="str">
        <x:v>P0</x:v>
      </x:c>
      <x:c r="M286" s="96" t="str">
        <x:v>QA / Discipline</x:v>
      </x:c>
      <x:c r="N286" s="96" t="str">
        <x:v>Production</x:v>
      </x:c>
      <x:c r="O286" s="96" t="str">
        <x:v>NOT RUN</x:v>
      </x:c>
      <x:c r="P286" s="96"/>
      <x:c r="Q286" s="96"/>
      <x:c r="R286" s="96"/>
      <x:c r="S286" s="96"/>
      <x:c r="T286" s="96"/>
      <x:c r="U286" s="96" t="str">
        <x:v>W0 defined 2026-07-07</x:v>
      </x:c>
      <x:c r="V286" s="96" t="n">
        <x:v>1</x:v>
      </x:c>
      <x:c r="W286" s="96" t="n">
        <x:v>0</x:v>
      </x:c>
      <x:c r="X286" s="96" t="n">
        <x:v>1</x:v>
      </x:c>
      <x:c r="Y286" s="96" t="str">
        <x:v>PENDING</x:v>
      </x:c>
    </x:row>
    <x:row r="287">
      <x:c r="A287" s="96" t="str">
        <x:v>W0-CHAR-ODR</x:v>
      </x:c>
      <x:c r="B287" s="96" t="str">
        <x:v>Pedidos</x:v>
      </x:c>
      <x:c r="C287" s="96" t="str">
        <x:v>Caracterización W3</x:v>
      </x:c>
      <x:c r="D287" s="96" t="str">
        <x:v>Ejecutar CHAR-ODR-001…010 antes de W3.</x:v>
      </x:c>
      <x:c r="E287" s="96" t="str">
        <x:v>Ejecutar casos en 08 y adjuntar resultados.</x:v>
      </x:c>
      <x:c r="F287" s="96" t="str">
        <x:v>Pedidos/economía baseline capturados.</x:v>
      </x:c>
      <x:c r="G287" s="96" t="str">
        <x:v>Execution IDs + ledger snapshots</x:v>
      </x:c>
      <x:c r="H287" s="96" t="str">
        <x:v>08_QA_Testing_Matrix.xlsx</x:v>
      </x:c>
      <x:c r="I287" s="96" t="str">
        <x:v>ADR-0079/0080/0083</x:v>
      </x:c>
      <x:c r="J287" s="96" t="str">
        <x:v>Sprint17_Phase1 / W3</x:v>
      </x:c>
      <x:c r="K287" s="96" t="str">
        <x:v>Yes</x:v>
      </x:c>
      <x:c r="L287" s="96" t="str">
        <x:v>P0</x:v>
      </x:c>
      <x:c r="M287" s="96" t="str">
        <x:v>QA / Discipline</x:v>
      </x:c>
      <x:c r="N287" s="96" t="str">
        <x:v>Production</x:v>
      </x:c>
      <x:c r="O287" s="96" t="str">
        <x:v>NOT RUN</x:v>
      </x:c>
      <x:c r="P287" s="96"/>
      <x:c r="Q287" s="96"/>
      <x:c r="R287" s="96"/>
      <x:c r="S287" s="96"/>
      <x:c r="T287" s="96"/>
      <x:c r="U287" s="96" t="str">
        <x:v>W0 defined 2026-07-07</x:v>
      </x:c>
      <x:c r="V287" s="96" t="n">
        <x:v>1</x:v>
      </x:c>
      <x:c r="W287" s="96" t="n">
        <x:v>0</x:v>
      </x:c>
      <x:c r="X287" s="96" t="n">
        <x:v>1</x:v>
      </x:c>
      <x:c r="Y287" s="96" t="str">
        <x:v>PENDING</x:v>
      </x:c>
    </x:row>
    <x:row r="288">
      <x:c r="A288" s="96" t="str">
        <x:v>W0-CHAR-DSP</x:v>
      </x:c>
      <x:c r="B288" s="96" t="str">
        <x:v>Displays</x:v>
      </x:c>
      <x:c r="C288" s="96" t="str">
        <x:v>Caracterización W4</x:v>
      </x:c>
      <x:c r="D288" s="96" t="str">
        <x:v>Ejecutar CHAR-DSP-001…006 antes de W4.</x:v>
      </x:c>
      <x:c r="E288" s="96" t="str">
        <x:v>Ejecutar casos en 08 y adjuntar resultados.</x:v>
      </x:c>
      <x:c r="F288" s="96" t="str">
        <x:v>Display/inventario baseline capturados.</x:v>
      </x:c>
      <x:c r="G288" s="96" t="str">
        <x:v>Execution IDs + inventory totals</x:v>
      </x:c>
      <x:c r="H288" s="96" t="str">
        <x:v>08_QA_Testing_Matrix.xlsx</x:v>
      </x:c>
      <x:c r="I288" s="96" t="str">
        <x:v>ADR-0081</x:v>
      </x:c>
      <x:c r="J288" s="96" t="str">
        <x:v>Sprint17_Phase1 / W4</x:v>
      </x:c>
      <x:c r="K288" s="96" t="str">
        <x:v>Yes</x:v>
      </x:c>
      <x:c r="L288" s="96" t="str">
        <x:v>P0</x:v>
      </x:c>
      <x:c r="M288" s="96" t="str">
        <x:v>QA / Discipline</x:v>
      </x:c>
      <x:c r="N288" s="96" t="str">
        <x:v>Production</x:v>
      </x:c>
      <x:c r="O288" s="96" t="str">
        <x:v>NOT RUN</x:v>
      </x:c>
      <x:c r="P288" s="96"/>
      <x:c r="Q288" s="96"/>
      <x:c r="R288" s="96"/>
      <x:c r="S288" s="96"/>
      <x:c r="T288" s="96"/>
      <x:c r="U288" s="96" t="str">
        <x:v>W0 defined 2026-07-07</x:v>
      </x:c>
      <x:c r="V288" s="96" t="n">
        <x:v>1</x:v>
      </x:c>
      <x:c r="W288" s="96" t="n">
        <x:v>0</x:v>
      </x:c>
      <x:c r="X288" s="96" t="n">
        <x:v>1</x:v>
      </x:c>
      <x:c r="Y288" s="96" t="str">
        <x:v>PENDING</x:v>
      </x:c>
    </x:row>
    <x:row r="289">
      <x:c r="A289" s="96" t="str">
        <x:v>W0-CHAR-SAV</x:v>
      </x:c>
      <x:c r="B289" s="96" t="str">
        <x:v>Persistencia</x:v>
      </x:c>
      <x:c r="C289" s="96" t="str">
        <x:v>Caracterización W5</x:v>
      </x:c>
      <x:c r="D289" s="96" t="str">
        <x:v>Ejecutar CHAR-SAV-001…008 antes de W5.</x:v>
      </x:c>
      <x:c r="E289" s="96" t="str">
        <x:v>Ejecutar casos en 08 y adjuntar resultados.</x:v>
      </x:c>
      <x:c r="F289" s="96" t="str">
        <x:v>Guardado baseline capturado.</x:v>
      </x:c>
      <x:c r="G289" s="96" t="str">
        <x:v>Execution IDs + files + logs</x:v>
      </x:c>
      <x:c r="H289" s="96" t="str">
        <x:v>08_QA_Testing_Matrix.xlsx</x:v>
      </x:c>
      <x:c r="I289" s="96" t="str">
        <x:v>ADR-0076</x:v>
      </x:c>
      <x:c r="J289" s="96" t="str">
        <x:v>Sprint17_Phase1 / W5</x:v>
      </x:c>
      <x:c r="K289" s="96" t="str">
        <x:v>Yes</x:v>
      </x:c>
      <x:c r="L289" s="96" t="str">
        <x:v>P0</x:v>
      </x:c>
      <x:c r="M289" s="96" t="str">
        <x:v>QA / Discipline</x:v>
      </x:c>
      <x:c r="N289" s="96" t="str">
        <x:v>Production</x:v>
      </x:c>
      <x:c r="O289" s="96" t="str">
        <x:v>NOT RUN</x:v>
      </x:c>
      <x:c r="P289" s="96"/>
      <x:c r="Q289" s="96"/>
      <x:c r="R289" s="96"/>
      <x:c r="S289" s="96"/>
      <x:c r="T289" s="96"/>
      <x:c r="U289" s="96" t="str">
        <x:v>W0 defined 2026-07-07</x:v>
      </x:c>
      <x:c r="V289" s="96" t="n">
        <x:v>1</x:v>
      </x:c>
      <x:c r="W289" s="96" t="n">
        <x:v>0</x:v>
      </x:c>
      <x:c r="X289" s="96" t="n">
        <x:v>1</x:v>
      </x:c>
      <x:c r="Y289" s="96" t="str">
        <x:v>PENDING</x:v>
      </x:c>
    </x:row>
    <x:row r="290">
      <x:c r="A290" s="96" t="str">
        <x:v>W0-CHAR-MGT</x:v>
      </x:c>
      <x:c r="B290" s="96" t="str">
        <x:v>Management</x:v>
      </x:c>
      <x:c r="C290" s="96" t="str">
        <x:v>Caracterización W6</x:v>
      </x:c>
      <x:c r="D290" s="96" t="str">
        <x:v>Ejecutar CHAR-MGT-001…008 antes de W6.</x:v>
      </x:c>
      <x:c r="E290" s="96" t="str">
        <x:v>Ejecutar casos en 08 y adjuntar resultados.</x:v>
      </x:c>
      <x:c r="F290" s="96" t="str">
        <x:v>Histórico baseline capturado.</x:v>
      </x:c>
      <x:c r="G290" s="96" t="str">
        <x:v>Execution IDs + screenshots + snapshots</x:v>
      </x:c>
      <x:c r="H290" s="96" t="str">
        <x:v>08_QA_Testing_Matrix.xlsx</x:v>
      </x:c>
      <x:c r="I290" s="96" t="str">
        <x:v>ADR-0082</x:v>
      </x:c>
      <x:c r="J290" s="96" t="str">
        <x:v>Sprint17_Phase1 / W6</x:v>
      </x:c>
      <x:c r="K290" s="96" t="str">
        <x:v>Yes</x:v>
      </x:c>
      <x:c r="L290" s="96" t="str">
        <x:v>P0</x:v>
      </x:c>
      <x:c r="M290" s="96" t="str">
        <x:v>QA / Discipline</x:v>
      </x:c>
      <x:c r="N290" s="96" t="str">
        <x:v>Production</x:v>
      </x:c>
      <x:c r="O290" s="96" t="str">
        <x:v>NOT RUN</x:v>
      </x:c>
      <x:c r="P290" s="96"/>
      <x:c r="Q290" s="96"/>
      <x:c r="R290" s="96"/>
      <x:c r="S290" s="96"/>
      <x:c r="T290" s="96"/>
      <x:c r="U290" s="96" t="str">
        <x:v>W0 defined 2026-07-07</x:v>
      </x:c>
      <x:c r="V290" s="96" t="n">
        <x:v>1</x:v>
      </x:c>
      <x:c r="W290" s="96" t="n">
        <x:v>0</x:v>
      </x:c>
      <x:c r="X290" s="96" t="n">
        <x:v>1</x:v>
      </x:c>
      <x:c r="Y290" s="96" t="str">
        <x:v>PENDING</x:v>
      </x:c>
    </x:row>
    <x:row r="291">
      <x:c r="A291" s="96" t="str">
        <x:v>W0-CHAR-ART</x:v>
      </x:c>
      <x:c r="B291" s="96" t="str">
        <x:v>Autoría</x:v>
      </x:c>
      <x:c r="C291" s="96" t="str">
        <x:v>Caracterización W7</x:v>
      </x:c>
      <x:c r="D291" s="96" t="str">
        <x:v>Ejecutar CHAR-ART-001…007 antes de W7.</x:v>
      </x:c>
      <x:c r="E291" s="96" t="str">
        <x:v>Ejecutar casos en 08 y adjuntar resultados.</x:v>
      </x:c>
      <x:c r="F291" s="96" t="str">
        <x:v>Settings/placement baseline capturados.</x:v>
      </x:c>
      <x:c r="G291" s="96" t="str">
        <x:v>Execution IDs + scene/save diff</x:v>
      </x:c>
      <x:c r="H291" s="96" t="str">
        <x:v>08_QA_Testing_Matrix.xlsx</x:v>
      </x:c>
      <x:c r="I291" s="96" t="str">
        <x:v>ADR-0084/0085</x:v>
      </x:c>
      <x:c r="J291" s="96" t="str">
        <x:v>Sprint17_Phase1 / W7</x:v>
      </x:c>
      <x:c r="K291" s="96" t="str">
        <x:v>Yes</x:v>
      </x:c>
      <x:c r="L291" s="96" t="str">
        <x:v>P0</x:v>
      </x:c>
      <x:c r="M291" s="96" t="str">
        <x:v>QA / Discipline</x:v>
      </x:c>
      <x:c r="N291" s="96" t="str">
        <x:v>Production</x:v>
      </x:c>
      <x:c r="O291" s="96" t="str">
        <x:v>NOT RUN</x:v>
      </x:c>
      <x:c r="P291" s="96"/>
      <x:c r="Q291" s="96"/>
      <x:c r="R291" s="96"/>
      <x:c r="S291" s="96"/>
      <x:c r="T291" s="96"/>
      <x:c r="U291" s="96" t="str">
        <x:v>W0 defined 2026-07-07</x:v>
      </x:c>
      <x:c r="V291" s="96" t="n">
        <x:v>1</x:v>
      </x:c>
      <x:c r="W291" s="96" t="n">
        <x:v>0</x:v>
      </x:c>
      <x:c r="X291" s="96" t="n">
        <x:v>1</x:v>
      </x:c>
      <x:c r="Y291" s="96" t="str">
        <x:v>PENDING</x:v>
      </x:c>
    </x:row>
    <x:row r="292">
      <x:c r="A292" s="96" t="str">
        <x:v>W0-CHAR-REG</x:v>
      </x:c>
      <x:c r="B292" s="96" t="str">
        <x:v>Regresión</x:v>
      </x:c>
      <x:c r="C292" s="96" t="str">
        <x:v>W8 integral</x:v>
      </x:c>
      <x:c r="D292" s="96" t="str">
        <x:v>Ejecutar CHAR-REG-001…010 tras W1-W7.</x:v>
      </x:c>
      <x:c r="E292" s="96" t="str">
        <x:v>Build externa y campaña de siete días.</x:v>
      </x:c>
      <x:c r="F292" s="96" t="str">
        <x:v>Regresión completa sin bloqueantes.</x:v>
      </x:c>
      <x:c r="G292" s="96" t="str">
        <x:v>Build ID + logs + report</x:v>
      </x:c>
      <x:c r="H292" s="96" t="str">
        <x:v>08_QA_Testing_Matrix.xlsx</x:v>
      </x:c>
      <x:c r="I292" s="96" t="str">
        <x:v>ADR-0074…0085</x:v>
      </x:c>
      <x:c r="J292" s="96" t="str">
        <x:v>Sprint17_Phase1 / W8</x:v>
      </x:c>
      <x:c r="K292" s="96" t="str">
        <x:v>Yes</x:v>
      </x:c>
      <x:c r="L292" s="96" t="str">
        <x:v>P0</x:v>
      </x:c>
      <x:c r="M292" s="96" t="str">
        <x:v>QA / Discipline</x:v>
      </x:c>
      <x:c r="N292" s="96" t="str">
        <x:v>Production</x:v>
      </x:c>
      <x:c r="O292" s="96" t="str">
        <x:v>NOT RUN</x:v>
      </x:c>
      <x:c r="P292" s="96"/>
      <x:c r="Q292" s="96"/>
      <x:c r="R292" s="96"/>
      <x:c r="S292" s="96"/>
      <x:c r="T292" s="96"/>
      <x:c r="U292" s="96" t="str">
        <x:v>W0 defined 2026-07-07</x:v>
      </x:c>
      <x:c r="V292" s="96" t="n">
        <x:v>1</x:v>
      </x:c>
      <x:c r="W292" s="96" t="n">
        <x:v>0</x:v>
      </x:c>
      <x:c r="X292" s="96" t="n">
        <x:v>1</x:v>
      </x:c>
      <x:c r="Y292" s="96" t="str">
        <x:v>PENDING</x:v>
      </x:c>
    </x:row>
  </x:sheetData>
  <x:mergeCells>
    <x:mergeCell ref="A1:Y1"/>
    <x:mergeCell ref="A2:Y2"/>
  </x:mergeCells>
  <x:conditionalFormatting sqref="O5:O270">
    <x:cfRule type="expression" dxfId="0" priority="1">
      <x:formula>O5="PASS"</x:formula>
    </x:cfRule>
    <x:cfRule type="expression" dxfId="1" priority="2">
      <x:formula>O5="FAIL"</x:formula>
    </x:cfRule>
    <x:cfRule type="expression" dxfId="2" priority="3">
      <x:formula>O5="BLOCKED"</x:formula>
    </x:cfRule>
    <x:cfRule type="expression" dxfId="3" priority="4">
      <x:formula>O5="EXCEPTION APPROVED"</x:formula>
    </x:cfRule>
  </x:conditionalFormatting>
  <x:conditionalFormatting sqref="X5:X270">
    <x:cfRule type="cellIs" dxfId="4" priority="5" operator="greaterThan">
      <x:formula>0</x:formula>
    </x:cfRule>
  </x:conditionalFormatting>
  <x:dataValidations count="6">
    <x:dataValidation type="list" sqref="K5:K270">
      <x:formula1>"Yes,No,Review"</x:formula1>
    </x:dataValidation>
    <x:dataValidation type="list" sqref="L5:L270">
      <x:formula1>"P0,P1,P2,P3"</x:formula1>
    </x:dataValidation>
    <x:dataValidation type="list" sqref="O5:O270">
      <x:formula1>"NOT RUN,IN PROGRESS,PASS,FAIL,BLOCKED,EXCEPTION APPROVED,NOT APPLICABLE"</x:formula1>
    </x:dataValidation>
    <x:dataValidation type="list" sqref="O271:O284">
      <x:formula1>'11_Catalogos'!$A$2:$A$8</x:formula1>
    </x:dataValidation>
    <x:dataValidation type="list" sqref="K271:K284">
      <x:formula1>'11_Catalogos'!$C$2:$C$4</x:formula1>
    </x:dataValidation>
    <x:dataValidation type="list" sqref="L271:L284">
      <x:formula1>'11_Catalogos'!$B$2:$B$5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b6b47a1097c43e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24" hidden="0" customWidth="1"/>
    <x:col min="4" max="4" width="46" hidden="0" customWidth="1"/>
    <x:col min="5" max="5" width="42" hidden="0" customWidth="1"/>
    <x:col min="6" max="6" width="36" hidden="0" customWidth="1"/>
    <x:col min="7" max="7" width="34" hidden="0" customWidth="1"/>
    <x:col min="8" max="8" width="32" hidden="0" customWidth="1"/>
    <x:col min="9" max="9" width="34" hidden="0" customWidth="1"/>
    <x:col min="10" max="10" width="18" hidden="0" customWidth="1"/>
    <x:col min="11" max="11" width="11" hidden="0" customWidth="1"/>
    <x:col min="12" max="12" width="10" hidden="0" customWidth="1"/>
    <x:col min="13" max="13" width="22" hidden="0" customWidth="1"/>
    <x:col min="14" max="14" width="22" hidden="0" customWidth="1"/>
    <x:col min="15" max="15" width="20" hidden="0" customWidth="1"/>
    <x:col min="16" max="16" width="18" hidden="0" customWidth="1"/>
    <x:col min="17" max="17" width="20" hidden="0" customWidth="1"/>
    <x:col min="18" max="18" width="28" hidden="0" customWidth="1"/>
    <x:col min="19" max="19" width="22" hidden="0" customWidth="1"/>
    <x:col min="20" max="20" width="16" hidden="0" customWidth="1"/>
    <x:col min="21" max="21" width="36" hidden="0" customWidth="1"/>
    <x:col min="22" max="22" width="9" hidden="0" customWidth="1"/>
    <x:col min="23" max="23" width="12" hidden="0" customWidth="1"/>
    <x:col min="24" max="24" width="12" hidden="0" customWidth="1"/>
    <x:col min="25" max="25" width="15" hidden="0" customWidth="1"/>
  </x:cols>
  <x:sheetData>
    <x:row r="1" ht="34" customHeight="1">
      <x:c r="A1" s="5" t="str">
        <x:v>Release — Master Readiness Checklist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</x:row>
    <x:row r="2" ht="36" customHeight="1">
      <x:c r="A2" s="14" t="str">
        <x:v>Preparación posterior a H6 para Steam, Store, RC, lanzamiento y operaciones. Un control Release pendiente no bloquea H6 salvo que esté marcado como requisito previo explícito.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</x:row>
    <x:row r="4" ht="42" customHeight="1">
      <x:c r="A4" s="24" t="str">
        <x:v>ID</x:v>
      </x:c>
      <x:c r="B4" s="24" t="str">
        <x:v>Domain</x:v>
      </x:c>
      <x:c r="C4" s="24" t="str">
        <x:v>Subarea</x:v>
      </x:c>
      <x:c r="D4" s="24" t="str">
        <x:v>Acceptance / Readiness Criterion</x:v>
      </x:c>
      <x:c r="E4" s="24" t="str">
        <x:v>Verification Procedure</x:v>
      </x:c>
      <x:c r="F4" s="24" t="str">
        <x:v>Expected Result</x:v>
      </x:c>
      <x:c r="G4" s="24" t="str">
        <x:v>Required Evidence</x:v>
      </x:c>
      <x:c r="H4" s="24" t="str">
        <x:v>Current Source</x:v>
      </x:c>
      <x:c r="I4" s="24" t="str">
        <x:v>Historical Basis</x:v>
      </x:c>
      <x:c r="J4" s="24" t="str">
        <x:v>Gate / Stage</x:v>
      </x:c>
      <x:c r="K4" s="24" t="str">
        <x:v>Blocking</x:v>
      </x:c>
      <x:c r="L4" s="24" t="str">
        <x:v>Priority</x:v>
      </x:c>
      <x:c r="M4" s="24" t="str">
        <x:v>Owner</x:v>
      </x:c>
      <x:c r="N4" s="24" t="str">
        <x:v>Reviewer</x:v>
      </x:c>
      <x:c r="O4" s="24" t="str">
        <x:v>Status</x:v>
      </x:c>
      <x:c r="P4" s="24" t="str">
        <x:v>Evidence ID</x:v>
      </x:c>
      <x:c r="Q4" s="24" t="str">
        <x:v>Defect / Exception ID</x:v>
      </x:c>
      <x:c r="R4" s="24" t="str">
        <x:v>Dependency / Prerequisite</x:v>
      </x:c>
      <x:c r="S4" s="24" t="str">
        <x:v>Target Build</x:v>
      </x:c>
      <x:c r="T4" s="24" t="str">
        <x:v>Last Execution Date</x:v>
      </x:c>
      <x:c r="U4" s="24" t="str">
        <x:v>Notes</x:v>
      </x:c>
      <x:c r="V4" s="24" t="str">
        <x:v>Weight</x:v>
      </x:c>
      <x:c r="W4" s="24" t="str">
        <x:v>Earned Weight</x:v>
      </x:c>
      <x:c r="X4" s="24" t="str">
        <x:v>Open Blocker</x:v>
      </x:c>
      <x:c r="Y4" s="24" t="str">
        <x:v>Decision Flag</x:v>
      </x:c>
    </x:row>
    <x:row r="5">
      <x:c r="A5" s="32" t="str">
        <x:v>REL-GOV-001</x:v>
      </x:c>
      <x:c r="B5" s="32" t="str">
        <x:v>Producto, alcance y planificación</x:v>
      </x:c>
      <x:c r="C5" s="32" t="str">
        <x:v>Release readiness</x:v>
      </x:c>
      <x:c r="D5" s="32" t="str">
        <x:v>H6 ha obtenido PASS formal y su baseline está congelada.</x:v>
      </x:c>
      <x:c r="E5" s="32" t="str">
        <x:v>Verificar acta, tag, checksum y paquete H6.</x:v>
      </x:c>
      <x:c r="F5" s="32" t="str">
        <x:v>Cumplimiento verificable antes del gate indicado.</x:v>
      </x:c>
      <x:c r="G5" s="32" t="str">
        <x:v>H6 Decision Record.</x:v>
      </x:c>
      <x:c r="H5" s="32" t="str">
        <x:v>24_Steam_Publishing_Plan.md; 25_Post_Launch_and_Live_Operations_Plan.md; 28_Marketing_and_Communication_Plan.md</x:v>
      </x:c>
      <x:c r="I5" s="32" t="str">
        <x:v>Steam/Marketing/Roadmap historical v0.3–v0.6</x:v>
      </x:c>
      <x:c r="J5" s="32" t="str">
        <x:v>Release</x:v>
      </x:c>
      <x:c r="K5" s="32" t="str">
        <x:v>Yes</x:v>
      </x:c>
      <x:c r="L5" s="32" t="str">
        <x:v>P0</x:v>
      </x:c>
      <x:c r="M5" s="32" t="str">
        <x:v>Production</x:v>
      </x:c>
      <x:c r="N5" s="32" t="str">
        <x:v>Production/QA</x:v>
      </x:c>
      <x:c r="O5" s="32" t="str">
        <x:v>NOT RUN</x:v>
      </x:c>
      <x:c r="P5" s="32" t="str"/>
      <x:c r="Q5" s="32" t="str"/>
      <x:c r="R5" s="32" t="str"/>
      <x:c r="S5" s="32" t="str"/>
      <x:c r="T5" s="82" t="str"/>
      <x:c r="U5" s="32" t="str"/>
      <x:c r="V5" s="84" t="n">
        <x:v>1</x:v>
      </x:c>
      <x:c r="W5" s="84" t="n">
        <x:f>IF(OR($O5="PASS",$O5="EXCEPTION APPROVED",$O5="NOT APPLICABLE"),$V5,0)</x:f>
        <x:v>0</x:v>
      </x:c>
      <x:c r="X5" s="84" t="n">
        <x:f>IF(AND($K5="Yes",OR($O5="FAIL",$O5="BLOCKED",$O5="NOT RUN",$O5="IN PROGRESS")),1,0)</x:f>
        <x:v>1</x:v>
      </x:c>
      <x:c r="Y5" s="32" t="str">
        <x:f>IF($O5="FAIL","FAIL",IF($O5="BLOCKED","BLOCKED",IF(AND($O5="EXCEPTION APPROVED",$K5="Yes"),"REVIEW",IF($O5="PASS","OK","PENDING"))))</x:f>
        <x:v>PENDING</x:v>
      </x:c>
    </x:row>
    <x:row r="6">
      <x:c r="A6" s="32" t="str">
        <x:v>REL-GOV-002</x:v>
      </x:c>
      <x:c r="B6" s="32" t="str">
        <x:v>Producto, alcance y planificación</x:v>
      </x:c>
      <x:c r="C6" s="32" t="str">
        <x:v>Release readiness</x:v>
      </x:c>
      <x:c r="D6" s="32" t="str">
        <x:v>La fase Steam/release se abre mediante decisión separada de H6.</x:v>
      </x:c>
      <x:c r="E6" s="32" t="str">
        <x:v>Revisar acta de apertura y roadmap.</x:v>
      </x:c>
      <x:c r="F6" s="32" t="str">
        <x:v>Cumplimiento verificable antes del gate indicado.</x:v>
      </x:c>
      <x:c r="G6" s="32" t="str">
        <x:v>Steam phase opening decision.</x:v>
      </x:c>
      <x:c r="H6" s="32" t="str">
        <x:v>24_Steam_Publishing_Plan.md; 25_Post_Launch_and_Live_Operations_Plan.md; 28_Marketing_and_Communication_Plan.md</x:v>
      </x:c>
      <x:c r="I6" s="32" t="str">
        <x:v>Steam/Marketing/Roadmap historical v0.3–v0.6</x:v>
      </x:c>
      <x:c r="J6" s="32" t="str">
        <x:v>Release</x:v>
      </x:c>
      <x:c r="K6" s="32" t="str">
        <x:v>Yes</x:v>
      </x:c>
      <x:c r="L6" s="32" t="str">
        <x:v>P1</x:v>
      </x:c>
      <x:c r="M6" s="32" t="str">
        <x:v>Production</x:v>
      </x:c>
      <x:c r="N6" s="32" t="str">
        <x:v>Production/QA</x:v>
      </x:c>
      <x:c r="O6" s="32" t="str">
        <x:v>NOT RUN</x:v>
      </x:c>
      <x:c r="P6" s="32" t="str"/>
      <x:c r="Q6" s="32" t="str"/>
      <x:c r="R6" s="32" t="str"/>
      <x:c r="S6" s="32" t="str"/>
      <x:c r="T6" s="82" t="str"/>
      <x:c r="U6" s="32" t="str"/>
      <x:c r="V6" s="84" t="n">
        <x:v>1</x:v>
      </x:c>
      <x:c r="W6" s="84" t="n">
        <x:f>IF(OR($O6="PASS",$O6="EXCEPTION APPROVED",$O6="NOT APPLICABLE"),$V6,0)</x:f>
        <x:v>0</x:v>
      </x:c>
      <x:c r="X6" s="84" t="n">
        <x:f>IF(AND($K6="Yes",OR($O6="FAIL",$O6="BLOCKED",$O6="NOT RUN",$O6="IN PROGRESS")),1,0)</x:f>
        <x:v>1</x:v>
      </x:c>
      <x:c r="Y6" s="32" t="str">
        <x:f>IF($O6="FAIL","FAIL",IF($O6="BLOCKED","BLOCKED",IF(AND($O6="EXCEPTION APPROVED",$K6="Yes"),"REVIEW",IF($O6="PASS","OK","PENDING"))))</x:f>
        <x:v>PENDING</x:v>
      </x:c>
    </x:row>
    <x:row r="7">
      <x:c r="A7" s="32" t="str">
        <x:v>REL-GOV-003</x:v>
      </x:c>
      <x:c r="B7" s="32" t="str">
        <x:v>Producto, alcance y planificación</x:v>
      </x:c>
      <x:c r="C7" s="32" t="str">
        <x:v>Release readiness</x:v>
      </x:c>
      <x:c r="D7" s="32" t="str">
        <x:v>El alcance de release está congelado y diferencia must-have, deferred y post-launch.</x:v>
      </x:c>
      <x:c r="E7" s="32" t="str">
        <x:v>Revisar backlog y change control.</x:v>
      </x:c>
      <x:c r="F7" s="32" t="str">
        <x:v>Cumplimiento verificable antes del gate indicado.</x:v>
      </x:c>
      <x:c r="G7" s="32" t="str">
        <x:v>Release scope freeze.</x:v>
      </x:c>
      <x:c r="H7" s="32" t="str">
        <x:v>24_Steam_Publishing_Plan.md; 25_Post_Launch_and_Live_Operations_Plan.md; 28_Marketing_and_Communication_Plan.md</x:v>
      </x:c>
      <x:c r="I7" s="32" t="str">
        <x:v>Steam/Marketing/Roadmap historical v0.3–v0.6</x:v>
      </x:c>
      <x:c r="J7" s="32" t="str">
        <x:v>Release</x:v>
      </x:c>
      <x:c r="K7" s="32" t="str">
        <x:v>Yes</x:v>
      </x:c>
      <x:c r="L7" s="32" t="str">
        <x:v>P1</x:v>
      </x:c>
      <x:c r="M7" s="32" t="str">
        <x:v>Production</x:v>
      </x:c>
      <x:c r="N7" s="32" t="str">
        <x:v>Production/QA</x:v>
      </x:c>
      <x:c r="O7" s="32" t="str">
        <x:v>NOT RUN</x:v>
      </x:c>
      <x:c r="P7" s="32" t="str"/>
      <x:c r="Q7" s="32" t="str"/>
      <x:c r="R7" s="32" t="str"/>
      <x:c r="S7" s="32" t="str"/>
      <x:c r="T7" s="82" t="str"/>
      <x:c r="U7" s="32" t="str"/>
      <x:c r="V7" s="84" t="n">
        <x:v>1</x:v>
      </x:c>
      <x:c r="W7" s="84" t="n">
        <x:f>IF(OR($O7="PASS",$O7="EXCEPTION APPROVED",$O7="NOT APPLICABLE"),$V7,0)</x:f>
        <x:v>0</x:v>
      </x:c>
      <x:c r="X7" s="84" t="n">
        <x:f>IF(AND($K7="Yes",OR($O7="FAIL",$O7="BLOCKED",$O7="NOT RUN",$O7="IN PROGRESS")),1,0)</x:f>
        <x:v>1</x:v>
      </x:c>
      <x:c r="Y7" s="32" t="str">
        <x:f>IF($O7="FAIL","FAIL",IF($O7="BLOCKED","BLOCKED",IF(AND($O7="EXCEPTION APPROVED",$K7="Yes"),"REVIEW",IF($O7="PASS","OK","PENDING"))))</x:f>
        <x:v>PENDING</x:v>
      </x:c>
    </x:row>
    <x:row r="8">
      <x:c r="A8" s="32" t="str">
        <x:v>REL-GOV-004</x:v>
      </x:c>
      <x:c r="B8" s="32" t="str">
        <x:v>Producto, alcance y planificación</x:v>
      </x:c>
      <x:c r="C8" s="32" t="str">
        <x:v>Release readiness</x:v>
      </x:c>
      <x:c r="D8" s="32" t="str">
        <x:v>Existe calendario basado en capacidad medida, dependencias y buffers, no en fecha inventada.</x:v>
      </x:c>
      <x:c r="E8" s="32" t="str">
        <x:v>Revisar roadmap y capacidad.</x:v>
      </x:c>
      <x:c r="F8" s="32" t="str">
        <x:v>Cumplimiento verificable antes del gate indicado.</x:v>
      </x:c>
      <x:c r="G8" s="32" t="str">
        <x:v>Release plan aprobado.</x:v>
      </x:c>
      <x:c r="H8" s="32" t="str">
        <x:v>24_Steam_Publishing_Plan.md; 25_Post_Launch_and_Live_Operations_Plan.md; 28_Marketing_and_Communication_Plan.md</x:v>
      </x:c>
      <x:c r="I8" s="32" t="str">
        <x:v>Steam/Marketing/Roadmap historical v0.3–v0.6</x:v>
      </x:c>
      <x:c r="J8" s="32" t="str">
        <x:v>Release</x:v>
      </x:c>
      <x:c r="K8" s="32" t="str">
        <x:v>Yes</x:v>
      </x:c>
      <x:c r="L8" s="32" t="str">
        <x:v>P1</x:v>
      </x:c>
      <x:c r="M8" s="32" t="str">
        <x:v>Production</x:v>
      </x:c>
      <x:c r="N8" s="32" t="str">
        <x:v>Production/QA</x:v>
      </x:c>
      <x:c r="O8" s="32" t="str">
        <x:v>NOT RUN</x:v>
      </x:c>
      <x:c r="P8" s="32" t="str"/>
      <x:c r="Q8" s="32" t="str"/>
      <x:c r="R8" s="32" t="str"/>
      <x:c r="S8" s="32" t="str"/>
      <x:c r="T8" s="82" t="str"/>
      <x:c r="U8" s="32" t="str"/>
      <x:c r="V8" s="84" t="n">
        <x:v>1</x:v>
      </x:c>
      <x:c r="W8" s="84" t="n">
        <x:f>IF(OR($O8="PASS",$O8="EXCEPTION APPROVED",$O8="NOT APPLICABLE"),$V8,0)</x:f>
        <x:v>0</x:v>
      </x:c>
      <x:c r="X8" s="84" t="n">
        <x:f>IF(AND($K8="Yes",OR($O8="FAIL",$O8="BLOCKED",$O8="NOT RUN",$O8="IN PROGRESS")),1,0)</x:f>
        <x:v>1</x:v>
      </x:c>
      <x:c r="Y8" s="32" t="str">
        <x:f>IF($O8="FAIL","FAIL",IF($O8="BLOCKED","BLOCKED",IF(AND($O8="EXCEPTION APPROVED",$K8="Yes"),"REVIEW",IF($O8="PASS","OK","PENDING"))))</x:f>
        <x:v>PENDING</x:v>
      </x:c>
    </x:row>
    <x:row r="9">
      <x:c r="A9" s="32" t="str">
        <x:v>REL-GOV-005</x:v>
      </x:c>
      <x:c r="B9" s="32" t="str">
        <x:v>Producto, alcance y planificación</x:v>
      </x:c>
      <x:c r="C9" s="32" t="str">
        <x:v>Release readiness</x:v>
      </x:c>
      <x:c r="D9" s="32" t="str">
        <x:v>Cada gate —Coming Soon, demo, Playtest, RC y launch— tiene entrada, salida y propietario.</x:v>
      </x:c>
      <x:c r="E9" s="32" t="str">
        <x:v>Revisar Gate Signoff.</x:v>
      </x:c>
      <x:c r="F9" s="32" t="str">
        <x:v>Cumplimiento verificable antes del gate indicado.</x:v>
      </x:c>
      <x:c r="G9" s="32" t="str">
        <x:v>Gate map.</x:v>
      </x:c>
      <x:c r="H9" s="32" t="str">
        <x:v>24_Steam_Publishing_Plan.md; 25_Post_Launch_and_Live_Operations_Plan.md; 28_Marketing_and_Communication_Plan.md</x:v>
      </x:c>
      <x:c r="I9" s="32" t="str">
        <x:v>Steam/Marketing/Roadmap historical v0.3–v0.6</x:v>
      </x:c>
      <x:c r="J9" s="32" t="str">
        <x:v>Release</x:v>
      </x:c>
      <x:c r="K9" s="32" t="str">
        <x:v>Yes</x:v>
      </x:c>
      <x:c r="L9" s="32" t="str">
        <x:v>P1</x:v>
      </x:c>
      <x:c r="M9" s="32" t="str">
        <x:v>Production</x:v>
      </x:c>
      <x:c r="N9" s="32" t="str">
        <x:v>Production/QA</x:v>
      </x:c>
      <x:c r="O9" s="32" t="str">
        <x:v>NOT RUN</x:v>
      </x:c>
      <x:c r="P9" s="32" t="str"/>
      <x:c r="Q9" s="32" t="str"/>
      <x:c r="R9" s="32" t="str"/>
      <x:c r="S9" s="32" t="str"/>
      <x:c r="T9" s="82" t="str"/>
      <x:c r="U9" s="32" t="str"/>
      <x:c r="V9" s="84" t="n">
        <x:v>1</x:v>
      </x:c>
      <x:c r="W9" s="84" t="n">
        <x:f>IF(OR($O9="PASS",$O9="EXCEPTION APPROVED",$O9="NOT APPLICABLE"),$V9,0)</x:f>
        <x:v>0</x:v>
      </x:c>
      <x:c r="X9" s="84" t="n">
        <x:f>IF(AND($K9="Yes",OR($O9="FAIL",$O9="BLOCKED",$O9="NOT RUN",$O9="IN PROGRESS")),1,0)</x:f>
        <x:v>1</x:v>
      </x:c>
      <x:c r="Y9" s="32" t="str">
        <x:f>IF($O9="FAIL","FAIL",IF($O9="BLOCKED","BLOCKED",IF(AND($O9="EXCEPTION APPROVED",$K9="Yes"),"REVIEW",IF($O9="PASS","OK","PENDING"))))</x:f>
        <x:v>PENDING</x:v>
      </x:c>
    </x:row>
    <x:row r="10">
      <x:c r="A10" s="32" t="str">
        <x:v>REL-GOV-006</x:v>
      </x:c>
      <x:c r="B10" s="32" t="str">
        <x:v>Producto, alcance y planificación</x:v>
      </x:c>
      <x:c r="C10" s="32" t="str">
        <x:v>Release readiness</x:v>
      </x:c>
      <x:c r="D10" s="32" t="str">
        <x:v>Las features anunciadas públicamente están implementadas, validadas y planificadas para release.</x:v>
      </x:c>
      <x:c r="E10" s="32" t="str">
        <x:v>Cruzar store copy/marketing con build y roadmap.</x:v>
      </x:c>
      <x:c r="F10" s="32" t="str">
        <x:v>Cumplimiento verificable antes del gate indicado.</x:v>
      </x:c>
      <x:c r="G10" s="32" t="str">
        <x:v>Claims verification matrix.</x:v>
      </x:c>
      <x:c r="H10" s="32" t="str">
        <x:v>24_Steam_Publishing_Plan.md; 25_Post_Launch_and_Live_Operations_Plan.md; 28_Marketing_and_Communication_Plan.md</x:v>
      </x:c>
      <x:c r="I10" s="32" t="str">
        <x:v>Steam/Marketing/Roadmap historical v0.3–v0.6</x:v>
      </x:c>
      <x:c r="J10" s="32" t="str">
        <x:v>Release</x:v>
      </x:c>
      <x:c r="K10" s="32" t="str">
        <x:v>Yes</x:v>
      </x:c>
      <x:c r="L10" s="32" t="str">
        <x:v>P0</x:v>
      </x:c>
      <x:c r="M10" s="32" t="str">
        <x:v>Production</x:v>
      </x:c>
      <x:c r="N10" s="32" t="str">
        <x:v>Production/QA</x:v>
      </x:c>
      <x:c r="O10" s="32" t="str">
        <x:v>NOT RUN</x:v>
      </x:c>
      <x:c r="P10" s="32" t="str"/>
      <x:c r="Q10" s="32" t="str"/>
      <x:c r="R10" s="32" t="str"/>
      <x:c r="S10" s="32" t="str"/>
      <x:c r="T10" s="82" t="str"/>
      <x:c r="U10" s="32" t="str"/>
      <x:c r="V10" s="84" t="n">
        <x:v>1</x:v>
      </x:c>
      <x:c r="W10" s="84" t="n">
        <x:f>IF(OR($O10="PASS",$O10="EXCEPTION APPROVED",$O10="NOT APPLICABLE"),$V10,0)</x:f>
        <x:v>0</x:v>
      </x:c>
      <x:c r="X10" s="84" t="n">
        <x:f>IF(AND($K10="Yes",OR($O10="FAIL",$O10="BLOCKED",$O10="NOT RUN",$O10="IN PROGRESS")),1,0)</x:f>
        <x:v>1</x:v>
      </x:c>
      <x:c r="Y10" s="32" t="str">
        <x:f>IF($O10="FAIL","FAIL",IF($O10="BLOCKED","BLOCKED",IF(AND($O10="EXCEPTION APPROVED",$K10="Yes"),"REVIEW",IF($O10="PASS","OK","PENDING"))))</x:f>
        <x:v>PENDING</x:v>
      </x:c>
    </x:row>
    <x:row r="11">
      <x:c r="A11" s="32" t="str">
        <x:v>REL-GOV-007</x:v>
      </x:c>
      <x:c r="B11" s="32" t="str">
        <x:v>Producto, alcance y planificación</x:v>
      </x:c>
      <x:c r="C11" s="32" t="str">
        <x:v>Release readiness</x:v>
      </x:c>
      <x:c r="D11" s="32" t="str">
        <x:v>Las funciones diferidas no aparecen como promesas implícitas en screenshots, trailers o FAQ.</x:v>
      </x:c>
      <x:c r="E11" s="32" t="str">
        <x:v>Revisión conjunta marketing/producto.</x:v>
      </x:c>
      <x:c r="F11" s="32" t="str">
        <x:v>Cumplimiento verificable antes del gate indicado.</x:v>
      </x:c>
      <x:c r="G11" s="32" t="str">
        <x:v>Media/content review.</x:v>
      </x:c>
      <x:c r="H11" s="32" t="str">
        <x:v>24_Steam_Publishing_Plan.md; 25_Post_Launch_and_Live_Operations_Plan.md; 28_Marketing_and_Communication_Plan.md</x:v>
      </x:c>
      <x:c r="I11" s="32" t="str">
        <x:v>Steam/Marketing/Roadmap historical v0.3–v0.6</x:v>
      </x:c>
      <x:c r="J11" s="32" t="str">
        <x:v>Release</x:v>
      </x:c>
      <x:c r="K11" s="32" t="str">
        <x:v>Yes</x:v>
      </x:c>
      <x:c r="L11" s="32" t="str">
        <x:v>P1</x:v>
      </x:c>
      <x:c r="M11" s="32" t="str">
        <x:v>Production</x:v>
      </x:c>
      <x:c r="N11" s="32" t="str">
        <x:v>Production/QA</x:v>
      </x:c>
      <x:c r="O11" s="32" t="str">
        <x:v>NOT RUN</x:v>
      </x:c>
      <x:c r="P11" s="32" t="str"/>
      <x:c r="Q11" s="32" t="str"/>
      <x:c r="R11" s="32" t="str"/>
      <x:c r="S11" s="32" t="str"/>
      <x:c r="T11" s="82" t="str"/>
      <x:c r="U11" s="32" t="str"/>
      <x:c r="V11" s="84" t="n">
        <x:v>1</x:v>
      </x:c>
      <x:c r="W11" s="84" t="n">
        <x:f>IF(OR($O11="PASS",$O11="EXCEPTION APPROVED",$O11="NOT APPLICABLE"),$V11,0)</x:f>
        <x:v>0</x:v>
      </x:c>
      <x:c r="X11" s="84" t="n">
        <x:f>IF(AND($K11="Yes",OR($O11="FAIL",$O11="BLOCKED",$O11="NOT RUN",$O11="IN PROGRESS")),1,0)</x:f>
        <x:v>1</x:v>
      </x:c>
      <x:c r="Y11" s="32" t="str">
        <x:f>IF($O11="FAIL","FAIL",IF($O11="BLOCKED","BLOCKED",IF(AND($O11="EXCEPTION APPROVED",$K11="Yes"),"REVIEW",IF($O11="PASS","OK","PENDING"))))</x:f>
        <x:v>PENDING</x:v>
      </x:c>
    </x:row>
    <x:row r="12">
      <x:c r="A12" s="32" t="str">
        <x:v>REL-GOV-008</x:v>
      </x:c>
      <x:c r="B12" s="32" t="str">
        <x:v>Producto, alcance y planificación</x:v>
      </x:c>
      <x:c r="C12" s="32" t="str">
        <x:v>Release readiness</x:v>
      </x:c>
      <x:c r="D12" s="32" t="str">
        <x:v>Existe un criterio formal de no-go y proceso de retraso/cambio de fecha.</x:v>
      </x:c>
      <x:c r="E12" s="32" t="str">
        <x:v>Revisar release playbook.</x:v>
      </x:c>
      <x:c r="F12" s="32" t="str">
        <x:v>Cumplimiento verificable antes del gate indicado.</x:v>
      </x:c>
      <x:c r="G12" s="32" t="str">
        <x:v>No-go/escalation plan.</x:v>
      </x:c>
      <x:c r="H12" s="32" t="str">
        <x:v>24_Steam_Publishing_Plan.md; 25_Post_Launch_and_Live_Operations_Plan.md; 28_Marketing_and_Communication_Plan.md</x:v>
      </x:c>
      <x:c r="I12" s="32" t="str">
        <x:v>Steam/Marketing/Roadmap historical v0.3–v0.6</x:v>
      </x:c>
      <x:c r="J12" s="32" t="str">
        <x:v>Release</x:v>
      </x:c>
      <x:c r="K12" s="32" t="str">
        <x:v>Yes</x:v>
      </x:c>
      <x:c r="L12" s="32" t="str">
        <x:v>P1</x:v>
      </x:c>
      <x:c r="M12" s="32" t="str">
        <x:v>Production</x:v>
      </x:c>
      <x:c r="N12" s="32" t="str">
        <x:v>Production/QA</x:v>
      </x:c>
      <x:c r="O12" s="32" t="str">
        <x:v>NOT RUN</x:v>
      </x:c>
      <x:c r="P12" s="32" t="str"/>
      <x:c r="Q12" s="32" t="str"/>
      <x:c r="R12" s="32" t="str"/>
      <x:c r="S12" s="32" t="str"/>
      <x:c r="T12" s="82" t="str"/>
      <x:c r="U12" s="32" t="str"/>
      <x:c r="V12" s="84" t="n">
        <x:v>1</x:v>
      </x:c>
      <x:c r="W12" s="84" t="n">
        <x:f>IF(OR($O12="PASS",$O12="EXCEPTION APPROVED",$O12="NOT APPLICABLE"),$V12,0)</x:f>
        <x:v>0</x:v>
      </x:c>
      <x:c r="X12" s="84" t="n">
        <x:f>IF(AND($K12="Yes",OR($O12="FAIL",$O12="BLOCKED",$O12="NOT RUN",$O12="IN PROGRESS")),1,0)</x:f>
        <x:v>1</x:v>
      </x:c>
      <x:c r="Y12" s="32" t="str">
        <x:f>IF($O12="FAIL","FAIL",IF($O12="BLOCKED","BLOCKED",IF(AND($O12="EXCEPTION APPROVED",$K12="Yes"),"REVIEW",IF($O12="PASS","OK","PENDING"))))</x:f>
        <x:v>PENDING</x:v>
      </x:c>
    </x:row>
    <x:row r="13">
      <x:c r="A13" s="32" t="str">
        <x:v>REL-GOV-009</x:v>
      </x:c>
      <x:c r="B13" s="32" t="str">
        <x:v>Producto, alcance y planificación</x:v>
      </x:c>
      <x:c r="C13" s="32" t="str">
        <x:v>Release readiness</x:v>
      </x:c>
      <x:c r="D13" s="32" t="str">
        <x:v>Los propietarios de producto, build, QA, Steam, legal, marketing y soporte están identificados.</x:v>
      </x:c>
      <x:c r="E13" s="32" t="str">
        <x:v>Completar RACI.</x:v>
      </x:c>
      <x:c r="F13" s="32" t="str">
        <x:v>Cumplimiento verificable antes del gate indicado.</x:v>
      </x:c>
      <x:c r="G13" s="32" t="str">
        <x:v>Release RACI.</x:v>
      </x:c>
      <x:c r="H13" s="32" t="str">
        <x:v>24_Steam_Publishing_Plan.md; 25_Post_Launch_and_Live_Operations_Plan.md; 28_Marketing_and_Communication_Plan.md</x:v>
      </x:c>
      <x:c r="I13" s="32" t="str">
        <x:v>Steam/Marketing/Roadmap historical v0.3–v0.6</x:v>
      </x:c>
      <x:c r="J13" s="32" t="str">
        <x:v>Release</x:v>
      </x:c>
      <x:c r="K13" s="32" t="str">
        <x:v>Yes</x:v>
      </x:c>
      <x:c r="L13" s="32" t="str">
        <x:v>P1</x:v>
      </x:c>
      <x:c r="M13" s="32" t="str">
        <x:v>Production</x:v>
      </x:c>
      <x:c r="N13" s="32" t="str">
        <x:v>Production/QA</x:v>
      </x:c>
      <x:c r="O13" s="32" t="str">
        <x:v>NOT RUN</x:v>
      </x:c>
      <x:c r="P13" s="32" t="str"/>
      <x:c r="Q13" s="32" t="str"/>
      <x:c r="R13" s="32" t="str"/>
      <x:c r="S13" s="32" t="str"/>
      <x:c r="T13" s="82" t="str"/>
      <x:c r="U13" s="32" t="str"/>
      <x:c r="V13" s="84" t="n">
        <x:v>1</x:v>
      </x:c>
      <x:c r="W13" s="84" t="n">
        <x:f>IF(OR($O13="PASS",$O13="EXCEPTION APPROVED",$O13="NOT APPLICABLE"),$V13,0)</x:f>
        <x:v>0</x:v>
      </x:c>
      <x:c r="X13" s="84" t="n">
        <x:f>IF(AND($K13="Yes",OR($O13="FAIL",$O13="BLOCKED",$O13="NOT RUN",$O13="IN PROGRESS")),1,0)</x:f>
        <x:v>1</x:v>
      </x:c>
      <x:c r="Y13" s="32" t="str">
        <x:f>IF($O13="FAIL","FAIL",IF($O13="BLOCKED","BLOCKED",IF(AND($O13="EXCEPTION APPROVED",$K13="Yes"),"REVIEW",IF($O13="PASS","OK","PENDING"))))</x:f>
        <x:v>PENDING</x:v>
      </x:c>
    </x:row>
    <x:row r="14">
      <x:c r="A14" s="32" t="str">
        <x:v>REL-GOV-010</x:v>
      </x:c>
      <x:c r="B14" s="32" t="str">
        <x:v>Producto, alcance y planificación</x:v>
      </x:c>
      <x:c r="C14" s="32" t="str">
        <x:v>Release readiness</x:v>
      </x:c>
      <x:c r="D14" s="32" t="str">
        <x:v>Los riesgos críticos y dependencias externas tienen contingencia y fecha/trigger de revisión.</x:v>
      </x:c>
      <x:c r="E14" s="32" t="str">
        <x:v>Revisar risk/dependency log.</x:v>
      </x:c>
      <x:c r="F14" s="32" t="str">
        <x:v>Cumplimiento verificable antes del gate indicado.</x:v>
      </x:c>
      <x:c r="G14" s="32" t="str">
        <x:v>Critical risk review.</x:v>
      </x:c>
      <x:c r="H14" s="32" t="str">
        <x:v>24_Steam_Publishing_Plan.md; 25_Post_Launch_and_Live_Operations_Plan.md; 28_Marketing_and_Communication_Plan.md</x:v>
      </x:c>
      <x:c r="I14" s="32" t="str">
        <x:v>Steam/Marketing/Roadmap historical v0.3–v0.6</x:v>
      </x:c>
      <x:c r="J14" s="32" t="str">
        <x:v>Release</x:v>
      </x:c>
      <x:c r="K14" s="32" t="str">
        <x:v>Yes</x:v>
      </x:c>
      <x:c r="L14" s="32" t="str">
        <x:v>P1</x:v>
      </x:c>
      <x:c r="M14" s="32" t="str">
        <x:v>Production</x:v>
      </x:c>
      <x:c r="N14" s="32" t="str">
        <x:v>Production/QA</x:v>
      </x:c>
      <x:c r="O14" s="32" t="str">
        <x:v>NOT RUN</x:v>
      </x:c>
      <x:c r="P14" s="32" t="str"/>
      <x:c r="Q14" s="32" t="str"/>
      <x:c r="R14" s="32" t="str"/>
      <x:c r="S14" s="32" t="str"/>
      <x:c r="T14" s="82" t="str"/>
      <x:c r="U14" s="32" t="str"/>
      <x:c r="V14" s="84" t="n">
        <x:v>1</x:v>
      </x:c>
      <x:c r="W14" s="84" t="n">
        <x:f>IF(OR($O14="PASS",$O14="EXCEPTION APPROVED",$O14="NOT APPLICABLE"),$V14,0)</x:f>
        <x:v>0</x:v>
      </x:c>
      <x:c r="X14" s="84" t="n">
        <x:f>IF(AND($K14="Yes",OR($O14="FAIL",$O14="BLOCKED",$O14="NOT RUN",$O14="IN PROGRESS")),1,0)</x:f>
        <x:v>1</x:v>
      </x:c>
      <x:c r="Y14" s="32" t="str">
        <x:f>IF($O14="FAIL","FAIL",IF($O14="BLOCKED","BLOCKED",IF(AND($O14="EXCEPTION APPROVED",$K14="Yes"),"REVIEW",IF($O14="PASS","OK","PENDING"))))</x:f>
        <x:v>PENDING</x:v>
      </x:c>
    </x:row>
    <x:row r="15">
      <x:c r="A15" s="32" t="str">
        <x:v>REL-STM-001</x:v>
      </x:c>
      <x:c r="B15" s="32" t="str">
        <x:v>Steamworks y cuenta</x:v>
      </x:c>
      <x:c r="C15" s="32" t="str">
        <x:v>Release readiness</x:v>
      </x:c>
      <x:c r="D15" s="32" t="str">
        <x:v>La cuenta Steamworks, organización y datos fiscales/bancarios están operativos y bajo acceso controlado.</x:v>
      </x:c>
      <x:c r="E15" s="32" t="str">
        <x:v>Revisar, ejecutar y registrar evidencia reproducible.</x:v>
      </x:c>
      <x:c r="F15" s="32" t="str">
        <x:v>Cumplimiento verificable antes del gate indicado.</x:v>
      </x:c>
      <x:c r="G15" s="32" t="str">
        <x:v>Steamworks onboarding signoff.</x:v>
      </x:c>
      <x:c r="H15" s="32" t="str">
        <x:v>24_Steam_Publishing_Plan.md; 26_Privacy_Data_and_Telemetry_Plan.md; 27_Security_and_Incident_Response_Plan.md</x:v>
      </x:c>
      <x:c r="I15" s="32" t="str">
        <x:v>Steam Publishing Plan v0.3–v0.5; historical build guides</x:v>
      </x:c>
      <x:c r="J15" s="32" t="str">
        <x:v>Release</x:v>
      </x:c>
      <x:c r="K15" s="32" t="str">
        <x:v>Yes</x:v>
      </x:c>
      <x:c r="L15" s="32" t="str">
        <x:v>P0</x:v>
      </x:c>
      <x:c r="M15" s="32" t="str">
        <x:v>Steam/Engineering</x:v>
      </x:c>
      <x:c r="N15" s="32" t="str">
        <x:v>Security/Production</x:v>
      </x:c>
      <x:c r="O15" s="32" t="str">
        <x:v>NOT RUN</x:v>
      </x:c>
      <x:c r="P15" s="32" t="str"/>
      <x:c r="Q15" s="32" t="str"/>
      <x:c r="R15" s="32" t="str"/>
      <x:c r="S15" s="32" t="str"/>
      <x:c r="T15" s="82" t="str"/>
      <x:c r="U15" s="32" t="str"/>
      <x:c r="V15" s="84" t="n">
        <x:v>1</x:v>
      </x:c>
      <x:c r="W15" s="84" t="n">
        <x:f>IF(OR($O15="PASS",$O15="EXCEPTION APPROVED",$O15="NOT APPLICABLE"),$V15,0)</x:f>
        <x:v>0</x:v>
      </x:c>
      <x:c r="X15" s="84" t="n">
        <x:f>IF(AND($K15="Yes",OR($O15="FAIL",$O15="BLOCKED",$O15="NOT RUN",$O15="IN PROGRESS")),1,0)</x:f>
        <x:v>1</x:v>
      </x:c>
      <x:c r="Y15" s="32" t="str">
        <x:f>IF($O15="FAIL","FAIL",IF($O15="BLOCKED","BLOCKED",IF(AND($O15="EXCEPTION APPROVED",$K15="Yes"),"REVIEW",IF($O15="PASS","OK","PENDING"))))</x:f>
        <x:v>PENDING</x:v>
      </x:c>
    </x:row>
    <x:row r="16">
      <x:c r="A16" s="32" t="str">
        <x:v>REL-STM-002</x:v>
      </x:c>
      <x:c r="B16" s="32" t="str">
        <x:v>Steamworks y cuenta</x:v>
      </x:c>
      <x:c r="C16" s="32" t="str">
        <x:v>Release readiness</x:v>
      </x:c>
      <x:c r="D16" s="32" t="str">
        <x:v>El AppID y nombre interno están creados sin publicar un naming no autorizado.</x:v>
      </x:c>
      <x:c r="E16" s="32" t="str">
        <x:v>Revisar, ejecutar y registrar evidencia reproducible.</x:v>
      </x:c>
      <x:c r="F16" s="32" t="str">
        <x:v>Cumplimiento verificable antes del gate indicado.</x:v>
      </x:c>
      <x:c r="G16" s="32" t="str">
        <x:v>App record y naming approval.</x:v>
      </x:c>
      <x:c r="H16" s="32" t="str">
        <x:v>24_Steam_Publishing_Plan.md; 26_Privacy_Data_and_Telemetry_Plan.md; 27_Security_and_Incident_Response_Plan.md</x:v>
      </x:c>
      <x:c r="I16" s="32" t="str">
        <x:v>Steam Publishing Plan v0.3–v0.5; historical build guides</x:v>
      </x:c>
      <x:c r="J16" s="32" t="str">
        <x:v>Release</x:v>
      </x:c>
      <x:c r="K16" s="32" t="str">
        <x:v>Yes</x:v>
      </x:c>
      <x:c r="L16" s="32" t="str">
        <x:v>P1</x:v>
      </x:c>
      <x:c r="M16" s="32" t="str">
        <x:v>Steam/Engineering</x:v>
      </x:c>
      <x:c r="N16" s="32" t="str">
        <x:v>Security/Production</x:v>
      </x:c>
      <x:c r="O16" s="32" t="str">
        <x:v>NOT RUN</x:v>
      </x:c>
      <x:c r="P16" s="32" t="str"/>
      <x:c r="Q16" s="32" t="str"/>
      <x:c r="R16" s="32" t="str"/>
      <x:c r="S16" s="32" t="str"/>
      <x:c r="T16" s="82" t="str"/>
      <x:c r="U16" s="32" t="str"/>
      <x:c r="V16" s="84" t="n">
        <x:v>1</x:v>
      </x:c>
      <x:c r="W16" s="84" t="n">
        <x:f>IF(OR($O16="PASS",$O16="EXCEPTION APPROVED",$O16="NOT APPLICABLE"),$V16,0)</x:f>
        <x:v>0</x:v>
      </x:c>
      <x:c r="X16" s="84" t="n">
        <x:f>IF(AND($K16="Yes",OR($O16="FAIL",$O16="BLOCKED",$O16="NOT RUN",$O16="IN PROGRESS")),1,0)</x:f>
        <x:v>1</x:v>
      </x:c>
      <x:c r="Y16" s="32" t="str">
        <x:f>IF($O16="FAIL","FAIL",IF($O16="BLOCKED","BLOCKED",IF(AND($O16="EXCEPTION APPROVED",$K16="Yes"),"REVIEW",IF($O16="PASS","OK","PENDING"))))</x:f>
        <x:v>PENDING</x:v>
      </x:c>
    </x:row>
    <x:row r="17">
      <x:c r="A17" s="32" t="str">
        <x:v>REL-STM-003</x:v>
      </x:c>
      <x:c r="B17" s="32" t="str">
        <x:v>Steamworks y cuenta</x:v>
      </x:c>
      <x:c r="C17" s="32" t="str">
        <x:v>Release readiness</x:v>
      </x:c>
      <x:c r="D17" s="32" t="str">
        <x:v>Roles y permisos de Steamworks aplican mínimo privilegio y MFA donde esté disponible.</x:v>
      </x:c>
      <x:c r="E17" s="32" t="str">
        <x:v>Revisar, ejecutar y registrar evidencia reproducible.</x:v>
      </x:c>
      <x:c r="F17" s="32" t="str">
        <x:v>Cumplimiento verificable antes del gate indicado.</x:v>
      </x:c>
      <x:c r="G17" s="32" t="str">
        <x:v>Access review.</x:v>
      </x:c>
      <x:c r="H17" s="32" t="str">
        <x:v>24_Steam_Publishing_Plan.md; 26_Privacy_Data_and_Telemetry_Plan.md; 27_Security_and_Incident_Response_Plan.md</x:v>
      </x:c>
      <x:c r="I17" s="32" t="str">
        <x:v>Steam Publishing Plan v0.3–v0.5; historical build guides</x:v>
      </x:c>
      <x:c r="J17" s="32" t="str">
        <x:v>Release</x:v>
      </x:c>
      <x:c r="K17" s="32" t="str">
        <x:v>Yes</x:v>
      </x:c>
      <x:c r="L17" s="32" t="str">
        <x:v>P1</x:v>
      </x:c>
      <x:c r="M17" s="32" t="str">
        <x:v>Steam/Engineering</x:v>
      </x:c>
      <x:c r="N17" s="32" t="str">
        <x:v>Security/Production</x:v>
      </x:c>
      <x:c r="O17" s="32" t="str">
        <x:v>NOT RUN</x:v>
      </x:c>
      <x:c r="P17" s="32" t="str"/>
      <x:c r="Q17" s="32" t="str"/>
      <x:c r="R17" s="32" t="str"/>
      <x:c r="S17" s="32" t="str"/>
      <x:c r="T17" s="82" t="str"/>
      <x:c r="U17" s="32" t="str"/>
      <x:c r="V17" s="84" t="n">
        <x:v>1</x:v>
      </x:c>
      <x:c r="W17" s="84" t="n">
        <x:f>IF(OR($O17="PASS",$O17="EXCEPTION APPROVED",$O17="NOT APPLICABLE"),$V17,0)</x:f>
        <x:v>0</x:v>
      </x:c>
      <x:c r="X17" s="84" t="n">
        <x:f>IF(AND($K17="Yes",OR($O17="FAIL",$O17="BLOCKED",$O17="NOT RUN",$O17="IN PROGRESS")),1,0)</x:f>
        <x:v>1</x:v>
      </x:c>
      <x:c r="Y17" s="32" t="str">
        <x:f>IF($O17="FAIL","FAIL",IF($O17="BLOCKED","BLOCKED",IF(AND($O17="EXCEPTION APPROVED",$K17="Yes"),"REVIEW",IF($O17="PASS","OK","PENDING"))))</x:f>
        <x:v>PENDING</x:v>
      </x:c>
    </x:row>
    <x:row r="18">
      <x:c r="A18" s="32" t="str">
        <x:v>REL-STM-004</x:v>
      </x:c>
      <x:c r="B18" s="32" t="str">
        <x:v>Steamworks y cuenta</x:v>
      </x:c>
      <x:c r="C18" s="32" t="str">
        <x:v>Release readiness</x:v>
      </x:c>
      <x:c r="D18" s="32" t="str">
        <x:v>Los contactos de Valve y responsables internos están documentados.</x:v>
      </x:c>
      <x:c r="E18" s="32" t="str">
        <x:v>Revisar, ejecutar y registrar evidencia reproducible.</x:v>
      </x:c>
      <x:c r="F18" s="32" t="str">
        <x:v>Cumplimiento verificable antes del gate indicado.</x:v>
      </x:c>
      <x:c r="G18" s="32" t="str">
        <x:v>Contact register.</x:v>
      </x:c>
      <x:c r="H18" s="32" t="str">
        <x:v>24_Steam_Publishing_Plan.md; 26_Privacy_Data_and_Telemetry_Plan.md; 27_Security_and_Incident_Response_Plan.md</x:v>
      </x:c>
      <x:c r="I18" s="32" t="str">
        <x:v>Steam Publishing Plan v0.3–v0.5; historical build guides</x:v>
      </x:c>
      <x:c r="J18" s="32" t="str">
        <x:v>Release</x:v>
      </x:c>
      <x:c r="K18" s="32" t="str">
        <x:v>Yes</x:v>
      </x:c>
      <x:c r="L18" s="32" t="str">
        <x:v>P1</x:v>
      </x:c>
      <x:c r="M18" s="32" t="str">
        <x:v>Steam/Engineering</x:v>
      </x:c>
      <x:c r="N18" s="32" t="str">
        <x:v>Security/Production</x:v>
      </x:c>
      <x:c r="O18" s="32" t="str">
        <x:v>NOT RUN</x:v>
      </x:c>
      <x:c r="P18" s="32" t="str"/>
      <x:c r="Q18" s="32" t="str"/>
      <x:c r="R18" s="32" t="str"/>
      <x:c r="S18" s="32" t="str"/>
      <x:c r="T18" s="82" t="str"/>
      <x:c r="U18" s="32" t="str"/>
      <x:c r="V18" s="84" t="n">
        <x:v>1</x:v>
      </x:c>
      <x:c r="W18" s="84" t="n">
        <x:f>IF(OR($O18="PASS",$O18="EXCEPTION APPROVED",$O18="NOT APPLICABLE"),$V18,0)</x:f>
        <x:v>0</x:v>
      </x:c>
      <x:c r="X18" s="84" t="n">
        <x:f>IF(AND($K18="Yes",OR($O18="FAIL",$O18="BLOCKED",$O18="NOT RUN",$O18="IN PROGRESS")),1,0)</x:f>
        <x:v>1</x:v>
      </x:c>
      <x:c r="Y18" s="32" t="str">
        <x:f>IF($O18="FAIL","FAIL",IF($O18="BLOCKED","BLOCKED",IF(AND($O18="EXCEPTION APPROVED",$K18="Yes"),"REVIEW",IF($O18="PASS","OK","PENDING"))))</x:f>
        <x:v>PENDING</x:v>
      </x:c>
    </x:row>
    <x:row r="19">
      <x:c r="A19" s="32" t="str">
        <x:v>REL-STM-005</x:v>
      </x:c>
      <x:c r="B19" s="32" t="str">
        <x:v>Steamworks y cuenta</x:v>
      </x:c>
      <x:c r="C19" s="32" t="str">
        <x:v>Release readiness</x:v>
      </x:c>
      <x:c r="D19" s="32" t="str">
        <x:v>Los SDK/redistributables necesarios están versionados y sus licencias revisadas.</x:v>
      </x:c>
      <x:c r="E19" s="32" t="str">
        <x:v>Revisar, ejecutar y registrar evidencia reproducible.</x:v>
      </x:c>
      <x:c r="F19" s="32" t="str">
        <x:v>Cumplimiento verificable antes del gate indicado.</x:v>
      </x:c>
      <x:c r="G19" s="32" t="str">
        <x:v>SDK manifest/legal review.</x:v>
      </x:c>
      <x:c r="H19" s="32" t="str">
        <x:v>24_Steam_Publishing_Plan.md; 26_Privacy_Data_and_Telemetry_Plan.md; 27_Security_and_Incident_Response_Plan.md</x:v>
      </x:c>
      <x:c r="I19" s="32" t="str">
        <x:v>Steam Publishing Plan v0.3–v0.5; historical build guides</x:v>
      </x:c>
      <x:c r="J19" s="32" t="str">
        <x:v>Release</x:v>
      </x:c>
      <x:c r="K19" s="32" t="str">
        <x:v>Yes</x:v>
      </x:c>
      <x:c r="L19" s="32" t="str">
        <x:v>P1</x:v>
      </x:c>
      <x:c r="M19" s="32" t="str">
        <x:v>Steam/Engineering</x:v>
      </x:c>
      <x:c r="N19" s="32" t="str">
        <x:v>Security/Production</x:v>
      </x:c>
      <x:c r="O19" s="32" t="str">
        <x:v>NOT RUN</x:v>
      </x:c>
      <x:c r="P19" s="32" t="str"/>
      <x:c r="Q19" s="32" t="str"/>
      <x:c r="R19" s="32" t="str"/>
      <x:c r="S19" s="32" t="str"/>
      <x:c r="T19" s="82" t="str"/>
      <x:c r="U19" s="32" t="str"/>
      <x:c r="V19" s="84" t="n">
        <x:v>1</x:v>
      </x:c>
      <x:c r="W19" s="84" t="n">
        <x:f>IF(OR($O19="PASS",$O19="EXCEPTION APPROVED",$O19="NOT APPLICABLE"),$V19,0)</x:f>
        <x:v>0</x:v>
      </x:c>
      <x:c r="X19" s="84" t="n">
        <x:f>IF(AND($K19="Yes",OR($O19="FAIL",$O19="BLOCKED",$O19="NOT RUN",$O19="IN PROGRESS")),1,0)</x:f>
        <x:v>1</x:v>
      </x:c>
      <x:c r="Y19" s="32" t="str">
        <x:f>IF($O19="FAIL","FAIL",IF($O19="BLOCKED","BLOCKED",IF(AND($O19="EXCEPTION APPROVED",$K19="Yes"),"REVIEW",IF($O19="PASS","OK","PENDING"))))</x:f>
        <x:v>PENDING</x:v>
      </x:c>
    </x:row>
    <x:row r="20">
      <x:c r="A20" s="32" t="str">
        <x:v>REL-STM-006</x:v>
      </x:c>
      <x:c r="B20" s="32" t="str">
        <x:v>Steamworks y cuenta</x:v>
      </x:c>
      <x:c r="C20" s="32" t="str">
        <x:v>Release readiness</x:v>
      </x:c>
      <x:c r="D20" s="32" t="str">
        <x:v>La integración Steamworks está aislada y ofrece fallback/no-op cuando corresponde.</x:v>
      </x:c>
      <x:c r="E20" s="32" t="str">
        <x:v>Revisar, ejecutar y registrar evidencia reproducible.</x:v>
      </x:c>
      <x:c r="F20" s="32" t="str">
        <x:v>Cumplimiento verificable antes del gate indicado.</x:v>
      </x:c>
      <x:c r="G20" s="32" t="str">
        <x:v>Architecture/test record.</x:v>
      </x:c>
      <x:c r="H20" s="32" t="str">
        <x:v>24_Steam_Publishing_Plan.md; 26_Privacy_Data_and_Telemetry_Plan.md; 27_Security_and_Incident_Response_Plan.md</x:v>
      </x:c>
      <x:c r="I20" s="32" t="str">
        <x:v>Steam Publishing Plan v0.3–v0.5; historical build guides</x:v>
      </x:c>
      <x:c r="J20" s="32" t="str">
        <x:v>Release</x:v>
      </x:c>
      <x:c r="K20" s="32" t="str">
        <x:v>Yes</x:v>
      </x:c>
      <x:c r="L20" s="32" t="str">
        <x:v>P1</x:v>
      </x:c>
      <x:c r="M20" s="32" t="str">
        <x:v>Steam/Engineering</x:v>
      </x:c>
      <x:c r="N20" s="32" t="str">
        <x:v>Security/Production</x:v>
      </x:c>
      <x:c r="O20" s="32" t="str">
        <x:v>NOT RUN</x:v>
      </x:c>
      <x:c r="P20" s="32" t="str"/>
      <x:c r="Q20" s="32" t="str"/>
      <x:c r="R20" s="32" t="str"/>
      <x:c r="S20" s="32" t="str"/>
      <x:c r="T20" s="82" t="str"/>
      <x:c r="U20" s="32" t="str"/>
      <x:c r="V20" s="84" t="n">
        <x:v>1</x:v>
      </x:c>
      <x:c r="W20" s="84" t="n">
        <x:f>IF(OR($O20="PASS",$O20="EXCEPTION APPROVED",$O20="NOT APPLICABLE"),$V20,0)</x:f>
        <x:v>0</x:v>
      </x:c>
      <x:c r="X20" s="84" t="n">
        <x:f>IF(AND($K20="Yes",OR($O20="FAIL",$O20="BLOCKED",$O20="NOT RUN",$O20="IN PROGRESS")),1,0)</x:f>
        <x:v>1</x:v>
      </x:c>
      <x:c r="Y20" s="32" t="str">
        <x:f>IF($O20="FAIL","FAIL",IF($O20="BLOCKED","BLOCKED",IF(AND($O20="EXCEPTION APPROVED",$K20="Yes"),"REVIEW",IF($O20="PASS","OK","PENDING"))))</x:f>
        <x:v>PENDING</x:v>
      </x:c>
    </x:row>
    <x:row r="21">
      <x:c r="A21" s="32" t="str">
        <x:v>REL-STM-007</x:v>
      </x:c>
      <x:c r="B21" s="32" t="str">
        <x:v>Steamworks y cuenta</x:v>
      </x:c>
      <x:c r="C21" s="32" t="str">
        <x:v>Release readiness</x:v>
      </x:c>
      <x:c r="D21" s="32" t="str">
        <x:v>La aplicación arranca correctamente desde Steam y directamente según soporte definido.</x:v>
      </x:c>
      <x:c r="E21" s="32" t="str">
        <x:v>Revisar, ejecutar y registrar evidencia reproducible.</x:v>
      </x:c>
      <x:c r="F21" s="32" t="str">
        <x:v>Cumplimiento verificable antes del gate indicado.</x:v>
      </x:c>
      <x:c r="G21" s="32" t="str">
        <x:v>Launch matrix.</x:v>
      </x:c>
      <x:c r="H21" s="32" t="str">
        <x:v>24_Steam_Publishing_Plan.md; 26_Privacy_Data_and_Telemetry_Plan.md; 27_Security_and_Incident_Response_Plan.md</x:v>
      </x:c>
      <x:c r="I21" s="32" t="str">
        <x:v>Steam Publishing Plan v0.3–v0.5; historical build guides</x:v>
      </x:c>
      <x:c r="J21" s="32" t="str">
        <x:v>Release</x:v>
      </x:c>
      <x:c r="K21" s="32" t="str">
        <x:v>Yes</x:v>
      </x:c>
      <x:c r="L21" s="32" t="str">
        <x:v>P1</x:v>
      </x:c>
      <x:c r="M21" s="32" t="str">
        <x:v>Steam/Engineering</x:v>
      </x:c>
      <x:c r="N21" s="32" t="str">
        <x:v>Security/Production</x:v>
      </x:c>
      <x:c r="O21" s="32" t="str">
        <x:v>NOT RUN</x:v>
      </x:c>
      <x:c r="P21" s="32" t="str"/>
      <x:c r="Q21" s="32" t="str"/>
      <x:c r="R21" s="32" t="str"/>
      <x:c r="S21" s="32" t="str"/>
      <x:c r="T21" s="82" t="str"/>
      <x:c r="U21" s="32" t="str"/>
      <x:c r="V21" s="84" t="n">
        <x:v>1</x:v>
      </x:c>
      <x:c r="W21" s="84" t="n">
        <x:f>IF(OR($O21="PASS",$O21="EXCEPTION APPROVED",$O21="NOT APPLICABLE"),$V21,0)</x:f>
        <x:v>0</x:v>
      </x:c>
      <x:c r="X21" s="84" t="n">
        <x:f>IF(AND($K21="Yes",OR($O21="FAIL",$O21="BLOCKED",$O21="NOT RUN",$O21="IN PROGRESS")),1,0)</x:f>
        <x:v>1</x:v>
      </x:c>
      <x:c r="Y21" s="32" t="str">
        <x:f>IF($O21="FAIL","FAIL",IF($O21="BLOCKED","BLOCKED",IF(AND($O21="EXCEPTION APPROVED",$K21="Yes"),"REVIEW",IF($O21="PASS","OK","PENDING"))))</x:f>
        <x:v>PENDING</x:v>
      </x:c>
    </x:row>
    <x:row r="22">
      <x:c r="A22" s="32" t="str">
        <x:v>REL-STM-008</x:v>
      </x:c>
      <x:c r="B22" s="32" t="str">
        <x:v>Steamworks y cuenta</x:v>
      </x:c>
      <x:c r="C22" s="32" t="str">
        <x:v>Release readiness</x:v>
      </x:c>
      <x:c r="D22" s="32" t="str">
        <x:v>Overlay, achievements, cloud u otras funciones solo se habilitan si están implementadas y probadas.</x:v>
      </x:c>
      <x:c r="E22" s="32" t="str">
        <x:v>Revisar, ejecutar y registrar evidencia reproducible.</x:v>
      </x:c>
      <x:c r="F22" s="32" t="str">
        <x:v>Cumplimiento verificable antes del gate indicado.</x:v>
      </x:c>
      <x:c r="G22" s="32" t="str">
        <x:v>Steam feature matrix.</x:v>
      </x:c>
      <x:c r="H22" s="32" t="str">
        <x:v>24_Steam_Publishing_Plan.md; 26_Privacy_Data_and_Telemetry_Plan.md; 27_Security_and_Incident_Response_Plan.md</x:v>
      </x:c>
      <x:c r="I22" s="32" t="str">
        <x:v>Steam Publishing Plan v0.3–v0.5; historical build guides</x:v>
      </x:c>
      <x:c r="J22" s="32" t="str">
        <x:v>Release</x:v>
      </x:c>
      <x:c r="K22" s="32" t="str">
        <x:v>Yes</x:v>
      </x:c>
      <x:c r="L22" s="32" t="str">
        <x:v>P1</x:v>
      </x:c>
      <x:c r="M22" s="32" t="str">
        <x:v>Steam/Engineering</x:v>
      </x:c>
      <x:c r="N22" s="32" t="str">
        <x:v>Security/Production</x:v>
      </x:c>
      <x:c r="O22" s="32" t="str">
        <x:v>NOT RUN</x:v>
      </x:c>
      <x:c r="P22" s="32" t="str"/>
      <x:c r="Q22" s="32" t="str"/>
      <x:c r="R22" s="32" t="str"/>
      <x:c r="S22" s="32" t="str"/>
      <x:c r="T22" s="82" t="str"/>
      <x:c r="U22" s="32" t="str"/>
      <x:c r="V22" s="84" t="n">
        <x:v>1</x:v>
      </x:c>
      <x:c r="W22" s="84" t="n">
        <x:f>IF(OR($O22="PASS",$O22="EXCEPTION APPROVED",$O22="NOT APPLICABLE"),$V22,0)</x:f>
        <x:v>0</x:v>
      </x:c>
      <x:c r="X22" s="84" t="n">
        <x:f>IF(AND($K22="Yes",OR($O22="FAIL",$O22="BLOCKED",$O22="NOT RUN",$O22="IN PROGRESS")),1,0)</x:f>
        <x:v>1</x:v>
      </x:c>
      <x:c r="Y22" s="32" t="str">
        <x:f>IF($O22="FAIL","FAIL",IF($O22="BLOCKED","BLOCKED",IF(AND($O22="EXCEPTION APPROVED",$K22="Yes"),"REVIEW",IF($O22="PASS","OK","PENDING"))))</x:f>
        <x:v>PENDING</x:v>
      </x:c>
    </x:row>
    <x:row r="23">
      <x:c r="A23" s="32" t="str">
        <x:v>REL-STM-009</x:v>
      </x:c>
      <x:c r="B23" s="32" t="str">
        <x:v>Steamworks y cuenta</x:v>
      </x:c>
      <x:c r="C23" s="32" t="str">
        <x:v>Release readiness</x:v>
      </x:c>
      <x:c r="D23" s="32" t="str">
        <x:v>Steam Cloud, si se activa, tiene conflictos, cuota, exclusiones y pruebas de corrupción definidos.</x:v>
      </x:c>
      <x:c r="E23" s="32" t="str">
        <x:v>Revisar, ejecutar y registrar evidencia reproducible.</x:v>
      </x:c>
      <x:c r="F23" s="32" t="str">
        <x:v>Cumplimiento verificable antes del gate indicado.</x:v>
      </x:c>
      <x:c r="G23" s="32" t="str">
        <x:v>Cloud test plan/report.</x:v>
      </x:c>
      <x:c r="H23" s="32" t="str">
        <x:v>24_Steam_Publishing_Plan.md; 26_Privacy_Data_and_Telemetry_Plan.md; 27_Security_and_Incident_Response_Plan.md</x:v>
      </x:c>
      <x:c r="I23" s="32" t="str">
        <x:v>Steam Publishing Plan v0.3–v0.5; historical build guides</x:v>
      </x:c>
      <x:c r="J23" s="32" t="str">
        <x:v>Release</x:v>
      </x:c>
      <x:c r="K23" s="32" t="str">
        <x:v>Yes</x:v>
      </x:c>
      <x:c r="L23" s="32" t="str">
        <x:v>P1</x:v>
      </x:c>
      <x:c r="M23" s="32" t="str">
        <x:v>Steam/Engineering</x:v>
      </x:c>
      <x:c r="N23" s="32" t="str">
        <x:v>Security/Production</x:v>
      </x:c>
      <x:c r="O23" s="32" t="str">
        <x:v>NOT RUN</x:v>
      </x:c>
      <x:c r="P23" s="32" t="str"/>
      <x:c r="Q23" s="32" t="str"/>
      <x:c r="R23" s="32" t="str"/>
      <x:c r="S23" s="32" t="str"/>
      <x:c r="T23" s="82" t="str"/>
      <x:c r="U23" s="32" t="str"/>
      <x:c r="V23" s="84" t="n">
        <x:v>1</x:v>
      </x:c>
      <x:c r="W23" s="84" t="n">
        <x:f>IF(OR($O23="PASS",$O23="EXCEPTION APPROVED",$O23="NOT APPLICABLE"),$V23,0)</x:f>
        <x:v>0</x:v>
      </x:c>
      <x:c r="X23" s="84" t="n">
        <x:f>IF(AND($K23="Yes",OR($O23="FAIL",$O23="BLOCKED",$O23="NOT RUN",$O23="IN PROGRESS")),1,0)</x:f>
        <x:v>1</x:v>
      </x:c>
      <x:c r="Y23" s="32" t="str">
        <x:f>IF($O23="FAIL","FAIL",IF($O23="BLOCKED","BLOCKED",IF(AND($O23="EXCEPTION APPROVED",$K23="Yes"),"REVIEW",IF($O23="PASS","OK","PENDING"))))</x:f>
        <x:v>PENDING</x:v>
      </x:c>
    </x:row>
    <x:row r="24">
      <x:c r="A24" s="32" t="str">
        <x:v>REL-STM-010</x:v>
      </x:c>
      <x:c r="B24" s="32" t="str">
        <x:v>Steamworks y cuenta</x:v>
      </x:c>
      <x:c r="C24" s="32" t="str">
        <x:v>Release readiness</x:v>
      </x:c>
      <x:c r="D24" s="32" t="str">
        <x:v>Los logros, si existen, no revelan contenido no anunciado y funcionan offline/online según diseño.</x:v>
      </x:c>
      <x:c r="E24" s="32" t="str">
        <x:v>Revisar, ejecutar y registrar evidencia reproducible.</x:v>
      </x:c>
      <x:c r="F24" s="32" t="str">
        <x:v>Cumplimiento verificable antes del gate indicado.</x:v>
      </x:c>
      <x:c r="G24" s="32" t="str">
        <x:v>Achievement QA report.</x:v>
      </x:c>
      <x:c r="H24" s="32" t="str">
        <x:v>24_Steam_Publishing_Plan.md; 26_Privacy_Data_and_Telemetry_Plan.md; 27_Security_and_Incident_Response_Plan.md</x:v>
      </x:c>
      <x:c r="I24" s="32" t="str">
        <x:v>Steam Publishing Plan v0.3–v0.5; historical build guides</x:v>
      </x:c>
      <x:c r="J24" s="32" t="str">
        <x:v>Release</x:v>
      </x:c>
      <x:c r="K24" s="32" t="str">
        <x:v>Yes</x:v>
      </x:c>
      <x:c r="L24" s="32" t="str">
        <x:v>P1</x:v>
      </x:c>
      <x:c r="M24" s="32" t="str">
        <x:v>Steam/Engineering</x:v>
      </x:c>
      <x:c r="N24" s="32" t="str">
        <x:v>Security/Production</x:v>
      </x:c>
      <x:c r="O24" s="32" t="str">
        <x:v>NOT RUN</x:v>
      </x:c>
      <x:c r="P24" s="32" t="str"/>
      <x:c r="Q24" s="32" t="str"/>
      <x:c r="R24" s="32" t="str"/>
      <x:c r="S24" s="32" t="str"/>
      <x:c r="T24" s="82" t="str"/>
      <x:c r="U24" s="32" t="str"/>
      <x:c r="V24" s="84" t="n">
        <x:v>1</x:v>
      </x:c>
      <x:c r="W24" s="84" t="n">
        <x:f>IF(OR($O24="PASS",$O24="EXCEPTION APPROVED",$O24="NOT APPLICABLE"),$V24,0)</x:f>
        <x:v>0</x:v>
      </x:c>
      <x:c r="X24" s="84" t="n">
        <x:f>IF(AND($K24="Yes",OR($O24="FAIL",$O24="BLOCKED",$O24="NOT RUN",$O24="IN PROGRESS")),1,0)</x:f>
        <x:v>1</x:v>
      </x:c>
      <x:c r="Y24" s="32" t="str">
        <x:f>IF($O24="FAIL","FAIL",IF($O24="BLOCKED","BLOCKED",IF(AND($O24="EXCEPTION APPROVED",$K24="Yes"),"REVIEW",IF($O24="PASS","OK","PENDING"))))</x:f>
        <x:v>PENDING</x:v>
      </x:c>
    </x:row>
    <x:row r="25">
      <x:c r="A25" s="32" t="str">
        <x:v>REL-STM-011</x:v>
      </x:c>
      <x:c r="B25" s="32" t="str">
        <x:v>Steamworks y cuenta</x:v>
      </x:c>
      <x:c r="C25" s="32" t="str">
        <x:v>Release readiness</x:v>
      </x:c>
      <x:c r="D25" s="32" t="str">
        <x:v>Los redistributables y requisitos de runtime se instalan correctamente.</x:v>
      </x:c>
      <x:c r="E25" s="32" t="str">
        <x:v>Revisar, ejecutar y registrar evidencia reproducible.</x:v>
      </x:c>
      <x:c r="F25" s="32" t="str">
        <x:v>Cumplimiento verificable antes del gate indicado.</x:v>
      </x:c>
      <x:c r="G25" s="32" t="str">
        <x:v>Fresh machine install record.</x:v>
      </x:c>
      <x:c r="H25" s="32" t="str">
        <x:v>24_Steam_Publishing_Plan.md; 26_Privacy_Data_and_Telemetry_Plan.md; 27_Security_and_Incident_Response_Plan.md</x:v>
      </x:c>
      <x:c r="I25" s="32" t="str">
        <x:v>Steam Publishing Plan v0.3–v0.5; historical build guides</x:v>
      </x:c>
      <x:c r="J25" s="32" t="str">
        <x:v>Release</x:v>
      </x:c>
      <x:c r="K25" s="32" t="str">
        <x:v>Yes</x:v>
      </x:c>
      <x:c r="L25" s="32" t="str">
        <x:v>P1</x:v>
      </x:c>
      <x:c r="M25" s="32" t="str">
        <x:v>Steam/Engineering</x:v>
      </x:c>
      <x:c r="N25" s="32" t="str">
        <x:v>Security/Production</x:v>
      </x:c>
      <x:c r="O25" s="32" t="str">
        <x:v>NOT RUN</x:v>
      </x:c>
      <x:c r="P25" s="32" t="str"/>
      <x:c r="Q25" s="32" t="str"/>
      <x:c r="R25" s="32" t="str"/>
      <x:c r="S25" s="32" t="str"/>
      <x:c r="T25" s="82" t="str"/>
      <x:c r="U25" s="32" t="str"/>
      <x:c r="V25" s="84" t="n">
        <x:v>1</x:v>
      </x:c>
      <x:c r="W25" s="84" t="n">
        <x:f>IF(OR($O25="PASS",$O25="EXCEPTION APPROVED",$O25="NOT APPLICABLE"),$V25,0)</x:f>
        <x:v>0</x:v>
      </x:c>
      <x:c r="X25" s="84" t="n">
        <x:f>IF(AND($K25="Yes",OR($O25="FAIL",$O25="BLOCKED",$O25="NOT RUN",$O25="IN PROGRESS")),1,0)</x:f>
        <x:v>1</x:v>
      </x:c>
      <x:c r="Y25" s="32" t="str">
        <x:f>IF($O25="FAIL","FAIL",IF($O25="BLOCKED","BLOCKED",IF(AND($O25="EXCEPTION APPROVED",$K25="Yes"),"REVIEW",IF($O25="PASS","OK","PENDING"))))</x:f>
        <x:v>PENDING</x:v>
      </x:c>
    </x:row>
    <x:row r="26">
      <x:c r="A26" s="32" t="str">
        <x:v>REL-STM-012</x:v>
      </x:c>
      <x:c r="B26" s="32" t="str">
        <x:v>Steamworks y cuenta</x:v>
      </x:c>
      <x:c r="C26" s="32" t="str">
        <x:v>Release readiness</x:v>
      </x:c>
      <x:c r="D26" s="32" t="str">
        <x:v>La configuración de OS soportados y arquitectura coincide con las builds probadas.</x:v>
      </x:c>
      <x:c r="E26" s="32" t="str">
        <x:v>Revisar, ejecutar y registrar evidencia reproducible.</x:v>
      </x:c>
      <x:c r="F26" s="32" t="str">
        <x:v>Cumplimiento verificable antes del gate indicado.</x:v>
      </x:c>
      <x:c r="G26" s="32" t="str">
        <x:v>Platform support matrix.</x:v>
      </x:c>
      <x:c r="H26" s="32" t="str">
        <x:v>24_Steam_Publishing_Plan.md; 26_Privacy_Data_and_Telemetry_Plan.md; 27_Security_and_Incident_Response_Plan.md</x:v>
      </x:c>
      <x:c r="I26" s="32" t="str">
        <x:v>Steam Publishing Plan v0.3–v0.5; historical build guides</x:v>
      </x:c>
      <x:c r="J26" s="32" t="str">
        <x:v>Release</x:v>
      </x:c>
      <x:c r="K26" s="32" t="str">
        <x:v>Yes</x:v>
      </x:c>
      <x:c r="L26" s="32" t="str">
        <x:v>P1</x:v>
      </x:c>
      <x:c r="M26" s="32" t="str">
        <x:v>Steam/Engineering</x:v>
      </x:c>
      <x:c r="N26" s="32" t="str">
        <x:v>Security/Production</x:v>
      </x:c>
      <x:c r="O26" s="32" t="str">
        <x:v>NOT RUN</x:v>
      </x:c>
      <x:c r="P26" s="32" t="str"/>
      <x:c r="Q26" s="32" t="str"/>
      <x:c r="R26" s="32" t="str"/>
      <x:c r="S26" s="32" t="str"/>
      <x:c r="T26" s="82" t="str"/>
      <x:c r="U26" s="32" t="str"/>
      <x:c r="V26" s="84" t="n">
        <x:v>1</x:v>
      </x:c>
      <x:c r="W26" s="84" t="n">
        <x:f>IF(OR($O26="PASS",$O26="EXCEPTION APPROVED",$O26="NOT APPLICABLE"),$V26,0)</x:f>
        <x:v>0</x:v>
      </x:c>
      <x:c r="X26" s="84" t="n">
        <x:f>IF(AND($K26="Yes",OR($O26="FAIL",$O26="BLOCKED",$O26="NOT RUN",$O26="IN PROGRESS")),1,0)</x:f>
        <x:v>1</x:v>
      </x:c>
      <x:c r="Y26" s="32" t="str">
        <x:f>IF($O26="FAIL","FAIL",IF($O26="BLOCKED","BLOCKED",IF(AND($O26="EXCEPTION APPROVED",$K26="Yes"),"REVIEW",IF($O26="PASS","OK","PENDING"))))</x:f>
        <x:v>PENDING</x:v>
      </x:c>
    </x:row>
    <x:row r="27">
      <x:c r="A27" s="32" t="str">
        <x:v>REL-STM-013</x:v>
      </x:c>
      <x:c r="B27" s="32" t="str">
        <x:v>Steamworks y cuenta</x:v>
      </x:c>
      <x:c r="C27" s="32" t="str">
        <x:v>Release readiness</x:v>
      </x:c>
      <x:c r="D27" s="32" t="str">
        <x:v>La integración no introduce una dependencia justo antes del gate sin regresión completa.</x:v>
      </x:c>
      <x:c r="E27" s="32" t="str">
        <x:v>Revisar, ejecutar y registrar evidencia reproducible.</x:v>
      </x:c>
      <x:c r="F27" s="32" t="str">
        <x:v>Cumplimiento verificable antes del gate indicado.</x:v>
      </x:c>
      <x:c r="G27" s="32" t="str">
        <x:v>Dependency change record.</x:v>
      </x:c>
      <x:c r="H27" s="32" t="str">
        <x:v>24_Steam_Publishing_Plan.md; 26_Privacy_Data_and_Telemetry_Plan.md; 27_Security_and_Incident_Response_Plan.md</x:v>
      </x:c>
      <x:c r="I27" s="32" t="str">
        <x:v>Steam Publishing Plan v0.3–v0.5; historical build guides</x:v>
      </x:c>
      <x:c r="J27" s="32" t="str">
        <x:v>Release</x:v>
      </x:c>
      <x:c r="K27" s="32" t="str">
        <x:v>Yes</x:v>
      </x:c>
      <x:c r="L27" s="32" t="str">
        <x:v>P1</x:v>
      </x:c>
      <x:c r="M27" s="32" t="str">
        <x:v>Steam/Engineering</x:v>
      </x:c>
      <x:c r="N27" s="32" t="str">
        <x:v>Security/Production</x:v>
      </x:c>
      <x:c r="O27" s="32" t="str">
        <x:v>NOT RUN</x:v>
      </x:c>
      <x:c r="P27" s="32" t="str"/>
      <x:c r="Q27" s="32" t="str"/>
      <x:c r="R27" s="32" t="str"/>
      <x:c r="S27" s="32" t="str"/>
      <x:c r="T27" s="82" t="str"/>
      <x:c r="U27" s="32" t="str"/>
      <x:c r="V27" s="84" t="n">
        <x:v>1</x:v>
      </x:c>
      <x:c r="W27" s="84" t="n">
        <x:f>IF(OR($O27="PASS",$O27="EXCEPTION APPROVED",$O27="NOT APPLICABLE"),$V27,0)</x:f>
        <x:v>0</x:v>
      </x:c>
      <x:c r="X27" s="84" t="n">
        <x:f>IF(AND($K27="Yes",OR($O27="FAIL",$O27="BLOCKED",$O27="NOT RUN",$O27="IN PROGRESS")),1,0)</x:f>
        <x:v>1</x:v>
      </x:c>
      <x:c r="Y27" s="32" t="str">
        <x:f>IF($O27="FAIL","FAIL",IF($O27="BLOCKED","BLOCKED",IF(AND($O27="EXCEPTION APPROVED",$K27="Yes"),"REVIEW",IF($O27="PASS","OK","PENDING"))))</x:f>
        <x:v>PENDING</x:v>
      </x:c>
    </x:row>
    <x:row r="28">
      <x:c r="A28" s="32" t="str">
        <x:v>REL-STM-014</x:v>
      </x:c>
      <x:c r="B28" s="32" t="str">
        <x:v>Steamworks y cuenta</x:v>
      </x:c>
      <x:c r="C28" s="32" t="str">
        <x:v>Release readiness</x:v>
      </x:c>
      <x:c r="D28" s="32" t="str">
        <x:v>Los datos/estadísticas Steam usados cumplen privacidad y propósito declarado.</x:v>
      </x:c>
      <x:c r="E28" s="32" t="str">
        <x:v>Revisar, ejecutar y registrar evidencia reproducible.</x:v>
      </x:c>
      <x:c r="F28" s="32" t="str">
        <x:v>Cumplimiento verificable antes del gate indicado.</x:v>
      </x:c>
      <x:c r="G28" s="32" t="str">
        <x:v>Data inventory update.</x:v>
      </x:c>
      <x:c r="H28" s="32" t="str">
        <x:v>24_Steam_Publishing_Plan.md; 26_Privacy_Data_and_Telemetry_Plan.md; 27_Security_and_Incident_Response_Plan.md</x:v>
      </x:c>
      <x:c r="I28" s="32" t="str">
        <x:v>Steam Publishing Plan v0.3–v0.5; historical build guides</x:v>
      </x:c>
      <x:c r="J28" s="32" t="str">
        <x:v>Release</x:v>
      </x:c>
      <x:c r="K28" s="32" t="str">
        <x:v>Yes</x:v>
      </x:c>
      <x:c r="L28" s="32" t="str">
        <x:v>P1</x:v>
      </x:c>
      <x:c r="M28" s="32" t="str">
        <x:v>Steam/Engineering</x:v>
      </x:c>
      <x:c r="N28" s="32" t="str">
        <x:v>Security/Production</x:v>
      </x:c>
      <x:c r="O28" s="32" t="str">
        <x:v>NOT RUN</x:v>
      </x:c>
      <x:c r="P28" s="32" t="str"/>
      <x:c r="Q28" s="32" t="str"/>
      <x:c r="R28" s="32" t="str"/>
      <x:c r="S28" s="32" t="str"/>
      <x:c r="T28" s="82" t="str"/>
      <x:c r="U28" s="32" t="str"/>
      <x:c r="V28" s="84" t="n">
        <x:v>1</x:v>
      </x:c>
      <x:c r="W28" s="84" t="n">
        <x:f>IF(OR($O28="PASS",$O28="EXCEPTION APPROVED",$O28="NOT APPLICABLE"),$V28,0)</x:f>
        <x:v>0</x:v>
      </x:c>
      <x:c r="X28" s="84" t="n">
        <x:f>IF(AND($K28="Yes",OR($O28="FAIL",$O28="BLOCKED",$O28="NOT RUN",$O28="IN PROGRESS")),1,0)</x:f>
        <x:v>1</x:v>
      </x:c>
      <x:c r="Y28" s="32" t="str">
        <x:f>IF($O28="FAIL","FAIL",IF($O28="BLOCKED","BLOCKED",IF(AND($O28="EXCEPTION APPROVED",$K28="Yes"),"REVIEW",IF($O28="PASS","OK","PENDING"))))</x:f>
        <x:v>PENDING</x:v>
      </x:c>
    </x:row>
    <x:row r="29">
      <x:c r="A29" s="32" t="str">
        <x:v>REL-STM-015</x:v>
      </x:c>
      <x:c r="B29" s="32" t="str">
        <x:v>Steamworks y cuenta</x:v>
      </x:c>
      <x:c r="C29" s="32" t="str">
        <x:v>Release readiness</x:v>
      </x:c>
      <x:c r="D29" s="32" t="str">
        <x:v>No se exponen claves de publisher, depot o credenciales en repositorio/CI.</x:v>
      </x:c>
      <x:c r="E29" s="32" t="str">
        <x:v>Revisar, ejecutar y registrar evidencia reproducible.</x:v>
      </x:c>
      <x:c r="F29" s="32" t="str">
        <x:v>Cumplimiento verificable antes del gate indicado.</x:v>
      </x:c>
      <x:c r="G29" s="32" t="str">
        <x:v>Secrets scan.</x:v>
      </x:c>
      <x:c r="H29" s="32" t="str">
        <x:v>24_Steam_Publishing_Plan.md; 26_Privacy_Data_and_Telemetry_Plan.md; 27_Security_and_Incident_Response_Plan.md</x:v>
      </x:c>
      <x:c r="I29" s="32" t="str">
        <x:v>Steam Publishing Plan v0.3–v0.5; historical build guides</x:v>
      </x:c>
      <x:c r="J29" s="32" t="str">
        <x:v>Release</x:v>
      </x:c>
      <x:c r="K29" s="32" t="str">
        <x:v>Yes</x:v>
      </x:c>
      <x:c r="L29" s="32" t="str">
        <x:v>P1</x:v>
      </x:c>
      <x:c r="M29" s="32" t="str">
        <x:v>Steam/Engineering</x:v>
      </x:c>
      <x:c r="N29" s="32" t="str">
        <x:v>Security/Production</x:v>
      </x:c>
      <x:c r="O29" s="32" t="str">
        <x:v>NOT RUN</x:v>
      </x:c>
      <x:c r="P29" s="32" t="str"/>
      <x:c r="Q29" s="32" t="str"/>
      <x:c r="R29" s="32" t="str"/>
      <x:c r="S29" s="32" t="str"/>
      <x:c r="T29" s="82" t="str"/>
      <x:c r="U29" s="32" t="str"/>
      <x:c r="V29" s="84" t="n">
        <x:v>1</x:v>
      </x:c>
      <x:c r="W29" s="84" t="n">
        <x:f>IF(OR($O29="PASS",$O29="EXCEPTION APPROVED",$O29="NOT APPLICABLE"),$V29,0)</x:f>
        <x:v>0</x:v>
      </x:c>
      <x:c r="X29" s="84" t="n">
        <x:f>IF(AND($K29="Yes",OR($O29="FAIL",$O29="BLOCKED",$O29="NOT RUN",$O29="IN PROGRESS")),1,0)</x:f>
        <x:v>1</x:v>
      </x:c>
      <x:c r="Y29" s="32" t="str">
        <x:f>IF($O29="FAIL","FAIL",IF($O29="BLOCKED","BLOCKED",IF(AND($O29="EXCEPTION APPROVED",$K29="Yes"),"REVIEW",IF($O29="PASS","OK","PENDING"))))</x:f>
        <x:v>PENDING</x:v>
      </x:c>
    </x:row>
    <x:row r="30">
      <x:c r="A30" s="32" t="str">
        <x:v>REL-STORE-001</x:v>
      </x:c>
      <x:c r="B30" s="32" t="str">
        <x:v>Página de tienda y contenido público</x:v>
      </x:c>
      <x:c r="C30" s="32" t="str">
        <x:v>Release readiness</x:v>
      </x:c>
      <x:c r="D30" s="32" t="str">
        <x:v>El nombre comercial y del estudio tienen clearance suficiente para publicación.</x:v>
      </x:c>
      <x:c r="E30" s="32" t="str">
        <x:v>Revisar, ejecutar y registrar evidencia reproducible.</x:v>
      </x:c>
      <x:c r="F30" s="32" t="str">
        <x:v>Cumplimiento verificable antes del gate indicado.</x:v>
      </x:c>
      <x:c r="G30" s="32" t="str">
        <x:v>Naming clearance.</x:v>
      </x:c>
      <x:c r="H30" s="32" t="str">
        <x:v>24_Steam_Publishing_Plan.md; 28_Marketing_and_Communication_Plan.md; 29_Accessibility_and_Inclusive_Design_Plan.md</x:v>
      </x:c>
      <x:c r="I30" s="32" t="str">
        <x:v>Steam/Marketing/Localization plans v0.3–v0.5</x:v>
      </x:c>
      <x:c r="J30" s="32" t="str">
        <x:v>Release</x:v>
      </x:c>
      <x:c r="K30" s="32" t="str">
        <x:v>Yes</x:v>
      </x:c>
      <x:c r="L30" s="32" t="str">
        <x:v>P0</x:v>
      </x:c>
      <x:c r="M30" s="32" t="str">
        <x:v>Marketing/Steam</x:v>
      </x:c>
      <x:c r="N30" s="32" t="str">
        <x:v>Product/Legal/LQA</x:v>
      </x:c>
      <x:c r="O30" s="32" t="str">
        <x:v>NOT RUN</x:v>
      </x:c>
      <x:c r="P30" s="32" t="str"/>
      <x:c r="Q30" s="32" t="str"/>
      <x:c r="R30" s="32" t="str"/>
      <x:c r="S30" s="32" t="str"/>
      <x:c r="T30" s="82" t="str"/>
      <x:c r="U30" s="32" t="str"/>
      <x:c r="V30" s="84" t="n">
        <x:v>1</x:v>
      </x:c>
      <x:c r="W30" s="84" t="n">
        <x:f>IF(OR($O30="PASS",$O30="EXCEPTION APPROVED",$O30="NOT APPLICABLE"),$V30,0)</x:f>
        <x:v>0</x:v>
      </x:c>
      <x:c r="X30" s="84" t="n">
        <x:f>IF(AND($K30="Yes",OR($O30="FAIL",$O30="BLOCKED",$O30="NOT RUN",$O30="IN PROGRESS")),1,0)</x:f>
        <x:v>1</x:v>
      </x:c>
      <x:c r="Y30" s="32" t="str">
        <x:f>IF($O30="FAIL","FAIL",IF($O30="BLOCKED","BLOCKED",IF(AND($O30="EXCEPTION APPROVED",$K30="Yes"),"REVIEW",IF($O30="PASS","OK","PENDING"))))</x:f>
        <x:v>PENDING</x:v>
      </x:c>
    </x:row>
    <x:row r="31">
      <x:c r="A31" s="32" t="str">
        <x:v>REL-STORE-002</x:v>
      </x:c>
      <x:c r="B31" s="32" t="str">
        <x:v>Página de tienda y contenido público</x:v>
      </x:c>
      <x:c r="C31" s="32" t="str">
        <x:v>Release readiness</x:v>
      </x:c>
      <x:c r="D31" s="32" t="str">
        <x:v>La descripción corta comunica la fantasía y alcance real sin claims no demostrados.</x:v>
      </x:c>
      <x:c r="E31" s="32" t="str">
        <x:v>Revisar, ejecutar y registrar evidencia reproducible.</x:v>
      </x:c>
      <x:c r="F31" s="32" t="str">
        <x:v>Cumplimiento verificable antes del gate indicado.</x:v>
      </x:c>
      <x:c r="G31" s="32" t="str">
        <x:v>Approved short description.</x:v>
      </x:c>
      <x:c r="H31" s="32" t="str">
        <x:v>24_Steam_Publishing_Plan.md; 28_Marketing_and_Communication_Plan.md; 29_Accessibility_and_Inclusive_Design_Plan.md</x:v>
      </x:c>
      <x:c r="I31" s="32" t="str">
        <x:v>Steam/Marketing/Localization plans v0.3–v0.5</x:v>
      </x:c>
      <x:c r="J31" s="32" t="str">
        <x:v>Release</x:v>
      </x:c>
      <x:c r="K31" s="32" t="str">
        <x:v>Yes</x:v>
      </x:c>
      <x:c r="L31" s="32" t="str">
        <x:v>P1</x:v>
      </x:c>
      <x:c r="M31" s="32" t="str">
        <x:v>Marketing/Steam</x:v>
      </x:c>
      <x:c r="N31" s="32" t="str">
        <x:v>Product/Legal/LQA</x:v>
      </x:c>
      <x:c r="O31" s="32" t="str">
        <x:v>NOT RUN</x:v>
      </x:c>
      <x:c r="P31" s="32" t="str"/>
      <x:c r="Q31" s="32" t="str"/>
      <x:c r="R31" s="32" t="str"/>
      <x:c r="S31" s="32" t="str"/>
      <x:c r="T31" s="82" t="str"/>
      <x:c r="U31" s="32" t="str"/>
      <x:c r="V31" s="84" t="n">
        <x:v>1</x:v>
      </x:c>
      <x:c r="W31" s="84" t="n">
        <x:f>IF(OR($O31="PASS",$O31="EXCEPTION APPROVED",$O31="NOT APPLICABLE"),$V31,0)</x:f>
        <x:v>0</x:v>
      </x:c>
      <x:c r="X31" s="84" t="n">
        <x:f>IF(AND($K31="Yes",OR($O31="FAIL",$O31="BLOCKED",$O31="NOT RUN",$O31="IN PROGRESS")),1,0)</x:f>
        <x:v>1</x:v>
      </x:c>
      <x:c r="Y31" s="32" t="str">
        <x:f>IF($O31="FAIL","FAIL",IF($O31="BLOCKED","BLOCKED",IF(AND($O31="EXCEPTION APPROVED",$K31="Yes"),"REVIEW",IF($O31="PASS","OK","PENDING"))))</x:f>
        <x:v>PENDING</x:v>
      </x:c>
    </x:row>
    <x:row r="32">
      <x:c r="A32" s="32" t="str">
        <x:v>REL-STORE-003</x:v>
      </x:c>
      <x:c r="B32" s="32" t="str">
        <x:v>Página de tienda y contenido público</x:v>
      </x:c>
      <x:c r="C32" s="32" t="str">
        <x:v>Release readiness</x:v>
      </x:c>
      <x:c r="D32" s="32" t="str">
        <x:v>La descripción larga, features y FAQ coinciden con la build y roadmap aprobado.</x:v>
      </x:c>
      <x:c r="E32" s="32" t="str">
        <x:v>Revisar, ejecutar y registrar evidencia reproducible.</x:v>
      </x:c>
      <x:c r="F32" s="32" t="str">
        <x:v>Cumplimiento verificable antes del gate indicado.</x:v>
      </x:c>
      <x:c r="G32" s="32" t="str">
        <x:v>Claims matrix.</x:v>
      </x:c>
      <x:c r="H32" s="32" t="str">
        <x:v>24_Steam_Publishing_Plan.md; 28_Marketing_and_Communication_Plan.md; 29_Accessibility_and_Inclusive_Design_Plan.md</x:v>
      </x:c>
      <x:c r="I32" s="32" t="str">
        <x:v>Steam/Marketing/Localization plans v0.3–v0.5</x:v>
      </x:c>
      <x:c r="J32" s="32" t="str">
        <x:v>Release</x:v>
      </x:c>
      <x:c r="K32" s="32" t="str">
        <x:v>Yes</x:v>
      </x:c>
      <x:c r="L32" s="32" t="str">
        <x:v>P1</x:v>
      </x:c>
      <x:c r="M32" s="32" t="str">
        <x:v>Marketing/Steam</x:v>
      </x:c>
      <x:c r="N32" s="32" t="str">
        <x:v>Product/Legal/LQA</x:v>
      </x:c>
      <x:c r="O32" s="32" t="str">
        <x:v>NOT RUN</x:v>
      </x:c>
      <x:c r="P32" s="32" t="str"/>
      <x:c r="Q32" s="32" t="str"/>
      <x:c r="R32" s="32" t="str"/>
      <x:c r="S32" s="32" t="str"/>
      <x:c r="T32" s="82" t="str"/>
      <x:c r="U32" s="32" t="str"/>
      <x:c r="V32" s="84" t="n">
        <x:v>1</x:v>
      </x:c>
      <x:c r="W32" s="84" t="n">
        <x:f>IF(OR($O32="PASS",$O32="EXCEPTION APPROVED",$O32="NOT APPLICABLE"),$V32,0)</x:f>
        <x:v>0</x:v>
      </x:c>
      <x:c r="X32" s="84" t="n">
        <x:f>IF(AND($K32="Yes",OR($O32="FAIL",$O32="BLOCKED",$O32="NOT RUN",$O32="IN PROGRESS")),1,0)</x:f>
        <x:v>1</x:v>
      </x:c>
      <x:c r="Y32" s="32" t="str">
        <x:f>IF($O32="FAIL","FAIL",IF($O32="BLOCKED","BLOCKED",IF(AND($O32="EXCEPTION APPROVED",$K32="Yes"),"REVIEW",IF($O32="PASS","OK","PENDING"))))</x:f>
        <x:v>PENDING</x:v>
      </x:c>
    </x:row>
    <x:row r="33">
      <x:c r="A33" s="32" t="str">
        <x:v>REL-STORE-004</x:v>
      </x:c>
      <x:c r="B33" s="32" t="str">
        <x:v>Página de tienda y contenido público</x:v>
      </x:c>
      <x:c r="C33" s="32" t="str">
        <x:v>Release readiness</x:v>
      </x:c>
      <x:c r="D33" s="32" t="str">
        <x:v>Las categorías, tags y géneros no inducen a error sobre el producto.</x:v>
      </x:c>
      <x:c r="E33" s="32" t="str">
        <x:v>Revisar, ejecutar y registrar evidencia reproducible.</x:v>
      </x:c>
      <x:c r="F33" s="32" t="str">
        <x:v>Cumplimiento verificable antes del gate indicado.</x:v>
      </x:c>
      <x:c r="G33" s="32" t="str">
        <x:v>Store taxonomy review.</x:v>
      </x:c>
      <x:c r="H33" s="32" t="str">
        <x:v>24_Steam_Publishing_Plan.md; 28_Marketing_and_Communication_Plan.md; 29_Accessibility_and_Inclusive_Design_Plan.md</x:v>
      </x:c>
      <x:c r="I33" s="32" t="str">
        <x:v>Steam/Marketing/Localization plans v0.3–v0.5</x:v>
      </x:c>
      <x:c r="J33" s="32" t="str">
        <x:v>Release</x:v>
      </x:c>
      <x:c r="K33" s="32" t="str">
        <x:v>Yes</x:v>
      </x:c>
      <x:c r="L33" s="32" t="str">
        <x:v>P1</x:v>
      </x:c>
      <x:c r="M33" s="32" t="str">
        <x:v>Marketing/Steam</x:v>
      </x:c>
      <x:c r="N33" s="32" t="str">
        <x:v>Product/Legal/LQA</x:v>
      </x:c>
      <x:c r="O33" s="32" t="str">
        <x:v>NOT RUN</x:v>
      </x:c>
      <x:c r="P33" s="32" t="str"/>
      <x:c r="Q33" s="32" t="str"/>
      <x:c r="R33" s="32" t="str"/>
      <x:c r="S33" s="32" t="str"/>
      <x:c r="T33" s="82" t="str"/>
      <x:c r="U33" s="32" t="str"/>
      <x:c r="V33" s="84" t="n">
        <x:v>1</x:v>
      </x:c>
      <x:c r="W33" s="84" t="n">
        <x:f>IF(OR($O33="PASS",$O33="EXCEPTION APPROVED",$O33="NOT APPLICABLE"),$V33,0)</x:f>
        <x:v>0</x:v>
      </x:c>
      <x:c r="X33" s="84" t="n">
        <x:f>IF(AND($K33="Yes",OR($O33="FAIL",$O33="BLOCKED",$O33="NOT RUN",$O33="IN PROGRESS")),1,0)</x:f>
        <x:v>1</x:v>
      </x:c>
      <x:c r="Y33" s="32" t="str">
        <x:f>IF($O33="FAIL","FAIL",IF($O33="BLOCKED","BLOCKED",IF(AND($O33="EXCEPTION APPROVED",$K33="Yes"),"REVIEW",IF($O33="PASS","OK","PENDING"))))</x:f>
        <x:v>PENDING</x:v>
      </x:c>
    </x:row>
    <x:row r="34">
      <x:c r="A34" s="32" t="str">
        <x:v>REL-STORE-005</x:v>
      </x:c>
      <x:c r="B34" s="32" t="str">
        <x:v>Página de tienda y contenido público</x:v>
      </x:c>
      <x:c r="C34" s="32" t="str">
        <x:v>Release readiness</x:v>
      </x:c>
      <x:c r="D34" s="32" t="str">
        <x:v>Las cápsulas cumplen tamaños, legibilidad, branding y licencias.</x:v>
      </x:c>
      <x:c r="E34" s="32" t="str">
        <x:v>Revisar, ejecutar y registrar evidencia reproducible.</x:v>
      </x:c>
      <x:c r="F34" s="32" t="str">
        <x:v>Cumplimiento verificable antes del gate indicado.</x:v>
      </x:c>
      <x:c r="G34" s="32" t="str">
        <x:v>Capsule asset checklist.</x:v>
      </x:c>
      <x:c r="H34" s="32" t="str">
        <x:v>24_Steam_Publishing_Plan.md; 28_Marketing_and_Communication_Plan.md; 29_Accessibility_and_Inclusive_Design_Plan.md</x:v>
      </x:c>
      <x:c r="I34" s="32" t="str">
        <x:v>Steam/Marketing/Localization plans v0.3–v0.5</x:v>
      </x:c>
      <x:c r="J34" s="32" t="str">
        <x:v>Release</x:v>
      </x:c>
      <x:c r="K34" s="32" t="str">
        <x:v>Yes</x:v>
      </x:c>
      <x:c r="L34" s="32" t="str">
        <x:v>P1</x:v>
      </x:c>
      <x:c r="M34" s="32" t="str">
        <x:v>Marketing/Steam</x:v>
      </x:c>
      <x:c r="N34" s="32" t="str">
        <x:v>Product/Legal/LQA</x:v>
      </x:c>
      <x:c r="O34" s="32" t="str">
        <x:v>NOT RUN</x:v>
      </x:c>
      <x:c r="P34" s="32" t="str"/>
      <x:c r="Q34" s="32" t="str"/>
      <x:c r="R34" s="32" t="str"/>
      <x:c r="S34" s="32" t="str"/>
      <x:c r="T34" s="82" t="str"/>
      <x:c r="U34" s="32" t="str"/>
      <x:c r="V34" s="84" t="n">
        <x:v>1</x:v>
      </x:c>
      <x:c r="W34" s="84" t="n">
        <x:f>IF(OR($O34="PASS",$O34="EXCEPTION APPROVED",$O34="NOT APPLICABLE"),$V34,0)</x:f>
        <x:v>0</x:v>
      </x:c>
      <x:c r="X34" s="84" t="n">
        <x:f>IF(AND($K34="Yes",OR($O34="FAIL",$O34="BLOCKED",$O34="NOT RUN",$O34="IN PROGRESS")),1,0)</x:f>
        <x:v>1</x:v>
      </x:c>
      <x:c r="Y34" s="32" t="str">
        <x:f>IF($O34="FAIL","FAIL",IF($O34="BLOCKED","BLOCKED",IF(AND($O34="EXCEPTION APPROVED",$K34="Yes"),"REVIEW",IF($O34="PASS","OK","PENDING"))))</x:f>
        <x:v>PENDING</x:v>
      </x:c>
    </x:row>
    <x:row r="35">
      <x:c r="A35" s="32" t="str">
        <x:v>REL-STORE-006</x:v>
      </x:c>
      <x:c r="B35" s="32" t="str">
        <x:v>Página de tienda y contenido público</x:v>
      </x:c>
      <x:c r="C35" s="32" t="str">
        <x:v>Release readiness</x:v>
      </x:c>
      <x:c r="D35" s="32" t="str">
        <x:v>Los screenshots provienen de build aprobada, sin debug, placeholders ni contenido no autorizado.</x:v>
      </x:c>
      <x:c r="E35" s="32" t="str">
        <x:v>Revisar, ejecutar y registrar evidencia reproducible.</x:v>
      </x:c>
      <x:c r="F35" s="32" t="str">
        <x:v>Cumplimiento verificable antes del gate indicado.</x:v>
      </x:c>
      <x:c r="G35" s="32" t="str">
        <x:v>Screenshot manifest con Build ID.</x:v>
      </x:c>
      <x:c r="H35" s="32" t="str">
        <x:v>24_Steam_Publishing_Plan.md; 28_Marketing_and_Communication_Plan.md; 29_Accessibility_and_Inclusive_Design_Plan.md</x:v>
      </x:c>
      <x:c r="I35" s="32" t="str">
        <x:v>Steam/Marketing/Localization plans v0.3–v0.5</x:v>
      </x:c>
      <x:c r="J35" s="32" t="str">
        <x:v>Release</x:v>
      </x:c>
      <x:c r="K35" s="32" t="str">
        <x:v>Yes</x:v>
      </x:c>
      <x:c r="L35" s="32" t="str">
        <x:v>P1</x:v>
      </x:c>
      <x:c r="M35" s="32" t="str">
        <x:v>Marketing/Steam</x:v>
      </x:c>
      <x:c r="N35" s="32" t="str">
        <x:v>Product/Legal/LQA</x:v>
      </x:c>
      <x:c r="O35" s="32" t="str">
        <x:v>NOT RUN</x:v>
      </x:c>
      <x:c r="P35" s="32" t="str"/>
      <x:c r="Q35" s="32" t="str"/>
      <x:c r="R35" s="32" t="str"/>
      <x:c r="S35" s="32" t="str"/>
      <x:c r="T35" s="82" t="str"/>
      <x:c r="U35" s="32" t="str"/>
      <x:c r="V35" s="84" t="n">
        <x:v>1</x:v>
      </x:c>
      <x:c r="W35" s="84" t="n">
        <x:f>IF(OR($O35="PASS",$O35="EXCEPTION APPROVED",$O35="NOT APPLICABLE"),$V35,0)</x:f>
        <x:v>0</x:v>
      </x:c>
      <x:c r="X35" s="84" t="n">
        <x:f>IF(AND($K35="Yes",OR($O35="FAIL",$O35="BLOCKED",$O35="NOT RUN",$O35="IN PROGRESS")),1,0)</x:f>
        <x:v>1</x:v>
      </x:c>
      <x:c r="Y35" s="32" t="str">
        <x:f>IF($O35="FAIL","FAIL",IF($O35="BLOCKED","BLOCKED",IF(AND($O35="EXCEPTION APPROVED",$K35="Yes"),"REVIEW",IF($O35="PASS","OK","PENDING"))))</x:f>
        <x:v>PENDING</x:v>
      </x:c>
    </x:row>
    <x:row r="36">
      <x:c r="A36" s="32" t="str">
        <x:v>REL-STORE-007</x:v>
      </x:c>
      <x:c r="B36" s="32" t="str">
        <x:v>Página de tienda y contenido público</x:v>
      </x:c>
      <x:c r="C36" s="32" t="str">
        <x:v>Release readiness</x:v>
      </x:c>
      <x:c r="D36" s="32" t="str">
        <x:v>El trailer utiliza footage representativo, audio autorizado y disclaimers cuando sean necesarios.</x:v>
      </x:c>
      <x:c r="E36" s="32" t="str">
        <x:v>Revisar, ejecutar y registrar evidencia reproducible.</x:v>
      </x:c>
      <x:c r="F36" s="32" t="str">
        <x:v>Cumplimiento verificable antes del gate indicado.</x:v>
      </x:c>
      <x:c r="G36" s="32" t="str">
        <x:v>Trailer clearance.</x:v>
      </x:c>
      <x:c r="H36" s="32" t="str">
        <x:v>24_Steam_Publishing_Plan.md; 28_Marketing_and_Communication_Plan.md; 29_Accessibility_and_Inclusive_Design_Plan.md</x:v>
      </x:c>
      <x:c r="I36" s="32" t="str">
        <x:v>Steam/Marketing/Localization plans v0.3–v0.5</x:v>
      </x:c>
      <x:c r="J36" s="32" t="str">
        <x:v>Release</x:v>
      </x:c>
      <x:c r="K36" s="32" t="str">
        <x:v>Yes</x:v>
      </x:c>
      <x:c r="L36" s="32" t="str">
        <x:v>P1</x:v>
      </x:c>
      <x:c r="M36" s="32" t="str">
        <x:v>Marketing/Steam</x:v>
      </x:c>
      <x:c r="N36" s="32" t="str">
        <x:v>Product/Legal/LQA</x:v>
      </x:c>
      <x:c r="O36" s="32" t="str">
        <x:v>NOT RUN</x:v>
      </x:c>
      <x:c r="P36" s="32" t="str"/>
      <x:c r="Q36" s="32" t="str"/>
      <x:c r="R36" s="32" t="str"/>
      <x:c r="S36" s="32" t="str"/>
      <x:c r="T36" s="82" t="str"/>
      <x:c r="U36" s="32" t="str"/>
      <x:c r="V36" s="84" t="n">
        <x:v>1</x:v>
      </x:c>
      <x:c r="W36" s="84" t="n">
        <x:f>IF(OR($O36="PASS",$O36="EXCEPTION APPROVED",$O36="NOT APPLICABLE"),$V36,0)</x:f>
        <x:v>0</x:v>
      </x:c>
      <x:c r="X36" s="84" t="n">
        <x:f>IF(AND($K36="Yes",OR($O36="FAIL",$O36="BLOCKED",$O36="NOT RUN",$O36="IN PROGRESS")),1,0)</x:f>
        <x:v>1</x:v>
      </x:c>
      <x:c r="Y36" s="32" t="str">
        <x:f>IF($O36="FAIL","FAIL",IF($O36="BLOCKED","BLOCKED",IF(AND($O36="EXCEPTION APPROVED",$K36="Yes"),"REVIEW",IF($O36="PASS","OK","PENDING"))))</x:f>
        <x:v>PENDING</x:v>
      </x:c>
    </x:row>
    <x:row r="37">
      <x:c r="A37" s="32" t="str">
        <x:v>REL-STORE-008</x:v>
      </x:c>
      <x:c r="B37" s="32" t="str">
        <x:v>Página de tienda y contenido público</x:v>
      </x:c>
      <x:c r="C37" s="32" t="str">
        <x:v>Release readiness</x:v>
      </x:c>
      <x:c r="D37" s="32" t="str">
        <x:v>Los idiomas declarados coinciden con texto, interfaz, subtítulos y audio realmente soportados.</x:v>
      </x:c>
      <x:c r="E37" s="32" t="str">
        <x:v>Revisar, ejecutar y registrar evidencia reproducible.</x:v>
      </x:c>
      <x:c r="F37" s="32" t="str">
        <x:v>Cumplimiento verificable antes del gate indicado.</x:v>
      </x:c>
      <x:c r="G37" s="32" t="str">
        <x:v>Language support matrix.</x:v>
      </x:c>
      <x:c r="H37" s="32" t="str">
        <x:v>24_Steam_Publishing_Plan.md; 28_Marketing_and_Communication_Plan.md; 29_Accessibility_and_Inclusive_Design_Plan.md</x:v>
      </x:c>
      <x:c r="I37" s="32" t="str">
        <x:v>Steam/Marketing/Localization plans v0.3–v0.5</x:v>
      </x:c>
      <x:c r="J37" s="32" t="str">
        <x:v>Release</x:v>
      </x:c>
      <x:c r="K37" s="32" t="str">
        <x:v>Yes</x:v>
      </x:c>
      <x:c r="L37" s="32" t="str">
        <x:v>P0</x:v>
      </x:c>
      <x:c r="M37" s="32" t="str">
        <x:v>Marketing/Steam</x:v>
      </x:c>
      <x:c r="N37" s="32" t="str">
        <x:v>Product/Legal/LQA</x:v>
      </x:c>
      <x:c r="O37" s="32" t="str">
        <x:v>NOT RUN</x:v>
      </x:c>
      <x:c r="P37" s="32" t="str"/>
      <x:c r="Q37" s="32" t="str"/>
      <x:c r="R37" s="32" t="str"/>
      <x:c r="S37" s="32" t="str"/>
      <x:c r="T37" s="82" t="str"/>
      <x:c r="U37" s="32" t="str"/>
      <x:c r="V37" s="84" t="n">
        <x:v>1</x:v>
      </x:c>
      <x:c r="W37" s="84" t="n">
        <x:f>IF(OR($O37="PASS",$O37="EXCEPTION APPROVED",$O37="NOT APPLICABLE"),$V37,0)</x:f>
        <x:v>0</x:v>
      </x:c>
      <x:c r="X37" s="84" t="n">
        <x:f>IF(AND($K37="Yes",OR($O37="FAIL",$O37="BLOCKED",$O37="NOT RUN",$O37="IN PROGRESS")),1,0)</x:f>
        <x:v>1</x:v>
      </x:c>
      <x:c r="Y37" s="32" t="str">
        <x:f>IF($O37="FAIL","FAIL",IF($O37="BLOCKED","BLOCKED",IF(AND($O37="EXCEPTION APPROVED",$K37="Yes"),"REVIEW",IF($O37="PASS","OK","PENDING"))))</x:f>
        <x:v>PENDING</x:v>
      </x:c>
    </x:row>
    <x:row r="38">
      <x:c r="A38" s="32" t="str">
        <x:v>REL-STORE-009</x:v>
      </x:c>
      <x:c r="B38" s="32" t="str">
        <x:v>Página de tienda y contenido público</x:v>
      </x:c>
      <x:c r="C38" s="32" t="str">
        <x:v>Release readiness</x:v>
      </x:c>
      <x:c r="D38" s="32" t="str">
        <x:v>Las características de accesibilidad declaradas en Steam tienen evidencia de extremo a extremo.</x:v>
      </x:c>
      <x:c r="E38" s="32" t="str">
        <x:v>Revisar, ejecutar y registrar evidencia reproducible.</x:v>
      </x:c>
      <x:c r="F38" s="32" t="str">
        <x:v>Cumplimiento verificable antes del gate indicado.</x:v>
      </x:c>
      <x:c r="G38" s="32" t="str">
        <x:v>Accessibility claims matrix.</x:v>
      </x:c>
      <x:c r="H38" s="32" t="str">
        <x:v>24_Steam_Publishing_Plan.md; 28_Marketing_and_Communication_Plan.md; 29_Accessibility_and_Inclusive_Design_Plan.md</x:v>
      </x:c>
      <x:c r="I38" s="32" t="str">
        <x:v>Steam/Marketing/Localization plans v0.3–v0.5</x:v>
      </x:c>
      <x:c r="J38" s="32" t="str">
        <x:v>Release</x:v>
      </x:c>
      <x:c r="K38" s="32" t="str">
        <x:v>Yes</x:v>
      </x:c>
      <x:c r="L38" s="32" t="str">
        <x:v>P0</x:v>
      </x:c>
      <x:c r="M38" s="32" t="str">
        <x:v>Marketing/Steam</x:v>
      </x:c>
      <x:c r="N38" s="32" t="str">
        <x:v>Product/Legal/LQA</x:v>
      </x:c>
      <x:c r="O38" s="32" t="str">
        <x:v>NOT RUN</x:v>
      </x:c>
      <x:c r="P38" s="32" t="str"/>
      <x:c r="Q38" s="32" t="str"/>
      <x:c r="R38" s="32" t="str"/>
      <x:c r="S38" s="32" t="str"/>
      <x:c r="T38" s="82" t="str"/>
      <x:c r="U38" s="32" t="str"/>
      <x:c r="V38" s="84" t="n">
        <x:v>1</x:v>
      </x:c>
      <x:c r="W38" s="84" t="n">
        <x:f>IF(OR($O38="PASS",$O38="EXCEPTION APPROVED",$O38="NOT APPLICABLE"),$V38,0)</x:f>
        <x:v>0</x:v>
      </x:c>
      <x:c r="X38" s="84" t="n">
        <x:f>IF(AND($K38="Yes",OR($O38="FAIL",$O38="BLOCKED",$O38="NOT RUN",$O38="IN PROGRESS")),1,0)</x:f>
        <x:v>1</x:v>
      </x:c>
      <x:c r="Y38" s="32" t="str">
        <x:f>IF($O38="FAIL","FAIL",IF($O38="BLOCKED","BLOCKED",IF(AND($O38="EXCEPTION APPROVED",$K38="Yes"),"REVIEW",IF($O38="PASS","OK","PENDING"))))</x:f>
        <x:v>PENDING</x:v>
      </x:c>
    </x:row>
    <x:row r="39">
      <x:c r="A39" s="32" t="str">
        <x:v>REL-STORE-010</x:v>
      </x:c>
      <x:c r="B39" s="32" t="str">
        <x:v>Página de tienda y contenido público</x:v>
      </x:c>
      <x:c r="C39" s="32" t="str">
        <x:v>Release readiness</x:v>
      </x:c>
      <x:c r="D39" s="32" t="str">
        <x:v>Los requisitos del sistema se basan en hardware probado y no en estimaciones no verificadas.</x:v>
      </x:c>
      <x:c r="E39" s="32" t="str">
        <x:v>Revisar, ejecutar y registrar evidencia reproducible.</x:v>
      </x:c>
      <x:c r="F39" s="32" t="str">
        <x:v>Cumplimiento verificable antes del gate indicado.</x:v>
      </x:c>
      <x:c r="G39" s="32" t="str">
        <x:v>System requirements rationale.</x:v>
      </x:c>
      <x:c r="H39" s="32" t="str">
        <x:v>24_Steam_Publishing_Plan.md; 28_Marketing_and_Communication_Plan.md; 29_Accessibility_and_Inclusive_Design_Plan.md</x:v>
      </x:c>
      <x:c r="I39" s="32" t="str">
        <x:v>Steam/Marketing/Localization plans v0.3–v0.5</x:v>
      </x:c>
      <x:c r="J39" s="32" t="str">
        <x:v>Release</x:v>
      </x:c>
      <x:c r="K39" s="32" t="str">
        <x:v>Yes</x:v>
      </x:c>
      <x:c r="L39" s="32" t="str">
        <x:v>P1</x:v>
      </x:c>
      <x:c r="M39" s="32" t="str">
        <x:v>Marketing/Steam</x:v>
      </x:c>
      <x:c r="N39" s="32" t="str">
        <x:v>Product/Legal/LQA</x:v>
      </x:c>
      <x:c r="O39" s="32" t="str">
        <x:v>NOT RUN</x:v>
      </x:c>
      <x:c r="P39" s="32" t="str"/>
      <x:c r="Q39" s="32" t="str"/>
      <x:c r="R39" s="32" t="str"/>
      <x:c r="S39" s="32" t="str"/>
      <x:c r="T39" s="82" t="str"/>
      <x:c r="U39" s="32" t="str"/>
      <x:c r="V39" s="84" t="n">
        <x:v>1</x:v>
      </x:c>
      <x:c r="W39" s="84" t="n">
        <x:f>IF(OR($O39="PASS",$O39="EXCEPTION APPROVED",$O39="NOT APPLICABLE"),$V39,0)</x:f>
        <x:v>0</x:v>
      </x:c>
      <x:c r="X39" s="84" t="n">
        <x:f>IF(AND($K39="Yes",OR($O39="FAIL",$O39="BLOCKED",$O39="NOT RUN",$O39="IN PROGRESS")),1,0)</x:f>
        <x:v>1</x:v>
      </x:c>
      <x:c r="Y39" s="32" t="str">
        <x:f>IF($O39="FAIL","FAIL",IF($O39="BLOCKED","BLOCKED",IF(AND($O39="EXCEPTION APPROVED",$K39="Yes"),"REVIEW",IF($O39="PASS","OK","PENDING"))))</x:f>
        <x:v>PENDING</x:v>
      </x:c>
    </x:row>
    <x:row r="40">
      <x:c r="A40" s="32" t="str">
        <x:v>REL-STORE-011</x:v>
      </x:c>
      <x:c r="B40" s="32" t="str">
        <x:v>Página de tienda y contenido público</x:v>
      </x:c>
      <x:c r="C40" s="32" t="str">
        <x:v>Release readiness</x:v>
      </x:c>
      <x:c r="D40" s="32" t="str">
        <x:v>La clasificación por edades/contenido y cuestionarios se completan con información veraz.</x:v>
      </x:c>
      <x:c r="E40" s="32" t="str">
        <x:v>Revisar, ejecutar y registrar evidencia reproducible.</x:v>
      </x:c>
      <x:c r="F40" s="32" t="str">
        <x:v>Cumplimiento verificable antes del gate indicado.</x:v>
      </x:c>
      <x:c r="G40" s="32" t="str">
        <x:v>Content survey records.</x:v>
      </x:c>
      <x:c r="H40" s="32" t="str">
        <x:v>24_Steam_Publishing_Plan.md; 28_Marketing_and_Communication_Plan.md; 29_Accessibility_and_Inclusive_Design_Plan.md</x:v>
      </x:c>
      <x:c r="I40" s="32" t="str">
        <x:v>Steam/Marketing/Localization plans v0.3–v0.5</x:v>
      </x:c>
      <x:c r="J40" s="32" t="str">
        <x:v>Release</x:v>
      </x:c>
      <x:c r="K40" s="32" t="str">
        <x:v>Yes</x:v>
      </x:c>
      <x:c r="L40" s="32" t="str">
        <x:v>P1</x:v>
      </x:c>
      <x:c r="M40" s="32" t="str">
        <x:v>Marketing/Steam</x:v>
      </x:c>
      <x:c r="N40" s="32" t="str">
        <x:v>Product/Legal/LQA</x:v>
      </x:c>
      <x:c r="O40" s="32" t="str">
        <x:v>NOT RUN</x:v>
      </x:c>
      <x:c r="P40" s="32" t="str"/>
      <x:c r="Q40" s="32" t="str"/>
      <x:c r="R40" s="32" t="str"/>
      <x:c r="S40" s="32" t="str"/>
      <x:c r="T40" s="82" t="str"/>
      <x:c r="U40" s="32" t="str"/>
      <x:c r="V40" s="84" t="n">
        <x:v>1</x:v>
      </x:c>
      <x:c r="W40" s="84" t="n">
        <x:f>IF(OR($O40="PASS",$O40="EXCEPTION APPROVED",$O40="NOT APPLICABLE"),$V40,0)</x:f>
        <x:v>0</x:v>
      </x:c>
      <x:c r="X40" s="84" t="n">
        <x:f>IF(AND($K40="Yes",OR($O40="FAIL",$O40="BLOCKED",$O40="NOT RUN",$O40="IN PROGRESS")),1,0)</x:f>
        <x:v>1</x:v>
      </x:c>
      <x:c r="Y40" s="32" t="str">
        <x:f>IF($O40="FAIL","FAIL",IF($O40="BLOCKED","BLOCKED",IF(AND($O40="EXCEPTION APPROVED",$K40="Yes"),"REVIEW",IF($O40="PASS","OK","PENDING"))))</x:f>
        <x:v>PENDING</x:v>
      </x:c>
    </x:row>
    <x:row r="41">
      <x:c r="A41" s="32" t="str">
        <x:v>REL-STORE-012</x:v>
      </x:c>
      <x:c r="B41" s="32" t="str">
        <x:v>Página de tienda y contenido público</x:v>
      </x:c>
      <x:c r="C41" s="32" t="str">
        <x:v>Release readiness</x:v>
      </x:c>
      <x:c r="D41" s="32" t="str">
        <x:v>Los avisos de terceros, privacidad, soporte y términos están enlazados donde corresponda.</x:v>
      </x:c>
      <x:c r="E41" s="32" t="str">
        <x:v>Revisar, ejecutar y registrar evidencia reproducible.</x:v>
      </x:c>
      <x:c r="F41" s="32" t="str">
        <x:v>Cumplimiento verificable antes del gate indicado.</x:v>
      </x:c>
      <x:c r="G41" s="32" t="str">
        <x:v>Store compliance checklist.</x:v>
      </x:c>
      <x:c r="H41" s="32" t="str">
        <x:v>24_Steam_Publishing_Plan.md; 28_Marketing_and_Communication_Plan.md; 29_Accessibility_and_Inclusive_Design_Plan.md</x:v>
      </x:c>
      <x:c r="I41" s="32" t="str">
        <x:v>Steam/Marketing/Localization plans v0.3–v0.5</x:v>
      </x:c>
      <x:c r="J41" s="32" t="str">
        <x:v>Release</x:v>
      </x:c>
      <x:c r="K41" s="32" t="str">
        <x:v>Yes</x:v>
      </x:c>
      <x:c r="L41" s="32" t="str">
        <x:v>P1</x:v>
      </x:c>
      <x:c r="M41" s="32" t="str">
        <x:v>Marketing/Steam</x:v>
      </x:c>
      <x:c r="N41" s="32" t="str">
        <x:v>Product/Legal/LQA</x:v>
      </x:c>
      <x:c r="O41" s="32" t="str">
        <x:v>NOT RUN</x:v>
      </x:c>
      <x:c r="P41" s="32" t="str"/>
      <x:c r="Q41" s="32" t="str"/>
      <x:c r="R41" s="32" t="str"/>
      <x:c r="S41" s="32" t="str"/>
      <x:c r="T41" s="82" t="str"/>
      <x:c r="U41" s="32" t="str"/>
      <x:c r="V41" s="84" t="n">
        <x:v>1</x:v>
      </x:c>
      <x:c r="W41" s="84" t="n">
        <x:f>IF(OR($O41="PASS",$O41="EXCEPTION APPROVED",$O41="NOT APPLICABLE"),$V41,0)</x:f>
        <x:v>0</x:v>
      </x:c>
      <x:c r="X41" s="84" t="n">
        <x:f>IF(AND($K41="Yes",OR($O41="FAIL",$O41="BLOCKED",$O41="NOT RUN",$O41="IN PROGRESS")),1,0)</x:f>
        <x:v>1</x:v>
      </x:c>
      <x:c r="Y41" s="32" t="str">
        <x:f>IF($O41="FAIL","FAIL",IF($O41="BLOCKED","BLOCKED",IF(AND($O41="EXCEPTION APPROVED",$K41="Yes"),"REVIEW",IF($O41="PASS","OK","PENDING"))))</x:f>
        <x:v>PENDING</x:v>
      </x:c>
    </x:row>
    <x:row r="42">
      <x:c r="A42" s="32" t="str">
        <x:v>REL-STORE-013</x:v>
      </x:c>
      <x:c r="B42" s="32" t="str">
        <x:v>Página de tienda y contenido público</x:v>
      </x:c>
      <x:c r="C42" s="32" t="str">
        <x:v>Release readiness</x:v>
      </x:c>
      <x:c r="D42" s="32" t="str">
        <x:v>La página ha pasado revisión interna de producto, legal, localización, accesibilidad y marketing.</x:v>
      </x:c>
      <x:c r="E42" s="32" t="str">
        <x:v>Revisar, ejecutar y registrar evidencia reproducible.</x:v>
      </x:c>
      <x:c r="F42" s="32" t="str">
        <x:v>Cumplimiento verificable antes del gate indicado.</x:v>
      </x:c>
      <x:c r="G42" s="32" t="str">
        <x:v>Cross-discipline signoff.</x:v>
      </x:c>
      <x:c r="H42" s="32" t="str">
        <x:v>24_Steam_Publishing_Plan.md; 28_Marketing_and_Communication_Plan.md; 29_Accessibility_and_Inclusive_Design_Plan.md</x:v>
      </x:c>
      <x:c r="I42" s="32" t="str">
        <x:v>Steam/Marketing/Localization plans v0.3–v0.5</x:v>
      </x:c>
      <x:c r="J42" s="32" t="str">
        <x:v>Release</x:v>
      </x:c>
      <x:c r="K42" s="32" t="str">
        <x:v>Yes</x:v>
      </x:c>
      <x:c r="L42" s="32" t="str">
        <x:v>P1</x:v>
      </x:c>
      <x:c r="M42" s="32" t="str">
        <x:v>Marketing/Steam</x:v>
      </x:c>
      <x:c r="N42" s="32" t="str">
        <x:v>Product/Legal/LQA</x:v>
      </x:c>
      <x:c r="O42" s="32" t="str">
        <x:v>NOT RUN</x:v>
      </x:c>
      <x:c r="P42" s="32" t="str"/>
      <x:c r="Q42" s="32" t="str"/>
      <x:c r="R42" s="32" t="str"/>
      <x:c r="S42" s="32" t="str"/>
      <x:c r="T42" s="82" t="str"/>
      <x:c r="U42" s="32" t="str"/>
      <x:c r="V42" s="84" t="n">
        <x:v>1</x:v>
      </x:c>
      <x:c r="W42" s="84" t="n">
        <x:f>IF(OR($O42="PASS",$O42="EXCEPTION APPROVED",$O42="NOT APPLICABLE"),$V42,0)</x:f>
        <x:v>0</x:v>
      </x:c>
      <x:c r="X42" s="84" t="n">
        <x:f>IF(AND($K42="Yes",OR($O42="FAIL",$O42="BLOCKED",$O42="NOT RUN",$O42="IN PROGRESS")),1,0)</x:f>
        <x:v>1</x:v>
      </x:c>
      <x:c r="Y42" s="32" t="str">
        <x:f>IF($O42="FAIL","FAIL",IF($O42="BLOCKED","BLOCKED",IF(AND($O42="EXCEPTION APPROVED",$K42="Yes"),"REVIEW",IF($O42="PASS","OK","PENDING"))))</x:f>
        <x:v>PENDING</x:v>
      </x:c>
    </x:row>
    <x:row r="43">
      <x:c r="A43" s="32" t="str">
        <x:v>REL-STORE-014</x:v>
      </x:c>
      <x:c r="B43" s="32" t="str">
        <x:v>Página de tienda y contenido público</x:v>
      </x:c>
      <x:c r="C43" s="32" t="str">
        <x:v>Release readiness</x:v>
      </x:c>
      <x:c r="D43" s="32" t="str">
        <x:v>Los textos ES/EN de Steam han recibido revisión comercial/nativa y LQA.</x:v>
      </x:c>
      <x:c r="E43" s="32" t="str">
        <x:v>Revisar, ejecutar y registrar evidencia reproducible.</x:v>
      </x:c>
      <x:c r="F43" s="32" t="str">
        <x:v>Cumplimiento verificable antes del gate indicado.</x:v>
      </x:c>
      <x:c r="G43" s="32" t="str">
        <x:v>Store localization approval.</x:v>
      </x:c>
      <x:c r="H43" s="32" t="str">
        <x:v>24_Steam_Publishing_Plan.md; 28_Marketing_and_Communication_Plan.md; 29_Accessibility_and_Inclusive_Design_Plan.md</x:v>
      </x:c>
      <x:c r="I43" s="32" t="str">
        <x:v>Steam/Marketing/Localization plans v0.3–v0.5</x:v>
      </x:c>
      <x:c r="J43" s="32" t="str">
        <x:v>Release</x:v>
      </x:c>
      <x:c r="K43" s="32" t="str">
        <x:v>Yes</x:v>
      </x:c>
      <x:c r="L43" s="32" t="str">
        <x:v>P1</x:v>
      </x:c>
      <x:c r="M43" s="32" t="str">
        <x:v>Marketing/Steam</x:v>
      </x:c>
      <x:c r="N43" s="32" t="str">
        <x:v>Product/Legal/LQA</x:v>
      </x:c>
      <x:c r="O43" s="32" t="str">
        <x:v>NOT RUN</x:v>
      </x:c>
      <x:c r="P43" s="32" t="str"/>
      <x:c r="Q43" s="32" t="str"/>
      <x:c r="R43" s="32" t="str"/>
      <x:c r="S43" s="32" t="str"/>
      <x:c r="T43" s="82" t="str"/>
      <x:c r="U43" s="32" t="str"/>
      <x:c r="V43" s="84" t="n">
        <x:v>1</x:v>
      </x:c>
      <x:c r="W43" s="84" t="n">
        <x:f>IF(OR($O43="PASS",$O43="EXCEPTION APPROVED",$O43="NOT APPLICABLE"),$V43,0)</x:f>
        <x:v>0</x:v>
      </x:c>
      <x:c r="X43" s="84" t="n">
        <x:f>IF(AND($K43="Yes",OR($O43="FAIL",$O43="BLOCKED",$O43="NOT RUN",$O43="IN PROGRESS")),1,0)</x:f>
        <x:v>1</x:v>
      </x:c>
      <x:c r="Y43" s="32" t="str">
        <x:f>IF($O43="FAIL","FAIL",IF($O43="BLOCKED","BLOCKED",IF(AND($O43="EXCEPTION APPROVED",$K43="Yes"),"REVIEW",IF($O43="PASS","OK","PENDING"))))</x:f>
        <x:v>PENDING</x:v>
      </x:c>
    </x:row>
    <x:row r="44">
      <x:c r="A44" s="32" t="str">
        <x:v>REL-STORE-015</x:v>
      </x:c>
      <x:c r="B44" s="32" t="str">
        <x:v>Página de tienda y contenido público</x:v>
      </x:c>
      <x:c r="C44" s="32" t="str">
        <x:v>Release readiness</x:v>
      </x:c>
      <x:c r="D44" s="32" t="str">
        <x:v>Las fechas, disponibilidad de demo y calls to action son coherentes en todos los canales.</x:v>
      </x:c>
      <x:c r="E44" s="32" t="str">
        <x:v>Revisar, ejecutar y registrar evidencia reproducible.</x:v>
      </x:c>
      <x:c r="F44" s="32" t="str">
        <x:v>Cumplimiento verificable antes del gate indicado.</x:v>
      </x:c>
      <x:c r="G44" s="32" t="str">
        <x:v>Campaign calendar reconciliation.</x:v>
      </x:c>
      <x:c r="H44" s="32" t="str">
        <x:v>24_Steam_Publishing_Plan.md; 28_Marketing_and_Communication_Plan.md; 29_Accessibility_and_Inclusive_Design_Plan.md</x:v>
      </x:c>
      <x:c r="I44" s="32" t="str">
        <x:v>Steam/Marketing/Localization plans v0.3–v0.5</x:v>
      </x:c>
      <x:c r="J44" s="32" t="str">
        <x:v>Release</x:v>
      </x:c>
      <x:c r="K44" s="32" t="str">
        <x:v>Yes</x:v>
      </x:c>
      <x:c r="L44" s="32" t="str">
        <x:v>P1</x:v>
      </x:c>
      <x:c r="M44" s="32" t="str">
        <x:v>Marketing/Steam</x:v>
      </x:c>
      <x:c r="N44" s="32" t="str">
        <x:v>Product/Legal/LQA</x:v>
      </x:c>
      <x:c r="O44" s="32" t="str">
        <x:v>NOT RUN</x:v>
      </x:c>
      <x:c r="P44" s="32" t="str"/>
      <x:c r="Q44" s="32" t="str"/>
      <x:c r="R44" s="32" t="str"/>
      <x:c r="S44" s="32" t="str"/>
      <x:c r="T44" s="82" t="str"/>
      <x:c r="U44" s="32" t="str"/>
      <x:c r="V44" s="84" t="n">
        <x:v>1</x:v>
      </x:c>
      <x:c r="W44" s="84" t="n">
        <x:f>IF(OR($O44="PASS",$O44="EXCEPTION APPROVED",$O44="NOT APPLICABLE"),$V44,0)</x:f>
        <x:v>0</x:v>
      </x:c>
      <x:c r="X44" s="84" t="n">
        <x:f>IF(AND($K44="Yes",OR($O44="FAIL",$O44="BLOCKED",$O44="NOT RUN",$O44="IN PROGRESS")),1,0)</x:f>
        <x:v>1</x:v>
      </x:c>
      <x:c r="Y44" s="32" t="str">
        <x:f>IF($O44="FAIL","FAIL",IF($O44="BLOCKED","BLOCKED",IF(AND($O44="EXCEPTION APPROVED",$K44="Yes"),"REVIEW",IF($O44="PASS","OK","PENDING"))))</x:f>
        <x:v>PENDING</x:v>
      </x:c>
    </x:row>
    <x:row r="45">
      <x:c r="A45" s="32" t="str">
        <x:v>REL-DEP-001</x:v>
      </x:c>
      <x:c r="B45" s="32" t="str">
        <x:v>Depots, ramas y distribución</x:v>
      </x:c>
      <x:c r="C45" s="32" t="str">
        <x:v>Release readiness</x:v>
      </x:c>
      <x:c r="D45" s="32" t="str">
        <x:v>La estructura de depots incluye únicamente archivos necesarios y rutas correctas.</x:v>
      </x:c>
      <x:c r="E45" s="32" t="str">
        <x:v>Revisar, ejecutar y registrar evidencia reproducible.</x:v>
      </x:c>
      <x:c r="F45" s="32" t="str">
        <x:v>Cumplimiento verificable antes del gate indicado.</x:v>
      </x:c>
      <x:c r="G45" s="32" t="str">
        <x:v>Depot manifest.</x:v>
      </x:c>
      <x:c r="H45" s="32" t="str">
        <x:v>11_Build_y_Versioning_Guide.md; 24_Steam_Publishing_Plan.md; 25_Post_Launch_and_Live_Operations_Plan.md</x:v>
      </x:c>
      <x:c r="I45" s="32" t="str">
        <x:v>Build/Steam historical v0.3–v0.6</x:v>
      </x:c>
      <x:c r="J45" s="32" t="str">
        <x:v>Release</x:v>
      </x:c>
      <x:c r="K45" s="32" t="str">
        <x:v>Yes</x:v>
      </x:c>
      <x:c r="L45" s="32" t="str">
        <x:v>P1</x:v>
      </x:c>
      <x:c r="M45" s="32" t="str">
        <x:v>Build/Steam</x:v>
      </x:c>
      <x:c r="N45" s="32" t="str">
        <x:v>QA/Security</x:v>
      </x:c>
      <x:c r="O45" s="32" t="str">
        <x:v>NOT RUN</x:v>
      </x:c>
      <x:c r="P45" s="32" t="str"/>
      <x:c r="Q45" s="32" t="str"/>
      <x:c r="R45" s="32" t="str"/>
      <x:c r="S45" s="32" t="str"/>
      <x:c r="T45" s="82" t="str"/>
      <x:c r="U45" s="32" t="str"/>
      <x:c r="V45" s="84" t="n">
        <x:v>1</x:v>
      </x:c>
      <x:c r="W45" s="84" t="n">
        <x:f>IF(OR($O45="PASS",$O45="EXCEPTION APPROVED",$O45="NOT APPLICABLE"),$V45,0)</x:f>
        <x:v>0</x:v>
      </x:c>
      <x:c r="X45" s="84" t="n">
        <x:f>IF(AND($K45="Yes",OR($O45="FAIL",$O45="BLOCKED",$O45="NOT RUN",$O45="IN PROGRESS")),1,0)</x:f>
        <x:v>1</x:v>
      </x:c>
      <x:c r="Y45" s="32" t="str">
        <x:f>IF($O45="FAIL","FAIL",IF($O45="BLOCKED","BLOCKED",IF(AND($O45="EXCEPTION APPROVED",$K45="Yes"),"REVIEW",IF($O45="PASS","OK","PENDING"))))</x:f>
        <x:v>PENDING</x:v>
      </x:c>
    </x:row>
    <x:row r="46">
      <x:c r="A46" s="32" t="str">
        <x:v>REL-DEP-002</x:v>
      </x:c>
      <x:c r="B46" s="32" t="str">
        <x:v>Depots, ramas y distribución</x:v>
      </x:c>
      <x:c r="C46" s="32" t="str">
        <x:v>Release readiness</x:v>
      </x:c>
      <x:c r="D46" s="32" t="str">
        <x:v>Las ramas default, internal, QA, beta/demo y rollback tienen propósito y permisos definidos.</x:v>
      </x:c>
      <x:c r="E46" s="32" t="str">
        <x:v>Revisar, ejecutar y registrar evidencia reproducible.</x:v>
      </x:c>
      <x:c r="F46" s="32" t="str">
        <x:v>Cumplimiento verificable antes del gate indicado.</x:v>
      </x:c>
      <x:c r="G46" s="32" t="str">
        <x:v>Branch policy.</x:v>
      </x:c>
      <x:c r="H46" s="32" t="str">
        <x:v>11_Build_y_Versioning_Guide.md; 24_Steam_Publishing_Plan.md; 25_Post_Launch_and_Live_Operations_Plan.md</x:v>
      </x:c>
      <x:c r="I46" s="32" t="str">
        <x:v>Build/Steam historical v0.3–v0.6</x:v>
      </x:c>
      <x:c r="J46" s="32" t="str">
        <x:v>Release</x:v>
      </x:c>
      <x:c r="K46" s="32" t="str">
        <x:v>Yes</x:v>
      </x:c>
      <x:c r="L46" s="32" t="str">
        <x:v>P1</x:v>
      </x:c>
      <x:c r="M46" s="32" t="str">
        <x:v>Build/Steam</x:v>
      </x:c>
      <x:c r="N46" s="32" t="str">
        <x:v>QA/Security</x:v>
      </x:c>
      <x:c r="O46" s="32" t="str">
        <x:v>NOT RUN</x:v>
      </x:c>
      <x:c r="P46" s="32" t="str"/>
      <x:c r="Q46" s="32" t="str"/>
      <x:c r="R46" s="32" t="str"/>
      <x:c r="S46" s="32" t="str"/>
      <x:c r="T46" s="82" t="str"/>
      <x:c r="U46" s="32" t="str"/>
      <x:c r="V46" s="84" t="n">
        <x:v>1</x:v>
      </x:c>
      <x:c r="W46" s="84" t="n">
        <x:f>IF(OR($O46="PASS",$O46="EXCEPTION APPROVED",$O46="NOT APPLICABLE"),$V46,0)</x:f>
        <x:v>0</x:v>
      </x:c>
      <x:c r="X46" s="84" t="n">
        <x:f>IF(AND($K46="Yes",OR($O46="FAIL",$O46="BLOCKED",$O46="NOT RUN",$O46="IN PROGRESS")),1,0)</x:f>
        <x:v>1</x:v>
      </x:c>
      <x:c r="Y46" s="32" t="str">
        <x:f>IF($O46="FAIL","FAIL",IF($O46="BLOCKED","BLOCKED",IF(AND($O46="EXCEPTION APPROVED",$K46="Yes"),"REVIEW",IF($O46="PASS","OK","PENDING"))))</x:f>
        <x:v>PENDING</x:v>
      </x:c>
    </x:row>
    <x:row r="47">
      <x:c r="A47" s="32" t="str">
        <x:v>REL-DEP-003</x:v>
      </x:c>
      <x:c r="B47" s="32" t="str">
        <x:v>Depots, ramas y distribución</x:v>
      </x:c>
      <x:c r="C47" s="32" t="str">
        <x:v>Release readiness</x:v>
      </x:c>
      <x:c r="D47" s="32" t="str">
        <x:v>La build subida a Steam coincide por hash/manifest con la RC aprobada.</x:v>
      </x:c>
      <x:c r="E47" s="32" t="str">
        <x:v>Revisar, ejecutar y registrar evidencia reproducible.</x:v>
      </x:c>
      <x:c r="F47" s="32" t="str">
        <x:v>Cumplimiento verificable antes del gate indicado.</x:v>
      </x:c>
      <x:c r="G47" s="32" t="str">
        <x:v>RC-depot integrity report.</x:v>
      </x:c>
      <x:c r="H47" s="32" t="str">
        <x:v>11_Build_y_Versioning_Guide.md; 24_Steam_Publishing_Plan.md; 25_Post_Launch_and_Live_Operations_Plan.md</x:v>
      </x:c>
      <x:c r="I47" s="32" t="str">
        <x:v>Build/Steam historical v0.3–v0.6</x:v>
      </x:c>
      <x:c r="J47" s="32" t="str">
        <x:v>Release</x:v>
      </x:c>
      <x:c r="K47" s="32" t="str">
        <x:v>Yes</x:v>
      </x:c>
      <x:c r="L47" s="32" t="str">
        <x:v>P0</x:v>
      </x:c>
      <x:c r="M47" s="32" t="str">
        <x:v>Build/Steam</x:v>
      </x:c>
      <x:c r="N47" s="32" t="str">
        <x:v>QA/Security</x:v>
      </x:c>
      <x:c r="O47" s="32" t="str">
        <x:v>NOT RUN</x:v>
      </x:c>
      <x:c r="P47" s="32" t="str"/>
      <x:c r="Q47" s="32" t="str"/>
      <x:c r="R47" s="32" t="str"/>
      <x:c r="S47" s="32" t="str"/>
      <x:c r="T47" s="82" t="str"/>
      <x:c r="U47" s="32" t="str"/>
      <x:c r="V47" s="84" t="n">
        <x:v>1</x:v>
      </x:c>
      <x:c r="W47" s="84" t="n">
        <x:f>IF(OR($O47="PASS",$O47="EXCEPTION APPROVED",$O47="NOT APPLICABLE"),$V47,0)</x:f>
        <x:v>0</x:v>
      </x:c>
      <x:c r="X47" s="84" t="n">
        <x:f>IF(AND($K47="Yes",OR($O47="FAIL",$O47="BLOCKED",$O47="NOT RUN",$O47="IN PROGRESS")),1,0)</x:f>
        <x:v>1</x:v>
      </x:c>
      <x:c r="Y47" s="32" t="str">
        <x:f>IF($O47="FAIL","FAIL",IF($O47="BLOCKED","BLOCKED",IF(AND($O47="EXCEPTION APPROVED",$K47="Yes"),"REVIEW",IF($O47="PASS","OK","PENDING"))))</x:f>
        <x:v>PENDING</x:v>
      </x:c>
    </x:row>
    <x:row r="48">
      <x:c r="A48" s="32" t="str">
        <x:v>REL-DEP-004</x:v>
      </x:c>
      <x:c r="B48" s="32" t="str">
        <x:v>Depots, ramas y distribución</x:v>
      </x:c>
      <x:c r="C48" s="32" t="str">
        <x:v>Release readiness</x:v>
      </x:c>
      <x:c r="D48" s="32" t="str">
        <x:v>Los scripts de upload no contienen credenciales y usan cuentas/entornos controlados.</x:v>
      </x:c>
      <x:c r="E48" s="32" t="str">
        <x:v>Revisar, ejecutar y registrar evidencia reproducible.</x:v>
      </x:c>
      <x:c r="F48" s="32" t="str">
        <x:v>Cumplimiento verificable antes del gate indicado.</x:v>
      </x:c>
      <x:c r="G48" s="32" t="str">
        <x:v>Upload security review.</x:v>
      </x:c>
      <x:c r="H48" s="32" t="str">
        <x:v>11_Build_y_Versioning_Guide.md; 24_Steam_Publishing_Plan.md; 25_Post_Launch_and_Live_Operations_Plan.md</x:v>
      </x:c>
      <x:c r="I48" s="32" t="str">
        <x:v>Build/Steam historical v0.3–v0.6</x:v>
      </x:c>
      <x:c r="J48" s="32" t="str">
        <x:v>Release</x:v>
      </x:c>
      <x:c r="K48" s="32" t="str">
        <x:v>Yes</x:v>
      </x:c>
      <x:c r="L48" s="32" t="str">
        <x:v>P1</x:v>
      </x:c>
      <x:c r="M48" s="32" t="str">
        <x:v>Build/Steam</x:v>
      </x:c>
      <x:c r="N48" s="32" t="str">
        <x:v>QA/Security</x:v>
      </x:c>
      <x:c r="O48" s="32" t="str">
        <x:v>NOT RUN</x:v>
      </x:c>
      <x:c r="P48" s="32" t="str"/>
      <x:c r="Q48" s="32" t="str"/>
      <x:c r="R48" s="32" t="str"/>
      <x:c r="S48" s="32" t="str"/>
      <x:c r="T48" s="82" t="str"/>
      <x:c r="U48" s="32" t="str"/>
      <x:c r="V48" s="84" t="n">
        <x:v>1</x:v>
      </x:c>
      <x:c r="W48" s="84" t="n">
        <x:f>IF(OR($O48="PASS",$O48="EXCEPTION APPROVED",$O48="NOT APPLICABLE"),$V48,0)</x:f>
        <x:v>0</x:v>
      </x:c>
      <x:c r="X48" s="84" t="n">
        <x:f>IF(AND($K48="Yes",OR($O48="FAIL",$O48="BLOCKED",$O48="NOT RUN",$O48="IN PROGRESS")),1,0)</x:f>
        <x:v>1</x:v>
      </x:c>
      <x:c r="Y48" s="32" t="str">
        <x:f>IF($O48="FAIL","FAIL",IF($O48="BLOCKED","BLOCKED",IF(AND($O48="EXCEPTION APPROVED",$K48="Yes"),"REVIEW",IF($O48="PASS","OK","PENDING"))))</x:f>
        <x:v>PENDING</x:v>
      </x:c>
    </x:row>
    <x:row r="49">
      <x:c r="A49" s="32" t="str">
        <x:v>REL-DEP-005</x:v>
      </x:c>
      <x:c r="B49" s="32" t="str">
        <x:v>Depots, ramas y distribución</x:v>
      </x:c>
      <x:c r="C49" s="32" t="str">
        <x:v>Release readiness</x:v>
      </x:c>
      <x:c r="D49" s="32" t="str">
        <x:v>La instalación limpia, actualización incremental y desinstalación funcionan.</x:v>
      </x:c>
      <x:c r="E49" s="32" t="str">
        <x:v>Revisar, ejecutar y registrar evidencia reproducible.</x:v>
      </x:c>
      <x:c r="F49" s="32" t="str">
        <x:v>Cumplimiento verificable antes del gate indicado.</x:v>
      </x:c>
      <x:c r="G49" s="32" t="str">
        <x:v>Install/update/uninstall report.</x:v>
      </x:c>
      <x:c r="H49" s="32" t="str">
        <x:v>11_Build_y_Versioning_Guide.md; 24_Steam_Publishing_Plan.md; 25_Post_Launch_and_Live_Operations_Plan.md</x:v>
      </x:c>
      <x:c r="I49" s="32" t="str">
        <x:v>Build/Steam historical v0.3–v0.6</x:v>
      </x:c>
      <x:c r="J49" s="32" t="str">
        <x:v>Release</x:v>
      </x:c>
      <x:c r="K49" s="32" t="str">
        <x:v>Yes</x:v>
      </x:c>
      <x:c r="L49" s="32" t="str">
        <x:v>P1</x:v>
      </x:c>
      <x:c r="M49" s="32" t="str">
        <x:v>Build/Steam</x:v>
      </x:c>
      <x:c r="N49" s="32" t="str">
        <x:v>QA/Security</x:v>
      </x:c>
      <x:c r="O49" s="32" t="str">
        <x:v>NOT RUN</x:v>
      </x:c>
      <x:c r="P49" s="32" t="str"/>
      <x:c r="Q49" s="32" t="str"/>
      <x:c r="R49" s="32" t="str"/>
      <x:c r="S49" s="32" t="str"/>
      <x:c r="T49" s="82" t="str"/>
      <x:c r="U49" s="32" t="str"/>
      <x:c r="V49" s="84" t="n">
        <x:v>1</x:v>
      </x:c>
      <x:c r="W49" s="84" t="n">
        <x:f>IF(OR($O49="PASS",$O49="EXCEPTION APPROVED",$O49="NOT APPLICABLE"),$V49,0)</x:f>
        <x:v>0</x:v>
      </x:c>
      <x:c r="X49" s="84" t="n">
        <x:f>IF(AND($K49="Yes",OR($O49="FAIL",$O49="BLOCKED",$O49="NOT RUN",$O49="IN PROGRESS")),1,0)</x:f>
        <x:v>1</x:v>
      </x:c>
      <x:c r="Y49" s="32" t="str">
        <x:f>IF($O49="FAIL","FAIL",IF($O49="BLOCKED","BLOCKED",IF(AND($O49="EXCEPTION APPROVED",$K49="Yes"),"REVIEW",IF($O49="PASS","OK","PENDING"))))</x:f>
        <x:v>PENDING</x:v>
      </x:c>
    </x:row>
    <x:row r="50">
      <x:c r="A50" s="32" t="str">
        <x:v>REL-DEP-006</x:v>
      </x:c>
      <x:c r="B50" s="32" t="str">
        <x:v>Depots, ramas y distribución</x:v>
      </x:c>
      <x:c r="C50" s="32" t="str">
        <x:v>Release readiness</x:v>
      </x:c>
      <x:c r="D50" s="32" t="str">
        <x:v>Los saves/configuración permanecen compatibles durante actualización y rollback soportado.</x:v>
      </x:c>
      <x:c r="E50" s="32" t="str">
        <x:v>Revisar, ejecutar y registrar evidencia reproducible.</x:v>
      </x:c>
      <x:c r="F50" s="32" t="str">
        <x:v>Cumplimiento verificable antes del gate indicado.</x:v>
      </x:c>
      <x:c r="G50" s="32" t="str">
        <x:v>Upgrade/rollback save tests.</x:v>
      </x:c>
      <x:c r="H50" s="32" t="str">
        <x:v>11_Build_y_Versioning_Guide.md; 24_Steam_Publishing_Plan.md; 25_Post_Launch_and_Live_Operations_Plan.md</x:v>
      </x:c>
      <x:c r="I50" s="32" t="str">
        <x:v>Build/Steam historical v0.3–v0.6</x:v>
      </x:c>
      <x:c r="J50" s="32" t="str">
        <x:v>Release</x:v>
      </x:c>
      <x:c r="K50" s="32" t="str">
        <x:v>Yes</x:v>
      </x:c>
      <x:c r="L50" s="32" t="str">
        <x:v>P1</x:v>
      </x:c>
      <x:c r="M50" s="32" t="str">
        <x:v>Build/Steam</x:v>
      </x:c>
      <x:c r="N50" s="32" t="str">
        <x:v>QA/Security</x:v>
      </x:c>
      <x:c r="O50" s="32" t="str">
        <x:v>NOT RUN</x:v>
      </x:c>
      <x:c r="P50" s="32" t="str"/>
      <x:c r="Q50" s="32" t="str"/>
      <x:c r="R50" s="32" t="str"/>
      <x:c r="S50" s="32" t="str"/>
      <x:c r="T50" s="82" t="str"/>
      <x:c r="U50" s="32" t="str"/>
      <x:c r="V50" s="84" t="n">
        <x:v>1</x:v>
      </x:c>
      <x:c r="W50" s="84" t="n">
        <x:f>IF(OR($O50="PASS",$O50="EXCEPTION APPROVED",$O50="NOT APPLICABLE"),$V50,0)</x:f>
        <x:v>0</x:v>
      </x:c>
      <x:c r="X50" s="84" t="n">
        <x:f>IF(AND($K50="Yes",OR($O50="FAIL",$O50="BLOCKED",$O50="NOT RUN",$O50="IN PROGRESS")),1,0)</x:f>
        <x:v>1</x:v>
      </x:c>
      <x:c r="Y50" s="32" t="str">
        <x:f>IF($O50="FAIL","FAIL",IF($O50="BLOCKED","BLOCKED",IF(AND($O50="EXCEPTION APPROVED",$K50="Yes"),"REVIEW",IF($O50="PASS","OK","PENDING"))))</x:f>
        <x:v>PENDING</x:v>
      </x:c>
    </x:row>
    <x:row r="51">
      <x:c r="A51" s="32" t="str">
        <x:v>REL-DEP-007</x:v>
      </x:c>
      <x:c r="B51" s="32" t="str">
        <x:v>Depots, ramas y distribución</x:v>
      </x:c>
      <x:c r="C51" s="32" t="str">
        <x:v>Release readiness</x:v>
      </x:c>
      <x:c r="D51" s="32" t="str">
        <x:v>La build no incluye symbols, logs o herramientas internas no autorizadas.</x:v>
      </x:c>
      <x:c r="E51" s="32" t="str">
        <x:v>Revisar, ejecutar y registrar evidencia reproducible.</x:v>
      </x:c>
      <x:c r="F51" s="32" t="str">
        <x:v>Cumplimiento verificable antes del gate indicado.</x:v>
      </x:c>
      <x:c r="G51" s="32" t="str">
        <x:v>Release package audit.</x:v>
      </x:c>
      <x:c r="H51" s="32" t="str">
        <x:v>11_Build_y_Versioning_Guide.md; 24_Steam_Publishing_Plan.md; 25_Post_Launch_and_Live_Operations_Plan.md</x:v>
      </x:c>
      <x:c r="I51" s="32" t="str">
        <x:v>Build/Steam historical v0.3–v0.6</x:v>
      </x:c>
      <x:c r="J51" s="32" t="str">
        <x:v>Release</x:v>
      </x:c>
      <x:c r="K51" s="32" t="str">
        <x:v>Yes</x:v>
      </x:c>
      <x:c r="L51" s="32" t="str">
        <x:v>P1</x:v>
      </x:c>
      <x:c r="M51" s="32" t="str">
        <x:v>Build/Steam</x:v>
      </x:c>
      <x:c r="N51" s="32" t="str">
        <x:v>QA/Security</x:v>
      </x:c>
      <x:c r="O51" s="32" t="str">
        <x:v>NOT RUN</x:v>
      </x:c>
      <x:c r="P51" s="32" t="str"/>
      <x:c r="Q51" s="32" t="str"/>
      <x:c r="R51" s="32" t="str"/>
      <x:c r="S51" s="32" t="str"/>
      <x:c r="T51" s="82" t="str"/>
      <x:c r="U51" s="32" t="str"/>
      <x:c r="V51" s="84" t="n">
        <x:v>1</x:v>
      </x:c>
      <x:c r="W51" s="84" t="n">
        <x:f>IF(OR($O51="PASS",$O51="EXCEPTION APPROVED",$O51="NOT APPLICABLE"),$V51,0)</x:f>
        <x:v>0</x:v>
      </x:c>
      <x:c r="X51" s="84" t="n">
        <x:f>IF(AND($K51="Yes",OR($O51="FAIL",$O51="BLOCKED",$O51="NOT RUN",$O51="IN PROGRESS")),1,0)</x:f>
        <x:v>1</x:v>
      </x:c>
      <x:c r="Y51" s="32" t="str">
        <x:f>IF($O51="FAIL","FAIL",IF($O51="BLOCKED","BLOCKED",IF(AND($O51="EXCEPTION APPROVED",$K51="Yes"),"REVIEW",IF($O51="PASS","OK","PENDING"))))</x:f>
        <x:v>PENDING</x:v>
      </x:c>
    </x:row>
    <x:row r="52">
      <x:c r="A52" s="32" t="str">
        <x:v>REL-DEP-008</x:v>
      </x:c>
      <x:c r="B52" s="32" t="str">
        <x:v>Depots, ramas y distribución</x:v>
      </x:c>
      <x:c r="C52" s="32" t="str">
        <x:v>Release readiness</x:v>
      </x:c>
      <x:c r="D52" s="32" t="str">
        <x:v>La firma/notarización aplicable y reputación del ejecutable se revisan.</x:v>
      </x:c>
      <x:c r="E52" s="32" t="str">
        <x:v>Revisar, ejecutar y registrar evidencia reproducible.</x:v>
      </x:c>
      <x:c r="F52" s="32" t="str">
        <x:v>Cumplimiento verificable antes del gate indicado.</x:v>
      </x:c>
      <x:c r="G52" s="32" t="str">
        <x:v>Binary trust record.</x:v>
      </x:c>
      <x:c r="H52" s="32" t="str">
        <x:v>11_Build_y_Versioning_Guide.md; 24_Steam_Publishing_Plan.md; 25_Post_Launch_and_Live_Operations_Plan.md</x:v>
      </x:c>
      <x:c r="I52" s="32" t="str">
        <x:v>Build/Steam historical v0.3–v0.6</x:v>
      </x:c>
      <x:c r="J52" s="32" t="str">
        <x:v>Release</x:v>
      </x:c>
      <x:c r="K52" s="32" t="str">
        <x:v>Yes</x:v>
      </x:c>
      <x:c r="L52" s="32" t="str">
        <x:v>P1</x:v>
      </x:c>
      <x:c r="M52" s="32" t="str">
        <x:v>Build/Steam</x:v>
      </x:c>
      <x:c r="N52" s="32" t="str">
        <x:v>QA/Security</x:v>
      </x:c>
      <x:c r="O52" s="32" t="str">
        <x:v>NOT RUN</x:v>
      </x:c>
      <x:c r="P52" s="32" t="str"/>
      <x:c r="Q52" s="32" t="str"/>
      <x:c r="R52" s="32" t="str"/>
      <x:c r="S52" s="32" t="str"/>
      <x:c r="T52" s="82" t="str"/>
      <x:c r="U52" s="32" t="str"/>
      <x:c r="V52" s="84" t="n">
        <x:v>1</x:v>
      </x:c>
      <x:c r="W52" s="84" t="n">
        <x:f>IF(OR($O52="PASS",$O52="EXCEPTION APPROVED",$O52="NOT APPLICABLE"),$V52,0)</x:f>
        <x:v>0</x:v>
      </x:c>
      <x:c r="X52" s="84" t="n">
        <x:f>IF(AND($K52="Yes",OR($O52="FAIL",$O52="BLOCKED",$O52="NOT RUN",$O52="IN PROGRESS")),1,0)</x:f>
        <x:v>1</x:v>
      </x:c>
      <x:c r="Y52" s="32" t="str">
        <x:f>IF($O52="FAIL","FAIL",IF($O52="BLOCKED","BLOCKED",IF(AND($O52="EXCEPTION APPROVED",$K52="Yes"),"REVIEW",IF($O52="PASS","OK","PENDING"))))</x:f>
        <x:v>PENDING</x:v>
      </x:c>
    </x:row>
    <x:row r="53">
      <x:c r="A53" s="32" t="str">
        <x:v>REL-DEP-009</x:v>
      </x:c>
      <x:c r="B53" s="32" t="str">
        <x:v>Depots, ramas y distribución</x:v>
      </x:c>
      <x:c r="C53" s="32" t="str">
        <x:v>Release readiness</x:v>
      </x:c>
      <x:c r="D53" s="32" t="str">
        <x:v>Los antivirus/SmartScreen false positives se evalúan y documentan.</x:v>
      </x:c>
      <x:c r="E53" s="32" t="str">
        <x:v>Revisar, ejecutar y registrar evidencia reproducible.</x:v>
      </x:c>
      <x:c r="F53" s="32" t="str">
        <x:v>Cumplimiento verificable antes del gate indicado.</x:v>
      </x:c>
      <x:c r="G53" s="32" t="str">
        <x:v>Security scan results.</x:v>
      </x:c>
      <x:c r="H53" s="32" t="str">
        <x:v>11_Build_y_Versioning_Guide.md; 24_Steam_Publishing_Plan.md; 25_Post_Launch_and_Live_Operations_Plan.md</x:v>
      </x:c>
      <x:c r="I53" s="32" t="str">
        <x:v>Build/Steam historical v0.3–v0.6</x:v>
      </x:c>
      <x:c r="J53" s="32" t="str">
        <x:v>Release</x:v>
      </x:c>
      <x:c r="K53" s="32" t="str">
        <x:v>Yes</x:v>
      </x:c>
      <x:c r="L53" s="32" t="str">
        <x:v>P1</x:v>
      </x:c>
      <x:c r="M53" s="32" t="str">
        <x:v>Build/Steam</x:v>
      </x:c>
      <x:c r="N53" s="32" t="str">
        <x:v>QA/Security</x:v>
      </x:c>
      <x:c r="O53" s="32" t="str">
        <x:v>NOT RUN</x:v>
      </x:c>
      <x:c r="P53" s="32" t="str"/>
      <x:c r="Q53" s="32" t="str"/>
      <x:c r="R53" s="32" t="str"/>
      <x:c r="S53" s="32" t="str"/>
      <x:c r="T53" s="82" t="str"/>
      <x:c r="U53" s="32" t="str"/>
      <x:c r="V53" s="84" t="n">
        <x:v>1</x:v>
      </x:c>
      <x:c r="W53" s="84" t="n">
        <x:f>IF(OR($O53="PASS",$O53="EXCEPTION APPROVED",$O53="NOT APPLICABLE"),$V53,0)</x:f>
        <x:v>0</x:v>
      </x:c>
      <x:c r="X53" s="84" t="n">
        <x:f>IF(AND($K53="Yes",OR($O53="FAIL",$O53="BLOCKED",$O53="NOT RUN",$O53="IN PROGRESS")),1,0)</x:f>
        <x:v>1</x:v>
      </x:c>
      <x:c r="Y53" s="32" t="str">
        <x:f>IF($O53="FAIL","FAIL",IF($O53="BLOCKED","BLOCKED",IF(AND($O53="EXCEPTION APPROVED",$K53="Yes"),"REVIEW",IF($O53="PASS","OK","PENDING"))))</x:f>
        <x:v>PENDING</x:v>
      </x:c>
    </x:row>
    <x:row r="54">
      <x:c r="A54" s="32" t="str">
        <x:v>REL-DEP-010</x:v>
      </x:c>
      <x:c r="B54" s="32" t="str">
        <x:v>Depots, ramas y distribución</x:v>
      </x:c>
      <x:c r="C54" s="32" t="str">
        <x:v>Release readiness</x:v>
      </x:c>
      <x:c r="D54" s="32" t="str">
        <x:v>La build arranca desde rutas con espacios, distintos discos y usuarios sin privilegios.</x:v>
      </x:c>
      <x:c r="E54" s="32" t="str">
        <x:v>Revisar, ejecutar y registrar evidencia reproducible.</x:v>
      </x:c>
      <x:c r="F54" s="32" t="str">
        <x:v>Cumplimiento verificable antes del gate indicado.</x:v>
      </x:c>
      <x:c r="G54" s="32" t="str">
        <x:v>Installation matrix.</x:v>
      </x:c>
      <x:c r="H54" s="32" t="str">
        <x:v>11_Build_y_Versioning_Guide.md; 24_Steam_Publishing_Plan.md; 25_Post_Launch_and_Live_Operations_Plan.md</x:v>
      </x:c>
      <x:c r="I54" s="32" t="str">
        <x:v>Build/Steam historical v0.3–v0.6</x:v>
      </x:c>
      <x:c r="J54" s="32" t="str">
        <x:v>Release</x:v>
      </x:c>
      <x:c r="K54" s="32" t="str">
        <x:v>Yes</x:v>
      </x:c>
      <x:c r="L54" s="32" t="str">
        <x:v>P1</x:v>
      </x:c>
      <x:c r="M54" s="32" t="str">
        <x:v>Build/Steam</x:v>
      </x:c>
      <x:c r="N54" s="32" t="str">
        <x:v>QA/Security</x:v>
      </x:c>
      <x:c r="O54" s="32" t="str">
        <x:v>NOT RUN</x:v>
      </x:c>
      <x:c r="P54" s="32" t="str"/>
      <x:c r="Q54" s="32" t="str"/>
      <x:c r="R54" s="32" t="str"/>
      <x:c r="S54" s="32" t="str"/>
      <x:c r="T54" s="82" t="str"/>
      <x:c r="U54" s="32" t="str"/>
      <x:c r="V54" s="84" t="n">
        <x:v>1</x:v>
      </x:c>
      <x:c r="W54" s="84" t="n">
        <x:f>IF(OR($O54="PASS",$O54="EXCEPTION APPROVED",$O54="NOT APPLICABLE"),$V54,0)</x:f>
        <x:v>0</x:v>
      </x:c>
      <x:c r="X54" s="84" t="n">
        <x:f>IF(AND($K54="Yes",OR($O54="FAIL",$O54="BLOCKED",$O54="NOT RUN",$O54="IN PROGRESS")),1,0)</x:f>
        <x:v>1</x:v>
      </x:c>
      <x:c r="Y54" s="32" t="str">
        <x:f>IF($O54="FAIL","FAIL",IF($O54="BLOCKED","BLOCKED",IF(AND($O54="EXCEPTION APPROVED",$K54="Yes"),"REVIEW",IF($O54="PASS","OK","PENDING"))))</x:f>
        <x:v>PENDING</x:v>
      </x:c>
    </x:row>
    <x:row r="55">
      <x:c r="A55" s="32" t="str">
        <x:v>REL-DEP-011</x:v>
      </x:c>
      <x:c r="B55" s="32" t="str">
        <x:v>Depots, ramas y distribución</x:v>
      </x:c>
      <x:c r="C55" s="32" t="str">
        <x:v>Release readiness</x:v>
      </x:c>
      <x:c r="D55" s="32" t="str">
        <x:v>El contenido de demo, Playtest y full game está correctamente separado.</x:v>
      </x:c>
      <x:c r="E55" s="32" t="str">
        <x:v>Revisar, ejecutar y registrar evidencia reproducible.</x:v>
      </x:c>
      <x:c r="F55" s="32" t="str">
        <x:v>Cumplimiento verificable antes del gate indicado.</x:v>
      </x:c>
      <x:c r="G55" s="32" t="str">
        <x:v>Content/depot separation report.</x:v>
      </x:c>
      <x:c r="H55" s="32" t="str">
        <x:v>11_Build_y_Versioning_Guide.md; 24_Steam_Publishing_Plan.md; 25_Post_Launch_and_Live_Operations_Plan.md</x:v>
      </x:c>
      <x:c r="I55" s="32" t="str">
        <x:v>Build/Steam historical v0.3–v0.6</x:v>
      </x:c>
      <x:c r="J55" s="32" t="str">
        <x:v>Release</x:v>
      </x:c>
      <x:c r="K55" s="32" t="str">
        <x:v>Yes</x:v>
      </x:c>
      <x:c r="L55" s="32" t="str">
        <x:v>P1</x:v>
      </x:c>
      <x:c r="M55" s="32" t="str">
        <x:v>Build/Steam</x:v>
      </x:c>
      <x:c r="N55" s="32" t="str">
        <x:v>QA/Security</x:v>
      </x:c>
      <x:c r="O55" s="32" t="str">
        <x:v>NOT RUN</x:v>
      </x:c>
      <x:c r="P55" s="32" t="str"/>
      <x:c r="Q55" s="32" t="str"/>
      <x:c r="R55" s="32" t="str"/>
      <x:c r="S55" s="32" t="str"/>
      <x:c r="T55" s="82" t="str"/>
      <x:c r="U55" s="32" t="str"/>
      <x:c r="V55" s="84" t="n">
        <x:v>1</x:v>
      </x:c>
      <x:c r="W55" s="84" t="n">
        <x:f>IF(OR($O55="PASS",$O55="EXCEPTION APPROVED",$O55="NOT APPLICABLE"),$V55,0)</x:f>
        <x:v>0</x:v>
      </x:c>
      <x:c r="X55" s="84" t="n">
        <x:f>IF(AND($K55="Yes",OR($O55="FAIL",$O55="BLOCKED",$O55="NOT RUN",$O55="IN PROGRESS")),1,0)</x:f>
        <x:v>1</x:v>
      </x:c>
      <x:c r="Y55" s="32" t="str">
        <x:f>IF($O55="FAIL","FAIL",IF($O55="BLOCKED","BLOCKED",IF(AND($O55="EXCEPTION APPROVED",$K55="Yes"),"REVIEW",IF($O55="PASS","OK","PENDING"))))</x:f>
        <x:v>PENDING</x:v>
      </x:c>
    </x:row>
    <x:row r="56">
      <x:c r="A56" s="32" t="str">
        <x:v>REL-DEP-012</x:v>
      </x:c>
      <x:c r="B56" s="32" t="str">
        <x:v>Depots, ramas y distribución</x:v>
      </x:c>
      <x:c r="C56" s="32" t="str">
        <x:v>Release readiness</x:v>
      </x:c>
      <x:c r="D56" s="32" t="str">
        <x:v>Los paquetes redistributables no duplican ni rompen instalaciones existentes.</x:v>
      </x:c>
      <x:c r="E56" s="32" t="str">
        <x:v>Revisar, ejecutar y registrar evidencia reproducible.</x:v>
      </x:c>
      <x:c r="F56" s="32" t="str">
        <x:v>Cumplimiento verificable antes del gate indicado.</x:v>
      </x:c>
      <x:c r="G56" s="32" t="str">
        <x:v>Runtime installation tests.</x:v>
      </x:c>
      <x:c r="H56" s="32" t="str">
        <x:v>11_Build_y_Versioning_Guide.md; 24_Steam_Publishing_Plan.md; 25_Post_Launch_and_Live_Operations_Plan.md</x:v>
      </x:c>
      <x:c r="I56" s="32" t="str">
        <x:v>Build/Steam historical v0.3–v0.6</x:v>
      </x:c>
      <x:c r="J56" s="32" t="str">
        <x:v>Release</x:v>
      </x:c>
      <x:c r="K56" s="32" t="str">
        <x:v>Yes</x:v>
      </x:c>
      <x:c r="L56" s="32" t="str">
        <x:v>P1</x:v>
      </x:c>
      <x:c r="M56" s="32" t="str">
        <x:v>Build/Steam</x:v>
      </x:c>
      <x:c r="N56" s="32" t="str">
        <x:v>QA/Security</x:v>
      </x:c>
      <x:c r="O56" s="32" t="str">
        <x:v>NOT RUN</x:v>
      </x:c>
      <x:c r="P56" s="32" t="str"/>
      <x:c r="Q56" s="32" t="str"/>
      <x:c r="R56" s="32" t="str"/>
      <x:c r="S56" s="32" t="str"/>
      <x:c r="T56" s="82" t="str"/>
      <x:c r="U56" s="32" t="str"/>
      <x:c r="V56" s="84" t="n">
        <x:v>1</x:v>
      </x:c>
      <x:c r="W56" s="84" t="n">
        <x:f>IF(OR($O56="PASS",$O56="EXCEPTION APPROVED",$O56="NOT APPLICABLE"),$V56,0)</x:f>
        <x:v>0</x:v>
      </x:c>
      <x:c r="X56" s="84" t="n">
        <x:f>IF(AND($K56="Yes",OR($O56="FAIL",$O56="BLOCKED",$O56="NOT RUN",$O56="IN PROGRESS")),1,0)</x:f>
        <x:v>1</x:v>
      </x:c>
      <x:c r="Y56" s="32" t="str">
        <x:f>IF($O56="FAIL","FAIL",IF($O56="BLOCKED","BLOCKED",IF(AND($O56="EXCEPTION APPROVED",$K56="Yes"),"REVIEW",IF($O56="PASS","OK","PENDING"))))</x:f>
        <x:v>PENDING</x:v>
      </x:c>
    </x:row>
    <x:row r="57">
      <x:c r="A57" s="32" t="str">
        <x:v>REL-DEP-013</x:v>
      </x:c>
      <x:c r="B57" s="32" t="str">
        <x:v>Depots, ramas y distribución</x:v>
      </x:c>
      <x:c r="C57" s="32" t="str">
        <x:v>Release readiness</x:v>
      </x:c>
      <x:c r="D57" s="32" t="str">
        <x:v>Existe una RC primaria y una RC de rollback verificadas.</x:v>
      </x:c>
      <x:c r="E57" s="32" t="str">
        <x:v>Revisar, ejecutar y registrar evidencia reproducible.</x:v>
      </x:c>
      <x:c r="F57" s="32" t="str">
        <x:v>Cumplimiento verificable antes del gate indicado.</x:v>
      </x:c>
      <x:c r="G57" s="32" t="str">
        <x:v>RC/rollback build records.</x:v>
      </x:c>
      <x:c r="H57" s="32" t="str">
        <x:v>11_Build_y_Versioning_Guide.md; 24_Steam_Publishing_Plan.md; 25_Post_Launch_and_Live_Operations_Plan.md</x:v>
      </x:c>
      <x:c r="I57" s="32" t="str">
        <x:v>Build/Steam historical v0.3–v0.6</x:v>
      </x:c>
      <x:c r="J57" s="32" t="str">
        <x:v>Release</x:v>
      </x:c>
      <x:c r="K57" s="32" t="str">
        <x:v>Yes</x:v>
      </x:c>
      <x:c r="L57" s="32" t="str">
        <x:v>P1</x:v>
      </x:c>
      <x:c r="M57" s="32" t="str">
        <x:v>Build/Steam</x:v>
      </x:c>
      <x:c r="N57" s="32" t="str">
        <x:v>QA/Security</x:v>
      </x:c>
      <x:c r="O57" s="32" t="str">
        <x:v>NOT RUN</x:v>
      </x:c>
      <x:c r="P57" s="32" t="str"/>
      <x:c r="Q57" s="32" t="str"/>
      <x:c r="R57" s="32" t="str"/>
      <x:c r="S57" s="32" t="str"/>
      <x:c r="T57" s="82" t="str"/>
      <x:c r="U57" s="32" t="str"/>
      <x:c r="V57" s="84" t="n">
        <x:v>1</x:v>
      </x:c>
      <x:c r="W57" s="84" t="n">
        <x:f>IF(OR($O57="PASS",$O57="EXCEPTION APPROVED",$O57="NOT APPLICABLE"),$V57,0)</x:f>
        <x:v>0</x:v>
      </x:c>
      <x:c r="X57" s="84" t="n">
        <x:f>IF(AND($K57="Yes",OR($O57="FAIL",$O57="BLOCKED",$O57="NOT RUN",$O57="IN PROGRESS")),1,0)</x:f>
        <x:v>1</x:v>
      </x:c>
      <x:c r="Y57" s="32" t="str">
        <x:f>IF($O57="FAIL","FAIL",IF($O57="BLOCKED","BLOCKED",IF(AND($O57="EXCEPTION APPROVED",$K57="Yes"),"REVIEW",IF($O57="PASS","OK","PENDING"))))</x:f>
        <x:v>PENDING</x:v>
      </x:c>
    </x:row>
    <x:row r="58">
      <x:c r="A58" s="32" t="str">
        <x:v>REL-DEP-014</x:v>
      </x:c>
      <x:c r="B58" s="32" t="str">
        <x:v>Depots, ramas y distribución</x:v>
      </x:c>
      <x:c r="C58" s="32" t="str">
        <x:v>Release readiness</x:v>
      </x:c>
      <x:c r="D58" s="32" t="str">
        <x:v>Los límites de ancho de banda/tamaño y tiempo de descarga se han estimado con datos reales.</x:v>
      </x:c>
      <x:c r="E58" s="32" t="str">
        <x:v>Revisar, ejecutar y registrar evidencia reproducible.</x:v>
      </x:c>
      <x:c r="F58" s="32" t="str">
        <x:v>Cumplimiento verificable antes del gate indicado.</x:v>
      </x:c>
      <x:c r="G58" s="32" t="str">
        <x:v>Package size report.</x:v>
      </x:c>
      <x:c r="H58" s="32" t="str">
        <x:v>11_Build_y_Versioning_Guide.md; 24_Steam_Publishing_Plan.md; 25_Post_Launch_and_Live_Operations_Plan.md</x:v>
      </x:c>
      <x:c r="I58" s="32" t="str">
        <x:v>Build/Steam historical v0.3–v0.6</x:v>
      </x:c>
      <x:c r="J58" s="32" t="str">
        <x:v>Release</x:v>
      </x:c>
      <x:c r="K58" s="32" t="str">
        <x:v>Yes</x:v>
      </x:c>
      <x:c r="L58" s="32" t="str">
        <x:v>P1</x:v>
      </x:c>
      <x:c r="M58" s="32" t="str">
        <x:v>Build/Steam</x:v>
      </x:c>
      <x:c r="N58" s="32" t="str">
        <x:v>QA/Security</x:v>
      </x:c>
      <x:c r="O58" s="32" t="str">
        <x:v>NOT RUN</x:v>
      </x:c>
      <x:c r="P58" s="32" t="str"/>
      <x:c r="Q58" s="32" t="str"/>
      <x:c r="R58" s="32" t="str"/>
      <x:c r="S58" s="32" t="str"/>
      <x:c r="T58" s="82" t="str"/>
      <x:c r="U58" s="32" t="str"/>
      <x:c r="V58" s="84" t="n">
        <x:v>1</x:v>
      </x:c>
      <x:c r="W58" s="84" t="n">
        <x:f>IF(OR($O58="PASS",$O58="EXCEPTION APPROVED",$O58="NOT APPLICABLE"),$V58,0)</x:f>
        <x:v>0</x:v>
      </x:c>
      <x:c r="X58" s="84" t="n">
        <x:f>IF(AND($K58="Yes",OR($O58="FAIL",$O58="BLOCKED",$O58="NOT RUN",$O58="IN PROGRESS")),1,0)</x:f>
        <x:v>1</x:v>
      </x:c>
      <x:c r="Y58" s="32" t="str">
        <x:f>IF($O58="FAIL","FAIL",IF($O58="BLOCKED","BLOCKED",IF(AND($O58="EXCEPTION APPROVED",$K58="Yes"),"REVIEW",IF($O58="PASS","OK","PENDING"))))</x:f>
        <x:v>PENDING</x:v>
      </x:c>
    </x:row>
    <x:row r="59">
      <x:c r="A59" s="32" t="str">
        <x:v>REL-DEP-015</x:v>
      </x:c>
      <x:c r="B59" s="32" t="str">
        <x:v>Depots, ramas y distribución</x:v>
      </x:c>
      <x:c r="C59" s="32" t="str">
        <x:v>Release readiness</x:v>
      </x:c>
      <x:c r="D59" s="32" t="str">
        <x:v>El procedimiento de publicación y reversión ha sido ensayado en entorno seguro.</x:v>
      </x:c>
      <x:c r="E59" s="32" t="str">
        <x:v>Revisar, ejecutar y registrar evidencia reproducible.</x:v>
      </x:c>
      <x:c r="F59" s="32" t="str">
        <x:v>Cumplimiento verificable antes del gate indicado.</x:v>
      </x:c>
      <x:c r="G59" s="32" t="str">
        <x:v>Release rehearsal record.</x:v>
      </x:c>
      <x:c r="H59" s="32" t="str">
        <x:v>11_Build_y_Versioning_Guide.md; 24_Steam_Publishing_Plan.md; 25_Post_Launch_and_Live_Operations_Plan.md</x:v>
      </x:c>
      <x:c r="I59" s="32" t="str">
        <x:v>Build/Steam historical v0.3–v0.6</x:v>
      </x:c>
      <x:c r="J59" s="32" t="str">
        <x:v>Release</x:v>
      </x:c>
      <x:c r="K59" s="32" t="str">
        <x:v>Yes</x:v>
      </x:c>
      <x:c r="L59" s="32" t="str">
        <x:v>P1</x:v>
      </x:c>
      <x:c r="M59" s="32" t="str">
        <x:v>Build/Steam</x:v>
      </x:c>
      <x:c r="N59" s="32" t="str">
        <x:v>QA/Security</x:v>
      </x:c>
      <x:c r="O59" s="32" t="str">
        <x:v>NOT RUN</x:v>
      </x:c>
      <x:c r="P59" s="32" t="str"/>
      <x:c r="Q59" s="32" t="str"/>
      <x:c r="R59" s="32" t="str"/>
      <x:c r="S59" s="32" t="str"/>
      <x:c r="T59" s="82" t="str"/>
      <x:c r="U59" s="32" t="str"/>
      <x:c r="V59" s="84" t="n">
        <x:v>1</x:v>
      </x:c>
      <x:c r="W59" s="84" t="n">
        <x:f>IF(OR($O59="PASS",$O59="EXCEPTION APPROVED",$O59="NOT APPLICABLE"),$V59,0)</x:f>
        <x:v>0</x:v>
      </x:c>
      <x:c r="X59" s="84" t="n">
        <x:f>IF(AND($K59="Yes",OR($O59="FAIL",$O59="BLOCKED",$O59="NOT RUN",$O59="IN PROGRESS")),1,0)</x:f>
        <x:v>1</x:v>
      </x:c>
      <x:c r="Y59" s="32" t="str">
        <x:f>IF($O59="FAIL","FAIL",IF($O59="BLOCKED","BLOCKED",IF(AND($O59="EXCEPTION APPROVED",$K59="Yes"),"REVIEW",IF($O59="PASS","OK","PENDING"))))</x:f>
        <x:v>PENDING</x:v>
      </x:c>
    </x:row>
    <x:row r="60">
      <x:c r="A60" s="32" t="str">
        <x:v>REL-QA-001</x:v>
      </x:c>
      <x:c r="B60" s="32" t="str">
        <x:v>Release Candidate y QA</x:v>
      </x:c>
      <x:c r="C60" s="32" t="str">
        <x:v>Release readiness</x:v>
      </x:c>
      <x:c r="D60" s="32" t="str">
        <x:v>La RC proviene de un commit/tag congelado y no contiene cambios no validados.</x:v>
      </x:c>
      <x:c r="E60" s="32" t="str">
        <x:v>Revisar, ejecutar y registrar evidencia reproducible.</x:v>
      </x:c>
      <x:c r="F60" s="32" t="str">
        <x:v>Cumplimiento verificable antes del gate indicado.</x:v>
      </x:c>
      <x:c r="G60" s="32" t="str">
        <x:v>RC provenance record.</x:v>
      </x:c>
      <x:c r="H60" s="32" t="str">
        <x:v>07_QA_Testing_Plan.md; 24_Steam_Publishing_Plan.md; 25_Post_Launch_and_Live_Operations_Plan.md</x:v>
      </x:c>
      <x:c r="I60" s="32" t="str">
        <x:v>QA Plans/Matrices and build acceptance records v0.3–v0.6</x:v>
      </x:c>
      <x:c r="J60" s="32" t="str">
        <x:v>Release</x:v>
      </x:c>
      <x:c r="K60" s="32" t="str">
        <x:v>Yes</x:v>
      </x:c>
      <x:c r="L60" s="32" t="str">
        <x:v>P0</x:v>
      </x:c>
      <x:c r="M60" s="32" t="str">
        <x:v>QA</x:v>
      </x:c>
      <x:c r="N60" s="32" t="str">
        <x:v>Production/Engineering</x:v>
      </x:c>
      <x:c r="O60" s="32" t="str">
        <x:v>NOT RUN</x:v>
      </x:c>
      <x:c r="P60" s="32" t="str"/>
      <x:c r="Q60" s="32" t="str"/>
      <x:c r="R60" s="32" t="str"/>
      <x:c r="S60" s="32" t="str"/>
      <x:c r="T60" s="82" t="str"/>
      <x:c r="U60" s="32" t="str"/>
      <x:c r="V60" s="84" t="n">
        <x:v>1</x:v>
      </x:c>
      <x:c r="W60" s="84" t="n">
        <x:f>IF(OR($O60="PASS",$O60="EXCEPTION APPROVED",$O60="NOT APPLICABLE"),$V60,0)</x:f>
        <x:v>0</x:v>
      </x:c>
      <x:c r="X60" s="84" t="n">
        <x:f>IF(AND($K60="Yes",OR($O60="FAIL",$O60="BLOCKED",$O60="NOT RUN",$O60="IN PROGRESS")),1,0)</x:f>
        <x:v>1</x:v>
      </x:c>
      <x:c r="Y60" s="32" t="str">
        <x:f>IF($O60="FAIL","FAIL",IF($O60="BLOCKED","BLOCKED",IF(AND($O60="EXCEPTION APPROVED",$K60="Yes"),"REVIEW",IF($O60="PASS","OK","PENDING"))))</x:f>
        <x:v>PENDING</x:v>
      </x:c>
    </x:row>
    <x:row r="61">
      <x:c r="A61" s="32" t="str">
        <x:v>REL-QA-002</x:v>
      </x:c>
      <x:c r="B61" s="32" t="str">
        <x:v>Release Candidate y QA</x:v>
      </x:c>
      <x:c r="C61" s="32" t="str">
        <x:v>Release readiness</x:v>
      </x:c>
      <x:c r="D61" s="32" t="str">
        <x:v>La regresión completa se ejecuta sobre la misma RC subida a Steam.</x:v>
      </x:c>
      <x:c r="E61" s="32" t="str">
        <x:v>Revisar, ejecutar y registrar evidencia reproducible.</x:v>
      </x:c>
      <x:c r="F61" s="32" t="str">
        <x:v>Cumplimiento verificable antes del gate indicado.</x:v>
      </x:c>
      <x:c r="G61" s="32" t="str">
        <x:v>RC test report.</x:v>
      </x:c>
      <x:c r="H61" s="32" t="str">
        <x:v>07_QA_Testing_Plan.md; 24_Steam_Publishing_Plan.md; 25_Post_Launch_and_Live_Operations_Plan.md</x:v>
      </x:c>
      <x:c r="I61" s="32" t="str">
        <x:v>QA Plans/Matrices and build acceptance records v0.3–v0.6</x:v>
      </x:c>
      <x:c r="J61" s="32" t="str">
        <x:v>Release</x:v>
      </x:c>
      <x:c r="K61" s="32" t="str">
        <x:v>Yes</x:v>
      </x:c>
      <x:c r="L61" s="32" t="str">
        <x:v>P0</x:v>
      </x:c>
      <x:c r="M61" s="32" t="str">
        <x:v>QA</x:v>
      </x:c>
      <x:c r="N61" s="32" t="str">
        <x:v>Production/Engineering</x:v>
      </x:c>
      <x:c r="O61" s="32" t="str">
        <x:v>NOT RUN</x:v>
      </x:c>
      <x:c r="P61" s="32" t="str"/>
      <x:c r="Q61" s="32" t="str"/>
      <x:c r="R61" s="32" t="str"/>
      <x:c r="S61" s="32" t="str"/>
      <x:c r="T61" s="82" t="str"/>
      <x:c r="U61" s="32" t="str"/>
      <x:c r="V61" s="84" t="n">
        <x:v>1</x:v>
      </x:c>
      <x:c r="W61" s="84" t="n">
        <x:f>IF(OR($O61="PASS",$O61="EXCEPTION APPROVED",$O61="NOT APPLICABLE"),$V61,0)</x:f>
        <x:v>0</x:v>
      </x:c>
      <x:c r="X61" s="84" t="n">
        <x:f>IF(AND($K61="Yes",OR($O61="FAIL",$O61="BLOCKED",$O61="NOT RUN",$O61="IN PROGRESS")),1,0)</x:f>
        <x:v>1</x:v>
      </x:c>
      <x:c r="Y61" s="32" t="str">
        <x:f>IF($O61="FAIL","FAIL",IF($O61="BLOCKED","BLOCKED",IF(AND($O61="EXCEPTION APPROVED",$K61="Yes"),"REVIEW",IF($O61="PASS","OK","PENDING"))))</x:f>
        <x:v>PENDING</x:v>
      </x:c>
    </x:row>
    <x:row r="62">
      <x:c r="A62" s="32" t="str">
        <x:v>REL-QA-003</x:v>
      </x:c>
      <x:c r="B62" s="32" t="str">
        <x:v>Release Candidate y QA</x:v>
      </x:c>
      <x:c r="C62" s="32" t="str">
        <x:v>Release readiness</x:v>
      </x:c>
      <x:c r="D62" s="32" t="str">
        <x:v>Cero S0/S1 abiertos y S2 tratados según política de release.</x:v>
      </x:c>
      <x:c r="E62" s="32" t="str">
        <x:v>Revisar, ejecutar y registrar evidencia reproducible.</x:v>
      </x:c>
      <x:c r="F62" s="32" t="str">
        <x:v>Cumplimiento verificable antes del gate indicado.</x:v>
      </x:c>
      <x:c r="G62" s="32" t="str">
        <x:v>Release defect report.</x:v>
      </x:c>
      <x:c r="H62" s="32" t="str">
        <x:v>07_QA_Testing_Plan.md; 24_Steam_Publishing_Plan.md; 25_Post_Launch_and_Live_Operations_Plan.md</x:v>
      </x:c>
      <x:c r="I62" s="32" t="str">
        <x:v>QA Plans/Matrices and build acceptance records v0.3–v0.6</x:v>
      </x:c>
      <x:c r="J62" s="32" t="str">
        <x:v>Release</x:v>
      </x:c>
      <x:c r="K62" s="32" t="str">
        <x:v>Yes</x:v>
      </x:c>
      <x:c r="L62" s="32" t="str">
        <x:v>P0</x:v>
      </x:c>
      <x:c r="M62" s="32" t="str">
        <x:v>QA</x:v>
      </x:c>
      <x:c r="N62" s="32" t="str">
        <x:v>Production/Engineering</x:v>
      </x:c>
      <x:c r="O62" s="32" t="str">
        <x:v>NOT RUN</x:v>
      </x:c>
      <x:c r="P62" s="32" t="str"/>
      <x:c r="Q62" s="32" t="str"/>
      <x:c r="R62" s="32" t="str"/>
      <x:c r="S62" s="32" t="str"/>
      <x:c r="T62" s="82" t="str"/>
      <x:c r="U62" s="32" t="str"/>
      <x:c r="V62" s="84" t="n">
        <x:v>1</x:v>
      </x:c>
      <x:c r="W62" s="84" t="n">
        <x:f>IF(OR($O62="PASS",$O62="EXCEPTION APPROVED",$O62="NOT APPLICABLE"),$V62,0)</x:f>
        <x:v>0</x:v>
      </x:c>
      <x:c r="X62" s="84" t="n">
        <x:f>IF(AND($K62="Yes",OR($O62="FAIL",$O62="BLOCKED",$O62="NOT RUN",$O62="IN PROGRESS")),1,0)</x:f>
        <x:v>1</x:v>
      </x:c>
      <x:c r="Y62" s="32" t="str">
        <x:f>IF($O62="FAIL","FAIL",IF($O62="BLOCKED","BLOCKED",IF(AND($O62="EXCEPTION APPROVED",$K62="Yes"),"REVIEW",IF($O62="PASS","OK","PENDING"))))</x:f>
        <x:v>PENDING</x:v>
      </x:c>
    </x:row>
    <x:row r="63">
      <x:c r="A63" s="32" t="str">
        <x:v>REL-QA-004</x:v>
      </x:c>
      <x:c r="B63" s="32" t="str">
        <x:v>Release Candidate y QA</x:v>
      </x:c>
      <x:c r="C63" s="32" t="str">
        <x:v>Release readiness</x:v>
      </x:c>
      <x:c r="D63" s="32" t="str">
        <x:v>Golden Path, campaña extensa y principales casos negativos pasan en RC.</x:v>
      </x:c>
      <x:c r="E63" s="32" t="str">
        <x:v>Revisar, ejecutar y registrar evidencia reproducible.</x:v>
      </x:c>
      <x:c r="F63" s="32" t="str">
        <x:v>Cumplimiento verificable antes del gate indicado.</x:v>
      </x:c>
      <x:c r="G63" s="32" t="str">
        <x:v>Manual execution records.</x:v>
      </x:c>
      <x:c r="H63" s="32" t="str">
        <x:v>07_QA_Testing_Plan.md; 24_Steam_Publishing_Plan.md; 25_Post_Launch_and_Live_Operations_Plan.md</x:v>
      </x:c>
      <x:c r="I63" s="32" t="str">
        <x:v>QA Plans/Matrices and build acceptance records v0.3–v0.6</x:v>
      </x:c>
      <x:c r="J63" s="32" t="str">
        <x:v>Release</x:v>
      </x:c>
      <x:c r="K63" s="32" t="str">
        <x:v>Yes</x:v>
      </x:c>
      <x:c r="L63" s="32" t="str">
        <x:v>P1</x:v>
      </x:c>
      <x:c r="M63" s="32" t="str">
        <x:v>QA</x:v>
      </x:c>
      <x:c r="N63" s="32" t="str">
        <x:v>Production/Engineering</x:v>
      </x:c>
      <x:c r="O63" s="32" t="str">
        <x:v>NOT RUN</x:v>
      </x:c>
      <x:c r="P63" s="32" t="str"/>
      <x:c r="Q63" s="32" t="str"/>
      <x:c r="R63" s="32" t="str"/>
      <x:c r="S63" s="32" t="str"/>
      <x:c r="T63" s="82" t="str"/>
      <x:c r="U63" s="32" t="str"/>
      <x:c r="V63" s="84" t="n">
        <x:v>1</x:v>
      </x:c>
      <x:c r="W63" s="84" t="n">
        <x:f>IF(OR($O63="PASS",$O63="EXCEPTION APPROVED",$O63="NOT APPLICABLE"),$V63,0)</x:f>
        <x:v>0</x:v>
      </x:c>
      <x:c r="X63" s="84" t="n">
        <x:f>IF(AND($K63="Yes",OR($O63="FAIL",$O63="BLOCKED",$O63="NOT RUN",$O63="IN PROGRESS")),1,0)</x:f>
        <x:v>1</x:v>
      </x:c>
      <x:c r="Y63" s="32" t="str">
        <x:f>IF($O63="FAIL","FAIL",IF($O63="BLOCKED","BLOCKED",IF(AND($O63="EXCEPTION APPROVED",$K63="Yes"),"REVIEW",IF($O63="PASS","OK","PENDING"))))</x:f>
        <x:v>PENDING</x:v>
      </x:c>
    </x:row>
    <x:row r="64">
      <x:c r="A64" s="32" t="str">
        <x:v>REL-QA-005</x:v>
      </x:c>
      <x:c r="B64" s="32" t="str">
        <x:v>Release Candidate y QA</x:v>
      </x:c>
      <x:c r="C64" s="32" t="str">
        <x:v>Release readiness</x:v>
      </x:c>
      <x:c r="D64" s="32" t="str">
        <x:v>Instalación limpia, actualización, rollback y compatibilidad de saves pasan.</x:v>
      </x:c>
      <x:c r="E64" s="32" t="str">
        <x:v>Revisar, ejecutar y registrar evidencia reproducible.</x:v>
      </x:c>
      <x:c r="F64" s="32" t="str">
        <x:v>Cumplimiento verificable antes del gate indicado.</x:v>
      </x:c>
      <x:c r="G64" s="32" t="str">
        <x:v>Lifecycle QA report.</x:v>
      </x:c>
      <x:c r="H64" s="32" t="str">
        <x:v>07_QA_Testing_Plan.md; 24_Steam_Publishing_Plan.md; 25_Post_Launch_and_Live_Operations_Plan.md</x:v>
      </x:c>
      <x:c r="I64" s="32" t="str">
        <x:v>QA Plans/Matrices and build acceptance records v0.3–v0.6</x:v>
      </x:c>
      <x:c r="J64" s="32" t="str">
        <x:v>Release</x:v>
      </x:c>
      <x:c r="K64" s="32" t="str">
        <x:v>Yes</x:v>
      </x:c>
      <x:c r="L64" s="32" t="str">
        <x:v>P1</x:v>
      </x:c>
      <x:c r="M64" s="32" t="str">
        <x:v>QA</x:v>
      </x:c>
      <x:c r="N64" s="32" t="str">
        <x:v>Production/Engineering</x:v>
      </x:c>
      <x:c r="O64" s="32" t="str">
        <x:v>NOT RUN</x:v>
      </x:c>
      <x:c r="P64" s="32" t="str"/>
      <x:c r="Q64" s="32" t="str"/>
      <x:c r="R64" s="32" t="str"/>
      <x:c r="S64" s="32" t="str"/>
      <x:c r="T64" s="82" t="str"/>
      <x:c r="U64" s="32" t="str"/>
      <x:c r="V64" s="84" t="n">
        <x:v>1</x:v>
      </x:c>
      <x:c r="W64" s="84" t="n">
        <x:f>IF(OR($O64="PASS",$O64="EXCEPTION APPROVED",$O64="NOT APPLICABLE"),$V64,0)</x:f>
        <x:v>0</x:v>
      </x:c>
      <x:c r="X64" s="84" t="n">
        <x:f>IF(AND($K64="Yes",OR($O64="FAIL",$O64="BLOCKED",$O64="NOT RUN",$O64="IN PROGRESS")),1,0)</x:f>
        <x:v>1</x:v>
      </x:c>
      <x:c r="Y64" s="32" t="str">
        <x:f>IF($O64="FAIL","FAIL",IF($O64="BLOCKED","BLOCKED",IF(AND($O64="EXCEPTION APPROVED",$K64="Yes"),"REVIEW",IF($O64="PASS","OK","PENDING"))))</x:f>
        <x:v>PENDING</x:v>
      </x:c>
    </x:row>
    <x:row r="65">
      <x:c r="A65" s="32" t="str">
        <x:v>REL-QA-006</x:v>
      </x:c>
      <x:c r="B65" s="32" t="str">
        <x:v>Release Candidate y QA</x:v>
      </x:c>
      <x:c r="C65" s="32" t="str">
        <x:v>Release readiness</x:v>
      </x:c>
      <x:c r="D65" s="32" t="str">
        <x:v>La matriz ES/EN, resoluciones, escalas y dispositivos soportados pasa.</x:v>
      </x:c>
      <x:c r="E65" s="32" t="str">
        <x:v>Revisar, ejecutar y registrar evidencia reproducible.</x:v>
      </x:c>
      <x:c r="F65" s="32" t="str">
        <x:v>Cumplimiento verificable antes del gate indicado.</x:v>
      </x:c>
      <x:c r="G65" s="32" t="str">
        <x:v>Compatibility matrix.</x:v>
      </x:c>
      <x:c r="H65" s="32" t="str">
        <x:v>07_QA_Testing_Plan.md; 24_Steam_Publishing_Plan.md; 25_Post_Launch_and_Live_Operations_Plan.md</x:v>
      </x:c>
      <x:c r="I65" s="32" t="str">
        <x:v>QA Plans/Matrices and build acceptance records v0.3–v0.6</x:v>
      </x:c>
      <x:c r="J65" s="32" t="str">
        <x:v>Release</x:v>
      </x:c>
      <x:c r="K65" s="32" t="str">
        <x:v>Yes</x:v>
      </x:c>
      <x:c r="L65" s="32" t="str">
        <x:v>P1</x:v>
      </x:c>
      <x:c r="M65" s="32" t="str">
        <x:v>QA</x:v>
      </x:c>
      <x:c r="N65" s="32" t="str">
        <x:v>Production/Engineering</x:v>
      </x:c>
      <x:c r="O65" s="32" t="str">
        <x:v>NOT RUN</x:v>
      </x:c>
      <x:c r="P65" s="32" t="str"/>
      <x:c r="Q65" s="32" t="str"/>
      <x:c r="R65" s="32" t="str"/>
      <x:c r="S65" s="32" t="str"/>
      <x:c r="T65" s="82" t="str"/>
      <x:c r="U65" s="32" t="str"/>
      <x:c r="V65" s="84" t="n">
        <x:v>1</x:v>
      </x:c>
      <x:c r="W65" s="84" t="n">
        <x:f>IF(OR($O65="PASS",$O65="EXCEPTION APPROVED",$O65="NOT APPLICABLE"),$V65,0)</x:f>
        <x:v>0</x:v>
      </x:c>
      <x:c r="X65" s="84" t="n">
        <x:f>IF(AND($K65="Yes",OR($O65="FAIL",$O65="BLOCKED",$O65="NOT RUN",$O65="IN PROGRESS")),1,0)</x:f>
        <x:v>1</x:v>
      </x:c>
      <x:c r="Y65" s="32" t="str">
        <x:f>IF($O65="FAIL","FAIL",IF($O65="BLOCKED","BLOCKED",IF(AND($O65="EXCEPTION APPROVED",$K65="Yes"),"REVIEW",IF($O65="PASS","OK","PENDING"))))</x:f>
        <x:v>PENDING</x:v>
      </x:c>
    </x:row>
    <x:row r="66">
      <x:c r="A66" s="32" t="str">
        <x:v>REL-QA-007</x:v>
      </x:c>
      <x:c r="B66" s="32" t="str">
        <x:v>Release Candidate y QA</x:v>
      </x:c>
      <x:c r="C66" s="32" t="str">
        <x:v>Release readiness</x:v>
      </x:c>
      <x:c r="D66" s="32" t="str">
        <x:v>Se prueban hardware mínimo, recomendado y al menos un perfil adicional.</x:v>
      </x:c>
      <x:c r="E66" s="32" t="str">
        <x:v>Revisar, ejecutar y registrar evidencia reproducible.</x:v>
      </x:c>
      <x:c r="F66" s="32" t="str">
        <x:v>Cumplimiento verificable antes del gate indicado.</x:v>
      </x:c>
      <x:c r="G66" s="32" t="str">
        <x:v>Hardware QA report.</x:v>
      </x:c>
      <x:c r="H66" s="32" t="str">
        <x:v>07_QA_Testing_Plan.md; 24_Steam_Publishing_Plan.md; 25_Post_Launch_and_Live_Operations_Plan.md</x:v>
      </x:c>
      <x:c r="I66" s="32" t="str">
        <x:v>QA Plans/Matrices and build acceptance records v0.3–v0.6</x:v>
      </x:c>
      <x:c r="J66" s="32" t="str">
        <x:v>Release</x:v>
      </x:c>
      <x:c r="K66" s="32" t="str">
        <x:v>Yes</x:v>
      </x:c>
      <x:c r="L66" s="32" t="str">
        <x:v>P1</x:v>
      </x:c>
      <x:c r="M66" s="32" t="str">
        <x:v>QA</x:v>
      </x:c>
      <x:c r="N66" s="32" t="str">
        <x:v>Production/Engineering</x:v>
      </x:c>
      <x:c r="O66" s="32" t="str">
        <x:v>NOT RUN</x:v>
      </x:c>
      <x:c r="P66" s="32" t="str"/>
      <x:c r="Q66" s="32" t="str"/>
      <x:c r="R66" s="32" t="str"/>
      <x:c r="S66" s="32" t="str"/>
      <x:c r="T66" s="82" t="str"/>
      <x:c r="U66" s="32" t="str"/>
      <x:c r="V66" s="84" t="n">
        <x:v>1</x:v>
      </x:c>
      <x:c r="W66" s="84" t="n">
        <x:f>IF(OR($O66="PASS",$O66="EXCEPTION APPROVED",$O66="NOT APPLICABLE"),$V66,0)</x:f>
        <x:v>0</x:v>
      </x:c>
      <x:c r="X66" s="84" t="n">
        <x:f>IF(AND($K66="Yes",OR($O66="FAIL",$O66="BLOCKED",$O66="NOT RUN",$O66="IN PROGRESS")),1,0)</x:f>
        <x:v>1</x:v>
      </x:c>
      <x:c r="Y66" s="32" t="str">
        <x:f>IF($O66="FAIL","FAIL",IF($O66="BLOCKED","BLOCKED",IF(AND($O66="EXCEPTION APPROVED",$K66="Yes"),"REVIEW",IF($O66="PASS","OK","PENDING"))))</x:f>
        <x:v>PENDING</x:v>
      </x:c>
    </x:row>
    <x:row r="67">
      <x:c r="A67" s="32" t="str">
        <x:v>REL-QA-008</x:v>
      </x:c>
      <x:c r="B67" s="32" t="str">
        <x:v>Release Candidate y QA</x:v>
      </x:c>
      <x:c r="C67" s="32" t="str">
        <x:v>Release readiness</x:v>
      </x:c>
      <x:c r="D67" s="32" t="str">
        <x:v>Player.log/crash dumps de sesiones largas no muestran errores recurrentes bloqueantes.</x:v>
      </x:c>
      <x:c r="E67" s="32" t="str">
        <x:v>Revisar, ejecutar y registrar evidencia reproducible.</x:v>
      </x:c>
      <x:c r="F67" s="32" t="str">
        <x:v>Cumplimiento verificable antes del gate indicado.</x:v>
      </x:c>
      <x:c r="G67" s="32" t="str">
        <x:v>Runtime log review.</x:v>
      </x:c>
      <x:c r="H67" s="32" t="str">
        <x:v>07_QA_Testing_Plan.md; 24_Steam_Publishing_Plan.md; 25_Post_Launch_and_Live_Operations_Plan.md</x:v>
      </x:c>
      <x:c r="I67" s="32" t="str">
        <x:v>QA Plans/Matrices and build acceptance records v0.3–v0.6</x:v>
      </x:c>
      <x:c r="J67" s="32" t="str">
        <x:v>Release</x:v>
      </x:c>
      <x:c r="K67" s="32" t="str">
        <x:v>Yes</x:v>
      </x:c>
      <x:c r="L67" s="32" t="str">
        <x:v>P1</x:v>
      </x:c>
      <x:c r="M67" s="32" t="str">
        <x:v>QA</x:v>
      </x:c>
      <x:c r="N67" s="32" t="str">
        <x:v>Production/Engineering</x:v>
      </x:c>
      <x:c r="O67" s="32" t="str">
        <x:v>NOT RUN</x:v>
      </x:c>
      <x:c r="P67" s="32" t="str"/>
      <x:c r="Q67" s="32" t="str"/>
      <x:c r="R67" s="32" t="str"/>
      <x:c r="S67" s="32" t="str"/>
      <x:c r="T67" s="82" t="str"/>
      <x:c r="U67" s="32" t="str"/>
      <x:c r="V67" s="84" t="n">
        <x:v>1</x:v>
      </x:c>
      <x:c r="W67" s="84" t="n">
        <x:f>IF(OR($O67="PASS",$O67="EXCEPTION APPROVED",$O67="NOT APPLICABLE"),$V67,0)</x:f>
        <x:v>0</x:v>
      </x:c>
      <x:c r="X67" s="84" t="n">
        <x:f>IF(AND($K67="Yes",OR($O67="FAIL",$O67="BLOCKED",$O67="NOT RUN",$O67="IN PROGRESS")),1,0)</x:f>
        <x:v>1</x:v>
      </x:c>
      <x:c r="Y67" s="32" t="str">
        <x:f>IF($O67="FAIL","FAIL",IF($O67="BLOCKED","BLOCKED",IF(AND($O67="EXCEPTION APPROVED",$K67="Yes"),"REVIEW",IF($O67="PASS","OK","PENDING"))))</x:f>
        <x:v>PENDING</x:v>
      </x:c>
    </x:row>
    <x:row r="68">
      <x:c r="A68" s="32" t="str">
        <x:v>REL-QA-009</x:v>
      </x:c>
      <x:c r="B68" s="32" t="str">
        <x:v>Release Candidate y QA</x:v>
      </x:c>
      <x:c r="C68" s="32" t="str">
        <x:v>Release readiness</x:v>
      </x:c>
      <x:c r="D68" s="32" t="str">
        <x:v>La RC se prueba offline, online y con Steam en modo offline.</x:v>
      </x:c>
      <x:c r="E68" s="32" t="str">
        <x:v>Revisar, ejecutar y registrar evidencia reproducible.</x:v>
      </x:c>
      <x:c r="F68" s="32" t="str">
        <x:v>Cumplimiento verificable antes del gate indicado.</x:v>
      </x:c>
      <x:c r="G68" s="32" t="str">
        <x:v>Connectivity matrix.</x:v>
      </x:c>
      <x:c r="H68" s="32" t="str">
        <x:v>07_QA_Testing_Plan.md; 24_Steam_Publishing_Plan.md; 25_Post_Launch_and_Live_Operations_Plan.md</x:v>
      </x:c>
      <x:c r="I68" s="32" t="str">
        <x:v>QA Plans/Matrices and build acceptance records v0.3–v0.6</x:v>
      </x:c>
      <x:c r="J68" s="32" t="str">
        <x:v>Release</x:v>
      </x:c>
      <x:c r="K68" s="32" t="str">
        <x:v>Yes</x:v>
      </x:c>
      <x:c r="L68" s="32" t="str">
        <x:v>P1</x:v>
      </x:c>
      <x:c r="M68" s="32" t="str">
        <x:v>QA</x:v>
      </x:c>
      <x:c r="N68" s="32" t="str">
        <x:v>Production/Engineering</x:v>
      </x:c>
      <x:c r="O68" s="32" t="str">
        <x:v>NOT RUN</x:v>
      </x:c>
      <x:c r="P68" s="32" t="str"/>
      <x:c r="Q68" s="32" t="str"/>
      <x:c r="R68" s="32" t="str"/>
      <x:c r="S68" s="32" t="str"/>
      <x:c r="T68" s="82" t="str"/>
      <x:c r="U68" s="32" t="str"/>
      <x:c r="V68" s="84" t="n">
        <x:v>1</x:v>
      </x:c>
      <x:c r="W68" s="84" t="n">
        <x:f>IF(OR($O68="PASS",$O68="EXCEPTION APPROVED",$O68="NOT APPLICABLE"),$V68,0)</x:f>
        <x:v>0</x:v>
      </x:c>
      <x:c r="X68" s="84" t="n">
        <x:f>IF(AND($K68="Yes",OR($O68="FAIL",$O68="BLOCKED",$O68="NOT RUN",$O68="IN PROGRESS")),1,0)</x:f>
        <x:v>1</x:v>
      </x:c>
      <x:c r="Y68" s="32" t="str">
        <x:f>IF($O68="FAIL","FAIL",IF($O68="BLOCKED","BLOCKED",IF(AND($O68="EXCEPTION APPROVED",$K68="Yes"),"REVIEW",IF($O68="PASS","OK","PENDING"))))</x:f>
        <x:v>PENDING</x:v>
      </x:c>
    </x:row>
    <x:row r="69">
      <x:c r="A69" s="32" t="str">
        <x:v>REL-QA-010</x:v>
      </x:c>
      <x:c r="B69" s="32" t="str">
        <x:v>Release Candidate y QA</x:v>
      </x:c>
      <x:c r="C69" s="32" t="str">
        <x:v>Release readiness</x:v>
      </x:c>
      <x:c r="D69" s="32" t="str">
        <x:v>Los known issues públicos son veraces, acotados y no ocultan bloqueantes.</x:v>
      </x:c>
      <x:c r="E69" s="32" t="str">
        <x:v>Revisar, ejecutar y registrar evidencia reproducible.</x:v>
      </x:c>
      <x:c r="F69" s="32" t="str">
        <x:v>Cumplimiento verificable antes del gate indicado.</x:v>
      </x:c>
      <x:c r="G69" s="32" t="str">
        <x:v>Known issues approval.</x:v>
      </x:c>
      <x:c r="H69" s="32" t="str">
        <x:v>07_QA_Testing_Plan.md; 24_Steam_Publishing_Plan.md; 25_Post_Launch_and_Live_Operations_Plan.md</x:v>
      </x:c>
      <x:c r="I69" s="32" t="str">
        <x:v>QA Plans/Matrices and build acceptance records v0.3–v0.6</x:v>
      </x:c>
      <x:c r="J69" s="32" t="str">
        <x:v>Release</x:v>
      </x:c>
      <x:c r="K69" s="32" t="str">
        <x:v>Yes</x:v>
      </x:c>
      <x:c r="L69" s="32" t="str">
        <x:v>P1</x:v>
      </x:c>
      <x:c r="M69" s="32" t="str">
        <x:v>QA</x:v>
      </x:c>
      <x:c r="N69" s="32" t="str">
        <x:v>Production/Engineering</x:v>
      </x:c>
      <x:c r="O69" s="32" t="str">
        <x:v>NOT RUN</x:v>
      </x:c>
      <x:c r="P69" s="32" t="str"/>
      <x:c r="Q69" s="32" t="str"/>
      <x:c r="R69" s="32" t="str"/>
      <x:c r="S69" s="32" t="str"/>
      <x:c r="T69" s="82" t="str"/>
      <x:c r="U69" s="32" t="str"/>
      <x:c r="V69" s="84" t="n">
        <x:v>1</x:v>
      </x:c>
      <x:c r="W69" s="84" t="n">
        <x:f>IF(OR($O69="PASS",$O69="EXCEPTION APPROVED",$O69="NOT APPLICABLE"),$V69,0)</x:f>
        <x:v>0</x:v>
      </x:c>
      <x:c r="X69" s="84" t="n">
        <x:f>IF(AND($K69="Yes",OR($O69="FAIL",$O69="BLOCKED",$O69="NOT RUN",$O69="IN PROGRESS")),1,0)</x:f>
        <x:v>1</x:v>
      </x:c>
      <x:c r="Y69" s="32" t="str">
        <x:f>IF($O69="FAIL","FAIL",IF($O69="BLOCKED","BLOCKED",IF(AND($O69="EXCEPTION APPROVED",$K69="Yes"),"REVIEW",IF($O69="PASS","OK","PENDING"))))</x:f>
        <x:v>PENDING</x:v>
      </x:c>
    </x:row>
    <x:row r="70">
      <x:c r="A70" s="32" t="str">
        <x:v>REL-QA-011</x:v>
      </x:c>
      <x:c r="B70" s="32" t="str">
        <x:v>Release Candidate y QA</x:v>
      </x:c>
      <x:c r="C70" s="32" t="str">
        <x:v>Release readiness</x:v>
      </x:c>
      <x:c r="D70" s="32" t="str">
        <x:v>Las excepciones de release tienen owner, mitigación, soporte y trigger.</x:v>
      </x:c>
      <x:c r="E70" s="32" t="str">
        <x:v>Revisar, ejecutar y registrar evidencia reproducible.</x:v>
      </x:c>
      <x:c r="F70" s="32" t="str">
        <x:v>Cumplimiento verificable antes del gate indicado.</x:v>
      </x:c>
      <x:c r="G70" s="32" t="str">
        <x:v>Release exception register.</x:v>
      </x:c>
      <x:c r="H70" s="32" t="str">
        <x:v>07_QA_Testing_Plan.md; 24_Steam_Publishing_Plan.md; 25_Post_Launch_and_Live_Operations_Plan.md</x:v>
      </x:c>
      <x:c r="I70" s="32" t="str">
        <x:v>QA Plans/Matrices and build acceptance records v0.3–v0.6</x:v>
      </x:c>
      <x:c r="J70" s="32" t="str">
        <x:v>Release</x:v>
      </x:c>
      <x:c r="K70" s="32" t="str">
        <x:v>Yes</x:v>
      </x:c>
      <x:c r="L70" s="32" t="str">
        <x:v>P1</x:v>
      </x:c>
      <x:c r="M70" s="32" t="str">
        <x:v>QA</x:v>
      </x:c>
      <x:c r="N70" s="32" t="str">
        <x:v>Production/Engineering</x:v>
      </x:c>
      <x:c r="O70" s="32" t="str">
        <x:v>NOT RUN</x:v>
      </x:c>
      <x:c r="P70" s="32" t="str"/>
      <x:c r="Q70" s="32" t="str"/>
      <x:c r="R70" s="32" t="str"/>
      <x:c r="S70" s="32" t="str"/>
      <x:c r="T70" s="82" t="str"/>
      <x:c r="U70" s="32" t="str"/>
      <x:c r="V70" s="84" t="n">
        <x:v>1</x:v>
      </x:c>
      <x:c r="W70" s="84" t="n">
        <x:f>IF(OR($O70="PASS",$O70="EXCEPTION APPROVED",$O70="NOT APPLICABLE"),$V70,0)</x:f>
        <x:v>0</x:v>
      </x:c>
      <x:c r="X70" s="84" t="n">
        <x:f>IF(AND($K70="Yes",OR($O70="FAIL",$O70="BLOCKED",$O70="NOT RUN",$O70="IN PROGRESS")),1,0)</x:f>
        <x:v>1</x:v>
      </x:c>
      <x:c r="Y70" s="32" t="str">
        <x:f>IF($O70="FAIL","FAIL",IF($O70="BLOCKED","BLOCKED",IF(AND($O70="EXCEPTION APPROVED",$K70="Yes"),"REVIEW",IF($O70="PASS","OK","PENDING"))))</x:f>
        <x:v>PENDING</x:v>
      </x:c>
    </x:row>
    <x:row r="71">
      <x:c r="A71" s="32" t="str">
        <x:v>REL-QA-012</x:v>
      </x:c>
      <x:c r="B71" s="32" t="str">
        <x:v>Release Candidate y QA</x:v>
      </x:c>
      <x:c r="C71" s="32" t="str">
        <x:v>Release readiness</x:v>
      </x:c>
      <x:c r="D71" s="32" t="str">
        <x:v>El smoke test posterior a upload y previo a publicación está definido y ejecutado.</x:v>
      </x:c>
      <x:c r="E71" s="32" t="str">
        <x:v>Revisar, ejecutar y registrar evidencia reproducible.</x:v>
      </x:c>
      <x:c r="F71" s="32" t="str">
        <x:v>Cumplimiento verificable antes del gate indicado.</x:v>
      </x:c>
      <x:c r="G71" s="32" t="str">
        <x:v>Post-upload smoke record.</x:v>
      </x:c>
      <x:c r="H71" s="32" t="str">
        <x:v>07_QA_Testing_Plan.md; 24_Steam_Publishing_Plan.md; 25_Post_Launch_and_Live_Operations_Plan.md</x:v>
      </x:c>
      <x:c r="I71" s="32" t="str">
        <x:v>QA Plans/Matrices and build acceptance records v0.3–v0.6</x:v>
      </x:c>
      <x:c r="J71" s="32" t="str">
        <x:v>Release</x:v>
      </x:c>
      <x:c r="K71" s="32" t="str">
        <x:v>Yes</x:v>
      </x:c>
      <x:c r="L71" s="32" t="str">
        <x:v>P1</x:v>
      </x:c>
      <x:c r="M71" s="32" t="str">
        <x:v>QA</x:v>
      </x:c>
      <x:c r="N71" s="32" t="str">
        <x:v>Production/Engineering</x:v>
      </x:c>
      <x:c r="O71" s="32" t="str">
        <x:v>NOT RUN</x:v>
      </x:c>
      <x:c r="P71" s="32" t="str"/>
      <x:c r="Q71" s="32" t="str"/>
      <x:c r="R71" s="32" t="str"/>
      <x:c r="S71" s="32" t="str"/>
      <x:c r="T71" s="82" t="str"/>
      <x:c r="U71" s="32" t="str"/>
      <x:c r="V71" s="84" t="n">
        <x:v>1</x:v>
      </x:c>
      <x:c r="W71" s="84" t="n">
        <x:f>IF(OR($O71="PASS",$O71="EXCEPTION APPROVED",$O71="NOT APPLICABLE"),$V71,0)</x:f>
        <x:v>0</x:v>
      </x:c>
      <x:c r="X71" s="84" t="n">
        <x:f>IF(AND($K71="Yes",OR($O71="FAIL",$O71="BLOCKED",$O71="NOT RUN",$O71="IN PROGRESS")),1,0)</x:f>
        <x:v>1</x:v>
      </x:c>
      <x:c r="Y71" s="32" t="str">
        <x:f>IF($O71="FAIL","FAIL",IF($O71="BLOCKED","BLOCKED",IF(AND($O71="EXCEPTION APPROVED",$K71="Yes"),"REVIEW",IF($O71="PASS","OK","PENDING"))))</x:f>
        <x:v>PENDING</x:v>
      </x:c>
    </x:row>
    <x:row r="72">
      <x:c r="A72" s="32" t="str">
        <x:v>REL-QA-013</x:v>
      </x:c>
      <x:c r="B72" s="32" t="str">
        <x:v>Release Candidate y QA</x:v>
      </x:c>
      <x:c r="C72" s="32" t="str">
        <x:v>Release readiness</x:v>
      </x:c>
      <x:c r="D72" s="32" t="str">
        <x:v>La prueba de primera ejecución cubre settings por defecto y onboarding.</x:v>
      </x:c>
      <x:c r="E72" s="32" t="str">
        <x:v>Revisar, ejecutar y registrar evidencia reproducible.</x:v>
      </x:c>
      <x:c r="F72" s="32" t="str">
        <x:v>Cumplimiento verificable antes del gate indicado.</x:v>
      </x:c>
      <x:c r="G72" s="32" t="str">
        <x:v>First-run QA record.</x:v>
      </x:c>
      <x:c r="H72" s="32" t="str">
        <x:v>07_QA_Testing_Plan.md; 24_Steam_Publishing_Plan.md; 25_Post_Launch_and_Live_Operations_Plan.md</x:v>
      </x:c>
      <x:c r="I72" s="32" t="str">
        <x:v>QA Plans/Matrices and build acceptance records v0.3–v0.6</x:v>
      </x:c>
      <x:c r="J72" s="32" t="str">
        <x:v>Release</x:v>
      </x:c>
      <x:c r="K72" s="32" t="str">
        <x:v>Yes</x:v>
      </x:c>
      <x:c r="L72" s="32" t="str">
        <x:v>P1</x:v>
      </x:c>
      <x:c r="M72" s="32" t="str">
        <x:v>QA</x:v>
      </x:c>
      <x:c r="N72" s="32" t="str">
        <x:v>Production/Engineering</x:v>
      </x:c>
      <x:c r="O72" s="32" t="str">
        <x:v>NOT RUN</x:v>
      </x:c>
      <x:c r="P72" s="32" t="str"/>
      <x:c r="Q72" s="32" t="str"/>
      <x:c r="R72" s="32" t="str"/>
      <x:c r="S72" s="32" t="str"/>
      <x:c r="T72" s="82" t="str"/>
      <x:c r="U72" s="32" t="str"/>
      <x:c r="V72" s="84" t="n">
        <x:v>1</x:v>
      </x:c>
      <x:c r="W72" s="84" t="n">
        <x:f>IF(OR($O72="PASS",$O72="EXCEPTION APPROVED",$O72="NOT APPLICABLE"),$V72,0)</x:f>
        <x:v>0</x:v>
      </x:c>
      <x:c r="X72" s="84" t="n">
        <x:f>IF(AND($K72="Yes",OR($O72="FAIL",$O72="BLOCKED",$O72="NOT RUN",$O72="IN PROGRESS")),1,0)</x:f>
        <x:v>1</x:v>
      </x:c>
      <x:c r="Y72" s="32" t="str">
        <x:f>IF($O72="FAIL","FAIL",IF($O72="BLOCKED","BLOCKED",IF(AND($O72="EXCEPTION APPROVED",$K72="Yes"),"REVIEW",IF($O72="PASS","OK","PENDING"))))</x:f>
        <x:v>PENDING</x:v>
      </x:c>
    </x:row>
    <x:row r="73">
      <x:c r="A73" s="32" t="str">
        <x:v>REL-QA-014</x:v>
      </x:c>
      <x:c r="B73" s="32" t="str">
        <x:v>Release Candidate y QA</x:v>
      </x:c>
      <x:c r="C73" s="32" t="str">
        <x:v>Release readiness</x:v>
      </x:c>
      <x:c r="D73" s="32" t="str">
        <x:v>La recopilación de evidencia no modifica la RC ni activa cheats.</x:v>
      </x:c>
      <x:c r="E73" s="32" t="str">
        <x:v>Revisar, ejecutar y registrar evidencia reproducible.</x:v>
      </x:c>
      <x:c r="F73" s="32" t="str">
        <x:v>Cumplimiento verificable antes del gate indicado.</x:v>
      </x:c>
      <x:c r="G73" s="32" t="str">
        <x:v>Evidence integrity check.</x:v>
      </x:c>
      <x:c r="H73" s="32" t="str">
        <x:v>07_QA_Testing_Plan.md; 24_Steam_Publishing_Plan.md; 25_Post_Launch_and_Live_Operations_Plan.md</x:v>
      </x:c>
      <x:c r="I73" s="32" t="str">
        <x:v>QA Plans/Matrices and build acceptance records v0.3–v0.6</x:v>
      </x:c>
      <x:c r="J73" s="32" t="str">
        <x:v>Release</x:v>
      </x:c>
      <x:c r="K73" s="32" t="str">
        <x:v>Yes</x:v>
      </x:c>
      <x:c r="L73" s="32" t="str">
        <x:v>P1</x:v>
      </x:c>
      <x:c r="M73" s="32" t="str">
        <x:v>QA</x:v>
      </x:c>
      <x:c r="N73" s="32" t="str">
        <x:v>Production/Engineering</x:v>
      </x:c>
      <x:c r="O73" s="32" t="str">
        <x:v>NOT RUN</x:v>
      </x:c>
      <x:c r="P73" s="32" t="str"/>
      <x:c r="Q73" s="32" t="str"/>
      <x:c r="R73" s="32" t="str"/>
      <x:c r="S73" s="32" t="str"/>
      <x:c r="T73" s="82" t="str"/>
      <x:c r="U73" s="32" t="str"/>
      <x:c r="V73" s="84" t="n">
        <x:v>1</x:v>
      </x:c>
      <x:c r="W73" s="84" t="n">
        <x:f>IF(OR($O73="PASS",$O73="EXCEPTION APPROVED",$O73="NOT APPLICABLE"),$V73,0)</x:f>
        <x:v>0</x:v>
      </x:c>
      <x:c r="X73" s="84" t="n">
        <x:f>IF(AND($K73="Yes",OR($O73="FAIL",$O73="BLOCKED",$O73="NOT RUN",$O73="IN PROGRESS")),1,0)</x:f>
        <x:v>1</x:v>
      </x:c>
      <x:c r="Y73" s="32" t="str">
        <x:f>IF($O73="FAIL","FAIL",IF($O73="BLOCKED","BLOCKED",IF(AND($O73="EXCEPTION APPROVED",$K73="Yes"),"REVIEW",IF($O73="PASS","OK","PENDING"))))</x:f>
        <x:v>PENDING</x:v>
      </x:c>
    </x:row>
    <x:row r="74">
      <x:c r="A74" s="32" t="str">
        <x:v>REL-QA-015</x:v>
      </x:c>
      <x:c r="B74" s="32" t="str">
        <x:v>Release Candidate y QA</x:v>
      </x:c>
      <x:c r="C74" s="32" t="str">
        <x:v>Release readiness</x:v>
      </x:c>
      <x:c r="D74" s="32" t="str">
        <x:v>Existe acta formal de RC PASS/FAIL y no-go authority.</x:v>
      </x:c>
      <x:c r="E74" s="32" t="str">
        <x:v>Revisar, ejecutar y registrar evidencia reproducible.</x:v>
      </x:c>
      <x:c r="F74" s="32" t="str">
        <x:v>Cumplimiento verificable antes del gate indicado.</x:v>
      </x:c>
      <x:c r="G74" s="32" t="str">
        <x:v>RC signoff.</x:v>
      </x:c>
      <x:c r="H74" s="32" t="str">
        <x:v>07_QA_Testing_Plan.md; 24_Steam_Publishing_Plan.md; 25_Post_Launch_and_Live_Operations_Plan.md</x:v>
      </x:c>
      <x:c r="I74" s="32" t="str">
        <x:v>QA Plans/Matrices and build acceptance records v0.3–v0.6</x:v>
      </x:c>
      <x:c r="J74" s="32" t="str">
        <x:v>Release</x:v>
      </x:c>
      <x:c r="K74" s="32" t="str">
        <x:v>Yes</x:v>
      </x:c>
      <x:c r="L74" s="32" t="str">
        <x:v>P1</x:v>
      </x:c>
      <x:c r="M74" s="32" t="str">
        <x:v>QA</x:v>
      </x:c>
      <x:c r="N74" s="32" t="str">
        <x:v>Production/Engineering</x:v>
      </x:c>
      <x:c r="O74" s="32" t="str">
        <x:v>NOT RUN</x:v>
      </x:c>
      <x:c r="P74" s="32" t="str"/>
      <x:c r="Q74" s="32" t="str"/>
      <x:c r="R74" s="32" t="str"/>
      <x:c r="S74" s="32" t="str"/>
      <x:c r="T74" s="82" t="str"/>
      <x:c r="U74" s="32" t="str"/>
      <x:c r="V74" s="84" t="n">
        <x:v>1</x:v>
      </x:c>
      <x:c r="W74" s="84" t="n">
        <x:f>IF(OR($O74="PASS",$O74="EXCEPTION APPROVED",$O74="NOT APPLICABLE"),$V74,0)</x:f>
        <x:v>0</x:v>
      </x:c>
      <x:c r="X74" s="84" t="n">
        <x:f>IF(AND($K74="Yes",OR($O74="FAIL",$O74="BLOCKED",$O74="NOT RUN",$O74="IN PROGRESS")),1,0)</x:f>
        <x:v>1</x:v>
      </x:c>
      <x:c r="Y74" s="32" t="str">
        <x:f>IF($O74="FAIL","FAIL",IF($O74="BLOCKED","BLOCKED",IF(AND($O74="EXCEPTION APPROVED",$K74="Yes"),"REVIEW",IF($O74="PASS","OK","PENDING"))))</x:f>
        <x:v>PENDING</x:v>
      </x:c>
    </x:row>
    <x:row r="75">
      <x:c r="A75" s="32" t="str">
        <x:v>REL-PER-001</x:v>
      </x:c>
      <x:c r="B75" s="32" t="str">
        <x:v>Rendimiento y requisitos del sistema</x:v>
      </x:c>
      <x:c r="C75" s="32" t="str">
        <x:v>Release readiness</x:v>
      </x:c>
      <x:c r="D75" s="32" t="str">
        <x:v>Los requisitos mínimo/recomendado se derivan de benchmarks reproducibles.</x:v>
      </x:c>
      <x:c r="E75" s="32" t="str">
        <x:v>Revisar, ejecutar y registrar evidencia reproducible.</x:v>
      </x:c>
      <x:c r="F75" s="32" t="str">
        <x:v>Cumplimiento verificable antes del gate indicado.</x:v>
      </x:c>
      <x:c r="G75" s="32" t="str">
        <x:v>Hardware benchmark dossier.</x:v>
      </x:c>
      <x:c r="H75" s="32" t="str">
        <x:v>30_Performance_and_Optimization_Plan.md; 24_Steam_Publishing_Plan.md</x:v>
      </x:c>
      <x:c r="I75" s="32" t="str">
        <x:v>Historical performance targets across TDD/VSS/Build/Art v0.3–v0.6</x:v>
      </x:c>
      <x:c r="J75" s="32" t="str">
        <x:v>Release</x:v>
      </x:c>
      <x:c r="K75" s="32" t="str">
        <x:v>Yes</x:v>
      </x:c>
      <x:c r="L75" s="32" t="str">
        <x:v>P0</x:v>
      </x:c>
      <x:c r="M75" s="32" t="str">
        <x:v>Engineering/QA</x:v>
      </x:c>
      <x:c r="N75" s="32" t="str">
        <x:v>Technical Direction/Marketing</x:v>
      </x:c>
      <x:c r="O75" s="32" t="str">
        <x:v>NOT RUN</x:v>
      </x:c>
      <x:c r="P75" s="32" t="str"/>
      <x:c r="Q75" s="32" t="str"/>
      <x:c r="R75" s="32" t="str"/>
      <x:c r="S75" s="32" t="str"/>
      <x:c r="T75" s="82" t="str"/>
      <x:c r="U75" s="32" t="str"/>
      <x:c r="V75" s="84" t="n">
        <x:v>1</x:v>
      </x:c>
      <x:c r="W75" s="84" t="n">
        <x:f>IF(OR($O75="PASS",$O75="EXCEPTION APPROVED",$O75="NOT APPLICABLE"),$V75,0)</x:f>
        <x:v>0</x:v>
      </x:c>
      <x:c r="X75" s="84" t="n">
        <x:f>IF(AND($K75="Yes",OR($O75="FAIL",$O75="BLOCKED",$O75="NOT RUN",$O75="IN PROGRESS")),1,0)</x:f>
        <x:v>1</x:v>
      </x:c>
      <x:c r="Y75" s="32" t="str">
        <x:f>IF($O75="FAIL","FAIL",IF($O75="BLOCKED","BLOCKED",IF(AND($O75="EXCEPTION APPROVED",$K75="Yes"),"REVIEW",IF($O75="PASS","OK","PENDING"))))</x:f>
        <x:v>PENDING</x:v>
      </x:c>
    </x:row>
    <x:row r="76">
      <x:c r="A76" s="32" t="str">
        <x:v>REL-PER-002</x:v>
      </x:c>
      <x:c r="B76" s="32" t="str">
        <x:v>Rendimiento y requisitos del sistema</x:v>
      </x:c>
      <x:c r="C76" s="32" t="str">
        <x:v>Release readiness</x:v>
      </x:c>
      <x:c r="D76" s="32" t="str">
        <x:v>La RC cumple objetivos de frame pacing y estabilidad en hardware mínimo aprobado.</x:v>
      </x:c>
      <x:c r="E76" s="32" t="str">
        <x:v>Revisar, ejecutar y registrar evidencia reproducible.</x:v>
      </x:c>
      <x:c r="F76" s="32" t="str">
        <x:v>Cumplimiento verificable antes del gate indicado.</x:v>
      </x:c>
      <x:c r="G76" s="32" t="str">
        <x:v>Minimum hardware report.</x:v>
      </x:c>
      <x:c r="H76" s="32" t="str">
        <x:v>30_Performance_and_Optimization_Plan.md; 24_Steam_Publishing_Plan.md</x:v>
      </x:c>
      <x:c r="I76" s="32" t="str">
        <x:v>Historical performance targets across TDD/VSS/Build/Art v0.3–v0.6</x:v>
      </x:c>
      <x:c r="J76" s="32" t="str">
        <x:v>Release</x:v>
      </x:c>
      <x:c r="K76" s="32" t="str">
        <x:v>Yes</x:v>
      </x:c>
      <x:c r="L76" s="32" t="str">
        <x:v>P1</x:v>
      </x:c>
      <x:c r="M76" s="32" t="str">
        <x:v>Engineering/QA</x:v>
      </x:c>
      <x:c r="N76" s="32" t="str">
        <x:v>Technical Direction/Marketing</x:v>
      </x:c>
      <x:c r="O76" s="32" t="str">
        <x:v>NOT RUN</x:v>
      </x:c>
      <x:c r="P76" s="32" t="str"/>
      <x:c r="Q76" s="32" t="str"/>
      <x:c r="R76" s="32" t="str"/>
      <x:c r="S76" s="32" t="str"/>
      <x:c r="T76" s="82" t="str"/>
      <x:c r="U76" s="32" t="str"/>
      <x:c r="V76" s="84" t="n">
        <x:v>1</x:v>
      </x:c>
      <x:c r="W76" s="84" t="n">
        <x:f>IF(OR($O76="PASS",$O76="EXCEPTION APPROVED",$O76="NOT APPLICABLE"),$V76,0)</x:f>
        <x:v>0</x:v>
      </x:c>
      <x:c r="X76" s="84" t="n">
        <x:f>IF(AND($K76="Yes",OR($O76="FAIL",$O76="BLOCKED",$O76="NOT RUN",$O76="IN PROGRESS")),1,0)</x:f>
        <x:v>1</x:v>
      </x:c>
      <x:c r="Y76" s="32" t="str">
        <x:f>IF($O76="FAIL","FAIL",IF($O76="BLOCKED","BLOCKED",IF(AND($O76="EXCEPTION APPROVED",$K76="Yes"),"REVIEW",IF($O76="PASS","OK","PENDING"))))</x:f>
        <x:v>PENDING</x:v>
      </x:c>
    </x:row>
    <x:row r="77">
      <x:c r="A77" s="32" t="str">
        <x:v>REL-PER-003</x:v>
      </x:c>
      <x:c r="B77" s="32" t="str">
        <x:v>Rendimiento y requisitos del sistema</x:v>
      </x:c>
      <x:c r="C77" s="32" t="str">
        <x:v>Release readiness</x:v>
      </x:c>
      <x:c r="D77" s="32" t="str">
        <x:v>Las configuraciones gráficas soportadas producen diferencias reales y seguras.</x:v>
      </x:c>
      <x:c r="E77" s="32" t="str">
        <x:v>Revisar, ejecutar y registrar evidencia reproducible.</x:v>
      </x:c>
      <x:c r="F77" s="32" t="str">
        <x:v>Cumplimiento verificable antes del gate indicado.</x:v>
      </x:c>
      <x:c r="G77" s="32" t="str">
        <x:v>Preset validation.</x:v>
      </x:c>
      <x:c r="H77" s="32" t="str">
        <x:v>30_Performance_and_Optimization_Plan.md; 24_Steam_Publishing_Plan.md</x:v>
      </x:c>
      <x:c r="I77" s="32" t="str">
        <x:v>Historical performance targets across TDD/VSS/Build/Art v0.3–v0.6</x:v>
      </x:c>
      <x:c r="J77" s="32" t="str">
        <x:v>Release</x:v>
      </x:c>
      <x:c r="K77" s="32" t="str">
        <x:v>Yes</x:v>
      </x:c>
      <x:c r="L77" s="32" t="str">
        <x:v>P1</x:v>
      </x:c>
      <x:c r="M77" s="32" t="str">
        <x:v>Engineering/QA</x:v>
      </x:c>
      <x:c r="N77" s="32" t="str">
        <x:v>Technical Direction/Marketing</x:v>
      </x:c>
      <x:c r="O77" s="32" t="str">
        <x:v>NOT RUN</x:v>
      </x:c>
      <x:c r="P77" s="32" t="str"/>
      <x:c r="Q77" s="32" t="str"/>
      <x:c r="R77" s="32" t="str"/>
      <x:c r="S77" s="32" t="str"/>
      <x:c r="T77" s="82" t="str"/>
      <x:c r="U77" s="32" t="str"/>
      <x:c r="V77" s="84" t="n">
        <x:v>1</x:v>
      </x:c>
      <x:c r="W77" s="84" t="n">
        <x:f>IF(OR($O77="PASS",$O77="EXCEPTION APPROVED",$O77="NOT APPLICABLE"),$V77,0)</x:f>
        <x:v>0</x:v>
      </x:c>
      <x:c r="X77" s="84" t="n">
        <x:f>IF(AND($K77="Yes",OR($O77="FAIL",$O77="BLOCKED",$O77="NOT RUN",$O77="IN PROGRESS")),1,0)</x:f>
        <x:v>1</x:v>
      </x:c>
      <x:c r="Y77" s="32" t="str">
        <x:f>IF($O77="FAIL","FAIL",IF($O77="BLOCKED","BLOCKED",IF(AND($O77="EXCEPTION APPROVED",$K77="Yes"),"REVIEW",IF($O77="PASS","OK","PENDING"))))</x:f>
        <x:v>PENDING</x:v>
      </x:c>
    </x:row>
    <x:row r="78">
      <x:c r="A78" s="32" t="str">
        <x:v>REL-PER-004</x:v>
      </x:c>
      <x:c r="B78" s="32" t="str">
        <x:v>Rendimiento y requisitos del sistema</x:v>
      </x:c>
      <x:c r="C78" s="32" t="str">
        <x:v>Release readiness</x:v>
      </x:c>
      <x:c r="D78" s="32" t="str">
        <x:v>Carga, guardado, arranque y cierre se miden en instalación Steam.</x:v>
      </x:c>
      <x:c r="E78" s="32" t="str">
        <x:v>Revisar, ejecutar y registrar evidencia reproducible.</x:v>
      </x:c>
      <x:c r="F78" s="32" t="str">
        <x:v>Cumplimiento verificable antes del gate indicado.</x:v>
      </x:c>
      <x:c r="G78" s="32" t="str">
        <x:v>Steam build timing report.</x:v>
      </x:c>
      <x:c r="H78" s="32" t="str">
        <x:v>30_Performance_and_Optimization_Plan.md; 24_Steam_Publishing_Plan.md</x:v>
      </x:c>
      <x:c r="I78" s="32" t="str">
        <x:v>Historical performance targets across TDD/VSS/Build/Art v0.3–v0.6</x:v>
      </x:c>
      <x:c r="J78" s="32" t="str">
        <x:v>Release</x:v>
      </x:c>
      <x:c r="K78" s="32" t="str">
        <x:v>Yes</x:v>
      </x:c>
      <x:c r="L78" s="32" t="str">
        <x:v>P1</x:v>
      </x:c>
      <x:c r="M78" s="32" t="str">
        <x:v>Engineering/QA</x:v>
      </x:c>
      <x:c r="N78" s="32" t="str">
        <x:v>Technical Direction/Marketing</x:v>
      </x:c>
      <x:c r="O78" s="32" t="str">
        <x:v>NOT RUN</x:v>
      </x:c>
      <x:c r="P78" s="32" t="str"/>
      <x:c r="Q78" s="32" t="str"/>
      <x:c r="R78" s="32" t="str"/>
      <x:c r="S78" s="32" t="str"/>
      <x:c r="T78" s="82" t="str"/>
      <x:c r="U78" s="32" t="str"/>
      <x:c r="V78" s="84" t="n">
        <x:v>1</x:v>
      </x:c>
      <x:c r="W78" s="84" t="n">
        <x:f>IF(OR($O78="PASS",$O78="EXCEPTION APPROVED",$O78="NOT APPLICABLE"),$V78,0)</x:f>
        <x:v>0</x:v>
      </x:c>
      <x:c r="X78" s="84" t="n">
        <x:f>IF(AND($K78="Yes",OR($O78="FAIL",$O78="BLOCKED",$O78="NOT RUN",$O78="IN PROGRESS")),1,0)</x:f>
        <x:v>1</x:v>
      </x:c>
      <x:c r="Y78" s="32" t="str">
        <x:f>IF($O78="FAIL","FAIL",IF($O78="BLOCKED","BLOCKED",IF(AND($O78="EXCEPTION APPROVED",$K78="Yes"),"REVIEW",IF($O78="PASS","OK","PENDING"))))</x:f>
        <x:v>PENDING</x:v>
      </x:c>
    </x:row>
    <x:row r="79">
      <x:c r="A79" s="32" t="str">
        <x:v>REL-PER-005</x:v>
      </x:c>
      <x:c r="B79" s="32" t="str">
        <x:v>Rendimiento y requisitos del sistema</x:v>
      </x:c>
      <x:c r="C79" s="32" t="str">
        <x:v>Release readiness</x:v>
      </x:c>
      <x:c r="D79" s="32" t="str">
        <x:v>No existe memory leak o degradación significativa en soak prolongado.</x:v>
      </x:c>
      <x:c r="E79" s="32" t="str">
        <x:v>Revisar, ejecutar y registrar evidencia reproducible.</x:v>
      </x:c>
      <x:c r="F79" s="32" t="str">
        <x:v>Cumplimiento verificable antes del gate indicado.</x:v>
      </x:c>
      <x:c r="G79" s="32" t="str">
        <x:v>Release soak report.</x:v>
      </x:c>
      <x:c r="H79" s="32" t="str">
        <x:v>30_Performance_and_Optimization_Plan.md; 24_Steam_Publishing_Plan.md</x:v>
      </x:c>
      <x:c r="I79" s="32" t="str">
        <x:v>Historical performance targets across TDD/VSS/Build/Art v0.3–v0.6</x:v>
      </x:c>
      <x:c r="J79" s="32" t="str">
        <x:v>Release</x:v>
      </x:c>
      <x:c r="K79" s="32" t="str">
        <x:v>Yes</x:v>
      </x:c>
      <x:c r="L79" s="32" t="str">
        <x:v>P1</x:v>
      </x:c>
      <x:c r="M79" s="32" t="str">
        <x:v>Engineering/QA</x:v>
      </x:c>
      <x:c r="N79" s="32" t="str">
        <x:v>Technical Direction/Marketing</x:v>
      </x:c>
      <x:c r="O79" s="32" t="str">
        <x:v>NOT RUN</x:v>
      </x:c>
      <x:c r="P79" s="32" t="str"/>
      <x:c r="Q79" s="32" t="str"/>
      <x:c r="R79" s="32" t="str"/>
      <x:c r="S79" s="32" t="str"/>
      <x:c r="T79" s="82" t="str"/>
      <x:c r="U79" s="32" t="str"/>
      <x:c r="V79" s="84" t="n">
        <x:v>1</x:v>
      </x:c>
      <x:c r="W79" s="84" t="n">
        <x:f>IF(OR($O79="PASS",$O79="EXCEPTION APPROVED",$O79="NOT APPLICABLE"),$V79,0)</x:f>
        <x:v>0</x:v>
      </x:c>
      <x:c r="X79" s="84" t="n">
        <x:f>IF(AND($K79="Yes",OR($O79="FAIL",$O79="BLOCKED",$O79="NOT RUN",$O79="IN PROGRESS")),1,0)</x:f>
        <x:v>1</x:v>
      </x:c>
      <x:c r="Y79" s="32" t="str">
        <x:f>IF($O79="FAIL","FAIL",IF($O79="BLOCKED","BLOCKED",IF(AND($O79="EXCEPTION APPROVED",$K79="Yes"),"REVIEW",IF($O79="PASS","OK","PENDING"))))</x:f>
        <x:v>PENDING</x:v>
      </x:c>
    </x:row>
    <x:row r="80">
      <x:c r="A80" s="32" t="str">
        <x:v>REL-PER-006</x:v>
      </x:c>
      <x:c r="B80" s="32" t="str">
        <x:v>Rendimiento y requisitos del sistema</x:v>
      </x:c>
      <x:c r="C80" s="32" t="str">
        <x:v>Release readiness</x:v>
      </x:c>
      <x:c r="D80" s="32" t="str">
        <x:v>La resolución, fullscreen/windowed, VSync y frame cap funcionan en monitores comunes.</x:v>
      </x:c>
      <x:c r="E80" s="32" t="str">
        <x:v>Revisar, ejecutar y registrar evidencia reproducible.</x:v>
      </x:c>
      <x:c r="F80" s="32" t="str">
        <x:v>Cumplimiento verificable antes del gate indicado.</x:v>
      </x:c>
      <x:c r="G80" s="32" t="str">
        <x:v>Display matrix.</x:v>
      </x:c>
      <x:c r="H80" s="32" t="str">
        <x:v>30_Performance_and_Optimization_Plan.md; 24_Steam_Publishing_Plan.md</x:v>
      </x:c>
      <x:c r="I80" s="32" t="str">
        <x:v>Historical performance targets across TDD/VSS/Build/Art v0.3–v0.6</x:v>
      </x:c>
      <x:c r="J80" s="32" t="str">
        <x:v>Release</x:v>
      </x:c>
      <x:c r="K80" s="32" t="str">
        <x:v>Yes</x:v>
      </x:c>
      <x:c r="L80" s="32" t="str">
        <x:v>P1</x:v>
      </x:c>
      <x:c r="M80" s="32" t="str">
        <x:v>Engineering/QA</x:v>
      </x:c>
      <x:c r="N80" s="32" t="str">
        <x:v>Technical Direction/Marketing</x:v>
      </x:c>
      <x:c r="O80" s="32" t="str">
        <x:v>NOT RUN</x:v>
      </x:c>
      <x:c r="P80" s="32" t="str"/>
      <x:c r="Q80" s="32" t="str"/>
      <x:c r="R80" s="32" t="str"/>
      <x:c r="S80" s="32" t="str"/>
      <x:c r="T80" s="82" t="str"/>
      <x:c r="U80" s="32" t="str"/>
      <x:c r="V80" s="84" t="n">
        <x:v>1</x:v>
      </x:c>
      <x:c r="W80" s="84" t="n">
        <x:f>IF(OR($O80="PASS",$O80="EXCEPTION APPROVED",$O80="NOT APPLICABLE"),$V80,0)</x:f>
        <x:v>0</x:v>
      </x:c>
      <x:c r="X80" s="84" t="n">
        <x:f>IF(AND($K80="Yes",OR($O80="FAIL",$O80="BLOCKED",$O80="NOT RUN",$O80="IN PROGRESS")),1,0)</x:f>
        <x:v>1</x:v>
      </x:c>
      <x:c r="Y80" s="32" t="str">
        <x:f>IF($O80="FAIL","FAIL",IF($O80="BLOCKED","BLOCKED",IF(AND($O80="EXCEPTION APPROVED",$K80="Yes"),"REVIEW",IF($O80="PASS","OK","PENDING"))))</x:f>
        <x:v>PENDING</x:v>
      </x:c>
    </x:row>
    <x:row r="81">
      <x:c r="A81" s="32" t="str">
        <x:v>REL-PER-007</x:v>
      </x:c>
      <x:c r="B81" s="32" t="str">
        <x:v>Rendimiento y requisitos del sistema</x:v>
      </x:c>
      <x:c r="C81" s="32" t="str">
        <x:v>Release readiness</x:v>
      </x:c>
      <x:c r="D81" s="32" t="str">
        <x:v>Alt-tab, cambio de foco, suspensión y reconexión de pantalla/audio son controlados.</x:v>
      </x:c>
      <x:c r="E81" s="32" t="str">
        <x:v>Revisar, ejecutar y registrar evidencia reproducible.</x:v>
      </x:c>
      <x:c r="F81" s="32" t="str">
        <x:v>Cumplimiento verificable antes del gate indicado.</x:v>
      </x:c>
      <x:c r="G81" s="32" t="str">
        <x:v>Desktop resilience tests.</x:v>
      </x:c>
      <x:c r="H81" s="32" t="str">
        <x:v>30_Performance_and_Optimization_Plan.md; 24_Steam_Publishing_Plan.md</x:v>
      </x:c>
      <x:c r="I81" s="32" t="str">
        <x:v>Historical performance targets across TDD/VSS/Build/Art v0.3–v0.6</x:v>
      </x:c>
      <x:c r="J81" s="32" t="str">
        <x:v>Release</x:v>
      </x:c>
      <x:c r="K81" s="32" t="str">
        <x:v>Yes</x:v>
      </x:c>
      <x:c r="L81" s="32" t="str">
        <x:v>P1</x:v>
      </x:c>
      <x:c r="M81" s="32" t="str">
        <x:v>Engineering/QA</x:v>
      </x:c>
      <x:c r="N81" s="32" t="str">
        <x:v>Technical Direction/Marketing</x:v>
      </x:c>
      <x:c r="O81" s="32" t="str">
        <x:v>NOT RUN</x:v>
      </x:c>
      <x:c r="P81" s="32" t="str"/>
      <x:c r="Q81" s="32" t="str"/>
      <x:c r="R81" s="32" t="str"/>
      <x:c r="S81" s="32" t="str"/>
      <x:c r="T81" s="82" t="str"/>
      <x:c r="U81" s="32" t="str"/>
      <x:c r="V81" s="84" t="n">
        <x:v>1</x:v>
      </x:c>
      <x:c r="W81" s="84" t="n">
        <x:f>IF(OR($O81="PASS",$O81="EXCEPTION APPROVED",$O81="NOT APPLICABLE"),$V81,0)</x:f>
        <x:v>0</x:v>
      </x:c>
      <x:c r="X81" s="84" t="n">
        <x:f>IF(AND($K81="Yes",OR($O81="FAIL",$O81="BLOCKED",$O81="NOT RUN",$O81="IN PROGRESS")),1,0)</x:f>
        <x:v>1</x:v>
      </x:c>
      <x:c r="Y81" s="32" t="str">
        <x:f>IF($O81="FAIL","FAIL",IF($O81="BLOCKED","BLOCKED",IF(AND($O81="EXCEPTION APPROVED",$K81="Yes"),"REVIEW",IF($O81="PASS","OK","PENDING"))))</x:f>
        <x:v>PENDING</x:v>
      </x:c>
    </x:row>
    <x:row r="82">
      <x:c r="A82" s="32" t="str">
        <x:v>REL-PER-008</x:v>
      </x:c>
      <x:c r="B82" s="32" t="str">
        <x:v>Rendimiento y requisitos del sistema</x:v>
      </x:c>
      <x:c r="C82" s="32" t="str">
        <x:v>Release readiness</x:v>
      </x:c>
      <x:c r="D82" s="32" t="str">
        <x:v>La RC no depende de overlays/profilers o Development Build.</x:v>
      </x:c>
      <x:c r="E82" s="32" t="str">
        <x:v>Revisar, ejecutar y registrar evidencia reproducible.</x:v>
      </x:c>
      <x:c r="F82" s="32" t="str">
        <x:v>Cumplimiento verificable antes del gate indicado.</x:v>
      </x:c>
      <x:c r="G82" s="32" t="str">
        <x:v>Release configuration audit.</x:v>
      </x:c>
      <x:c r="H82" s="32" t="str">
        <x:v>30_Performance_and_Optimization_Plan.md; 24_Steam_Publishing_Plan.md</x:v>
      </x:c>
      <x:c r="I82" s="32" t="str">
        <x:v>Historical performance targets across TDD/VSS/Build/Art v0.3–v0.6</x:v>
      </x:c>
      <x:c r="J82" s="32" t="str">
        <x:v>Release</x:v>
      </x:c>
      <x:c r="K82" s="32" t="str">
        <x:v>Yes</x:v>
      </x:c>
      <x:c r="L82" s="32" t="str">
        <x:v>P1</x:v>
      </x:c>
      <x:c r="M82" s="32" t="str">
        <x:v>Engineering/QA</x:v>
      </x:c>
      <x:c r="N82" s="32" t="str">
        <x:v>Technical Direction/Marketing</x:v>
      </x:c>
      <x:c r="O82" s="32" t="str">
        <x:v>NOT RUN</x:v>
      </x:c>
      <x:c r="P82" s="32" t="str"/>
      <x:c r="Q82" s="32" t="str"/>
      <x:c r="R82" s="32" t="str"/>
      <x:c r="S82" s="32" t="str"/>
      <x:c r="T82" s="82" t="str"/>
      <x:c r="U82" s="32" t="str"/>
      <x:c r="V82" s="84" t="n">
        <x:v>1</x:v>
      </x:c>
      <x:c r="W82" s="84" t="n">
        <x:f>IF(OR($O82="PASS",$O82="EXCEPTION APPROVED",$O82="NOT APPLICABLE"),$V82,0)</x:f>
        <x:v>0</x:v>
      </x:c>
      <x:c r="X82" s="84" t="n">
        <x:f>IF(AND($K82="Yes",OR($O82="FAIL",$O82="BLOCKED",$O82="NOT RUN",$O82="IN PROGRESS")),1,0)</x:f>
        <x:v>1</x:v>
      </x:c>
      <x:c r="Y82" s="32" t="str">
        <x:f>IF($O82="FAIL","FAIL",IF($O82="BLOCKED","BLOCKED",IF(AND($O82="EXCEPTION APPROVED",$K82="Yes"),"REVIEW",IF($O82="PASS","OK","PENDING"))))</x:f>
        <x:v>PENDING</x:v>
      </x:c>
    </x:row>
    <x:row r="83">
      <x:c r="A83" s="32" t="str">
        <x:v>REL-PER-009</x:v>
      </x:c>
      <x:c r="B83" s="32" t="str">
        <x:v>Rendimiento y requisitos del sistema</x:v>
      </x:c>
      <x:c r="C83" s="32" t="str">
        <x:v>Release readiness</x:v>
      </x:c>
      <x:c r="D83" s="32" t="str">
        <x:v>El tamaño del paquete y uso en disco están medidos y comunicados.</x:v>
      </x:c>
      <x:c r="E83" s="32" t="str">
        <x:v>Revisar, ejecutar y registrar evidencia reproducible.</x:v>
      </x:c>
      <x:c r="F83" s="32" t="str">
        <x:v>Cumplimiento verificable antes del gate indicado.</x:v>
      </x:c>
      <x:c r="G83" s="32" t="str">
        <x:v>Package size report.</x:v>
      </x:c>
      <x:c r="H83" s="32" t="str">
        <x:v>30_Performance_and_Optimization_Plan.md; 24_Steam_Publishing_Plan.md</x:v>
      </x:c>
      <x:c r="I83" s="32" t="str">
        <x:v>Historical performance targets across TDD/VSS/Build/Art v0.3–v0.6</x:v>
      </x:c>
      <x:c r="J83" s="32" t="str">
        <x:v>Release</x:v>
      </x:c>
      <x:c r="K83" s="32" t="str">
        <x:v>Yes</x:v>
      </x:c>
      <x:c r="L83" s="32" t="str">
        <x:v>P1</x:v>
      </x:c>
      <x:c r="M83" s="32" t="str">
        <x:v>Engineering/QA</x:v>
      </x:c>
      <x:c r="N83" s="32" t="str">
        <x:v>Technical Direction/Marketing</x:v>
      </x:c>
      <x:c r="O83" s="32" t="str">
        <x:v>NOT RUN</x:v>
      </x:c>
      <x:c r="P83" s="32" t="str"/>
      <x:c r="Q83" s="32" t="str"/>
      <x:c r="R83" s="32" t="str"/>
      <x:c r="S83" s="32" t="str"/>
      <x:c r="T83" s="82" t="str"/>
      <x:c r="U83" s="32" t="str"/>
      <x:c r="V83" s="84" t="n">
        <x:v>1</x:v>
      </x:c>
      <x:c r="W83" s="84" t="n">
        <x:f>IF(OR($O83="PASS",$O83="EXCEPTION APPROVED",$O83="NOT APPLICABLE"),$V83,0)</x:f>
        <x:v>0</x:v>
      </x:c>
      <x:c r="X83" s="84" t="n">
        <x:f>IF(AND($K83="Yes",OR($O83="FAIL",$O83="BLOCKED",$O83="NOT RUN",$O83="IN PROGRESS")),1,0)</x:f>
        <x:v>1</x:v>
      </x:c>
      <x:c r="Y83" s="32" t="str">
        <x:f>IF($O83="FAIL","FAIL",IF($O83="BLOCKED","BLOCKED",IF(AND($O83="EXCEPTION APPROVED",$K83="Yes"),"REVIEW",IF($O83="PASS","OK","PENDING"))))</x:f>
        <x:v>PENDING</x:v>
      </x:c>
    </x:row>
    <x:row r="84">
      <x:c r="A84" s="32" t="str">
        <x:v>REL-PER-010</x:v>
      </x:c>
      <x:c r="B84" s="32" t="str">
        <x:v>Rendimiento y requisitos del sistema</x:v>
      </x:c>
      <x:c r="C84" s="32" t="str">
        <x:v>Release readiness</x:v>
      </x:c>
      <x:c r="D84" s="32" t="str">
        <x:v>Los picos de CPU/GPU/memoria de primera carga y shaders están caracterizados.</x:v>
      </x:c>
      <x:c r="E84" s="32" t="str">
        <x:v>Revisar, ejecutar y registrar evidencia reproducible.</x:v>
      </x:c>
      <x:c r="F84" s="32" t="str">
        <x:v>Cumplimiento verificable antes del gate indicado.</x:v>
      </x:c>
      <x:c r="G84" s="32" t="str">
        <x:v>Startup/shader report.</x:v>
      </x:c>
      <x:c r="H84" s="32" t="str">
        <x:v>30_Performance_and_Optimization_Plan.md; 24_Steam_Publishing_Plan.md</x:v>
      </x:c>
      <x:c r="I84" s="32" t="str">
        <x:v>Historical performance targets across TDD/VSS/Build/Art v0.3–v0.6</x:v>
      </x:c>
      <x:c r="J84" s="32" t="str">
        <x:v>Release</x:v>
      </x:c>
      <x:c r="K84" s="32" t="str">
        <x:v>Yes</x:v>
      </x:c>
      <x:c r="L84" s="32" t="str">
        <x:v>P1</x:v>
      </x:c>
      <x:c r="M84" s="32" t="str">
        <x:v>Engineering/QA</x:v>
      </x:c>
      <x:c r="N84" s="32" t="str">
        <x:v>Technical Direction/Marketing</x:v>
      </x:c>
      <x:c r="O84" s="32" t="str">
        <x:v>NOT RUN</x:v>
      </x:c>
      <x:c r="P84" s="32" t="str"/>
      <x:c r="Q84" s="32" t="str"/>
      <x:c r="R84" s="32" t="str"/>
      <x:c r="S84" s="32" t="str"/>
      <x:c r="T84" s="82" t="str"/>
      <x:c r="U84" s="32" t="str"/>
      <x:c r="V84" s="84" t="n">
        <x:v>1</x:v>
      </x:c>
      <x:c r="W84" s="84" t="n">
        <x:f>IF(OR($O84="PASS",$O84="EXCEPTION APPROVED",$O84="NOT APPLICABLE"),$V84,0)</x:f>
        <x:v>0</x:v>
      </x:c>
      <x:c r="X84" s="84" t="n">
        <x:f>IF(AND($K84="Yes",OR($O84="FAIL",$O84="BLOCKED",$O84="NOT RUN",$O84="IN PROGRESS")),1,0)</x:f>
        <x:v>1</x:v>
      </x:c>
      <x:c r="Y84" s="32" t="str">
        <x:f>IF($O84="FAIL","FAIL",IF($O84="BLOCKED","BLOCKED",IF(AND($O84="EXCEPTION APPROVED",$K84="Yes"),"REVIEW",IF($O84="PASS","OK","PENDING"))))</x:f>
        <x:v>PENDING</x:v>
      </x:c>
    </x:row>
    <x:row r="85">
      <x:c r="A85" s="32" t="str">
        <x:v>REL-PER-011</x:v>
      </x:c>
      <x:c r="B85" s="32" t="str">
        <x:v>Rendimiento y requisitos del sistema</x:v>
      </x:c>
      <x:c r="C85" s="32" t="str">
        <x:v>Release readiness</x:v>
      </x:c>
      <x:c r="D85" s="32" t="str">
        <x:v>Los problemas conocidos de drivers/hardware tienen mitigación o documentación.</x:v>
      </x:c>
      <x:c r="E85" s="32" t="str">
        <x:v>Revisar, ejecutar y registrar evidencia reproducible.</x:v>
      </x:c>
      <x:c r="F85" s="32" t="str">
        <x:v>Cumplimiento verificable antes del gate indicado.</x:v>
      </x:c>
      <x:c r="G85" s="32" t="str">
        <x:v>Compatibility known issues.</x:v>
      </x:c>
      <x:c r="H85" s="32" t="str">
        <x:v>30_Performance_and_Optimization_Plan.md; 24_Steam_Publishing_Plan.md</x:v>
      </x:c>
      <x:c r="I85" s="32" t="str">
        <x:v>Historical performance targets across TDD/VSS/Build/Art v0.3–v0.6</x:v>
      </x:c>
      <x:c r="J85" s="32" t="str">
        <x:v>Release</x:v>
      </x:c>
      <x:c r="K85" s="32" t="str">
        <x:v>Yes</x:v>
      </x:c>
      <x:c r="L85" s="32" t="str">
        <x:v>P1</x:v>
      </x:c>
      <x:c r="M85" s="32" t="str">
        <x:v>Engineering/QA</x:v>
      </x:c>
      <x:c r="N85" s="32" t="str">
        <x:v>Technical Direction/Marketing</x:v>
      </x:c>
      <x:c r="O85" s="32" t="str">
        <x:v>NOT RUN</x:v>
      </x:c>
      <x:c r="P85" s="32" t="str"/>
      <x:c r="Q85" s="32" t="str"/>
      <x:c r="R85" s="32" t="str"/>
      <x:c r="S85" s="32" t="str"/>
      <x:c r="T85" s="82" t="str"/>
      <x:c r="U85" s="32" t="str"/>
      <x:c r="V85" s="84" t="n">
        <x:v>1</x:v>
      </x:c>
      <x:c r="W85" s="84" t="n">
        <x:f>IF(OR($O85="PASS",$O85="EXCEPTION APPROVED",$O85="NOT APPLICABLE"),$V85,0)</x:f>
        <x:v>0</x:v>
      </x:c>
      <x:c r="X85" s="84" t="n">
        <x:f>IF(AND($K85="Yes",OR($O85="FAIL",$O85="BLOCKED",$O85="NOT RUN",$O85="IN PROGRESS")),1,0)</x:f>
        <x:v>1</x:v>
      </x:c>
      <x:c r="Y85" s="32" t="str">
        <x:f>IF($O85="FAIL","FAIL",IF($O85="BLOCKED","BLOCKED",IF(AND($O85="EXCEPTION APPROVED",$K85="Yes"),"REVIEW",IF($O85="PASS","OK","PENDING"))))</x:f>
        <x:v>PENDING</x:v>
      </x:c>
    </x:row>
    <x:row r="86">
      <x:c r="A86" s="32" t="str">
        <x:v>REL-PER-012</x:v>
      </x:c>
      <x:c r="B86" s="32" t="str">
        <x:v>Rendimiento y requisitos del sistema</x:v>
      </x:c>
      <x:c r="C86" s="32" t="str">
        <x:v>Release readiness</x:v>
      </x:c>
      <x:c r="D86" s="32" t="str">
        <x:v>Las métricas publicadas o usadas en marketing coinciden con pruebas aprobadas.</x:v>
      </x:c>
      <x:c r="E86" s="32" t="str">
        <x:v>Revisar, ejecutar y registrar evidencia reproducible.</x:v>
      </x:c>
      <x:c r="F86" s="32" t="str">
        <x:v>Cumplimiento verificable antes del gate indicado.</x:v>
      </x:c>
      <x:c r="G86" s="32" t="str">
        <x:v>Performance claims approval.</x:v>
      </x:c>
      <x:c r="H86" s="32" t="str">
        <x:v>30_Performance_and_Optimization_Plan.md; 24_Steam_Publishing_Plan.md</x:v>
      </x:c>
      <x:c r="I86" s="32" t="str">
        <x:v>Historical performance targets across TDD/VSS/Build/Art v0.3–v0.6</x:v>
      </x:c>
      <x:c r="J86" s="32" t="str">
        <x:v>Release</x:v>
      </x:c>
      <x:c r="K86" s="32" t="str">
        <x:v>Yes</x:v>
      </x:c>
      <x:c r="L86" s="32" t="str">
        <x:v>P1</x:v>
      </x:c>
      <x:c r="M86" s="32" t="str">
        <x:v>Engineering/QA</x:v>
      </x:c>
      <x:c r="N86" s="32" t="str">
        <x:v>Technical Direction/Marketing</x:v>
      </x:c>
      <x:c r="O86" s="32" t="str">
        <x:v>NOT RUN</x:v>
      </x:c>
      <x:c r="P86" s="32" t="str"/>
      <x:c r="Q86" s="32" t="str"/>
      <x:c r="R86" s="32" t="str"/>
      <x:c r="S86" s="32" t="str"/>
      <x:c r="T86" s="82" t="str"/>
      <x:c r="U86" s="32" t="str"/>
      <x:c r="V86" s="84" t="n">
        <x:v>1</x:v>
      </x:c>
      <x:c r="W86" s="84" t="n">
        <x:f>IF(OR($O86="PASS",$O86="EXCEPTION APPROVED",$O86="NOT APPLICABLE"),$V86,0)</x:f>
        <x:v>0</x:v>
      </x:c>
      <x:c r="X86" s="84" t="n">
        <x:f>IF(AND($K86="Yes",OR($O86="FAIL",$O86="BLOCKED",$O86="NOT RUN",$O86="IN PROGRESS")),1,0)</x:f>
        <x:v>1</x:v>
      </x:c>
      <x:c r="Y86" s="32" t="str">
        <x:f>IF($O86="FAIL","FAIL",IF($O86="BLOCKED","BLOCKED",IF(AND($O86="EXCEPTION APPROVED",$K86="Yes"),"REVIEW",IF($O86="PASS","OK","PENDING"))))</x:f>
        <x:v>PENDING</x:v>
      </x:c>
    </x:row>
    <x:row r="87">
      <x:c r="A87" s="32" t="str">
        <x:v>REL-ACC-001</x:v>
      </x:c>
      <x:c r="B87" s="32" t="str">
        <x:v>Accesibilidad e inclusión</x:v>
      </x:c>
      <x:c r="C87" s="32" t="str">
        <x:v>Release readiness</x:v>
      </x:c>
      <x:c r="D87" s="32" t="str">
        <x:v>Las opciones de accesibilidad incluidas están funcionales en RC y persisten.</x:v>
      </x:c>
      <x:c r="E87" s="32" t="str">
        <x:v>Revisar, ejecutar y registrar evidencia reproducible.</x:v>
      </x:c>
      <x:c r="F87" s="32" t="str">
        <x:v>Cumplimiento verificable antes del gate indicado.</x:v>
      </x:c>
      <x:c r="G87" s="32" t="str">
        <x:v>Accessibility regression report.</x:v>
      </x:c>
      <x:c r="H87" s="32" t="str">
        <x:v>29_Accessibility_and_Inclusive_Design_Plan.md; 24_Steam_Publishing_Plan.md</x:v>
      </x:c>
      <x:c r="I87" s="32" t="str">
        <x:v>Accessibility requirements historically distributed across UX/UI/QA/Localization v0.3–v0.6</x:v>
      </x:c>
      <x:c r="J87" s="32" t="str">
        <x:v>Release</x:v>
      </x:c>
      <x:c r="K87" s="32" t="str">
        <x:v>Yes</x:v>
      </x:c>
      <x:c r="L87" s="32" t="str">
        <x:v>P1</x:v>
      </x:c>
      <x:c r="M87" s="32" t="str">
        <x:v>Accessibility/UX</x:v>
      </x:c>
      <x:c r="N87" s="32" t="str">
        <x:v>QA/Marketing</x:v>
      </x:c>
      <x:c r="O87" s="32" t="str">
        <x:v>NOT RUN</x:v>
      </x:c>
      <x:c r="P87" s="32" t="str"/>
      <x:c r="Q87" s="32" t="str"/>
      <x:c r="R87" s="32" t="str"/>
      <x:c r="S87" s="32" t="str"/>
      <x:c r="T87" s="82" t="str"/>
      <x:c r="U87" s="32" t="str"/>
      <x:c r="V87" s="84" t="n">
        <x:v>1</x:v>
      </x:c>
      <x:c r="W87" s="84" t="n">
        <x:f>IF(OR($O87="PASS",$O87="EXCEPTION APPROVED",$O87="NOT APPLICABLE"),$V87,0)</x:f>
        <x:v>0</x:v>
      </x:c>
      <x:c r="X87" s="84" t="n">
        <x:f>IF(AND($K87="Yes",OR($O87="FAIL",$O87="BLOCKED",$O87="NOT RUN",$O87="IN PROGRESS")),1,0)</x:f>
        <x:v>1</x:v>
      </x:c>
      <x:c r="Y87" s="32" t="str">
        <x:f>IF($O87="FAIL","FAIL",IF($O87="BLOCKED","BLOCKED",IF(AND($O87="EXCEPTION APPROVED",$K87="Yes"),"REVIEW",IF($O87="PASS","OK","PENDING"))))</x:f>
        <x:v>PENDING</x:v>
      </x:c>
    </x:row>
    <x:row r="88">
      <x:c r="A88" s="32" t="str">
        <x:v>REL-ACC-002</x:v>
      </x:c>
      <x:c r="B88" s="32" t="str">
        <x:v>Accesibilidad e inclusión</x:v>
      </x:c>
      <x:c r="C88" s="32" t="str">
        <x:v>Release readiness</x:v>
      </x:c>
      <x:c r="D88" s="32" t="str">
        <x:v>La navegación por dispositivos declarados cubre menús, gameplay y recuperación de errores.</x:v>
      </x:c>
      <x:c r="E88" s="32" t="str">
        <x:v>Revisar, ejecutar y registrar evidencia reproducible.</x:v>
      </x:c>
      <x:c r="F88" s="32" t="str">
        <x:v>Cumplimiento verificable antes del gate indicado.</x:v>
      </x:c>
      <x:c r="G88" s="32" t="str">
        <x:v>Input accessibility matrix.</x:v>
      </x:c>
      <x:c r="H88" s="32" t="str">
        <x:v>29_Accessibility_and_Inclusive_Design_Plan.md; 24_Steam_Publishing_Plan.md</x:v>
      </x:c>
      <x:c r="I88" s="32" t="str">
        <x:v>Accessibility requirements historically distributed across UX/UI/QA/Localization v0.3–v0.6</x:v>
      </x:c>
      <x:c r="J88" s="32" t="str">
        <x:v>Release</x:v>
      </x:c>
      <x:c r="K88" s="32" t="str">
        <x:v>Yes</x:v>
      </x:c>
      <x:c r="L88" s="32" t="str">
        <x:v>P1</x:v>
      </x:c>
      <x:c r="M88" s="32" t="str">
        <x:v>Accessibility/UX</x:v>
      </x:c>
      <x:c r="N88" s="32" t="str">
        <x:v>QA/Marketing</x:v>
      </x:c>
      <x:c r="O88" s="32" t="str">
        <x:v>NOT RUN</x:v>
      </x:c>
      <x:c r="P88" s="32" t="str"/>
      <x:c r="Q88" s="32" t="str"/>
      <x:c r="R88" s="32" t="str"/>
      <x:c r="S88" s="32" t="str"/>
      <x:c r="T88" s="82" t="str"/>
      <x:c r="U88" s="32" t="str"/>
      <x:c r="V88" s="84" t="n">
        <x:v>1</x:v>
      </x:c>
      <x:c r="W88" s="84" t="n">
        <x:f>IF(OR($O88="PASS",$O88="EXCEPTION APPROVED",$O88="NOT APPLICABLE"),$V88,0)</x:f>
        <x:v>0</x:v>
      </x:c>
      <x:c r="X88" s="84" t="n">
        <x:f>IF(AND($K88="Yes",OR($O88="FAIL",$O88="BLOCKED",$O88="NOT RUN",$O88="IN PROGRESS")),1,0)</x:f>
        <x:v>1</x:v>
      </x:c>
      <x:c r="Y88" s="32" t="str">
        <x:f>IF($O88="FAIL","FAIL",IF($O88="BLOCKED","BLOCKED",IF(AND($O88="EXCEPTION APPROVED",$K88="Yes"),"REVIEW",IF($O88="PASS","OK","PENDING"))))</x:f>
        <x:v>PENDING</x:v>
      </x:c>
    </x:row>
    <x:row r="89">
      <x:c r="A89" s="32" t="str">
        <x:v>REL-ACC-003</x:v>
      </x:c>
      <x:c r="B89" s="32" t="str">
        <x:v>Accesibilidad e inclusión</x:v>
      </x:c>
      <x:c r="C89" s="32" t="str">
        <x:v>Release readiness</x:v>
      </x:c>
      <x:c r="D89" s="32" t="str">
        <x:v>Escala de UI/texto funciona en idiomas y resoluciones soportadas.</x:v>
      </x:c>
      <x:c r="E89" s="32" t="str">
        <x:v>Revisar, ejecutar y registrar evidencia reproducible.</x:v>
      </x:c>
      <x:c r="F89" s="32" t="str">
        <x:v>Cumplimiento verificable antes del gate indicado.</x:v>
      </x:c>
      <x:c r="G89" s="32" t="str">
        <x:v>Scaling matrix.</x:v>
      </x:c>
      <x:c r="H89" s="32" t="str">
        <x:v>29_Accessibility_and_Inclusive_Design_Plan.md; 24_Steam_Publishing_Plan.md</x:v>
      </x:c>
      <x:c r="I89" s="32" t="str">
        <x:v>Accessibility requirements historically distributed across UX/UI/QA/Localization v0.3–v0.6</x:v>
      </x:c>
      <x:c r="J89" s="32" t="str">
        <x:v>Release</x:v>
      </x:c>
      <x:c r="K89" s="32" t="str">
        <x:v>Yes</x:v>
      </x:c>
      <x:c r="L89" s="32" t="str">
        <x:v>P1</x:v>
      </x:c>
      <x:c r="M89" s="32" t="str">
        <x:v>Accessibility/UX</x:v>
      </x:c>
      <x:c r="N89" s="32" t="str">
        <x:v>QA/Marketing</x:v>
      </x:c>
      <x:c r="O89" s="32" t="str">
        <x:v>NOT RUN</x:v>
      </x:c>
      <x:c r="P89" s="32" t="str"/>
      <x:c r="Q89" s="32" t="str"/>
      <x:c r="R89" s="32" t="str"/>
      <x:c r="S89" s="32" t="str"/>
      <x:c r="T89" s="82" t="str"/>
      <x:c r="U89" s="32" t="str"/>
      <x:c r="V89" s="84" t="n">
        <x:v>1</x:v>
      </x:c>
      <x:c r="W89" s="84" t="n">
        <x:f>IF(OR($O89="PASS",$O89="EXCEPTION APPROVED",$O89="NOT APPLICABLE"),$V89,0)</x:f>
        <x:v>0</x:v>
      </x:c>
      <x:c r="X89" s="84" t="n">
        <x:f>IF(AND($K89="Yes",OR($O89="FAIL",$O89="BLOCKED",$O89="NOT RUN",$O89="IN PROGRESS")),1,0)</x:f>
        <x:v>1</x:v>
      </x:c>
      <x:c r="Y89" s="32" t="str">
        <x:f>IF($O89="FAIL","FAIL",IF($O89="BLOCKED","BLOCKED",IF(AND($O89="EXCEPTION APPROVED",$K89="Yes"),"REVIEW",IF($O89="PASS","OK","PENDING"))))</x:f>
        <x:v>PENDING</x:v>
      </x:c>
    </x:row>
    <x:row r="90">
      <x:c r="A90" s="32" t="str">
        <x:v>REL-ACC-004</x:v>
      </x:c>
      <x:c r="B90" s="32" t="str">
        <x:v>Accesibilidad e inclusión</x:v>
      </x:c>
      <x:c r="C90" s="32" t="str">
        <x:v>Release readiness</x:v>
      </x:c>
      <x:c r="D90" s="32" t="str">
        <x:v>Reduce motion se consume en todas las superficies declaradas.</x:v>
      </x:c>
      <x:c r="E90" s="32" t="str">
        <x:v>Revisar, ejecutar y registrar evidencia reproducible.</x:v>
      </x:c>
      <x:c r="F90" s="32" t="str">
        <x:v>Cumplimiento verificable antes del gate indicado.</x:v>
      </x:c>
      <x:c r="G90" s="32" t="str">
        <x:v>Motion audit.</x:v>
      </x:c>
      <x:c r="H90" s="32" t="str">
        <x:v>29_Accessibility_and_Inclusive_Design_Plan.md; 24_Steam_Publishing_Plan.md</x:v>
      </x:c>
      <x:c r="I90" s="32" t="str">
        <x:v>Accessibility requirements historically distributed across UX/UI/QA/Localization v0.3–v0.6</x:v>
      </x:c>
      <x:c r="J90" s="32" t="str">
        <x:v>Release</x:v>
      </x:c>
      <x:c r="K90" s="32" t="str">
        <x:v>Yes</x:v>
      </x:c>
      <x:c r="L90" s="32" t="str">
        <x:v>P1</x:v>
      </x:c>
      <x:c r="M90" s="32" t="str">
        <x:v>Accessibility/UX</x:v>
      </x:c>
      <x:c r="N90" s="32" t="str">
        <x:v>QA/Marketing</x:v>
      </x:c>
      <x:c r="O90" s="32" t="str">
        <x:v>NOT RUN</x:v>
      </x:c>
      <x:c r="P90" s="32" t="str"/>
      <x:c r="Q90" s="32" t="str"/>
      <x:c r="R90" s="32" t="str"/>
      <x:c r="S90" s="32" t="str"/>
      <x:c r="T90" s="82" t="str"/>
      <x:c r="U90" s="32" t="str"/>
      <x:c r="V90" s="84" t="n">
        <x:v>1</x:v>
      </x:c>
      <x:c r="W90" s="84" t="n">
        <x:f>IF(OR($O90="PASS",$O90="EXCEPTION APPROVED",$O90="NOT APPLICABLE"),$V90,0)</x:f>
        <x:v>0</x:v>
      </x:c>
      <x:c r="X90" s="84" t="n">
        <x:f>IF(AND($K90="Yes",OR($O90="FAIL",$O90="BLOCKED",$O90="NOT RUN",$O90="IN PROGRESS")),1,0)</x:f>
        <x:v>1</x:v>
      </x:c>
      <x:c r="Y90" s="32" t="str">
        <x:f>IF($O90="FAIL","FAIL",IF($O90="BLOCKED","BLOCKED",IF(AND($O90="EXCEPTION APPROVED",$K90="Yes"),"REVIEW",IF($O90="PASS","OK","PENDING"))))</x:f>
        <x:v>PENDING</x:v>
      </x:c>
    </x:row>
    <x:row r="91">
      <x:c r="A91" s="32" t="str">
        <x:v>REL-ACC-005</x:v>
      </x:c>
      <x:c r="B91" s="32" t="str">
        <x:v>Accesibilidad e inclusión</x:v>
      </x:c>
      <x:c r="C91" s="32" t="str">
        <x:v>Release readiness</x:v>
      </x:c>
      <x:c r="D91" s="32" t="str">
        <x:v>Color no es el único canal para información o acción crítica.</x:v>
      </x:c>
      <x:c r="E91" s="32" t="str">
        <x:v>Revisar, ejecutar y registrar evidencia reproducible.</x:v>
      </x:c>
      <x:c r="F91" s="32" t="str">
        <x:v>Cumplimiento verificable antes del gate indicado.</x:v>
      </x:c>
      <x:c r="G91" s="32" t="str">
        <x:v>Redundancy audit.</x:v>
      </x:c>
      <x:c r="H91" s="32" t="str">
        <x:v>29_Accessibility_and_Inclusive_Design_Plan.md; 24_Steam_Publishing_Plan.md</x:v>
      </x:c>
      <x:c r="I91" s="32" t="str">
        <x:v>Accessibility requirements historically distributed across UX/UI/QA/Localization v0.3–v0.6</x:v>
      </x:c>
      <x:c r="J91" s="32" t="str">
        <x:v>Release</x:v>
      </x:c>
      <x:c r="K91" s="32" t="str">
        <x:v>Yes</x:v>
      </x:c>
      <x:c r="L91" s="32" t="str">
        <x:v>P1</x:v>
      </x:c>
      <x:c r="M91" s="32" t="str">
        <x:v>Accessibility/UX</x:v>
      </x:c>
      <x:c r="N91" s="32" t="str">
        <x:v>QA/Marketing</x:v>
      </x:c>
      <x:c r="O91" s="32" t="str">
        <x:v>NOT RUN</x:v>
      </x:c>
      <x:c r="P91" s="32" t="str"/>
      <x:c r="Q91" s="32" t="str"/>
      <x:c r="R91" s="32" t="str"/>
      <x:c r="S91" s="32" t="str"/>
      <x:c r="T91" s="82" t="str"/>
      <x:c r="U91" s="32" t="str"/>
      <x:c r="V91" s="84" t="n">
        <x:v>1</x:v>
      </x:c>
      <x:c r="W91" s="84" t="n">
        <x:f>IF(OR($O91="PASS",$O91="EXCEPTION APPROVED",$O91="NOT APPLICABLE"),$V91,0)</x:f>
        <x:v>0</x:v>
      </x:c>
      <x:c r="X91" s="84" t="n">
        <x:f>IF(AND($K91="Yes",OR($O91="FAIL",$O91="BLOCKED",$O91="NOT RUN",$O91="IN PROGRESS")),1,0)</x:f>
        <x:v>1</x:v>
      </x:c>
      <x:c r="Y91" s="32" t="str">
        <x:f>IF($O91="FAIL","FAIL",IF($O91="BLOCKED","BLOCKED",IF(AND($O91="EXCEPTION APPROVED",$K91="Yes"),"REVIEW",IF($O91="PASS","OK","PENDING"))))</x:f>
        <x:v>PENDING</x:v>
      </x:c>
    </x:row>
    <x:row r="92">
      <x:c r="A92" s="32" t="str">
        <x:v>REL-ACC-006</x:v>
      </x:c>
      <x:c r="B92" s="32" t="str">
        <x:v>Accesibilidad e inclusión</x:v>
      </x:c>
      <x:c r="C92" s="32" t="str">
        <x:v>Release readiness</x:v>
      </x:c>
      <x:c r="D92" s="32" t="str">
        <x:v>Los subtítulos/captions, si se declaran, cubren contenido relevante y tienen opciones necesarias.</x:v>
      </x:c>
      <x:c r="E92" s="32" t="str">
        <x:v>Revisar, ejecutar y registrar evidencia reproducible.</x:v>
      </x:c>
      <x:c r="F92" s="32" t="str">
        <x:v>Cumplimiento verificable antes del gate indicado.</x:v>
      </x:c>
      <x:c r="G92" s="32" t="str">
        <x:v>Subtitle/caption QA.</x:v>
      </x:c>
      <x:c r="H92" s="32" t="str">
        <x:v>29_Accessibility_and_Inclusive_Design_Plan.md; 24_Steam_Publishing_Plan.md</x:v>
      </x:c>
      <x:c r="I92" s="32" t="str">
        <x:v>Accessibility requirements historically distributed across UX/UI/QA/Localization v0.3–v0.6</x:v>
      </x:c>
      <x:c r="J92" s="32" t="str">
        <x:v>Release</x:v>
      </x:c>
      <x:c r="K92" s="32" t="str">
        <x:v>Yes</x:v>
      </x:c>
      <x:c r="L92" s="32" t="str">
        <x:v>P1</x:v>
      </x:c>
      <x:c r="M92" s="32" t="str">
        <x:v>Accessibility/UX</x:v>
      </x:c>
      <x:c r="N92" s="32" t="str">
        <x:v>QA/Marketing</x:v>
      </x:c>
      <x:c r="O92" s="32" t="str">
        <x:v>NOT RUN</x:v>
      </x:c>
      <x:c r="P92" s="32" t="str"/>
      <x:c r="Q92" s="32" t="str"/>
      <x:c r="R92" s="32" t="str"/>
      <x:c r="S92" s="32" t="str"/>
      <x:c r="T92" s="82" t="str"/>
      <x:c r="U92" s="32" t="str"/>
      <x:c r="V92" s="84" t="n">
        <x:v>1</x:v>
      </x:c>
      <x:c r="W92" s="84" t="n">
        <x:f>IF(OR($O92="PASS",$O92="EXCEPTION APPROVED",$O92="NOT APPLICABLE"),$V92,0)</x:f>
        <x:v>0</x:v>
      </x:c>
      <x:c r="X92" s="84" t="n">
        <x:f>IF(AND($K92="Yes",OR($O92="FAIL",$O92="BLOCKED",$O92="NOT RUN",$O92="IN PROGRESS")),1,0)</x:f>
        <x:v>1</x:v>
      </x:c>
      <x:c r="Y92" s="32" t="str">
        <x:f>IF($O92="FAIL","FAIL",IF($O92="BLOCKED","BLOCKED",IF(AND($O92="EXCEPTION APPROVED",$K92="Yes"),"REVIEW",IF($O92="PASS","OK","PENDING"))))</x:f>
        <x:v>PENDING</x:v>
      </x:c>
    </x:row>
    <x:row r="93">
      <x:c r="A93" s="32" t="str">
        <x:v>REL-ACC-007</x:v>
      </x:c>
      <x:c r="B93" s="32" t="str">
        <x:v>Accesibilidad e inclusión</x:v>
      </x:c>
      <x:c r="C93" s="32" t="str">
        <x:v>Release readiness</x:v>
      </x:c>
      <x:c r="D93" s="32" t="str">
        <x:v>El remapeo, si se declara, cubre conflictos, defaults, guardado y recuperación.</x:v>
      </x:c>
      <x:c r="E93" s="32" t="str">
        <x:v>Revisar, ejecutar y registrar evidencia reproducible.</x:v>
      </x:c>
      <x:c r="F93" s="32" t="str">
        <x:v>Cumplimiento verificable antes del gate indicado.</x:v>
      </x:c>
      <x:c r="G93" s="32" t="str">
        <x:v>Remapping QA.</x:v>
      </x:c>
      <x:c r="H93" s="32" t="str">
        <x:v>29_Accessibility_and_Inclusive_Design_Plan.md; 24_Steam_Publishing_Plan.md</x:v>
      </x:c>
      <x:c r="I93" s="32" t="str">
        <x:v>Accessibility requirements historically distributed across UX/UI/QA/Localization v0.3–v0.6</x:v>
      </x:c>
      <x:c r="J93" s="32" t="str">
        <x:v>Release</x:v>
      </x:c>
      <x:c r="K93" s="32" t="str">
        <x:v>Yes</x:v>
      </x:c>
      <x:c r="L93" s="32" t="str">
        <x:v>P1</x:v>
      </x:c>
      <x:c r="M93" s="32" t="str">
        <x:v>Accessibility/UX</x:v>
      </x:c>
      <x:c r="N93" s="32" t="str">
        <x:v>QA/Marketing</x:v>
      </x:c>
      <x:c r="O93" s="32" t="str">
        <x:v>NOT RUN</x:v>
      </x:c>
      <x:c r="P93" s="32" t="str"/>
      <x:c r="Q93" s="32" t="str"/>
      <x:c r="R93" s="32" t="str"/>
      <x:c r="S93" s="32" t="str"/>
      <x:c r="T93" s="82" t="str"/>
      <x:c r="U93" s="32" t="str"/>
      <x:c r="V93" s="84" t="n">
        <x:v>1</x:v>
      </x:c>
      <x:c r="W93" s="84" t="n">
        <x:f>IF(OR($O93="PASS",$O93="EXCEPTION APPROVED",$O93="NOT APPLICABLE"),$V93,0)</x:f>
        <x:v>0</x:v>
      </x:c>
      <x:c r="X93" s="84" t="n">
        <x:f>IF(AND($K93="Yes",OR($O93="FAIL",$O93="BLOCKED",$O93="NOT RUN",$O93="IN PROGRESS")),1,0)</x:f>
        <x:v>1</x:v>
      </x:c>
      <x:c r="Y93" s="32" t="str">
        <x:f>IF($O93="FAIL","FAIL",IF($O93="BLOCKED","BLOCKED",IF(AND($O93="EXCEPTION APPROVED",$K93="Yes"),"REVIEW",IF($O93="PASS","OK","PENDING"))))</x:f>
        <x:v>PENDING</x:v>
      </x:c>
    </x:row>
    <x:row r="94">
      <x:c r="A94" s="32" t="str">
        <x:v>REL-ACC-008</x:v>
      </x:c>
      <x:c r="B94" s="32" t="str">
        <x:v>Accesibilidad e inclusión</x:v>
      </x:c>
      <x:c r="C94" s="32" t="str">
        <x:v>Release readiness</x:v>
      </x:c>
      <x:c r="D94" s="32" t="str">
        <x:v>La experiencia completa con mando solo se declara tras pruebas end-to-end.</x:v>
      </x:c>
      <x:c r="E94" s="32" t="str">
        <x:v>Revisar, ejecutar y registrar evidencia reproducible.</x:v>
      </x:c>
      <x:c r="F94" s="32" t="str">
        <x:v>Cumplimiento verificable antes del gate indicado.</x:v>
      </x:c>
      <x:c r="G94" s="32" t="str">
        <x:v>Controller E2E report.</x:v>
      </x:c>
      <x:c r="H94" s="32" t="str">
        <x:v>29_Accessibility_and_Inclusive_Design_Plan.md; 24_Steam_Publishing_Plan.md</x:v>
      </x:c>
      <x:c r="I94" s="32" t="str">
        <x:v>Accessibility requirements historically distributed across UX/UI/QA/Localization v0.3–v0.6</x:v>
      </x:c>
      <x:c r="J94" s="32" t="str">
        <x:v>Release</x:v>
      </x:c>
      <x:c r="K94" s="32" t="str">
        <x:v>Yes</x:v>
      </x:c>
      <x:c r="L94" s="32" t="str">
        <x:v>P1</x:v>
      </x:c>
      <x:c r="M94" s="32" t="str">
        <x:v>Accessibility/UX</x:v>
      </x:c>
      <x:c r="N94" s="32" t="str">
        <x:v>QA/Marketing</x:v>
      </x:c>
      <x:c r="O94" s="32" t="str">
        <x:v>NOT RUN</x:v>
      </x:c>
      <x:c r="P94" s="32" t="str"/>
      <x:c r="Q94" s="32" t="str"/>
      <x:c r="R94" s="32" t="str"/>
      <x:c r="S94" s="32" t="str"/>
      <x:c r="T94" s="82" t="str"/>
      <x:c r="U94" s="32" t="str"/>
      <x:c r="V94" s="84" t="n">
        <x:v>1</x:v>
      </x:c>
      <x:c r="W94" s="84" t="n">
        <x:f>IF(OR($O94="PASS",$O94="EXCEPTION APPROVED",$O94="NOT APPLICABLE"),$V94,0)</x:f>
        <x:v>0</x:v>
      </x:c>
      <x:c r="X94" s="84" t="n">
        <x:f>IF(AND($K94="Yes",OR($O94="FAIL",$O94="BLOCKED",$O94="NOT RUN",$O94="IN PROGRESS")),1,0)</x:f>
        <x:v>1</x:v>
      </x:c>
      <x:c r="Y94" s="32" t="str">
        <x:f>IF($O94="FAIL","FAIL",IF($O94="BLOCKED","BLOCKED",IF(AND($O94="EXCEPTION APPROVED",$K94="Yes"),"REVIEW",IF($O94="PASS","OK","PENDING"))))</x:f>
        <x:v>PENDING</x:v>
      </x:c>
    </x:row>
    <x:row r="95">
      <x:c r="A95" s="32" t="str">
        <x:v>REL-ACC-009</x:v>
      </x:c>
      <x:c r="B95" s="32" t="str">
        <x:v>Accesibilidad e inclusión</x:v>
      </x:c>
      <x:c r="C95" s="32" t="str">
        <x:v>Release readiness</x:v>
      </x:c>
      <x:c r="D95" s="32" t="str">
        <x:v>Las declaraciones de Steam usan la taxonomía correcta y evidencia asociada.</x:v>
      </x:c>
      <x:c r="E95" s="32" t="str">
        <x:v>Revisar, ejecutar y registrar evidencia reproducible.</x:v>
      </x:c>
      <x:c r="F95" s="32" t="str">
        <x:v>Cumplimiento verificable antes del gate indicado.</x:v>
      </x:c>
      <x:c r="G95" s="32" t="str">
        <x:v>Steam accessibility feature matrix.</x:v>
      </x:c>
      <x:c r="H95" s="32" t="str">
        <x:v>29_Accessibility_and_Inclusive_Design_Plan.md; 24_Steam_Publishing_Plan.md</x:v>
      </x:c>
      <x:c r="I95" s="32" t="str">
        <x:v>Accessibility requirements historically distributed across UX/UI/QA/Localization v0.3–v0.6</x:v>
      </x:c>
      <x:c r="J95" s="32" t="str">
        <x:v>Release</x:v>
      </x:c>
      <x:c r="K95" s="32" t="str">
        <x:v>Yes</x:v>
      </x:c>
      <x:c r="L95" s="32" t="str">
        <x:v>P0</x:v>
      </x:c>
      <x:c r="M95" s="32" t="str">
        <x:v>Accessibility/UX</x:v>
      </x:c>
      <x:c r="N95" s="32" t="str">
        <x:v>QA/Marketing</x:v>
      </x:c>
      <x:c r="O95" s="32" t="str">
        <x:v>NOT RUN</x:v>
      </x:c>
      <x:c r="P95" s="32" t="str"/>
      <x:c r="Q95" s="32" t="str"/>
      <x:c r="R95" s="32" t="str"/>
      <x:c r="S95" s="32" t="str"/>
      <x:c r="T95" s="82" t="str"/>
      <x:c r="U95" s="32" t="str"/>
      <x:c r="V95" s="84" t="n">
        <x:v>1</x:v>
      </x:c>
      <x:c r="W95" s="84" t="n">
        <x:f>IF(OR($O95="PASS",$O95="EXCEPTION APPROVED",$O95="NOT APPLICABLE"),$V95,0)</x:f>
        <x:v>0</x:v>
      </x:c>
      <x:c r="X95" s="84" t="n">
        <x:f>IF(AND($K95="Yes",OR($O95="FAIL",$O95="BLOCKED",$O95="NOT RUN",$O95="IN PROGRESS")),1,0)</x:f>
        <x:v>1</x:v>
      </x:c>
      <x:c r="Y95" s="32" t="str">
        <x:f>IF($O95="FAIL","FAIL",IF($O95="BLOCKED","BLOCKED",IF(AND($O95="EXCEPTION APPROVED",$K95="Yes"),"REVIEW",IF($O95="PASS","OK","PENDING"))))</x:f>
        <x:v>PENDING</x:v>
      </x:c>
    </x:row>
    <x:row r="96">
      <x:c r="A96" s="32" t="str">
        <x:v>REL-ACC-010</x:v>
      </x:c>
      <x:c r="B96" s="32" t="str">
        <x:v>Accesibilidad e inclusión</x:v>
      </x:c>
      <x:c r="C96" s="32" t="str">
        <x:v>Release readiness</x:v>
      </x:c>
      <x:c r="D96" s="32" t="str">
        <x:v>Las imágenes públicas relevantes incluyen texto alternativo donde la plataforma lo permita.</x:v>
      </x:c>
      <x:c r="E96" s="32" t="str">
        <x:v>Revisar, ejecutar y registrar evidencia reproducible.</x:v>
      </x:c>
      <x:c r="F96" s="32" t="str">
        <x:v>Cumplimiento verificable antes del gate indicado.</x:v>
      </x:c>
      <x:c r="G96" s="32" t="str">
        <x:v>Alt-text content audit.</x:v>
      </x:c>
      <x:c r="H96" s="32" t="str">
        <x:v>29_Accessibility_and_Inclusive_Design_Plan.md; 24_Steam_Publishing_Plan.md</x:v>
      </x:c>
      <x:c r="I96" s="32" t="str">
        <x:v>Accessibility requirements historically distributed across UX/UI/QA/Localization v0.3–v0.6</x:v>
      </x:c>
      <x:c r="J96" s="32" t="str">
        <x:v>Release</x:v>
      </x:c>
      <x:c r="K96" s="32" t="str">
        <x:v>Yes</x:v>
      </x:c>
      <x:c r="L96" s="32" t="str">
        <x:v>P1</x:v>
      </x:c>
      <x:c r="M96" s="32" t="str">
        <x:v>Accessibility/UX</x:v>
      </x:c>
      <x:c r="N96" s="32" t="str">
        <x:v>QA/Marketing</x:v>
      </x:c>
      <x:c r="O96" s="32" t="str">
        <x:v>NOT RUN</x:v>
      </x:c>
      <x:c r="P96" s="32" t="str"/>
      <x:c r="Q96" s="32" t="str"/>
      <x:c r="R96" s="32" t="str"/>
      <x:c r="S96" s="32" t="str"/>
      <x:c r="T96" s="82" t="str"/>
      <x:c r="U96" s="32" t="str"/>
      <x:c r="V96" s="84" t="n">
        <x:v>1</x:v>
      </x:c>
      <x:c r="W96" s="84" t="n">
        <x:f>IF(OR($O96="PASS",$O96="EXCEPTION APPROVED",$O96="NOT APPLICABLE"),$V96,0)</x:f>
        <x:v>0</x:v>
      </x:c>
      <x:c r="X96" s="84" t="n">
        <x:f>IF(AND($K96="Yes",OR($O96="FAIL",$O96="BLOCKED",$O96="NOT RUN",$O96="IN PROGRESS")),1,0)</x:f>
        <x:v>1</x:v>
      </x:c>
      <x:c r="Y96" s="32" t="str">
        <x:f>IF($O96="FAIL","FAIL",IF($O96="BLOCKED","BLOCKED",IF(AND($O96="EXCEPTION APPROVED",$K96="Yes"),"REVIEW",IF($O96="PASS","OK","PENDING"))))</x:f>
        <x:v>PENDING</x:v>
      </x:c>
    </x:row>
    <x:row r="97">
      <x:c r="A97" s="32" t="str">
        <x:v>REL-ACC-011</x:v>
      </x:c>
      <x:c r="B97" s="32" t="str">
        <x:v>Accesibilidad e inclusión</x:v>
      </x:c>
      <x:c r="C97" s="32" t="str">
        <x:v>Release readiness</x:v>
      </x:c>
      <x:c r="D97" s="32" t="str">
        <x:v>El soporte y FAQ incluyen soluciones para barreras conocidas y recuperación de settings.</x:v>
      </x:c>
      <x:c r="E97" s="32" t="str">
        <x:v>Revisar, ejecutar y registrar evidencia reproducible.</x:v>
      </x:c>
      <x:c r="F97" s="32" t="str">
        <x:v>Cumplimiento verificable antes del gate indicado.</x:v>
      </x:c>
      <x:c r="G97" s="32" t="str">
        <x:v>Accessibility support content.</x:v>
      </x:c>
      <x:c r="H97" s="32" t="str">
        <x:v>29_Accessibility_and_Inclusive_Design_Plan.md; 24_Steam_Publishing_Plan.md</x:v>
      </x:c>
      <x:c r="I97" s="32" t="str">
        <x:v>Accessibility requirements historically distributed across UX/UI/QA/Localization v0.3–v0.6</x:v>
      </x:c>
      <x:c r="J97" s="32" t="str">
        <x:v>Release</x:v>
      </x:c>
      <x:c r="K97" s="32" t="str">
        <x:v>Yes</x:v>
      </x:c>
      <x:c r="L97" s="32" t="str">
        <x:v>P1</x:v>
      </x:c>
      <x:c r="M97" s="32" t="str">
        <x:v>Accessibility/UX</x:v>
      </x:c>
      <x:c r="N97" s="32" t="str">
        <x:v>QA/Marketing</x:v>
      </x:c>
      <x:c r="O97" s="32" t="str">
        <x:v>NOT RUN</x:v>
      </x:c>
      <x:c r="P97" s="32" t="str"/>
      <x:c r="Q97" s="32" t="str"/>
      <x:c r="R97" s="32" t="str"/>
      <x:c r="S97" s="32" t="str"/>
      <x:c r="T97" s="82" t="str"/>
      <x:c r="U97" s="32" t="str"/>
      <x:c r="V97" s="84" t="n">
        <x:v>1</x:v>
      </x:c>
      <x:c r="W97" s="84" t="n">
        <x:f>IF(OR($O97="PASS",$O97="EXCEPTION APPROVED",$O97="NOT APPLICABLE"),$V97,0)</x:f>
        <x:v>0</x:v>
      </x:c>
      <x:c r="X97" s="84" t="n">
        <x:f>IF(AND($K97="Yes",OR($O97="FAIL",$O97="BLOCKED",$O97="NOT RUN",$O97="IN PROGRESS")),1,0)</x:f>
        <x:v>1</x:v>
      </x:c>
      <x:c r="Y97" s="32" t="str">
        <x:f>IF($O97="FAIL","FAIL",IF($O97="BLOCKED","BLOCKED",IF(AND($O97="EXCEPTION APPROVED",$K97="Yes"),"REVIEW",IF($O97="PASS","OK","PENDING"))))</x:f>
        <x:v>PENDING</x:v>
      </x:c>
    </x:row>
    <x:row r="98">
      <x:c r="A98" s="32" t="str">
        <x:v>REL-ACC-012</x:v>
      </x:c>
      <x:c r="B98" s="32" t="str">
        <x:v>Accesibilidad e inclusión</x:v>
      </x:c>
      <x:c r="C98" s="32" t="str">
        <x:v>Release readiness</x:v>
      </x:c>
      <x:c r="D98" s="32" t="str">
        <x:v>Los playtests incluyen participantes o revisión experta para perfiles prioritarios.</x:v>
      </x:c>
      <x:c r="E98" s="32" t="str">
        <x:v>Revisar, ejecutar y registrar evidencia reproducible.</x:v>
      </x:c>
      <x:c r="F98" s="32" t="str">
        <x:v>Cumplimiento verificable antes del gate indicado.</x:v>
      </x:c>
      <x:c r="G98" s="32" t="str">
        <x:v>Inclusive playtest report.</x:v>
      </x:c>
      <x:c r="H98" s="32" t="str">
        <x:v>29_Accessibility_and_Inclusive_Design_Plan.md; 24_Steam_Publishing_Plan.md</x:v>
      </x:c>
      <x:c r="I98" s="32" t="str">
        <x:v>Accessibility requirements historically distributed across UX/UI/QA/Localization v0.3–v0.6</x:v>
      </x:c>
      <x:c r="J98" s="32" t="str">
        <x:v>Release</x:v>
      </x:c>
      <x:c r="K98" s="32" t="str">
        <x:v>Yes</x:v>
      </x:c>
      <x:c r="L98" s="32" t="str">
        <x:v>P1</x:v>
      </x:c>
      <x:c r="M98" s="32" t="str">
        <x:v>Accessibility/UX</x:v>
      </x:c>
      <x:c r="N98" s="32" t="str">
        <x:v>QA/Marketing</x:v>
      </x:c>
      <x:c r="O98" s="32" t="str">
        <x:v>NOT RUN</x:v>
      </x:c>
      <x:c r="P98" s="32" t="str"/>
      <x:c r="Q98" s="32" t="str"/>
      <x:c r="R98" s="32" t="str"/>
      <x:c r="S98" s="32" t="str"/>
      <x:c r="T98" s="82" t="str"/>
      <x:c r="U98" s="32" t="str"/>
      <x:c r="V98" s="84" t="n">
        <x:v>1</x:v>
      </x:c>
      <x:c r="W98" s="84" t="n">
        <x:f>IF(OR($O98="PASS",$O98="EXCEPTION APPROVED",$O98="NOT APPLICABLE"),$V98,0)</x:f>
        <x:v>0</x:v>
      </x:c>
      <x:c r="X98" s="84" t="n">
        <x:f>IF(AND($K98="Yes",OR($O98="FAIL",$O98="BLOCKED",$O98="NOT RUN",$O98="IN PROGRESS")),1,0)</x:f>
        <x:v>1</x:v>
      </x:c>
      <x:c r="Y98" s="32" t="str">
        <x:f>IF($O98="FAIL","FAIL",IF($O98="BLOCKED","BLOCKED",IF(AND($O98="EXCEPTION APPROVED",$K98="Yes"),"REVIEW",IF($O98="PASS","OK","PENDING"))))</x:f>
        <x:v>PENDING</x:v>
      </x:c>
    </x:row>
    <x:row r="99">
      <x:c r="A99" s="32" t="str">
        <x:v>REL-ACC-013</x:v>
      </x:c>
      <x:c r="B99" s="32" t="str">
        <x:v>Accesibilidad e inclusión</x:v>
      </x:c>
      <x:c r="C99" s="32" t="str">
        <x:v>Release readiness</x:v>
      </x:c>
      <x:c r="D99" s="32" t="str">
        <x:v>No se utilizan afirmaciones de conformidad WCAG/XAG sin alcance y evidencia claros.</x:v>
      </x:c>
      <x:c r="E99" s="32" t="str">
        <x:v>Revisar, ejecutar y registrar evidencia reproducible.</x:v>
      </x:c>
      <x:c r="F99" s="32" t="str">
        <x:v>Cumplimiento verificable antes del gate indicado.</x:v>
      </x:c>
      <x:c r="G99" s="32" t="str">
        <x:v>Compliance claims review.</x:v>
      </x:c>
      <x:c r="H99" s="32" t="str">
        <x:v>29_Accessibility_and_Inclusive_Design_Plan.md; 24_Steam_Publishing_Plan.md</x:v>
      </x:c>
      <x:c r="I99" s="32" t="str">
        <x:v>Accessibility requirements historically distributed across UX/UI/QA/Localization v0.3–v0.6</x:v>
      </x:c>
      <x:c r="J99" s="32" t="str">
        <x:v>Release</x:v>
      </x:c>
      <x:c r="K99" s="32" t="str">
        <x:v>Yes</x:v>
      </x:c>
      <x:c r="L99" s="32" t="str">
        <x:v>P1</x:v>
      </x:c>
      <x:c r="M99" s="32" t="str">
        <x:v>Accessibility/UX</x:v>
      </x:c>
      <x:c r="N99" s="32" t="str">
        <x:v>QA/Marketing</x:v>
      </x:c>
      <x:c r="O99" s="32" t="str">
        <x:v>NOT RUN</x:v>
      </x:c>
      <x:c r="P99" s="32" t="str"/>
      <x:c r="Q99" s="32" t="str"/>
      <x:c r="R99" s="32" t="str"/>
      <x:c r="S99" s="32" t="str"/>
      <x:c r="T99" s="82" t="str"/>
      <x:c r="U99" s="32" t="str"/>
      <x:c r="V99" s="84" t="n">
        <x:v>1</x:v>
      </x:c>
      <x:c r="W99" s="84" t="n">
        <x:f>IF(OR($O99="PASS",$O99="EXCEPTION APPROVED",$O99="NOT APPLICABLE"),$V99,0)</x:f>
        <x:v>0</x:v>
      </x:c>
      <x:c r="X99" s="84" t="n">
        <x:f>IF(AND($K99="Yes",OR($O99="FAIL",$O99="BLOCKED",$O99="NOT RUN",$O99="IN PROGRESS")),1,0)</x:f>
        <x:v>1</x:v>
      </x:c>
      <x:c r="Y99" s="32" t="str">
        <x:f>IF($O99="FAIL","FAIL",IF($O99="BLOCKED","BLOCKED",IF(AND($O99="EXCEPTION APPROVED",$K99="Yes"),"REVIEW",IF($O99="PASS","OK","PENDING"))))</x:f>
        <x:v>PENDING</x:v>
      </x:c>
    </x:row>
    <x:row r="100">
      <x:c r="A100" s="32" t="str">
        <x:v>REL-ACC-014</x:v>
      </x:c>
      <x:c r="B100" s="32" t="str">
        <x:v>Accesibilidad e inclusión</x:v>
      </x:c>
      <x:c r="C100" s="32" t="str">
        <x:v>Release readiness</x:v>
      </x:c>
      <x:c r="D100" s="32" t="str">
        <x:v>Las limitaciones conocidas se documentan con lenguaje respetuoso y preciso.</x:v>
      </x:c>
      <x:c r="E100" s="32" t="str">
        <x:v>Revisar, ejecutar y registrar evidencia reproducible.</x:v>
      </x:c>
      <x:c r="F100" s="32" t="str">
        <x:v>Cumplimiento verificable antes del gate indicado.</x:v>
      </x:c>
      <x:c r="G100" s="32" t="str">
        <x:v>Known limitations approval.</x:v>
      </x:c>
      <x:c r="H100" s="32" t="str">
        <x:v>29_Accessibility_and_Inclusive_Design_Plan.md; 24_Steam_Publishing_Plan.md</x:v>
      </x:c>
      <x:c r="I100" s="32" t="str">
        <x:v>Accessibility requirements historically distributed across UX/UI/QA/Localization v0.3–v0.6</x:v>
      </x:c>
      <x:c r="J100" s="32" t="str">
        <x:v>Release</x:v>
      </x:c>
      <x:c r="K100" s="32" t="str">
        <x:v>Yes</x:v>
      </x:c>
      <x:c r="L100" s="32" t="str">
        <x:v>P1</x:v>
      </x:c>
      <x:c r="M100" s="32" t="str">
        <x:v>Accessibility/UX</x:v>
      </x:c>
      <x:c r="N100" s="32" t="str">
        <x:v>QA/Marketing</x:v>
      </x:c>
      <x:c r="O100" s="32" t="str">
        <x:v>NOT RUN</x:v>
      </x:c>
      <x:c r="P100" s="32" t="str"/>
      <x:c r="Q100" s="32" t="str"/>
      <x:c r="R100" s="32" t="str"/>
      <x:c r="S100" s="32" t="str"/>
      <x:c r="T100" s="82" t="str"/>
      <x:c r="U100" s="32" t="str"/>
      <x:c r="V100" s="84" t="n">
        <x:v>1</x:v>
      </x:c>
      <x:c r="W100" s="84" t="n">
        <x:f>IF(OR($O100="PASS",$O100="EXCEPTION APPROVED",$O100="NOT APPLICABLE"),$V100,0)</x:f>
        <x:v>0</x:v>
      </x:c>
      <x:c r="X100" s="84" t="n">
        <x:f>IF(AND($K100="Yes",OR($O100="FAIL",$O100="BLOCKED",$O100="NOT RUN",$O100="IN PROGRESS")),1,0)</x:f>
        <x:v>1</x:v>
      </x:c>
      <x:c r="Y100" s="32" t="str">
        <x:f>IF($O100="FAIL","FAIL",IF($O100="BLOCKED","BLOCKED",IF(AND($O100="EXCEPTION APPROVED",$K100="Yes"),"REVIEW",IF($O100="PASS","OK","PENDING"))))</x:f>
        <x:v>PENDING</x:v>
      </x:c>
    </x:row>
    <x:row r="101">
      <x:c r="A101" s="32" t="str">
        <x:v>REL-LOC-001</x:v>
      </x:c>
      <x:c r="B101" s="32" t="str">
        <x:v>Localización de producto y tienda</x:v>
      </x:c>
      <x:c r="C101" s="32" t="str">
        <x:v>Release readiness</x:v>
      </x:c>
      <x:c r="D101" s="32" t="str">
        <x:v>La build RC contiene traducción completa de todo contenido declarado para ES/EN.</x:v>
      </x:c>
      <x:c r="E101" s="32" t="str">
        <x:v>Revisar, ejecutar y registrar evidencia reproducible.</x:v>
      </x:c>
      <x:c r="F101" s="32" t="str">
        <x:v>Cumplimiento verificable antes del gate indicado.</x:v>
      </x:c>
      <x:c r="G101" s="32" t="str">
        <x:v>Runtime localization coverage.</x:v>
      </x:c>
      <x:c r="H101" s="32" t="str">
        <x:v>22_Localization_Plan.md; 24_Steam_Publishing_Plan.md; 28_Marketing_and_Communication_Plan.md</x:v>
      </x:c>
      <x:c r="I101" s="32" t="str">
        <x:v>Localization/Steam/Marketing historical v0.3–v0.5</x:v>
      </x:c>
      <x:c r="J101" s="32" t="str">
        <x:v>Release</x:v>
      </x:c>
      <x:c r="K101" s="32" t="str">
        <x:v>Yes</x:v>
      </x:c>
      <x:c r="L101" s="32" t="str">
        <x:v>P1</x:v>
      </x:c>
      <x:c r="M101" s="32" t="str">
        <x:v>Localization</x:v>
      </x:c>
      <x:c r="N101" s="32" t="str">
        <x:v>LQA/Legal/Marketing</x:v>
      </x:c>
      <x:c r="O101" s="32" t="str">
        <x:v>NOT RUN</x:v>
      </x:c>
      <x:c r="P101" s="32" t="str"/>
      <x:c r="Q101" s="32" t="str"/>
      <x:c r="R101" s="32" t="str"/>
      <x:c r="S101" s="32" t="str"/>
      <x:c r="T101" s="82" t="str"/>
      <x:c r="U101" s="32" t="str"/>
      <x:c r="V101" s="84" t="n">
        <x:v>1</x:v>
      </x:c>
      <x:c r="W101" s="84" t="n">
        <x:f>IF(OR($O101="PASS",$O101="EXCEPTION APPROVED",$O101="NOT APPLICABLE"),$V101,0)</x:f>
        <x:v>0</x:v>
      </x:c>
      <x:c r="X101" s="84" t="n">
        <x:f>IF(AND($K101="Yes",OR($O101="FAIL",$O101="BLOCKED",$O101="NOT RUN",$O101="IN PROGRESS")),1,0)</x:f>
        <x:v>1</x:v>
      </x:c>
      <x:c r="Y101" s="32" t="str">
        <x:f>IF($O101="FAIL","FAIL",IF($O101="BLOCKED","BLOCKED",IF(AND($O101="EXCEPTION APPROVED",$K101="Yes"),"REVIEW",IF($O101="PASS","OK","PENDING"))))</x:f>
        <x:v>PENDING</x:v>
      </x:c>
    </x:row>
    <x:row r="102">
      <x:c r="A102" s="32" t="str">
        <x:v>REL-LOC-002</x:v>
      </x:c>
      <x:c r="B102" s="32" t="str">
        <x:v>Localización de producto y tienda</x:v>
      </x:c>
      <x:c r="C102" s="32" t="str">
        <x:v>Release readiness</x:v>
      </x:c>
      <x:c r="D102" s="32" t="str">
        <x:v>Los metadatos de Steam, screenshots con texto, trailer y FAQ están localizados donde corresponda.</x:v>
      </x:c>
      <x:c r="E102" s="32" t="str">
        <x:v>Revisar, ejecutar y registrar evidencia reproducible.</x:v>
      </x:c>
      <x:c r="F102" s="32" t="str">
        <x:v>Cumplimiento verificable antes del gate indicado.</x:v>
      </x:c>
      <x:c r="G102" s="32" t="str">
        <x:v>Store localization package.</x:v>
      </x:c>
      <x:c r="H102" s="32" t="str">
        <x:v>22_Localization_Plan.md; 24_Steam_Publishing_Plan.md; 28_Marketing_and_Communication_Plan.md</x:v>
      </x:c>
      <x:c r="I102" s="32" t="str">
        <x:v>Localization/Steam/Marketing historical v0.3–v0.5</x:v>
      </x:c>
      <x:c r="J102" s="32" t="str">
        <x:v>Release</x:v>
      </x:c>
      <x:c r="K102" s="32" t="str">
        <x:v>Yes</x:v>
      </x:c>
      <x:c r="L102" s="32" t="str">
        <x:v>P1</x:v>
      </x:c>
      <x:c r="M102" s="32" t="str">
        <x:v>Localization</x:v>
      </x:c>
      <x:c r="N102" s="32" t="str">
        <x:v>LQA/Legal/Marketing</x:v>
      </x:c>
      <x:c r="O102" s="32" t="str">
        <x:v>NOT RUN</x:v>
      </x:c>
      <x:c r="P102" s="32" t="str"/>
      <x:c r="Q102" s="32" t="str"/>
      <x:c r="R102" s="32" t="str"/>
      <x:c r="S102" s="32" t="str"/>
      <x:c r="T102" s="82" t="str"/>
      <x:c r="U102" s="32" t="str"/>
      <x:c r="V102" s="84" t="n">
        <x:v>1</x:v>
      </x:c>
      <x:c r="W102" s="84" t="n">
        <x:f>IF(OR($O102="PASS",$O102="EXCEPTION APPROVED",$O102="NOT APPLICABLE"),$V102,0)</x:f>
        <x:v>0</x:v>
      </x:c>
      <x:c r="X102" s="84" t="n">
        <x:f>IF(AND($K102="Yes",OR($O102="FAIL",$O102="BLOCKED",$O102="NOT RUN",$O102="IN PROGRESS")),1,0)</x:f>
        <x:v>1</x:v>
      </x:c>
      <x:c r="Y102" s="32" t="str">
        <x:f>IF($O102="FAIL","FAIL",IF($O102="BLOCKED","BLOCKED",IF(AND($O102="EXCEPTION APPROVED",$K102="Yes"),"REVIEW",IF($O102="PASS","OK","PENDING"))))</x:f>
        <x:v>PENDING</x:v>
      </x:c>
    </x:row>
    <x:row r="103">
      <x:c r="A103" s="32" t="str">
        <x:v>REL-LOC-003</x:v>
      </x:c>
      <x:c r="B103" s="32" t="str">
        <x:v>Localización de producto y tienda</x:v>
      </x:c>
      <x:c r="C103" s="32" t="str">
        <x:v>Release readiness</x:v>
      </x:c>
      <x:c r="D103" s="32" t="str">
        <x:v>La LQA se ejecuta sobre RC en ambos idiomas y configuraciones críticas.</x:v>
      </x:c>
      <x:c r="E103" s="32" t="str">
        <x:v>Revisar, ejecutar y registrar evidencia reproducible.</x:v>
      </x:c>
      <x:c r="F103" s="32" t="str">
        <x:v>Cumplimiento verificable antes del gate indicado.</x:v>
      </x:c>
      <x:c r="G103" s="32" t="str">
        <x:v>LQA report.</x:v>
      </x:c>
      <x:c r="H103" s="32" t="str">
        <x:v>22_Localization_Plan.md; 24_Steam_Publishing_Plan.md; 28_Marketing_and_Communication_Plan.md</x:v>
      </x:c>
      <x:c r="I103" s="32" t="str">
        <x:v>Localization/Steam/Marketing historical v0.3–v0.5</x:v>
      </x:c>
      <x:c r="J103" s="32" t="str">
        <x:v>Release</x:v>
      </x:c>
      <x:c r="K103" s="32" t="str">
        <x:v>Yes</x:v>
      </x:c>
      <x:c r="L103" s="32" t="str">
        <x:v>P0</x:v>
      </x:c>
      <x:c r="M103" s="32" t="str">
        <x:v>Localization</x:v>
      </x:c>
      <x:c r="N103" s="32" t="str">
        <x:v>LQA/Legal/Marketing</x:v>
      </x:c>
      <x:c r="O103" s="32" t="str">
        <x:v>NOT RUN</x:v>
      </x:c>
      <x:c r="P103" s="32" t="str"/>
      <x:c r="Q103" s="32" t="str"/>
      <x:c r="R103" s="32" t="str"/>
      <x:c r="S103" s="32" t="str"/>
      <x:c r="T103" s="82" t="str"/>
      <x:c r="U103" s="32" t="str"/>
      <x:c r="V103" s="84" t="n">
        <x:v>1</x:v>
      </x:c>
      <x:c r="W103" s="84" t="n">
        <x:f>IF(OR($O103="PASS",$O103="EXCEPTION APPROVED",$O103="NOT APPLICABLE"),$V103,0)</x:f>
        <x:v>0</x:v>
      </x:c>
      <x:c r="X103" s="84" t="n">
        <x:f>IF(AND($K103="Yes",OR($O103="FAIL",$O103="BLOCKED",$O103="NOT RUN",$O103="IN PROGRESS")),1,0)</x:f>
        <x:v>1</x:v>
      </x:c>
      <x:c r="Y103" s="32" t="str">
        <x:f>IF($O103="FAIL","FAIL",IF($O103="BLOCKED","BLOCKED",IF(AND($O103="EXCEPTION APPROVED",$K103="Yes"),"REVIEW",IF($O103="PASS","OK","PENDING"))))</x:f>
        <x:v>PENDING</x:v>
      </x:c>
    </x:row>
    <x:row r="104">
      <x:c r="A104" s="32" t="str">
        <x:v>REL-LOC-004</x:v>
      </x:c>
      <x:c r="B104" s="32" t="str">
        <x:v>Localización de producto y tienda</x:v>
      </x:c>
      <x:c r="C104" s="32" t="str">
        <x:v>Release readiness</x:v>
      </x:c>
      <x:c r="D104" s="32" t="str">
        <x:v>No existen missing keys, fallbacks visibles o glyphs ausentes en RC.</x:v>
      </x:c>
      <x:c r="E104" s="32" t="str">
        <x:v>Revisar, ejecutar y registrar evidencia reproducible.</x:v>
      </x:c>
      <x:c r="F104" s="32" t="str">
        <x:v>Cumplimiento verificable antes del gate indicado.</x:v>
      </x:c>
      <x:c r="G104" s="32" t="str">
        <x:v>Zero localization errors report.</x:v>
      </x:c>
      <x:c r="H104" s="32" t="str">
        <x:v>22_Localization_Plan.md; 24_Steam_Publishing_Plan.md; 28_Marketing_and_Communication_Plan.md</x:v>
      </x:c>
      <x:c r="I104" s="32" t="str">
        <x:v>Localization/Steam/Marketing historical v0.3–v0.5</x:v>
      </x:c>
      <x:c r="J104" s="32" t="str">
        <x:v>Release</x:v>
      </x:c>
      <x:c r="K104" s="32" t="str">
        <x:v>Yes</x:v>
      </x:c>
      <x:c r="L104" s="32" t="str">
        <x:v>P1</x:v>
      </x:c>
      <x:c r="M104" s="32" t="str">
        <x:v>Localization</x:v>
      </x:c>
      <x:c r="N104" s="32" t="str">
        <x:v>LQA/Legal/Marketing</x:v>
      </x:c>
      <x:c r="O104" s="32" t="str">
        <x:v>NOT RUN</x:v>
      </x:c>
      <x:c r="P104" s="32" t="str"/>
      <x:c r="Q104" s="32" t="str"/>
      <x:c r="R104" s="32" t="str"/>
      <x:c r="S104" s="32" t="str"/>
      <x:c r="T104" s="82" t="str"/>
      <x:c r="U104" s="32" t="str"/>
      <x:c r="V104" s="84" t="n">
        <x:v>1</x:v>
      </x:c>
      <x:c r="W104" s="84" t="n">
        <x:f>IF(OR($O104="PASS",$O104="EXCEPTION APPROVED",$O104="NOT APPLICABLE"),$V104,0)</x:f>
        <x:v>0</x:v>
      </x:c>
      <x:c r="X104" s="84" t="n">
        <x:f>IF(AND($K104="Yes",OR($O104="FAIL",$O104="BLOCKED",$O104="NOT RUN",$O104="IN PROGRESS")),1,0)</x:f>
        <x:v>1</x:v>
      </x:c>
      <x:c r="Y104" s="32" t="str">
        <x:f>IF($O104="FAIL","FAIL",IF($O104="BLOCKED","BLOCKED",IF(AND($O104="EXCEPTION APPROVED",$K104="Yes"),"REVIEW",IF($O104="PASS","OK","PENDING"))))</x:f>
        <x:v>PENDING</x:v>
      </x:c>
    </x:row>
    <x:row r="105">
      <x:c r="A105" s="32" t="str">
        <x:v>REL-LOC-005</x:v>
      </x:c>
      <x:c r="B105" s="32" t="str">
        <x:v>Localización de producto y tienda</x:v>
      </x:c>
      <x:c r="C105" s="32" t="str">
        <x:v>Release readiness</x:v>
      </x:c>
      <x:c r="D105" s="32" t="str">
        <x:v>Números, moneda, fechas, plurales y variables funcionan en todas las superficies.</x:v>
      </x:c>
      <x:c r="E105" s="32" t="str">
        <x:v>Revisar, ejecutar y registrar evidencia reproducible.</x:v>
      </x:c>
      <x:c r="F105" s="32" t="str">
        <x:v>Cumplimiento verificable antes del gate indicado.</x:v>
      </x:c>
      <x:c r="G105" s="32" t="str">
        <x:v>Locale formatting report.</x:v>
      </x:c>
      <x:c r="H105" s="32" t="str">
        <x:v>22_Localization_Plan.md; 24_Steam_Publishing_Plan.md; 28_Marketing_and_Communication_Plan.md</x:v>
      </x:c>
      <x:c r="I105" s="32" t="str">
        <x:v>Localization/Steam/Marketing historical v0.3–v0.5</x:v>
      </x:c>
      <x:c r="J105" s="32" t="str">
        <x:v>Release</x:v>
      </x:c>
      <x:c r="K105" s="32" t="str">
        <x:v>Yes</x:v>
      </x:c>
      <x:c r="L105" s="32" t="str">
        <x:v>P1</x:v>
      </x:c>
      <x:c r="M105" s="32" t="str">
        <x:v>Localization</x:v>
      </x:c>
      <x:c r="N105" s="32" t="str">
        <x:v>LQA/Legal/Marketing</x:v>
      </x:c>
      <x:c r="O105" s="32" t="str">
        <x:v>NOT RUN</x:v>
      </x:c>
      <x:c r="P105" s="32" t="str"/>
      <x:c r="Q105" s="32" t="str"/>
      <x:c r="R105" s="32" t="str"/>
      <x:c r="S105" s="32" t="str"/>
      <x:c r="T105" s="82" t="str"/>
      <x:c r="U105" s="32" t="str"/>
      <x:c r="V105" s="84" t="n">
        <x:v>1</x:v>
      </x:c>
      <x:c r="W105" s="84" t="n">
        <x:f>IF(OR($O105="PASS",$O105="EXCEPTION APPROVED",$O105="NOT APPLICABLE"),$V105,0)</x:f>
        <x:v>0</x:v>
      </x:c>
      <x:c r="X105" s="84" t="n">
        <x:f>IF(AND($K105="Yes",OR($O105="FAIL",$O105="BLOCKED",$O105="NOT RUN",$O105="IN PROGRESS")),1,0)</x:f>
        <x:v>1</x:v>
      </x:c>
      <x:c r="Y105" s="32" t="str">
        <x:f>IF($O105="FAIL","FAIL",IF($O105="BLOCKED","BLOCKED",IF(AND($O105="EXCEPTION APPROVED",$K105="Yes"),"REVIEW",IF($O105="PASS","OK","PENDING"))))</x:f>
        <x:v>PENDING</x:v>
      </x:c>
    </x:row>
    <x:row r="106">
      <x:c r="A106" s="32" t="str">
        <x:v>REL-LOC-006</x:v>
      </x:c>
      <x:c r="B106" s="32" t="str">
        <x:v>Localización de producto y tienda</x:v>
      </x:c>
      <x:c r="C106" s="32" t="str">
        <x:v>Release readiness</x:v>
      </x:c>
      <x:c r="D106" s="32" t="str">
        <x:v>Los textos legales y de privacidad han sido revisados en idiomas publicados.</x:v>
      </x:c>
      <x:c r="E106" s="32" t="str">
        <x:v>Revisar, ejecutar y registrar evidencia reproducible.</x:v>
      </x:c>
      <x:c r="F106" s="32" t="str">
        <x:v>Cumplimiento verificable antes del gate indicado.</x:v>
      </x:c>
      <x:c r="G106" s="32" t="str">
        <x:v>Legal localization signoff.</x:v>
      </x:c>
      <x:c r="H106" s="32" t="str">
        <x:v>22_Localization_Plan.md; 24_Steam_Publishing_Plan.md; 28_Marketing_and_Communication_Plan.md</x:v>
      </x:c>
      <x:c r="I106" s="32" t="str">
        <x:v>Localization/Steam/Marketing historical v0.3–v0.5</x:v>
      </x:c>
      <x:c r="J106" s="32" t="str">
        <x:v>Release</x:v>
      </x:c>
      <x:c r="K106" s="32" t="str">
        <x:v>Yes</x:v>
      </x:c>
      <x:c r="L106" s="32" t="str">
        <x:v>P1</x:v>
      </x:c>
      <x:c r="M106" s="32" t="str">
        <x:v>Localization</x:v>
      </x:c>
      <x:c r="N106" s="32" t="str">
        <x:v>LQA/Legal/Marketing</x:v>
      </x:c>
      <x:c r="O106" s="32" t="str">
        <x:v>NOT RUN</x:v>
      </x:c>
      <x:c r="P106" s="32" t="str"/>
      <x:c r="Q106" s="32" t="str"/>
      <x:c r="R106" s="32" t="str"/>
      <x:c r="S106" s="32" t="str"/>
      <x:c r="T106" s="82" t="str"/>
      <x:c r="U106" s="32" t="str"/>
      <x:c r="V106" s="84" t="n">
        <x:v>1</x:v>
      </x:c>
      <x:c r="W106" s="84" t="n">
        <x:f>IF(OR($O106="PASS",$O106="EXCEPTION APPROVED",$O106="NOT APPLICABLE"),$V106,0)</x:f>
        <x:v>0</x:v>
      </x:c>
      <x:c r="X106" s="84" t="n">
        <x:f>IF(AND($K106="Yes",OR($O106="FAIL",$O106="BLOCKED",$O106="NOT RUN",$O106="IN PROGRESS")),1,0)</x:f>
        <x:v>1</x:v>
      </x:c>
      <x:c r="Y106" s="32" t="str">
        <x:f>IF($O106="FAIL","FAIL",IF($O106="BLOCKED","BLOCKED",IF(AND($O106="EXCEPTION APPROVED",$K106="Yes"),"REVIEW",IF($O106="PASS","OK","PENDING"))))</x:f>
        <x:v>PENDING</x:v>
      </x:c>
    </x:row>
    <x:row r="107">
      <x:c r="A107" s="32" t="str">
        <x:v>REL-LOC-007</x:v>
      </x:c>
      <x:c r="B107" s="32" t="str">
        <x:v>Localización de producto y tienda</x:v>
      </x:c>
      <x:c r="C107" s="32" t="str">
        <x:v>Release readiness</x:v>
      </x:c>
      <x:c r="D107" s="32" t="str">
        <x:v>El glosario y style guide están congelados para RC.</x:v>
      </x:c>
      <x:c r="E107" s="32" t="str">
        <x:v>Revisar, ejecutar y registrar evidencia reproducible.</x:v>
      </x:c>
      <x:c r="F107" s="32" t="str">
        <x:v>Cumplimiento verificable antes del gate indicado.</x:v>
      </x:c>
      <x:c r="G107" s="32" t="str">
        <x:v>Localization freeze record.</x:v>
      </x:c>
      <x:c r="H107" s="32" t="str">
        <x:v>22_Localization_Plan.md; 24_Steam_Publishing_Plan.md; 28_Marketing_and_Communication_Plan.md</x:v>
      </x:c>
      <x:c r="I107" s="32" t="str">
        <x:v>Localization/Steam/Marketing historical v0.3–v0.5</x:v>
      </x:c>
      <x:c r="J107" s="32" t="str">
        <x:v>Release</x:v>
      </x:c>
      <x:c r="K107" s="32" t="str">
        <x:v>Yes</x:v>
      </x:c>
      <x:c r="L107" s="32" t="str">
        <x:v>P1</x:v>
      </x:c>
      <x:c r="M107" s="32" t="str">
        <x:v>Localization</x:v>
      </x:c>
      <x:c r="N107" s="32" t="str">
        <x:v>LQA/Legal/Marketing</x:v>
      </x:c>
      <x:c r="O107" s="32" t="str">
        <x:v>NOT RUN</x:v>
      </x:c>
      <x:c r="P107" s="32" t="str"/>
      <x:c r="Q107" s="32" t="str"/>
      <x:c r="R107" s="32" t="str"/>
      <x:c r="S107" s="32" t="str"/>
      <x:c r="T107" s="82" t="str"/>
      <x:c r="U107" s="32" t="str"/>
      <x:c r="V107" s="84" t="n">
        <x:v>1</x:v>
      </x:c>
      <x:c r="W107" s="84" t="n">
        <x:f>IF(OR($O107="PASS",$O107="EXCEPTION APPROVED",$O107="NOT APPLICABLE"),$V107,0)</x:f>
        <x:v>0</x:v>
      </x:c>
      <x:c r="X107" s="84" t="n">
        <x:f>IF(AND($K107="Yes",OR($O107="FAIL",$O107="BLOCKED",$O107="NOT RUN",$O107="IN PROGRESS")),1,0)</x:f>
        <x:v>1</x:v>
      </x:c>
      <x:c r="Y107" s="32" t="str">
        <x:f>IF($O107="FAIL","FAIL",IF($O107="BLOCKED","BLOCKED",IF(AND($O107="EXCEPTION APPROVED",$K107="Yes"),"REVIEW",IF($O107="PASS","OK","PENDING"))))</x:f>
        <x:v>PENDING</x:v>
      </x:c>
    </x:row>
    <x:row r="108">
      <x:c r="A108" s="32" t="str">
        <x:v>REL-LOC-008</x:v>
      </x:c>
      <x:c r="B108" s="32" t="str">
        <x:v>Localización de producto y tienda</x:v>
      </x:c>
      <x:c r="C108" s="32" t="str">
        <x:v>Release readiness</x:v>
      </x:c>
      <x:c r="D108" s="32" t="str">
        <x:v>Los cambios posteriores al freeze reabren traducción y LQA afectada.</x:v>
      </x:c>
      <x:c r="E108" s="32" t="str">
        <x:v>Revisar, ejecutar y registrar evidencia reproducible.</x:v>
      </x:c>
      <x:c r="F108" s="32" t="str">
        <x:v>Cumplimiento verificable antes del gate indicado.</x:v>
      </x:c>
      <x:c r="G108" s="32" t="str">
        <x:v>Localization change log.</x:v>
      </x:c>
      <x:c r="H108" s="32" t="str">
        <x:v>22_Localization_Plan.md; 24_Steam_Publishing_Plan.md; 28_Marketing_and_Communication_Plan.md</x:v>
      </x:c>
      <x:c r="I108" s="32" t="str">
        <x:v>Localization/Steam/Marketing historical v0.3–v0.5</x:v>
      </x:c>
      <x:c r="J108" s="32" t="str">
        <x:v>Release</x:v>
      </x:c>
      <x:c r="K108" s="32" t="str">
        <x:v>Yes</x:v>
      </x:c>
      <x:c r="L108" s="32" t="str">
        <x:v>P1</x:v>
      </x:c>
      <x:c r="M108" s="32" t="str">
        <x:v>Localization</x:v>
      </x:c>
      <x:c r="N108" s="32" t="str">
        <x:v>LQA/Legal/Marketing</x:v>
      </x:c>
      <x:c r="O108" s="32" t="str">
        <x:v>NOT RUN</x:v>
      </x:c>
      <x:c r="P108" s="32" t="str"/>
      <x:c r="Q108" s="32" t="str"/>
      <x:c r="R108" s="32" t="str"/>
      <x:c r="S108" s="32" t="str"/>
      <x:c r="T108" s="82" t="str"/>
      <x:c r="U108" s="32" t="str"/>
      <x:c r="V108" s="84" t="n">
        <x:v>1</x:v>
      </x:c>
      <x:c r="W108" s="84" t="n">
        <x:f>IF(OR($O108="PASS",$O108="EXCEPTION APPROVED",$O108="NOT APPLICABLE"),$V108,0)</x:f>
        <x:v>0</x:v>
      </x:c>
      <x:c r="X108" s="84" t="n">
        <x:f>IF(AND($K108="Yes",OR($O108="FAIL",$O108="BLOCKED",$O108="NOT RUN",$O108="IN PROGRESS")),1,0)</x:f>
        <x:v>1</x:v>
      </x:c>
      <x:c r="Y108" s="32" t="str">
        <x:f>IF($O108="FAIL","FAIL",IF($O108="BLOCKED","BLOCKED",IF(AND($O108="EXCEPTION APPROVED",$K108="Yes"),"REVIEW",IF($O108="PASS","OK","PENDING"))))</x:f>
        <x:v>PENDING</x:v>
      </x:c>
    </x:row>
    <x:row r="109">
      <x:c r="A109" s="32" t="str">
        <x:v>REL-LOC-009</x:v>
      </x:c>
      <x:c r="B109" s="32" t="str">
        <x:v>Localización de producto y tienda</x:v>
      </x:c>
      <x:c r="C109" s="32" t="str">
        <x:v>Release readiness</x:v>
      </x:c>
      <x:c r="D109" s="32" t="str">
        <x:v>Los nombres de producto/tienda y términos ficticios son consistentes entre juego y marketing.</x:v>
      </x:c>
      <x:c r="E109" s="32" t="str">
        <x:v>Revisar, ejecutar y registrar evidencia reproducible.</x:v>
      </x:c>
      <x:c r="F109" s="32" t="str">
        <x:v>Cumplimiento verificable antes del gate indicado.</x:v>
      </x:c>
      <x:c r="G109" s="32" t="str">
        <x:v>Terminology reconciliation.</x:v>
      </x:c>
      <x:c r="H109" s="32" t="str">
        <x:v>22_Localization_Plan.md; 24_Steam_Publishing_Plan.md; 28_Marketing_and_Communication_Plan.md</x:v>
      </x:c>
      <x:c r="I109" s="32" t="str">
        <x:v>Localization/Steam/Marketing historical v0.3–v0.5</x:v>
      </x:c>
      <x:c r="J109" s="32" t="str">
        <x:v>Release</x:v>
      </x:c>
      <x:c r="K109" s="32" t="str">
        <x:v>Yes</x:v>
      </x:c>
      <x:c r="L109" s="32" t="str">
        <x:v>P1</x:v>
      </x:c>
      <x:c r="M109" s="32" t="str">
        <x:v>Localization</x:v>
      </x:c>
      <x:c r="N109" s="32" t="str">
        <x:v>LQA/Legal/Marketing</x:v>
      </x:c>
      <x:c r="O109" s="32" t="str">
        <x:v>NOT RUN</x:v>
      </x:c>
      <x:c r="P109" s="32" t="str"/>
      <x:c r="Q109" s="32" t="str"/>
      <x:c r="R109" s="32" t="str"/>
      <x:c r="S109" s="32" t="str"/>
      <x:c r="T109" s="82" t="str"/>
      <x:c r="U109" s="32" t="str"/>
      <x:c r="V109" s="84" t="n">
        <x:v>1</x:v>
      </x:c>
      <x:c r="W109" s="84" t="n">
        <x:f>IF(OR($O109="PASS",$O109="EXCEPTION APPROVED",$O109="NOT APPLICABLE"),$V109,0)</x:f>
        <x:v>0</x:v>
      </x:c>
      <x:c r="X109" s="84" t="n">
        <x:f>IF(AND($K109="Yes",OR($O109="FAIL",$O109="BLOCKED",$O109="NOT RUN",$O109="IN PROGRESS")),1,0)</x:f>
        <x:v>1</x:v>
      </x:c>
      <x:c r="Y109" s="32" t="str">
        <x:f>IF($O109="FAIL","FAIL",IF($O109="BLOCKED","BLOCKED",IF(AND($O109="EXCEPTION APPROVED",$K109="Yes"),"REVIEW",IF($O109="PASS","OK","PENDING"))))</x:f>
        <x:v>PENDING</x:v>
      </x:c>
    </x:row>
    <x:row r="110">
      <x:c r="A110" s="32" t="str">
        <x:v>REL-LOC-010</x:v>
      </x:c>
      <x:c r="B110" s="32" t="str">
        <x:v>Localización de producto y tienda</x:v>
      </x:c>
      <x:c r="C110" s="32" t="str">
        <x:v>Release readiness</x:v>
      </x:c>
      <x:c r="D110" s="32" t="str">
        <x:v>Los créditos de traducción y proveedores están completos.</x:v>
      </x:c>
      <x:c r="E110" s="32" t="str">
        <x:v>Revisar, ejecutar y registrar evidencia reproducible.</x:v>
      </x:c>
      <x:c r="F110" s="32" t="str">
        <x:v>Cumplimiento verificable antes del gate indicado.</x:v>
      </x:c>
      <x:c r="G110" s="32" t="str">
        <x:v>Localization credits.</x:v>
      </x:c>
      <x:c r="H110" s="32" t="str">
        <x:v>22_Localization_Plan.md; 24_Steam_Publishing_Plan.md; 28_Marketing_and_Communication_Plan.md</x:v>
      </x:c>
      <x:c r="I110" s="32" t="str">
        <x:v>Localization/Steam/Marketing historical v0.3–v0.5</x:v>
      </x:c>
      <x:c r="J110" s="32" t="str">
        <x:v>Release</x:v>
      </x:c>
      <x:c r="K110" s="32" t="str">
        <x:v>Yes</x:v>
      </x:c>
      <x:c r="L110" s="32" t="str">
        <x:v>P1</x:v>
      </x:c>
      <x:c r="M110" s="32" t="str">
        <x:v>Localization</x:v>
      </x:c>
      <x:c r="N110" s="32" t="str">
        <x:v>LQA/Legal/Marketing</x:v>
      </x:c>
      <x:c r="O110" s="32" t="str">
        <x:v>NOT RUN</x:v>
      </x:c>
      <x:c r="P110" s="32" t="str"/>
      <x:c r="Q110" s="32" t="str"/>
      <x:c r="R110" s="32" t="str"/>
      <x:c r="S110" s="32" t="str"/>
      <x:c r="T110" s="82" t="str"/>
      <x:c r="U110" s="32" t="str"/>
      <x:c r="V110" s="84" t="n">
        <x:v>1</x:v>
      </x:c>
      <x:c r="W110" s="84" t="n">
        <x:f>IF(OR($O110="PASS",$O110="EXCEPTION APPROVED",$O110="NOT APPLICABLE"),$V110,0)</x:f>
        <x:v>0</x:v>
      </x:c>
      <x:c r="X110" s="84" t="n">
        <x:f>IF(AND($K110="Yes",OR($O110="FAIL",$O110="BLOCKED",$O110="NOT RUN",$O110="IN PROGRESS")),1,0)</x:f>
        <x:v>1</x:v>
      </x:c>
      <x:c r="Y110" s="32" t="str">
        <x:f>IF($O110="FAIL","FAIL",IF($O110="BLOCKED","BLOCKED",IF(AND($O110="EXCEPTION APPROVED",$K110="Yes"),"REVIEW",IF($O110="PASS","OK","PENDING"))))</x:f>
        <x:v>PENDING</x:v>
      </x:c>
    </x:row>
    <x:row r="111">
      <x:c r="A111" s="32" t="str">
        <x:v>REL-LOC-011</x:v>
      </x:c>
      <x:c r="B111" s="32" t="str">
        <x:v>Localización de producto y tienda</x:v>
      </x:c>
      <x:c r="C111" s="32" t="str">
        <x:v>Release readiness</x:v>
      </x:c>
      <x:c r="D111" s="32" t="str">
        <x:v>La página de Steam no marca idiomas no soportados o soporte de audio inexistente.</x:v>
      </x:c>
      <x:c r="E111" s="32" t="str">
        <x:v>Revisar, ejecutar y registrar evidencia reproducible.</x:v>
      </x:c>
      <x:c r="F111" s="32" t="str">
        <x:v>Cumplimiento verificable antes del gate indicado.</x:v>
      </x:c>
      <x:c r="G111" s="32" t="str">
        <x:v>Language declaration review.</x:v>
      </x:c>
      <x:c r="H111" s="32" t="str">
        <x:v>22_Localization_Plan.md; 24_Steam_Publishing_Plan.md; 28_Marketing_and_Communication_Plan.md</x:v>
      </x:c>
      <x:c r="I111" s="32" t="str">
        <x:v>Localization/Steam/Marketing historical v0.3–v0.5</x:v>
      </x:c>
      <x:c r="J111" s="32" t="str">
        <x:v>Release</x:v>
      </x:c>
      <x:c r="K111" s="32" t="str">
        <x:v>Yes</x:v>
      </x:c>
      <x:c r="L111" s="32" t="str">
        <x:v>P1</x:v>
      </x:c>
      <x:c r="M111" s="32" t="str">
        <x:v>Localization</x:v>
      </x:c>
      <x:c r="N111" s="32" t="str">
        <x:v>LQA/Legal/Marketing</x:v>
      </x:c>
      <x:c r="O111" s="32" t="str">
        <x:v>NOT RUN</x:v>
      </x:c>
      <x:c r="P111" s="32" t="str"/>
      <x:c r="Q111" s="32" t="str"/>
      <x:c r="R111" s="32" t="str"/>
      <x:c r="S111" s="32" t="str"/>
      <x:c r="T111" s="82" t="str"/>
      <x:c r="U111" s="32" t="str"/>
      <x:c r="V111" s="84" t="n">
        <x:v>1</x:v>
      </x:c>
      <x:c r="W111" s="84" t="n">
        <x:f>IF(OR($O111="PASS",$O111="EXCEPTION APPROVED",$O111="NOT APPLICABLE"),$V111,0)</x:f>
        <x:v>0</x:v>
      </x:c>
      <x:c r="X111" s="84" t="n">
        <x:f>IF(AND($K111="Yes",OR($O111="FAIL",$O111="BLOCKED",$O111="NOT RUN",$O111="IN PROGRESS")),1,0)</x:f>
        <x:v>1</x:v>
      </x:c>
      <x:c r="Y111" s="32" t="str">
        <x:f>IF($O111="FAIL","FAIL",IF($O111="BLOCKED","BLOCKED",IF(AND($O111="EXCEPTION APPROVED",$K111="Yes"),"REVIEW",IF($O111="PASS","OK","PENDING"))))</x:f>
        <x:v>PENDING</x:v>
      </x:c>
    </x:row>
    <x:row r="112">
      <x:c r="A112" s="32" t="str">
        <x:v>REL-LOC-012</x:v>
      </x:c>
      <x:c r="B112" s="32" t="str">
        <x:v>Localización de producto y tienda</x:v>
      </x:c>
      <x:c r="C112" s="32" t="str">
        <x:v>Release readiness</x:v>
      </x:c>
      <x:c r="D112" s="32" t="str">
        <x:v>El pipeline permite parchear texto sin romper IDs o saves.</x:v>
      </x:c>
      <x:c r="E112" s="32" t="str">
        <x:v>Revisar, ejecutar y registrar evidencia reproducible.</x:v>
      </x:c>
      <x:c r="F112" s="32" t="str">
        <x:v>Cumplimiento verificable antes del gate indicado.</x:v>
      </x:c>
      <x:c r="G112" s="32" t="str">
        <x:v>Localization patch test.</x:v>
      </x:c>
      <x:c r="H112" s="32" t="str">
        <x:v>22_Localization_Plan.md; 24_Steam_Publishing_Plan.md; 28_Marketing_and_Communication_Plan.md</x:v>
      </x:c>
      <x:c r="I112" s="32" t="str">
        <x:v>Localization/Steam/Marketing historical v0.3–v0.5</x:v>
      </x:c>
      <x:c r="J112" s="32" t="str">
        <x:v>Release</x:v>
      </x:c>
      <x:c r="K112" s="32" t="str">
        <x:v>Yes</x:v>
      </x:c>
      <x:c r="L112" s="32" t="str">
        <x:v>P1</x:v>
      </x:c>
      <x:c r="M112" s="32" t="str">
        <x:v>Localization</x:v>
      </x:c>
      <x:c r="N112" s="32" t="str">
        <x:v>LQA/Legal/Marketing</x:v>
      </x:c>
      <x:c r="O112" s="32" t="str">
        <x:v>NOT RUN</x:v>
      </x:c>
      <x:c r="P112" s="32" t="str"/>
      <x:c r="Q112" s="32" t="str"/>
      <x:c r="R112" s="32" t="str"/>
      <x:c r="S112" s="32" t="str"/>
      <x:c r="T112" s="82" t="str"/>
      <x:c r="U112" s="32" t="str"/>
      <x:c r="V112" s="84" t="n">
        <x:v>1</x:v>
      </x:c>
      <x:c r="W112" s="84" t="n">
        <x:f>IF(OR($O112="PASS",$O112="EXCEPTION APPROVED",$O112="NOT APPLICABLE"),$V112,0)</x:f>
        <x:v>0</x:v>
      </x:c>
      <x:c r="X112" s="84" t="n">
        <x:f>IF(AND($K112="Yes",OR($O112="FAIL",$O112="BLOCKED",$O112="NOT RUN",$O112="IN PROGRESS")),1,0)</x:f>
        <x:v>1</x:v>
      </x:c>
      <x:c r="Y112" s="32" t="str">
        <x:f>IF($O112="FAIL","FAIL",IF($O112="BLOCKED","BLOCKED",IF(AND($O112="EXCEPTION APPROVED",$K112="Yes"),"REVIEW",IF($O112="PASS","OK","PENDING"))))</x:f>
        <x:v>PENDING</x:v>
      </x:c>
    </x:row>
    <x:row r="113">
      <x:c r="A113" s="32" t="str">
        <x:v>REL-LEG-001</x:v>
      </x:c>
      <x:c r="B113" s="32" t="str">
        <x:v>Legal, privacidad y créditos</x:v>
      </x:c>
      <x:c r="C113" s="32" t="str">
        <x:v>Release readiness</x:v>
      </x:c>
      <x:c r="D113" s="32" t="str">
        <x:v>Naming, marcas y assets públicos tienen clearance comercial suficiente.</x:v>
      </x:c>
      <x:c r="E113" s="32" t="str">
        <x:v>Revisar, ejecutar y registrar evidencia reproducible.</x:v>
      </x:c>
      <x:c r="F113" s="32" t="str">
        <x:v>Cumplimiento verificable antes del gate indicado.</x:v>
      </x:c>
      <x:c r="G113" s="32" t="str">
        <x:v>Release clearance package.</x:v>
      </x:c>
      <x:c r="H113" s="32" t="str">
        <x:v>23_Legal_Credits_and_Licenses_Register.xlsx; 26_Privacy_Data_and_Telemetry_Plan.md; 28_Marketing_and_Communication_Plan.md</x:v>
      </x:c>
      <x:c r="I113" s="32" t="str">
        <x:v>Legal/Localization/Marketing historical v0.3–v0.5</x:v>
      </x:c>
      <x:c r="J113" s="32" t="str">
        <x:v>Release</x:v>
      </x:c>
      <x:c r="K113" s="32" t="str">
        <x:v>Yes</x:v>
      </x:c>
      <x:c r="L113" s="32" t="str">
        <x:v>P0</x:v>
      </x:c>
      <x:c r="M113" s="32" t="str">
        <x:v>Legal/Privacy</x:v>
      </x:c>
      <x:c r="N113" s="32" t="str">
        <x:v>Production/Marketing</x:v>
      </x:c>
      <x:c r="O113" s="32" t="str">
        <x:v>NOT RUN</x:v>
      </x:c>
      <x:c r="P113" s="32" t="str"/>
      <x:c r="Q113" s="32" t="str"/>
      <x:c r="R113" s="32" t="str"/>
      <x:c r="S113" s="32" t="str"/>
      <x:c r="T113" s="82" t="str"/>
      <x:c r="U113" s="32" t="str"/>
      <x:c r="V113" s="84" t="n">
        <x:v>1</x:v>
      </x:c>
      <x:c r="W113" s="84" t="n">
        <x:f>IF(OR($O113="PASS",$O113="EXCEPTION APPROVED",$O113="NOT APPLICABLE"),$V113,0)</x:f>
        <x:v>0</x:v>
      </x:c>
      <x:c r="X113" s="84" t="n">
        <x:f>IF(AND($K113="Yes",OR($O113="FAIL",$O113="BLOCKED",$O113="NOT RUN",$O113="IN PROGRESS")),1,0)</x:f>
        <x:v>1</x:v>
      </x:c>
      <x:c r="Y113" s="32" t="str">
        <x:f>IF($O113="FAIL","FAIL",IF($O113="BLOCKED","BLOCKED",IF(AND($O113="EXCEPTION APPROVED",$K113="Yes"),"REVIEW",IF($O113="PASS","OK","PENDING"))))</x:f>
        <x:v>PENDING</x:v>
      </x:c>
    </x:row>
    <x:row r="114">
      <x:c r="A114" s="32" t="str">
        <x:v>REL-LEG-002</x:v>
      </x:c>
      <x:c r="B114" s="32" t="str">
        <x:v>Legal, privacidad y créditos</x:v>
      </x:c>
      <x:c r="C114" s="32" t="str">
        <x:v>Release readiness</x:v>
      </x:c>
      <x:c r="D114" s="32" t="str">
        <x:v>El registro de licencias cubre cada archivo distribuido de terceros.</x:v>
      </x:c>
      <x:c r="E114" s="32" t="str">
        <x:v>Revisar, ejecutar y registrar evidencia reproducible.</x:v>
      </x:c>
      <x:c r="F114" s="32" t="str">
        <x:v>Cumplimiento verificable antes del gate indicado.</x:v>
      </x:c>
      <x:c r="G114" s="32" t="str">
        <x:v>Release license coverage.</x:v>
      </x:c>
      <x:c r="H114" s="32" t="str">
        <x:v>23_Legal_Credits_and_Licenses_Register.xlsx; 26_Privacy_Data_and_Telemetry_Plan.md; 28_Marketing_and_Communication_Plan.md</x:v>
      </x:c>
      <x:c r="I114" s="32" t="str">
        <x:v>Legal/Localization/Marketing historical v0.3–v0.5</x:v>
      </x:c>
      <x:c r="J114" s="32" t="str">
        <x:v>Release</x:v>
      </x:c>
      <x:c r="K114" s="32" t="str">
        <x:v>Yes</x:v>
      </x:c>
      <x:c r="L114" s="32" t="str">
        <x:v>P0</x:v>
      </x:c>
      <x:c r="M114" s="32" t="str">
        <x:v>Legal/Privacy</x:v>
      </x:c>
      <x:c r="N114" s="32" t="str">
        <x:v>Production/Marketing</x:v>
      </x:c>
      <x:c r="O114" s="32" t="str">
        <x:v>NOT RUN</x:v>
      </x:c>
      <x:c r="P114" s="32" t="str"/>
      <x:c r="Q114" s="32" t="str"/>
      <x:c r="R114" s="32" t="str"/>
      <x:c r="S114" s="32" t="str"/>
      <x:c r="T114" s="82" t="str"/>
      <x:c r="U114" s="32" t="str"/>
      <x:c r="V114" s="84" t="n">
        <x:v>1</x:v>
      </x:c>
      <x:c r="W114" s="84" t="n">
        <x:f>IF(OR($O114="PASS",$O114="EXCEPTION APPROVED",$O114="NOT APPLICABLE"),$V114,0)</x:f>
        <x:v>0</x:v>
      </x:c>
      <x:c r="X114" s="84" t="n">
        <x:f>IF(AND($K114="Yes",OR($O114="FAIL",$O114="BLOCKED",$O114="NOT RUN",$O114="IN PROGRESS")),1,0)</x:f>
        <x:v>1</x:v>
      </x:c>
      <x:c r="Y114" s="32" t="str">
        <x:f>IF($O114="FAIL","FAIL",IF($O114="BLOCKED","BLOCKED",IF(AND($O114="EXCEPTION APPROVED",$K114="Yes"),"REVIEW",IF($O114="PASS","OK","PENDING"))))</x:f>
        <x:v>PENDING</x:v>
      </x:c>
    </x:row>
    <x:row r="115">
      <x:c r="A115" s="32" t="str">
        <x:v>REL-LEG-003</x:v>
      </x:c>
      <x:c r="B115" s="32" t="str">
        <x:v>Legal, privacidad y créditos</x:v>
      </x:c>
      <x:c r="C115" s="32" t="str">
        <x:v>Release readiness</x:v>
      </x:c>
      <x:c r="D115" s="32" t="str">
        <x:v>Notices, atribuciones y créditos obligatorios están incluidos y accesibles.</x:v>
      </x:c>
      <x:c r="E115" s="32" t="str">
        <x:v>Revisar, ejecutar y registrar evidencia reproducible.</x:v>
      </x:c>
      <x:c r="F115" s="32" t="str">
        <x:v>Cumplimiento verificable antes del gate indicado.</x:v>
      </x:c>
      <x:c r="G115" s="32" t="str">
        <x:v>Credits/notices QA.</x:v>
      </x:c>
      <x:c r="H115" s="32" t="str">
        <x:v>23_Legal_Credits_and_Licenses_Register.xlsx; 26_Privacy_Data_and_Telemetry_Plan.md; 28_Marketing_and_Communication_Plan.md</x:v>
      </x:c>
      <x:c r="I115" s="32" t="str">
        <x:v>Legal/Localization/Marketing historical v0.3–v0.5</x:v>
      </x:c>
      <x:c r="J115" s="32" t="str">
        <x:v>Release</x:v>
      </x:c>
      <x:c r="K115" s="32" t="str">
        <x:v>Yes</x:v>
      </x:c>
      <x:c r="L115" s="32" t="str">
        <x:v>P1</x:v>
      </x:c>
      <x:c r="M115" s="32" t="str">
        <x:v>Legal/Privacy</x:v>
      </x:c>
      <x:c r="N115" s="32" t="str">
        <x:v>Production/Marketing</x:v>
      </x:c>
      <x:c r="O115" s="32" t="str">
        <x:v>NOT RUN</x:v>
      </x:c>
      <x:c r="P115" s="32" t="str"/>
      <x:c r="Q115" s="32" t="str"/>
      <x:c r="R115" s="32" t="str"/>
      <x:c r="S115" s="32" t="str"/>
      <x:c r="T115" s="82" t="str"/>
      <x:c r="U115" s="32" t="str"/>
      <x:c r="V115" s="84" t="n">
        <x:v>1</x:v>
      </x:c>
      <x:c r="W115" s="84" t="n">
        <x:f>IF(OR($O115="PASS",$O115="EXCEPTION APPROVED",$O115="NOT APPLICABLE"),$V115,0)</x:f>
        <x:v>0</x:v>
      </x:c>
      <x:c r="X115" s="84" t="n">
        <x:f>IF(AND($K115="Yes",OR($O115="FAIL",$O115="BLOCKED",$O115="NOT RUN",$O115="IN PROGRESS")),1,0)</x:f>
        <x:v>1</x:v>
      </x:c>
      <x:c r="Y115" s="32" t="str">
        <x:f>IF($O115="FAIL","FAIL",IF($O115="BLOCKED","BLOCKED",IF(AND($O115="EXCEPTION APPROVED",$K115="Yes"),"REVIEW",IF($O115="PASS","OK","PENDING"))))</x:f>
        <x:v>PENDING</x:v>
      </x:c>
    </x:row>
    <x:row r="116">
      <x:c r="A116" s="32" t="str">
        <x:v>REL-LEG-004</x:v>
      </x:c>
      <x:c r="B116" s="32" t="str">
        <x:v>Legal, privacidad y créditos</x:v>
      </x:c>
      <x:c r="C116" s="32" t="str">
        <x:v>Release readiness</x:v>
      </x:c>
      <x:c r="D116" s="32" t="str">
        <x:v>La política de privacidad publicada coincide con datos y proveedores reales.</x:v>
      </x:c>
      <x:c r="E116" s="32" t="str">
        <x:v>Revisar, ejecutar y registrar evidencia reproducible.</x:v>
      </x:c>
      <x:c r="F116" s="32" t="str">
        <x:v>Cumplimiento verificable antes del gate indicado.</x:v>
      </x:c>
      <x:c r="G116" s="32" t="str">
        <x:v>Privacy policy signoff.</x:v>
      </x:c>
      <x:c r="H116" s="32" t="str">
        <x:v>23_Legal_Credits_and_Licenses_Register.xlsx; 26_Privacy_Data_and_Telemetry_Plan.md; 28_Marketing_and_Communication_Plan.md</x:v>
      </x:c>
      <x:c r="I116" s="32" t="str">
        <x:v>Legal/Localization/Marketing historical v0.3–v0.5</x:v>
      </x:c>
      <x:c r="J116" s="32" t="str">
        <x:v>Release</x:v>
      </x:c>
      <x:c r="K116" s="32" t="str">
        <x:v>Yes</x:v>
      </x:c>
      <x:c r="L116" s="32" t="str">
        <x:v>P0</x:v>
      </x:c>
      <x:c r="M116" s="32" t="str">
        <x:v>Legal/Privacy</x:v>
      </x:c>
      <x:c r="N116" s="32" t="str">
        <x:v>Production/Marketing</x:v>
      </x:c>
      <x:c r="O116" s="32" t="str">
        <x:v>NOT RUN</x:v>
      </x:c>
      <x:c r="P116" s="32" t="str"/>
      <x:c r="Q116" s="32" t="str"/>
      <x:c r="R116" s="32" t="str"/>
      <x:c r="S116" s="32" t="str"/>
      <x:c r="T116" s="82" t="str"/>
      <x:c r="U116" s="32" t="str"/>
      <x:c r="V116" s="84" t="n">
        <x:v>1</x:v>
      </x:c>
      <x:c r="W116" s="84" t="n">
        <x:f>IF(OR($O116="PASS",$O116="EXCEPTION APPROVED",$O116="NOT APPLICABLE"),$V116,0)</x:f>
        <x:v>0</x:v>
      </x:c>
      <x:c r="X116" s="84" t="n">
        <x:f>IF(AND($K116="Yes",OR($O116="FAIL",$O116="BLOCKED",$O116="NOT RUN",$O116="IN PROGRESS")),1,0)</x:f>
        <x:v>1</x:v>
      </x:c>
      <x:c r="Y116" s="32" t="str">
        <x:f>IF($O116="FAIL","FAIL",IF($O116="BLOCKED","BLOCKED",IF(AND($O116="EXCEPTION APPROVED",$K116="Yes"),"REVIEW",IF($O116="PASS","OK","PENDING"))))</x:f>
        <x:v>PENDING</x:v>
      </x:c>
    </x:row>
    <x:row r="117">
      <x:c r="A117" s="32" t="str">
        <x:v>REL-LEG-005</x:v>
      </x:c>
      <x:c r="B117" s="32" t="str">
        <x:v>Legal, privacidad y créditos</x:v>
      </x:c>
      <x:c r="C117" s="32" t="str">
        <x:v>Release readiness</x:v>
      </x:c>
      <x:c r="D117" s="32" t="str">
        <x:v>Consentimiento y preferencias de telemetría cumplen el plan aprobado.</x:v>
      </x:c>
      <x:c r="E117" s="32" t="str">
        <x:v>Revisar, ejecutar y registrar evidencia reproducible.</x:v>
      </x:c>
      <x:c r="F117" s="32" t="str">
        <x:v>Cumplimiento verificable antes del gate indicado.</x:v>
      </x:c>
      <x:c r="G117" s="32" t="str">
        <x:v>Consent flow QA.</x:v>
      </x:c>
      <x:c r="H117" s="32" t="str">
        <x:v>23_Legal_Credits_and_Licenses_Register.xlsx; 26_Privacy_Data_and_Telemetry_Plan.md; 28_Marketing_and_Communication_Plan.md</x:v>
      </x:c>
      <x:c r="I117" s="32" t="str">
        <x:v>Legal/Localization/Marketing historical v0.3–v0.5</x:v>
      </x:c>
      <x:c r="J117" s="32" t="str">
        <x:v>Release</x:v>
      </x:c>
      <x:c r="K117" s="32" t="str">
        <x:v>Yes</x:v>
      </x:c>
      <x:c r="L117" s="32" t="str">
        <x:v>P1</x:v>
      </x:c>
      <x:c r="M117" s="32" t="str">
        <x:v>Legal/Privacy</x:v>
      </x:c>
      <x:c r="N117" s="32" t="str">
        <x:v>Production/Marketing</x:v>
      </x:c>
      <x:c r="O117" s="32" t="str">
        <x:v>NOT RUN</x:v>
      </x:c>
      <x:c r="P117" s="32" t="str"/>
      <x:c r="Q117" s="32" t="str"/>
      <x:c r="R117" s="32" t="str"/>
      <x:c r="S117" s="32" t="str"/>
      <x:c r="T117" s="82" t="str"/>
      <x:c r="U117" s="32" t="str"/>
      <x:c r="V117" s="84" t="n">
        <x:v>1</x:v>
      </x:c>
      <x:c r="W117" s="84" t="n">
        <x:f>IF(OR($O117="PASS",$O117="EXCEPTION APPROVED",$O117="NOT APPLICABLE"),$V117,0)</x:f>
        <x:v>0</x:v>
      </x:c>
      <x:c r="X117" s="84" t="n">
        <x:f>IF(AND($K117="Yes",OR($O117="FAIL",$O117="BLOCKED",$O117="NOT RUN",$O117="IN PROGRESS")),1,0)</x:f>
        <x:v>1</x:v>
      </x:c>
      <x:c r="Y117" s="32" t="str">
        <x:f>IF($O117="FAIL","FAIL",IF($O117="BLOCKED","BLOCKED",IF(AND($O117="EXCEPTION APPROVED",$K117="Yes"),"REVIEW",IF($O117="PASS","OK","PENDING"))))</x:f>
        <x:v>PENDING</x:v>
      </x:c>
    </x:row>
    <x:row r="118">
      <x:c r="A118" s="32" t="str">
        <x:v>REL-LEG-006</x:v>
      </x:c>
      <x:c r="B118" s="32" t="str">
        <x:v>Legal, privacidad y créditos</x:v>
      </x:c>
      <x:c r="C118" s="32" t="str">
        <x:v>Release readiness</x:v>
      </x:c>
      <x:c r="D118" s="32" t="str">
        <x:v>El EULA u otros términos, si se usan, han sido revisados y localizados.</x:v>
      </x:c>
      <x:c r="E118" s="32" t="str">
        <x:v>Revisar, ejecutar y registrar evidencia reproducible.</x:v>
      </x:c>
      <x:c r="F118" s="32" t="str">
        <x:v>Cumplimiento verificable antes del gate indicado.</x:v>
      </x:c>
      <x:c r="G118" s="32" t="str">
        <x:v>Terms approval.</x:v>
      </x:c>
      <x:c r="H118" s="32" t="str">
        <x:v>23_Legal_Credits_and_Licenses_Register.xlsx; 26_Privacy_Data_and_Telemetry_Plan.md; 28_Marketing_and_Communication_Plan.md</x:v>
      </x:c>
      <x:c r="I118" s="32" t="str">
        <x:v>Legal/Localization/Marketing historical v0.3–v0.5</x:v>
      </x:c>
      <x:c r="J118" s="32" t="str">
        <x:v>Release</x:v>
      </x:c>
      <x:c r="K118" s="32" t="str">
        <x:v>Yes</x:v>
      </x:c>
      <x:c r="L118" s="32" t="str">
        <x:v>P1</x:v>
      </x:c>
      <x:c r="M118" s="32" t="str">
        <x:v>Legal/Privacy</x:v>
      </x:c>
      <x:c r="N118" s="32" t="str">
        <x:v>Production/Marketing</x:v>
      </x:c>
      <x:c r="O118" s="32" t="str">
        <x:v>NOT RUN</x:v>
      </x:c>
      <x:c r="P118" s="32" t="str"/>
      <x:c r="Q118" s="32" t="str"/>
      <x:c r="R118" s="32" t="str"/>
      <x:c r="S118" s="32" t="str"/>
      <x:c r="T118" s="82" t="str"/>
      <x:c r="U118" s="32" t="str"/>
      <x:c r="V118" s="84" t="n">
        <x:v>1</x:v>
      </x:c>
      <x:c r="W118" s="84" t="n">
        <x:f>IF(OR($O118="PASS",$O118="EXCEPTION APPROVED",$O118="NOT APPLICABLE"),$V118,0)</x:f>
        <x:v>0</x:v>
      </x:c>
      <x:c r="X118" s="84" t="n">
        <x:f>IF(AND($K118="Yes",OR($O118="FAIL",$O118="BLOCKED",$O118="NOT RUN",$O118="IN PROGRESS")),1,0)</x:f>
        <x:v>1</x:v>
      </x:c>
      <x:c r="Y118" s="32" t="str">
        <x:f>IF($O118="FAIL","FAIL",IF($O118="BLOCKED","BLOCKED",IF(AND($O118="EXCEPTION APPROVED",$K118="Yes"),"REVIEW",IF($O118="PASS","OK","PENDING"))))</x:f>
        <x:v>PENDING</x:v>
      </x:c>
    </x:row>
    <x:row r="119">
      <x:c r="A119" s="32" t="str">
        <x:v>REL-LEG-007</x:v>
      </x:c>
      <x:c r="B119" s="32" t="str">
        <x:v>Legal, privacidad y créditos</x:v>
      </x:c>
      <x:c r="C119" s="32" t="str">
        <x:v>Release readiness</x:v>
      </x:c>
      <x:c r="D119" s="32" t="str">
        <x:v>Las clasificaciones de edad y disclosures de contenido están completados.</x:v>
      </x:c>
      <x:c r="E119" s="32" t="str">
        <x:v>Revisar, ejecutar y registrar evidencia reproducible.</x:v>
      </x:c>
      <x:c r="F119" s="32" t="str">
        <x:v>Cumplimiento verificable antes del gate indicado.</x:v>
      </x:c>
      <x:c r="G119" s="32" t="str">
        <x:v>Ratings/content records.</x:v>
      </x:c>
      <x:c r="H119" s="32" t="str">
        <x:v>23_Legal_Credits_and_Licenses_Register.xlsx; 26_Privacy_Data_and_Telemetry_Plan.md; 28_Marketing_and_Communication_Plan.md</x:v>
      </x:c>
      <x:c r="I119" s="32" t="str">
        <x:v>Legal/Localization/Marketing historical v0.3–v0.5</x:v>
      </x:c>
      <x:c r="J119" s="32" t="str">
        <x:v>Release</x:v>
      </x:c>
      <x:c r="K119" s="32" t="str">
        <x:v>Yes</x:v>
      </x:c>
      <x:c r="L119" s="32" t="str">
        <x:v>P1</x:v>
      </x:c>
      <x:c r="M119" s="32" t="str">
        <x:v>Legal/Privacy</x:v>
      </x:c>
      <x:c r="N119" s="32" t="str">
        <x:v>Production/Marketing</x:v>
      </x:c>
      <x:c r="O119" s="32" t="str">
        <x:v>NOT RUN</x:v>
      </x:c>
      <x:c r="P119" s="32" t="str"/>
      <x:c r="Q119" s="32" t="str"/>
      <x:c r="R119" s="32" t="str"/>
      <x:c r="S119" s="32" t="str"/>
      <x:c r="T119" s="82" t="str"/>
      <x:c r="U119" s="32" t="str"/>
      <x:c r="V119" s="84" t="n">
        <x:v>1</x:v>
      </x:c>
      <x:c r="W119" s="84" t="n">
        <x:f>IF(OR($O119="PASS",$O119="EXCEPTION APPROVED",$O119="NOT APPLICABLE"),$V119,0)</x:f>
        <x:v>0</x:v>
      </x:c>
      <x:c r="X119" s="84" t="n">
        <x:f>IF(AND($K119="Yes",OR($O119="FAIL",$O119="BLOCKED",$O119="NOT RUN",$O119="IN PROGRESS")),1,0)</x:f>
        <x:v>1</x:v>
      </x:c>
      <x:c r="Y119" s="32" t="str">
        <x:f>IF($O119="FAIL","FAIL",IF($O119="BLOCKED","BLOCKED",IF(AND($O119="EXCEPTION APPROVED",$K119="Yes"),"REVIEW",IF($O119="PASS","OK","PENDING"))))</x:f>
        <x:v>PENDING</x:v>
      </x:c>
    </x:row>
    <x:row r="120">
      <x:c r="A120" s="32" t="str">
        <x:v>REL-LEG-008</x:v>
      </x:c>
      <x:c r="B120" s="32" t="str">
        <x:v>Legal, privacidad y créditos</x:v>
      </x:c>
      <x:c r="C120" s="32" t="str">
        <x:v>Release readiness</x:v>
      </x:c>
      <x:c r="D120" s="32" t="str">
        <x:v>Los derechos de música, audio, fuentes, imágenes y trailer cubren marketing y distribución.</x:v>
      </x:c>
      <x:c r="E120" s="32" t="str">
        <x:v>Revisar, ejecutar y registrar evidencia reproducible.</x:v>
      </x:c>
      <x:c r="F120" s="32" t="str">
        <x:v>Cumplimiento verificable antes del gate indicado.</x:v>
      </x:c>
      <x:c r="G120" s="32" t="str">
        <x:v>Media rights matrix.</x:v>
      </x:c>
      <x:c r="H120" s="32" t="str">
        <x:v>23_Legal_Credits_and_Licenses_Register.xlsx; 26_Privacy_Data_and_Telemetry_Plan.md; 28_Marketing_and_Communication_Plan.md</x:v>
      </x:c>
      <x:c r="I120" s="32" t="str">
        <x:v>Legal/Localization/Marketing historical v0.3–v0.5</x:v>
      </x:c>
      <x:c r="J120" s="32" t="str">
        <x:v>Release</x:v>
      </x:c>
      <x:c r="K120" s="32" t="str">
        <x:v>Yes</x:v>
      </x:c>
      <x:c r="L120" s="32" t="str">
        <x:v>P1</x:v>
      </x:c>
      <x:c r="M120" s="32" t="str">
        <x:v>Legal/Privacy</x:v>
      </x:c>
      <x:c r="N120" s="32" t="str">
        <x:v>Production/Marketing</x:v>
      </x:c>
      <x:c r="O120" s="32" t="str">
        <x:v>NOT RUN</x:v>
      </x:c>
      <x:c r="P120" s="32" t="str"/>
      <x:c r="Q120" s="32" t="str"/>
      <x:c r="R120" s="32" t="str"/>
      <x:c r="S120" s="32" t="str"/>
      <x:c r="T120" s="82" t="str"/>
      <x:c r="U120" s="32" t="str"/>
      <x:c r="V120" s="84" t="n">
        <x:v>1</x:v>
      </x:c>
      <x:c r="W120" s="84" t="n">
        <x:f>IF(OR($O120="PASS",$O120="EXCEPTION APPROVED",$O120="NOT APPLICABLE"),$V120,0)</x:f>
        <x:v>0</x:v>
      </x:c>
      <x:c r="X120" s="84" t="n">
        <x:f>IF(AND($K120="Yes",OR($O120="FAIL",$O120="BLOCKED",$O120="NOT RUN",$O120="IN PROGRESS")),1,0)</x:f>
        <x:v>1</x:v>
      </x:c>
      <x:c r="Y120" s="32" t="str">
        <x:f>IF($O120="FAIL","FAIL",IF($O120="BLOCKED","BLOCKED",IF(AND($O120="EXCEPTION APPROVED",$K120="Yes"),"REVIEW",IF($O120="PASS","OK","PENDING"))))</x:f>
        <x:v>PENDING</x:v>
      </x:c>
    </x:row>
    <x:row r="121">
      <x:c r="A121" s="32" t="str">
        <x:v>REL-LEG-009</x:v>
      </x:c>
      <x:c r="B121" s="32" t="str">
        <x:v>Legal, privacidad y créditos</x:v>
      </x:c>
      <x:c r="C121" s="32" t="str">
        <x:v>Release readiness</x:v>
      </x:c>
      <x:c r="D121" s="32" t="str">
        <x:v>Los nombres/créditos de colaboradores cuentan con autorización y formato acordado.</x:v>
      </x:c>
      <x:c r="E121" s="32" t="str">
        <x:v>Revisar, ejecutar y registrar evidencia reproducible.</x:v>
      </x:c>
      <x:c r="F121" s="32" t="str">
        <x:v>Cumplimiento verificable antes del gate indicado.</x:v>
      </x:c>
      <x:c r="G121" s="32" t="str">
        <x:v>Credit consent register.</x:v>
      </x:c>
      <x:c r="H121" s="32" t="str">
        <x:v>23_Legal_Credits_and_Licenses_Register.xlsx; 26_Privacy_Data_and_Telemetry_Plan.md; 28_Marketing_and_Communication_Plan.md</x:v>
      </x:c>
      <x:c r="I121" s="32" t="str">
        <x:v>Legal/Localization/Marketing historical v0.3–v0.5</x:v>
      </x:c>
      <x:c r="J121" s="32" t="str">
        <x:v>Release</x:v>
      </x:c>
      <x:c r="K121" s="32" t="str">
        <x:v>Yes</x:v>
      </x:c>
      <x:c r="L121" s="32" t="str">
        <x:v>P1</x:v>
      </x:c>
      <x:c r="M121" s="32" t="str">
        <x:v>Legal/Privacy</x:v>
      </x:c>
      <x:c r="N121" s="32" t="str">
        <x:v>Production/Marketing</x:v>
      </x:c>
      <x:c r="O121" s="32" t="str">
        <x:v>NOT RUN</x:v>
      </x:c>
      <x:c r="P121" s="32" t="str"/>
      <x:c r="Q121" s="32" t="str"/>
      <x:c r="R121" s="32" t="str"/>
      <x:c r="S121" s="32" t="str"/>
      <x:c r="T121" s="82" t="str"/>
      <x:c r="U121" s="32" t="str"/>
      <x:c r="V121" s="84" t="n">
        <x:v>1</x:v>
      </x:c>
      <x:c r="W121" s="84" t="n">
        <x:f>IF(OR($O121="PASS",$O121="EXCEPTION APPROVED",$O121="NOT APPLICABLE"),$V121,0)</x:f>
        <x:v>0</x:v>
      </x:c>
      <x:c r="X121" s="84" t="n">
        <x:f>IF(AND($K121="Yes",OR($O121="FAIL",$O121="BLOCKED",$O121="NOT RUN",$O121="IN PROGRESS")),1,0)</x:f>
        <x:v>1</x:v>
      </x:c>
      <x:c r="Y121" s="32" t="str">
        <x:f>IF($O121="FAIL","FAIL",IF($O121="BLOCKED","BLOCKED",IF(AND($O121="EXCEPTION APPROVED",$K121="Yes"),"REVIEW",IF($O121="PASS","OK","PENDING"))))</x:f>
        <x:v>PENDING</x:v>
      </x:c>
    </x:row>
    <x:row r="122">
      <x:c r="A122" s="32" t="str">
        <x:v>REL-LEG-010</x:v>
      </x:c>
      <x:c r="B122" s="32" t="str">
        <x:v>Legal, privacidad y créditos</x:v>
      </x:c>
      <x:c r="C122" s="32" t="str">
        <x:v>Release readiness</x:v>
      </x:c>
      <x:c r="D122" s="32" t="str">
        <x:v>Los proveedores que tratan datos están inventariados y contratados cuando corresponde.</x:v>
      </x:c>
      <x:c r="E122" s="32" t="str">
        <x:v>Revisar, ejecutar y registrar evidencia reproducible.</x:v>
      </x:c>
      <x:c r="F122" s="32" t="str">
        <x:v>Cumplimiento verificable antes del gate indicado.</x:v>
      </x:c>
      <x:c r="G122" s="32" t="str">
        <x:v>Processor register.</x:v>
      </x:c>
      <x:c r="H122" s="32" t="str">
        <x:v>23_Legal_Credits_and_Licenses_Register.xlsx; 26_Privacy_Data_and_Telemetry_Plan.md; 28_Marketing_and_Communication_Plan.md</x:v>
      </x:c>
      <x:c r="I122" s="32" t="str">
        <x:v>Legal/Localization/Marketing historical v0.3–v0.5</x:v>
      </x:c>
      <x:c r="J122" s="32" t="str">
        <x:v>Release</x:v>
      </x:c>
      <x:c r="K122" s="32" t="str">
        <x:v>Yes</x:v>
      </x:c>
      <x:c r="L122" s="32" t="str">
        <x:v>P1</x:v>
      </x:c>
      <x:c r="M122" s="32" t="str">
        <x:v>Legal/Privacy</x:v>
      </x:c>
      <x:c r="N122" s="32" t="str">
        <x:v>Production/Marketing</x:v>
      </x:c>
      <x:c r="O122" s="32" t="str">
        <x:v>NOT RUN</x:v>
      </x:c>
      <x:c r="P122" s="32" t="str"/>
      <x:c r="Q122" s="32" t="str"/>
      <x:c r="R122" s="32" t="str"/>
      <x:c r="S122" s="32" t="str"/>
      <x:c r="T122" s="82" t="str"/>
      <x:c r="U122" s="32" t="str"/>
      <x:c r="V122" s="84" t="n">
        <x:v>1</x:v>
      </x:c>
      <x:c r="W122" s="84" t="n">
        <x:f>IF(OR($O122="PASS",$O122="EXCEPTION APPROVED",$O122="NOT APPLICABLE"),$V122,0)</x:f>
        <x:v>0</x:v>
      </x:c>
      <x:c r="X122" s="84" t="n">
        <x:f>IF(AND($K122="Yes",OR($O122="FAIL",$O122="BLOCKED",$O122="NOT RUN",$O122="IN PROGRESS")),1,0)</x:f>
        <x:v>1</x:v>
      </x:c>
      <x:c r="Y122" s="32" t="str">
        <x:f>IF($O122="FAIL","FAIL",IF($O122="BLOCKED","BLOCKED",IF(AND($O122="EXCEPTION APPROVED",$K122="Yes"),"REVIEW",IF($O122="PASS","OK","PENDING"))))</x:f>
        <x:v>PENDING</x:v>
      </x:c>
    </x:row>
    <x:row r="123">
      <x:c r="A123" s="32" t="str">
        <x:v>REL-LEG-011</x:v>
      </x:c>
      <x:c r="B123" s="32" t="str">
        <x:v>Legal, privacidad y créditos</x:v>
      </x:c>
      <x:c r="C123" s="32" t="str">
        <x:v>Release readiness</x:v>
      </x:c>
      <x:c r="D123" s="32" t="str">
        <x:v>El proceso de solicitudes de privacidad y eliminación está documentado si aplica.</x:v>
      </x:c>
      <x:c r="E123" s="32" t="str">
        <x:v>Revisar, ejecutar y registrar evidencia reproducible.</x:v>
      </x:c>
      <x:c r="F123" s="32" t="str">
        <x:v>Cumplimiento verificable antes del gate indicado.</x:v>
      </x:c>
      <x:c r="G123" s="32" t="str">
        <x:v>Privacy request playbook.</x:v>
      </x:c>
      <x:c r="H123" s="32" t="str">
        <x:v>23_Legal_Credits_and_Licenses_Register.xlsx; 26_Privacy_Data_and_Telemetry_Plan.md; 28_Marketing_and_Communication_Plan.md</x:v>
      </x:c>
      <x:c r="I123" s="32" t="str">
        <x:v>Legal/Localization/Marketing historical v0.3–v0.5</x:v>
      </x:c>
      <x:c r="J123" s="32" t="str">
        <x:v>Release</x:v>
      </x:c>
      <x:c r="K123" s="32" t="str">
        <x:v>Yes</x:v>
      </x:c>
      <x:c r="L123" s="32" t="str">
        <x:v>P1</x:v>
      </x:c>
      <x:c r="M123" s="32" t="str">
        <x:v>Legal/Privacy</x:v>
      </x:c>
      <x:c r="N123" s="32" t="str">
        <x:v>Production/Marketing</x:v>
      </x:c>
      <x:c r="O123" s="32" t="str">
        <x:v>NOT RUN</x:v>
      </x:c>
      <x:c r="P123" s="32" t="str"/>
      <x:c r="Q123" s="32" t="str"/>
      <x:c r="R123" s="32" t="str"/>
      <x:c r="S123" s="32" t="str"/>
      <x:c r="T123" s="82" t="str"/>
      <x:c r="U123" s="32" t="str"/>
      <x:c r="V123" s="84" t="n">
        <x:v>1</x:v>
      </x:c>
      <x:c r="W123" s="84" t="n">
        <x:f>IF(OR($O123="PASS",$O123="EXCEPTION APPROVED",$O123="NOT APPLICABLE"),$V123,0)</x:f>
        <x:v>0</x:v>
      </x:c>
      <x:c r="X123" s="84" t="n">
        <x:f>IF(AND($K123="Yes",OR($O123="FAIL",$O123="BLOCKED",$O123="NOT RUN",$O123="IN PROGRESS")),1,0)</x:f>
        <x:v>1</x:v>
      </x:c>
      <x:c r="Y123" s="32" t="str">
        <x:f>IF($O123="FAIL","FAIL",IF($O123="BLOCKED","BLOCKED",IF(AND($O123="EXCEPTION APPROVED",$K123="Yes"),"REVIEW",IF($O123="PASS","OK","PENDING"))))</x:f>
        <x:v>PENDING</x:v>
      </x:c>
    </x:row>
    <x:row r="124">
      <x:c r="A124" s="32" t="str">
        <x:v>REL-LEG-012</x:v>
      </x:c>
      <x:c r="B124" s="32" t="str">
        <x:v>Legal, privacidad y créditos</x:v>
      </x:c>
      <x:c r="C124" s="32" t="str">
        <x:v>Release readiness</x:v>
      </x:c>
      <x:c r="D124" s="32" t="str">
        <x:v>Los logs, crash reports y soporte no solicitan datos excesivos.</x:v>
      </x:c>
      <x:c r="E124" s="32" t="str">
        <x:v>Revisar, ejecutar y registrar evidencia reproducible.</x:v>
      </x:c>
      <x:c r="F124" s="32" t="str">
        <x:v>Cumplimiento verificable antes del gate indicado.</x:v>
      </x:c>
      <x:c r="G124" s="32" t="str">
        <x:v>Data minimization review.</x:v>
      </x:c>
      <x:c r="H124" s="32" t="str">
        <x:v>23_Legal_Credits_and_Licenses_Register.xlsx; 26_Privacy_Data_and_Telemetry_Plan.md; 28_Marketing_and_Communication_Plan.md</x:v>
      </x:c>
      <x:c r="I124" s="32" t="str">
        <x:v>Legal/Localization/Marketing historical v0.3–v0.5</x:v>
      </x:c>
      <x:c r="J124" s="32" t="str">
        <x:v>Release</x:v>
      </x:c>
      <x:c r="K124" s="32" t="str">
        <x:v>Yes</x:v>
      </x:c>
      <x:c r="L124" s="32" t="str">
        <x:v>P1</x:v>
      </x:c>
      <x:c r="M124" s="32" t="str">
        <x:v>Legal/Privacy</x:v>
      </x:c>
      <x:c r="N124" s="32" t="str">
        <x:v>Production/Marketing</x:v>
      </x:c>
      <x:c r="O124" s="32" t="str">
        <x:v>NOT RUN</x:v>
      </x:c>
      <x:c r="P124" s="32" t="str"/>
      <x:c r="Q124" s="32" t="str"/>
      <x:c r="R124" s="32" t="str"/>
      <x:c r="S124" s="32" t="str"/>
      <x:c r="T124" s="82" t="str"/>
      <x:c r="U124" s="32" t="str"/>
      <x:c r="V124" s="84" t="n">
        <x:v>1</x:v>
      </x:c>
      <x:c r="W124" s="84" t="n">
        <x:f>IF(OR($O124="PASS",$O124="EXCEPTION APPROVED",$O124="NOT APPLICABLE"),$V124,0)</x:f>
        <x:v>0</x:v>
      </x:c>
      <x:c r="X124" s="84" t="n">
        <x:f>IF(AND($K124="Yes",OR($O124="FAIL",$O124="BLOCKED",$O124="NOT RUN",$O124="IN PROGRESS")),1,0)</x:f>
        <x:v>1</x:v>
      </x:c>
      <x:c r="Y124" s="32" t="str">
        <x:f>IF($O124="FAIL","FAIL",IF($O124="BLOCKED","BLOCKED",IF(AND($O124="EXCEPTION APPROVED",$K124="Yes"),"REVIEW",IF($O124="PASS","OK","PENDING"))))</x:f>
        <x:v>PENDING</x:v>
      </x:c>
    </x:row>
    <x:row r="125">
      <x:c r="A125" s="32" t="str">
        <x:v>REL-LEG-013</x:v>
      </x:c>
      <x:c r="B125" s="32" t="str">
        <x:v>Legal, privacidad y créditos</x:v>
      </x:c>
      <x:c r="C125" s="32" t="str">
        <x:v>Release readiness</x:v>
      </x:c>
      <x:c r="D125" s="32" t="str">
        <x:v>La retención de datos y evidencias tiene plazos y responsables.</x:v>
      </x:c>
      <x:c r="E125" s="32" t="str">
        <x:v>Revisar, ejecutar y registrar evidencia reproducible.</x:v>
      </x:c>
      <x:c r="F125" s="32" t="str">
        <x:v>Cumplimiento verificable antes del gate indicado.</x:v>
      </x:c>
      <x:c r="G125" s="32" t="str">
        <x:v>Retention schedule.</x:v>
      </x:c>
      <x:c r="H125" s="32" t="str">
        <x:v>23_Legal_Credits_and_Licenses_Register.xlsx; 26_Privacy_Data_and_Telemetry_Plan.md; 28_Marketing_and_Communication_Plan.md</x:v>
      </x:c>
      <x:c r="I125" s="32" t="str">
        <x:v>Legal/Localization/Marketing historical v0.3–v0.5</x:v>
      </x:c>
      <x:c r="J125" s="32" t="str">
        <x:v>Release</x:v>
      </x:c>
      <x:c r="K125" s="32" t="str">
        <x:v>Yes</x:v>
      </x:c>
      <x:c r="L125" s="32" t="str">
        <x:v>P1</x:v>
      </x:c>
      <x:c r="M125" s="32" t="str">
        <x:v>Legal/Privacy</x:v>
      </x:c>
      <x:c r="N125" s="32" t="str">
        <x:v>Production/Marketing</x:v>
      </x:c>
      <x:c r="O125" s="32" t="str">
        <x:v>NOT RUN</x:v>
      </x:c>
      <x:c r="P125" s="32" t="str"/>
      <x:c r="Q125" s="32" t="str"/>
      <x:c r="R125" s="32" t="str"/>
      <x:c r="S125" s="32" t="str"/>
      <x:c r="T125" s="82" t="str"/>
      <x:c r="U125" s="32" t="str"/>
      <x:c r="V125" s="84" t="n">
        <x:v>1</x:v>
      </x:c>
      <x:c r="W125" s="84" t="n">
        <x:f>IF(OR($O125="PASS",$O125="EXCEPTION APPROVED",$O125="NOT APPLICABLE"),$V125,0)</x:f>
        <x:v>0</x:v>
      </x:c>
      <x:c r="X125" s="84" t="n">
        <x:f>IF(AND($K125="Yes",OR($O125="FAIL",$O125="BLOCKED",$O125="NOT RUN",$O125="IN PROGRESS")),1,0)</x:f>
        <x:v>1</x:v>
      </x:c>
      <x:c r="Y125" s="32" t="str">
        <x:f>IF($O125="FAIL","FAIL",IF($O125="BLOCKED","BLOCKED",IF(AND($O125="EXCEPTION APPROVED",$K125="Yes"),"REVIEW",IF($O125="PASS","OK","PENDING"))))</x:f>
        <x:v>PENDING</x:v>
      </x:c>
    </x:row>
    <x:row r="126">
      <x:c r="A126" s="32" t="str">
        <x:v>REL-LEG-014</x:v>
      </x:c>
      <x:c r="B126" s="32" t="str">
        <x:v>Legal, privacidad y créditos</x:v>
      </x:c>
      <x:c r="C126" s="32" t="str">
        <x:v>Release readiness</x:v>
      </x:c>
      <x:c r="D126" s="32" t="str">
        <x:v>No existe contenido generado/obtenido sin procedencia verificable.</x:v>
      </x:c>
      <x:c r="E126" s="32" t="str">
        <x:v>Revisar, ejecutar y registrar evidencia reproducible.</x:v>
      </x:c>
      <x:c r="F126" s="32" t="str">
        <x:v>Cumplimiento verificable antes del gate indicado.</x:v>
      </x:c>
      <x:c r="G126" s="32" t="str">
        <x:v>Provenance audit.</x:v>
      </x:c>
      <x:c r="H126" s="32" t="str">
        <x:v>23_Legal_Credits_and_Licenses_Register.xlsx; 26_Privacy_Data_and_Telemetry_Plan.md; 28_Marketing_and_Communication_Plan.md</x:v>
      </x:c>
      <x:c r="I126" s="32" t="str">
        <x:v>Legal/Localization/Marketing historical v0.3–v0.5</x:v>
      </x:c>
      <x:c r="J126" s="32" t="str">
        <x:v>Release</x:v>
      </x:c>
      <x:c r="K126" s="32" t="str">
        <x:v>Yes</x:v>
      </x:c>
      <x:c r="L126" s="32" t="str">
        <x:v>P1</x:v>
      </x:c>
      <x:c r="M126" s="32" t="str">
        <x:v>Legal/Privacy</x:v>
      </x:c>
      <x:c r="N126" s="32" t="str">
        <x:v>Production/Marketing</x:v>
      </x:c>
      <x:c r="O126" s="32" t="str">
        <x:v>NOT RUN</x:v>
      </x:c>
      <x:c r="P126" s="32" t="str"/>
      <x:c r="Q126" s="32" t="str"/>
      <x:c r="R126" s="32" t="str"/>
      <x:c r="S126" s="32" t="str"/>
      <x:c r="T126" s="82" t="str"/>
      <x:c r="U126" s="32" t="str"/>
      <x:c r="V126" s="84" t="n">
        <x:v>1</x:v>
      </x:c>
      <x:c r="W126" s="84" t="n">
        <x:f>IF(OR($O126="PASS",$O126="EXCEPTION APPROVED",$O126="NOT APPLICABLE"),$V126,0)</x:f>
        <x:v>0</x:v>
      </x:c>
      <x:c r="X126" s="84" t="n">
        <x:f>IF(AND($K126="Yes",OR($O126="FAIL",$O126="BLOCKED",$O126="NOT RUN",$O126="IN PROGRESS")),1,0)</x:f>
        <x:v>1</x:v>
      </x:c>
      <x:c r="Y126" s="32" t="str">
        <x:f>IF($O126="FAIL","FAIL",IF($O126="BLOCKED","BLOCKED",IF(AND($O126="EXCEPTION APPROVED",$K126="Yes"),"REVIEW",IF($O126="PASS","OK","PENDING"))))</x:f>
        <x:v>PENDING</x:v>
      </x:c>
    </x:row>
    <x:row r="127">
      <x:c r="A127" s="32" t="str">
        <x:v>REL-LEG-015</x:v>
      </x:c>
      <x:c r="B127" s="32" t="str">
        <x:v>Legal, privacidad y créditos</x:v>
      </x:c>
      <x:c r="C127" s="32" t="str">
        <x:v>Release readiness</x:v>
      </x:c>
      <x:c r="D127" s="32" t="str">
        <x:v>La documentación pública no ofrece garantías o funcionalidades no respaldadas.</x:v>
      </x:c>
      <x:c r="E127" s="32" t="str">
        <x:v>Revisar, ejecutar y registrar evidencia reproducible.</x:v>
      </x:c>
      <x:c r="F127" s="32" t="str">
        <x:v>Cumplimiento verificable antes del gate indicado.</x:v>
      </x:c>
      <x:c r="G127" s="32" t="str">
        <x:v>Legal claims review.</x:v>
      </x:c>
      <x:c r="H127" s="32" t="str">
        <x:v>23_Legal_Credits_and_Licenses_Register.xlsx; 26_Privacy_Data_and_Telemetry_Plan.md; 28_Marketing_and_Communication_Plan.md</x:v>
      </x:c>
      <x:c r="I127" s="32" t="str">
        <x:v>Legal/Localization/Marketing historical v0.3–v0.5</x:v>
      </x:c>
      <x:c r="J127" s="32" t="str">
        <x:v>Release</x:v>
      </x:c>
      <x:c r="K127" s="32" t="str">
        <x:v>Yes</x:v>
      </x:c>
      <x:c r="L127" s="32" t="str">
        <x:v>P1</x:v>
      </x:c>
      <x:c r="M127" s="32" t="str">
        <x:v>Legal/Privacy</x:v>
      </x:c>
      <x:c r="N127" s="32" t="str">
        <x:v>Production/Marketing</x:v>
      </x:c>
      <x:c r="O127" s="32" t="str">
        <x:v>NOT RUN</x:v>
      </x:c>
      <x:c r="P127" s="32" t="str"/>
      <x:c r="Q127" s="32" t="str"/>
      <x:c r="R127" s="32" t="str"/>
      <x:c r="S127" s="32" t="str"/>
      <x:c r="T127" s="82" t="str"/>
      <x:c r="U127" s="32" t="str"/>
      <x:c r="V127" s="84" t="n">
        <x:v>1</x:v>
      </x:c>
      <x:c r="W127" s="84" t="n">
        <x:f>IF(OR($O127="PASS",$O127="EXCEPTION APPROVED",$O127="NOT APPLICABLE"),$V127,0)</x:f>
        <x:v>0</x:v>
      </x:c>
      <x:c r="X127" s="84" t="n">
        <x:f>IF(AND($K127="Yes",OR($O127="FAIL",$O127="BLOCKED",$O127="NOT RUN",$O127="IN PROGRESS")),1,0)</x:f>
        <x:v>1</x:v>
      </x:c>
      <x:c r="Y127" s="32" t="str">
        <x:f>IF($O127="FAIL","FAIL",IF($O127="BLOCKED","BLOCKED",IF(AND($O127="EXCEPTION APPROVED",$K127="Yes"),"REVIEW",IF($O127="PASS","OK","PENDING"))))</x:f>
        <x:v>PENDING</x:v>
      </x:c>
    </x:row>
    <x:row r="128">
      <x:c r="A128" s="32" t="str">
        <x:v>REL-SEC-001</x:v>
      </x:c>
      <x:c r="B128" s="32" t="str">
        <x:v>Seguridad y respuesta a incidentes</x:v>
      </x:c>
      <x:c r="C128" s="32" t="str">
        <x:v>Release readiness</x:v>
      </x:c>
      <x:c r="D128" s="32" t="str">
        <x:v>Secrets scan, dependency scan y package audit de la RC están completos.</x:v>
      </x:c>
      <x:c r="E128" s="32" t="str">
        <x:v>Revisar, ejecutar y registrar evidencia reproducible.</x:v>
      </x:c>
      <x:c r="F128" s="32" t="str">
        <x:v>Cumplimiento verificable antes del gate indicado.</x:v>
      </x:c>
      <x:c r="G128" s="32" t="str">
        <x:v>Release security report.</x:v>
      </x:c>
      <x:c r="H128" s="32" t="str">
        <x:v>27_Security_and_Incident_Response_Plan.md; 33_Project_Risk_Register_and_Business_Continuity_Plan.xlsx</x:v>
      </x:c>
      <x:c r="I128" s="32" t="str">
        <x:v>Historical governance/build policies; document 27 consolidates previously distributed controls</x:v>
      </x:c>
      <x:c r="J128" s="32" t="str">
        <x:v>Release</x:v>
      </x:c>
      <x:c r="K128" s="32" t="str">
        <x:v>Yes</x:v>
      </x:c>
      <x:c r="L128" s="32" t="str">
        <x:v>P0</x:v>
      </x:c>
      <x:c r="M128" s="32" t="str">
        <x:v>Security</x:v>
      </x:c>
      <x:c r="N128" s="32" t="str">
        <x:v>Production/Legal</x:v>
      </x:c>
      <x:c r="O128" s="32" t="str">
        <x:v>NOT RUN</x:v>
      </x:c>
      <x:c r="P128" s="32" t="str"/>
      <x:c r="Q128" s="32" t="str"/>
      <x:c r="R128" s="32" t="str"/>
      <x:c r="S128" s="32" t="str"/>
      <x:c r="T128" s="82" t="str"/>
      <x:c r="U128" s="32" t="str"/>
      <x:c r="V128" s="84" t="n">
        <x:v>1</x:v>
      </x:c>
      <x:c r="W128" s="84" t="n">
        <x:f>IF(OR($O128="PASS",$O128="EXCEPTION APPROVED",$O128="NOT APPLICABLE"),$V128,0)</x:f>
        <x:v>0</x:v>
      </x:c>
      <x:c r="X128" s="84" t="n">
        <x:f>IF(AND($K128="Yes",OR($O128="FAIL",$O128="BLOCKED",$O128="NOT RUN",$O128="IN PROGRESS")),1,0)</x:f>
        <x:v>1</x:v>
      </x:c>
      <x:c r="Y128" s="32" t="str">
        <x:f>IF($O128="FAIL","FAIL",IF($O128="BLOCKED","BLOCKED",IF(AND($O128="EXCEPTION APPROVED",$K128="Yes"),"REVIEW",IF($O128="PASS","OK","PENDING"))))</x:f>
        <x:v>PENDING</x:v>
      </x:c>
    </x:row>
    <x:row r="129">
      <x:c r="A129" s="32" t="str">
        <x:v>REL-SEC-002</x:v>
      </x:c>
      <x:c r="B129" s="32" t="str">
        <x:v>Seguridad y respuesta a incidentes</x:v>
      </x:c>
      <x:c r="C129" s="32" t="str">
        <x:v>Release readiness</x:v>
      </x:c>
      <x:c r="D129" s="32" t="str">
        <x:v>Las cuentas críticas tienen MFA/recuperación y propietarios vigentes.</x:v>
      </x:c>
      <x:c r="E129" s="32" t="str">
        <x:v>Revisar, ejecutar y registrar evidencia reproducible.</x:v>
      </x:c>
      <x:c r="F129" s="32" t="str">
        <x:v>Cumplimiento verificable antes del gate indicado.</x:v>
      </x:c>
      <x:c r="G129" s="32" t="str">
        <x:v>Account security review.</x:v>
      </x:c>
      <x:c r="H129" s="32" t="str">
        <x:v>27_Security_and_Incident_Response_Plan.md; 33_Project_Risk_Register_and_Business_Continuity_Plan.xlsx</x:v>
      </x:c>
      <x:c r="I129" s="32" t="str">
        <x:v>Historical governance/build policies; document 27 consolidates previously distributed controls</x:v>
      </x:c>
      <x:c r="J129" s="32" t="str">
        <x:v>Release</x:v>
      </x:c>
      <x:c r="K129" s="32" t="str">
        <x:v>Yes</x:v>
      </x:c>
      <x:c r="L129" s="32" t="str">
        <x:v>P1</x:v>
      </x:c>
      <x:c r="M129" s="32" t="str">
        <x:v>Security</x:v>
      </x:c>
      <x:c r="N129" s="32" t="str">
        <x:v>Production/Legal</x:v>
      </x:c>
      <x:c r="O129" s="32" t="str">
        <x:v>NOT RUN</x:v>
      </x:c>
      <x:c r="P129" s="32" t="str"/>
      <x:c r="Q129" s="32" t="str"/>
      <x:c r="R129" s="32" t="str"/>
      <x:c r="S129" s="32" t="str"/>
      <x:c r="T129" s="82" t="str"/>
      <x:c r="U129" s="32" t="str"/>
      <x:c r="V129" s="84" t="n">
        <x:v>1</x:v>
      </x:c>
      <x:c r="W129" s="84" t="n">
        <x:f>IF(OR($O129="PASS",$O129="EXCEPTION APPROVED",$O129="NOT APPLICABLE"),$V129,0)</x:f>
        <x:v>0</x:v>
      </x:c>
      <x:c r="X129" s="84" t="n">
        <x:f>IF(AND($K129="Yes",OR($O129="FAIL",$O129="BLOCKED",$O129="NOT RUN",$O129="IN PROGRESS")),1,0)</x:f>
        <x:v>1</x:v>
      </x:c>
      <x:c r="Y129" s="32" t="str">
        <x:f>IF($O129="FAIL","FAIL",IF($O129="BLOCKED","BLOCKED",IF(AND($O129="EXCEPTION APPROVED",$K129="Yes"),"REVIEW",IF($O129="PASS","OK","PENDING"))))</x:f>
        <x:v>PENDING</x:v>
      </x:c>
    </x:row>
    <x:row r="130">
      <x:c r="A130" s="32" t="str">
        <x:v>REL-SEC-003</x:v>
      </x:c>
      <x:c r="B130" s="32" t="str">
        <x:v>Seguridad y respuesta a incidentes</x:v>
      </x:c>
      <x:c r="C130" s="32" t="str">
        <x:v>Release readiness</x:v>
      </x:c>
      <x:c r="D130" s="32" t="str">
        <x:v>La CI/upload no imprime secretos ni permite publicar desde ramas no autorizadas.</x:v>
      </x:c>
      <x:c r="E130" s="32" t="str">
        <x:v>Revisar, ejecutar y registrar evidencia reproducible.</x:v>
      </x:c>
      <x:c r="F130" s="32" t="str">
        <x:v>Cumplimiento verificable antes del gate indicado.</x:v>
      </x:c>
      <x:c r="G130" s="32" t="str">
        <x:v>Pipeline security tests.</x:v>
      </x:c>
      <x:c r="H130" s="32" t="str">
        <x:v>27_Security_and_Incident_Response_Plan.md; 33_Project_Risk_Register_and_Business_Continuity_Plan.xlsx</x:v>
      </x:c>
      <x:c r="I130" s="32" t="str">
        <x:v>Historical governance/build policies; document 27 consolidates previously distributed controls</x:v>
      </x:c>
      <x:c r="J130" s="32" t="str">
        <x:v>Release</x:v>
      </x:c>
      <x:c r="K130" s="32" t="str">
        <x:v>Yes</x:v>
      </x:c>
      <x:c r="L130" s="32" t="str">
        <x:v>P1</x:v>
      </x:c>
      <x:c r="M130" s="32" t="str">
        <x:v>Security</x:v>
      </x:c>
      <x:c r="N130" s="32" t="str">
        <x:v>Production/Legal</x:v>
      </x:c>
      <x:c r="O130" s="32" t="str">
        <x:v>NOT RUN</x:v>
      </x:c>
      <x:c r="P130" s="32" t="str"/>
      <x:c r="Q130" s="32" t="str"/>
      <x:c r="R130" s="32" t="str"/>
      <x:c r="S130" s="32" t="str"/>
      <x:c r="T130" s="82" t="str"/>
      <x:c r="U130" s="32" t="str"/>
      <x:c r="V130" s="84" t="n">
        <x:v>1</x:v>
      </x:c>
      <x:c r="W130" s="84" t="n">
        <x:f>IF(OR($O130="PASS",$O130="EXCEPTION APPROVED",$O130="NOT APPLICABLE"),$V130,0)</x:f>
        <x:v>0</x:v>
      </x:c>
      <x:c r="X130" s="84" t="n">
        <x:f>IF(AND($K130="Yes",OR($O130="FAIL",$O130="BLOCKED",$O130="NOT RUN",$O130="IN PROGRESS")),1,0)</x:f>
        <x:v>1</x:v>
      </x:c>
      <x:c r="Y130" s="32" t="str">
        <x:f>IF($O130="FAIL","FAIL",IF($O130="BLOCKED","BLOCKED",IF(AND($O130="EXCEPTION APPROVED",$K130="Yes"),"REVIEW",IF($O130="PASS","OK","PENDING"))))</x:f>
        <x:v>PENDING</x:v>
      </x:c>
    </x:row>
    <x:row r="131">
      <x:c r="A131" s="32" t="str">
        <x:v>REL-SEC-004</x:v>
      </x:c>
      <x:c r="B131" s="32" t="str">
        <x:v>Seguridad y respuesta a incidentes</x:v>
      </x:c>
      <x:c r="C131" s="32" t="str">
        <x:v>Release readiness</x:v>
      </x:c>
      <x:c r="D131" s="32" t="str">
        <x:v>El binario y archivos distribuidos no incluyen información interna sensible.</x:v>
      </x:c>
      <x:c r="E131" s="32" t="str">
        <x:v>Revisar, ejecutar y registrar evidencia reproducible.</x:v>
      </x:c>
      <x:c r="F131" s="32" t="str">
        <x:v>Cumplimiento verificable antes del gate indicado.</x:v>
      </x:c>
      <x:c r="G131" s="32" t="str">
        <x:v>Binary/package inspection.</x:v>
      </x:c>
      <x:c r="H131" s="32" t="str">
        <x:v>27_Security_and_Incident_Response_Plan.md; 33_Project_Risk_Register_and_Business_Continuity_Plan.xlsx</x:v>
      </x:c>
      <x:c r="I131" s="32" t="str">
        <x:v>Historical governance/build policies; document 27 consolidates previously distributed controls</x:v>
      </x:c>
      <x:c r="J131" s="32" t="str">
        <x:v>Release</x:v>
      </x:c>
      <x:c r="K131" s="32" t="str">
        <x:v>Yes</x:v>
      </x:c>
      <x:c r="L131" s="32" t="str">
        <x:v>P1</x:v>
      </x:c>
      <x:c r="M131" s="32" t="str">
        <x:v>Security</x:v>
      </x:c>
      <x:c r="N131" s="32" t="str">
        <x:v>Production/Legal</x:v>
      </x:c>
      <x:c r="O131" s="32" t="str">
        <x:v>NOT RUN</x:v>
      </x:c>
      <x:c r="P131" s="32" t="str"/>
      <x:c r="Q131" s="32" t="str"/>
      <x:c r="R131" s="32" t="str"/>
      <x:c r="S131" s="32" t="str"/>
      <x:c r="T131" s="82" t="str"/>
      <x:c r="U131" s="32" t="str"/>
      <x:c r="V131" s="84" t="n">
        <x:v>1</x:v>
      </x:c>
      <x:c r="W131" s="84" t="n">
        <x:f>IF(OR($O131="PASS",$O131="EXCEPTION APPROVED",$O131="NOT APPLICABLE"),$V131,0)</x:f>
        <x:v>0</x:v>
      </x:c>
      <x:c r="X131" s="84" t="n">
        <x:f>IF(AND($K131="Yes",OR($O131="FAIL",$O131="BLOCKED",$O131="NOT RUN",$O131="IN PROGRESS")),1,0)</x:f>
        <x:v>1</x:v>
      </x:c>
      <x:c r="Y131" s="32" t="str">
        <x:f>IF($O131="FAIL","FAIL",IF($O131="BLOCKED","BLOCKED",IF(AND($O131="EXCEPTION APPROVED",$K131="Yes"),"REVIEW",IF($O131="PASS","OK","PENDING"))))</x:f>
        <x:v>PENDING</x:v>
      </x:c>
    </x:row>
    <x:row r="132">
      <x:c r="A132" s="32" t="str">
        <x:v>REL-SEC-005</x:v>
      </x:c>
      <x:c r="B132" s="32" t="str">
        <x:v>Seguridad y respuesta a incidentes</x:v>
      </x:c>
      <x:c r="C132" s="32" t="str">
        <x:v>Release readiness</x:v>
      </x:c>
      <x:c r="D132" s="32" t="str">
        <x:v>Existe playbook para vulnerabilidad, cuenta comprometida, build maliciosa o fuga de datos.</x:v>
      </x:c>
      <x:c r="E132" s="32" t="str">
        <x:v>Revisar, ejecutar y registrar evidencia reproducible.</x:v>
      </x:c>
      <x:c r="F132" s="32" t="str">
        <x:v>Cumplimiento verificable antes del gate indicado.</x:v>
      </x:c>
      <x:c r="G132" s="32" t="str">
        <x:v>Incident playbooks.</x:v>
      </x:c>
      <x:c r="H132" s="32" t="str">
        <x:v>27_Security_and_Incident_Response_Plan.md; 33_Project_Risk_Register_and_Business_Continuity_Plan.xlsx</x:v>
      </x:c>
      <x:c r="I132" s="32" t="str">
        <x:v>Historical governance/build policies; document 27 consolidates previously distributed controls</x:v>
      </x:c>
      <x:c r="J132" s="32" t="str">
        <x:v>Release</x:v>
      </x:c>
      <x:c r="K132" s="32" t="str">
        <x:v>Yes</x:v>
      </x:c>
      <x:c r="L132" s="32" t="str">
        <x:v>P1</x:v>
      </x:c>
      <x:c r="M132" s="32" t="str">
        <x:v>Security</x:v>
      </x:c>
      <x:c r="N132" s="32" t="str">
        <x:v>Production/Legal</x:v>
      </x:c>
      <x:c r="O132" s="32" t="str">
        <x:v>NOT RUN</x:v>
      </x:c>
      <x:c r="P132" s="32" t="str"/>
      <x:c r="Q132" s="32" t="str"/>
      <x:c r="R132" s="32" t="str"/>
      <x:c r="S132" s="32" t="str"/>
      <x:c r="T132" s="82" t="str"/>
      <x:c r="U132" s="32" t="str"/>
      <x:c r="V132" s="84" t="n">
        <x:v>1</x:v>
      </x:c>
      <x:c r="W132" s="84" t="n">
        <x:f>IF(OR($O132="PASS",$O132="EXCEPTION APPROVED",$O132="NOT APPLICABLE"),$V132,0)</x:f>
        <x:v>0</x:v>
      </x:c>
      <x:c r="X132" s="84" t="n">
        <x:f>IF(AND($K132="Yes",OR($O132="FAIL",$O132="BLOCKED",$O132="NOT RUN",$O132="IN PROGRESS")),1,0)</x:f>
        <x:v>1</x:v>
      </x:c>
      <x:c r="Y132" s="32" t="str">
        <x:f>IF($O132="FAIL","FAIL",IF($O132="BLOCKED","BLOCKED",IF(AND($O132="EXCEPTION APPROVED",$K132="Yes"),"REVIEW",IF($O132="PASS","OK","PENDING"))))</x:f>
        <x:v>PENDING</x:v>
      </x:c>
    </x:row>
    <x:row r="133">
      <x:c r="A133" s="32" t="str">
        <x:v>REL-SEC-006</x:v>
      </x:c>
      <x:c r="B133" s="32" t="str">
        <x:v>Seguridad y respuesta a incidentes</x:v>
      </x:c>
      <x:c r="C133" s="32" t="str">
        <x:v>Release readiness</x:v>
      </x:c>
      <x:c r="D133" s="32" t="str">
        <x:v>Los contactos y autoridad para retirar/revertir una build están disponibles durante launch.</x:v>
      </x:c>
      <x:c r="E133" s="32" t="str">
        <x:v>Revisar, ejecutar y registrar evidencia reproducible.</x:v>
      </x:c>
      <x:c r="F133" s="32" t="str">
        <x:v>Cumplimiento verificable antes del gate indicado.</x:v>
      </x:c>
      <x:c r="G133" s="32" t="str">
        <x:v>Launch incident rota.</x:v>
      </x:c>
      <x:c r="H133" s="32" t="str">
        <x:v>27_Security_and_Incident_Response_Plan.md; 33_Project_Risk_Register_and_Business_Continuity_Plan.xlsx</x:v>
      </x:c>
      <x:c r="I133" s="32" t="str">
        <x:v>Historical governance/build policies; document 27 consolidates previously distributed controls</x:v>
      </x:c>
      <x:c r="J133" s="32" t="str">
        <x:v>Release</x:v>
      </x:c>
      <x:c r="K133" s="32" t="str">
        <x:v>Yes</x:v>
      </x:c>
      <x:c r="L133" s="32" t="str">
        <x:v>P1</x:v>
      </x:c>
      <x:c r="M133" s="32" t="str">
        <x:v>Security</x:v>
      </x:c>
      <x:c r="N133" s="32" t="str">
        <x:v>Production/Legal</x:v>
      </x:c>
      <x:c r="O133" s="32" t="str">
        <x:v>NOT RUN</x:v>
      </x:c>
      <x:c r="P133" s="32" t="str"/>
      <x:c r="Q133" s="32" t="str"/>
      <x:c r="R133" s="32" t="str"/>
      <x:c r="S133" s="32" t="str"/>
      <x:c r="T133" s="82" t="str"/>
      <x:c r="U133" s="32" t="str"/>
      <x:c r="V133" s="84" t="n">
        <x:v>1</x:v>
      </x:c>
      <x:c r="W133" s="84" t="n">
        <x:f>IF(OR($O133="PASS",$O133="EXCEPTION APPROVED",$O133="NOT APPLICABLE"),$V133,0)</x:f>
        <x:v>0</x:v>
      </x:c>
      <x:c r="X133" s="84" t="n">
        <x:f>IF(AND($K133="Yes",OR($O133="FAIL",$O133="BLOCKED",$O133="NOT RUN",$O133="IN PROGRESS")),1,0)</x:f>
        <x:v>1</x:v>
      </x:c>
      <x:c r="Y133" s="32" t="str">
        <x:f>IF($O133="FAIL","FAIL",IF($O133="BLOCKED","BLOCKED",IF(AND($O133="EXCEPTION APPROVED",$K133="Yes"),"REVIEW",IF($O133="PASS","OK","PENDING"))))</x:f>
        <x:v>PENDING</x:v>
      </x:c>
    </x:row>
    <x:row r="134">
      <x:c r="A134" s="32" t="str">
        <x:v>REL-SEC-007</x:v>
      </x:c>
      <x:c r="B134" s="32" t="str">
        <x:v>Seguridad y respuesta a incidentes</x:v>
      </x:c>
      <x:c r="C134" s="32" t="str">
        <x:v>Release readiness</x:v>
      </x:c>
      <x:c r="D134" s="32" t="str">
        <x:v>Backups de repositorio, Steam config, documentación y builds han sido verificados.</x:v>
      </x:c>
      <x:c r="E134" s="32" t="str">
        <x:v>Revisar, ejecutar y registrar evidencia reproducible.</x:v>
      </x:c>
      <x:c r="F134" s="32" t="str">
        <x:v>Cumplimiento verificable antes del gate indicado.</x:v>
      </x:c>
      <x:c r="G134" s="32" t="str">
        <x:v>Backup restore report.</x:v>
      </x:c>
      <x:c r="H134" s="32" t="str">
        <x:v>27_Security_and_Incident_Response_Plan.md; 33_Project_Risk_Register_and_Business_Continuity_Plan.xlsx</x:v>
      </x:c>
      <x:c r="I134" s="32" t="str">
        <x:v>Historical governance/build policies; document 27 consolidates previously distributed controls</x:v>
      </x:c>
      <x:c r="J134" s="32" t="str">
        <x:v>Release</x:v>
      </x:c>
      <x:c r="K134" s="32" t="str">
        <x:v>Yes</x:v>
      </x:c>
      <x:c r="L134" s="32" t="str">
        <x:v>P1</x:v>
      </x:c>
      <x:c r="M134" s="32" t="str">
        <x:v>Security</x:v>
      </x:c>
      <x:c r="N134" s="32" t="str">
        <x:v>Production/Legal</x:v>
      </x:c>
      <x:c r="O134" s="32" t="str">
        <x:v>NOT RUN</x:v>
      </x:c>
      <x:c r="P134" s="32" t="str"/>
      <x:c r="Q134" s="32" t="str"/>
      <x:c r="R134" s="32" t="str"/>
      <x:c r="S134" s="32" t="str"/>
      <x:c r="T134" s="82" t="str"/>
      <x:c r="U134" s="32" t="str"/>
      <x:c r="V134" s="84" t="n">
        <x:v>1</x:v>
      </x:c>
      <x:c r="W134" s="84" t="n">
        <x:f>IF(OR($O134="PASS",$O134="EXCEPTION APPROVED",$O134="NOT APPLICABLE"),$V134,0)</x:f>
        <x:v>0</x:v>
      </x:c>
      <x:c r="X134" s="84" t="n">
        <x:f>IF(AND($K134="Yes",OR($O134="FAIL",$O134="BLOCKED",$O134="NOT RUN",$O134="IN PROGRESS")),1,0)</x:f>
        <x:v>1</x:v>
      </x:c>
      <x:c r="Y134" s="32" t="str">
        <x:f>IF($O134="FAIL","FAIL",IF($O134="BLOCKED","BLOCKED",IF(AND($O134="EXCEPTION APPROVED",$K134="Yes"),"REVIEW",IF($O134="PASS","OK","PENDING"))))</x:f>
        <x:v>PENDING</x:v>
      </x:c>
    </x:row>
    <x:row r="135">
      <x:c r="A135" s="32" t="str">
        <x:v>REL-SEC-008</x:v>
      </x:c>
      <x:c r="B135" s="32" t="str">
        <x:v>Seguridad y respuesta a incidentes</x:v>
      </x:c>
      <x:c r="C135" s="32" t="str">
        <x:v>Release readiness</x:v>
      </x:c>
      <x:c r="D135" s="32" t="str">
        <x:v>Las evidencias y builds se almacenan con integridad y acceso restringido.</x:v>
      </x:c>
      <x:c r="E135" s="32" t="str">
        <x:v>Revisar, ejecutar y registrar evidencia reproducible.</x:v>
      </x:c>
      <x:c r="F135" s="32" t="str">
        <x:v>Cumplimiento verificable antes del gate indicado.</x:v>
      </x:c>
      <x:c r="G135" s="32" t="str">
        <x:v>Artifact storage review.</x:v>
      </x:c>
      <x:c r="H135" s="32" t="str">
        <x:v>27_Security_and_Incident_Response_Plan.md; 33_Project_Risk_Register_and_Business_Continuity_Plan.xlsx</x:v>
      </x:c>
      <x:c r="I135" s="32" t="str">
        <x:v>Historical governance/build policies; document 27 consolidates previously distributed controls</x:v>
      </x:c>
      <x:c r="J135" s="32" t="str">
        <x:v>Release</x:v>
      </x:c>
      <x:c r="K135" s="32" t="str">
        <x:v>Yes</x:v>
      </x:c>
      <x:c r="L135" s="32" t="str">
        <x:v>P1</x:v>
      </x:c>
      <x:c r="M135" s="32" t="str">
        <x:v>Security</x:v>
      </x:c>
      <x:c r="N135" s="32" t="str">
        <x:v>Production/Legal</x:v>
      </x:c>
      <x:c r="O135" s="32" t="str">
        <x:v>NOT RUN</x:v>
      </x:c>
      <x:c r="P135" s="32" t="str"/>
      <x:c r="Q135" s="32" t="str"/>
      <x:c r="R135" s="32" t="str"/>
      <x:c r="S135" s="32" t="str"/>
      <x:c r="T135" s="82" t="str"/>
      <x:c r="U135" s="32" t="str"/>
      <x:c r="V135" s="84" t="n">
        <x:v>1</x:v>
      </x:c>
      <x:c r="W135" s="84" t="n">
        <x:f>IF(OR($O135="PASS",$O135="EXCEPTION APPROVED",$O135="NOT APPLICABLE"),$V135,0)</x:f>
        <x:v>0</x:v>
      </x:c>
      <x:c r="X135" s="84" t="n">
        <x:f>IF(AND($K135="Yes",OR($O135="FAIL",$O135="BLOCKED",$O135="NOT RUN",$O135="IN PROGRESS")),1,0)</x:f>
        <x:v>1</x:v>
      </x:c>
      <x:c r="Y135" s="32" t="str">
        <x:f>IF($O135="FAIL","FAIL",IF($O135="BLOCKED","BLOCKED",IF(AND($O135="EXCEPTION APPROVED",$K135="Yes"),"REVIEW",IF($O135="PASS","OK","PENDING"))))</x:f>
        <x:v>PENDING</x:v>
      </x:c>
    </x:row>
    <x:row r="136">
      <x:c r="A136" s="32" t="str">
        <x:v>REL-SEC-009</x:v>
      </x:c>
      <x:c r="B136" s="32" t="str">
        <x:v>Seguridad y respuesta a incidentes</x:v>
      </x:c>
      <x:c r="C136" s="32" t="str">
        <x:v>Release readiness</x:v>
      </x:c>
      <x:c r="D136" s="32" t="str">
        <x:v>La recopilación de crash/telemetría usa transporte y almacenamiento apropiados si se activa.</x:v>
      </x:c>
      <x:c r="E136" s="32" t="str">
        <x:v>Revisar, ejecutar y registrar evidencia reproducible.</x:v>
      </x:c>
      <x:c r="F136" s="32" t="str">
        <x:v>Cumplimiento verificable antes del gate indicado.</x:v>
      </x:c>
      <x:c r="G136" s="32" t="str">
        <x:v>Data security review.</x:v>
      </x:c>
      <x:c r="H136" s="32" t="str">
        <x:v>27_Security_and_Incident_Response_Plan.md; 33_Project_Risk_Register_and_Business_Continuity_Plan.xlsx</x:v>
      </x:c>
      <x:c r="I136" s="32" t="str">
        <x:v>Historical governance/build policies; document 27 consolidates previously distributed controls</x:v>
      </x:c>
      <x:c r="J136" s="32" t="str">
        <x:v>Release</x:v>
      </x:c>
      <x:c r="K136" s="32" t="str">
        <x:v>Yes</x:v>
      </x:c>
      <x:c r="L136" s="32" t="str">
        <x:v>P1</x:v>
      </x:c>
      <x:c r="M136" s="32" t="str">
        <x:v>Security</x:v>
      </x:c>
      <x:c r="N136" s="32" t="str">
        <x:v>Production/Legal</x:v>
      </x:c>
      <x:c r="O136" s="32" t="str">
        <x:v>NOT RUN</x:v>
      </x:c>
      <x:c r="P136" s="32" t="str"/>
      <x:c r="Q136" s="32" t="str"/>
      <x:c r="R136" s="32" t="str"/>
      <x:c r="S136" s="32" t="str"/>
      <x:c r="T136" s="82" t="str"/>
      <x:c r="U136" s="32" t="str"/>
      <x:c r="V136" s="84" t="n">
        <x:v>1</x:v>
      </x:c>
      <x:c r="W136" s="84" t="n">
        <x:f>IF(OR($O136="PASS",$O136="EXCEPTION APPROVED",$O136="NOT APPLICABLE"),$V136,0)</x:f>
        <x:v>0</x:v>
      </x:c>
      <x:c r="X136" s="84" t="n">
        <x:f>IF(AND($K136="Yes",OR($O136="FAIL",$O136="BLOCKED",$O136="NOT RUN",$O136="IN PROGRESS")),1,0)</x:f>
        <x:v>1</x:v>
      </x:c>
      <x:c r="Y136" s="32" t="str">
        <x:f>IF($O136="FAIL","FAIL",IF($O136="BLOCKED","BLOCKED",IF(AND($O136="EXCEPTION APPROVED",$K136="Yes"),"REVIEW",IF($O136="PASS","OK","PENDING"))))</x:f>
        <x:v>PENDING</x:v>
      </x:c>
    </x:row>
    <x:row r="137">
      <x:c r="A137" s="32" t="str">
        <x:v>REL-SEC-010</x:v>
      </x:c>
      <x:c r="B137" s="32" t="str">
        <x:v>Seguridad y respuesta a incidentes</x:v>
      </x:c>
      <x:c r="C137" s="32" t="str">
        <x:v>Release readiness</x:v>
      </x:c>
      <x:c r="D137" s="32" t="str">
        <x:v>Las vulnerabilidades conocidas tienen severidad, mitigación y decisión de release.</x:v>
      </x:c>
      <x:c r="E137" s="32" t="str">
        <x:v>Revisar, ejecutar y registrar evidencia reproducible.</x:v>
      </x:c>
      <x:c r="F137" s="32" t="str">
        <x:v>Cumplimiento verificable antes del gate indicado.</x:v>
      </x:c>
      <x:c r="G137" s="32" t="str">
        <x:v>Vulnerability register.</x:v>
      </x:c>
      <x:c r="H137" s="32" t="str">
        <x:v>27_Security_and_Incident_Response_Plan.md; 33_Project_Risk_Register_and_Business_Continuity_Plan.xlsx</x:v>
      </x:c>
      <x:c r="I137" s="32" t="str">
        <x:v>Historical governance/build policies; document 27 consolidates previously distributed controls</x:v>
      </x:c>
      <x:c r="J137" s="32" t="str">
        <x:v>Release</x:v>
      </x:c>
      <x:c r="K137" s="32" t="str">
        <x:v>Yes</x:v>
      </x:c>
      <x:c r="L137" s="32" t="str">
        <x:v>P1</x:v>
      </x:c>
      <x:c r="M137" s="32" t="str">
        <x:v>Security</x:v>
      </x:c>
      <x:c r="N137" s="32" t="str">
        <x:v>Production/Legal</x:v>
      </x:c>
      <x:c r="O137" s="32" t="str">
        <x:v>NOT RUN</x:v>
      </x:c>
      <x:c r="P137" s="32" t="str"/>
      <x:c r="Q137" s="32" t="str"/>
      <x:c r="R137" s="32" t="str"/>
      <x:c r="S137" s="32" t="str"/>
      <x:c r="T137" s="82" t="str"/>
      <x:c r="U137" s="32" t="str"/>
      <x:c r="V137" s="84" t="n">
        <x:v>1</x:v>
      </x:c>
      <x:c r="W137" s="84" t="n">
        <x:f>IF(OR($O137="PASS",$O137="EXCEPTION APPROVED",$O137="NOT APPLICABLE"),$V137,0)</x:f>
        <x:v>0</x:v>
      </x:c>
      <x:c r="X137" s="84" t="n">
        <x:f>IF(AND($K137="Yes",OR($O137="FAIL",$O137="BLOCKED",$O137="NOT RUN",$O137="IN PROGRESS")),1,0)</x:f>
        <x:v>1</x:v>
      </x:c>
      <x:c r="Y137" s="32" t="str">
        <x:f>IF($O137="FAIL","FAIL",IF($O137="BLOCKED","BLOCKED",IF(AND($O137="EXCEPTION APPROVED",$K137="Yes"),"REVIEW",IF($O137="PASS","OK","PENDING"))))</x:f>
        <x:v>PENDING</x:v>
      </x:c>
    </x:row>
    <x:row r="138">
      <x:c r="A138" s="32" t="str">
        <x:v>REL-SEC-011</x:v>
      </x:c>
      <x:c r="B138" s="32" t="str">
        <x:v>Seguridad y respuesta a incidentes</x:v>
      </x:c>
      <x:c r="C138" s="32" t="str">
        <x:v>Release readiness</x:v>
      </x:c>
      <x:c r="D138" s="32" t="str">
        <x:v>Se ensaya un tabletop de incidente de lanzamiento.</x:v>
      </x:c>
      <x:c r="E138" s="32" t="str">
        <x:v>Revisar, ejecutar y registrar evidencia reproducible.</x:v>
      </x:c>
      <x:c r="F138" s="32" t="str">
        <x:v>Cumplimiento verificable antes del gate indicado.</x:v>
      </x:c>
      <x:c r="G138" s="32" t="str">
        <x:v>Tabletop report.</x:v>
      </x:c>
      <x:c r="H138" s="32" t="str">
        <x:v>27_Security_and_Incident_Response_Plan.md; 33_Project_Risk_Register_and_Business_Continuity_Plan.xlsx</x:v>
      </x:c>
      <x:c r="I138" s="32" t="str">
        <x:v>Historical governance/build policies; document 27 consolidates previously distributed controls</x:v>
      </x:c>
      <x:c r="J138" s="32" t="str">
        <x:v>Release</x:v>
      </x:c>
      <x:c r="K138" s="32" t="str">
        <x:v>Yes</x:v>
      </x:c>
      <x:c r="L138" s="32" t="str">
        <x:v>P1</x:v>
      </x:c>
      <x:c r="M138" s="32" t="str">
        <x:v>Security</x:v>
      </x:c>
      <x:c r="N138" s="32" t="str">
        <x:v>Production/Legal</x:v>
      </x:c>
      <x:c r="O138" s="32" t="str">
        <x:v>NOT RUN</x:v>
      </x:c>
      <x:c r="P138" s="32" t="str"/>
      <x:c r="Q138" s="32" t="str"/>
      <x:c r="R138" s="32" t="str"/>
      <x:c r="S138" s="32" t="str"/>
      <x:c r="T138" s="82" t="str"/>
      <x:c r="U138" s="32" t="str"/>
      <x:c r="V138" s="84" t="n">
        <x:v>1</x:v>
      </x:c>
      <x:c r="W138" s="84" t="n">
        <x:f>IF(OR($O138="PASS",$O138="EXCEPTION APPROVED",$O138="NOT APPLICABLE"),$V138,0)</x:f>
        <x:v>0</x:v>
      </x:c>
      <x:c r="X138" s="84" t="n">
        <x:f>IF(AND($K138="Yes",OR($O138="FAIL",$O138="BLOCKED",$O138="NOT RUN",$O138="IN PROGRESS")),1,0)</x:f>
        <x:v>1</x:v>
      </x:c>
      <x:c r="Y138" s="32" t="str">
        <x:f>IF($O138="FAIL","FAIL",IF($O138="BLOCKED","BLOCKED",IF(AND($O138="EXCEPTION APPROVED",$K138="Yes"),"REVIEW",IF($O138="PASS","OK","PENDING"))))</x:f>
        <x:v>PENDING</x:v>
      </x:c>
    </x:row>
    <x:row r="139">
      <x:c r="A139" s="32" t="str">
        <x:v>REL-SEC-012</x:v>
      </x:c>
      <x:c r="B139" s="32" t="str">
        <x:v>Seguridad y respuesta a incidentes</x:v>
      </x:c>
      <x:c r="C139" s="32" t="str">
        <x:v>Release readiness</x:v>
      </x:c>
      <x:c r="D139" s="32" t="str">
        <x:v>El canal de reporte de seguridad/soporte está preparado y no promete SLA inexistentes.</x:v>
      </x:c>
      <x:c r="E139" s="32" t="str">
        <x:v>Revisar, ejecutar y registrar evidencia reproducible.</x:v>
      </x:c>
      <x:c r="F139" s="32" t="str">
        <x:v>Cumplimiento verificable antes del gate indicado.</x:v>
      </x:c>
      <x:c r="G139" s="32" t="str">
        <x:v>Security contact content.</x:v>
      </x:c>
      <x:c r="H139" s="32" t="str">
        <x:v>27_Security_and_Incident_Response_Plan.md; 33_Project_Risk_Register_and_Business_Continuity_Plan.xlsx</x:v>
      </x:c>
      <x:c r="I139" s="32" t="str">
        <x:v>Historical governance/build policies; document 27 consolidates previously distributed controls</x:v>
      </x:c>
      <x:c r="J139" s="32" t="str">
        <x:v>Release</x:v>
      </x:c>
      <x:c r="K139" s="32" t="str">
        <x:v>Yes</x:v>
      </x:c>
      <x:c r="L139" s="32" t="str">
        <x:v>P1</x:v>
      </x:c>
      <x:c r="M139" s="32" t="str">
        <x:v>Security</x:v>
      </x:c>
      <x:c r="N139" s="32" t="str">
        <x:v>Production/Legal</x:v>
      </x:c>
      <x:c r="O139" s="32" t="str">
        <x:v>NOT RUN</x:v>
      </x:c>
      <x:c r="P139" s="32" t="str"/>
      <x:c r="Q139" s="32" t="str"/>
      <x:c r="R139" s="32" t="str"/>
      <x:c r="S139" s="32" t="str"/>
      <x:c r="T139" s="82" t="str"/>
      <x:c r="U139" s="32" t="str"/>
      <x:c r="V139" s="84" t="n">
        <x:v>1</x:v>
      </x:c>
      <x:c r="W139" s="84" t="n">
        <x:f>IF(OR($O139="PASS",$O139="EXCEPTION APPROVED",$O139="NOT APPLICABLE"),$V139,0)</x:f>
        <x:v>0</x:v>
      </x:c>
      <x:c r="X139" s="84" t="n">
        <x:f>IF(AND($K139="Yes",OR($O139="FAIL",$O139="BLOCKED",$O139="NOT RUN",$O139="IN PROGRESS")),1,0)</x:f>
        <x:v>1</x:v>
      </x:c>
      <x:c r="Y139" s="32" t="str">
        <x:f>IF($O139="FAIL","FAIL",IF($O139="BLOCKED","BLOCKED",IF(AND($O139="EXCEPTION APPROVED",$K139="Yes"),"REVIEW",IF($O139="PASS","OK","PENDING"))))</x:f>
        <x:v>PENDING</x:v>
      </x:c>
    </x:row>
    <x:row r="140">
      <x:c r="A140" s="32" t="str">
        <x:v>REL-MKT-001</x:v>
      </x:c>
      <x:c r="B140" s="32" t="str">
        <x:v>Marketing y comunicación</x:v>
      </x:c>
      <x:c r="C140" s="32" t="str">
        <x:v>Release readiness</x:v>
      </x:c>
      <x:c r="D140" s="32" t="str">
        <x:v>La campaña pública solo se abre tras gates de naming, producto, build, legal y capacidad.</x:v>
      </x:c>
      <x:c r="E140" s="32" t="str">
        <x:v>Revisar, ejecutar y registrar evidencia reproducible.</x:v>
      </x:c>
      <x:c r="F140" s="32" t="str">
        <x:v>Cumplimiento verificable antes del gate indicado.</x:v>
      </x:c>
      <x:c r="G140" s="32" t="str">
        <x:v>Campaign opening signoff.</x:v>
      </x:c>
      <x:c r="H140" s="32" t="str">
        <x:v>28_Marketing_and_Communication_Plan.md; 24_Steam_Publishing_Plan.md</x:v>
      </x:c>
      <x:c r="I140" s="32" t="str">
        <x:v>Marketing Plan v0.3, v0.4, v0.5 plus historical Steam plans</x:v>
      </x:c>
      <x:c r="J140" s="32" t="str">
        <x:v>Release</x:v>
      </x:c>
      <x:c r="K140" s="32" t="str">
        <x:v>Yes</x:v>
      </x:c>
      <x:c r="L140" s="32" t="str">
        <x:v>P0</x:v>
      </x:c>
      <x:c r="M140" s="32" t="str">
        <x:v>Marketing/Community</x:v>
      </x:c>
      <x:c r="N140" s="32" t="str">
        <x:v>Product/Legal/Production</x:v>
      </x:c>
      <x:c r="O140" s="32" t="str">
        <x:v>NOT RUN</x:v>
      </x:c>
      <x:c r="P140" s="32" t="str"/>
      <x:c r="Q140" s="32" t="str"/>
      <x:c r="R140" s="32" t="str"/>
      <x:c r="S140" s="32" t="str"/>
      <x:c r="T140" s="82" t="str"/>
      <x:c r="U140" s="32" t="str"/>
      <x:c r="V140" s="84" t="n">
        <x:v>1</x:v>
      </x:c>
      <x:c r="W140" s="84" t="n">
        <x:f>IF(OR($O140="PASS",$O140="EXCEPTION APPROVED",$O140="NOT APPLICABLE"),$V140,0)</x:f>
        <x:v>0</x:v>
      </x:c>
      <x:c r="X140" s="84" t="n">
        <x:f>IF(AND($K140="Yes",OR($O140="FAIL",$O140="BLOCKED",$O140="NOT RUN",$O140="IN PROGRESS")),1,0)</x:f>
        <x:v>1</x:v>
      </x:c>
      <x:c r="Y140" s="32" t="str">
        <x:f>IF($O140="FAIL","FAIL",IF($O140="BLOCKED","BLOCKED",IF(AND($O140="EXCEPTION APPROVED",$K140="Yes"),"REVIEW",IF($O140="PASS","OK","PENDING"))))</x:f>
        <x:v>PENDING</x:v>
      </x:c>
    </x:row>
    <x:row r="141">
      <x:c r="A141" s="32" t="str">
        <x:v>REL-MKT-002</x:v>
      </x:c>
      <x:c r="B141" s="32" t="str">
        <x:v>Marketing y comunicación</x:v>
      </x:c>
      <x:c r="C141" s="32" t="str">
        <x:v>Release readiness</x:v>
      </x:c>
      <x:c r="D141" s="32" t="str">
        <x:v>La casa de mensajes y claims se vincula a evidencia del producto.</x:v>
      </x:c>
      <x:c r="E141" s="32" t="str">
        <x:v>Revisar, ejecutar y registrar evidencia reproducible.</x:v>
      </x:c>
      <x:c r="F141" s="32" t="str">
        <x:v>Cumplimiento verificable antes del gate indicado.</x:v>
      </x:c>
      <x:c r="G141" s="32" t="str">
        <x:v>Claims/evidence matrix.</x:v>
      </x:c>
      <x:c r="H141" s="32" t="str">
        <x:v>28_Marketing_and_Communication_Plan.md; 24_Steam_Publishing_Plan.md</x:v>
      </x:c>
      <x:c r="I141" s="32" t="str">
        <x:v>Marketing Plan v0.3, v0.4, v0.5 plus historical Steam plans</x:v>
      </x:c>
      <x:c r="J141" s="32" t="str">
        <x:v>Release</x:v>
      </x:c>
      <x:c r="K141" s="32" t="str">
        <x:v>Yes</x:v>
      </x:c>
      <x:c r="L141" s="32" t="str">
        <x:v>P1</x:v>
      </x:c>
      <x:c r="M141" s="32" t="str">
        <x:v>Marketing/Community</x:v>
      </x:c>
      <x:c r="N141" s="32" t="str">
        <x:v>Product/Legal/Production</x:v>
      </x:c>
      <x:c r="O141" s="32" t="str">
        <x:v>NOT RUN</x:v>
      </x:c>
      <x:c r="P141" s="32" t="str"/>
      <x:c r="Q141" s="32" t="str"/>
      <x:c r="R141" s="32" t="str"/>
      <x:c r="S141" s="32" t="str"/>
      <x:c r="T141" s="82" t="str"/>
      <x:c r="U141" s="32" t="str"/>
      <x:c r="V141" s="84" t="n">
        <x:v>1</x:v>
      </x:c>
      <x:c r="W141" s="84" t="n">
        <x:f>IF(OR($O141="PASS",$O141="EXCEPTION APPROVED",$O141="NOT APPLICABLE"),$V141,0)</x:f>
        <x:v>0</x:v>
      </x:c>
      <x:c r="X141" s="84" t="n">
        <x:f>IF(AND($K141="Yes",OR($O141="FAIL",$O141="BLOCKED",$O141="NOT RUN",$O141="IN PROGRESS")),1,0)</x:f>
        <x:v>1</x:v>
      </x:c>
      <x:c r="Y141" s="32" t="str">
        <x:f>IF($O141="FAIL","FAIL",IF($O141="BLOCKED","BLOCKED",IF(AND($O141="EXCEPTION APPROVED",$K141="Yes"),"REVIEW",IF($O141="PASS","OK","PENDING"))))</x:f>
        <x:v>PENDING</x:v>
      </x:c>
    </x:row>
    <x:row r="142">
      <x:c r="A142" s="32" t="str">
        <x:v>REL-MKT-003</x:v>
      </x:c>
      <x:c r="B142" s="32" t="str">
        <x:v>Marketing y comunicación</x:v>
      </x:c>
      <x:c r="C142" s="32" t="str">
        <x:v>Release readiness</x:v>
      </x:c>
      <x:c r="D142" s="32" t="str">
        <x:v>Key art, cápsulas, screenshots, GIFs y trailer usan assets aprobados y coherentes.</x:v>
      </x:c>
      <x:c r="E142" s="32" t="str">
        <x:v>Revisar, ejecutar y registrar evidencia reproducible.</x:v>
      </x:c>
      <x:c r="F142" s="32" t="str">
        <x:v>Cumplimiento verificable antes del gate indicado.</x:v>
      </x:c>
      <x:c r="G142" s="32" t="str">
        <x:v>Marketing asset manifest.</x:v>
      </x:c>
      <x:c r="H142" s="32" t="str">
        <x:v>28_Marketing_and_Communication_Plan.md; 24_Steam_Publishing_Plan.md</x:v>
      </x:c>
      <x:c r="I142" s="32" t="str">
        <x:v>Marketing Plan v0.3, v0.4, v0.5 plus historical Steam plans</x:v>
      </x:c>
      <x:c r="J142" s="32" t="str">
        <x:v>Release</x:v>
      </x:c>
      <x:c r="K142" s="32" t="str">
        <x:v>Yes</x:v>
      </x:c>
      <x:c r="L142" s="32" t="str">
        <x:v>P1</x:v>
      </x:c>
      <x:c r="M142" s="32" t="str">
        <x:v>Marketing/Community</x:v>
      </x:c>
      <x:c r="N142" s="32" t="str">
        <x:v>Product/Legal/Production</x:v>
      </x:c>
      <x:c r="O142" s="32" t="str">
        <x:v>NOT RUN</x:v>
      </x:c>
      <x:c r="P142" s="32" t="str"/>
      <x:c r="Q142" s="32" t="str"/>
      <x:c r="R142" s="32" t="str"/>
      <x:c r="S142" s="32" t="str"/>
      <x:c r="T142" s="82" t="str"/>
      <x:c r="U142" s="32" t="str"/>
      <x:c r="V142" s="84" t="n">
        <x:v>1</x:v>
      </x:c>
      <x:c r="W142" s="84" t="n">
        <x:f>IF(OR($O142="PASS",$O142="EXCEPTION APPROVED",$O142="NOT APPLICABLE"),$V142,0)</x:f>
        <x:v>0</x:v>
      </x:c>
      <x:c r="X142" s="84" t="n">
        <x:f>IF(AND($K142="Yes",OR($O142="FAIL",$O142="BLOCKED",$O142="NOT RUN",$O142="IN PROGRESS")),1,0)</x:f>
        <x:v>1</x:v>
      </x:c>
      <x:c r="Y142" s="32" t="str">
        <x:f>IF($O142="FAIL","FAIL",IF($O142="BLOCKED","BLOCKED",IF(AND($O142="EXCEPTION APPROVED",$K142="Yes"),"REVIEW",IF($O142="PASS","OK","PENDING"))))</x:f>
        <x:v>PENDING</x:v>
      </x:c>
    </x:row>
    <x:row r="143">
      <x:c r="A143" s="32" t="str">
        <x:v>REL-MKT-004</x:v>
      </x:c>
      <x:c r="B143" s="32" t="str">
        <x:v>Marketing y comunicación</x:v>
      </x:c>
      <x:c r="C143" s="32" t="str">
        <x:v>Release readiness</x:v>
      </x:c>
      <x:c r="D143" s="32" t="str">
        <x:v>El calendario editorial no compromete tareas críticas de QA/release.</x:v>
      </x:c>
      <x:c r="E143" s="32" t="str">
        <x:v>Revisar, ejecutar y registrar evidencia reproducible.</x:v>
      </x:c>
      <x:c r="F143" s="32" t="str">
        <x:v>Cumplimiento verificable antes del gate indicado.</x:v>
      </x:c>
      <x:c r="G143" s="32" t="str">
        <x:v>Capacity review.</x:v>
      </x:c>
      <x:c r="H143" s="32" t="str">
        <x:v>28_Marketing_and_Communication_Plan.md; 24_Steam_Publishing_Plan.md</x:v>
      </x:c>
      <x:c r="I143" s="32" t="str">
        <x:v>Marketing Plan v0.3, v0.4, v0.5 plus historical Steam plans</x:v>
      </x:c>
      <x:c r="J143" s="32" t="str">
        <x:v>Release</x:v>
      </x:c>
      <x:c r="K143" s="32" t="str">
        <x:v>Yes</x:v>
      </x:c>
      <x:c r="L143" s="32" t="str">
        <x:v>P1</x:v>
      </x:c>
      <x:c r="M143" s="32" t="str">
        <x:v>Marketing/Community</x:v>
      </x:c>
      <x:c r="N143" s="32" t="str">
        <x:v>Product/Legal/Production</x:v>
      </x:c>
      <x:c r="O143" s="32" t="str">
        <x:v>NOT RUN</x:v>
      </x:c>
      <x:c r="P143" s="32" t="str"/>
      <x:c r="Q143" s="32" t="str"/>
      <x:c r="R143" s="32" t="str"/>
      <x:c r="S143" s="32" t="str"/>
      <x:c r="T143" s="82" t="str"/>
      <x:c r="U143" s="32" t="str"/>
      <x:c r="V143" s="84" t="n">
        <x:v>1</x:v>
      </x:c>
      <x:c r="W143" s="84" t="n">
        <x:f>IF(OR($O143="PASS",$O143="EXCEPTION APPROVED",$O143="NOT APPLICABLE"),$V143,0)</x:f>
        <x:v>0</x:v>
      </x:c>
      <x:c r="X143" s="84" t="n">
        <x:f>IF(AND($K143="Yes",OR($O143="FAIL",$O143="BLOCKED",$O143="NOT RUN",$O143="IN PROGRESS")),1,0)</x:f>
        <x:v>1</x:v>
      </x:c>
      <x:c r="Y143" s="32" t="str">
        <x:f>IF($O143="FAIL","FAIL",IF($O143="BLOCKED","BLOCKED",IF(AND($O143="EXCEPTION APPROVED",$K143="Yes"),"REVIEW",IF($O143="PASS","OK","PENDING"))))</x:f>
        <x:v>PENDING</x:v>
      </x:c>
    </x:row>
    <x:row r="144">
      <x:c r="A144" s="32" t="str">
        <x:v>REL-MKT-005</x:v>
      </x:c>
      <x:c r="B144" s="32" t="str">
        <x:v>Marketing y comunicación</x:v>
      </x:c>
      <x:c r="C144" s="32" t="str">
        <x:v>Release readiness</x:v>
      </x:c>
      <x:c r="D144" s="32" t="str">
        <x:v>Los canales oficiales, bios y enlaces presentan información consistente.</x:v>
      </x:c>
      <x:c r="E144" s="32" t="str">
        <x:v>Revisar, ejecutar y registrar evidencia reproducible.</x:v>
      </x:c>
      <x:c r="F144" s="32" t="str">
        <x:v>Cumplimiento verificable antes del gate indicado.</x:v>
      </x:c>
      <x:c r="G144" s="32" t="str">
        <x:v>Channel audit.</x:v>
      </x:c>
      <x:c r="H144" s="32" t="str">
        <x:v>28_Marketing_and_Communication_Plan.md; 24_Steam_Publishing_Plan.md</x:v>
      </x:c>
      <x:c r="I144" s="32" t="str">
        <x:v>Marketing Plan v0.3, v0.4, v0.5 plus historical Steam plans</x:v>
      </x:c>
      <x:c r="J144" s="32" t="str">
        <x:v>Release</x:v>
      </x:c>
      <x:c r="K144" s="32" t="str">
        <x:v>Yes</x:v>
      </x:c>
      <x:c r="L144" s="32" t="str">
        <x:v>P1</x:v>
      </x:c>
      <x:c r="M144" s="32" t="str">
        <x:v>Marketing/Community</x:v>
      </x:c>
      <x:c r="N144" s="32" t="str">
        <x:v>Product/Legal/Production</x:v>
      </x:c>
      <x:c r="O144" s="32" t="str">
        <x:v>NOT RUN</x:v>
      </x:c>
      <x:c r="P144" s="32" t="str"/>
      <x:c r="Q144" s="32" t="str"/>
      <x:c r="R144" s="32" t="str"/>
      <x:c r="S144" s="32" t="str"/>
      <x:c r="T144" s="82" t="str"/>
      <x:c r="U144" s="32" t="str"/>
      <x:c r="V144" s="84" t="n">
        <x:v>1</x:v>
      </x:c>
      <x:c r="W144" s="84" t="n">
        <x:f>IF(OR($O144="PASS",$O144="EXCEPTION APPROVED",$O144="NOT APPLICABLE"),$V144,0)</x:f>
        <x:v>0</x:v>
      </x:c>
      <x:c r="X144" s="84" t="n">
        <x:f>IF(AND($K144="Yes",OR($O144="FAIL",$O144="BLOCKED",$O144="NOT RUN",$O144="IN PROGRESS")),1,0)</x:f>
        <x:v>1</x:v>
      </x:c>
      <x:c r="Y144" s="32" t="str">
        <x:f>IF($O144="FAIL","FAIL",IF($O144="BLOCKED","BLOCKED",IF(AND($O144="EXCEPTION APPROVED",$K144="Yes"),"REVIEW",IF($O144="PASS","OK","PENDING"))))</x:f>
        <x:v>PENDING</x:v>
      </x:c>
    </x:row>
    <x:row r="145">
      <x:c r="A145" s="32" t="str">
        <x:v>REL-MKT-006</x:v>
      </x:c>
      <x:c r="B145" s="32" t="str">
        <x:v>Marketing y comunicación</x:v>
      </x:c>
      <x:c r="C145" s="32" t="str">
        <x:v>Release readiness</x:v>
      </x:c>
      <x:c r="D145" s="32" t="str">
        <x:v>La press kit contiene logo, descripción, factsheet, media y contacto vigentes.</x:v>
      </x:c>
      <x:c r="E145" s="32" t="str">
        <x:v>Revisar, ejecutar y registrar evidencia reproducible.</x:v>
      </x:c>
      <x:c r="F145" s="32" t="str">
        <x:v>Cumplimiento verificable antes del gate indicado.</x:v>
      </x:c>
      <x:c r="G145" s="32" t="str">
        <x:v>Press kit validation.</x:v>
      </x:c>
      <x:c r="H145" s="32" t="str">
        <x:v>28_Marketing_and_Communication_Plan.md; 24_Steam_Publishing_Plan.md</x:v>
      </x:c>
      <x:c r="I145" s="32" t="str">
        <x:v>Marketing Plan v0.3, v0.4, v0.5 plus historical Steam plans</x:v>
      </x:c>
      <x:c r="J145" s="32" t="str">
        <x:v>Release</x:v>
      </x:c>
      <x:c r="K145" s="32" t="str">
        <x:v>Yes</x:v>
      </x:c>
      <x:c r="L145" s="32" t="str">
        <x:v>P1</x:v>
      </x:c>
      <x:c r="M145" s="32" t="str">
        <x:v>Marketing/Community</x:v>
      </x:c>
      <x:c r="N145" s="32" t="str">
        <x:v>Product/Legal/Production</x:v>
      </x:c>
      <x:c r="O145" s="32" t="str">
        <x:v>NOT RUN</x:v>
      </x:c>
      <x:c r="P145" s="32" t="str"/>
      <x:c r="Q145" s="32" t="str"/>
      <x:c r="R145" s="32" t="str"/>
      <x:c r="S145" s="32" t="str"/>
      <x:c r="T145" s="82" t="str"/>
      <x:c r="U145" s="32" t="str"/>
      <x:c r="V145" s="84" t="n">
        <x:v>1</x:v>
      </x:c>
      <x:c r="W145" s="84" t="n">
        <x:f>IF(OR($O145="PASS",$O145="EXCEPTION APPROVED",$O145="NOT APPLICABLE"),$V145,0)</x:f>
        <x:v>0</x:v>
      </x:c>
      <x:c r="X145" s="84" t="n">
        <x:f>IF(AND($K145="Yes",OR($O145="FAIL",$O145="BLOCKED",$O145="NOT RUN",$O145="IN PROGRESS")),1,0)</x:f>
        <x:v>1</x:v>
      </x:c>
      <x:c r="Y145" s="32" t="str">
        <x:f>IF($O145="FAIL","FAIL",IF($O145="BLOCKED","BLOCKED",IF(AND($O145="EXCEPTION APPROVED",$K145="Yes"),"REVIEW",IF($O145="PASS","OK","PENDING"))))</x:f>
        <x:v>PENDING</x:v>
      </x:c>
    </x:row>
    <x:row r="146">
      <x:c r="A146" s="32" t="str">
        <x:v>REL-MKT-007</x:v>
      </x:c>
      <x:c r="B146" s="32" t="str">
        <x:v>Marketing y comunicación</x:v>
      </x:c>
      <x:c r="C146" s="32" t="str">
        <x:v>Release readiness</x:v>
      </x:c>
      <x:c r="D146" s="32" t="str">
        <x:v>Las listas de prensa/creadores respetan privacidad y preferencias de contacto.</x:v>
      </x:c>
      <x:c r="E146" s="32" t="str">
        <x:v>Revisar, ejecutar y registrar evidencia reproducible.</x:v>
      </x:c>
      <x:c r="F146" s="32" t="str">
        <x:v>Cumplimiento verificable antes del gate indicado.</x:v>
      </x:c>
      <x:c r="G146" s="32" t="str">
        <x:v>Outreach data review.</x:v>
      </x:c>
      <x:c r="H146" s="32" t="str">
        <x:v>28_Marketing_and_Communication_Plan.md; 24_Steam_Publishing_Plan.md</x:v>
      </x:c>
      <x:c r="I146" s="32" t="str">
        <x:v>Marketing Plan v0.3, v0.4, v0.5 plus historical Steam plans</x:v>
      </x:c>
      <x:c r="J146" s="32" t="str">
        <x:v>Release</x:v>
      </x:c>
      <x:c r="K146" s="32" t="str">
        <x:v>Yes</x:v>
      </x:c>
      <x:c r="L146" s="32" t="str">
        <x:v>P1</x:v>
      </x:c>
      <x:c r="M146" s="32" t="str">
        <x:v>Marketing/Community</x:v>
      </x:c>
      <x:c r="N146" s="32" t="str">
        <x:v>Product/Legal/Production</x:v>
      </x:c>
      <x:c r="O146" s="32" t="str">
        <x:v>NOT RUN</x:v>
      </x:c>
      <x:c r="P146" s="32" t="str"/>
      <x:c r="Q146" s="32" t="str"/>
      <x:c r="R146" s="32" t="str"/>
      <x:c r="S146" s="32" t="str"/>
      <x:c r="T146" s="82" t="str"/>
      <x:c r="U146" s="32" t="str"/>
      <x:c r="V146" s="84" t="n">
        <x:v>1</x:v>
      </x:c>
      <x:c r="W146" s="84" t="n">
        <x:f>IF(OR($O146="PASS",$O146="EXCEPTION APPROVED",$O146="NOT APPLICABLE"),$V146,0)</x:f>
        <x:v>0</x:v>
      </x:c>
      <x:c r="X146" s="84" t="n">
        <x:f>IF(AND($K146="Yes",OR($O146="FAIL",$O146="BLOCKED",$O146="NOT RUN",$O146="IN PROGRESS")),1,0)</x:f>
        <x:v>1</x:v>
      </x:c>
      <x:c r="Y146" s="32" t="str">
        <x:f>IF($O146="FAIL","FAIL",IF($O146="BLOCKED","BLOCKED",IF(AND($O146="EXCEPTION APPROVED",$K146="Yes"),"REVIEW",IF($O146="PASS","OK","PENDING"))))</x:f>
        <x:v>PENDING</x:v>
      </x:c>
    </x:row>
    <x:row r="147">
      <x:c r="A147" s="32" t="str">
        <x:v>REL-MKT-008</x:v>
      </x:c>
      <x:c r="B147" s="32" t="str">
        <x:v>Marketing y comunicación</x:v>
      </x:c>
      <x:c r="C147" s="32" t="str">
        <x:v>Release readiness</x:v>
      </x:c>
      <x:c r="D147" s="32" t="str">
        <x:v>Los embargos, claves y builds de review tienen control de acceso y tracking.</x:v>
      </x:c>
      <x:c r="E147" s="32" t="str">
        <x:v>Revisar, ejecutar y registrar evidencia reproducible.</x:v>
      </x:c>
      <x:c r="F147" s="32" t="str">
        <x:v>Cumplimiento verificable antes del gate indicado.</x:v>
      </x:c>
      <x:c r="G147" s="32" t="str">
        <x:v>Review key/build register.</x:v>
      </x:c>
      <x:c r="H147" s="32" t="str">
        <x:v>28_Marketing_and_Communication_Plan.md; 24_Steam_Publishing_Plan.md</x:v>
      </x:c>
      <x:c r="I147" s="32" t="str">
        <x:v>Marketing Plan v0.3, v0.4, v0.5 plus historical Steam plans</x:v>
      </x:c>
      <x:c r="J147" s="32" t="str">
        <x:v>Release</x:v>
      </x:c>
      <x:c r="K147" s="32" t="str">
        <x:v>Yes</x:v>
      </x:c>
      <x:c r="L147" s="32" t="str">
        <x:v>P1</x:v>
      </x:c>
      <x:c r="M147" s="32" t="str">
        <x:v>Marketing/Community</x:v>
      </x:c>
      <x:c r="N147" s="32" t="str">
        <x:v>Product/Legal/Production</x:v>
      </x:c>
      <x:c r="O147" s="32" t="str">
        <x:v>NOT RUN</x:v>
      </x:c>
      <x:c r="P147" s="32" t="str"/>
      <x:c r="Q147" s="32" t="str"/>
      <x:c r="R147" s="32" t="str"/>
      <x:c r="S147" s="32" t="str"/>
      <x:c r="T147" s="82" t="str"/>
      <x:c r="U147" s="32" t="str"/>
      <x:c r="V147" s="84" t="n">
        <x:v>1</x:v>
      </x:c>
      <x:c r="W147" s="84" t="n">
        <x:f>IF(OR($O147="PASS",$O147="EXCEPTION APPROVED",$O147="NOT APPLICABLE"),$V147,0)</x:f>
        <x:v>0</x:v>
      </x:c>
      <x:c r="X147" s="84" t="n">
        <x:f>IF(AND($K147="Yes",OR($O147="FAIL",$O147="BLOCKED",$O147="NOT RUN",$O147="IN PROGRESS")),1,0)</x:f>
        <x:v>1</x:v>
      </x:c>
      <x:c r="Y147" s="32" t="str">
        <x:f>IF($O147="FAIL","FAIL",IF($O147="BLOCKED","BLOCKED",IF(AND($O147="EXCEPTION APPROVED",$K147="Yes"),"REVIEW",IF($O147="PASS","OK","PENDING"))))</x:f>
        <x:v>PENDING</x:v>
      </x:c>
    </x:row>
    <x:row r="148">
      <x:c r="A148" s="32" t="str">
        <x:v>REL-MKT-009</x:v>
      </x:c>
      <x:c r="B148" s="32" t="str">
        <x:v>Marketing y comunicación</x:v>
      </x:c>
      <x:c r="C148" s="32" t="str">
        <x:v>Release readiness</x:v>
      </x:c>
      <x:c r="D148" s="32" t="str">
        <x:v>Los creadores reciben instrucciones y disclaimers coherentes con el estado del juego.</x:v>
      </x:c>
      <x:c r="E148" s="32" t="str">
        <x:v>Revisar, ejecutar y registrar evidencia reproducible.</x:v>
      </x:c>
      <x:c r="F148" s="32" t="str">
        <x:v>Cumplimiento verificable antes del gate indicado.</x:v>
      </x:c>
      <x:c r="G148" s="32" t="str">
        <x:v>Creator brief.</x:v>
      </x:c>
      <x:c r="H148" s="32" t="str">
        <x:v>28_Marketing_and_Communication_Plan.md; 24_Steam_Publishing_Plan.md</x:v>
      </x:c>
      <x:c r="I148" s="32" t="str">
        <x:v>Marketing Plan v0.3, v0.4, v0.5 plus historical Steam plans</x:v>
      </x:c>
      <x:c r="J148" s="32" t="str">
        <x:v>Release</x:v>
      </x:c>
      <x:c r="K148" s="32" t="str">
        <x:v>Yes</x:v>
      </x:c>
      <x:c r="L148" s="32" t="str">
        <x:v>P1</x:v>
      </x:c>
      <x:c r="M148" s="32" t="str">
        <x:v>Marketing/Community</x:v>
      </x:c>
      <x:c r="N148" s="32" t="str">
        <x:v>Product/Legal/Production</x:v>
      </x:c>
      <x:c r="O148" s="32" t="str">
        <x:v>NOT RUN</x:v>
      </x:c>
      <x:c r="P148" s="32" t="str"/>
      <x:c r="Q148" s="32" t="str"/>
      <x:c r="R148" s="32" t="str"/>
      <x:c r="S148" s="32" t="str"/>
      <x:c r="T148" s="82" t="str"/>
      <x:c r="U148" s="32" t="str"/>
      <x:c r="V148" s="84" t="n">
        <x:v>1</x:v>
      </x:c>
      <x:c r="W148" s="84" t="n">
        <x:f>IF(OR($O148="PASS",$O148="EXCEPTION APPROVED",$O148="NOT APPLICABLE"),$V148,0)</x:f>
        <x:v>0</x:v>
      </x:c>
      <x:c r="X148" s="84" t="n">
        <x:f>IF(AND($K148="Yes",OR($O148="FAIL",$O148="BLOCKED",$O148="NOT RUN",$O148="IN PROGRESS")),1,0)</x:f>
        <x:v>1</x:v>
      </x:c>
      <x:c r="Y148" s="32" t="str">
        <x:f>IF($O148="FAIL","FAIL",IF($O148="BLOCKED","BLOCKED",IF(AND($O148="EXCEPTION APPROVED",$K148="Yes"),"REVIEW",IF($O148="PASS","OK","PENDING"))))</x:f>
        <x:v>PENDING</x:v>
      </x:c>
    </x:row>
    <x:row r="149">
      <x:c r="A149" s="32" t="str">
        <x:v>REL-MKT-010</x:v>
      </x:c>
      <x:c r="B149" s="32" t="str">
        <x:v>Marketing y comunicación</x:v>
      </x:c>
      <x:c r="C149" s="32" t="str">
        <x:v>Release readiness</x:v>
      </x:c>
      <x:c r="D149" s="32" t="str">
        <x:v>Las métricas de campaña tienen definiciones, fuentes y no incentivan spam.</x:v>
      </x:c>
      <x:c r="E149" s="32" t="str">
        <x:v>Revisar, ejecutar y registrar evidencia reproducible.</x:v>
      </x:c>
      <x:c r="F149" s="32" t="str">
        <x:v>Cumplimiento verificable antes del gate indicado.</x:v>
      </x:c>
      <x:c r="G149" s="32" t="str">
        <x:v>Marketing measurement plan.</x:v>
      </x:c>
      <x:c r="H149" s="32" t="str">
        <x:v>28_Marketing_and_Communication_Plan.md; 24_Steam_Publishing_Plan.md</x:v>
      </x:c>
      <x:c r="I149" s="32" t="str">
        <x:v>Marketing Plan v0.3, v0.4, v0.5 plus historical Steam plans</x:v>
      </x:c>
      <x:c r="J149" s="32" t="str">
        <x:v>Release</x:v>
      </x:c>
      <x:c r="K149" s="32" t="str">
        <x:v>Yes</x:v>
      </x:c>
      <x:c r="L149" s="32" t="str">
        <x:v>P1</x:v>
      </x:c>
      <x:c r="M149" s="32" t="str">
        <x:v>Marketing/Community</x:v>
      </x:c>
      <x:c r="N149" s="32" t="str">
        <x:v>Product/Legal/Production</x:v>
      </x:c>
      <x:c r="O149" s="32" t="str">
        <x:v>NOT RUN</x:v>
      </x:c>
      <x:c r="P149" s="32" t="str"/>
      <x:c r="Q149" s="32" t="str"/>
      <x:c r="R149" s="32" t="str"/>
      <x:c r="S149" s="32" t="str"/>
      <x:c r="T149" s="82" t="str"/>
      <x:c r="U149" s="32" t="str"/>
      <x:c r="V149" s="84" t="n">
        <x:v>1</x:v>
      </x:c>
      <x:c r="W149" s="84" t="n">
        <x:f>IF(OR($O149="PASS",$O149="EXCEPTION APPROVED",$O149="NOT APPLICABLE"),$V149,0)</x:f>
        <x:v>0</x:v>
      </x:c>
      <x:c r="X149" s="84" t="n">
        <x:f>IF(AND($K149="Yes",OR($O149="FAIL",$O149="BLOCKED",$O149="NOT RUN",$O149="IN PROGRESS")),1,0)</x:f>
        <x:v>1</x:v>
      </x:c>
      <x:c r="Y149" s="32" t="str">
        <x:f>IF($O149="FAIL","FAIL",IF($O149="BLOCKED","BLOCKED",IF(AND($O149="EXCEPTION APPROVED",$K149="Yes"),"REVIEW",IF($O149="PASS","OK","PENDING"))))</x:f>
        <x:v>PENDING</x:v>
      </x:c>
    </x:row>
    <x:row r="150">
      <x:c r="A150" s="32" t="str">
        <x:v>REL-MKT-011</x:v>
      </x:c>
      <x:c r="B150" s="32" t="str">
        <x:v>Marketing y comunicación</x:v>
      </x:c>
      <x:c r="C150" s="32" t="str">
        <x:v>Release readiness</x:v>
      </x:c>
      <x:c r="D150" s="32" t="str">
        <x:v>La comunicación de retrasos, bugs o incidentes tiene plantillas y aprobación.</x:v>
      </x:c>
      <x:c r="E150" s="32" t="str">
        <x:v>Revisar, ejecutar y registrar evidencia reproducible.</x:v>
      </x:c>
      <x:c r="F150" s="32" t="str">
        <x:v>Cumplimiento verificable antes del gate indicado.</x:v>
      </x:c>
      <x:c r="G150" s="32" t="str">
        <x:v>Crisis communication playbook.</x:v>
      </x:c>
      <x:c r="H150" s="32" t="str">
        <x:v>28_Marketing_and_Communication_Plan.md; 24_Steam_Publishing_Plan.md</x:v>
      </x:c>
      <x:c r="I150" s="32" t="str">
        <x:v>Marketing Plan v0.3, v0.4, v0.5 plus historical Steam plans</x:v>
      </x:c>
      <x:c r="J150" s="32" t="str">
        <x:v>Release</x:v>
      </x:c>
      <x:c r="K150" s="32" t="str">
        <x:v>Yes</x:v>
      </x:c>
      <x:c r="L150" s="32" t="str">
        <x:v>P1</x:v>
      </x:c>
      <x:c r="M150" s="32" t="str">
        <x:v>Marketing/Community</x:v>
      </x:c>
      <x:c r="N150" s="32" t="str">
        <x:v>Product/Legal/Production</x:v>
      </x:c>
      <x:c r="O150" s="32" t="str">
        <x:v>NOT RUN</x:v>
      </x:c>
      <x:c r="P150" s="32" t="str"/>
      <x:c r="Q150" s="32" t="str"/>
      <x:c r="R150" s="32" t="str"/>
      <x:c r="S150" s="32" t="str"/>
      <x:c r="T150" s="82" t="str"/>
      <x:c r="U150" s="32" t="str"/>
      <x:c r="V150" s="84" t="n">
        <x:v>1</x:v>
      </x:c>
      <x:c r="W150" s="84" t="n">
        <x:f>IF(OR($O150="PASS",$O150="EXCEPTION APPROVED",$O150="NOT APPLICABLE"),$V150,0)</x:f>
        <x:v>0</x:v>
      </x:c>
      <x:c r="X150" s="84" t="n">
        <x:f>IF(AND($K150="Yes",OR($O150="FAIL",$O150="BLOCKED",$O150="NOT RUN",$O150="IN PROGRESS")),1,0)</x:f>
        <x:v>1</x:v>
      </x:c>
      <x:c r="Y150" s="32" t="str">
        <x:f>IF($O150="FAIL","FAIL",IF($O150="BLOCKED","BLOCKED",IF(AND($O150="EXCEPTION APPROVED",$K150="Yes"),"REVIEW",IF($O150="PASS","OK","PENDING"))))</x:f>
        <x:v>PENDING</x:v>
      </x:c>
    </x:row>
    <x:row r="151">
      <x:c r="A151" s="32" t="str">
        <x:v>REL-MKT-012</x:v>
      </x:c>
      <x:c r="B151" s="32" t="str">
        <x:v>Marketing y comunicación</x:v>
      </x:c>
      <x:c r="C151" s="32" t="str">
        <x:v>Release readiness</x:v>
      </x:c>
      <x:c r="D151" s="32" t="str">
        <x:v>La comunidad no recibe fechas o features especulativas como compromisos.</x:v>
      </x:c>
      <x:c r="E151" s="32" t="str">
        <x:v>Revisar, ejecutar y registrar evidencia reproducible.</x:v>
      </x:c>
      <x:c r="F151" s="32" t="str">
        <x:v>Cumplimiento verificable antes del gate indicado.</x:v>
      </x:c>
      <x:c r="G151" s="32" t="str">
        <x:v>Community messaging audit.</x:v>
      </x:c>
      <x:c r="H151" s="32" t="str">
        <x:v>28_Marketing_and_Communication_Plan.md; 24_Steam_Publishing_Plan.md</x:v>
      </x:c>
      <x:c r="I151" s="32" t="str">
        <x:v>Marketing Plan v0.3, v0.4, v0.5 plus historical Steam plans</x:v>
      </x:c>
      <x:c r="J151" s="32" t="str">
        <x:v>Release</x:v>
      </x:c>
      <x:c r="K151" s="32" t="str">
        <x:v>Yes</x:v>
      </x:c>
      <x:c r="L151" s="32" t="str">
        <x:v>P1</x:v>
      </x:c>
      <x:c r="M151" s="32" t="str">
        <x:v>Marketing/Community</x:v>
      </x:c>
      <x:c r="N151" s="32" t="str">
        <x:v>Product/Legal/Production</x:v>
      </x:c>
      <x:c r="O151" s="32" t="str">
        <x:v>NOT RUN</x:v>
      </x:c>
      <x:c r="P151" s="32" t="str"/>
      <x:c r="Q151" s="32" t="str"/>
      <x:c r="R151" s="32" t="str"/>
      <x:c r="S151" s="32" t="str"/>
      <x:c r="T151" s="82" t="str"/>
      <x:c r="U151" s="32" t="str"/>
      <x:c r="V151" s="84" t="n">
        <x:v>1</x:v>
      </x:c>
      <x:c r="W151" s="84" t="n">
        <x:f>IF(OR($O151="PASS",$O151="EXCEPTION APPROVED",$O151="NOT APPLICABLE"),$V151,0)</x:f>
        <x:v>0</x:v>
      </x:c>
      <x:c r="X151" s="84" t="n">
        <x:f>IF(AND($K151="Yes",OR($O151="FAIL",$O151="BLOCKED",$O151="NOT RUN",$O151="IN PROGRESS")),1,0)</x:f>
        <x:v>1</x:v>
      </x:c>
      <x:c r="Y151" s="32" t="str">
        <x:f>IF($O151="FAIL","FAIL",IF($O151="BLOCKED","BLOCKED",IF(AND($O151="EXCEPTION APPROVED",$K151="Yes"),"REVIEW",IF($O151="PASS","OK","PENDING"))))</x:f>
        <x:v>PENDING</x:v>
      </x:c>
    </x:row>
    <x:row r="152">
      <x:c r="A152" s="32" t="str">
        <x:v>REL-MKT-013</x:v>
      </x:c>
      <x:c r="B152" s="32" t="str">
        <x:v>Marketing y comunicación</x:v>
      </x:c>
      <x:c r="C152" s="32" t="str">
        <x:v>Release readiness</x:v>
      </x:c>
      <x:c r="D152" s="32" t="str">
        <x:v>Las capturas y vídeos conservan Build ID/procedencia para poder retirar material obsoleto.</x:v>
      </x:c>
      <x:c r="E152" s="32" t="str">
        <x:v>Revisar, ejecutar y registrar evidencia reproducible.</x:v>
      </x:c>
      <x:c r="F152" s="32" t="str">
        <x:v>Cumplimiento verificable antes del gate indicado.</x:v>
      </x:c>
      <x:c r="G152" s="32" t="str">
        <x:v>Media provenance register.</x:v>
      </x:c>
      <x:c r="H152" s="32" t="str">
        <x:v>28_Marketing_and_Communication_Plan.md; 24_Steam_Publishing_Plan.md</x:v>
      </x:c>
      <x:c r="I152" s="32" t="str">
        <x:v>Marketing Plan v0.3, v0.4, v0.5 plus historical Steam plans</x:v>
      </x:c>
      <x:c r="J152" s="32" t="str">
        <x:v>Release</x:v>
      </x:c>
      <x:c r="K152" s="32" t="str">
        <x:v>Yes</x:v>
      </x:c>
      <x:c r="L152" s="32" t="str">
        <x:v>P1</x:v>
      </x:c>
      <x:c r="M152" s="32" t="str">
        <x:v>Marketing/Community</x:v>
      </x:c>
      <x:c r="N152" s="32" t="str">
        <x:v>Product/Legal/Production</x:v>
      </x:c>
      <x:c r="O152" s="32" t="str">
        <x:v>NOT RUN</x:v>
      </x:c>
      <x:c r="P152" s="32" t="str"/>
      <x:c r="Q152" s="32" t="str"/>
      <x:c r="R152" s="32" t="str"/>
      <x:c r="S152" s="32" t="str"/>
      <x:c r="T152" s="82" t="str"/>
      <x:c r="U152" s="32" t="str"/>
      <x:c r="V152" s="84" t="n">
        <x:v>1</x:v>
      </x:c>
      <x:c r="W152" s="84" t="n">
        <x:f>IF(OR($O152="PASS",$O152="EXCEPTION APPROVED",$O152="NOT APPLICABLE"),$V152,0)</x:f>
        <x:v>0</x:v>
      </x:c>
      <x:c r="X152" s="84" t="n">
        <x:f>IF(AND($K152="Yes",OR($O152="FAIL",$O152="BLOCKED",$O152="NOT RUN",$O152="IN PROGRESS")),1,0)</x:f>
        <x:v>1</x:v>
      </x:c>
      <x:c r="Y152" s="32" t="str">
        <x:f>IF($O152="FAIL","FAIL",IF($O152="BLOCKED","BLOCKED",IF(AND($O152="EXCEPTION APPROVED",$K152="Yes"),"REVIEW",IF($O152="PASS","OK","PENDING"))))</x:f>
        <x:v>PENDING</x:v>
      </x:c>
    </x:row>
    <x:row r="153">
      <x:c r="A153" s="32" t="str">
        <x:v>REL-MKT-014</x:v>
      </x:c>
      <x:c r="B153" s="32" t="str">
        <x:v>Marketing y comunicación</x:v>
      </x:c>
      <x:c r="C153" s="32" t="str">
        <x:v>Release readiness</x:v>
      </x:c>
      <x:c r="D153" s="32" t="str">
        <x:v>Los anuncios de accesibilidad, idiomas y rendimiento pasan revisión especializada.</x:v>
      </x:c>
      <x:c r="E153" s="32" t="str">
        <x:v>Revisar, ejecutar y registrar evidencia reproducible.</x:v>
      </x:c>
      <x:c r="F153" s="32" t="str">
        <x:v>Cumplimiento verificable antes del gate indicado.</x:v>
      </x:c>
      <x:c r="G153" s="32" t="str">
        <x:v>Cross-discipline claims signoff.</x:v>
      </x:c>
      <x:c r="H153" s="32" t="str">
        <x:v>28_Marketing_and_Communication_Plan.md; 24_Steam_Publishing_Plan.md</x:v>
      </x:c>
      <x:c r="I153" s="32" t="str">
        <x:v>Marketing Plan v0.3, v0.4, v0.5 plus historical Steam plans</x:v>
      </x:c>
      <x:c r="J153" s="32" t="str">
        <x:v>Release</x:v>
      </x:c>
      <x:c r="K153" s="32" t="str">
        <x:v>Yes</x:v>
      </x:c>
      <x:c r="L153" s="32" t="str">
        <x:v>P1</x:v>
      </x:c>
      <x:c r="M153" s="32" t="str">
        <x:v>Marketing/Community</x:v>
      </x:c>
      <x:c r="N153" s="32" t="str">
        <x:v>Product/Legal/Production</x:v>
      </x:c>
      <x:c r="O153" s="32" t="str">
        <x:v>NOT RUN</x:v>
      </x:c>
      <x:c r="P153" s="32" t="str"/>
      <x:c r="Q153" s="32" t="str"/>
      <x:c r="R153" s="32" t="str"/>
      <x:c r="S153" s="32" t="str"/>
      <x:c r="T153" s="82" t="str"/>
      <x:c r="U153" s="32" t="str"/>
      <x:c r="V153" s="84" t="n">
        <x:v>1</x:v>
      </x:c>
      <x:c r="W153" s="84" t="n">
        <x:f>IF(OR($O153="PASS",$O153="EXCEPTION APPROVED",$O153="NOT APPLICABLE"),$V153,0)</x:f>
        <x:v>0</x:v>
      </x:c>
      <x:c r="X153" s="84" t="n">
        <x:f>IF(AND($K153="Yes",OR($O153="FAIL",$O153="BLOCKED",$O153="NOT RUN",$O153="IN PROGRESS")),1,0)</x:f>
        <x:v>1</x:v>
      </x:c>
      <x:c r="Y153" s="32" t="str">
        <x:f>IF($O153="FAIL","FAIL",IF($O153="BLOCKED","BLOCKED",IF(AND($O153="EXCEPTION APPROVED",$K153="Yes"),"REVIEW",IF($O153="PASS","OK","PENDING"))))</x:f>
        <x:v>PENDING</x:v>
      </x:c>
    </x:row>
    <x:row r="154">
      <x:c r="A154" s="32" t="str">
        <x:v>REL-MKT-015</x:v>
      </x:c>
      <x:c r="B154" s="32" t="str">
        <x:v>Marketing y comunicación</x:v>
      </x:c>
      <x:c r="C154" s="32" t="str">
        <x:v>Release readiness</x:v>
      </x:c>
      <x:c r="D154" s="32" t="str">
        <x:v>La página Coming Soon tiene plan de wishlists, actualización y contenido sostenible.</x:v>
      </x:c>
      <x:c r="E154" s="32" t="str">
        <x:v>Revisar, ejecutar y registrar evidencia reproducible.</x:v>
      </x:c>
      <x:c r="F154" s="32" t="str">
        <x:v>Cumplimiento verificable antes del gate indicado.</x:v>
      </x:c>
      <x:c r="G154" s="32" t="str">
        <x:v>Coming Soon operating plan.</x:v>
      </x:c>
      <x:c r="H154" s="32" t="str">
        <x:v>28_Marketing_and_Communication_Plan.md; 24_Steam_Publishing_Plan.md</x:v>
      </x:c>
      <x:c r="I154" s="32" t="str">
        <x:v>Marketing Plan v0.3, v0.4, v0.5 plus historical Steam plans</x:v>
      </x:c>
      <x:c r="J154" s="32" t="str">
        <x:v>Release</x:v>
      </x:c>
      <x:c r="K154" s="32" t="str">
        <x:v>Yes</x:v>
      </x:c>
      <x:c r="L154" s="32" t="str">
        <x:v>P1</x:v>
      </x:c>
      <x:c r="M154" s="32" t="str">
        <x:v>Marketing/Community</x:v>
      </x:c>
      <x:c r="N154" s="32" t="str">
        <x:v>Product/Legal/Production</x:v>
      </x:c>
      <x:c r="O154" s="32" t="str">
        <x:v>NOT RUN</x:v>
      </x:c>
      <x:c r="P154" s="32" t="str"/>
      <x:c r="Q154" s="32" t="str"/>
      <x:c r="R154" s="32" t="str"/>
      <x:c r="S154" s="32" t="str"/>
      <x:c r="T154" s="82" t="str"/>
      <x:c r="U154" s="32" t="str"/>
      <x:c r="V154" s="84" t="n">
        <x:v>1</x:v>
      </x:c>
      <x:c r="W154" s="84" t="n">
        <x:f>IF(OR($O154="PASS",$O154="EXCEPTION APPROVED",$O154="NOT APPLICABLE"),$V154,0)</x:f>
        <x:v>0</x:v>
      </x:c>
      <x:c r="X154" s="84" t="n">
        <x:f>IF(AND($K154="Yes",OR($O154="FAIL",$O154="BLOCKED",$O154="NOT RUN",$O154="IN PROGRESS")),1,0)</x:f>
        <x:v>1</x:v>
      </x:c>
      <x:c r="Y154" s="32" t="str">
        <x:f>IF($O154="FAIL","FAIL",IF($O154="BLOCKED","BLOCKED",IF(AND($O154="EXCEPTION APPROVED",$K154="Yes"),"REVIEW",IF($O154="PASS","OK","PENDING"))))</x:f>
        <x:v>PENDING</x:v>
      </x:c>
    </x:row>
    <x:row r="155">
      <x:c r="A155" s="32" t="str">
        <x:v>REL-MKT-016</x:v>
      </x:c>
      <x:c r="B155" s="32" t="str">
        <x:v>Marketing y comunicación</x:v>
      </x:c>
      <x:c r="C155" s="32" t="str">
        <x:v>Release readiness</x:v>
      </x:c>
      <x:c r="D155" s="32" t="str">
        <x:v>La demo/Playtest, si se publica, tiene objetivo, audiencia, feedback y cierre definidos.</x:v>
      </x:c>
      <x:c r="E155" s="32" t="str">
        <x:v>Revisar, ejecutar y registrar evidencia reproducible.</x:v>
      </x:c>
      <x:c r="F155" s="32" t="str">
        <x:v>Cumplimiento verificable antes del gate indicado.</x:v>
      </x:c>
      <x:c r="G155" s="32" t="str">
        <x:v>Demo/Playtest campaign plan.</x:v>
      </x:c>
      <x:c r="H155" s="32" t="str">
        <x:v>28_Marketing_and_Communication_Plan.md; 24_Steam_Publishing_Plan.md</x:v>
      </x:c>
      <x:c r="I155" s="32" t="str">
        <x:v>Marketing Plan v0.3, v0.4, v0.5 plus historical Steam plans</x:v>
      </x:c>
      <x:c r="J155" s="32" t="str">
        <x:v>Release</x:v>
      </x:c>
      <x:c r="K155" s="32" t="str">
        <x:v>Yes</x:v>
      </x:c>
      <x:c r="L155" s="32" t="str">
        <x:v>P1</x:v>
      </x:c>
      <x:c r="M155" s="32" t="str">
        <x:v>Marketing/Community</x:v>
      </x:c>
      <x:c r="N155" s="32" t="str">
        <x:v>Product/Legal/Production</x:v>
      </x:c>
      <x:c r="O155" s="32" t="str">
        <x:v>NOT RUN</x:v>
      </x:c>
      <x:c r="P155" s="32" t="str"/>
      <x:c r="Q155" s="32" t="str"/>
      <x:c r="R155" s="32" t="str"/>
      <x:c r="S155" s="32" t="str"/>
      <x:c r="T155" s="82" t="str"/>
      <x:c r="U155" s="32" t="str"/>
      <x:c r="V155" s="84" t="n">
        <x:v>1</x:v>
      </x:c>
      <x:c r="W155" s="84" t="n">
        <x:f>IF(OR($O155="PASS",$O155="EXCEPTION APPROVED",$O155="NOT APPLICABLE"),$V155,0)</x:f>
        <x:v>0</x:v>
      </x:c>
      <x:c r="X155" s="84" t="n">
        <x:f>IF(AND($K155="Yes",OR($O155="FAIL",$O155="BLOCKED",$O155="NOT RUN",$O155="IN PROGRESS")),1,0)</x:f>
        <x:v>1</x:v>
      </x:c>
      <x:c r="Y155" s="32" t="str">
        <x:f>IF($O155="FAIL","FAIL",IF($O155="BLOCKED","BLOCKED",IF(AND($O155="EXCEPTION APPROVED",$K155="Yes"),"REVIEW",IF($O155="PASS","OK","PENDING"))))</x:f>
        <x:v>PENDING</x:v>
      </x:c>
    </x:row>
    <x:row r="156">
      <x:c r="A156" s="32" t="str">
        <x:v>REL-MKT-017</x:v>
      </x:c>
      <x:c r="B156" s="32" t="str">
        <x:v>Marketing y comunicación</x:v>
      </x:c>
      <x:c r="C156" s="32" t="str">
        <x:v>Release readiness</x:v>
      </x:c>
      <x:c r="D156" s="32" t="str">
        <x:v>Las comunicaciones cumplen políticas de Steam y derechos de terceros.</x:v>
      </x:c>
      <x:c r="E156" s="32" t="str">
        <x:v>Revisar, ejecutar y registrar evidencia reproducible.</x:v>
      </x:c>
      <x:c r="F156" s="32" t="str">
        <x:v>Cumplimiento verificable antes del gate indicado.</x:v>
      </x:c>
      <x:c r="G156" s="32" t="str">
        <x:v>Platform/legal review.</x:v>
      </x:c>
      <x:c r="H156" s="32" t="str">
        <x:v>28_Marketing_and_Communication_Plan.md; 24_Steam_Publishing_Plan.md</x:v>
      </x:c>
      <x:c r="I156" s="32" t="str">
        <x:v>Marketing Plan v0.3, v0.4, v0.5 plus historical Steam plans</x:v>
      </x:c>
      <x:c r="J156" s="32" t="str">
        <x:v>Release</x:v>
      </x:c>
      <x:c r="K156" s="32" t="str">
        <x:v>Yes</x:v>
      </x:c>
      <x:c r="L156" s="32" t="str">
        <x:v>P1</x:v>
      </x:c>
      <x:c r="M156" s="32" t="str">
        <x:v>Marketing/Community</x:v>
      </x:c>
      <x:c r="N156" s="32" t="str">
        <x:v>Product/Legal/Production</x:v>
      </x:c>
      <x:c r="O156" s="32" t="str">
        <x:v>NOT RUN</x:v>
      </x:c>
      <x:c r="P156" s="32" t="str"/>
      <x:c r="Q156" s="32" t="str"/>
      <x:c r="R156" s="32" t="str"/>
      <x:c r="S156" s="32" t="str"/>
      <x:c r="T156" s="82" t="str"/>
      <x:c r="U156" s="32" t="str"/>
      <x:c r="V156" s="84" t="n">
        <x:v>1</x:v>
      </x:c>
      <x:c r="W156" s="84" t="n">
        <x:f>IF(OR($O156="PASS",$O156="EXCEPTION APPROVED",$O156="NOT APPLICABLE"),$V156,0)</x:f>
        <x:v>0</x:v>
      </x:c>
      <x:c r="X156" s="84" t="n">
        <x:f>IF(AND($K156="Yes",OR($O156="FAIL",$O156="BLOCKED",$O156="NOT RUN",$O156="IN PROGRESS")),1,0)</x:f>
        <x:v>1</x:v>
      </x:c>
      <x:c r="Y156" s="32" t="str">
        <x:f>IF($O156="FAIL","FAIL",IF($O156="BLOCKED","BLOCKED",IF(AND($O156="EXCEPTION APPROVED",$K156="Yes"),"REVIEW",IF($O156="PASS","OK","PENDING"))))</x:f>
        <x:v>PENDING</x:v>
      </x:c>
    </x:row>
    <x:row r="157">
      <x:c r="A157" s="32" t="str">
        <x:v>REL-MKT-018</x:v>
      </x:c>
      <x:c r="B157" s="32" t="str">
        <x:v>Marketing y comunicación</x:v>
      </x:c>
      <x:c r="C157" s="32" t="str">
        <x:v>Release readiness</x:v>
      </x:c>
      <x:c r="D157" s="32" t="str">
        <x:v>Existe criterio para detener promoción si la RC o launch readiness retrocede.</x:v>
      </x:c>
      <x:c r="E157" s="32" t="str">
        <x:v>Revisar, ejecutar y registrar evidencia reproducible.</x:v>
      </x:c>
      <x:c r="F157" s="32" t="str">
        <x:v>Cumplimiento verificable antes del gate indicado.</x:v>
      </x:c>
      <x:c r="G157" s="32" t="str">
        <x:v>Marketing no-go trigger.</x:v>
      </x:c>
      <x:c r="H157" s="32" t="str">
        <x:v>28_Marketing_and_Communication_Plan.md; 24_Steam_Publishing_Plan.md</x:v>
      </x:c>
      <x:c r="I157" s="32" t="str">
        <x:v>Marketing Plan v0.3, v0.4, v0.5 plus historical Steam plans</x:v>
      </x:c>
      <x:c r="J157" s="32" t="str">
        <x:v>Release</x:v>
      </x:c>
      <x:c r="K157" s="32" t="str">
        <x:v>Yes</x:v>
      </x:c>
      <x:c r="L157" s="32" t="str">
        <x:v>P1</x:v>
      </x:c>
      <x:c r="M157" s="32" t="str">
        <x:v>Marketing/Community</x:v>
      </x:c>
      <x:c r="N157" s="32" t="str">
        <x:v>Product/Legal/Production</x:v>
      </x:c>
      <x:c r="O157" s="32" t="str">
        <x:v>NOT RUN</x:v>
      </x:c>
      <x:c r="P157" s="32" t="str"/>
      <x:c r="Q157" s="32" t="str"/>
      <x:c r="R157" s="32" t="str"/>
      <x:c r="S157" s="32" t="str"/>
      <x:c r="T157" s="82" t="str"/>
      <x:c r="U157" s="32" t="str"/>
      <x:c r="V157" s="84" t="n">
        <x:v>1</x:v>
      </x:c>
      <x:c r="W157" s="84" t="n">
        <x:f>IF(OR($O157="PASS",$O157="EXCEPTION APPROVED",$O157="NOT APPLICABLE"),$V157,0)</x:f>
        <x:v>0</x:v>
      </x:c>
      <x:c r="X157" s="84" t="n">
        <x:f>IF(AND($K157="Yes",OR($O157="FAIL",$O157="BLOCKED",$O157="NOT RUN",$O157="IN PROGRESS")),1,0)</x:f>
        <x:v>1</x:v>
      </x:c>
      <x:c r="Y157" s="32" t="str">
        <x:f>IF($O157="FAIL","FAIL",IF($O157="BLOCKED","BLOCKED",IF(AND($O157="EXCEPTION APPROVED",$K157="Yes"),"REVIEW",IF($O157="PASS","OK","PENDING"))))</x:f>
        <x:v>PENDING</x:v>
      </x:c>
    </x:row>
    <x:row r="158">
      <x:c r="A158" s="32" t="str">
        <x:v>REL-SUP-001</x:v>
      </x:c>
      <x:c r="B158" s="32" t="str">
        <x:v>Comunidad, soporte y operaciones</x:v>
      </x:c>
      <x:c r="C158" s="32" t="str">
        <x:v>Release readiness</x:v>
      </x:c>
      <x:c r="D158" s="32" t="str">
        <x:v>Los canales de soporte y comunidad tienen propietarios, horarios y expectativas realistas.</x:v>
      </x:c>
      <x:c r="E158" s="32" t="str">
        <x:v>Revisar, ejecutar y registrar evidencia reproducible.</x:v>
      </x:c>
      <x:c r="F158" s="32" t="str">
        <x:v>Cumplimiento verificable antes del gate indicado.</x:v>
      </x:c>
      <x:c r="G158" s="32" t="str">
        <x:v>Support operations plan.</x:v>
      </x:c>
      <x:c r="H158" s="32" t="str">
        <x:v>25_Post_Launch_and_Live_Operations_Plan.md; 26_Privacy_Data_and_Telemetry_Plan.md; 28_Marketing_and_Communication_Plan.md</x:v>
      </x:c>
      <x:c r="I158" s="32" t="str">
        <x:v>Historical Steam/Marketing/QA plans and handoff records</x:v>
      </x:c>
      <x:c r="J158" s="32" t="str">
        <x:v>Release</x:v>
      </x:c>
      <x:c r="K158" s="32" t="str">
        <x:v>Yes</x:v>
      </x:c>
      <x:c r="L158" s="32" t="str">
        <x:v>P1</x:v>
      </x:c>
      <x:c r="M158" s="32" t="str">
        <x:v>Support/Community</x:v>
      </x:c>
      <x:c r="N158" s="32" t="str">
        <x:v>Production/Privacy</x:v>
      </x:c>
      <x:c r="O158" s="32" t="str">
        <x:v>NOT RUN</x:v>
      </x:c>
      <x:c r="P158" s="32" t="str"/>
      <x:c r="Q158" s="32" t="str"/>
      <x:c r="R158" s="32" t="str"/>
      <x:c r="S158" s="32" t="str"/>
      <x:c r="T158" s="82" t="str"/>
      <x:c r="U158" s="32" t="str"/>
      <x:c r="V158" s="84" t="n">
        <x:v>1</x:v>
      </x:c>
      <x:c r="W158" s="84" t="n">
        <x:f>IF(OR($O158="PASS",$O158="EXCEPTION APPROVED",$O158="NOT APPLICABLE"),$V158,0)</x:f>
        <x:v>0</x:v>
      </x:c>
      <x:c r="X158" s="84" t="n">
        <x:f>IF(AND($K158="Yes",OR($O158="FAIL",$O158="BLOCKED",$O158="NOT RUN",$O158="IN PROGRESS")),1,0)</x:f>
        <x:v>1</x:v>
      </x:c>
      <x:c r="Y158" s="32" t="str">
        <x:f>IF($O158="FAIL","FAIL",IF($O158="BLOCKED","BLOCKED",IF(AND($O158="EXCEPTION APPROVED",$K158="Yes"),"REVIEW",IF($O158="PASS","OK","PENDING"))))</x:f>
        <x:v>PENDING</x:v>
      </x:c>
    </x:row>
    <x:row r="159">
      <x:c r="A159" s="32" t="str">
        <x:v>REL-SUP-002</x:v>
      </x:c>
      <x:c r="B159" s="32" t="str">
        <x:v>Comunidad, soporte y operaciones</x:v>
      </x:c>
      <x:c r="C159" s="32" t="str">
        <x:v>Release readiness</x:v>
      </x:c>
      <x:c r="D159" s="32" t="str">
        <x:v>FAQ y troubleshooting cubren instalación, saves, settings, idioma y problemas conocidos.</x:v>
      </x:c>
      <x:c r="E159" s="32" t="str">
        <x:v>Revisar, ejecutar y registrar evidencia reproducible.</x:v>
      </x:c>
      <x:c r="F159" s="32" t="str">
        <x:v>Cumplimiento verificable antes del gate indicado.</x:v>
      </x:c>
      <x:c r="G159" s="32" t="str">
        <x:v>Support content review.</x:v>
      </x:c>
      <x:c r="H159" s="32" t="str">
        <x:v>25_Post_Launch_and_Live_Operations_Plan.md; 26_Privacy_Data_and_Telemetry_Plan.md; 28_Marketing_and_Communication_Plan.md</x:v>
      </x:c>
      <x:c r="I159" s="32" t="str">
        <x:v>Historical Steam/Marketing/QA plans and handoff records</x:v>
      </x:c>
      <x:c r="J159" s="32" t="str">
        <x:v>Release</x:v>
      </x:c>
      <x:c r="K159" s="32" t="str">
        <x:v>Yes</x:v>
      </x:c>
      <x:c r="L159" s="32" t="str">
        <x:v>P1</x:v>
      </x:c>
      <x:c r="M159" s="32" t="str">
        <x:v>Support/Community</x:v>
      </x:c>
      <x:c r="N159" s="32" t="str">
        <x:v>Production/Privacy</x:v>
      </x:c>
      <x:c r="O159" s="32" t="str">
        <x:v>NOT RUN</x:v>
      </x:c>
      <x:c r="P159" s="32" t="str"/>
      <x:c r="Q159" s="32" t="str"/>
      <x:c r="R159" s="32" t="str"/>
      <x:c r="S159" s="32" t="str"/>
      <x:c r="T159" s="82" t="str"/>
      <x:c r="U159" s="32" t="str"/>
      <x:c r="V159" s="84" t="n">
        <x:v>1</x:v>
      </x:c>
      <x:c r="W159" s="84" t="n">
        <x:f>IF(OR($O159="PASS",$O159="EXCEPTION APPROVED",$O159="NOT APPLICABLE"),$V159,0)</x:f>
        <x:v>0</x:v>
      </x:c>
      <x:c r="X159" s="84" t="n">
        <x:f>IF(AND($K159="Yes",OR($O159="FAIL",$O159="BLOCKED",$O159="NOT RUN",$O159="IN PROGRESS")),1,0)</x:f>
        <x:v>1</x:v>
      </x:c>
      <x:c r="Y159" s="32" t="str">
        <x:f>IF($O159="FAIL","FAIL",IF($O159="BLOCKED","BLOCKED",IF(AND($O159="EXCEPTION APPROVED",$K159="Yes"),"REVIEW",IF($O159="PASS","OK","PENDING"))))</x:f>
        <x:v>PENDING</x:v>
      </x:c>
    </x:row>
    <x:row r="160">
      <x:c r="A160" s="32" t="str">
        <x:v>REL-SUP-003</x:v>
      </x:c>
      <x:c r="B160" s="32" t="str">
        <x:v>Comunidad, soporte y operaciones</x:v>
      </x:c>
      <x:c r="C160" s="32" t="str">
        <x:v>Release readiness</x:v>
      </x:c>
      <x:c r="D160" s="32" t="str">
        <x:v>Existe taxonomía para tickets, bugs, crashes, privacidad y seguridad.</x:v>
      </x:c>
      <x:c r="E160" s="32" t="str">
        <x:v>Revisar, ejecutar y registrar evidencia reproducible.</x:v>
      </x:c>
      <x:c r="F160" s="32" t="str">
        <x:v>Cumplimiento verificable antes del gate indicado.</x:v>
      </x:c>
      <x:c r="G160" s="32" t="str">
        <x:v>Support taxonomy.</x:v>
      </x:c>
      <x:c r="H160" s="32" t="str">
        <x:v>25_Post_Launch_and_Live_Operations_Plan.md; 26_Privacy_Data_and_Telemetry_Plan.md; 28_Marketing_and_Communication_Plan.md</x:v>
      </x:c>
      <x:c r="I160" s="32" t="str">
        <x:v>Historical Steam/Marketing/QA plans and handoff records</x:v>
      </x:c>
      <x:c r="J160" s="32" t="str">
        <x:v>Release</x:v>
      </x:c>
      <x:c r="K160" s="32" t="str">
        <x:v>Yes</x:v>
      </x:c>
      <x:c r="L160" s="32" t="str">
        <x:v>P1</x:v>
      </x:c>
      <x:c r="M160" s="32" t="str">
        <x:v>Support/Community</x:v>
      </x:c>
      <x:c r="N160" s="32" t="str">
        <x:v>Production/Privacy</x:v>
      </x:c>
      <x:c r="O160" s="32" t="str">
        <x:v>NOT RUN</x:v>
      </x:c>
      <x:c r="P160" s="32" t="str"/>
      <x:c r="Q160" s="32" t="str"/>
      <x:c r="R160" s="32" t="str"/>
      <x:c r="S160" s="32" t="str"/>
      <x:c r="T160" s="82" t="str"/>
      <x:c r="U160" s="32" t="str"/>
      <x:c r="V160" s="84" t="n">
        <x:v>1</x:v>
      </x:c>
      <x:c r="W160" s="84" t="n">
        <x:f>IF(OR($O160="PASS",$O160="EXCEPTION APPROVED",$O160="NOT APPLICABLE"),$V160,0)</x:f>
        <x:v>0</x:v>
      </x:c>
      <x:c r="X160" s="84" t="n">
        <x:f>IF(AND($K160="Yes",OR($O160="FAIL",$O160="BLOCKED",$O160="NOT RUN",$O160="IN PROGRESS")),1,0)</x:f>
        <x:v>1</x:v>
      </x:c>
      <x:c r="Y160" s="32" t="str">
        <x:f>IF($O160="FAIL","FAIL",IF($O160="BLOCKED","BLOCKED",IF(AND($O160="EXCEPTION APPROVED",$K160="Yes"),"REVIEW",IF($O160="PASS","OK","PENDING"))))</x:f>
        <x:v>PENDING</x:v>
      </x:c>
    </x:row>
    <x:row r="161">
      <x:c r="A161" s="32" t="str">
        <x:v>REL-SUP-004</x:v>
      </x:c>
      <x:c r="B161" s="32" t="str">
        <x:v>Comunidad, soporte y operaciones</x:v>
      </x:c>
      <x:c r="C161" s="32" t="str">
        <x:v>Release readiness</x:v>
      </x:c>
      <x:c r="D161" s="32" t="str">
        <x:v>Los datos solicitados a usuarios están minimizados y se explican.</x:v>
      </x:c>
      <x:c r="E161" s="32" t="str">
        <x:v>Revisar, ejecutar y registrar evidencia reproducible.</x:v>
      </x:c>
      <x:c r="F161" s="32" t="str">
        <x:v>Cumplimiento verificable antes del gate indicado.</x:v>
      </x:c>
      <x:c r="G161" s="32" t="str">
        <x:v>Support privacy script.</x:v>
      </x:c>
      <x:c r="H161" s="32" t="str">
        <x:v>25_Post_Launch_and_Live_Operations_Plan.md; 26_Privacy_Data_and_Telemetry_Plan.md; 28_Marketing_and_Communication_Plan.md</x:v>
      </x:c>
      <x:c r="I161" s="32" t="str">
        <x:v>Historical Steam/Marketing/QA plans and handoff records</x:v>
      </x:c>
      <x:c r="J161" s="32" t="str">
        <x:v>Release</x:v>
      </x:c>
      <x:c r="K161" s="32" t="str">
        <x:v>Yes</x:v>
      </x:c>
      <x:c r="L161" s="32" t="str">
        <x:v>P1</x:v>
      </x:c>
      <x:c r="M161" s="32" t="str">
        <x:v>Support/Community</x:v>
      </x:c>
      <x:c r="N161" s="32" t="str">
        <x:v>Production/Privacy</x:v>
      </x:c>
      <x:c r="O161" s="32" t="str">
        <x:v>NOT RUN</x:v>
      </x:c>
      <x:c r="P161" s="32" t="str"/>
      <x:c r="Q161" s="32" t="str"/>
      <x:c r="R161" s="32" t="str"/>
      <x:c r="S161" s="32" t="str"/>
      <x:c r="T161" s="82" t="str"/>
      <x:c r="U161" s="32" t="str"/>
      <x:c r="V161" s="84" t="n">
        <x:v>1</x:v>
      </x:c>
      <x:c r="W161" s="84" t="n">
        <x:f>IF(OR($O161="PASS",$O161="EXCEPTION APPROVED",$O161="NOT APPLICABLE"),$V161,0)</x:f>
        <x:v>0</x:v>
      </x:c>
      <x:c r="X161" s="84" t="n">
        <x:f>IF(AND($K161="Yes",OR($O161="FAIL",$O161="BLOCKED",$O161="NOT RUN",$O161="IN PROGRESS")),1,0)</x:f>
        <x:v>1</x:v>
      </x:c>
      <x:c r="Y161" s="32" t="str">
        <x:f>IF($O161="FAIL","FAIL",IF($O161="BLOCKED","BLOCKED",IF(AND($O161="EXCEPTION APPROVED",$K161="Yes"),"REVIEW",IF($O161="PASS","OK","PENDING"))))</x:f>
        <x:v>PENDING</x:v>
      </x:c>
    </x:row>
    <x:row r="162">
      <x:c r="A162" s="32" t="str">
        <x:v>REL-SUP-005</x:v>
      </x:c>
      <x:c r="B162" s="32" t="str">
        <x:v>Comunidad, soporte y operaciones</x:v>
      </x:c>
      <x:c r="C162" s="32" t="str">
        <x:v>Release readiness</x:v>
      </x:c>
      <x:c r="D162" s="32" t="str">
        <x:v>La moderación tiene reglas, escalado y tratamiento de abuso.</x:v>
      </x:c>
      <x:c r="E162" s="32" t="str">
        <x:v>Revisar, ejecutar y registrar evidencia reproducible.</x:v>
      </x:c>
      <x:c r="F162" s="32" t="str">
        <x:v>Cumplimiento verificable antes del gate indicado.</x:v>
      </x:c>
      <x:c r="G162" s="32" t="str">
        <x:v>Community moderation policy.</x:v>
      </x:c>
      <x:c r="H162" s="32" t="str">
        <x:v>25_Post_Launch_and_Live_Operations_Plan.md; 26_Privacy_Data_and_Telemetry_Plan.md; 28_Marketing_and_Communication_Plan.md</x:v>
      </x:c>
      <x:c r="I162" s="32" t="str">
        <x:v>Historical Steam/Marketing/QA plans and handoff records</x:v>
      </x:c>
      <x:c r="J162" s="32" t="str">
        <x:v>Release</x:v>
      </x:c>
      <x:c r="K162" s="32" t="str">
        <x:v>Yes</x:v>
      </x:c>
      <x:c r="L162" s="32" t="str">
        <x:v>P1</x:v>
      </x:c>
      <x:c r="M162" s="32" t="str">
        <x:v>Support/Community</x:v>
      </x:c>
      <x:c r="N162" s="32" t="str">
        <x:v>Production/Privacy</x:v>
      </x:c>
      <x:c r="O162" s="32" t="str">
        <x:v>NOT RUN</x:v>
      </x:c>
      <x:c r="P162" s="32" t="str"/>
      <x:c r="Q162" s="32" t="str"/>
      <x:c r="R162" s="32" t="str"/>
      <x:c r="S162" s="32" t="str"/>
      <x:c r="T162" s="82" t="str"/>
      <x:c r="U162" s="32" t="str"/>
      <x:c r="V162" s="84" t="n">
        <x:v>1</x:v>
      </x:c>
      <x:c r="W162" s="84" t="n">
        <x:f>IF(OR($O162="PASS",$O162="EXCEPTION APPROVED",$O162="NOT APPLICABLE"),$V162,0)</x:f>
        <x:v>0</x:v>
      </x:c>
      <x:c r="X162" s="84" t="n">
        <x:f>IF(AND($K162="Yes",OR($O162="FAIL",$O162="BLOCKED",$O162="NOT RUN",$O162="IN PROGRESS")),1,0)</x:f>
        <x:v>1</x:v>
      </x:c>
      <x:c r="Y162" s="32" t="str">
        <x:f>IF($O162="FAIL","FAIL",IF($O162="BLOCKED","BLOCKED",IF(AND($O162="EXCEPTION APPROVED",$K162="Yes"),"REVIEW",IF($O162="PASS","OK","PENDING"))))</x:f>
        <x:v>PENDING</x:v>
      </x:c>
    </x:row>
    <x:row r="163">
      <x:c r="A163" s="32" t="str">
        <x:v>REL-SUP-006</x:v>
      </x:c>
      <x:c r="B163" s="32" t="str">
        <x:v>Comunidad, soporte y operaciones</x:v>
      </x:c>
      <x:c r="C163" s="32" t="str">
        <x:v>Release readiness</x:v>
      </x:c>
      <x:c r="D163" s="32" t="str">
        <x:v>Los reportes de bugs se convierten en incidencias reproducibles sin exponer datos personales.</x:v>
      </x:c>
      <x:c r="E163" s="32" t="str">
        <x:v>Revisar, ejecutar y registrar evidencia reproducible.</x:v>
      </x:c>
      <x:c r="F163" s="32" t="str">
        <x:v>Cumplimiento verificable antes del gate indicado.</x:v>
      </x:c>
      <x:c r="G163" s="32" t="str">
        <x:v>Bug intake workflow.</x:v>
      </x:c>
      <x:c r="H163" s="32" t="str">
        <x:v>25_Post_Launch_and_Live_Operations_Plan.md; 26_Privacy_Data_and_Telemetry_Plan.md; 28_Marketing_and_Communication_Plan.md</x:v>
      </x:c>
      <x:c r="I163" s="32" t="str">
        <x:v>Historical Steam/Marketing/QA plans and handoff records</x:v>
      </x:c>
      <x:c r="J163" s="32" t="str">
        <x:v>Release</x:v>
      </x:c>
      <x:c r="K163" s="32" t="str">
        <x:v>Yes</x:v>
      </x:c>
      <x:c r="L163" s="32" t="str">
        <x:v>P1</x:v>
      </x:c>
      <x:c r="M163" s="32" t="str">
        <x:v>Support/Community</x:v>
      </x:c>
      <x:c r="N163" s="32" t="str">
        <x:v>Production/Privacy</x:v>
      </x:c>
      <x:c r="O163" s="32" t="str">
        <x:v>NOT RUN</x:v>
      </x:c>
      <x:c r="P163" s="32" t="str"/>
      <x:c r="Q163" s="32" t="str"/>
      <x:c r="R163" s="32" t="str"/>
      <x:c r="S163" s="32" t="str"/>
      <x:c r="T163" s="82" t="str"/>
      <x:c r="U163" s="32" t="str"/>
      <x:c r="V163" s="84" t="n">
        <x:v>1</x:v>
      </x:c>
      <x:c r="W163" s="84" t="n">
        <x:f>IF(OR($O163="PASS",$O163="EXCEPTION APPROVED",$O163="NOT APPLICABLE"),$V163,0)</x:f>
        <x:v>0</x:v>
      </x:c>
      <x:c r="X163" s="84" t="n">
        <x:f>IF(AND($K163="Yes",OR($O163="FAIL",$O163="BLOCKED",$O163="NOT RUN",$O163="IN PROGRESS")),1,0)</x:f>
        <x:v>1</x:v>
      </x:c>
      <x:c r="Y163" s="32" t="str">
        <x:f>IF($O163="FAIL","FAIL",IF($O163="BLOCKED","BLOCKED",IF(AND($O163="EXCEPTION APPROVED",$K163="Yes"),"REVIEW",IF($O163="PASS","OK","PENDING"))))</x:f>
        <x:v>PENDING</x:v>
      </x:c>
    </x:row>
    <x:row r="164">
      <x:c r="A164" s="32" t="str">
        <x:v>REL-SUP-007</x:v>
      </x:c>
      <x:c r="B164" s="32" t="str">
        <x:v>Comunidad, soporte y operaciones</x:v>
      </x:c>
      <x:c r="C164" s="32" t="str">
        <x:v>Release readiness</x:v>
      </x:c>
      <x:c r="D164" s="32" t="str">
        <x:v>El equipo puede comunicar known issues y estado de servicios rápidamente.</x:v>
      </x:c>
      <x:c r="E164" s="32" t="str">
        <x:v>Revisar, ejecutar y registrar evidencia reproducible.</x:v>
      </x:c>
      <x:c r="F164" s="32" t="str">
        <x:v>Cumplimiento verificable antes del gate indicado.</x:v>
      </x:c>
      <x:c r="G164" s="32" t="str">
        <x:v>Status communication playbook.</x:v>
      </x:c>
      <x:c r="H164" s="32" t="str">
        <x:v>25_Post_Launch_and_Live_Operations_Plan.md; 26_Privacy_Data_and_Telemetry_Plan.md; 28_Marketing_and_Communication_Plan.md</x:v>
      </x:c>
      <x:c r="I164" s="32" t="str">
        <x:v>Historical Steam/Marketing/QA plans and handoff records</x:v>
      </x:c>
      <x:c r="J164" s="32" t="str">
        <x:v>Release</x:v>
      </x:c>
      <x:c r="K164" s="32" t="str">
        <x:v>Yes</x:v>
      </x:c>
      <x:c r="L164" s="32" t="str">
        <x:v>P1</x:v>
      </x:c>
      <x:c r="M164" s="32" t="str">
        <x:v>Support/Community</x:v>
      </x:c>
      <x:c r="N164" s="32" t="str">
        <x:v>Production/Privacy</x:v>
      </x:c>
      <x:c r="O164" s="32" t="str">
        <x:v>NOT RUN</x:v>
      </x:c>
      <x:c r="P164" s="32" t="str"/>
      <x:c r="Q164" s="32" t="str"/>
      <x:c r="R164" s="32" t="str"/>
      <x:c r="S164" s="32" t="str"/>
      <x:c r="T164" s="82" t="str"/>
      <x:c r="U164" s="32" t="str"/>
      <x:c r="V164" s="84" t="n">
        <x:v>1</x:v>
      </x:c>
      <x:c r="W164" s="84" t="n">
        <x:f>IF(OR($O164="PASS",$O164="EXCEPTION APPROVED",$O164="NOT APPLICABLE"),$V164,0)</x:f>
        <x:v>0</x:v>
      </x:c>
      <x:c r="X164" s="84" t="n">
        <x:f>IF(AND($K164="Yes",OR($O164="FAIL",$O164="BLOCKED",$O164="NOT RUN",$O164="IN PROGRESS")),1,0)</x:f>
        <x:v>1</x:v>
      </x:c>
      <x:c r="Y164" s="32" t="str">
        <x:f>IF($O164="FAIL","FAIL",IF($O164="BLOCKED","BLOCKED",IF(AND($O164="EXCEPTION APPROVED",$K164="Yes"),"REVIEW",IF($O164="PASS","OK","PENDING"))))</x:f>
        <x:v>PENDING</x:v>
      </x:c>
    </x:row>
    <x:row r="165">
      <x:c r="A165" s="32" t="str">
        <x:v>REL-SUP-008</x:v>
      </x:c>
      <x:c r="B165" s="32" t="str">
        <x:v>Comunidad, soporte y operaciones</x:v>
      </x:c>
      <x:c r="C165" s="32" t="str">
        <x:v>Release readiness</x:v>
      </x:c>
      <x:c r="D165" s="32" t="str">
        <x:v>Las claves de review/Playtest se controlan y revocan cuando corresponde.</x:v>
      </x:c>
      <x:c r="E165" s="32" t="str">
        <x:v>Revisar, ejecutar y registrar evidencia reproducible.</x:v>
      </x:c>
      <x:c r="F165" s="32" t="str">
        <x:v>Cumplimiento verificable antes del gate indicado.</x:v>
      </x:c>
      <x:c r="G165" s="32" t="str">
        <x:v>Key management log.</x:v>
      </x:c>
      <x:c r="H165" s="32" t="str">
        <x:v>25_Post_Launch_and_Live_Operations_Plan.md; 26_Privacy_Data_and_Telemetry_Plan.md; 28_Marketing_and_Communication_Plan.md</x:v>
      </x:c>
      <x:c r="I165" s="32" t="str">
        <x:v>Historical Steam/Marketing/QA plans and handoff records</x:v>
      </x:c>
      <x:c r="J165" s="32" t="str">
        <x:v>Release</x:v>
      </x:c>
      <x:c r="K165" s="32" t="str">
        <x:v>Yes</x:v>
      </x:c>
      <x:c r="L165" s="32" t="str">
        <x:v>P1</x:v>
      </x:c>
      <x:c r="M165" s="32" t="str">
        <x:v>Support/Community</x:v>
      </x:c>
      <x:c r="N165" s="32" t="str">
        <x:v>Production/Privacy</x:v>
      </x:c>
      <x:c r="O165" s="32" t="str">
        <x:v>NOT RUN</x:v>
      </x:c>
      <x:c r="P165" s="32" t="str"/>
      <x:c r="Q165" s="32" t="str"/>
      <x:c r="R165" s="32" t="str"/>
      <x:c r="S165" s="32" t="str"/>
      <x:c r="T165" s="82" t="str"/>
      <x:c r="U165" s="32" t="str"/>
      <x:c r="V165" s="84" t="n">
        <x:v>1</x:v>
      </x:c>
      <x:c r="W165" s="84" t="n">
        <x:f>IF(OR($O165="PASS",$O165="EXCEPTION APPROVED",$O165="NOT APPLICABLE"),$V165,0)</x:f>
        <x:v>0</x:v>
      </x:c>
      <x:c r="X165" s="84" t="n">
        <x:f>IF(AND($K165="Yes",OR($O165="FAIL",$O165="BLOCKED",$O165="NOT RUN",$O165="IN PROGRESS")),1,0)</x:f>
        <x:v>1</x:v>
      </x:c>
      <x:c r="Y165" s="32" t="str">
        <x:f>IF($O165="FAIL","FAIL",IF($O165="BLOCKED","BLOCKED",IF(AND($O165="EXCEPTION APPROVED",$K165="Yes"),"REVIEW",IF($O165="PASS","OK","PENDING"))))</x:f>
        <x:v>PENDING</x:v>
      </x:c>
    </x:row>
    <x:row r="166">
      <x:c r="A166" s="32" t="str">
        <x:v>REL-SUP-009</x:v>
      </x:c>
      <x:c r="B166" s="32" t="str">
        <x:v>Comunidad, soporte y operaciones</x:v>
      </x:c>
      <x:c r="C166" s="32" t="str">
        <x:v>Release readiness</x:v>
      </x:c>
      <x:c r="D166" s="32" t="str">
        <x:v>Existe plan para reseñas negativas, review bombing y crisis sin manipulación.</x:v>
      </x:c>
      <x:c r="E166" s="32" t="str">
        <x:v>Revisar, ejecutar y registrar evidencia reproducible.</x:v>
      </x:c>
      <x:c r="F166" s="32" t="str">
        <x:v>Cumplimiento verificable antes del gate indicado.</x:v>
      </x:c>
      <x:c r="G166" s="32" t="str">
        <x:v>Reputation response guide.</x:v>
      </x:c>
      <x:c r="H166" s="32" t="str">
        <x:v>25_Post_Launch_and_Live_Operations_Plan.md; 26_Privacy_Data_and_Telemetry_Plan.md; 28_Marketing_and_Communication_Plan.md</x:v>
      </x:c>
      <x:c r="I166" s="32" t="str">
        <x:v>Historical Steam/Marketing/QA plans and handoff records</x:v>
      </x:c>
      <x:c r="J166" s="32" t="str">
        <x:v>Release</x:v>
      </x:c>
      <x:c r="K166" s="32" t="str">
        <x:v>Yes</x:v>
      </x:c>
      <x:c r="L166" s="32" t="str">
        <x:v>P1</x:v>
      </x:c>
      <x:c r="M166" s="32" t="str">
        <x:v>Support/Community</x:v>
      </x:c>
      <x:c r="N166" s="32" t="str">
        <x:v>Production/Privacy</x:v>
      </x:c>
      <x:c r="O166" s="32" t="str">
        <x:v>NOT RUN</x:v>
      </x:c>
      <x:c r="P166" s="32" t="str"/>
      <x:c r="Q166" s="32" t="str"/>
      <x:c r="R166" s="32" t="str"/>
      <x:c r="S166" s="32" t="str"/>
      <x:c r="T166" s="82" t="str"/>
      <x:c r="U166" s="32" t="str"/>
      <x:c r="V166" s="84" t="n">
        <x:v>1</x:v>
      </x:c>
      <x:c r="W166" s="84" t="n">
        <x:f>IF(OR($O166="PASS",$O166="EXCEPTION APPROVED",$O166="NOT APPLICABLE"),$V166,0)</x:f>
        <x:v>0</x:v>
      </x:c>
      <x:c r="X166" s="84" t="n">
        <x:f>IF(AND($K166="Yes",OR($O166="FAIL",$O166="BLOCKED",$O166="NOT RUN",$O166="IN PROGRESS")),1,0)</x:f>
        <x:v>1</x:v>
      </x:c>
      <x:c r="Y166" s="32" t="str">
        <x:f>IF($O166="FAIL","FAIL",IF($O166="BLOCKED","BLOCKED",IF(AND($O166="EXCEPTION APPROVED",$K166="Yes"),"REVIEW",IF($O166="PASS","OK","PENDING"))))</x:f>
        <x:v>PENDING</x:v>
      </x:c>
    </x:row>
    <x:row r="167">
      <x:c r="A167" s="32" t="str">
        <x:v>REL-SUP-010</x:v>
      </x:c>
      <x:c r="B167" s="32" t="str">
        <x:v>Comunidad, soporte y operaciones</x:v>
      </x:c>
      <x:c r="C167" s="32" t="str">
        <x:v>Release readiness</x:v>
      </x:c>
      <x:c r="D167" s="32" t="str">
        <x:v>Las solicitudes de accesibilidad/localización se etiquetan y revisan por especialistas.</x:v>
      </x:c>
      <x:c r="E167" s="32" t="str">
        <x:v>Revisar, ejecutar y registrar evidencia reproducible.</x:v>
      </x:c>
      <x:c r="F167" s="32" t="str">
        <x:v>Cumplimiento verificable antes del gate indicado.</x:v>
      </x:c>
      <x:c r="G167" s="32" t="str">
        <x:v>Escalation routing.</x:v>
      </x:c>
      <x:c r="H167" s="32" t="str">
        <x:v>25_Post_Launch_and_Live_Operations_Plan.md; 26_Privacy_Data_and_Telemetry_Plan.md; 28_Marketing_and_Communication_Plan.md</x:v>
      </x:c>
      <x:c r="I167" s="32" t="str">
        <x:v>Historical Steam/Marketing/QA plans and handoff records</x:v>
      </x:c>
      <x:c r="J167" s="32" t="str">
        <x:v>Release</x:v>
      </x:c>
      <x:c r="K167" s="32" t="str">
        <x:v>Yes</x:v>
      </x:c>
      <x:c r="L167" s="32" t="str">
        <x:v>P1</x:v>
      </x:c>
      <x:c r="M167" s="32" t="str">
        <x:v>Support/Community</x:v>
      </x:c>
      <x:c r="N167" s="32" t="str">
        <x:v>Production/Privacy</x:v>
      </x:c>
      <x:c r="O167" s="32" t="str">
        <x:v>NOT RUN</x:v>
      </x:c>
      <x:c r="P167" s="32" t="str"/>
      <x:c r="Q167" s="32" t="str"/>
      <x:c r="R167" s="32" t="str"/>
      <x:c r="S167" s="32" t="str"/>
      <x:c r="T167" s="82" t="str"/>
      <x:c r="U167" s="32" t="str"/>
      <x:c r="V167" s="84" t="n">
        <x:v>1</x:v>
      </x:c>
      <x:c r="W167" s="84" t="n">
        <x:f>IF(OR($O167="PASS",$O167="EXCEPTION APPROVED",$O167="NOT APPLICABLE"),$V167,0)</x:f>
        <x:v>0</x:v>
      </x:c>
      <x:c r="X167" s="84" t="n">
        <x:f>IF(AND($K167="Yes",OR($O167="FAIL",$O167="BLOCKED",$O167="NOT RUN",$O167="IN PROGRESS")),1,0)</x:f>
        <x:v>1</x:v>
      </x:c>
      <x:c r="Y167" s="32" t="str">
        <x:f>IF($O167="FAIL","FAIL",IF($O167="BLOCKED","BLOCKED",IF(AND($O167="EXCEPTION APPROVED",$K167="Yes"),"REVIEW",IF($O167="PASS","OK","PENDING"))))</x:f>
        <x:v>PENDING</x:v>
      </x:c>
    </x:row>
    <x:row r="168">
      <x:c r="A168" s="32" t="str">
        <x:v>REL-SUP-011</x:v>
      </x:c>
      <x:c r="B168" s="32" t="str">
        <x:v>Comunidad, soporte y operaciones</x:v>
      </x:c>
      <x:c r="C168" s="32" t="str">
        <x:v>Release readiness</x:v>
      </x:c>
      <x:c r="D168" s="32" t="str">
        <x:v>El soporte puede identificar versión/build sin pedir información compleja al usuario.</x:v>
      </x:c>
      <x:c r="E168" s="32" t="str">
        <x:v>Revisar, ejecutar y registrar evidencia reproducible.</x:v>
      </x:c>
      <x:c r="F168" s="32" t="str">
        <x:v>Cumplimiento verificable antes del gate indicado.</x:v>
      </x:c>
      <x:c r="G168" s="32" t="str">
        <x:v>Build identification UX.</x:v>
      </x:c>
      <x:c r="H168" s="32" t="str">
        <x:v>25_Post_Launch_and_Live_Operations_Plan.md; 26_Privacy_Data_and_Telemetry_Plan.md; 28_Marketing_and_Communication_Plan.md</x:v>
      </x:c>
      <x:c r="I168" s="32" t="str">
        <x:v>Historical Steam/Marketing/QA plans and handoff records</x:v>
      </x:c>
      <x:c r="J168" s="32" t="str">
        <x:v>Release</x:v>
      </x:c>
      <x:c r="K168" s="32" t="str">
        <x:v>Yes</x:v>
      </x:c>
      <x:c r="L168" s="32" t="str">
        <x:v>P1</x:v>
      </x:c>
      <x:c r="M168" s="32" t="str">
        <x:v>Support/Community</x:v>
      </x:c>
      <x:c r="N168" s="32" t="str">
        <x:v>Production/Privacy</x:v>
      </x:c>
      <x:c r="O168" s="32" t="str">
        <x:v>NOT RUN</x:v>
      </x:c>
      <x:c r="P168" s="32" t="str"/>
      <x:c r="Q168" s="32" t="str"/>
      <x:c r="R168" s="32" t="str"/>
      <x:c r="S168" s="32" t="str"/>
      <x:c r="T168" s="82" t="str"/>
      <x:c r="U168" s="32" t="str"/>
      <x:c r="V168" s="84" t="n">
        <x:v>1</x:v>
      </x:c>
      <x:c r="W168" s="84" t="n">
        <x:f>IF(OR($O168="PASS",$O168="EXCEPTION APPROVED",$O168="NOT APPLICABLE"),$V168,0)</x:f>
        <x:v>0</x:v>
      </x:c>
      <x:c r="X168" s="84" t="n">
        <x:f>IF(AND($K168="Yes",OR($O168="FAIL",$O168="BLOCKED",$O168="NOT RUN",$O168="IN PROGRESS")),1,0)</x:f>
        <x:v>1</x:v>
      </x:c>
      <x:c r="Y168" s="32" t="str">
        <x:f>IF($O168="FAIL","FAIL",IF($O168="BLOCKED","BLOCKED",IF(AND($O168="EXCEPTION APPROVED",$K168="Yes"),"REVIEW",IF($O168="PASS","OK","PENDING"))))</x:f>
        <x:v>PENDING</x:v>
      </x:c>
    </x:row>
    <x:row r="169">
      <x:c r="A169" s="32" t="str">
        <x:v>REL-SUP-012</x:v>
      </x:c>
      <x:c r="B169" s="32" t="str">
        <x:v>Comunidad, soporte y operaciones</x:v>
      </x:c>
      <x:c r="C169" s="32" t="str">
        <x:v>Release readiness</x:v>
      </x:c>
      <x:c r="D169" s="32" t="str">
        <x:v>El handoff a post-launch incluye responsables, dashboards y backlog inicial.</x:v>
      </x:c>
      <x:c r="E169" s="32" t="str">
        <x:v>Revisar, ejecutar y registrar evidencia reproducible.</x:v>
      </x:c>
      <x:c r="F169" s="32" t="str">
        <x:v>Cumplimiento verificable antes del gate indicado.</x:v>
      </x:c>
      <x:c r="G169" s="32" t="str">
        <x:v>Live operations handoff.</x:v>
      </x:c>
      <x:c r="H169" s="32" t="str">
        <x:v>25_Post_Launch_and_Live_Operations_Plan.md; 26_Privacy_Data_and_Telemetry_Plan.md; 28_Marketing_and_Communication_Plan.md</x:v>
      </x:c>
      <x:c r="I169" s="32" t="str">
        <x:v>Historical Steam/Marketing/QA plans and handoff records</x:v>
      </x:c>
      <x:c r="J169" s="32" t="str">
        <x:v>Release</x:v>
      </x:c>
      <x:c r="K169" s="32" t="str">
        <x:v>Yes</x:v>
      </x:c>
      <x:c r="L169" s="32" t="str">
        <x:v>P1</x:v>
      </x:c>
      <x:c r="M169" s="32" t="str">
        <x:v>Support/Community</x:v>
      </x:c>
      <x:c r="N169" s="32" t="str">
        <x:v>Production/Privacy</x:v>
      </x:c>
      <x:c r="O169" s="32" t="str">
        <x:v>NOT RUN</x:v>
      </x:c>
      <x:c r="P169" s="32" t="str"/>
      <x:c r="Q169" s="32" t="str"/>
      <x:c r="R169" s="32" t="str"/>
      <x:c r="S169" s="32" t="str"/>
      <x:c r="T169" s="82" t="str"/>
      <x:c r="U169" s="32" t="str"/>
      <x:c r="V169" s="84" t="n">
        <x:v>1</x:v>
      </x:c>
      <x:c r="W169" s="84" t="n">
        <x:f>IF(OR($O169="PASS",$O169="EXCEPTION APPROVED",$O169="NOT APPLICABLE"),$V169,0)</x:f>
        <x:v>0</x:v>
      </x:c>
      <x:c r="X169" s="84" t="n">
        <x:f>IF(AND($K169="Yes",OR($O169="FAIL",$O169="BLOCKED",$O169="NOT RUN",$O169="IN PROGRESS")),1,0)</x:f>
        <x:v>1</x:v>
      </x:c>
      <x:c r="Y169" s="32" t="str">
        <x:f>IF($O169="FAIL","FAIL",IF($O169="BLOCKED","BLOCKED",IF(AND($O169="EXCEPTION APPROVED",$K169="Yes"),"REVIEW",IF($O169="PASS","OK","PENDING"))))</x:f>
        <x:v>PENDING</x:v>
      </x:c>
    </x:row>
    <x:row r="170">
      <x:c r="A170" s="32" t="str">
        <x:v>REL-TEL-001</x:v>
      </x:c>
      <x:c r="B170" s="32" t="str">
        <x:v>Telemetría, crashes y datos</x:v>
      </x:c>
      <x:c r="C170" s="32" t="str">
        <x:v>Release readiness</x:v>
      </x:c>
      <x:c r="D170" s="32" t="str">
        <x:v>La telemetría es opcional por diseño de release salvo decisión y base documentadas.</x:v>
      </x:c>
      <x:c r="E170" s="32" t="str">
        <x:v>Revisar, ejecutar y registrar evidencia reproducible.</x:v>
      </x:c>
      <x:c r="F170" s="32" t="str">
        <x:v>Cumplimiento verificable antes del gate indicado.</x:v>
      </x:c>
      <x:c r="G170" s="32" t="str">
        <x:v>Telemetry go/no-go decision.</x:v>
      </x:c>
      <x:c r="H170" s="32" t="str">
        <x:v>26_Privacy_Data_and_Telemetry_Plan.md; 25_Post_Launch_and_Live_Operations_Plan.md</x:v>
      </x:c>
      <x:c r="I170" s="32" t="str">
        <x:v>Historically no dedicated telemetry plan; requirements distributed in QA/Steam/Legal</x:v>
      </x:c>
      <x:c r="J170" s="32" t="str">
        <x:v>Release</x:v>
      </x:c>
      <x:c r="K170" s="32" t="str">
        <x:v>Yes</x:v>
      </x:c>
      <x:c r="L170" s="32" t="str">
        <x:v>P1</x:v>
      </x:c>
      <x:c r="M170" s="32" t="str">
        <x:v>Data/Privacy</x:v>
      </x:c>
      <x:c r="N170" s="32" t="str">
        <x:v>Engineering/Legal</x:v>
      </x:c>
      <x:c r="O170" s="32" t="str">
        <x:v>NOT RUN</x:v>
      </x:c>
      <x:c r="P170" s="32" t="str"/>
      <x:c r="Q170" s="32" t="str"/>
      <x:c r="R170" s="32" t="str"/>
      <x:c r="S170" s="32" t="str"/>
      <x:c r="T170" s="82" t="str"/>
      <x:c r="U170" s="32" t="str"/>
      <x:c r="V170" s="84" t="n">
        <x:v>1</x:v>
      </x:c>
      <x:c r="W170" s="84" t="n">
        <x:f>IF(OR($O170="PASS",$O170="EXCEPTION APPROVED",$O170="NOT APPLICABLE"),$V170,0)</x:f>
        <x:v>0</x:v>
      </x:c>
      <x:c r="X170" s="84" t="n">
        <x:f>IF(AND($K170="Yes",OR($O170="FAIL",$O170="BLOCKED",$O170="NOT RUN",$O170="IN PROGRESS")),1,0)</x:f>
        <x:v>1</x:v>
      </x:c>
      <x:c r="Y170" s="32" t="str">
        <x:f>IF($O170="FAIL","FAIL",IF($O170="BLOCKED","BLOCKED",IF(AND($O170="EXCEPTION APPROVED",$K170="Yes"),"REVIEW",IF($O170="PASS","OK","PENDING"))))</x:f>
        <x:v>PENDING</x:v>
      </x:c>
    </x:row>
    <x:row r="171">
      <x:c r="A171" s="32" t="str">
        <x:v>REL-TEL-002</x:v>
      </x:c>
      <x:c r="B171" s="32" t="str">
        <x:v>Telemetría, crashes y datos</x:v>
      </x:c>
      <x:c r="C171" s="32" t="str">
        <x:v>Release readiness</x:v>
      </x:c>
      <x:c r="D171" s="32" t="str">
        <x:v>Cada evento tiene propósito, campos, retención y owner definidos.</x:v>
      </x:c>
      <x:c r="E171" s="32" t="str">
        <x:v>Revisar, ejecutar y registrar evidencia reproducible.</x:v>
      </x:c>
      <x:c r="F171" s="32" t="str">
        <x:v>Cumplimiento verificable antes del gate indicado.</x:v>
      </x:c>
      <x:c r="G171" s="32" t="str">
        <x:v>Event schema register.</x:v>
      </x:c>
      <x:c r="H171" s="32" t="str">
        <x:v>26_Privacy_Data_and_Telemetry_Plan.md; 25_Post_Launch_and_Live_Operations_Plan.md</x:v>
      </x:c>
      <x:c r="I171" s="32" t="str">
        <x:v>Historically no dedicated telemetry plan; requirements distributed in QA/Steam/Legal</x:v>
      </x:c>
      <x:c r="J171" s="32" t="str">
        <x:v>Release</x:v>
      </x:c>
      <x:c r="K171" s="32" t="str">
        <x:v>Yes</x:v>
      </x:c>
      <x:c r="L171" s="32" t="str">
        <x:v>P1</x:v>
      </x:c>
      <x:c r="M171" s="32" t="str">
        <x:v>Data/Privacy</x:v>
      </x:c>
      <x:c r="N171" s="32" t="str">
        <x:v>Engineering/Legal</x:v>
      </x:c>
      <x:c r="O171" s="32" t="str">
        <x:v>NOT RUN</x:v>
      </x:c>
      <x:c r="P171" s="32" t="str"/>
      <x:c r="Q171" s="32" t="str"/>
      <x:c r="R171" s="32" t="str"/>
      <x:c r="S171" s="32" t="str"/>
      <x:c r="T171" s="82" t="str"/>
      <x:c r="U171" s="32" t="str"/>
      <x:c r="V171" s="84" t="n">
        <x:v>1</x:v>
      </x:c>
      <x:c r="W171" s="84" t="n">
        <x:f>IF(OR($O171="PASS",$O171="EXCEPTION APPROVED",$O171="NOT APPLICABLE"),$V171,0)</x:f>
        <x:v>0</x:v>
      </x:c>
      <x:c r="X171" s="84" t="n">
        <x:f>IF(AND($K171="Yes",OR($O171="FAIL",$O171="BLOCKED",$O171="NOT RUN",$O171="IN PROGRESS")),1,0)</x:f>
        <x:v>1</x:v>
      </x:c>
      <x:c r="Y171" s="32" t="str">
        <x:f>IF($O171="FAIL","FAIL",IF($O171="BLOCKED","BLOCKED",IF(AND($O171="EXCEPTION APPROVED",$K171="Yes"),"REVIEW",IF($O171="PASS","OK","PENDING"))))</x:f>
        <x:v>PENDING</x:v>
      </x:c>
    </x:row>
    <x:row r="172">
      <x:c r="A172" s="32" t="str">
        <x:v>REL-TEL-003</x:v>
      </x:c>
      <x:c r="B172" s="32" t="str">
        <x:v>Telemetría, crashes y datos</x:v>
      </x:c>
      <x:c r="C172" s="32" t="str">
        <x:v>Release readiness</x:v>
      </x:c>
      <x:c r="D172" s="32" t="str">
        <x:v>No se recopila texto libre, contenido de save o identificadores innecesarios.</x:v>
      </x:c>
      <x:c r="E172" s="32" t="str">
        <x:v>Revisar, ejecutar y registrar evidencia reproducible.</x:v>
      </x:c>
      <x:c r="F172" s="32" t="str">
        <x:v>Cumplimiento verificable antes del gate indicado.</x:v>
      </x:c>
      <x:c r="G172" s="32" t="str">
        <x:v>Data minimization audit.</x:v>
      </x:c>
      <x:c r="H172" s="32" t="str">
        <x:v>26_Privacy_Data_and_Telemetry_Plan.md; 25_Post_Launch_and_Live_Operations_Plan.md</x:v>
      </x:c>
      <x:c r="I172" s="32" t="str">
        <x:v>Historically no dedicated telemetry plan; requirements distributed in QA/Steam/Legal</x:v>
      </x:c>
      <x:c r="J172" s="32" t="str">
        <x:v>Release</x:v>
      </x:c>
      <x:c r="K172" s="32" t="str">
        <x:v>Yes</x:v>
      </x:c>
      <x:c r="L172" s="32" t="str">
        <x:v>P1</x:v>
      </x:c>
      <x:c r="M172" s="32" t="str">
        <x:v>Data/Privacy</x:v>
      </x:c>
      <x:c r="N172" s="32" t="str">
        <x:v>Engineering/Legal</x:v>
      </x:c>
      <x:c r="O172" s="32" t="str">
        <x:v>NOT RUN</x:v>
      </x:c>
      <x:c r="P172" s="32" t="str"/>
      <x:c r="Q172" s="32" t="str"/>
      <x:c r="R172" s="32" t="str"/>
      <x:c r="S172" s="32" t="str"/>
      <x:c r="T172" s="82" t="str"/>
      <x:c r="U172" s="32" t="str"/>
      <x:c r="V172" s="84" t="n">
        <x:v>1</x:v>
      </x:c>
      <x:c r="W172" s="84" t="n">
        <x:f>IF(OR($O172="PASS",$O172="EXCEPTION APPROVED",$O172="NOT APPLICABLE"),$V172,0)</x:f>
        <x:v>0</x:v>
      </x:c>
      <x:c r="X172" s="84" t="n">
        <x:f>IF(AND($K172="Yes",OR($O172="FAIL",$O172="BLOCKED",$O172="NOT RUN",$O172="IN PROGRESS")),1,0)</x:f>
        <x:v>1</x:v>
      </x:c>
      <x:c r="Y172" s="32" t="str">
        <x:f>IF($O172="FAIL","FAIL",IF($O172="BLOCKED","BLOCKED",IF(AND($O172="EXCEPTION APPROVED",$K172="Yes"),"REVIEW",IF($O172="PASS","OK","PENDING"))))</x:f>
        <x:v>PENDING</x:v>
      </x:c>
    </x:row>
    <x:row r="173">
      <x:c r="A173" s="32" t="str">
        <x:v>REL-TEL-004</x:v>
      </x:c>
      <x:c r="B173" s="32" t="str">
        <x:v>Telemetría, crashes y datos</x:v>
      </x:c>
      <x:c r="C173" s="32" t="str">
        <x:v>Release readiness</x:v>
      </x:c>
      <x:c r="D173" s="32" t="str">
        <x:v>Consentimiento, opt-out y estado offline funcionan cuando son necesarios.</x:v>
      </x:c>
      <x:c r="E173" s="32" t="str">
        <x:v>Revisar, ejecutar y registrar evidencia reproducible.</x:v>
      </x:c>
      <x:c r="F173" s="32" t="str">
        <x:v>Cumplimiento verificable antes del gate indicado.</x:v>
      </x:c>
      <x:c r="G173" s="32" t="str">
        <x:v>Consent/opt-out QA.</x:v>
      </x:c>
      <x:c r="H173" s="32" t="str">
        <x:v>26_Privacy_Data_and_Telemetry_Plan.md; 25_Post_Launch_and_Live_Operations_Plan.md</x:v>
      </x:c>
      <x:c r="I173" s="32" t="str">
        <x:v>Historically no dedicated telemetry plan; requirements distributed in QA/Steam/Legal</x:v>
      </x:c>
      <x:c r="J173" s="32" t="str">
        <x:v>Release</x:v>
      </x:c>
      <x:c r="K173" s="32" t="str">
        <x:v>Yes</x:v>
      </x:c>
      <x:c r="L173" s="32" t="str">
        <x:v>P1</x:v>
      </x:c>
      <x:c r="M173" s="32" t="str">
        <x:v>Data/Privacy</x:v>
      </x:c>
      <x:c r="N173" s="32" t="str">
        <x:v>Engineering/Legal</x:v>
      </x:c>
      <x:c r="O173" s="32" t="str">
        <x:v>NOT RUN</x:v>
      </x:c>
      <x:c r="P173" s="32" t="str"/>
      <x:c r="Q173" s="32" t="str"/>
      <x:c r="R173" s="32" t="str"/>
      <x:c r="S173" s="32" t="str"/>
      <x:c r="T173" s="82" t="str"/>
      <x:c r="U173" s="32" t="str"/>
      <x:c r="V173" s="84" t="n">
        <x:v>1</x:v>
      </x:c>
      <x:c r="W173" s="84" t="n">
        <x:f>IF(OR($O173="PASS",$O173="EXCEPTION APPROVED",$O173="NOT APPLICABLE"),$V173,0)</x:f>
        <x:v>0</x:v>
      </x:c>
      <x:c r="X173" s="84" t="n">
        <x:f>IF(AND($K173="Yes",OR($O173="FAIL",$O173="BLOCKED",$O173="NOT RUN",$O173="IN PROGRESS")),1,0)</x:f>
        <x:v>1</x:v>
      </x:c>
      <x:c r="Y173" s="32" t="str">
        <x:f>IF($O173="FAIL","FAIL",IF($O173="BLOCKED","BLOCKED",IF(AND($O173="EXCEPTION APPROVED",$K173="Yes"),"REVIEW",IF($O173="PASS","OK","PENDING"))))</x:f>
        <x:v>PENDING</x:v>
      </x:c>
    </x:row>
    <x:row r="174">
      <x:c r="A174" s="32" t="str">
        <x:v>REL-TEL-005</x:v>
      </x:c>
      <x:c r="B174" s="32" t="str">
        <x:v>Telemetría, crashes y datos</x:v>
      </x:c>
      <x:c r="C174" s="32" t="str">
        <x:v>Release readiness</x:v>
      </x:c>
      <x:c r="D174" s="32" t="str">
        <x:v>Los crash reports se prueban sin enviar datos sensibles.</x:v>
      </x:c>
      <x:c r="E174" s="32" t="str">
        <x:v>Revisar, ejecutar y registrar evidencia reproducible.</x:v>
      </x:c>
      <x:c r="F174" s="32" t="str">
        <x:v>Cumplimiento verificable antes del gate indicado.</x:v>
      </x:c>
      <x:c r="G174" s="32" t="str">
        <x:v>Crash pipeline test.</x:v>
      </x:c>
      <x:c r="H174" s="32" t="str">
        <x:v>26_Privacy_Data_and_Telemetry_Plan.md; 25_Post_Launch_and_Live_Operations_Plan.md</x:v>
      </x:c>
      <x:c r="I174" s="32" t="str">
        <x:v>Historically no dedicated telemetry plan; requirements distributed in QA/Steam/Legal</x:v>
      </x:c>
      <x:c r="J174" s="32" t="str">
        <x:v>Release</x:v>
      </x:c>
      <x:c r="K174" s="32" t="str">
        <x:v>Yes</x:v>
      </x:c>
      <x:c r="L174" s="32" t="str">
        <x:v>P1</x:v>
      </x:c>
      <x:c r="M174" s="32" t="str">
        <x:v>Data/Privacy</x:v>
      </x:c>
      <x:c r="N174" s="32" t="str">
        <x:v>Engineering/Legal</x:v>
      </x:c>
      <x:c r="O174" s="32" t="str">
        <x:v>NOT RUN</x:v>
      </x:c>
      <x:c r="P174" s="32" t="str"/>
      <x:c r="Q174" s="32" t="str"/>
      <x:c r="R174" s="32" t="str"/>
      <x:c r="S174" s="32" t="str"/>
      <x:c r="T174" s="82" t="str"/>
      <x:c r="U174" s="32" t="str"/>
      <x:c r="V174" s="84" t="n">
        <x:v>1</x:v>
      </x:c>
      <x:c r="W174" s="84" t="n">
        <x:f>IF(OR($O174="PASS",$O174="EXCEPTION APPROVED",$O174="NOT APPLICABLE"),$V174,0)</x:f>
        <x:v>0</x:v>
      </x:c>
      <x:c r="X174" s="84" t="n">
        <x:f>IF(AND($K174="Yes",OR($O174="FAIL",$O174="BLOCKED",$O174="NOT RUN",$O174="IN PROGRESS")),1,0)</x:f>
        <x:v>1</x:v>
      </x:c>
      <x:c r="Y174" s="32" t="str">
        <x:f>IF($O174="FAIL","FAIL",IF($O174="BLOCKED","BLOCKED",IF(AND($O174="EXCEPTION APPROVED",$K174="Yes"),"REVIEW",IF($O174="PASS","OK","PENDING"))))</x:f>
        <x:v>PENDING</x:v>
      </x:c>
    </x:row>
    <x:row r="175">
      <x:c r="A175" s="32" t="str">
        <x:v>REL-TEL-006</x:v>
      </x:c>
      <x:c r="B175" s="32" t="str">
        <x:v>Telemetría, crashes y datos</x:v>
      </x:c>
      <x:c r="C175" s="32" t="str">
        <x:v>Release readiness</x:v>
      </x:c>
      <x:c r="D175" s="32" t="str">
        <x:v>Los dashboards distinguen métricas de producto, calidad y marketing.</x:v>
      </x:c>
      <x:c r="E175" s="32" t="str">
        <x:v>Revisar, ejecutar y registrar evidencia reproducible.</x:v>
      </x:c>
      <x:c r="F175" s="32" t="str">
        <x:v>Cumplimiento verificable antes del gate indicado.</x:v>
      </x:c>
      <x:c r="G175" s="32" t="str">
        <x:v>Metrics governance review.</x:v>
      </x:c>
      <x:c r="H175" s="32" t="str">
        <x:v>26_Privacy_Data_and_Telemetry_Plan.md; 25_Post_Launch_and_Live_Operations_Plan.md</x:v>
      </x:c>
      <x:c r="I175" s="32" t="str">
        <x:v>Historically no dedicated telemetry plan; requirements distributed in QA/Steam/Legal</x:v>
      </x:c>
      <x:c r="J175" s="32" t="str">
        <x:v>Release</x:v>
      </x:c>
      <x:c r="K175" s="32" t="str">
        <x:v>Yes</x:v>
      </x:c>
      <x:c r="L175" s="32" t="str">
        <x:v>P1</x:v>
      </x:c>
      <x:c r="M175" s="32" t="str">
        <x:v>Data/Privacy</x:v>
      </x:c>
      <x:c r="N175" s="32" t="str">
        <x:v>Engineering/Legal</x:v>
      </x:c>
      <x:c r="O175" s="32" t="str">
        <x:v>NOT RUN</x:v>
      </x:c>
      <x:c r="P175" s="32" t="str"/>
      <x:c r="Q175" s="32" t="str"/>
      <x:c r="R175" s="32" t="str"/>
      <x:c r="S175" s="32" t="str"/>
      <x:c r="T175" s="82" t="str"/>
      <x:c r="U175" s="32" t="str"/>
      <x:c r="V175" s="84" t="n">
        <x:v>1</x:v>
      </x:c>
      <x:c r="W175" s="84" t="n">
        <x:f>IF(OR($O175="PASS",$O175="EXCEPTION APPROVED",$O175="NOT APPLICABLE"),$V175,0)</x:f>
        <x:v>0</x:v>
      </x:c>
      <x:c r="X175" s="84" t="n">
        <x:f>IF(AND($K175="Yes",OR($O175="FAIL",$O175="BLOCKED",$O175="NOT RUN",$O175="IN PROGRESS")),1,0)</x:f>
        <x:v>1</x:v>
      </x:c>
      <x:c r="Y175" s="32" t="str">
        <x:f>IF($O175="FAIL","FAIL",IF($O175="BLOCKED","BLOCKED",IF(AND($O175="EXCEPTION APPROVED",$K175="Yes"),"REVIEW",IF($O175="PASS","OK","PENDING"))))</x:f>
        <x:v>PENDING</x:v>
      </x:c>
    </x:row>
    <x:row r="176">
      <x:c r="A176" s="32" t="str">
        <x:v>REL-TEL-007</x:v>
      </x:c>
      <x:c r="B176" s="32" t="str">
        <x:v>Telemetría, crashes y datos</x:v>
      </x:c>
      <x:c r="C176" s="32" t="str">
        <x:v>Release readiness</x:v>
      </x:c>
      <x:c r="D176" s="32" t="str">
        <x:v>Las métricas tienen plan de respuesta; no se recopilan datos sin uso operativo.</x:v>
      </x:c>
      <x:c r="E176" s="32" t="str">
        <x:v>Revisar, ejecutar y registrar evidencia reproducible.</x:v>
      </x:c>
      <x:c r="F176" s="32" t="str">
        <x:v>Cumplimiento verificable antes del gate indicado.</x:v>
      </x:c>
      <x:c r="G176" s="32" t="str">
        <x:v>Metric action mapping.</x:v>
      </x:c>
      <x:c r="H176" s="32" t="str">
        <x:v>26_Privacy_Data_and_Telemetry_Plan.md; 25_Post_Launch_and_Live_Operations_Plan.md</x:v>
      </x:c>
      <x:c r="I176" s="32" t="str">
        <x:v>Historically no dedicated telemetry plan; requirements distributed in QA/Steam/Legal</x:v>
      </x:c>
      <x:c r="J176" s="32" t="str">
        <x:v>Release</x:v>
      </x:c>
      <x:c r="K176" s="32" t="str">
        <x:v>Yes</x:v>
      </x:c>
      <x:c r="L176" s="32" t="str">
        <x:v>P1</x:v>
      </x:c>
      <x:c r="M176" s="32" t="str">
        <x:v>Data/Privacy</x:v>
      </x:c>
      <x:c r="N176" s="32" t="str">
        <x:v>Engineering/Legal</x:v>
      </x:c>
      <x:c r="O176" s="32" t="str">
        <x:v>NOT RUN</x:v>
      </x:c>
      <x:c r="P176" s="32" t="str"/>
      <x:c r="Q176" s="32" t="str"/>
      <x:c r="R176" s="32" t="str"/>
      <x:c r="S176" s="32" t="str"/>
      <x:c r="T176" s="82" t="str"/>
      <x:c r="U176" s="32" t="str"/>
      <x:c r="V176" s="84" t="n">
        <x:v>1</x:v>
      </x:c>
      <x:c r="W176" s="84" t="n">
        <x:f>IF(OR($O176="PASS",$O176="EXCEPTION APPROVED",$O176="NOT APPLICABLE"),$V176,0)</x:f>
        <x:v>0</x:v>
      </x:c>
      <x:c r="X176" s="84" t="n">
        <x:f>IF(AND($K176="Yes",OR($O176="FAIL",$O176="BLOCKED",$O176="NOT RUN",$O176="IN PROGRESS")),1,0)</x:f>
        <x:v>1</x:v>
      </x:c>
      <x:c r="Y176" s="32" t="str">
        <x:f>IF($O176="FAIL","FAIL",IF($O176="BLOCKED","BLOCKED",IF(AND($O176="EXCEPTION APPROVED",$K176="Yes"),"REVIEW",IF($O176="PASS","OK","PENDING"))))</x:f>
        <x:v>PENDING</x:v>
      </x:c>
    </x:row>
    <x:row r="177">
      <x:c r="A177" s="32" t="str">
        <x:v>REL-TEL-008</x:v>
      </x:c>
      <x:c r="B177" s="32" t="str">
        <x:v>Telemetría, crashes y datos</x:v>
      </x:c>
      <x:c r="C177" s="32" t="str">
        <x:v>Release readiness</x:v>
      </x:c>
      <x:c r="D177" s="32" t="str">
        <x:v>Los proveedores y regiones de almacenamiento están registrados.</x:v>
      </x:c>
      <x:c r="E177" s="32" t="str">
        <x:v>Revisar, ejecutar y registrar evidencia reproducible.</x:v>
      </x:c>
      <x:c r="F177" s="32" t="str">
        <x:v>Cumplimiento verificable antes del gate indicado.</x:v>
      </x:c>
      <x:c r="G177" s="32" t="str">
        <x:v>Processor/data location register.</x:v>
      </x:c>
      <x:c r="H177" s="32" t="str">
        <x:v>26_Privacy_Data_and_Telemetry_Plan.md; 25_Post_Launch_and_Live_Operations_Plan.md</x:v>
      </x:c>
      <x:c r="I177" s="32" t="str">
        <x:v>Historically no dedicated telemetry plan; requirements distributed in QA/Steam/Legal</x:v>
      </x:c>
      <x:c r="J177" s="32" t="str">
        <x:v>Release</x:v>
      </x:c>
      <x:c r="K177" s="32" t="str">
        <x:v>Yes</x:v>
      </x:c>
      <x:c r="L177" s="32" t="str">
        <x:v>P1</x:v>
      </x:c>
      <x:c r="M177" s="32" t="str">
        <x:v>Data/Privacy</x:v>
      </x:c>
      <x:c r="N177" s="32" t="str">
        <x:v>Engineering/Legal</x:v>
      </x:c>
      <x:c r="O177" s="32" t="str">
        <x:v>NOT RUN</x:v>
      </x:c>
      <x:c r="P177" s="32" t="str"/>
      <x:c r="Q177" s="32" t="str"/>
      <x:c r="R177" s="32" t="str"/>
      <x:c r="S177" s="32" t="str"/>
      <x:c r="T177" s="82" t="str"/>
      <x:c r="U177" s="32" t="str"/>
      <x:c r="V177" s="84" t="n">
        <x:v>1</x:v>
      </x:c>
      <x:c r="W177" s="84" t="n">
        <x:f>IF(OR($O177="PASS",$O177="EXCEPTION APPROVED",$O177="NOT APPLICABLE"),$V177,0)</x:f>
        <x:v>0</x:v>
      </x:c>
      <x:c r="X177" s="84" t="n">
        <x:f>IF(AND($K177="Yes",OR($O177="FAIL",$O177="BLOCKED",$O177="NOT RUN",$O177="IN PROGRESS")),1,0)</x:f>
        <x:v>1</x:v>
      </x:c>
      <x:c r="Y177" s="32" t="str">
        <x:f>IF($O177="FAIL","FAIL",IF($O177="BLOCKED","BLOCKED",IF(AND($O177="EXCEPTION APPROVED",$K177="Yes"),"REVIEW",IF($O177="PASS","OK","PENDING"))))</x:f>
        <x:v>PENDING</x:v>
      </x:c>
    </x:row>
    <x:row r="178">
      <x:c r="A178" s="32" t="str">
        <x:v>REL-TEL-009</x:v>
      </x:c>
      <x:c r="B178" s="32" t="str">
        <x:v>Telemetría, crashes y datos</x:v>
      </x:c>
      <x:c r="C178" s="32" t="str">
        <x:v>Release readiness</x:v>
      </x:c>
      <x:c r="D178" s="32" t="str">
        <x:v>La ausencia de red no bloquea el juego ni produce pérdida de datos.</x:v>
      </x:c>
      <x:c r="E178" s="32" t="str">
        <x:v>Revisar, ejecutar y registrar evidencia reproducible.</x:v>
      </x:c>
      <x:c r="F178" s="32" t="str">
        <x:v>Cumplimiento verificable antes del gate indicado.</x:v>
      </x:c>
      <x:c r="G178" s="32" t="str">
        <x:v>Offline telemetry test.</x:v>
      </x:c>
      <x:c r="H178" s="32" t="str">
        <x:v>26_Privacy_Data_and_Telemetry_Plan.md; 25_Post_Launch_and_Live_Operations_Plan.md</x:v>
      </x:c>
      <x:c r="I178" s="32" t="str">
        <x:v>Historically no dedicated telemetry plan; requirements distributed in QA/Steam/Legal</x:v>
      </x:c>
      <x:c r="J178" s="32" t="str">
        <x:v>Release</x:v>
      </x:c>
      <x:c r="K178" s="32" t="str">
        <x:v>Yes</x:v>
      </x:c>
      <x:c r="L178" s="32" t="str">
        <x:v>P1</x:v>
      </x:c>
      <x:c r="M178" s="32" t="str">
        <x:v>Data/Privacy</x:v>
      </x:c>
      <x:c r="N178" s="32" t="str">
        <x:v>Engineering/Legal</x:v>
      </x:c>
      <x:c r="O178" s="32" t="str">
        <x:v>NOT RUN</x:v>
      </x:c>
      <x:c r="P178" s="32" t="str"/>
      <x:c r="Q178" s="32" t="str"/>
      <x:c r="R178" s="32" t="str"/>
      <x:c r="S178" s="32" t="str"/>
      <x:c r="T178" s="82" t="str"/>
      <x:c r="U178" s="32" t="str"/>
      <x:c r="V178" s="84" t="n">
        <x:v>1</x:v>
      </x:c>
      <x:c r="W178" s="84" t="n">
        <x:f>IF(OR($O178="PASS",$O178="EXCEPTION APPROVED",$O178="NOT APPLICABLE"),$V178,0)</x:f>
        <x:v>0</x:v>
      </x:c>
      <x:c r="X178" s="84" t="n">
        <x:f>IF(AND($K178="Yes",OR($O178="FAIL",$O178="BLOCKED",$O178="NOT RUN",$O178="IN PROGRESS")),1,0)</x:f>
        <x:v>1</x:v>
      </x:c>
      <x:c r="Y178" s="32" t="str">
        <x:f>IF($O178="FAIL","FAIL",IF($O178="BLOCKED","BLOCKED",IF(AND($O178="EXCEPTION APPROVED",$K178="Yes"),"REVIEW",IF($O178="PASS","OK","PENDING"))))</x:f>
        <x:v>PENDING</x:v>
      </x:c>
    </x:row>
    <x:row r="179">
      <x:c r="A179" s="32" t="str">
        <x:v>REL-TEL-010</x:v>
      </x:c>
      <x:c r="B179" s="32" t="str">
        <x:v>Telemetría, crashes y datos</x:v>
      </x:c>
      <x:c r="C179" s="32" t="str">
        <x:v>Release readiness</x:v>
      </x:c>
      <x:c r="D179" s="32" t="str">
        <x:v>El apagado o cambio de proveedor tiene procedimiento de exportación/borrado.</x:v>
      </x:c>
      <x:c r="E179" s="32" t="str">
        <x:v>Revisar, ejecutar y registrar evidencia reproducible.</x:v>
      </x:c>
      <x:c r="F179" s="32" t="str">
        <x:v>Cumplimiento verificable antes del gate indicado.</x:v>
      </x:c>
      <x:c r="G179" s="32" t="str">
        <x:v>Telemetry exit plan.</x:v>
      </x:c>
      <x:c r="H179" s="32" t="str">
        <x:v>26_Privacy_Data_and_Telemetry_Plan.md; 25_Post_Launch_and_Live_Operations_Plan.md</x:v>
      </x:c>
      <x:c r="I179" s="32" t="str">
        <x:v>Historically no dedicated telemetry plan; requirements distributed in QA/Steam/Legal</x:v>
      </x:c>
      <x:c r="J179" s="32" t="str">
        <x:v>Release</x:v>
      </x:c>
      <x:c r="K179" s="32" t="str">
        <x:v>Yes</x:v>
      </x:c>
      <x:c r="L179" s="32" t="str">
        <x:v>P1</x:v>
      </x:c>
      <x:c r="M179" s="32" t="str">
        <x:v>Data/Privacy</x:v>
      </x:c>
      <x:c r="N179" s="32" t="str">
        <x:v>Engineering/Legal</x:v>
      </x:c>
      <x:c r="O179" s="32" t="str">
        <x:v>NOT RUN</x:v>
      </x:c>
      <x:c r="P179" s="32" t="str"/>
      <x:c r="Q179" s="32" t="str"/>
      <x:c r="R179" s="32" t="str"/>
      <x:c r="S179" s="32" t="str"/>
      <x:c r="T179" s="82" t="str"/>
      <x:c r="U179" s="32" t="str"/>
      <x:c r="V179" s="84" t="n">
        <x:v>1</x:v>
      </x:c>
      <x:c r="W179" s="84" t="n">
        <x:f>IF(OR($O179="PASS",$O179="EXCEPTION APPROVED",$O179="NOT APPLICABLE"),$V179,0)</x:f>
        <x:v>0</x:v>
      </x:c>
      <x:c r="X179" s="84" t="n">
        <x:f>IF(AND($K179="Yes",OR($O179="FAIL",$O179="BLOCKED",$O179="NOT RUN",$O179="IN PROGRESS")),1,0)</x:f>
        <x:v>1</x:v>
      </x:c>
      <x:c r="Y179" s="32" t="str">
        <x:f>IF($O179="FAIL","FAIL",IF($O179="BLOCKED","BLOCKED",IF(AND($O179="EXCEPTION APPROVED",$K179="Yes"),"REVIEW",IF($O179="PASS","OK","PENDING"))))</x:f>
        <x:v>PENDING</x:v>
      </x:c>
    </x:row>
    <x:row r="180">
      <x:c r="A180" s="32" t="str">
        <x:v>REL-COM-001</x:v>
      </x:c>
      <x:c r="B180" s="32" t="str">
        <x:v>Precio y preparación comercial</x:v>
      </x:c>
      <x:c r="C180" s="32" t="str">
        <x:v>Release readiness</x:v>
      </x:c>
      <x:c r="D180" s="32" t="str">
        <x:v>El precio y moneda base se deciden con posicionamiento, alcance y mercado revisados.</x:v>
      </x:c>
      <x:c r="E180" s="32" t="str">
        <x:v>Revisar, ejecutar y registrar evidencia reproducible.</x:v>
      </x:c>
      <x:c r="F180" s="32" t="str">
        <x:v>Cumplimiento verificable antes del gate indicado.</x:v>
      </x:c>
      <x:c r="G180" s="32" t="str">
        <x:v>Pricing decision record.</x:v>
      </x:c>
      <x:c r="H180" s="32" t="str">
        <x:v>24_Steam_Publishing_Plan.md; 28_Marketing_and_Communication_Plan.md</x:v>
      </x:c>
      <x:c r="I180" s="32" t="str">
        <x:v>Historical Marketing and Steam plans v0.3–v0.5</x:v>
      </x:c>
      <x:c r="J180" s="32" t="str">
        <x:v>Release</x:v>
      </x:c>
      <x:c r="K180" s="32" t="str">
        <x:v>Yes</x:v>
      </x:c>
      <x:c r="L180" s="32" t="str">
        <x:v>P1</x:v>
      </x:c>
      <x:c r="M180" s="32" t="str">
        <x:v>Business/Production</x:v>
      </x:c>
      <x:c r="N180" s="32" t="str">
        <x:v>Marketing/Legal</x:v>
      </x:c>
      <x:c r="O180" s="32" t="str">
        <x:v>NOT RUN</x:v>
      </x:c>
      <x:c r="P180" s="32" t="str"/>
      <x:c r="Q180" s="32" t="str"/>
      <x:c r="R180" s="32" t="str"/>
      <x:c r="S180" s="32" t="str"/>
      <x:c r="T180" s="82" t="str"/>
      <x:c r="U180" s="32" t="str"/>
      <x:c r="V180" s="84" t="n">
        <x:v>1</x:v>
      </x:c>
      <x:c r="W180" s="84" t="n">
        <x:f>IF(OR($O180="PASS",$O180="EXCEPTION APPROVED",$O180="NOT APPLICABLE"),$V180,0)</x:f>
        <x:v>0</x:v>
      </x:c>
      <x:c r="X180" s="84" t="n">
        <x:f>IF(AND($K180="Yes",OR($O180="FAIL",$O180="BLOCKED",$O180="NOT RUN",$O180="IN PROGRESS")),1,0)</x:f>
        <x:v>1</x:v>
      </x:c>
      <x:c r="Y180" s="32" t="str">
        <x:f>IF($O180="FAIL","FAIL",IF($O180="BLOCKED","BLOCKED",IF(AND($O180="EXCEPTION APPROVED",$K180="Yes"),"REVIEW",IF($O180="PASS","OK","PENDING"))))</x:f>
        <x:v>PENDING</x:v>
      </x:c>
    </x:row>
    <x:row r="181">
      <x:c r="A181" s="32" t="str">
        <x:v>REL-COM-002</x:v>
      </x:c>
      <x:c r="B181" s="32" t="str">
        <x:v>Precio y preparación comercial</x:v>
      </x:c>
      <x:c r="C181" s="32" t="str">
        <x:v>Release readiness</x:v>
      </x:c>
      <x:c r="D181" s="32" t="str">
        <x:v>Descuentos de lanzamiento y calendario respetan políticas de Steam y márgenes.</x:v>
      </x:c>
      <x:c r="E181" s="32" t="str">
        <x:v>Revisar, ejecutar y registrar evidencia reproducible.</x:v>
      </x:c>
      <x:c r="F181" s="32" t="str">
        <x:v>Cumplimiento verificable antes del gate indicado.</x:v>
      </x:c>
      <x:c r="G181" s="32" t="str">
        <x:v>Discount plan.</x:v>
      </x:c>
      <x:c r="H181" s="32" t="str">
        <x:v>24_Steam_Publishing_Plan.md; 28_Marketing_and_Communication_Plan.md</x:v>
      </x:c>
      <x:c r="I181" s="32" t="str">
        <x:v>Historical Marketing and Steam plans v0.3–v0.5</x:v>
      </x:c>
      <x:c r="J181" s="32" t="str">
        <x:v>Release</x:v>
      </x:c>
      <x:c r="K181" s="32" t="str">
        <x:v>Yes</x:v>
      </x:c>
      <x:c r="L181" s="32" t="str">
        <x:v>P1</x:v>
      </x:c>
      <x:c r="M181" s="32" t="str">
        <x:v>Business/Production</x:v>
      </x:c>
      <x:c r="N181" s="32" t="str">
        <x:v>Marketing/Legal</x:v>
      </x:c>
      <x:c r="O181" s="32" t="str">
        <x:v>NOT RUN</x:v>
      </x:c>
      <x:c r="P181" s="32" t="str"/>
      <x:c r="Q181" s="32" t="str"/>
      <x:c r="R181" s="32" t="str"/>
      <x:c r="S181" s="32" t="str"/>
      <x:c r="T181" s="82" t="str"/>
      <x:c r="U181" s="32" t="str"/>
      <x:c r="V181" s="84" t="n">
        <x:v>1</x:v>
      </x:c>
      <x:c r="W181" s="84" t="n">
        <x:f>IF(OR($O181="PASS",$O181="EXCEPTION APPROVED",$O181="NOT APPLICABLE"),$V181,0)</x:f>
        <x:v>0</x:v>
      </x:c>
      <x:c r="X181" s="84" t="n">
        <x:f>IF(AND($K181="Yes",OR($O181="FAIL",$O181="BLOCKED",$O181="NOT RUN",$O181="IN PROGRESS")),1,0)</x:f>
        <x:v>1</x:v>
      </x:c>
      <x:c r="Y181" s="32" t="str">
        <x:f>IF($O181="FAIL","FAIL",IF($O181="BLOCKED","BLOCKED",IF(AND($O181="EXCEPTION APPROVED",$K181="Yes"),"REVIEW",IF($O181="PASS","OK","PENDING"))))</x:f>
        <x:v>PENDING</x:v>
      </x:c>
    </x:row>
    <x:row r="182">
      <x:c r="A182" s="32" t="str">
        <x:v>REL-COM-003</x:v>
      </x:c>
      <x:c r="B182" s="32" t="str">
        <x:v>Precio y preparación comercial</x:v>
      </x:c>
      <x:c r="C182" s="32" t="str">
        <x:v>Release readiness</x:v>
      </x:c>
      <x:c r="D182" s="32" t="str">
        <x:v>Impuestos, datos fiscales y pagos de Steamworks están configurados.</x:v>
      </x:c>
      <x:c r="E182" s="32" t="str">
        <x:v>Revisar, ejecutar y registrar evidencia reproducible.</x:v>
      </x:c>
      <x:c r="F182" s="32" t="str">
        <x:v>Cumplimiento verificable antes del gate indicado.</x:v>
      </x:c>
      <x:c r="G182" s="32" t="str">
        <x:v>Commercial onboarding signoff.</x:v>
      </x:c>
      <x:c r="H182" s="32" t="str">
        <x:v>24_Steam_Publishing_Plan.md; 28_Marketing_and_Communication_Plan.md</x:v>
      </x:c>
      <x:c r="I182" s="32" t="str">
        <x:v>Historical Marketing and Steam plans v0.3–v0.5</x:v>
      </x:c>
      <x:c r="J182" s="32" t="str">
        <x:v>Release</x:v>
      </x:c>
      <x:c r="K182" s="32" t="str">
        <x:v>Yes</x:v>
      </x:c>
      <x:c r="L182" s="32" t="str">
        <x:v>P1</x:v>
      </x:c>
      <x:c r="M182" s="32" t="str">
        <x:v>Business/Production</x:v>
      </x:c>
      <x:c r="N182" s="32" t="str">
        <x:v>Marketing/Legal</x:v>
      </x:c>
      <x:c r="O182" s="32" t="str">
        <x:v>NOT RUN</x:v>
      </x:c>
      <x:c r="P182" s="32" t="str"/>
      <x:c r="Q182" s="32" t="str"/>
      <x:c r="R182" s="32" t="str"/>
      <x:c r="S182" s="32" t="str"/>
      <x:c r="T182" s="82" t="str"/>
      <x:c r="U182" s="32" t="str"/>
      <x:c r="V182" s="84" t="n">
        <x:v>1</x:v>
      </x:c>
      <x:c r="W182" s="84" t="n">
        <x:f>IF(OR($O182="PASS",$O182="EXCEPTION APPROVED",$O182="NOT APPLICABLE"),$V182,0)</x:f>
        <x:v>0</x:v>
      </x:c>
      <x:c r="X182" s="84" t="n">
        <x:f>IF(AND($K182="Yes",OR($O182="FAIL",$O182="BLOCKED",$O182="NOT RUN",$O182="IN PROGRESS")),1,0)</x:f>
        <x:v>1</x:v>
      </x:c>
      <x:c r="Y182" s="32" t="str">
        <x:f>IF($O182="FAIL","FAIL",IF($O182="BLOCKED","BLOCKED",IF(AND($O182="EXCEPTION APPROVED",$K182="Yes"),"REVIEW",IF($O182="PASS","OK","PENDING"))))</x:f>
        <x:v>PENDING</x:v>
      </x:c>
    </x:row>
    <x:row r="183">
      <x:c r="A183" s="32" t="str">
        <x:v>REL-COM-004</x:v>
      </x:c>
      <x:c r="B183" s="32" t="str">
        <x:v>Precio y preparación comercial</x:v>
      </x:c>
      <x:c r="C183" s="32" t="str">
        <x:v>Release readiness</x:v>
      </x:c>
      <x:c r="D183" s="32" t="str">
        <x:v>La edición, contenido y derechos vendidos coinciden con la build.</x:v>
      </x:c>
      <x:c r="E183" s="32" t="str">
        <x:v>Revisar, ejecutar y registrar evidencia reproducible.</x:v>
      </x:c>
      <x:c r="F183" s="32" t="str">
        <x:v>Cumplimiento verificable antes del gate indicado.</x:v>
      </x:c>
      <x:c r="G183" s="32" t="str">
        <x:v>SKU/content matrix.</x:v>
      </x:c>
      <x:c r="H183" s="32" t="str">
        <x:v>24_Steam_Publishing_Plan.md; 28_Marketing_and_Communication_Plan.md</x:v>
      </x:c>
      <x:c r="I183" s="32" t="str">
        <x:v>Historical Marketing and Steam plans v0.3–v0.5</x:v>
      </x:c>
      <x:c r="J183" s="32" t="str">
        <x:v>Release</x:v>
      </x:c>
      <x:c r="K183" s="32" t="str">
        <x:v>Yes</x:v>
      </x:c>
      <x:c r="L183" s="32" t="str">
        <x:v>P1</x:v>
      </x:c>
      <x:c r="M183" s="32" t="str">
        <x:v>Business/Production</x:v>
      </x:c>
      <x:c r="N183" s="32" t="str">
        <x:v>Marketing/Legal</x:v>
      </x:c>
      <x:c r="O183" s="32" t="str">
        <x:v>NOT RUN</x:v>
      </x:c>
      <x:c r="P183" s="32" t="str"/>
      <x:c r="Q183" s="32" t="str"/>
      <x:c r="R183" s="32" t="str"/>
      <x:c r="S183" s="32" t="str"/>
      <x:c r="T183" s="82" t="str"/>
      <x:c r="U183" s="32" t="str"/>
      <x:c r="V183" s="84" t="n">
        <x:v>1</x:v>
      </x:c>
      <x:c r="W183" s="84" t="n">
        <x:f>IF(OR($O183="PASS",$O183="EXCEPTION APPROVED",$O183="NOT APPLICABLE"),$V183,0)</x:f>
        <x:v>0</x:v>
      </x:c>
      <x:c r="X183" s="84" t="n">
        <x:f>IF(AND($K183="Yes",OR($O183="FAIL",$O183="BLOCKED",$O183="NOT RUN",$O183="IN PROGRESS")),1,0)</x:f>
        <x:v>1</x:v>
      </x:c>
      <x:c r="Y183" s="32" t="str">
        <x:f>IF($O183="FAIL","FAIL",IF($O183="BLOCKED","BLOCKED",IF(AND($O183="EXCEPTION APPROVED",$K183="Yes"),"REVIEW",IF($O183="PASS","OK","PENDING"))))</x:f>
        <x:v>PENDING</x:v>
      </x:c>
    </x:row>
    <x:row r="184">
      <x:c r="A184" s="32" t="str">
        <x:v>REL-COM-005</x:v>
      </x:c>
      <x:c r="B184" s="32" t="str">
        <x:v>Precio y preparación comercial</x:v>
      </x:c>
      <x:c r="C184" s="32" t="str">
        <x:v>Release readiness</x:v>
      </x:c>
      <x:c r="D184" s="32" t="str">
        <x:v>La política de claves promocionales tiene límites, tracking y prevención de abuso.</x:v>
      </x:c>
      <x:c r="E184" s="32" t="str">
        <x:v>Revisar, ejecutar y registrar evidencia reproducible.</x:v>
      </x:c>
      <x:c r="F184" s="32" t="str">
        <x:v>Cumplimiento verificable antes del gate indicado.</x:v>
      </x:c>
      <x:c r="G184" s="32" t="str">
        <x:v>Key distribution policy.</x:v>
      </x:c>
      <x:c r="H184" s="32" t="str">
        <x:v>24_Steam_Publishing_Plan.md; 28_Marketing_and_Communication_Plan.md</x:v>
      </x:c>
      <x:c r="I184" s="32" t="str">
        <x:v>Historical Marketing and Steam plans v0.3–v0.5</x:v>
      </x:c>
      <x:c r="J184" s="32" t="str">
        <x:v>Release</x:v>
      </x:c>
      <x:c r="K184" s="32" t="str">
        <x:v>Yes</x:v>
      </x:c>
      <x:c r="L184" s="32" t="str">
        <x:v>P1</x:v>
      </x:c>
      <x:c r="M184" s="32" t="str">
        <x:v>Business/Production</x:v>
      </x:c>
      <x:c r="N184" s="32" t="str">
        <x:v>Marketing/Legal</x:v>
      </x:c>
      <x:c r="O184" s="32" t="str">
        <x:v>NOT RUN</x:v>
      </x:c>
      <x:c r="P184" s="32" t="str"/>
      <x:c r="Q184" s="32" t="str"/>
      <x:c r="R184" s="32" t="str"/>
      <x:c r="S184" s="32" t="str"/>
      <x:c r="T184" s="82" t="str"/>
      <x:c r="U184" s="32" t="str"/>
      <x:c r="V184" s="84" t="n">
        <x:v>1</x:v>
      </x:c>
      <x:c r="W184" s="84" t="n">
        <x:f>IF(OR($O184="PASS",$O184="EXCEPTION APPROVED",$O184="NOT APPLICABLE"),$V184,0)</x:f>
        <x:v>0</x:v>
      </x:c>
      <x:c r="X184" s="84" t="n">
        <x:f>IF(AND($K184="Yes",OR($O184="FAIL",$O184="BLOCKED",$O184="NOT RUN",$O184="IN PROGRESS")),1,0)</x:f>
        <x:v>1</x:v>
      </x:c>
      <x:c r="Y184" s="32" t="str">
        <x:f>IF($O184="FAIL","FAIL",IF($O184="BLOCKED","BLOCKED",IF(AND($O184="EXCEPTION APPROVED",$K184="Yes"),"REVIEW",IF($O184="PASS","OK","PENDING"))))</x:f>
        <x:v>PENDING</x:v>
      </x:c>
    </x:row>
    <x:row r="185">
      <x:c r="A185" s="32" t="str">
        <x:v>REL-COM-006</x:v>
      </x:c>
      <x:c r="B185" s="32" t="str">
        <x:v>Precio y preparación comercial</x:v>
      </x:c>
      <x:c r="C185" s="32" t="str">
        <x:v>Release readiness</x:v>
      </x:c>
      <x:c r="D185" s="32" t="str">
        <x:v>Las expectativas de duración, contenido y estado del producto son honestas.</x:v>
      </x:c>
      <x:c r="E185" s="32" t="str">
        <x:v>Revisar, ejecutar y registrar evidencia reproducible.</x:v>
      </x:c>
      <x:c r="F185" s="32" t="str">
        <x:v>Cumplimiento verificable antes del gate indicado.</x:v>
      </x:c>
      <x:c r="G185" s="32" t="str">
        <x:v>Value proposition review.</x:v>
      </x:c>
      <x:c r="H185" s="32" t="str">
        <x:v>24_Steam_Publishing_Plan.md; 28_Marketing_and_Communication_Plan.md</x:v>
      </x:c>
      <x:c r="I185" s="32" t="str">
        <x:v>Historical Marketing and Steam plans v0.3–v0.5</x:v>
      </x:c>
      <x:c r="J185" s="32" t="str">
        <x:v>Release</x:v>
      </x:c>
      <x:c r="K185" s="32" t="str">
        <x:v>Yes</x:v>
      </x:c>
      <x:c r="L185" s="32" t="str">
        <x:v>P1</x:v>
      </x:c>
      <x:c r="M185" s="32" t="str">
        <x:v>Business/Production</x:v>
      </x:c>
      <x:c r="N185" s="32" t="str">
        <x:v>Marketing/Legal</x:v>
      </x:c>
      <x:c r="O185" s="32" t="str">
        <x:v>NOT RUN</x:v>
      </x:c>
      <x:c r="P185" s="32" t="str"/>
      <x:c r="Q185" s="32" t="str"/>
      <x:c r="R185" s="32" t="str"/>
      <x:c r="S185" s="32" t="str"/>
      <x:c r="T185" s="82" t="str"/>
      <x:c r="U185" s="32" t="str"/>
      <x:c r="V185" s="84" t="n">
        <x:v>1</x:v>
      </x:c>
      <x:c r="W185" s="84" t="n">
        <x:f>IF(OR($O185="PASS",$O185="EXCEPTION APPROVED",$O185="NOT APPLICABLE"),$V185,0)</x:f>
        <x:v>0</x:v>
      </x:c>
      <x:c r="X185" s="84" t="n">
        <x:f>IF(AND($K185="Yes",OR($O185="FAIL",$O185="BLOCKED",$O185="NOT RUN",$O185="IN PROGRESS")),1,0)</x:f>
        <x:v>1</x:v>
      </x:c>
      <x:c r="Y185" s="32" t="str">
        <x:f>IF($O185="FAIL","FAIL",IF($O185="BLOCKED","BLOCKED",IF(AND($O185="EXCEPTION APPROVED",$K185="Yes"),"REVIEW",IF($O185="PASS","OK","PENDING"))))</x:f>
        <x:v>PENDING</x:v>
      </x:c>
    </x:row>
    <x:row r="186">
      <x:c r="A186" s="32" t="str">
        <x:v>REL-COM-007</x:v>
      </x:c>
      <x:c r="B186" s="32" t="str">
        <x:v>Precio y preparación comercial</x:v>
      </x:c>
      <x:c r="C186" s="32" t="str">
        <x:v>Release readiness</x:v>
      </x:c>
      <x:c r="D186" s="32" t="str">
        <x:v>Las campañas o bundles no prometen integraciones no cerradas.</x:v>
      </x:c>
      <x:c r="E186" s="32" t="str">
        <x:v>Revisar, ejecutar y registrar evidencia reproducible.</x:v>
      </x:c>
      <x:c r="F186" s="32" t="str">
        <x:v>Cumplimiento verificable antes del gate indicado.</x:v>
      </x:c>
      <x:c r="G186" s="32" t="str">
        <x:v>Promotion claims review.</x:v>
      </x:c>
      <x:c r="H186" s="32" t="str">
        <x:v>24_Steam_Publishing_Plan.md; 28_Marketing_and_Communication_Plan.md</x:v>
      </x:c>
      <x:c r="I186" s="32" t="str">
        <x:v>Historical Marketing and Steam plans v0.3–v0.5</x:v>
      </x:c>
      <x:c r="J186" s="32" t="str">
        <x:v>Release</x:v>
      </x:c>
      <x:c r="K186" s="32" t="str">
        <x:v>Yes</x:v>
      </x:c>
      <x:c r="L186" s="32" t="str">
        <x:v>P1</x:v>
      </x:c>
      <x:c r="M186" s="32" t="str">
        <x:v>Business/Production</x:v>
      </x:c>
      <x:c r="N186" s="32" t="str">
        <x:v>Marketing/Legal</x:v>
      </x:c>
      <x:c r="O186" s="32" t="str">
        <x:v>NOT RUN</x:v>
      </x:c>
      <x:c r="P186" s="32" t="str"/>
      <x:c r="Q186" s="32" t="str"/>
      <x:c r="R186" s="32" t="str"/>
      <x:c r="S186" s="32" t="str"/>
      <x:c r="T186" s="82" t="str"/>
      <x:c r="U186" s="32" t="str"/>
      <x:c r="V186" s="84" t="n">
        <x:v>1</x:v>
      </x:c>
      <x:c r="W186" s="84" t="n">
        <x:f>IF(OR($O186="PASS",$O186="EXCEPTION APPROVED",$O186="NOT APPLICABLE"),$V186,0)</x:f>
        <x:v>0</x:v>
      </x:c>
      <x:c r="X186" s="84" t="n">
        <x:f>IF(AND($K186="Yes",OR($O186="FAIL",$O186="BLOCKED",$O186="NOT RUN",$O186="IN PROGRESS")),1,0)</x:f>
        <x:v>1</x:v>
      </x:c>
      <x:c r="Y186" s="32" t="str">
        <x:f>IF($O186="FAIL","FAIL",IF($O186="BLOCKED","BLOCKED",IF(AND($O186="EXCEPTION APPROVED",$K186="Yes"),"REVIEW",IF($O186="PASS","OK","PENDING"))))</x:f>
        <x:v>PENDING</x:v>
      </x:c>
    </x:row>
    <x:row r="187">
      <x:c r="A187" s="32" t="str">
        <x:v>REL-COM-008</x:v>
      </x:c>
      <x:c r="B187" s="32" t="str">
        <x:v>Precio y preparación comercial</x:v>
      </x:c>
      <x:c r="C187" s="32" t="str">
        <x:v>Release readiness</x:v>
      </x:c>
      <x:c r="D187" s="32" t="str">
        <x:v>Existe presupuesto para soporte, localización, arte de tienda y contingencias de launch.</x:v>
      </x:c>
      <x:c r="E187" s="32" t="str">
        <x:v>Revisar, ejecutar y registrar evidencia reproducible.</x:v>
      </x:c>
      <x:c r="F187" s="32" t="str">
        <x:v>Cumplimiento verificable antes del gate indicado.</x:v>
      </x:c>
      <x:c r="G187" s="32" t="str">
        <x:v>Release budget.</x:v>
      </x:c>
      <x:c r="H187" s="32" t="str">
        <x:v>24_Steam_Publishing_Plan.md; 28_Marketing_and_Communication_Plan.md</x:v>
      </x:c>
      <x:c r="I187" s="32" t="str">
        <x:v>Historical Marketing and Steam plans v0.3–v0.5</x:v>
      </x:c>
      <x:c r="J187" s="32" t="str">
        <x:v>Release</x:v>
      </x:c>
      <x:c r="K187" s="32" t="str">
        <x:v>Yes</x:v>
      </x:c>
      <x:c r="L187" s="32" t="str">
        <x:v>P1</x:v>
      </x:c>
      <x:c r="M187" s="32" t="str">
        <x:v>Business/Production</x:v>
      </x:c>
      <x:c r="N187" s="32" t="str">
        <x:v>Marketing/Legal</x:v>
      </x:c>
      <x:c r="O187" s="32" t="str">
        <x:v>NOT RUN</x:v>
      </x:c>
      <x:c r="P187" s="32" t="str"/>
      <x:c r="Q187" s="32" t="str"/>
      <x:c r="R187" s="32" t="str"/>
      <x:c r="S187" s="32" t="str"/>
      <x:c r="T187" s="82" t="str"/>
      <x:c r="U187" s="32" t="str"/>
      <x:c r="V187" s="84" t="n">
        <x:v>1</x:v>
      </x:c>
      <x:c r="W187" s="84" t="n">
        <x:f>IF(OR($O187="PASS",$O187="EXCEPTION APPROVED",$O187="NOT APPLICABLE"),$V187,0)</x:f>
        <x:v>0</x:v>
      </x:c>
      <x:c r="X187" s="84" t="n">
        <x:f>IF(AND($K187="Yes",OR($O187="FAIL",$O187="BLOCKED",$O187="NOT RUN",$O187="IN PROGRESS")),1,0)</x:f>
        <x:v>1</x:v>
      </x:c>
      <x:c r="Y187" s="32" t="str">
        <x:f>IF($O187="FAIL","FAIL",IF($O187="BLOCKED","BLOCKED",IF(AND($O187="EXCEPTION APPROVED",$K187="Yes"),"REVIEW",IF($O187="PASS","OK","PENDING"))))</x:f>
        <x:v>PENDING</x:v>
      </x:c>
    </x:row>
    <x:row r="188">
      <x:c r="A188" s="32" t="str">
        <x:v>REL-COM-009</x:v>
      </x:c>
      <x:c r="B188" s="32" t="str">
        <x:v>Precio y preparación comercial</x:v>
      </x:c>
      <x:c r="C188" s="32" t="str">
        <x:v>Release readiness</x:v>
      </x:c>
      <x:c r="D188" s="32" t="str">
        <x:v>Los escenarios de ventas bajos/altos tienen respuesta operativa.</x:v>
      </x:c>
      <x:c r="E188" s="32" t="str">
        <x:v>Revisar, ejecutar y registrar evidencia reproducible.</x:v>
      </x:c>
      <x:c r="F188" s="32" t="str">
        <x:v>Cumplimiento verificable antes del gate indicado.</x:v>
      </x:c>
      <x:c r="G188" s="32" t="str">
        <x:v>Commercial contingency plan.</x:v>
      </x:c>
      <x:c r="H188" s="32" t="str">
        <x:v>24_Steam_Publishing_Plan.md; 28_Marketing_and_Communication_Plan.md</x:v>
      </x:c>
      <x:c r="I188" s="32" t="str">
        <x:v>Historical Marketing and Steam plans v0.3–v0.5</x:v>
      </x:c>
      <x:c r="J188" s="32" t="str">
        <x:v>Release</x:v>
      </x:c>
      <x:c r="K188" s="32" t="str">
        <x:v>Yes</x:v>
      </x:c>
      <x:c r="L188" s="32" t="str">
        <x:v>P1</x:v>
      </x:c>
      <x:c r="M188" s="32" t="str">
        <x:v>Business/Production</x:v>
      </x:c>
      <x:c r="N188" s="32" t="str">
        <x:v>Marketing/Legal</x:v>
      </x:c>
      <x:c r="O188" s="32" t="str">
        <x:v>NOT RUN</x:v>
      </x:c>
      <x:c r="P188" s="32" t="str"/>
      <x:c r="Q188" s="32" t="str"/>
      <x:c r="R188" s="32" t="str"/>
      <x:c r="S188" s="32" t="str"/>
      <x:c r="T188" s="82" t="str"/>
      <x:c r="U188" s="32" t="str"/>
      <x:c r="V188" s="84" t="n">
        <x:v>1</x:v>
      </x:c>
      <x:c r="W188" s="84" t="n">
        <x:f>IF(OR($O188="PASS",$O188="EXCEPTION APPROVED",$O188="NOT APPLICABLE"),$V188,0)</x:f>
        <x:v>0</x:v>
      </x:c>
      <x:c r="X188" s="84" t="n">
        <x:f>IF(AND($K188="Yes",OR($O188="FAIL",$O188="BLOCKED",$O188="NOT RUN",$O188="IN PROGRESS")),1,0)</x:f>
        <x:v>1</x:v>
      </x:c>
      <x:c r="Y188" s="32" t="str">
        <x:f>IF($O188="FAIL","FAIL",IF($O188="BLOCKED","BLOCKED",IF(AND($O188="EXCEPTION APPROVED",$K188="Yes"),"REVIEW",IF($O188="PASS","OK","PENDING"))))</x:f>
        <x:v>PENDING</x:v>
      </x:c>
    </x:row>
    <x:row r="189">
      <x:c r="A189" s="32" t="str">
        <x:v>REL-COM-010</x:v>
      </x:c>
      <x:c r="B189" s="32" t="str">
        <x:v>Precio y preparación comercial</x:v>
      </x:c>
      <x:c r="C189" s="32" t="str">
        <x:v>Release readiness</x:v>
      </x:c>
      <x:c r="D189" s="32" t="str">
        <x:v>La decisión de Early Access, demo o full launch está explícita y justificada.</x:v>
      </x:c>
      <x:c r="E189" s="32" t="str">
        <x:v>Revisar, ejecutar y registrar evidencia reproducible.</x:v>
      </x:c>
      <x:c r="F189" s="32" t="str">
        <x:v>Cumplimiento verificable antes del gate indicado.</x:v>
      </x:c>
      <x:c r="G189" s="32" t="str">
        <x:v>Release model decision.</x:v>
      </x:c>
      <x:c r="H189" s="32" t="str">
        <x:v>24_Steam_Publishing_Plan.md; 28_Marketing_and_Communication_Plan.md</x:v>
      </x:c>
      <x:c r="I189" s="32" t="str">
        <x:v>Historical Marketing and Steam plans v0.3–v0.5</x:v>
      </x:c>
      <x:c r="J189" s="32" t="str">
        <x:v>Release</x:v>
      </x:c>
      <x:c r="K189" s="32" t="str">
        <x:v>Yes</x:v>
      </x:c>
      <x:c r="L189" s="32" t="str">
        <x:v>P1</x:v>
      </x:c>
      <x:c r="M189" s="32" t="str">
        <x:v>Business/Production</x:v>
      </x:c>
      <x:c r="N189" s="32" t="str">
        <x:v>Marketing/Legal</x:v>
      </x:c>
      <x:c r="O189" s="32" t="str">
        <x:v>NOT RUN</x:v>
      </x:c>
      <x:c r="P189" s="32" t="str"/>
      <x:c r="Q189" s="32" t="str"/>
      <x:c r="R189" s="32" t="str"/>
      <x:c r="S189" s="32" t="str"/>
      <x:c r="T189" s="82" t="str"/>
      <x:c r="U189" s="32" t="str"/>
      <x:c r="V189" s="84" t="n">
        <x:v>1</x:v>
      </x:c>
      <x:c r="W189" s="84" t="n">
        <x:f>IF(OR($O189="PASS",$O189="EXCEPTION APPROVED",$O189="NOT APPLICABLE"),$V189,0)</x:f>
        <x:v>0</x:v>
      </x:c>
      <x:c r="X189" s="84" t="n">
        <x:f>IF(AND($K189="Yes",OR($O189="FAIL",$O189="BLOCKED",$O189="NOT RUN",$O189="IN PROGRESS")),1,0)</x:f>
        <x:v>1</x:v>
      </x:c>
      <x:c r="Y189" s="32" t="str">
        <x:f>IF($O189="FAIL","FAIL",IF($O189="BLOCKED","BLOCKED",IF(AND($O189="EXCEPTION APPROVED",$K189="Yes"),"REVIEW",IF($O189="PASS","OK","PENDING"))))</x:f>
        <x:v>PENDING</x:v>
      </x:c>
    </x:row>
    <x:row r="190">
      <x:c r="A190" s="32" t="str">
        <x:v>REL-LIVE-001</x:v>
      </x:c>
      <x:c r="B190" s="32" t="str">
        <x:v>Post-lanzamiento, rollback y continuidad</x:v>
      </x:c>
      <x:c r="C190" s="32" t="str">
        <x:v>Release readiness</x:v>
      </x:c>
      <x:c r="D190" s="32" t="str">
        <x:v>Existe plan de monitorización y triage para las primeras horas/días.</x:v>
      </x:c>
      <x:c r="E190" s="32" t="str">
        <x:v>Revisar, ejecutar y registrar evidencia reproducible.</x:v>
      </x:c>
      <x:c r="F190" s="32" t="str">
        <x:v>Cumplimiento verificable antes del gate indicado.</x:v>
      </x:c>
      <x:c r="G190" s="32" t="str">
        <x:v>Launch monitoring plan.</x:v>
      </x:c>
      <x:c r="H190" s="32" t="str">
        <x:v>25_Post_Launch_and_Live_Operations_Plan.md; 27_Security_and_Incident_Response_Plan.md; 33_Project_Risk_Register_and_Business_Continuity_Plan.xlsx</x:v>
      </x:c>
      <x:c r="I190" s="32" t="str">
        <x:v>Historical build/Steam/handoff records v0.3–v0.6</x:v>
      </x:c>
      <x:c r="J190" s="32" t="str">
        <x:v>Release</x:v>
      </x:c>
      <x:c r="K190" s="32" t="str">
        <x:v>Yes</x:v>
      </x:c>
      <x:c r="L190" s="32" t="str">
        <x:v>P0</x:v>
      </x:c>
      <x:c r="M190" s="32" t="str">
        <x:v>Live Operations/Production</x:v>
      </x:c>
      <x:c r="N190" s="32" t="str">
        <x:v>Engineering/QA/Support</x:v>
      </x:c>
      <x:c r="O190" s="32" t="str">
        <x:v>NOT RUN</x:v>
      </x:c>
      <x:c r="P190" s="32" t="str"/>
      <x:c r="Q190" s="32" t="str"/>
      <x:c r="R190" s="32" t="str"/>
      <x:c r="S190" s="32" t="str"/>
      <x:c r="T190" s="82" t="str"/>
      <x:c r="U190" s="32" t="str"/>
      <x:c r="V190" s="84" t="n">
        <x:v>1</x:v>
      </x:c>
      <x:c r="W190" s="84" t="n">
        <x:f>IF(OR($O190="PASS",$O190="EXCEPTION APPROVED",$O190="NOT APPLICABLE"),$V190,0)</x:f>
        <x:v>0</x:v>
      </x:c>
      <x:c r="X190" s="84" t="n">
        <x:f>IF(AND($K190="Yes",OR($O190="FAIL",$O190="BLOCKED",$O190="NOT RUN",$O190="IN PROGRESS")),1,0)</x:f>
        <x:v>1</x:v>
      </x:c>
      <x:c r="Y190" s="32" t="str">
        <x:f>IF($O190="FAIL","FAIL",IF($O190="BLOCKED","BLOCKED",IF(AND($O190="EXCEPTION APPROVED",$K190="Yes"),"REVIEW",IF($O190="PASS","OK","PENDING"))))</x:f>
        <x:v>PENDING</x:v>
      </x:c>
    </x:row>
    <x:row r="191">
      <x:c r="A191" s="32" t="str">
        <x:v>REL-LIVE-002</x:v>
      </x:c>
      <x:c r="B191" s="32" t="str">
        <x:v>Post-lanzamiento, rollback y continuidad</x:v>
      </x:c>
      <x:c r="C191" s="32" t="str">
        <x:v>Release readiness</x:v>
      </x:c>
      <x:c r="D191" s="32" t="str">
        <x:v>La RC de rollback y procedimiento de reversión están probados.</x:v>
      </x:c>
      <x:c r="E191" s="32" t="str">
        <x:v>Revisar, ejecutar y registrar evidencia reproducible.</x:v>
      </x:c>
      <x:c r="F191" s="32" t="str">
        <x:v>Cumplimiento verificable antes del gate indicado.</x:v>
      </x:c>
      <x:c r="G191" s="32" t="str">
        <x:v>Rollback rehearsal.</x:v>
      </x:c>
      <x:c r="H191" s="32" t="str">
        <x:v>25_Post_Launch_and_Live_Operations_Plan.md; 27_Security_and_Incident_Response_Plan.md; 33_Project_Risk_Register_and_Business_Continuity_Plan.xlsx</x:v>
      </x:c>
      <x:c r="I191" s="32" t="str">
        <x:v>Historical build/Steam/handoff records v0.3–v0.6</x:v>
      </x:c>
      <x:c r="J191" s="32" t="str">
        <x:v>Release</x:v>
      </x:c>
      <x:c r="K191" s="32" t="str">
        <x:v>Yes</x:v>
      </x:c>
      <x:c r="L191" s="32" t="str">
        <x:v>P0</x:v>
      </x:c>
      <x:c r="M191" s="32" t="str">
        <x:v>Live Operations/Production</x:v>
      </x:c>
      <x:c r="N191" s="32" t="str">
        <x:v>Engineering/QA/Support</x:v>
      </x:c>
      <x:c r="O191" s="32" t="str">
        <x:v>NOT RUN</x:v>
      </x:c>
      <x:c r="P191" s="32" t="str"/>
      <x:c r="Q191" s="32" t="str"/>
      <x:c r="R191" s="32" t="str"/>
      <x:c r="S191" s="32" t="str"/>
      <x:c r="T191" s="82" t="str"/>
      <x:c r="U191" s="32" t="str"/>
      <x:c r="V191" s="84" t="n">
        <x:v>1</x:v>
      </x:c>
      <x:c r="W191" s="84" t="n">
        <x:f>IF(OR($O191="PASS",$O191="EXCEPTION APPROVED",$O191="NOT APPLICABLE"),$V191,0)</x:f>
        <x:v>0</x:v>
      </x:c>
      <x:c r="X191" s="84" t="n">
        <x:f>IF(AND($K191="Yes",OR($O191="FAIL",$O191="BLOCKED",$O191="NOT RUN",$O191="IN PROGRESS")),1,0)</x:f>
        <x:v>1</x:v>
      </x:c>
      <x:c r="Y191" s="32" t="str">
        <x:f>IF($O191="FAIL","FAIL",IF($O191="BLOCKED","BLOCKED",IF(AND($O191="EXCEPTION APPROVED",$K191="Yes"),"REVIEW",IF($O191="PASS","OK","PENDING"))))</x:f>
        <x:v>PENDING</x:v>
      </x:c>
    </x:row>
    <x:row r="192">
      <x:c r="A192" s="32" t="str">
        <x:v>REL-LIVE-003</x:v>
      </x:c>
      <x:c r="B192" s="32" t="str">
        <x:v>Post-lanzamiento, rollback y continuidad</x:v>
      </x:c>
      <x:c r="C192" s="32" t="str">
        <x:v>Release readiness</x:v>
      </x:c>
      <x:c r="D192" s="32" t="str">
        <x:v>Los criterios para hotfix, patch, rollback y comunicación están definidos.</x:v>
      </x:c>
      <x:c r="E192" s="32" t="str">
        <x:v>Revisar, ejecutar y registrar evidencia reproducible.</x:v>
      </x:c>
      <x:c r="F192" s="32" t="str">
        <x:v>Cumplimiento verificable antes del gate indicado.</x:v>
      </x:c>
      <x:c r="G192" s="32" t="str">
        <x:v>Patch decision matrix.</x:v>
      </x:c>
      <x:c r="H192" s="32" t="str">
        <x:v>25_Post_Launch_and_Live_Operations_Plan.md; 27_Security_and_Incident_Response_Plan.md; 33_Project_Risk_Register_and_Business_Continuity_Plan.xlsx</x:v>
      </x:c>
      <x:c r="I192" s="32" t="str">
        <x:v>Historical build/Steam/handoff records v0.3–v0.6</x:v>
      </x:c>
      <x:c r="J192" s="32" t="str">
        <x:v>Release</x:v>
      </x:c>
      <x:c r="K192" s="32" t="str">
        <x:v>Yes</x:v>
      </x:c>
      <x:c r="L192" s="32" t="str">
        <x:v>P1</x:v>
      </x:c>
      <x:c r="M192" s="32" t="str">
        <x:v>Live Operations/Production</x:v>
      </x:c>
      <x:c r="N192" s="32" t="str">
        <x:v>Engineering/QA/Support</x:v>
      </x:c>
      <x:c r="O192" s="32" t="str">
        <x:v>NOT RUN</x:v>
      </x:c>
      <x:c r="P192" s="32" t="str"/>
      <x:c r="Q192" s="32" t="str"/>
      <x:c r="R192" s="32" t="str"/>
      <x:c r="S192" s="32" t="str"/>
      <x:c r="T192" s="82" t="str"/>
      <x:c r="U192" s="32" t="str"/>
      <x:c r="V192" s="84" t="n">
        <x:v>1</x:v>
      </x:c>
      <x:c r="W192" s="84" t="n">
        <x:f>IF(OR($O192="PASS",$O192="EXCEPTION APPROVED",$O192="NOT APPLICABLE"),$V192,0)</x:f>
        <x:v>0</x:v>
      </x:c>
      <x:c r="X192" s="84" t="n">
        <x:f>IF(AND($K192="Yes",OR($O192="FAIL",$O192="BLOCKED",$O192="NOT RUN",$O192="IN PROGRESS")),1,0)</x:f>
        <x:v>1</x:v>
      </x:c>
      <x:c r="Y192" s="32" t="str">
        <x:f>IF($O192="FAIL","FAIL",IF($O192="BLOCKED","BLOCKED",IF(AND($O192="EXCEPTION APPROVED",$K192="Yes"),"REVIEW",IF($O192="PASS","OK","PENDING"))))</x:f>
        <x:v>PENDING</x:v>
      </x:c>
    </x:row>
    <x:row r="193">
      <x:c r="A193" s="32" t="str">
        <x:v>REL-LIVE-004</x:v>
      </x:c>
      <x:c r="B193" s="32" t="str">
        <x:v>Post-lanzamiento, rollback y continuidad</x:v>
      </x:c>
      <x:c r="C193" s="32" t="str">
        <x:v>Release readiness</x:v>
      </x:c>
      <x:c r="D193" s="32" t="str">
        <x:v>El pipeline puede producir un hotfix reproducible sin cambios colaterales.</x:v>
      </x:c>
      <x:c r="E193" s="32" t="str">
        <x:v>Revisar, ejecutar y registrar evidencia reproducible.</x:v>
      </x:c>
      <x:c r="F193" s="32" t="str">
        <x:v>Cumplimiento verificable antes del gate indicado.</x:v>
      </x:c>
      <x:c r="G193" s="32" t="str">
        <x:v>Hotfix drill.</x:v>
      </x:c>
      <x:c r="H193" s="32" t="str">
        <x:v>25_Post_Launch_and_Live_Operations_Plan.md; 27_Security_and_Incident_Response_Plan.md; 33_Project_Risk_Register_and_Business_Continuity_Plan.xlsx</x:v>
      </x:c>
      <x:c r="I193" s="32" t="str">
        <x:v>Historical build/Steam/handoff records v0.3–v0.6</x:v>
      </x:c>
      <x:c r="J193" s="32" t="str">
        <x:v>Release</x:v>
      </x:c>
      <x:c r="K193" s="32" t="str">
        <x:v>Yes</x:v>
      </x:c>
      <x:c r="L193" s="32" t="str">
        <x:v>P1</x:v>
      </x:c>
      <x:c r="M193" s="32" t="str">
        <x:v>Live Operations/Production</x:v>
      </x:c>
      <x:c r="N193" s="32" t="str">
        <x:v>Engineering/QA/Support</x:v>
      </x:c>
      <x:c r="O193" s="32" t="str">
        <x:v>NOT RUN</x:v>
      </x:c>
      <x:c r="P193" s="32" t="str"/>
      <x:c r="Q193" s="32" t="str"/>
      <x:c r="R193" s="32" t="str"/>
      <x:c r="S193" s="32" t="str"/>
      <x:c r="T193" s="82" t="str"/>
      <x:c r="U193" s="32" t="str"/>
      <x:c r="V193" s="84" t="n">
        <x:v>1</x:v>
      </x:c>
      <x:c r="W193" s="84" t="n">
        <x:f>IF(OR($O193="PASS",$O193="EXCEPTION APPROVED",$O193="NOT APPLICABLE"),$V193,0)</x:f>
        <x:v>0</x:v>
      </x:c>
      <x:c r="X193" s="84" t="n">
        <x:f>IF(AND($K193="Yes",OR($O193="FAIL",$O193="BLOCKED",$O193="NOT RUN",$O193="IN PROGRESS")),1,0)</x:f>
        <x:v>1</x:v>
      </x:c>
      <x:c r="Y193" s="32" t="str">
        <x:f>IF($O193="FAIL","FAIL",IF($O193="BLOCKED","BLOCKED",IF(AND($O193="EXCEPTION APPROVED",$K193="Yes"),"REVIEW",IF($O193="PASS","OK","PENDING"))))</x:f>
        <x:v>PENDING</x:v>
      </x:c>
    </x:row>
    <x:row r="194">
      <x:c r="A194" s="32" t="str">
        <x:v>REL-LIVE-005</x:v>
      </x:c>
      <x:c r="B194" s="32" t="str">
        <x:v>Post-lanzamiento, rollback y continuidad</x:v>
      </x:c>
      <x:c r="C194" s="32" t="str">
        <x:v>Release readiness</x:v>
      </x:c>
      <x:c r="D194" s="32" t="str">
        <x:v>Los saves se respaldan y migran de forma segura entre parches.</x:v>
      </x:c>
      <x:c r="E194" s="32" t="str">
        <x:v>Revisar, ejecutar y registrar evidencia reproducible.</x:v>
      </x:c>
      <x:c r="F194" s="32" t="str">
        <x:v>Cumplimiento verificable antes del gate indicado.</x:v>
      </x:c>
      <x:c r="G194" s="32" t="str">
        <x:v>Patch save compatibility report.</x:v>
      </x:c>
      <x:c r="H194" s="32" t="str">
        <x:v>25_Post_Launch_and_Live_Operations_Plan.md; 27_Security_and_Incident_Response_Plan.md; 33_Project_Risk_Register_and_Business_Continuity_Plan.xlsx</x:v>
      </x:c>
      <x:c r="I194" s="32" t="str">
        <x:v>Historical build/Steam/handoff records v0.3–v0.6</x:v>
      </x:c>
      <x:c r="J194" s="32" t="str">
        <x:v>Release</x:v>
      </x:c>
      <x:c r="K194" s="32" t="str">
        <x:v>Yes</x:v>
      </x:c>
      <x:c r="L194" s="32" t="str">
        <x:v>P1</x:v>
      </x:c>
      <x:c r="M194" s="32" t="str">
        <x:v>Live Operations/Production</x:v>
      </x:c>
      <x:c r="N194" s="32" t="str">
        <x:v>Engineering/QA/Support</x:v>
      </x:c>
      <x:c r="O194" s="32" t="str">
        <x:v>NOT RUN</x:v>
      </x:c>
      <x:c r="P194" s="32" t="str"/>
      <x:c r="Q194" s="32" t="str"/>
      <x:c r="R194" s="32" t="str"/>
      <x:c r="S194" s="32" t="str"/>
      <x:c r="T194" s="82" t="str"/>
      <x:c r="U194" s="32" t="str"/>
      <x:c r="V194" s="84" t="n">
        <x:v>1</x:v>
      </x:c>
      <x:c r="W194" s="84" t="n">
        <x:f>IF(OR($O194="PASS",$O194="EXCEPTION APPROVED",$O194="NOT APPLICABLE"),$V194,0)</x:f>
        <x:v>0</x:v>
      </x:c>
      <x:c r="X194" s="84" t="n">
        <x:f>IF(AND($K194="Yes",OR($O194="FAIL",$O194="BLOCKED",$O194="NOT RUN",$O194="IN PROGRESS")),1,0)</x:f>
        <x:v>1</x:v>
      </x:c>
      <x:c r="Y194" s="32" t="str">
        <x:f>IF($O194="FAIL","FAIL",IF($O194="BLOCKED","BLOCKED",IF(AND($O194="EXCEPTION APPROVED",$K194="Yes"),"REVIEW",IF($O194="PASS","OK","PENDING"))))</x:f>
        <x:v>PENDING</x:v>
      </x:c>
    </x:row>
    <x:row r="195">
      <x:c r="A195" s="32" t="str">
        <x:v>REL-LIVE-006</x:v>
      </x:c>
      <x:c r="B195" s="32" t="str">
        <x:v>Post-lanzamiento, rollback y continuidad</x:v>
      </x:c>
      <x:c r="C195" s="32" t="str">
        <x:v>Release readiness</x:v>
      </x:c>
      <x:c r="D195" s="32" t="str">
        <x:v>Los known issues y workaround pueden publicarse rápidamente.</x:v>
      </x:c>
      <x:c r="E195" s="32" t="str">
        <x:v>Revisar, ejecutar y registrar evidencia reproducible.</x:v>
      </x:c>
      <x:c r="F195" s="32" t="str">
        <x:v>Cumplimiento verificable antes del gate indicado.</x:v>
      </x:c>
      <x:c r="G195" s="32" t="str">
        <x:v>Known issues workflow.</x:v>
      </x:c>
      <x:c r="H195" s="32" t="str">
        <x:v>25_Post_Launch_and_Live_Operations_Plan.md; 27_Security_and_Incident_Response_Plan.md; 33_Project_Risk_Register_and_Business_Continuity_Plan.xlsx</x:v>
      </x:c>
      <x:c r="I195" s="32" t="str">
        <x:v>Historical build/Steam/handoff records v0.3–v0.6</x:v>
      </x:c>
      <x:c r="J195" s="32" t="str">
        <x:v>Release</x:v>
      </x:c>
      <x:c r="K195" s="32" t="str">
        <x:v>Yes</x:v>
      </x:c>
      <x:c r="L195" s="32" t="str">
        <x:v>P1</x:v>
      </x:c>
      <x:c r="M195" s="32" t="str">
        <x:v>Live Operations/Production</x:v>
      </x:c>
      <x:c r="N195" s="32" t="str">
        <x:v>Engineering/QA/Support</x:v>
      </x:c>
      <x:c r="O195" s="32" t="str">
        <x:v>NOT RUN</x:v>
      </x:c>
      <x:c r="P195" s="32" t="str"/>
      <x:c r="Q195" s="32" t="str"/>
      <x:c r="R195" s="32" t="str"/>
      <x:c r="S195" s="32" t="str"/>
      <x:c r="T195" s="82" t="str"/>
      <x:c r="U195" s="32" t="str"/>
      <x:c r="V195" s="84" t="n">
        <x:v>1</x:v>
      </x:c>
      <x:c r="W195" s="84" t="n">
        <x:f>IF(OR($O195="PASS",$O195="EXCEPTION APPROVED",$O195="NOT APPLICABLE"),$V195,0)</x:f>
        <x:v>0</x:v>
      </x:c>
      <x:c r="X195" s="84" t="n">
        <x:f>IF(AND($K195="Yes",OR($O195="FAIL",$O195="BLOCKED",$O195="NOT RUN",$O195="IN PROGRESS")),1,0)</x:f>
        <x:v>1</x:v>
      </x:c>
      <x:c r="Y195" s="32" t="str">
        <x:f>IF($O195="FAIL","FAIL",IF($O195="BLOCKED","BLOCKED",IF(AND($O195="EXCEPTION APPROVED",$K195="Yes"),"REVIEW",IF($O195="PASS","OK","PENDING"))))</x:f>
        <x:v>PENDING</x:v>
      </x:c>
    </x:row>
    <x:row r="196">
      <x:c r="A196" s="32" t="str">
        <x:v>REL-LIVE-007</x:v>
      </x:c>
      <x:c r="B196" s="32" t="str">
        <x:v>Post-lanzamiento, rollback y continuidad</x:v>
      </x:c>
      <x:c r="C196" s="32" t="str">
        <x:v>Release readiness</x:v>
      </x:c>
      <x:c r="D196" s="32" t="str">
        <x:v>Existe rotación/propietario para incidentes de build, pagos, Steam o comunidad.</x:v>
      </x:c>
      <x:c r="E196" s="32" t="str">
        <x:v>Revisar, ejecutar y registrar evidencia reproducible.</x:v>
      </x:c>
      <x:c r="F196" s="32" t="str">
        <x:v>Cumplimiento verificable antes del gate indicado.</x:v>
      </x:c>
      <x:c r="G196" s="32" t="str">
        <x:v>Launch rota.</x:v>
      </x:c>
      <x:c r="H196" s="32" t="str">
        <x:v>25_Post_Launch_and_Live_Operations_Plan.md; 27_Security_and_Incident_Response_Plan.md; 33_Project_Risk_Register_and_Business_Continuity_Plan.xlsx</x:v>
      </x:c>
      <x:c r="I196" s="32" t="str">
        <x:v>Historical build/Steam/handoff records v0.3–v0.6</x:v>
      </x:c>
      <x:c r="J196" s="32" t="str">
        <x:v>Release</x:v>
      </x:c>
      <x:c r="K196" s="32" t="str">
        <x:v>Yes</x:v>
      </x:c>
      <x:c r="L196" s="32" t="str">
        <x:v>P1</x:v>
      </x:c>
      <x:c r="M196" s="32" t="str">
        <x:v>Live Operations/Production</x:v>
      </x:c>
      <x:c r="N196" s="32" t="str">
        <x:v>Engineering/QA/Support</x:v>
      </x:c>
      <x:c r="O196" s="32" t="str">
        <x:v>NOT RUN</x:v>
      </x:c>
      <x:c r="P196" s="32" t="str"/>
      <x:c r="Q196" s="32" t="str"/>
      <x:c r="R196" s="32" t="str"/>
      <x:c r="S196" s="32" t="str"/>
      <x:c r="T196" s="82" t="str"/>
      <x:c r="U196" s="32" t="str"/>
      <x:c r="V196" s="84" t="n">
        <x:v>1</x:v>
      </x:c>
      <x:c r="W196" s="84" t="n">
        <x:f>IF(OR($O196="PASS",$O196="EXCEPTION APPROVED",$O196="NOT APPLICABLE"),$V196,0)</x:f>
        <x:v>0</x:v>
      </x:c>
      <x:c r="X196" s="84" t="n">
        <x:f>IF(AND($K196="Yes",OR($O196="FAIL",$O196="BLOCKED",$O196="NOT RUN",$O196="IN PROGRESS")),1,0)</x:f>
        <x:v>1</x:v>
      </x:c>
      <x:c r="Y196" s="32" t="str">
        <x:f>IF($O196="FAIL","FAIL",IF($O196="BLOCKED","BLOCKED",IF(AND($O196="EXCEPTION APPROVED",$K196="Yes"),"REVIEW",IF($O196="PASS","OK","PENDING"))))</x:f>
        <x:v>PENDING</x:v>
      </x:c>
    </x:row>
    <x:row r="197">
      <x:c r="A197" s="32" t="str">
        <x:v>REL-LIVE-008</x:v>
      </x:c>
      <x:c r="B197" s="32" t="str">
        <x:v>Post-lanzamiento, rollback y continuidad</x:v>
      </x:c>
      <x:c r="C197" s="32" t="str">
        <x:v>Release readiness</x:v>
      </x:c>
      <x:c r="D197" s="32" t="str">
        <x:v>Backups y accesos críticos permiten continuar si una herramienta o cuenta falla.</x:v>
      </x:c>
      <x:c r="E197" s="32" t="str">
        <x:v>Revisar, ejecutar y registrar evidencia reproducible.</x:v>
      </x:c>
      <x:c r="F197" s="32" t="str">
        <x:v>Cumplimiento verificable antes del gate indicado.</x:v>
      </x:c>
      <x:c r="G197" s="32" t="str">
        <x:v>Continuity drill.</x:v>
      </x:c>
      <x:c r="H197" s="32" t="str">
        <x:v>25_Post_Launch_and_Live_Operations_Plan.md; 27_Security_and_Incident_Response_Plan.md; 33_Project_Risk_Register_and_Business_Continuity_Plan.xlsx</x:v>
      </x:c>
      <x:c r="I197" s="32" t="str">
        <x:v>Historical build/Steam/handoff records v0.3–v0.6</x:v>
      </x:c>
      <x:c r="J197" s="32" t="str">
        <x:v>Release</x:v>
      </x:c>
      <x:c r="K197" s="32" t="str">
        <x:v>Yes</x:v>
      </x:c>
      <x:c r="L197" s="32" t="str">
        <x:v>P1</x:v>
      </x:c>
      <x:c r="M197" s="32" t="str">
        <x:v>Live Operations/Production</x:v>
      </x:c>
      <x:c r="N197" s="32" t="str">
        <x:v>Engineering/QA/Support</x:v>
      </x:c>
      <x:c r="O197" s="32" t="str">
        <x:v>NOT RUN</x:v>
      </x:c>
      <x:c r="P197" s="32" t="str"/>
      <x:c r="Q197" s="32" t="str"/>
      <x:c r="R197" s="32" t="str"/>
      <x:c r="S197" s="32" t="str"/>
      <x:c r="T197" s="82" t="str"/>
      <x:c r="U197" s="32" t="str"/>
      <x:c r="V197" s="84" t="n">
        <x:v>1</x:v>
      </x:c>
      <x:c r="W197" s="84" t="n">
        <x:f>IF(OR($O197="PASS",$O197="EXCEPTION APPROVED",$O197="NOT APPLICABLE"),$V197,0)</x:f>
        <x:v>0</x:v>
      </x:c>
      <x:c r="X197" s="84" t="n">
        <x:f>IF(AND($K197="Yes",OR($O197="FAIL",$O197="BLOCKED",$O197="NOT RUN",$O197="IN PROGRESS")),1,0)</x:f>
        <x:v>1</x:v>
      </x:c>
      <x:c r="Y197" s="32" t="str">
        <x:f>IF($O197="FAIL","FAIL",IF($O197="BLOCKED","BLOCKED",IF(AND($O197="EXCEPTION APPROVED",$K197="Yes"),"REVIEW",IF($O197="PASS","OK","PENDING"))))</x:f>
        <x:v>PENDING</x:v>
      </x:c>
    </x:row>
    <x:row r="198">
      <x:c r="A198" s="32" t="str">
        <x:v>REL-LIVE-009</x:v>
      </x:c>
      <x:c r="B198" s="32" t="str">
        <x:v>Post-lanzamiento, rollback y continuidad</x:v>
      </x:c>
      <x:c r="C198" s="32" t="str">
        <x:v>Release readiness</x:v>
      </x:c>
      <x:c r="D198" s="32" t="str">
        <x:v>El backlog post-launch separa defectos, feedback, accesibilidad y features.</x:v>
      </x:c>
      <x:c r="E198" s="32" t="str">
        <x:v>Revisar, ejecutar y registrar evidencia reproducible.</x:v>
      </x:c>
      <x:c r="F198" s="32" t="str">
        <x:v>Cumplimiento verificable antes del gate indicado.</x:v>
      </x:c>
      <x:c r="G198" s="32" t="str">
        <x:v>Post-launch backlog taxonomy.</x:v>
      </x:c>
      <x:c r="H198" s="32" t="str">
        <x:v>25_Post_Launch_and_Live_Operations_Plan.md; 27_Security_and_Incident_Response_Plan.md; 33_Project_Risk_Register_and_Business_Continuity_Plan.xlsx</x:v>
      </x:c>
      <x:c r="I198" s="32" t="str">
        <x:v>Historical build/Steam/handoff records v0.3–v0.6</x:v>
      </x:c>
      <x:c r="J198" s="32" t="str">
        <x:v>Release</x:v>
      </x:c>
      <x:c r="K198" s="32" t="str">
        <x:v>Yes</x:v>
      </x:c>
      <x:c r="L198" s="32" t="str">
        <x:v>P1</x:v>
      </x:c>
      <x:c r="M198" s="32" t="str">
        <x:v>Live Operations/Production</x:v>
      </x:c>
      <x:c r="N198" s="32" t="str">
        <x:v>Engineering/QA/Support</x:v>
      </x:c>
      <x:c r="O198" s="32" t="str">
        <x:v>NOT RUN</x:v>
      </x:c>
      <x:c r="P198" s="32" t="str"/>
      <x:c r="Q198" s="32" t="str"/>
      <x:c r="R198" s="32" t="str"/>
      <x:c r="S198" s="32" t="str"/>
      <x:c r="T198" s="82" t="str"/>
      <x:c r="U198" s="32" t="str"/>
      <x:c r="V198" s="84" t="n">
        <x:v>1</x:v>
      </x:c>
      <x:c r="W198" s="84" t="n">
        <x:f>IF(OR($O198="PASS",$O198="EXCEPTION APPROVED",$O198="NOT APPLICABLE"),$V198,0)</x:f>
        <x:v>0</x:v>
      </x:c>
      <x:c r="X198" s="84" t="n">
        <x:f>IF(AND($K198="Yes",OR($O198="FAIL",$O198="BLOCKED",$O198="NOT RUN",$O198="IN PROGRESS")),1,0)</x:f>
        <x:v>1</x:v>
      </x:c>
      <x:c r="Y198" s="32" t="str">
        <x:f>IF($O198="FAIL","FAIL",IF($O198="BLOCKED","BLOCKED",IF(AND($O198="EXCEPTION APPROVED",$K198="Yes"),"REVIEW",IF($O198="PASS","OK","PENDING"))))</x:f>
        <x:v>PENDING</x:v>
      </x:c>
    </x:row>
    <x:row r="199">
      <x:c r="A199" s="32" t="str">
        <x:v>REL-LIVE-010</x:v>
      </x:c>
      <x:c r="B199" s="32" t="str">
        <x:v>Post-lanzamiento, rollback y continuidad</x:v>
      </x:c>
      <x:c r="C199" s="32" t="str">
        <x:v>Release readiness</x:v>
      </x:c>
      <x:c r="D199" s="32" t="str">
        <x:v>Las métricas y tickets tienen umbrales de escalado.</x:v>
      </x:c>
      <x:c r="E199" s="32" t="str">
        <x:v>Revisar, ejecutar y registrar evidencia reproducible.</x:v>
      </x:c>
      <x:c r="F199" s="32" t="str">
        <x:v>Cumplimiento verificable antes del gate indicado.</x:v>
      </x:c>
      <x:c r="G199" s="32" t="str">
        <x:v>Operational thresholds.</x:v>
      </x:c>
      <x:c r="H199" s="32" t="str">
        <x:v>25_Post_Launch_and_Live_Operations_Plan.md; 27_Security_and_Incident_Response_Plan.md; 33_Project_Risk_Register_and_Business_Continuity_Plan.xlsx</x:v>
      </x:c>
      <x:c r="I199" s="32" t="str">
        <x:v>Historical build/Steam/handoff records v0.3–v0.6</x:v>
      </x:c>
      <x:c r="J199" s="32" t="str">
        <x:v>Release</x:v>
      </x:c>
      <x:c r="K199" s="32" t="str">
        <x:v>Yes</x:v>
      </x:c>
      <x:c r="L199" s="32" t="str">
        <x:v>P1</x:v>
      </x:c>
      <x:c r="M199" s="32" t="str">
        <x:v>Live Operations/Production</x:v>
      </x:c>
      <x:c r="N199" s="32" t="str">
        <x:v>Engineering/QA/Support</x:v>
      </x:c>
      <x:c r="O199" s="32" t="str">
        <x:v>NOT RUN</x:v>
      </x:c>
      <x:c r="P199" s="32" t="str"/>
      <x:c r="Q199" s="32" t="str"/>
      <x:c r="R199" s="32" t="str"/>
      <x:c r="S199" s="32" t="str"/>
      <x:c r="T199" s="82" t="str"/>
      <x:c r="U199" s="32" t="str"/>
      <x:c r="V199" s="84" t="n">
        <x:v>1</x:v>
      </x:c>
      <x:c r="W199" s="84" t="n">
        <x:f>IF(OR($O199="PASS",$O199="EXCEPTION APPROVED",$O199="NOT APPLICABLE"),$V199,0)</x:f>
        <x:v>0</x:v>
      </x:c>
      <x:c r="X199" s="84" t="n">
        <x:f>IF(AND($K199="Yes",OR($O199="FAIL",$O199="BLOCKED",$O199="NOT RUN",$O199="IN PROGRESS")),1,0)</x:f>
        <x:v>1</x:v>
      </x:c>
      <x:c r="Y199" s="32" t="str">
        <x:f>IF($O199="FAIL","FAIL",IF($O199="BLOCKED","BLOCKED",IF(AND($O199="EXCEPTION APPROVED",$K199="Yes"),"REVIEW",IF($O199="PASS","OK","PENDING"))))</x:f>
        <x:v>PENDING</x:v>
      </x:c>
    </x:row>
    <x:row r="200">
      <x:c r="A200" s="32" t="str">
        <x:v>REL-LIVE-011</x:v>
      </x:c>
      <x:c r="B200" s="32" t="str">
        <x:v>Post-lanzamiento, rollback y continuidad</x:v>
      </x:c>
      <x:c r="C200" s="32" t="str">
        <x:v>Release readiness</x:v>
      </x:c>
      <x:c r="D200" s="32" t="str">
        <x:v>La comunicación de parche incluye cambios, riesgos y known issues.</x:v>
      </x:c>
      <x:c r="E200" s="32" t="str">
        <x:v>Revisar, ejecutar y registrar evidencia reproducible.</x:v>
      </x:c>
      <x:c r="F200" s="32" t="str">
        <x:v>Cumplimiento verificable antes del gate indicado.</x:v>
      </x:c>
      <x:c r="G200" s="32" t="str">
        <x:v>Patch notes template.</x:v>
      </x:c>
      <x:c r="H200" s="32" t="str">
        <x:v>25_Post_Launch_and_Live_Operations_Plan.md; 27_Security_and_Incident_Response_Plan.md; 33_Project_Risk_Register_and_Business_Continuity_Plan.xlsx</x:v>
      </x:c>
      <x:c r="I200" s="32" t="str">
        <x:v>Historical build/Steam/handoff records v0.3–v0.6</x:v>
      </x:c>
      <x:c r="J200" s="32" t="str">
        <x:v>Release</x:v>
      </x:c>
      <x:c r="K200" s="32" t="str">
        <x:v>Yes</x:v>
      </x:c>
      <x:c r="L200" s="32" t="str">
        <x:v>P1</x:v>
      </x:c>
      <x:c r="M200" s="32" t="str">
        <x:v>Live Operations/Production</x:v>
      </x:c>
      <x:c r="N200" s="32" t="str">
        <x:v>Engineering/QA/Support</x:v>
      </x:c>
      <x:c r="O200" s="32" t="str">
        <x:v>NOT RUN</x:v>
      </x:c>
      <x:c r="P200" s="32" t="str"/>
      <x:c r="Q200" s="32" t="str"/>
      <x:c r="R200" s="32" t="str"/>
      <x:c r="S200" s="32" t="str"/>
      <x:c r="T200" s="82" t="str"/>
      <x:c r="U200" s="32" t="str"/>
      <x:c r="V200" s="84" t="n">
        <x:v>1</x:v>
      </x:c>
      <x:c r="W200" s="84" t="n">
        <x:f>IF(OR($O200="PASS",$O200="EXCEPTION APPROVED",$O200="NOT APPLICABLE"),$V200,0)</x:f>
        <x:v>0</x:v>
      </x:c>
      <x:c r="X200" s="84" t="n">
        <x:f>IF(AND($K200="Yes",OR($O200="FAIL",$O200="BLOCKED",$O200="NOT RUN",$O200="IN PROGRESS")),1,0)</x:f>
        <x:v>1</x:v>
      </x:c>
      <x:c r="Y200" s="32" t="str">
        <x:f>IF($O200="FAIL","FAIL",IF($O200="BLOCKED","BLOCKED",IF(AND($O200="EXCEPTION APPROVED",$K200="Yes"),"REVIEW",IF($O200="PASS","OK","PENDING"))))</x:f>
        <x:v>PENDING</x:v>
      </x:c>
    </x:row>
    <x:row r="201">
      <x:c r="A201" s="32" t="str">
        <x:v>REL-LIVE-012</x:v>
      </x:c>
      <x:c r="B201" s="32" t="str">
        <x:v>Post-lanzamiento, rollback y continuidad</x:v>
      </x:c>
      <x:c r="C201" s="32" t="str">
        <x:v>Release readiness</x:v>
      </x:c>
      <x:c r="D201" s="32" t="str">
        <x:v>El cierre del periodo de lanzamiento produce retrospectiva y baseline actualizada.</x:v>
      </x:c>
      <x:c r="E201" s="32" t="str">
        <x:v>Revisar, ejecutar y registrar evidencia reproducible.</x:v>
      </x:c>
      <x:c r="F201" s="32" t="str">
        <x:v>Cumplimiento verificable antes del gate indicado.</x:v>
      </x:c>
      <x:c r="G201" s="32" t="str">
        <x:v>Launch retrospective plan.</x:v>
      </x:c>
      <x:c r="H201" s="32" t="str">
        <x:v>25_Post_Launch_and_Live_Operations_Plan.md; 27_Security_and_Incident_Response_Plan.md; 33_Project_Risk_Register_and_Business_Continuity_Plan.xlsx</x:v>
      </x:c>
      <x:c r="I201" s="32" t="str">
        <x:v>Historical build/Steam/handoff records v0.3–v0.6</x:v>
      </x:c>
      <x:c r="J201" s="32" t="str">
        <x:v>Release</x:v>
      </x:c>
      <x:c r="K201" s="32" t="str">
        <x:v>Yes</x:v>
      </x:c>
      <x:c r="L201" s="32" t="str">
        <x:v>P1</x:v>
      </x:c>
      <x:c r="M201" s="32" t="str">
        <x:v>Live Operations/Production</x:v>
      </x:c>
      <x:c r="N201" s="32" t="str">
        <x:v>Engineering/QA/Support</x:v>
      </x:c>
      <x:c r="O201" s="32" t="str">
        <x:v>NOT RUN</x:v>
      </x:c>
      <x:c r="P201" s="32" t="str"/>
      <x:c r="Q201" s="32" t="str"/>
      <x:c r="R201" s="32" t="str"/>
      <x:c r="S201" s="32" t="str"/>
      <x:c r="T201" s="82" t="str"/>
      <x:c r="U201" s="32" t="str"/>
      <x:c r="V201" s="84" t="n">
        <x:v>1</x:v>
      </x:c>
      <x:c r="W201" s="84" t="n">
        <x:f>IF(OR($O201="PASS",$O201="EXCEPTION APPROVED",$O201="NOT APPLICABLE"),$V201,0)</x:f>
        <x:v>0</x:v>
      </x:c>
      <x:c r="X201" s="84" t="n">
        <x:f>IF(AND($K201="Yes",OR($O201="FAIL",$O201="BLOCKED",$O201="NOT RUN",$O201="IN PROGRESS")),1,0)</x:f>
        <x:v>1</x:v>
      </x:c>
      <x:c r="Y201" s="32" t="str">
        <x:f>IF($O201="FAIL","FAIL",IF($O201="BLOCKED","BLOCKED",IF(AND($O201="EXCEPTION APPROVED",$K201="Yes"),"REVIEW",IF($O201="PASS","OK","PENDING"))))</x:f>
        <x:v>PENDING</x:v>
      </x:c>
    </x:row>
    <x:row r="202">
      <x:c r="A202" s="32" t="str">
        <x:v>REL-DOC-001</x:v>
      </x:c>
      <x:c r="B202" s="32" t="str">
        <x:v>Documentación, baseline y handoff</x:v>
      </x:c>
      <x:c r="C202" s="32" t="str">
        <x:v>Release readiness</x:v>
      </x:c>
      <x:c r="D202" s="32" t="str">
        <x:v>Los documentos 00–34 están completos o su ausencia está formalmente resuelta antes de baseline final.</x:v>
      </x:c>
      <x:c r="E202" s="32" t="str">
        <x:v>Revisar, ejecutar y registrar evidencia reproducible.</x:v>
      </x:c>
      <x:c r="F202" s="32" t="str">
        <x:v>Cumplimiento verificable antes del gate indicado.</x:v>
      </x:c>
      <x:c r="G202" s="32" t="str">
        <x:v>Final document inventory.</x:v>
      </x:c>
      <x:c r="H202" s="32" t="str">
        <x:v>12_Excel_Maestro_de_Produccion.xlsx; 13_Trazabilidad_y_Control_de_Cambios.xlsx; 14_Project_Binder_Indice_Maestro.md; 15_Guia_Maestra.md; 16_Auditoria_Global_de_Coherencia.md; 31_H6_and_Release_Readiness_Checklist.xlsx; 32_Documentation_Baseline_Manifest.xlsx; 33_Project_Risk_Register_and_Business_Continuity_Plan.xlsx; 34_Final_Handoff_and_Project_Operations_Manual.md</x:v>
      </x:c>
      <x:c r="I202" s="32" t="str">
        <x:v>Historical binders, guides, manifests, validation reports and handoffs v0.3–v0.6</x:v>
      </x:c>
      <x:c r="J202" s="32" t="str">
        <x:v>Release</x:v>
      </x:c>
      <x:c r="K202" s="32" t="str">
        <x:v>Yes</x:v>
      </x:c>
      <x:c r="L202" s="32" t="str">
        <x:v>P1</x:v>
      </x:c>
      <x:c r="M202" s="32" t="str">
        <x:v>Documentation/Production</x:v>
      </x:c>
      <x:c r="N202" s="32" t="str">
        <x:v>All Discipline Leads</x:v>
      </x:c>
      <x:c r="O202" s="32" t="str">
        <x:v>NOT RUN</x:v>
      </x:c>
      <x:c r="P202" s="32" t="str"/>
      <x:c r="Q202" s="32" t="str"/>
      <x:c r="R202" s="32" t="str"/>
      <x:c r="S202" s="32" t="str"/>
      <x:c r="T202" s="82" t="str"/>
      <x:c r="U202" s="32" t="str"/>
      <x:c r="V202" s="84" t="n">
        <x:v>1</x:v>
      </x:c>
      <x:c r="W202" s="84" t="n">
        <x:f>IF(OR($O202="PASS",$O202="EXCEPTION APPROVED",$O202="NOT APPLICABLE"),$V202,0)</x:f>
        <x:v>0</x:v>
      </x:c>
      <x:c r="X202" s="84" t="n">
        <x:f>IF(AND($K202="Yes",OR($O202="FAIL",$O202="BLOCKED",$O202="NOT RUN",$O202="IN PROGRESS")),1,0)</x:f>
        <x:v>1</x:v>
      </x:c>
      <x:c r="Y202" s="32" t="str">
        <x:f>IF($O202="FAIL","FAIL",IF($O202="BLOCKED","BLOCKED",IF(AND($O202="EXCEPTION APPROVED",$K202="Yes"),"REVIEW",IF($O202="PASS","OK","PENDING"))))</x:f>
        <x:v>PENDING</x:v>
      </x:c>
    </x:row>
    <x:row r="203">
      <x:c r="A203" s="32" t="str">
        <x:v>REL-DOC-002</x:v>
      </x:c>
      <x:c r="B203" s="32" t="str">
        <x:v>Documentación, baseline y handoff</x:v>
      </x:c>
      <x:c r="C203" s="32" t="str">
        <x:v>Release readiness</x:v>
      </x:c>
      <x:c r="D203" s="32" t="str">
        <x:v>12, 13, 14, 15 y 16 están regenerados con el conjunto completo.</x:v>
      </x:c>
      <x:c r="E203" s="32" t="str">
        <x:v>Revisar, ejecutar y registrar evidencia reproducible.</x:v>
      </x:c>
      <x:c r="F203" s="32" t="str">
        <x:v>Cumplimiento verificable antes del gate indicado.</x:v>
      </x:c>
      <x:c r="G203" s="32" t="str">
        <x:v>Governance update signoff.</x:v>
      </x:c>
      <x:c r="H203" s="32" t="str">
        <x:v>12_Excel_Maestro_de_Produccion.xlsx; 13_Trazabilidad_y_Control_de_Cambios.xlsx; 14_Project_Binder_Indice_Maestro.md; 15_Guia_Maestra.md; 16_Auditoria_Global_de_Coherencia.md; 31_H6_and_Release_Readiness_Checklist.xlsx; 32_Documentation_Baseline_Manifest.xlsx; 33_Project_Risk_Register_and_Business_Continuity_Plan.xlsx; 34_Final_Handoff_and_Project_Operations_Manual.md</x:v>
      </x:c>
      <x:c r="I203" s="32" t="str">
        <x:v>Historical binders, guides, manifests, validation reports and handoffs v0.3–v0.6</x:v>
      </x:c>
      <x:c r="J203" s="32" t="str">
        <x:v>Release</x:v>
      </x:c>
      <x:c r="K203" s="32" t="str">
        <x:v>Yes</x:v>
      </x:c>
      <x:c r="L203" s="32" t="str">
        <x:v>P1</x:v>
      </x:c>
      <x:c r="M203" s="32" t="str">
        <x:v>Documentation/Production</x:v>
      </x:c>
      <x:c r="N203" s="32" t="str">
        <x:v>All Discipline Leads</x:v>
      </x:c>
      <x:c r="O203" s="32" t="str">
        <x:v>NOT RUN</x:v>
      </x:c>
      <x:c r="P203" s="32" t="str"/>
      <x:c r="Q203" s="32" t="str"/>
      <x:c r="R203" s="32" t="str"/>
      <x:c r="S203" s="32" t="str"/>
      <x:c r="T203" s="82" t="str"/>
      <x:c r="U203" s="32" t="str"/>
      <x:c r="V203" s="84" t="n">
        <x:v>1</x:v>
      </x:c>
      <x:c r="W203" s="84" t="n">
        <x:f>IF(OR($O203="PASS",$O203="EXCEPTION APPROVED",$O203="NOT APPLICABLE"),$V203,0)</x:f>
        <x:v>0</x:v>
      </x:c>
      <x:c r="X203" s="84" t="n">
        <x:f>IF(AND($K203="Yes",OR($O203="FAIL",$O203="BLOCKED",$O203="NOT RUN",$O203="IN PROGRESS")),1,0)</x:f>
        <x:v>1</x:v>
      </x:c>
      <x:c r="Y203" s="32" t="str">
        <x:f>IF($O203="FAIL","FAIL",IF($O203="BLOCKED","BLOCKED",IF(AND($O203="EXCEPTION APPROVED",$K203="Yes"),"REVIEW",IF($O203="PASS","OK","PENDING"))))</x:f>
        <x:v>PENDING</x:v>
      </x:c>
    </x:row>
    <x:row r="204">
      <x:c r="A204" s="32" t="str">
        <x:v>REL-DOC-003</x:v>
      </x:c>
      <x:c r="B204" s="32" t="str">
        <x:v>Documentación, baseline y handoff</x:v>
      </x:c>
      <x:c r="C204" s="32" t="str">
        <x:v>Release readiness</x:v>
      </x:c>
      <x:c r="D204" s="32" t="str">
        <x:v>31, 32 y registros de builds contienen hashes y referencias cruzadas correctas.</x:v>
      </x:c>
      <x:c r="E204" s="32" t="str">
        <x:v>Revisar, ejecutar y registrar evidencia reproducible.</x:v>
      </x:c>
      <x:c r="F204" s="32" t="str">
        <x:v>Cumplimiento verificable antes del gate indicado.</x:v>
      </x:c>
      <x:c r="G204" s="32" t="str">
        <x:v>Cross-reference audit.</x:v>
      </x:c>
      <x:c r="H204" s="32" t="str">
        <x:v>12_Excel_Maestro_de_Produccion.xlsx; 13_Trazabilidad_y_Control_de_Cambios.xlsx; 14_Project_Binder_Indice_Maestro.md; 15_Guia_Maestra.md; 16_Auditoria_Global_de_Coherencia.md; 31_H6_and_Release_Readiness_Checklist.xlsx; 32_Documentation_Baseline_Manifest.xlsx; 33_Project_Risk_Register_and_Business_Continuity_Plan.xlsx; 34_Final_Handoff_and_Project_Operations_Manual.md</x:v>
      </x:c>
      <x:c r="I204" s="32" t="str">
        <x:v>Historical binders, guides, manifests, validation reports and handoffs v0.3–v0.6</x:v>
      </x:c>
      <x:c r="J204" s="32" t="str">
        <x:v>Release</x:v>
      </x:c>
      <x:c r="K204" s="32" t="str">
        <x:v>Yes</x:v>
      </x:c>
      <x:c r="L204" s="32" t="str">
        <x:v>P1</x:v>
      </x:c>
      <x:c r="M204" s="32" t="str">
        <x:v>Documentation/Production</x:v>
      </x:c>
      <x:c r="N204" s="32" t="str">
        <x:v>All Discipline Leads</x:v>
      </x:c>
      <x:c r="O204" s="32" t="str">
        <x:v>NOT RUN</x:v>
      </x:c>
      <x:c r="P204" s="32" t="str"/>
      <x:c r="Q204" s="32" t="str"/>
      <x:c r="R204" s="32" t="str"/>
      <x:c r="S204" s="32" t="str"/>
      <x:c r="T204" s="82" t="str"/>
      <x:c r="U204" s="32" t="str"/>
      <x:c r="V204" s="84" t="n">
        <x:v>1</x:v>
      </x:c>
      <x:c r="W204" s="84" t="n">
        <x:f>IF(OR($O204="PASS",$O204="EXCEPTION APPROVED",$O204="NOT APPLICABLE"),$V204,0)</x:f>
        <x:v>0</x:v>
      </x:c>
      <x:c r="X204" s="84" t="n">
        <x:f>IF(AND($K204="Yes",OR($O204="FAIL",$O204="BLOCKED",$O204="NOT RUN",$O204="IN PROGRESS")),1,0)</x:f>
        <x:v>1</x:v>
      </x:c>
      <x:c r="Y204" s="32" t="str">
        <x:f>IF($O204="FAIL","FAIL",IF($O204="BLOCKED","BLOCKED",IF(AND($O204="EXCEPTION APPROVED",$K204="Yes"),"REVIEW",IF($O204="PASS","OK","PENDING"))))</x:f>
        <x:v>PENDING</x:v>
      </x:c>
    </x:row>
    <x:row r="205">
      <x:c r="A205" s="32" t="str">
        <x:v>REL-DOC-004</x:v>
      </x:c>
      <x:c r="B205" s="32" t="str">
        <x:v>Documentación, baseline y handoff</x:v>
      </x:c>
      <x:c r="C205" s="32" t="str">
        <x:v>Release readiness</x:v>
      </x:c>
      <x:c r="D205" s="32" t="str">
        <x:v>El manifest final incluye nombre, versión, tamaño, hash, autoridad, estado y sustituciones.</x:v>
      </x:c>
      <x:c r="E205" s="32" t="str">
        <x:v>Revisar, ejecutar y registrar evidencia reproducible.</x:v>
      </x:c>
      <x:c r="F205" s="32" t="str">
        <x:v>Cumplimiento verificable antes del gate indicado.</x:v>
      </x:c>
      <x:c r="G205" s="32" t="str">
        <x:v>32_Documentation_Baseline_Manifest.xlsx.</x:v>
      </x:c>
      <x:c r="H205" s="32" t="str">
        <x:v>12_Excel_Maestro_de_Produccion.xlsx; 13_Trazabilidad_y_Control_de_Cambios.xlsx; 14_Project_Binder_Indice_Maestro.md; 15_Guia_Maestra.md; 16_Auditoria_Global_de_Coherencia.md; 31_H6_and_Release_Readiness_Checklist.xlsx; 32_Documentation_Baseline_Manifest.xlsx; 33_Project_Risk_Register_and_Business_Continuity_Plan.xlsx; 34_Final_Handoff_and_Project_Operations_Manual.md</x:v>
      </x:c>
      <x:c r="I205" s="32" t="str">
        <x:v>Historical binders, guides, manifests, validation reports and handoffs v0.3–v0.6</x:v>
      </x:c>
      <x:c r="J205" s="32" t="str">
        <x:v>Release</x:v>
      </x:c>
      <x:c r="K205" s="32" t="str">
        <x:v>Yes</x:v>
      </x:c>
      <x:c r="L205" s="32" t="str">
        <x:v>P1</x:v>
      </x:c>
      <x:c r="M205" s="32" t="str">
        <x:v>Documentation/Production</x:v>
      </x:c>
      <x:c r="N205" s="32" t="str">
        <x:v>All Discipline Leads</x:v>
      </x:c>
      <x:c r="O205" s="32" t="str">
        <x:v>NOT RUN</x:v>
      </x:c>
      <x:c r="P205" s="32" t="str"/>
      <x:c r="Q205" s="32" t="str"/>
      <x:c r="R205" s="32" t="str"/>
      <x:c r="S205" s="32" t="str"/>
      <x:c r="T205" s="82" t="str"/>
      <x:c r="U205" s="32" t="str"/>
      <x:c r="V205" s="84" t="n">
        <x:v>1</x:v>
      </x:c>
      <x:c r="W205" s="84" t="n">
        <x:f>IF(OR($O205="PASS",$O205="EXCEPTION APPROVED",$O205="NOT APPLICABLE"),$V205,0)</x:f>
        <x:v>0</x:v>
      </x:c>
      <x:c r="X205" s="84" t="n">
        <x:f>IF(AND($K205="Yes",OR($O205="FAIL",$O205="BLOCKED",$O205="NOT RUN",$O205="IN PROGRESS")),1,0)</x:f>
        <x:v>1</x:v>
      </x:c>
      <x:c r="Y205" s="32" t="str">
        <x:f>IF($O205="FAIL","FAIL",IF($O205="BLOCKED","BLOCKED",IF(AND($O205="EXCEPTION APPROVED",$K205="Yes"),"REVIEW",IF($O205="PASS","OK","PENDING"))))</x:f>
        <x:v>PENDING</x:v>
      </x:c>
    </x:row>
    <x:row r="206">
      <x:c r="A206" s="32" t="str">
        <x:v>REL-DOC-005</x:v>
      </x:c>
      <x:c r="B206" s="32" t="str">
        <x:v>Documentación, baseline y handoff</x:v>
      </x:c>
      <x:c r="C206" s="32" t="str">
        <x:v>Release readiness</x:v>
      </x:c>
      <x:c r="D206" s="32" t="str">
        <x:v>El paquete documental y build release tienen checksums verificados.</x:v>
      </x:c>
      <x:c r="E206" s="32" t="str">
        <x:v>Revisar, ejecutar y registrar evidencia reproducible.</x:v>
      </x:c>
      <x:c r="F206" s="32" t="str">
        <x:v>Cumplimiento verificable antes del gate indicado.</x:v>
      </x:c>
      <x:c r="G206" s="32" t="str">
        <x:v>CHECKSUMS_SHA256.txt y validation report.</x:v>
      </x:c>
      <x:c r="H206" s="32" t="str">
        <x:v>12_Excel_Maestro_de_Produccion.xlsx; 13_Trazabilidad_y_Control_de_Cambios.xlsx; 14_Project_Binder_Indice_Maestro.md; 15_Guia_Maestra.md; 16_Auditoria_Global_de_Coherencia.md; 31_H6_and_Release_Readiness_Checklist.xlsx; 32_Documentation_Baseline_Manifest.xlsx; 33_Project_Risk_Register_and_Business_Continuity_Plan.xlsx; 34_Final_Handoff_and_Project_Operations_Manual.md</x:v>
      </x:c>
      <x:c r="I206" s="32" t="str">
        <x:v>Historical binders, guides, manifests, validation reports and handoffs v0.3–v0.6</x:v>
      </x:c>
      <x:c r="J206" s="32" t="str">
        <x:v>Release</x:v>
      </x:c>
      <x:c r="K206" s="32" t="str">
        <x:v>Yes</x:v>
      </x:c>
      <x:c r="L206" s="32" t="str">
        <x:v>P1</x:v>
      </x:c>
      <x:c r="M206" s="32" t="str">
        <x:v>Documentation/Production</x:v>
      </x:c>
      <x:c r="N206" s="32" t="str">
        <x:v>All Discipline Leads</x:v>
      </x:c>
      <x:c r="O206" s="32" t="str">
        <x:v>NOT RUN</x:v>
      </x:c>
      <x:c r="P206" s="32" t="str"/>
      <x:c r="Q206" s="32" t="str"/>
      <x:c r="R206" s="32" t="str"/>
      <x:c r="S206" s="32" t="str"/>
      <x:c r="T206" s="82" t="str"/>
      <x:c r="U206" s="32" t="str"/>
      <x:c r="V206" s="84" t="n">
        <x:v>1</x:v>
      </x:c>
      <x:c r="W206" s="84" t="n">
        <x:f>IF(OR($O206="PASS",$O206="EXCEPTION APPROVED",$O206="NOT APPLICABLE"),$V206,0)</x:f>
        <x:v>0</x:v>
      </x:c>
      <x:c r="X206" s="84" t="n">
        <x:f>IF(AND($K206="Yes",OR($O206="FAIL",$O206="BLOCKED",$O206="NOT RUN",$O206="IN PROGRESS")),1,0)</x:f>
        <x:v>1</x:v>
      </x:c>
      <x:c r="Y206" s="32" t="str">
        <x:f>IF($O206="FAIL","FAIL",IF($O206="BLOCKED","BLOCKED",IF(AND($O206="EXCEPTION APPROVED",$K206="Yes"),"REVIEW",IF($O206="PASS","OK","PENDING"))))</x:f>
        <x:v>PENDING</x:v>
      </x:c>
    </x:row>
    <x:row r="207">
      <x:c r="A207" s="32" t="str">
        <x:v>REL-DOC-006</x:v>
      </x:c>
      <x:c r="B207" s="32" t="str">
        <x:v>Documentación, baseline y handoff</x:v>
      </x:c>
      <x:c r="C207" s="32" t="str">
        <x:v>Release readiness</x:v>
      </x:c>
      <x:c r="D207" s="32" t="str">
        <x:v>No entran drafts, previews, archivos temporales ni datos personales no autorizados.</x:v>
      </x:c>
      <x:c r="E207" s="32" t="str">
        <x:v>Revisar, ejecutar y registrar evidencia reproducible.</x:v>
      </x:c>
      <x:c r="F207" s="32" t="str">
        <x:v>Cumplimiento verificable antes del gate indicado.</x:v>
      </x:c>
      <x:c r="G207" s="32" t="str">
        <x:v>Final packaging audit.</x:v>
      </x:c>
      <x:c r="H207" s="32" t="str">
        <x:v>12_Excel_Maestro_de_Produccion.xlsx; 13_Trazabilidad_y_Control_de_Cambios.xlsx; 14_Project_Binder_Indice_Maestro.md; 15_Guia_Maestra.md; 16_Auditoria_Global_de_Coherencia.md; 31_H6_and_Release_Readiness_Checklist.xlsx; 32_Documentation_Baseline_Manifest.xlsx; 33_Project_Risk_Register_and_Business_Continuity_Plan.xlsx; 34_Final_Handoff_and_Project_Operations_Manual.md</x:v>
      </x:c>
      <x:c r="I207" s="32" t="str">
        <x:v>Historical binders, guides, manifests, validation reports and handoffs v0.3–v0.6</x:v>
      </x:c>
      <x:c r="J207" s="32" t="str">
        <x:v>Release</x:v>
      </x:c>
      <x:c r="K207" s="32" t="str">
        <x:v>Yes</x:v>
      </x:c>
      <x:c r="L207" s="32" t="str">
        <x:v>P1</x:v>
      </x:c>
      <x:c r="M207" s="32" t="str">
        <x:v>Documentation/Production</x:v>
      </x:c>
      <x:c r="N207" s="32" t="str">
        <x:v>All Discipline Leads</x:v>
      </x:c>
      <x:c r="O207" s="32" t="str">
        <x:v>NOT RUN</x:v>
      </x:c>
      <x:c r="P207" s="32" t="str"/>
      <x:c r="Q207" s="32" t="str"/>
      <x:c r="R207" s="32" t="str"/>
      <x:c r="S207" s="32" t="str"/>
      <x:c r="T207" s="82" t="str"/>
      <x:c r="U207" s="32" t="str"/>
      <x:c r="V207" s="84" t="n">
        <x:v>1</x:v>
      </x:c>
      <x:c r="W207" s="84" t="n">
        <x:f>IF(OR($O207="PASS",$O207="EXCEPTION APPROVED",$O207="NOT APPLICABLE"),$V207,0)</x:f>
        <x:v>0</x:v>
      </x:c>
      <x:c r="X207" s="84" t="n">
        <x:f>IF(AND($K207="Yes",OR($O207="FAIL",$O207="BLOCKED",$O207="NOT RUN",$O207="IN PROGRESS")),1,0)</x:f>
        <x:v>1</x:v>
      </x:c>
      <x:c r="Y207" s="32" t="str">
        <x:f>IF($O207="FAIL","FAIL",IF($O207="BLOCKED","BLOCKED",IF(AND($O207="EXCEPTION APPROVED",$K207="Yes"),"REVIEW",IF($O207="PASS","OK","PENDING"))))</x:f>
        <x:v>PENDING</x:v>
      </x:c>
    </x:row>
    <x:row r="208">
      <x:c r="A208" s="32" t="str">
        <x:v>REL-DOC-007</x:v>
      </x:c>
      <x:c r="B208" s="32" t="str">
        <x:v>Documentación, baseline y handoff</x:v>
      </x:c>
      <x:c r="C208" s="32" t="str">
        <x:v>Release readiness</x:v>
      </x:c>
      <x:c r="D208" s="32" t="str">
        <x:v>El handoff explica cómo clonar, abrir, construir, probar, publicar, parchear y recuperar.</x:v>
      </x:c>
      <x:c r="E208" s="32" t="str">
        <x:v>Revisar, ejecutar y registrar evidencia reproducible.</x:v>
      </x:c>
      <x:c r="F208" s="32" t="str">
        <x:v>Cumplimiento verificable antes del gate indicado.</x:v>
      </x:c>
      <x:c r="G208" s="32" t="str">
        <x:v>34_Final_Handoff_and_Project_Operations_Manual.md.</x:v>
      </x:c>
      <x:c r="H208" s="32" t="str">
        <x:v>12_Excel_Maestro_de_Produccion.xlsx; 13_Trazabilidad_y_Control_de_Cambios.xlsx; 14_Project_Binder_Indice_Maestro.md; 15_Guia_Maestra.md; 16_Auditoria_Global_de_Coherencia.md; 31_H6_and_Release_Readiness_Checklist.xlsx; 32_Documentation_Baseline_Manifest.xlsx; 33_Project_Risk_Register_and_Business_Continuity_Plan.xlsx; 34_Final_Handoff_and_Project_Operations_Manual.md</x:v>
      </x:c>
      <x:c r="I208" s="32" t="str">
        <x:v>Historical binders, guides, manifests, validation reports and handoffs v0.3–v0.6</x:v>
      </x:c>
      <x:c r="J208" s="32" t="str">
        <x:v>Release</x:v>
      </x:c>
      <x:c r="K208" s="32" t="str">
        <x:v>Yes</x:v>
      </x:c>
      <x:c r="L208" s="32" t="str">
        <x:v>P1</x:v>
      </x:c>
      <x:c r="M208" s="32" t="str">
        <x:v>Documentation/Production</x:v>
      </x:c>
      <x:c r="N208" s="32" t="str">
        <x:v>All Discipline Leads</x:v>
      </x:c>
      <x:c r="O208" s="32" t="str">
        <x:v>NOT RUN</x:v>
      </x:c>
      <x:c r="P208" s="32" t="str"/>
      <x:c r="Q208" s="32" t="str"/>
      <x:c r="R208" s="32" t="str"/>
      <x:c r="S208" s="32" t="str"/>
      <x:c r="T208" s="82" t="str"/>
      <x:c r="U208" s="32" t="str"/>
      <x:c r="V208" s="84" t="n">
        <x:v>1</x:v>
      </x:c>
      <x:c r="W208" s="84" t="n">
        <x:f>IF(OR($O208="PASS",$O208="EXCEPTION APPROVED",$O208="NOT APPLICABLE"),$V208,0)</x:f>
        <x:v>0</x:v>
      </x:c>
      <x:c r="X208" s="84" t="n">
        <x:f>IF(AND($K208="Yes",OR($O208="FAIL",$O208="BLOCKED",$O208="NOT RUN",$O208="IN PROGRESS")),1,0)</x:f>
        <x:v>1</x:v>
      </x:c>
      <x:c r="Y208" s="32" t="str">
        <x:f>IF($O208="FAIL","FAIL",IF($O208="BLOCKED","BLOCKED",IF(AND($O208="EXCEPTION APPROVED",$K208="Yes"),"REVIEW",IF($O208="PASS","OK","PENDING"))))</x:f>
        <x:v>PENDING</x:v>
      </x:c>
    </x:row>
    <x:row r="209">
      <x:c r="A209" s="32" t="str">
        <x:v>REL-DOC-008</x:v>
      </x:c>
      <x:c r="B209" s="32" t="str">
        <x:v>Documentación, baseline y handoff</x:v>
      </x:c>
      <x:c r="C209" s="32" t="str">
        <x:v>Release readiness</x:v>
      </x:c>
      <x:c r="D209" s="32" t="str">
        <x:v>Las dependencias de herramientas/cuentas y recuperación están documentadas.</x:v>
      </x:c>
      <x:c r="E209" s="32" t="str">
        <x:v>Revisar, ejecutar y registrar evidencia reproducible.</x:v>
      </x:c>
      <x:c r="F209" s="32" t="str">
        <x:v>Cumplimiento verificable antes del gate indicado.</x:v>
      </x:c>
      <x:c r="G209" s="32" t="str">
        <x:v>Operations dependency map.</x:v>
      </x:c>
      <x:c r="H209" s="32" t="str">
        <x:v>12_Excel_Maestro_de_Produccion.xlsx; 13_Trazabilidad_y_Control_de_Cambios.xlsx; 14_Project_Binder_Indice_Maestro.md; 15_Guia_Maestra.md; 16_Auditoria_Global_de_Coherencia.md; 31_H6_and_Release_Readiness_Checklist.xlsx; 32_Documentation_Baseline_Manifest.xlsx; 33_Project_Risk_Register_and_Business_Continuity_Plan.xlsx; 34_Final_Handoff_and_Project_Operations_Manual.md</x:v>
      </x:c>
      <x:c r="I209" s="32" t="str">
        <x:v>Historical binders, guides, manifests, validation reports and handoffs v0.3–v0.6</x:v>
      </x:c>
      <x:c r="J209" s="32" t="str">
        <x:v>Release</x:v>
      </x:c>
      <x:c r="K209" s="32" t="str">
        <x:v>Yes</x:v>
      </x:c>
      <x:c r="L209" s="32" t="str">
        <x:v>P1</x:v>
      </x:c>
      <x:c r="M209" s="32" t="str">
        <x:v>Documentation/Production</x:v>
      </x:c>
      <x:c r="N209" s="32" t="str">
        <x:v>All Discipline Leads</x:v>
      </x:c>
      <x:c r="O209" s="32" t="str">
        <x:v>NOT RUN</x:v>
      </x:c>
      <x:c r="P209" s="32" t="str"/>
      <x:c r="Q209" s="32" t="str"/>
      <x:c r="R209" s="32" t="str"/>
      <x:c r="S209" s="32" t="str"/>
      <x:c r="T209" s="82" t="str"/>
      <x:c r="U209" s="32" t="str"/>
      <x:c r="V209" s="84" t="n">
        <x:v>1</x:v>
      </x:c>
      <x:c r="W209" s="84" t="n">
        <x:f>IF(OR($O209="PASS",$O209="EXCEPTION APPROVED",$O209="NOT APPLICABLE"),$V209,0)</x:f>
        <x:v>0</x:v>
      </x:c>
      <x:c r="X209" s="84" t="n">
        <x:f>IF(AND($K209="Yes",OR($O209="FAIL",$O209="BLOCKED",$O209="NOT RUN",$O209="IN PROGRESS")),1,0)</x:f>
        <x:v>1</x:v>
      </x:c>
      <x:c r="Y209" s="32" t="str">
        <x:f>IF($O209="FAIL","FAIL",IF($O209="BLOCKED","BLOCKED",IF(AND($O209="EXCEPTION APPROVED",$K209="Yes"),"REVIEW",IF($O209="PASS","OK","PENDING"))))</x:f>
        <x:v>PENDING</x:v>
      </x:c>
    </x:row>
    <x:row r="210">
      <x:c r="A210" s="32" t="str">
        <x:v>REL-DOC-009</x:v>
      </x:c>
      <x:c r="B210" s="32" t="str">
        <x:v>Documentación, baseline y handoff</x:v>
      </x:c>
      <x:c r="C210" s="32" t="str">
        <x:v>Release readiness</x:v>
      </x:c>
      <x:c r="D210" s="32" t="str">
        <x:v>El registro de riesgos global y continuidad está aprobado.</x:v>
      </x:c>
      <x:c r="E210" s="32" t="str">
        <x:v>Revisar, ejecutar y registrar evidencia reproducible.</x:v>
      </x:c>
      <x:c r="F210" s="32" t="str">
        <x:v>Cumplimiento verificable antes del gate indicado.</x:v>
      </x:c>
      <x:c r="G210" s="32" t="str">
        <x:v>33_Project_Risk_Register_and_Business_Continuity_Plan.xlsx.</x:v>
      </x:c>
      <x:c r="H210" s="32" t="str">
        <x:v>12_Excel_Maestro_de_Produccion.xlsx; 13_Trazabilidad_y_Control_de_Cambios.xlsx; 14_Project_Binder_Indice_Maestro.md; 15_Guia_Maestra.md; 16_Auditoria_Global_de_Coherencia.md; 31_H6_and_Release_Readiness_Checklist.xlsx; 32_Documentation_Baseline_Manifest.xlsx; 33_Project_Risk_Register_and_Business_Continuity_Plan.xlsx; 34_Final_Handoff_and_Project_Operations_Manual.md</x:v>
      </x:c>
      <x:c r="I210" s="32" t="str">
        <x:v>Historical binders, guides, manifests, validation reports and handoffs v0.3–v0.6</x:v>
      </x:c>
      <x:c r="J210" s="32" t="str">
        <x:v>Release</x:v>
      </x:c>
      <x:c r="K210" s="32" t="str">
        <x:v>Yes</x:v>
      </x:c>
      <x:c r="L210" s="32" t="str">
        <x:v>P1</x:v>
      </x:c>
      <x:c r="M210" s="32" t="str">
        <x:v>Documentation/Production</x:v>
      </x:c>
      <x:c r="N210" s="32" t="str">
        <x:v>All Discipline Leads</x:v>
      </x:c>
      <x:c r="O210" s="32" t="str">
        <x:v>NOT RUN</x:v>
      </x:c>
      <x:c r="P210" s="32" t="str"/>
      <x:c r="Q210" s="32" t="str"/>
      <x:c r="R210" s="32" t="str"/>
      <x:c r="S210" s="32" t="str"/>
      <x:c r="T210" s="82" t="str"/>
      <x:c r="U210" s="32" t="str"/>
      <x:c r="V210" s="84" t="n">
        <x:v>1</x:v>
      </x:c>
      <x:c r="W210" s="84" t="n">
        <x:f>IF(OR($O210="PASS",$O210="EXCEPTION APPROVED",$O210="NOT APPLICABLE"),$V210,0)</x:f>
        <x:v>0</x:v>
      </x:c>
      <x:c r="X210" s="84" t="n">
        <x:f>IF(AND($K210="Yes",OR($O210="FAIL",$O210="BLOCKED",$O210="NOT RUN",$O210="IN PROGRESS")),1,0)</x:f>
        <x:v>1</x:v>
      </x:c>
      <x:c r="Y210" s="32" t="str">
        <x:f>IF($O210="FAIL","FAIL",IF($O210="BLOCKED","BLOCKED",IF(AND($O210="EXCEPTION APPROVED",$K210="Yes"),"REVIEW",IF($O210="PASS","OK","PENDING"))))</x:f>
        <x:v>PENDING</x:v>
      </x:c>
    </x:row>
    <x:row r="211">
      <x:c r="A211" s="32" t="str">
        <x:v>REL-DOC-010</x:v>
      </x:c>
      <x:c r="B211" s="32" t="str">
        <x:v>Documentación, baseline y handoff</x:v>
      </x:c>
      <x:c r="C211" s="32" t="str">
        <x:v>Release readiness</x:v>
      </x:c>
      <x:c r="D211" s="32" t="str">
        <x:v>La baseline final es inmutable, versionada y vinculada a commit/tag.</x:v>
      </x:c>
      <x:c r="E211" s="32" t="str">
        <x:v>Revisar, ejecutar y registrar evidencia reproducible.</x:v>
      </x:c>
      <x:c r="F211" s="32" t="str">
        <x:v>Cumplimiento verificable antes del gate indicado.</x:v>
      </x:c>
      <x:c r="G211" s="32" t="str">
        <x:v>Baseline freeze record.</x:v>
      </x:c>
      <x:c r="H211" s="32" t="str">
        <x:v>12_Excel_Maestro_de_Produccion.xlsx; 13_Trazabilidad_y_Control_de_Cambios.xlsx; 14_Project_Binder_Indice_Maestro.md; 15_Guia_Maestra.md; 16_Auditoria_Global_de_Coherencia.md; 31_H6_and_Release_Readiness_Checklist.xlsx; 32_Documentation_Baseline_Manifest.xlsx; 33_Project_Risk_Register_and_Business_Continuity_Plan.xlsx; 34_Final_Handoff_and_Project_Operations_Manual.md</x:v>
      </x:c>
      <x:c r="I211" s="32" t="str">
        <x:v>Historical binders, guides, manifests, validation reports and handoffs v0.3–v0.6</x:v>
      </x:c>
      <x:c r="J211" s="32" t="str">
        <x:v>Release</x:v>
      </x:c>
      <x:c r="K211" s="32" t="str">
        <x:v>Yes</x:v>
      </x:c>
      <x:c r="L211" s="32" t="str">
        <x:v>P1</x:v>
      </x:c>
      <x:c r="M211" s="32" t="str">
        <x:v>Documentation/Production</x:v>
      </x:c>
      <x:c r="N211" s="32" t="str">
        <x:v>All Discipline Leads</x:v>
      </x:c>
      <x:c r="O211" s="32" t="str">
        <x:v>NOT RUN</x:v>
      </x:c>
      <x:c r="P211" s="32" t="str"/>
      <x:c r="Q211" s="32" t="str"/>
      <x:c r="R211" s="32" t="str"/>
      <x:c r="S211" s="32" t="str"/>
      <x:c r="T211" s="82" t="str"/>
      <x:c r="U211" s="32" t="str"/>
      <x:c r="V211" s="84" t="n">
        <x:v>1</x:v>
      </x:c>
      <x:c r="W211" s="84" t="n">
        <x:f>IF(OR($O211="PASS",$O211="EXCEPTION APPROVED",$O211="NOT APPLICABLE"),$V211,0)</x:f>
        <x:v>0</x:v>
      </x:c>
      <x:c r="X211" s="84" t="n">
        <x:f>IF(AND($K211="Yes",OR($O211="FAIL",$O211="BLOCKED",$O211="NOT RUN",$O211="IN PROGRESS")),1,0)</x:f>
        <x:v>1</x:v>
      </x:c>
      <x:c r="Y211" s="32" t="str">
        <x:f>IF($O211="FAIL","FAIL",IF($O211="BLOCKED","BLOCKED",IF(AND($O211="EXCEPTION APPROVED",$K211="Yes"),"REVIEW",IF($O211="PASS","OK","PENDING"))))</x:f>
        <x:v>PENDING</x:v>
      </x:c>
    </x:row>
    <x:row r="212">
      <x:c r="A212" s="32" t="str">
        <x:v>REL-DOC-011</x:v>
      </x:c>
      <x:c r="B212" s="32" t="str">
        <x:v>Documentación, baseline y handoff</x:v>
      </x:c>
      <x:c r="C212" s="32" t="str">
        <x:v>Release readiness</x:v>
      </x:c>
      <x:c r="D212" s="32" t="str">
        <x:v>Existe informe de validación documental y auditoría global sin A1 abiertos.</x:v>
      </x:c>
      <x:c r="E212" s="32" t="str">
        <x:v>Revisar, ejecutar y registrar evidencia reproducible.</x:v>
      </x:c>
      <x:c r="F212" s="32" t="str">
        <x:v>Cumplimiento verificable antes del gate indicado.</x:v>
      </x:c>
      <x:c r="G212" s="32" t="str">
        <x:v>Final audit/validation report.</x:v>
      </x:c>
      <x:c r="H212" s="32" t="str">
        <x:v>12_Excel_Maestro_de_Produccion.xlsx; 13_Trazabilidad_y_Control_de_Cambios.xlsx; 14_Project_Binder_Indice_Maestro.md; 15_Guia_Maestra.md; 16_Auditoria_Global_de_Coherencia.md; 31_H6_and_Release_Readiness_Checklist.xlsx; 32_Documentation_Baseline_Manifest.xlsx; 33_Project_Risk_Register_and_Business_Continuity_Plan.xlsx; 34_Final_Handoff_and_Project_Operations_Manual.md</x:v>
      </x:c>
      <x:c r="I212" s="32" t="str">
        <x:v>Historical binders, guides, manifests, validation reports and handoffs v0.3–v0.6</x:v>
      </x:c>
      <x:c r="J212" s="32" t="str">
        <x:v>Release</x:v>
      </x:c>
      <x:c r="K212" s="32" t="str">
        <x:v>Yes</x:v>
      </x:c>
      <x:c r="L212" s="32" t="str">
        <x:v>P0</x:v>
      </x:c>
      <x:c r="M212" s="32" t="str">
        <x:v>Documentation/Production</x:v>
      </x:c>
      <x:c r="N212" s="32" t="str">
        <x:v>All Discipline Leads</x:v>
      </x:c>
      <x:c r="O212" s="32" t="str">
        <x:v>NOT RUN</x:v>
      </x:c>
      <x:c r="P212" s="32" t="str"/>
      <x:c r="Q212" s="32" t="str"/>
      <x:c r="R212" s="32" t="str"/>
      <x:c r="S212" s="32" t="str"/>
      <x:c r="T212" s="82" t="str"/>
      <x:c r="U212" s="32" t="str"/>
      <x:c r="V212" s="84" t="n">
        <x:v>1</x:v>
      </x:c>
      <x:c r="W212" s="84" t="n">
        <x:f>IF(OR($O212="PASS",$O212="EXCEPTION APPROVED",$O212="NOT APPLICABLE"),$V212,0)</x:f>
        <x:v>0</x:v>
      </x:c>
      <x:c r="X212" s="84" t="n">
        <x:f>IF(AND($K212="Yes",OR($O212="FAIL",$O212="BLOCKED",$O212="NOT RUN",$O212="IN PROGRESS")),1,0)</x:f>
        <x:v>1</x:v>
      </x:c>
      <x:c r="Y212" s="32" t="str">
        <x:f>IF($O212="FAIL","FAIL",IF($O212="BLOCKED","BLOCKED",IF(AND($O212="EXCEPTION APPROVED",$K212="Yes"),"REVIEW",IF($O212="PASS","OK","PENDING"))))</x:f>
        <x:v>PENDING</x:v>
      </x:c>
    </x:row>
    <x:row r="213">
      <x:c r="A213" s="32" t="str">
        <x:v>REL-DOC-012</x:v>
      </x:c>
      <x:c r="B213" s="32" t="str">
        <x:v>Documentación, baseline y handoff</x:v>
      </x:c>
      <x:c r="C213" s="32" t="str">
        <x:v>Release readiness</x:v>
      </x:c>
      <x:c r="D213" s="32" t="str">
        <x:v>El proyecto puede ser retomado por un colaborador sin contexto de chat.</x:v>
      </x:c>
      <x:c r="E213" s="32" t="str">
        <x:v>Revisar, ejecutar y registrar evidencia reproducible.</x:v>
      </x:c>
      <x:c r="F213" s="32" t="str">
        <x:v>Cumplimiento verificable antes del gate indicado.</x:v>
      </x:c>
      <x:c r="G213" s="32" t="str">
        <x:v>Independent handoff test.</x:v>
      </x:c>
      <x:c r="H213" s="32" t="str">
        <x:v>12_Excel_Maestro_de_Produccion.xlsx; 13_Trazabilidad_y_Control_de_Cambios.xlsx; 14_Project_Binder_Indice_Maestro.md; 15_Guia_Maestra.md; 16_Auditoria_Global_de_Coherencia.md; 31_H6_and_Release_Readiness_Checklist.xlsx; 32_Documentation_Baseline_Manifest.xlsx; 33_Project_Risk_Register_and_Business_Continuity_Plan.xlsx; 34_Final_Handoff_and_Project_Operations_Manual.md</x:v>
      </x:c>
      <x:c r="I213" s="32" t="str">
        <x:v>Historical binders, guides, manifests, validation reports and handoffs v0.3–v0.6</x:v>
      </x:c>
      <x:c r="J213" s="32" t="str">
        <x:v>Release</x:v>
      </x:c>
      <x:c r="K213" s="32" t="str">
        <x:v>Yes</x:v>
      </x:c>
      <x:c r="L213" s="32" t="str">
        <x:v>P1</x:v>
      </x:c>
      <x:c r="M213" s="32" t="str">
        <x:v>Documentation/Production</x:v>
      </x:c>
      <x:c r="N213" s="32" t="str">
        <x:v>All Discipline Leads</x:v>
      </x:c>
      <x:c r="O213" s="32" t="str">
        <x:v>NOT RUN</x:v>
      </x:c>
      <x:c r="P213" s="32" t="str"/>
      <x:c r="Q213" s="32" t="str"/>
      <x:c r="R213" s="32" t="str"/>
      <x:c r="S213" s="32" t="str"/>
      <x:c r="T213" s="82" t="str"/>
      <x:c r="U213" s="32" t="str"/>
      <x:c r="V213" s="84" t="n">
        <x:v>1</x:v>
      </x:c>
      <x:c r="W213" s="84" t="n">
        <x:f>IF(OR($O213="PASS",$O213="EXCEPTION APPROVED",$O213="NOT APPLICABLE"),$V213,0)</x:f>
        <x:v>0</x:v>
      </x:c>
      <x:c r="X213" s="84" t="n">
        <x:f>IF(AND($K213="Yes",OR($O213="FAIL",$O213="BLOCKED",$O213="NOT RUN",$O213="IN PROGRESS")),1,0)</x:f>
        <x:v>1</x:v>
      </x:c>
      <x:c r="Y213" s="32" t="str">
        <x:f>IF($O213="FAIL","FAIL",IF($O213="BLOCKED","BLOCKED",IF(AND($O213="EXCEPTION APPROVED",$K213="Yes"),"REVIEW",IF($O213="PASS","OK","PENDING"))))</x:f>
        <x:v>PENDING</x:v>
      </x:c>
    </x:row>
    <x:row r="214">
      <x:c r="A214" s="96" t="str">
        <x:v>REL-DOC-013</x:v>
      </x:c>
      <x:c r="B214" s="96" t="str">
        <x:v>Documentación, baseline y handoff</x:v>
      </x:c>
      <x:c r="C214" s="96" t="str">
        <x:v>Release readiness</x:v>
      </x:c>
      <x:c r="D214" s="96" t="str">
        <x:v>32 está regenerado como manifiesto candidato antes de la auditoría y como manifiesto definitivo después de las correcciones.</x:v>
      </x:c>
      <x:c r="E214" s="96" t="str">
        <x:v>Revisar control de cambios y fechas de exportación.</x:v>
      </x:c>
      <x:c r="F214" s="96" t="str">
        <x:v>Las dos etapas están diferenciadas y trazadas.</x:v>
      </x:c>
      <x:c r="G214" s="96" t="str">
        <x:v>EVD-DOC-002</x:v>
      </x:c>
      <x:c r="H214" s="96" t="str">
        <x:v>12_Excel_Maestro_de_Produccion.xlsx; 13_Trazabilidad_y_Control_de_Cambios.xlsx; 14_Project_Binder_Indice_Maestro.md; 15_Guia_Maestra.md; 16_Auditoria_Global_de_Coherencia.md; 31_H6_and_Release_Readiness_Checklist.xlsx; 32_Documentation_Baseline_Manifest.xlsx; 33_Project_Risk_Register_and_Business_Continuity_Plan.xlsx; 34_Final_Handoff_and_Project_Operations_Manual.md</x:v>
      </x:c>
      <x:c r="I214" s="96" t="str">
        <x:v>Historical manifests and validation reports</x:v>
      </x:c>
      <x:c r="J214" s="96" t="str">
        <x:v>Release / Baseline</x:v>
      </x:c>
      <x:c r="K214" s="96" t="str">
        <x:v>Yes</x:v>
      </x:c>
      <x:c r="L214" s="96" t="str">
        <x:v>P0</x:v>
      </x:c>
      <x:c r="M214" s="96" t="str">
        <x:v>Documentation/Production</x:v>
      </x:c>
      <x:c r="N214" s="96" t="str">
        <x:v>All Discipline Leads</x:v>
      </x:c>
      <x:c r="O214" s="96" t="str">
        <x:v>NOT RUN</x:v>
      </x:c>
      <x:c r="P214" s="96" t="str">
        <x:v>EVD-DOC-002</x:v>
      </x:c>
      <x:c r="Q214" s="96"/>
      <x:c r="R214" s="96" t="str">
        <x:v>33/34 revisados y 16 candidata/final</x:v>
      </x:c>
      <x:c r="S214" s="96" t="str">
        <x:v>PKG-DOC-FINAL</x:v>
      </x:c>
      <x:c r="T214" s="96"/>
      <x:c r="U214" s="96"/>
      <x:c r="V214" s="96" t="n">
        <x:v>1</x:v>
      </x:c>
      <x:c r="W214" s="96" t="n">
        <x:f>IF(OR($O214="PASS",$O214="EXCEPTION APPROVED",$O214="NOT APPLICABLE"),$V214,0)</x:f>
        <x:v>0</x:v>
      </x:c>
      <x:c r="X214" s="96" t="n">
        <x:f>IF(AND($K214="Yes",OR($O214="FAIL",$O214="BLOCKED",$O214="NOT RUN",$O214="IN PROGRESS")),1,0)</x:f>
        <x:v>1</x:v>
      </x:c>
      <x:c r="Y214" s="96" t="str">
        <x:f>IF($O214="FAIL","FAIL",IF($O214="BLOCKED","BLOCKED",IF(AND($O214="EXCEPTION APPROVED",$K214="Yes"),"REVIEW",IF($O214="PASS","OK","PENDING"))))</x:f>
        <x:v>PENDING</x:v>
      </x:c>
    </x:row>
    <x:row r="215">
      <x:c r="A215" s="96" t="str">
        <x:v>REL-DOC-014</x:v>
      </x:c>
      <x:c r="B215" s="96" t="str">
        <x:v>Documentación, baseline y handoff</x:v>
      </x:c>
      <x:c r="C215" s="96" t="str">
        <x:v>Release readiness</x:v>
      </x:c>
      <x:c r="D215" s="96" t="str">
        <x:v>33 está actualizado con 00–34, riesgos de auditoría, dependencias del paquete, checksums, backups y restauración.</x:v>
      </x:c>
      <x:c r="E215" s="96" t="str">
        <x:v>Comparar 33 con 31/10_Riesgos_Dependencias y auditoría 16.</x:v>
      </x:c>
      <x:c r="F215" s="96" t="str">
        <x:v>Riesgos críticos con propietario, tratamiento y estado verificable.</x:v>
      </x:c>
      <x:c r="G215" s="96" t="str">
        <x:v>EVD-DOC-003</x:v>
      </x:c>
      <x:c r="H215" s="96" t="str">
        <x:v>12_Excel_Maestro_de_Produccion.xlsx; 13_Trazabilidad_y_Control_de_Cambios.xlsx; 14_Project_Binder_Indice_Maestro.md; 15_Guia_Maestra.md; 16_Auditoria_Global_de_Coherencia.md; 31_H6_and_Release_Readiness_Checklist.xlsx; 32_Documentation_Baseline_Manifest.xlsx; 33_Project_Risk_Register_and_Business_Continuity_Plan.xlsx; 34_Final_Handoff_and_Project_Operations_Manual.md</x:v>
      </x:c>
      <x:c r="I215" s="96" t="str">
        <x:v>Historical risk and continuity registers</x:v>
      </x:c>
      <x:c r="J215" s="96" t="str">
        <x:v>Release / Baseline</x:v>
      </x:c>
      <x:c r="K215" s="96" t="str">
        <x:v>Yes</x:v>
      </x:c>
      <x:c r="L215" s="96" t="str">
        <x:v>P0</x:v>
      </x:c>
      <x:c r="M215" s="96" t="str">
        <x:v>Risk/Production</x:v>
      </x:c>
      <x:c r="N215" s="96" t="str">
        <x:v>Security/QA</x:v>
      </x:c>
      <x:c r="O215" s="96" t="str">
        <x:v>NOT RUN</x:v>
      </x:c>
      <x:c r="P215" s="96" t="str">
        <x:v>EVD-DOC-003</x:v>
      </x:c>
      <x:c r="Q215" s="96"/>
      <x:c r="R215" s="96" t="str">
        <x:v>33 dirigido completado</x:v>
      </x:c>
      <x:c r="S215" s="96"/>
      <x:c r="T215" s="96"/>
      <x:c r="U215" s="96"/>
      <x:c r="V215" s="96" t="n">
        <x:v>1</x:v>
      </x:c>
      <x:c r="W215" s="96" t="n">
        <x:f>IF(OR($O215="PASS",$O215="EXCEPTION APPROVED",$O215="NOT APPLICABLE"),$V215,0)</x:f>
        <x:v>0</x:v>
      </x:c>
      <x:c r="X215" s="96" t="n">
        <x:f>IF(AND($K215="Yes",OR($O215="FAIL",$O215="BLOCKED",$O215="NOT RUN",$O215="IN PROGRESS")),1,0)</x:f>
        <x:v>1</x:v>
      </x:c>
      <x:c r="Y215" s="96" t="str">
        <x:f>IF($O215="FAIL","FAIL",IF($O215="BLOCKED","BLOCKED",IF(AND($O215="EXCEPTION APPROVED",$K215="Yes"),"REVIEW",IF($O215="PASS","OK","PENDING"))))</x:f>
        <x:v>PENDING</x:v>
      </x:c>
    </x:row>
    <x:row r="216">
      <x:c r="A216" s="96" t="str">
        <x:v>REL-DOC-015</x:v>
      </x:c>
      <x:c r="B216" s="96" t="str">
        <x:v>Documentación, baseline y handoff</x:v>
      </x:c>
      <x:c r="C216" s="96" t="str">
        <x:v>Release readiness</x:v>
      </x:c>
      <x:c r="D216" s="96" t="str">
        <x:v>34 apunta a versiones definitivas, paquete, verificación de hashes, restauración, commit y tag.</x:v>
      </x:c>
      <x:c r="E216" s="96" t="str">
        <x:v>Ejecutar walkthrough completo del manual.</x:v>
      </x:c>
      <x:c r="F216" s="96" t="str">
        <x:v>Procedimientos reproducibles y sin rutas provisionales.</x:v>
      </x:c>
      <x:c r="G216" s="96" t="str">
        <x:v>EVD-DOC-004</x:v>
      </x:c>
      <x:c r="H216" s="96" t="str">
        <x:v>12_Excel_Maestro_de_Produccion.xlsx; 13_Trazabilidad_y_Control_de_Cambios.xlsx; 14_Project_Binder_Indice_Maestro.md; 15_Guia_Maestra.md; 16_Auditoria_Global_de_Coherencia.md; 31_H6_and_Release_Readiness_Checklist.xlsx; 32_Documentation_Baseline_Manifest.xlsx; 33_Project_Risk_Register_and_Business_Continuity_Plan.xlsx; 34_Final_Handoff_and_Project_Operations_Manual.md</x:v>
      </x:c>
      <x:c r="I216" s="96" t="str">
        <x:v>Historical handoffs and operations manuals</x:v>
      </x:c>
      <x:c r="J216" s="96" t="str">
        <x:v>Release / Baseline</x:v>
      </x:c>
      <x:c r="K216" s="96" t="str">
        <x:v>Yes</x:v>
      </x:c>
      <x:c r="L216" s="96" t="str">
        <x:v>P0</x:v>
      </x:c>
      <x:c r="M216" s="96" t="str">
        <x:v>Documentation/Production</x:v>
      </x:c>
      <x:c r="N216" s="96" t="str">
        <x:v>Independent Reviewer</x:v>
      </x:c>
      <x:c r="O216" s="96" t="str">
        <x:v>NOT RUN</x:v>
      </x:c>
      <x:c r="P216" s="96" t="str">
        <x:v>EVD-DOC-004</x:v>
      </x:c>
      <x:c r="Q216" s="96"/>
      <x:c r="R216" s="96" t="str">
        <x:v>34 pasada final completada</x:v>
      </x:c>
      <x:c r="S216" s="96" t="str">
        <x:v>PKG-DOC-FINAL</x:v>
      </x:c>
      <x:c r="T216" s="96"/>
      <x:c r="U216" s="96"/>
      <x:c r="V216" s="96" t="n">
        <x:v>1</x:v>
      </x:c>
      <x:c r="W216" s="96" t="n">
        <x:f>IF(OR($O216="PASS",$O216="EXCEPTION APPROVED",$O216="NOT APPLICABLE"),$V216,0)</x:f>
        <x:v>0</x:v>
      </x:c>
      <x:c r="X216" s="96" t="n">
        <x:f>IF(AND($K216="Yes",OR($O216="FAIL",$O216="BLOCKED",$O216="NOT RUN",$O216="IN PROGRESS")),1,0)</x:f>
        <x:v>1</x:v>
      </x:c>
      <x:c r="Y216" s="96" t="str">
        <x:f>IF($O216="FAIL","FAIL",IF($O216="BLOCKED","BLOCKED",IF(AND($O216="EXCEPTION APPROVED",$K216="Yes"),"REVIEW",IF($O216="PASS","OK","PENDING"))))</x:f>
        <x:v>PENDING</x:v>
      </x:c>
    </x:row>
    <x:row r="217">
      <x:c r="A217" s="96" t="str">
        <x:v>REL-DOC-016</x:v>
      </x:c>
      <x:c r="B217" s="96" t="str">
        <x:v>Documentación, baseline y handoff</x:v>
      </x:c>
      <x:c r="C217" s="96" t="str">
        <x:v>Release readiness</x:v>
      </x:c>
      <x:c r="D217" s="96" t="str">
        <x:v>La auditoría final 16 no contiene BLOCKER/HIGH abiertos ni excepciones sin dueño, fecha y aprobación.</x:v>
      </x:c>
      <x:c r="E217" s="96" t="str">
        <x:v>Revisar clasificación, resoluciones y reejecución.</x:v>
      </x:c>
      <x:c r="F217" s="96" t="str">
        <x:v>Resultado PASS o PASS WITH EXCEPTIONS formalmente aprobado.</x:v>
      </x:c>
      <x:c r="G217" s="96" t="str">
        <x:v>EVD-DOC-005</x:v>
      </x:c>
      <x:c r="H217" s="96" t="str">
        <x:v>12_Excel_Maestro_de_Produccion.xlsx; 13_Trazabilidad_y_Control_de_Cambios.xlsx; 14_Project_Binder_Indice_Maestro.md; 15_Guia_Maestra.md; 16_Auditoria_Global_de_Coherencia.md; 31_H6_and_Release_Readiness_Checklist.xlsx; 32_Documentation_Baseline_Manifest.xlsx; 33_Project_Risk_Register_and_Business_Continuity_Plan.xlsx; 34_Final_Handoff_and_Project_Operations_Manual.md</x:v>
      </x:c>
      <x:c r="I217" s="96" t="str">
        <x:v>Historical validation reports</x:v>
      </x:c>
      <x:c r="J217" s="96" t="str">
        <x:v>Release / Baseline</x:v>
      </x:c>
      <x:c r="K217" s="96" t="str">
        <x:v>Yes</x:v>
      </x:c>
      <x:c r="L217" s="96" t="str">
        <x:v>P0</x:v>
      </x:c>
      <x:c r="M217" s="96" t="str">
        <x:v>Documentation/QA</x:v>
      </x:c>
      <x:c r="N217" s="96" t="str">
        <x:v>Project Owner</x:v>
      </x:c>
      <x:c r="O217" s="96" t="str">
        <x:v>NOT RUN</x:v>
      </x:c>
      <x:c r="P217" s="96" t="str">
        <x:v>EVD-DOC-005</x:v>
      </x:c>
      <x:c r="Q217" s="96"/>
      <x:c r="R217" s="96" t="str">
        <x:v>16 final emitida</x:v>
      </x:c>
      <x:c r="S217" s="96" t="str">
        <x:v>PKG-DOC-FINAL</x:v>
      </x:c>
      <x:c r="T217" s="96"/>
      <x:c r="U217" s="96"/>
      <x:c r="V217" s="96" t="n">
        <x:v>1</x:v>
      </x:c>
      <x:c r="W217" s="96" t="n">
        <x:f>IF(OR($O217="PASS",$O217="EXCEPTION APPROVED",$O217="NOT APPLICABLE"),$V217,0)</x:f>
        <x:v>0</x:v>
      </x:c>
      <x:c r="X217" s="96" t="n">
        <x:f>IF(AND($K217="Yes",OR($O217="FAIL",$O217="BLOCKED",$O217="NOT RUN",$O217="IN PROGRESS")),1,0)</x:f>
        <x:v>1</x:v>
      </x:c>
      <x:c r="Y217" s="96" t="str">
        <x:f>IF($O217="FAIL","FAIL",IF($O217="BLOCKED","BLOCKED",IF(AND($O217="EXCEPTION APPROVED",$K217="Yes"),"REVIEW",IF($O217="PASS","OK","PENDING"))))</x:f>
        <x:v>PENDING</x:v>
      </x:c>
    </x:row>
    <x:row r="218">
      <x:c r="A218" s="96" t="str">
        <x:v>REL-DOC-017</x:v>
      </x:c>
      <x:c r="B218" s="96" t="str">
        <x:v>Documentación, baseline y handoff</x:v>
      </x:c>
      <x:c r="C218" s="96" t="str">
        <x:v>Release readiness</x:v>
      </x:c>
      <x:c r="D218" s="96" t="str">
        <x:v>Las correcciones de auditoría están registradas en 13 y propagadas a 31, 33, 34 y documentos fuente afectados.</x:v>
      </x:c>
      <x:c r="E218" s="96" t="str">
        <x:v>Muestrear Change IDs y referencias cruzadas.</x:v>
      </x:c>
      <x:c r="F218" s="96" t="str">
        <x:v>Ningún hallazgo queda resuelto solo en texto sin cambio trazable.</x:v>
      </x:c>
      <x:c r="G218" s="96" t="str">
        <x:v>EVD-DOC-001</x:v>
      </x:c>
      <x:c r="H218" s="96" t="str">
        <x:v>12_Excel_Maestro_de_Produccion.xlsx; 13_Trazabilidad_y_Control_de_Cambios.xlsx; 14_Project_Binder_Indice_Maestro.md; 15_Guia_Maestra.md; 16_Auditoria_Global_de_Coherencia.md; 31_H6_and_Release_Readiness_Checklist.xlsx; 32_Documentation_Baseline_Manifest.xlsx; 33_Project_Risk_Register_and_Business_Continuity_Plan.xlsx; 34_Final_Handoff_and_Project_Operations_Manual.md</x:v>
      </x:c>
      <x:c r="I218" s="96" t="str">
        <x:v>Historical change-control ledgers</x:v>
      </x:c>
      <x:c r="J218" s="96" t="str">
        <x:v>Release / Baseline</x:v>
      </x:c>
      <x:c r="K218" s="96" t="str">
        <x:v>Yes</x:v>
      </x:c>
      <x:c r="L218" s="96" t="str">
        <x:v>P1</x:v>
      </x:c>
      <x:c r="M218" s="96" t="str">
        <x:v>Documentation/Production</x:v>
      </x:c>
      <x:c r="N218" s="96" t="str">
        <x:v>QA/Production</x:v>
      </x:c>
      <x:c r="O218" s="96" t="str">
        <x:v>NOT RUN</x:v>
      </x:c>
      <x:c r="P218" s="96" t="str">
        <x:v>EVD-DOC-001</x:v>
      </x:c>
      <x:c r="Q218" s="96"/>
      <x:c r="R218" s="96" t="str">
        <x:v>Hallazgos de 16 tratados</x:v>
      </x:c>
      <x:c r="S218" s="96" t="str">
        <x:v>PKG-DOC-FINAL</x:v>
      </x:c>
      <x:c r="T218" s="96"/>
      <x:c r="U218" s="96"/>
      <x:c r="V218" s="96" t="n">
        <x:v>1</x:v>
      </x:c>
      <x:c r="W218" s="96" t="n">
        <x:f>IF(OR($O218="PASS",$O218="EXCEPTION APPROVED",$O218="NOT APPLICABLE"),$V218,0)</x:f>
        <x:v>0</x:v>
      </x:c>
      <x:c r="X218" s="96" t="n">
        <x:f>IF(AND($K218="Yes",OR($O218="FAIL",$O218="BLOCKED",$O218="NOT RUN",$O218="IN PROGRESS")),1,0)</x:f>
        <x:v>1</x:v>
      </x:c>
      <x:c r="Y218" s="96" t="str">
        <x:f>IF($O218="FAIL","FAIL",IF($O218="BLOCKED","BLOCKED",IF(AND($O218="EXCEPTION APPROVED",$K218="Yes"),"REVIEW",IF($O218="PASS","OK","PENDING"))))</x:f>
        <x:v>PENDING</x:v>
      </x:c>
    </x:row>
    <x:row r="219">
      <x:c r="A219" s="96" t="str">
        <x:v>REL-DOC-018</x:v>
      </x:c>
      <x:c r="B219" s="96" t="str">
        <x:v>Documentación, baseline y handoff</x:v>
      </x:c>
      <x:c r="C219" s="96" t="str">
        <x:v>Release readiness</x:v>
      </x:c>
      <x:c r="D219" s="96" t="str">
        <x:v>PACKAGE_MANIFEST y CHECKSUMS_SHA256 contienen todos los archivos aprobados, históricos incluidos y artefactos externos.</x:v>
      </x:c>
      <x:c r="E219" s="96" t="str">
        <x:v>Comparar manifest con carpeta limpia y lista blanca.</x:v>
      </x:c>
      <x:c r="F219" s="96" t="str">
        <x:v>Cobertura completa; cero rutas inesperadas.</x:v>
      </x:c>
      <x:c r="G219" s="96" t="str">
        <x:v>EVD-DOC-006</x:v>
      </x:c>
      <x:c r="H219" s="96" t="str">
        <x:v>12_Excel_Maestro_de_Produccion.xlsx; 13_Trazabilidad_y_Control_de_Cambios.xlsx; 14_Project_Binder_Indice_Maestro.md; 15_Guia_Maestra.md; 16_Auditoria_Global_de_Coherencia.md; 31_H6_and_Release_Readiness_Checklist.xlsx; 32_Documentation_Baseline_Manifest.xlsx; 33_Project_Risk_Register_and_Business_Continuity_Plan.xlsx; 34_Final_Handoff_and_Project_Operations_Manual.md</x:v>
      </x:c>
      <x:c r="I219" s="96" t="str">
        <x:v>Historical manifests/checksums</x:v>
      </x:c>
      <x:c r="J219" s="96" t="str">
        <x:v>Release / Baseline</x:v>
      </x:c>
      <x:c r="K219" s="96" t="str">
        <x:v>Yes</x:v>
      </x:c>
      <x:c r="L219" s="96" t="str">
        <x:v>P0</x:v>
      </x:c>
      <x:c r="M219" s="96" t="str">
        <x:v>Documentation/Build</x:v>
      </x:c>
      <x:c r="N219" s="96" t="str">
        <x:v>QA/Security</x:v>
      </x:c>
      <x:c r="O219" s="96" t="str">
        <x:v>NOT RUN</x:v>
      </x:c>
      <x:c r="P219" s="96" t="str">
        <x:v>EVD-DOC-006</x:v>
      </x:c>
      <x:c r="Q219" s="96"/>
      <x:c r="R219" s="96" t="str">
        <x:v>32 final disponible</x:v>
      </x:c>
      <x:c r="S219" s="96" t="str">
        <x:v>PKG-DOC-FINAL</x:v>
      </x:c>
      <x:c r="T219" s="96"/>
      <x:c r="U219" s="96"/>
      <x:c r="V219" s="96" t="n">
        <x:v>1</x:v>
      </x:c>
      <x:c r="W219" s="96" t="n">
        <x:f>IF(OR($O219="PASS",$O219="EXCEPTION APPROVED",$O219="NOT APPLICABLE"),$V219,0)</x:f>
        <x:v>0</x:v>
      </x:c>
      <x:c r="X219" s="96" t="n">
        <x:f>IF(AND($K219="Yes",OR($O219="FAIL",$O219="BLOCKED",$O219="NOT RUN",$O219="IN PROGRESS")),1,0)</x:f>
        <x:v>1</x:v>
      </x:c>
      <x:c r="Y219" s="96" t="str">
        <x:f>IF($O219="FAIL","FAIL",IF($O219="BLOCKED","BLOCKED",IF(AND($O219="EXCEPTION APPROVED",$K219="Yes"),"REVIEW",IF($O219="PASS","OK","PENDING"))))</x:f>
        <x:v>PENDING</x:v>
      </x:c>
    </x:row>
    <x:row r="220">
      <x:c r="A220" s="96" t="str">
        <x:v>REL-DOC-019</x:v>
      </x:c>
      <x:c r="B220" s="96" t="str">
        <x:v>Documentación, baseline y handoff</x:v>
      </x:c>
      <x:c r="C220" s="96" t="str">
        <x:v>Release readiness</x:v>
      </x:c>
      <x:c r="D220" s="96" t="str">
        <x:v>DOCUMENTATION_VALIDATION_REPORT valida presencia, hashes, duplicados, fórmulas Excel, Markdown y referencias.</x:v>
      </x:c>
      <x:c r="E220" s="96" t="str">
        <x:v>Ejecutar validadores y revisar excepciones.</x:v>
      </x:c>
      <x:c r="F220" s="96" t="str">
        <x:v>Resultado global PASS o excepción formal aceptada.</x:v>
      </x:c>
      <x:c r="G220" s="96" t="str">
        <x:v>EVD-DOC-006</x:v>
      </x:c>
      <x:c r="H220" s="96" t="str">
        <x:v>12_Excel_Maestro_de_Produccion.xlsx; 13_Trazabilidad_y_Control_de_Cambios.xlsx; 14_Project_Binder_Indice_Maestro.md; 15_Guia_Maestra.md; 16_Auditoria_Global_de_Coherencia.md; 31_H6_and_Release_Readiness_Checklist.xlsx; 32_Documentation_Baseline_Manifest.xlsx; 33_Project_Risk_Register_and_Business_Continuity_Plan.xlsx; 34_Final_Handoff_and_Project_Operations_Manual.md</x:v>
      </x:c>
      <x:c r="I220" s="96" t="str">
        <x:v>Historical validation reports</x:v>
      </x:c>
      <x:c r="J220" s="96" t="str">
        <x:v>Release / Baseline</x:v>
      </x:c>
      <x:c r="K220" s="96" t="str">
        <x:v>Yes</x:v>
      </x:c>
      <x:c r="L220" s="96" t="str">
        <x:v>P0</x:v>
      </x:c>
      <x:c r="M220" s="96" t="str">
        <x:v>Documentation/QA</x:v>
      </x:c>
      <x:c r="N220" s="96" t="str">
        <x:v>Project Owner</x:v>
      </x:c>
      <x:c r="O220" s="96" t="str">
        <x:v>NOT RUN</x:v>
      </x:c>
      <x:c r="P220" s="96" t="str">
        <x:v>EVD-DOC-006</x:v>
      </x:c>
      <x:c r="Q220" s="96"/>
      <x:c r="R220" s="96" t="str">
        <x:v>Paquete final preparado</x:v>
      </x:c>
      <x:c r="S220" s="96" t="str">
        <x:v>PKG-DOC-FINAL</x:v>
      </x:c>
      <x:c r="T220" s="96"/>
      <x:c r="U220" s="96"/>
      <x:c r="V220" s="96" t="n">
        <x:v>1</x:v>
      </x:c>
      <x:c r="W220" s="96" t="n">
        <x:f>IF(OR($O220="PASS",$O220="EXCEPTION APPROVED",$O220="NOT APPLICABLE"),$V220,0)</x:f>
        <x:v>0</x:v>
      </x:c>
      <x:c r="X220" s="96" t="n">
        <x:f>IF(AND($K220="Yes",OR($O220="FAIL",$O220="BLOCKED",$O220="NOT RUN",$O220="IN PROGRESS")),1,0)</x:f>
        <x:v>1</x:v>
      </x:c>
      <x:c r="Y220" s="96" t="str">
        <x:f>IF($O220="FAIL","FAIL",IF($O220="BLOCKED","BLOCKED",IF(AND($O220="EXCEPTION APPROVED",$K220="Yes"),"REVIEW",IF($O220="PASS","OK","PENDING"))))</x:f>
        <x:v>PENDING</x:v>
      </x:c>
    </x:row>
    <x:row r="221">
      <x:c r="A221" s="96" t="str">
        <x:v>REL-DOC-020</x:v>
      </x:c>
      <x:c r="B221" s="96" t="str">
        <x:v>Documentación, baseline y handoff</x:v>
      </x:c>
      <x:c r="C221" s="96" t="str">
        <x:v>Release readiness</x:v>
      </x:c>
      <x:c r="D221" s="96" t="str">
        <x:v>El ZIP final se extrae en otra ubicación y todos los hashes, Excel y Markdown se verifican de nuevo.</x:v>
      </x:c>
      <x:c r="E221" s="96" t="str">
        <x:v>Ejecutar restauración limpia y registrar resultado.</x:v>
      </x:c>
      <x:c r="F221" s="96" t="str">
        <x:v>Prueba de restauración PASS.</x:v>
      </x:c>
      <x:c r="G221" s="96" t="str">
        <x:v>EVD-DOC-007</x:v>
      </x:c>
      <x:c r="H221" s="96" t="str">
        <x:v>12_Excel_Maestro_de_Produccion.xlsx; 13_Trazabilidad_y_Control_de_Cambios.xlsx; 14_Project_Binder_Indice_Maestro.md; 15_Guia_Maestra.md; 16_Auditoria_Global_de_Coherencia.md; 31_H6_and_Release_Readiness_Checklist.xlsx; 32_Documentation_Baseline_Manifest.xlsx; 33_Project_Risk_Register_and_Business_Continuity_Plan.xlsx; 34_Final_Handoff_and_Project_Operations_Manual.md</x:v>
      </x:c>
      <x:c r="I221" s="96" t="str">
        <x:v>Historical restore procedures</x:v>
      </x:c>
      <x:c r="J221" s="96" t="str">
        <x:v>Release / Baseline</x:v>
      </x:c>
      <x:c r="K221" s="96" t="str">
        <x:v>Yes</x:v>
      </x:c>
      <x:c r="L221" s="96" t="str">
        <x:v>P0</x:v>
      </x:c>
      <x:c r="M221" s="96" t="str">
        <x:v>Documentation/Production</x:v>
      </x:c>
      <x:c r="N221" s="96" t="str">
        <x:v>Independent Reviewer</x:v>
      </x:c>
      <x:c r="O221" s="96" t="str">
        <x:v>NOT RUN</x:v>
      </x:c>
      <x:c r="P221" s="96" t="str">
        <x:v>EVD-DOC-007</x:v>
      </x:c>
      <x:c r="Q221" s="96"/>
      <x:c r="R221" s="96" t="str">
        <x:v>PKG-DOC-FINAL generado</x:v>
      </x:c>
      <x:c r="S221" s="96" t="str">
        <x:v>PKG-DOC-FINAL</x:v>
      </x:c>
      <x:c r="T221" s="96"/>
      <x:c r="U221" s="96"/>
      <x:c r="V221" s="96" t="n">
        <x:v>1</x:v>
      </x:c>
      <x:c r="W221" s="96" t="n">
        <x:f>IF(OR($O221="PASS",$O221="EXCEPTION APPROVED",$O221="NOT APPLICABLE"),$V221,0)</x:f>
        <x:v>0</x:v>
      </x:c>
      <x:c r="X221" s="96" t="n">
        <x:f>IF(AND($K221="Yes",OR($O221="FAIL",$O221="BLOCKED",$O221="NOT RUN",$O221="IN PROGRESS")),1,0)</x:f>
        <x:v>1</x:v>
      </x:c>
      <x:c r="Y221" s="96" t="str">
        <x:f>IF($O221="FAIL","FAIL",IF($O221="BLOCKED","BLOCKED",IF(AND($O221="EXCEPTION APPROVED",$K221="Yes"),"REVIEW",IF($O221="PASS","OK","PENDING"))))</x:f>
        <x:v>PENDING</x:v>
      </x:c>
    </x:row>
    <x:row r="222">
      <x:c r="A222" s="96" t="str">
        <x:v>REL-DOC-021</x:v>
      </x:c>
      <x:c r="B222" s="96" t="str">
        <x:v>Documentación, baseline y handoff</x:v>
      </x:c>
      <x:c r="C222" s="96" t="str">
        <x:v>Release readiness</x:v>
      </x:c>
      <x:c r="D222" s="96" t="str">
        <x:v>La baseline documental está vinculada al commit y tag correctos sin mezclar cambios de código ajenos.</x:v>
      </x:c>
      <x:c r="E222" s="96" t="str">
        <x:v>Comparar SHA/tag, working tree y changelog.</x:v>
      </x:c>
      <x:c r="F222" s="96" t="str">
        <x:v>Identidad Git exacta y reproducible.</x:v>
      </x:c>
      <x:c r="G222" s="96" t="str">
        <x:v>EVD-DOC-008</x:v>
      </x:c>
      <x:c r="H222" s="96" t="str">
        <x:v>12_Excel_Maestro_de_Produccion.xlsx; 13_Trazabilidad_y_Control_de_Cambios.xlsx; 14_Project_Binder_Indice_Maestro.md; 15_Guia_Maestra.md; 16_Auditoria_Global_de_Coherencia.md; 31_H6_and_Release_Readiness_Checklist.xlsx; 32_Documentation_Baseline_Manifest.xlsx; 33_Project_Risk_Register_and_Business_Continuity_Plan.xlsx; 34_Final_Handoff_and_Project_Operations_Manual.md</x:v>
      </x:c>
      <x:c r="I222" s="96" t="str">
        <x:v>Historical baseline commits/tags</x:v>
      </x:c>
      <x:c r="J222" s="96" t="str">
        <x:v>Release / Baseline</x:v>
      </x:c>
      <x:c r="K222" s="96" t="str">
        <x:v>Yes</x:v>
      </x:c>
      <x:c r="L222" s="96" t="str">
        <x:v>P0</x:v>
      </x:c>
      <x:c r="M222" s="96" t="str">
        <x:v>Documentation/Build</x:v>
      </x:c>
      <x:c r="N222" s="96" t="str">
        <x:v>QA/Production</x:v>
      </x:c>
      <x:c r="O222" s="96" t="str">
        <x:v>NOT RUN</x:v>
      </x:c>
      <x:c r="P222" s="96" t="str">
        <x:v>EVD-DOC-008</x:v>
      </x:c>
      <x:c r="Q222" s="96"/>
      <x:c r="R222" s="96" t="str">
        <x:v>Commit y tag creados</x:v>
      </x:c>
      <x:c r="S222" s="96" t="str">
        <x:v>PKG-DOC-FINAL</x:v>
      </x:c>
      <x:c r="T222" s="96"/>
      <x:c r="U222" s="96"/>
      <x:c r="V222" s="96" t="n">
        <x:v>1</x:v>
      </x:c>
      <x:c r="W222" s="96" t="n">
        <x:f>IF(OR($O222="PASS",$O222="EXCEPTION APPROVED",$O222="NOT APPLICABLE"),$V222,0)</x:f>
        <x:v>0</x:v>
      </x:c>
      <x:c r="X222" s="96" t="n">
        <x:f>IF(AND($K222="Yes",OR($O222="FAIL",$O222="BLOCKED",$O222="NOT RUN",$O222="IN PROGRESS")),1,0)</x:f>
        <x:v>1</x:v>
      </x:c>
      <x:c r="Y222" s="96" t="str">
        <x:f>IF($O222="FAIL","FAIL",IF($O222="BLOCKED","BLOCKED",IF(AND($O222="EXCEPTION APPROVED",$K222="Yes"),"REVIEW",IF($O222="PASS","OK","PENDING"))))</x:f>
        <x:v>PENDING</x:v>
      </x:c>
    </x:row>
    <x:row r="223">
      <x:c r="A223" s="96" t="str">
        <x:v>REL-DOC-022</x:v>
      </x:c>
      <x:c r="B223" s="96" t="str">
        <x:v>Documentación, baseline y handoff</x:v>
      </x:c>
      <x:c r="C223" s="96" t="str">
        <x:v>Release readiness</x:v>
      </x:c>
      <x:c r="D223" s="96" t="str">
        <x:v>Los SHA-256 de 31, 32 y ZIP se almacenan externamente en el orden correcto y no quedan hashes internos obsoletos.</x:v>
      </x:c>
      <x:c r="E223" s="96" t="str">
        <x:v>Recalcular tras cada exportación final.</x:v>
      </x:c>
      <x:c r="F223" s="96" t="str">
        <x:v>Hashes estables y verificables.</x:v>
      </x:c>
      <x:c r="G223" s="96" t="str">
        <x:v>EVD-DOC-006</x:v>
      </x:c>
      <x:c r="H223" s="96" t="str">
        <x:v>12_Excel_Maestro_de_Produccion.xlsx; 13_Trazabilidad_y_Control_de_Cambios.xlsx; 14_Project_Binder_Indice_Maestro.md; 15_Guia_Maestra.md; 16_Auditoria_Global_de_Coherencia.md; 31_H6_and_Release_Readiness_Checklist.xlsx; 32_Documentation_Baseline_Manifest.xlsx; 33_Project_Risk_Register_and_Business_Continuity_Plan.xlsx; 34_Final_Handoff_and_Project_Operations_Manual.md</x:v>
      </x:c>
      <x:c r="I223" s="96" t="str">
        <x:v>Historical checksum policies</x:v>
      </x:c>
      <x:c r="J223" s="96" t="str">
        <x:v>Release / Baseline</x:v>
      </x:c>
      <x:c r="K223" s="96" t="str">
        <x:v>Yes</x:v>
      </x:c>
      <x:c r="L223" s="96" t="str">
        <x:v>P0</x:v>
      </x:c>
      <x:c r="M223" s="96" t="str">
        <x:v>Documentation/Build</x:v>
      </x:c>
      <x:c r="N223" s="96" t="str">
        <x:v>QA</x:v>
      </x:c>
      <x:c r="O223" s="96" t="str">
        <x:v>NOT RUN</x:v>
      </x:c>
      <x:c r="P223" s="96" t="str">
        <x:v>EVD-DOC-006</x:v>
      </x:c>
      <x:c r="Q223" s="96"/>
      <x:c r="R223" s="96" t="str">
        <x:v>Exportaciones finales cerradas</x:v>
      </x:c>
      <x:c r="S223" s="96" t="str">
        <x:v>PKG-DOC-FINAL</x:v>
      </x:c>
      <x:c r="T223" s="96"/>
      <x:c r="U223" s="96"/>
      <x:c r="V223" s="96" t="n">
        <x:v>1</x:v>
      </x:c>
      <x:c r="W223" s="96" t="n">
        <x:f>IF(OR($O223="PASS",$O223="EXCEPTION APPROVED",$O223="NOT APPLICABLE"),$V223,0)</x:f>
        <x:v>0</x:v>
      </x:c>
      <x:c r="X223" s="96" t="n">
        <x:f>IF(AND($K223="Yes",OR($O223="FAIL",$O223="BLOCKED",$O223="NOT RUN",$O223="IN PROGRESS")),1,0)</x:f>
        <x:v>1</x:v>
      </x:c>
      <x:c r="Y223" s="96" t="str">
        <x:f>IF($O223="FAIL","FAIL",IF($O223="BLOCKED","BLOCKED",IF(AND($O223="EXCEPTION APPROVED",$K223="Yes"),"REVIEW",IF($O223="PASS","OK","PENDING"))))</x:f>
        <x:v>PENDING</x:v>
      </x:c>
    </x:row>
    <x:row r="224">
      <x:c r="A224" s="96" t="str">
        <x:v>REL-DOC-023</x:v>
      </x:c>
      <x:c r="B224" s="96" t="str">
        <x:v>Documentación, baseline y handoff</x:v>
      </x:c>
      <x:c r="C224" s="96" t="str">
        <x:v>Release readiness</x:v>
      </x:c>
      <x:c r="D224" s="96" t="str">
        <x:v>El paquete separa Current_Baseline, Historical_Baselines, Evidence e Integrity y excluye working files.</x:v>
      </x:c>
      <x:c r="E224" s="96" t="str">
        <x:v>Inspeccionar árbol extraído y lista blanca.</x:v>
      </x:c>
      <x:c r="F224" s="96" t="str">
        <x:v>Estructura limpia, navegable e inmutable.</x:v>
      </x:c>
      <x:c r="G224" s="96" t="str">
        <x:v>EVD-DOC-006</x:v>
      </x:c>
      <x:c r="H224" s="96" t="str">
        <x:v>12_Excel_Maestro_de_Produccion.xlsx; 13_Trazabilidad_y_Control_de_Cambios.xlsx; 14_Project_Binder_Indice_Maestro.md; 15_Guia_Maestra.md; 16_Auditoria_Global_de_Coherencia.md; 31_H6_and_Release_Readiness_Checklist.xlsx; 32_Documentation_Baseline_Manifest.xlsx; 33_Project_Risk_Register_and_Business_Continuity_Plan.xlsx; 34_Final_Handoff_and_Project_Operations_Manual.md</x:v>
      </x:c>
      <x:c r="I224" s="96" t="str">
        <x:v>Historical package structures</x:v>
      </x:c>
      <x:c r="J224" s="96" t="str">
        <x:v>Release / Baseline</x:v>
      </x:c>
      <x:c r="K224" s="96" t="str">
        <x:v>Yes</x:v>
      </x:c>
      <x:c r="L224" s="96" t="str">
        <x:v>P1</x:v>
      </x:c>
      <x:c r="M224" s="96" t="str">
        <x:v>Documentation/Production</x:v>
      </x:c>
      <x:c r="N224" s="96" t="str">
        <x:v>QA</x:v>
      </x:c>
      <x:c r="O224" s="96" t="str">
        <x:v>NOT RUN</x:v>
      </x:c>
      <x:c r="P224" s="96" t="str">
        <x:v>EVD-DOC-006</x:v>
      </x:c>
      <x:c r="Q224" s="96"/>
      <x:c r="R224" s="96" t="str">
        <x:v>Packaging final</x:v>
      </x:c>
      <x:c r="S224" s="96" t="str">
        <x:v>PKG-DOC-FINAL</x:v>
      </x:c>
      <x:c r="T224" s="96"/>
      <x:c r="U224" s="96"/>
      <x:c r="V224" s="96" t="n">
        <x:v>1</x:v>
      </x:c>
      <x:c r="W224" s="96" t="n">
        <x:f>IF(OR($O224="PASS",$O224="EXCEPTION APPROVED",$O224="NOT APPLICABLE"),$V224,0)</x:f>
        <x:v>0</x:v>
      </x:c>
      <x:c r="X224" s="96" t="n">
        <x:f>IF(AND($K224="Yes",OR($O224="FAIL",$O224="BLOCKED",$O224="NOT RUN",$O224="IN PROGRESS")),1,0)</x:f>
        <x:v>1</x:v>
      </x:c>
      <x:c r="Y224" s="96" t="str">
        <x:f>IF($O224="FAIL","FAIL",IF($O224="BLOCKED","BLOCKED",IF(AND($O224="EXCEPTION APPROVED",$K224="Yes"),"REVIEW",IF($O224="PASS","OK","PENDING"))))</x:f>
        <x:v>PENDING</x:v>
      </x:c>
    </x:row>
    <x:row r="225">
      <x:c r="A225" s="96" t="str">
        <x:v>REL-DOC-024</x:v>
      </x:c>
      <x:c r="B225" s="96" t="str">
        <x:v>Documentación, baseline y handoff</x:v>
      </x:c>
      <x:c r="C225" s="96" t="str">
        <x:v>Release readiness</x:v>
      </x:c>
      <x:c r="D225" s="96" t="str">
        <x:v>Una persona independiente puede localizar la baseline, verificarla, abrir el proyecto y seguir el siguiente paso sin contexto de chat.</x:v>
      </x:c>
      <x:c r="E225" s="96" t="str">
        <x:v>Ejecutar prueba de handoff con 34 y README_FIRST.</x:v>
      </x:c>
      <x:c r="F225" s="96" t="str">
        <x:v>Handoff independiente PASS con incidencias registradas.</x:v>
      </x:c>
      <x:c r="G225" s="96" t="str">
        <x:v>EVD-DOC-007</x:v>
      </x:c>
      <x:c r="H225" s="96" t="str">
        <x:v>12_Excel_Maestro_de_Produccion.xlsx; 13_Trazabilidad_y_Control_de_Cambios.xlsx; 14_Project_Binder_Indice_Maestro.md; 15_Guia_Maestra.md; 16_Auditoria_Global_de_Coherencia.md; 31_H6_and_Release_Readiness_Checklist.xlsx; 32_Documentation_Baseline_Manifest.xlsx; 33_Project_Risk_Register_and_Business_Continuity_Plan.xlsx; 34_Final_Handoff_and_Project_Operations_Manual.md</x:v>
      </x:c>
      <x:c r="I225" s="96" t="str">
        <x:v>Historical onboarding/handoff records</x:v>
      </x:c>
      <x:c r="J225" s="96" t="str">
        <x:v>Release / Baseline</x:v>
      </x:c>
      <x:c r="K225" s="96" t="str">
        <x:v>Yes</x:v>
      </x:c>
      <x:c r="L225" s="96" t="str">
        <x:v>P0</x:v>
      </x:c>
      <x:c r="M225" s="96" t="str">
        <x:v>Documentation/Production</x:v>
      </x:c>
      <x:c r="N225" s="96" t="str">
        <x:v>Independent Reviewer</x:v>
      </x:c>
      <x:c r="O225" s="96" t="str">
        <x:v>NOT RUN</x:v>
      </x:c>
      <x:c r="P225" s="96" t="str">
        <x:v>EVD-DOC-007</x:v>
      </x:c>
      <x:c r="Q225" s="96"/>
      <x:c r="R225" s="96" t="str">
        <x:v>34 final y paquete disponibles</x:v>
      </x:c>
      <x:c r="S225" s="96" t="str">
        <x:v>PKG-DOC-FINAL</x:v>
      </x:c>
      <x:c r="T225" s="96"/>
      <x:c r="U225" s="96"/>
      <x:c r="V225" s="96" t="n">
        <x:v>1</x:v>
      </x:c>
      <x:c r="W225" s="96" t="n">
        <x:f>IF(OR($O225="PASS",$O225="EXCEPTION APPROVED",$O225="NOT APPLICABLE"),$V225,0)</x:f>
        <x:v>0</x:v>
      </x:c>
      <x:c r="X225" s="96" t="n">
        <x:f>IF(AND($K225="Yes",OR($O225="FAIL",$O225="BLOCKED",$O225="NOT RUN",$O225="IN PROGRESS")),1,0)</x:f>
        <x:v>1</x:v>
      </x:c>
      <x:c r="Y225" s="96" t="str">
        <x:f>IF($O225="FAIL","FAIL",IF($O225="BLOCKED","BLOCKED",IF(AND($O225="EXCEPTION APPROVED",$K225="Yes"),"REVIEW",IF($O225="PASS","OK","PENDING"))))</x:f>
        <x:v>PENDING</x:v>
      </x:c>
    </x:row>
    <x:row r="226">
      <x:c r="A226" s="96" t="str">
        <x:v>REL-DOC-025</x:v>
      </x:c>
      <x:c r="B226" s="96" t="str">
        <x:v>Documentación, baseline y handoff</x:v>
      </x:c>
      <x:c r="C226" s="96" t="str">
        <x:v>Release readiness</x:v>
      </x:c>
      <x:c r="D226" s="96" t="str">
        <x:v>Las versiones actuales de 12, 13, 14, 15, 21, 23 y 31 están registradas por tamaño/hash en 13/32 y no se mezclan con RC1 reemplazada.</x:v>
      </x:c>
      <x:c r="E226" s="96" t="str">
        <x:v>Comparar inventarios y archivos reales.</x:v>
      </x:c>
      <x:c r="F226" s="96" t="str">
        <x:v>Una única versión candidata/final por nombre canónico.</x:v>
      </x:c>
      <x:c r="G226" s="96" t="str">
        <x:v>EVD-DOC-001</x:v>
      </x:c>
      <x:c r="H226" s="96" t="str">
        <x:v>12_Excel_Maestro_de_Produccion.xlsx; 13_Trazabilidad_y_Control_de_Cambios.xlsx; 14_Project_Binder_Indice_Maestro.md; 15_Guia_Maestra.md; 16_Auditoria_Global_de_Coherencia.md; 31_H6_and_Release_Readiness_Checklist.xlsx; 32_Documentation_Baseline_Manifest.xlsx; 33_Project_Risk_Register_and_Business_Continuity_Plan.xlsx; 34_Final_Handoff_and_Project_Operations_Manual.md</x:v>
      </x:c>
      <x:c r="I226" s="96" t="str">
        <x:v>Historical lineage records</x:v>
      </x:c>
      <x:c r="J226" s="96" t="str">
        <x:v>Release / Baseline</x:v>
      </x:c>
      <x:c r="K226" s="96" t="str">
        <x:v>Yes</x:v>
      </x:c>
      <x:c r="L226" s="96" t="str">
        <x:v>P1</x:v>
      </x:c>
      <x:c r="M226" s="96" t="str">
        <x:v>Documentation/Production</x:v>
      </x:c>
      <x:c r="N226" s="96" t="str">
        <x:v>QA/Production</x:v>
      </x:c>
      <x:c r="O226" s="96" t="str">
        <x:v>NOT RUN</x:v>
      </x:c>
      <x:c r="P226" s="96" t="str">
        <x:v>EVD-DOC-001</x:v>
      </x:c>
      <x:c r="Q226" s="96"/>
      <x:c r="R226" s="96" t="str">
        <x:v>32 final y hashes externos</x:v>
      </x:c>
      <x:c r="S226" s="96" t="str">
        <x:v>PKG-DOC-FINAL</x:v>
      </x:c>
      <x:c r="T226" s="96"/>
      <x:c r="U226" s="96"/>
      <x:c r="V226" s="96" t="n">
        <x:v>1</x:v>
      </x:c>
      <x:c r="W226" s="96" t="n">
        <x:f>IF(OR($O226="PASS",$O226="EXCEPTION APPROVED",$O226="NOT APPLICABLE"),$V226,0)</x:f>
        <x:v>0</x:v>
      </x:c>
      <x:c r="X226" s="96" t="n">
        <x:f>IF(AND($K226="Yes",OR($O226="FAIL",$O226="BLOCKED",$O226="NOT RUN",$O226="IN PROGRESS")),1,0)</x:f>
        <x:v>1</x:v>
      </x:c>
      <x:c r="Y226" s="96" t="str">
        <x:f>IF($O226="FAIL","FAIL",IF($O226="BLOCKED","BLOCKED",IF(AND($O226="EXCEPTION APPROVED",$K226="Yes"),"REVIEW",IF($O226="PASS","OK","PENDING"))))</x:f>
        <x:v>PENDING</x:v>
      </x:c>
    </x:row>
    <x:row r="227">
      <x:c r="A227" s="96" t="str">
        <x:v>REL-DOC-026</x:v>
      </x:c>
      <x:c r="B227" s="96" t="str">
        <x:v>Documentación, baseline y handoff</x:v>
      </x:c>
      <x:c r="C227" s="96" t="str">
        <x:v>Release readiness</x:v>
      </x:c>
      <x:c r="D227" s="96" t="str">
        <x:v>El cierre documental no marca H6, continuidad, Steam o lanzamiento como superados sin evidencia operativa real.</x:v>
      </x:c>
      <x:c r="E227" s="96" t="str">
        <x:v>Inspeccionar dashboards de 31 y 33 tras freeze.</x:v>
      </x:c>
      <x:c r="F227" s="96" t="str">
        <x:v>Estados de ejecución siguen reflejando la realidad.</x:v>
      </x:c>
      <x:c r="G227" s="96" t="str">
        <x:v>EVD-DOC-001</x:v>
      </x:c>
      <x:c r="H227" s="96" t="str">
        <x:v>12_Excel_Maestro_de_Produccion.xlsx; 13_Trazabilidad_y_Control_de_Cambios.xlsx; 14_Project_Binder_Indice_Maestro.md; 15_Guia_Maestra.md; 16_Auditoria_Global_de_Coherencia.md; 31_H6_and_Release_Readiness_Checklist.xlsx; 32_Documentation_Baseline_Manifest.xlsx; 33_Project_Risk_Register_and_Business_Continuity_Plan.xlsx; 34_Final_Handoff_and_Project_Operations_Manual.md</x:v>
      </x:c>
      <x:c r="I227" s="96" t="str">
        <x:v>Historical gate evidence policies</x:v>
      </x:c>
      <x:c r="J227" s="96" t="str">
        <x:v>Release / Baseline</x:v>
      </x:c>
      <x:c r="K227" s="96" t="str">
        <x:v>Yes</x:v>
      </x:c>
      <x:c r="L227" s="96" t="str">
        <x:v>P0</x:v>
      </x:c>
      <x:c r="M227" s="96" t="str">
        <x:v>QA/Production</x:v>
      </x:c>
      <x:c r="N227" s="96" t="str">
        <x:v>Project Owner</x:v>
      </x:c>
      <x:c r="O227" s="96" t="str">
        <x:v>NOT RUN</x:v>
      </x:c>
      <x:c r="P227" s="96" t="str">
        <x:v>EVD-DOC-001</x:v>
      </x:c>
      <x:c r="Q227" s="96"/>
      <x:c r="R227" s="96" t="str">
        <x:v>Baseline final congelada</x:v>
      </x:c>
      <x:c r="S227" s="96" t="str">
        <x:v>PKG-DOC-FINAL</x:v>
      </x:c>
      <x:c r="T227" s="96"/>
      <x:c r="U227" s="96"/>
      <x:c r="V227" s="96" t="n">
        <x:v>1</x:v>
      </x:c>
      <x:c r="W227" s="96" t="n">
        <x:f>IF(OR($O227="PASS",$O227="EXCEPTION APPROVED",$O227="NOT APPLICABLE"),$V227,0)</x:f>
        <x:v>0</x:v>
      </x:c>
      <x:c r="X227" s="96" t="n">
        <x:f>IF(AND($K227="Yes",OR($O227="FAIL",$O227="BLOCKED",$O227="NOT RUN",$O227="IN PROGRESS")),1,0)</x:f>
        <x:v>1</x:v>
      </x:c>
      <x:c r="Y227" s="96" t="str">
        <x:f>IF($O227="FAIL","FAIL",IF($O227="BLOCKED","BLOCKED",IF(AND($O227="EXCEPTION APPROVED",$K227="Yes"),"REVIEW",IF($O227="PASS","OK","PENDING"))))</x:f>
        <x:v>PENDING</x:v>
      </x:c>
    </x:row>
  </x:sheetData>
  <x:mergeCells>
    <x:mergeCell ref="A1:Y1"/>
    <x:mergeCell ref="A2:Y2"/>
  </x:mergeCells>
  <x:conditionalFormatting sqref="O5:O213">
    <x:cfRule type="expression" dxfId="5" priority="1">
      <x:formula>O5="PASS"</x:formula>
    </x:cfRule>
    <x:cfRule type="expression" dxfId="6" priority="2">
      <x:formula>O5="FAIL"</x:formula>
    </x:cfRule>
    <x:cfRule type="expression" dxfId="7" priority="3">
      <x:formula>O5="BLOCKED"</x:formula>
    </x:cfRule>
    <x:cfRule type="expression" dxfId="8" priority="4">
      <x:formula>O5="EXCEPTION APPROVED"</x:formula>
    </x:cfRule>
  </x:conditionalFormatting>
  <x:conditionalFormatting sqref="X5:X213">
    <x:cfRule type="cellIs" dxfId="9" priority="5" operator="greaterThan">
      <x:formula>0</x:formula>
    </x:cfRule>
  </x:conditionalFormatting>
  <x:dataValidations count="6">
    <x:dataValidation type="list" sqref="K5:K213">
      <x:formula1>"Yes,No,Review"</x:formula1>
    </x:dataValidation>
    <x:dataValidation type="list" sqref="L5:L213">
      <x:formula1>"P0,P1,P2,P3"</x:formula1>
    </x:dataValidation>
    <x:dataValidation type="list" sqref="O5:O213">
      <x:formula1>"NOT RUN,IN PROGRESS,PASS,FAIL,BLOCKED,EXCEPTION APPROVED,NOT APPLICABLE"</x:formula1>
    </x:dataValidation>
    <x:dataValidation type="list" sqref="O214:O227">
      <x:formula1>'11_Catalogos'!$A$2:$A$8</x:formula1>
    </x:dataValidation>
    <x:dataValidation type="list" sqref="K214:K227">
      <x:formula1>'11_Catalogos'!$C$2:$C$4</x:formula1>
    </x:dataValidation>
    <x:dataValidation type="list" sqref="L214:L227">
      <x:formula1>'11_Catalogos'!$B$2:$B$5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84519802d5426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32" hidden="0" customWidth="1"/>
    <x:col min="4" max="4" width="48" hidden="0" customWidth="1"/>
    <x:col min="5" max="5" width="22" hidden="0" customWidth="1"/>
    <x:col min="6" max="6" width="14" hidden="0" customWidth="1"/>
    <x:col min="7" max="7" width="20" hidden="0" customWidth="1"/>
    <x:col min="8" max="8" width="42" hidden="0" customWidth="1"/>
    <x:col min="9" max="9" width="42" hidden="0" customWidth="1"/>
    <x:col min="10" max="10" width="40" hidden="0" customWidth="1"/>
    <x:col min="11" max="11" width="22" hidden="0" customWidth="1"/>
    <x:col min="12" max="12" width="14" hidden="0" customWidth="1"/>
    <x:col min="13" max="13" width="22" hidden="0" customWidth="1"/>
    <x:col min="14" max="14" width="14" hidden="0" customWidth="1"/>
    <x:col min="15" max="15" width="32" hidden="0" customWidth="1"/>
    <x:col min="16" max="16" width="42" hidden="0" customWidth="1"/>
  </x:cols>
  <x:sheetData>
    <x:row r="1" ht="34" customHeight="1">
      <x:c r="A1" s="5" t="str">
        <x:v>Evidence Register — H6 and Release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34" customHeight="1">
      <x:c r="A2" s="14" t="str">
        <x:v>Cada evidencia debe identificar artefacto, build/SHA, responsable, fecha y checksum cuando sea aplicable. COMPLETE no equivale a VERIFIED.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</x:row>
    <x:row r="4" ht="40" customHeight="1">
      <x:c r="A4" s="24" t="str">
        <x:v>Evidence ID</x:v>
      </x:c>
      <x:c r="B4" s="24" t="str">
        <x:v>Gate</x:v>
      </x:c>
      <x:c r="C4" s="24" t="str">
        <x:v>Package / Artifact</x:v>
      </x:c>
      <x:c r="D4" s="24" t="str">
        <x:v>Required Contents</x:v>
      </x:c>
      <x:c r="E4" s="24" t="str">
        <x:v>Owner</x:v>
      </x:c>
      <x:c r="F4" s="24" t="str">
        <x:v>Status</x:v>
      </x:c>
      <x:c r="G4" s="24" t="str">
        <x:v>Build ID</x:v>
      </x:c>
      <x:c r="H4" s="24" t="str">
        <x:v>Commit SHA</x:v>
      </x:c>
      <x:c r="I4" s="24" t="str">
        <x:v>File / Folder Path</x:v>
      </x:c>
      <x:c r="J4" s="24" t="str">
        <x:v>SHA-256 / Integrity</x:v>
      </x:c>
      <x:c r="K4" s="24" t="str">
        <x:v>Produced By</x:v>
      </x:c>
      <x:c r="L4" s="24" t="str">
        <x:v>Produced Date</x:v>
      </x:c>
      <x:c r="M4" s="24" t="str">
        <x:v>Verified By</x:v>
      </x:c>
      <x:c r="N4" s="24" t="str">
        <x:v>Verified Date</x:v>
      </x:c>
      <x:c r="O4" s="24" t="str">
        <x:v>Related Checklist IDs</x:v>
      </x:c>
      <x:c r="P4" s="24" t="str">
        <x:v>Notes</x:v>
      </x:c>
    </x:row>
    <x:row r="5">
      <x:c r="A5" s="32" t="str">
        <x:v>EVD-H6-001</x:v>
      </x:c>
      <x:c r="B5" s="32" t="str">
        <x:v>H6</x:v>
      </x:c>
      <x:c r="C5" s="32" t="str">
        <x:v>Scope freeze and change control</x:v>
      </x:c>
      <x:c r="D5" s="32" t="str">
        <x:v>Scope freeze, active backlog, approved changes</x:v>
      </x:c>
      <x:c r="E5" s="32" t="str">
        <x:v>Production</x:v>
      </x:c>
      <x:c r="F5" s="32" t="str">
        <x:v>MISSING</x:v>
      </x:c>
      <x:c r="G5" s="32" t="str"/>
      <x:c r="H5" s="32" t="str"/>
      <x:c r="I5" s="32" t="str"/>
      <x:c r="J5" s="32" t="str"/>
      <x:c r="K5" s="32" t="str"/>
      <x:c r="L5" s="82" t="str"/>
      <x:c r="M5" s="82" t="str"/>
      <x:c r="N5" s="82" t="str"/>
      <x:c r="O5" s="32" t="str"/>
      <x:c r="P5" s="32" t="str"/>
    </x:row>
    <x:row r="6">
      <x:c r="A6" s="32" t="str">
        <x:v>EVD-H6-002</x:v>
      </x:c>
      <x:c r="B6" s="32" t="str">
        <x:v>H6</x:v>
      </x:c>
      <x:c r="C6" s="32" t="str">
        <x:v>Candidate source identity</x:v>
      </x:c>
      <x:c r="D6" s="32" t="str">
        <x:v>Branch, commit SHA, clean status, tag</x:v>
      </x:c>
      <x:c r="E6" s="32" t="str">
        <x:v>Build/Engineering</x:v>
      </x:c>
      <x:c r="F6" s="32" t="str">
        <x:v>MISSING</x:v>
      </x:c>
      <x:c r="G6" s="32" t="str"/>
      <x:c r="H6" s="32" t="str"/>
      <x:c r="I6" s="32" t="str"/>
      <x:c r="J6" s="32" t="str"/>
      <x:c r="K6" s="32" t="str"/>
      <x:c r="L6" s="82" t="str"/>
      <x:c r="M6" s="82" t="str"/>
      <x:c r="N6" s="82" t="str"/>
      <x:c r="O6" s="32" t="str"/>
      <x:c r="P6" s="32" t="str"/>
    </x:row>
    <x:row r="7">
      <x:c r="A7" s="32" t="str">
        <x:v>EVD-H6-003</x:v>
      </x:c>
      <x:c r="B7" s="32" t="str">
        <x:v>H6</x:v>
      </x:c>
      <x:c r="C7" s="32" t="str">
        <x:v>StoreInitial visual review</x:v>
      </x:c>
      <x:c r="D7" s="32" t="str">
        <x:v>Approved captures, layout review, exceptions</x:v>
      </x:c>
      <x:c r="E7" s="32" t="str">
        <x:v>Art/Level</x:v>
      </x:c>
      <x:c r="F7" s="32" t="str">
        <x:v>COMPLETE / S16 ONLY</x:v>
      </x:c>
      <x:c r="G7" s="32" t="str">
        <x:v>BLD-016-POST</x:v>
      </x:c>
      <x:c r="H7" s="32" t="str"/>
      <x:c r="I7" s="32" t="str">
        <x:v>Existing project documentation / external build evidence</x:v>
      </x:c>
      <x:c r="J7" s="32" t="str">
        <x:v>Recorded externally where applicable</x:v>
      </x:c>
      <x:c r="K7" s="32" t="str">
        <x:v>VRM Games</x:v>
      </x:c>
      <x:c r="L7" s="82" t="str">
        <x:v>2026-07-06</x:v>
      </x:c>
      <x:c r="M7" s="82" t="str">
        <x:v>VRM Games / QA / Production</x:v>
      </x:c>
      <x:c r="N7" s="82" t="str">
        <x:v>2026-07-06</x:v>
      </x:c>
      <x:c r="O7" s="32" t="str"/>
      <x:c r="P7" s="32" t="str">
        <x:v>StoreInitial visual review approved for Sprint 16. H6 verification remains pending.</x:v>
      </x:c>
    </x:row>
    <x:row r="8">
      <x:c r="A8" s="32" t="str">
        <x:v>EVD-H6-004</x:v>
      </x:c>
      <x:c r="B8" s="32" t="str">
        <x:v>H6</x:v>
      </x:c>
      <x:c r="C8" s="32" t="str">
        <x:v>Scene validation</x:v>
      </x:c>
      <x:c r="D8" s="32" t="str">
        <x:v>Missing references/scripts, colliders, NavMesh</x:v>
      </x:c>
      <x:c r="E8" s="32" t="str">
        <x:v>Engineering/QA</x:v>
      </x:c>
      <x:c r="F8" s="32" t="str">
        <x:v>COMPLETE / S16 ONLY</x:v>
      </x:c>
      <x:c r="G8" s="32" t="str">
        <x:v>BLD-016-POST</x:v>
      </x:c>
      <x:c r="H8" s="32" t="str"/>
      <x:c r="I8" s="32" t="str">
        <x:v>Existing project documentation / external build evidence</x:v>
      </x:c>
      <x:c r="J8" s="32" t="str">
        <x:v>Recorded externally where applicable</x:v>
      </x:c>
      <x:c r="K8" s="32" t="str">
        <x:v>VRM Games</x:v>
      </x:c>
      <x:c r="L8" s="82" t="str">
        <x:v>2026-07-06</x:v>
      </x:c>
      <x:c r="M8" s="82" t="str">
        <x:v>VRM Games / QA / Production</x:v>
      </x:c>
      <x:c r="N8" s="82" t="str">
        <x:v>2026-07-06</x:v>
      </x:c>
      <x:c r="O8" s="32" t="str"/>
      <x:c r="P8" s="32" t="str">
        <x:v>Scene/collider/NavMesh validation completed for Sprint 16. H6 verification remains pending.</x:v>
      </x:c>
    </x:row>
    <x:row r="9">
      <x:c r="A9" s="32" t="str">
        <x:v>EVD-H6-005</x:v>
      </x:c>
      <x:c r="B9" s="32" t="str">
        <x:v>H6</x:v>
      </x:c>
      <x:c r="C9" s="32" t="str">
        <x:v>Automated test reports</x:v>
      </x:c>
      <x:c r="D9" s="32" t="str">
        <x:v>Complete suite, environment, SHA, results</x:v>
      </x:c>
      <x:c r="E9" s="32" t="str">
        <x:v>QA</x:v>
      </x:c>
      <x:c r="F9" s="32" t="str">
        <x:v>COMPLETE / S16 ONLY</x:v>
      </x:c>
      <x:c r="G9" s="32" t="str">
        <x:v>BLD-016-POST</x:v>
      </x:c>
      <x:c r="H9" s="32" t="str"/>
      <x:c r="I9" s="32" t="str">
        <x:v>Existing project documentation / external build evidence</x:v>
      </x:c>
      <x:c r="J9" s="32" t="str">
        <x:v>Recorded externally where applicable</x:v>
      </x:c>
      <x:c r="K9" s="32" t="str">
        <x:v>VRM Games</x:v>
      </x:c>
      <x:c r="L9" s="82" t="str">
        <x:v>2026-07-06</x:v>
      </x:c>
      <x:c r="M9" s="82" t="str">
        <x:v>VRM Games / QA / Production</x:v>
      </x:c>
      <x:c r="N9" s="82" t="str">
        <x:v>2026-07-06</x:v>
      </x:c>
      <x:c r="O9" s="32" t="str"/>
      <x:c r="P9" s="32" t="str">
        <x:v>EditMode and PlayMode reports PASS. H6 verification remains pending.</x:v>
      </x:c>
    </x:row>
    <x:row r="10">
      <x:c r="A10" s="32" t="str">
        <x:v>EVD-H6-006</x:v>
      </x:c>
      <x:c r="B10" s="32" t="str">
        <x:v>H6</x:v>
      </x:c>
      <x:c r="C10" s="32" t="str">
        <x:v>Golden Path Record</x:v>
      </x:c>
      <x:c r="D10" s="32" t="str">
        <x:v>External build execution without debug</x:v>
      </x:c>
      <x:c r="E10" s="32" t="str">
        <x:v>QA</x:v>
      </x:c>
      <x:c r="F10" s="32" t="str">
        <x:v>COMPLETE / S16 ONLY</x:v>
      </x:c>
      <x:c r="G10" s="32" t="str">
        <x:v>BLD-016-POST</x:v>
      </x:c>
      <x:c r="H10" s="32" t="str"/>
      <x:c r="I10" s="32" t="str">
        <x:v>Existing project documentation / external build evidence</x:v>
      </x:c>
      <x:c r="J10" s="32" t="str">
        <x:v>Recorded externally where applicable</x:v>
      </x:c>
      <x:c r="K10" s="32" t="str">
        <x:v>VRM Games</x:v>
      </x:c>
      <x:c r="L10" s="82" t="str">
        <x:v>2026-07-06</x:v>
      </x:c>
      <x:c r="M10" s="82" t="str">
        <x:v>VRM Games / QA / Production</x:v>
      </x:c>
      <x:c r="N10" s="82" t="str">
        <x:v>2026-07-06</x:v>
      </x:c>
      <x:c r="O10" s="32" t="str"/>
      <x:c r="P10" s="32" t="str">
        <x:v>External Golden Path PASS. H6 verification remains pending.</x:v>
      </x:c>
    </x:row>
    <x:row r="11">
      <x:c r="A11" s="32" t="str">
        <x:v>EVD-H6-007</x:v>
      </x:c>
      <x:c r="B11" s="32" t="str">
        <x:v>H6</x:v>
      </x:c>
      <x:c r="C11" s="32" t="str">
        <x:v>Seven Day Run Record</x:v>
      </x:c>
      <x:c r="D11" s="32" t="str">
        <x:v>Persistent campaign and reconciliation</x:v>
      </x:c>
      <x:c r="E11" s="32" t="str">
        <x:v>QA/Design</x:v>
      </x:c>
      <x:c r="F11" s="32" t="str">
        <x:v>MISSING</x:v>
      </x:c>
      <x:c r="G11" s="32" t="str"/>
      <x:c r="H11" s="32" t="str"/>
      <x:c r="I11" s="32" t="str"/>
      <x:c r="J11" s="32" t="str"/>
      <x:c r="K11" s="32" t="str"/>
      <x:c r="L11" s="82" t="str"/>
      <x:c r="M11" s="82" t="str"/>
      <x:c r="N11" s="82" t="str"/>
      <x:c r="O11" s="32" t="str"/>
      <x:c r="P11" s="32" t="str"/>
    </x:row>
    <x:row r="12">
      <x:c r="A12" s="32" t="str">
        <x:v>EVD-H6-008</x:v>
      </x:c>
      <x:c r="B12" s="32" t="str">
        <x:v>H6</x:v>
      </x:c>
      <x:c r="C12" s="32" t="str">
        <x:v>Save comparison</x:v>
      </x:c>
      <x:c r="D12" s="32" t="str">
        <x:v>Snapshots/diffs, migration, slots, recovery</x:v>
      </x:c>
      <x:c r="E12" s="32" t="str">
        <x:v>Engineering/QA</x:v>
      </x:c>
      <x:c r="F12" s="32" t="str">
        <x:v>COMPLETE / S16 ONLY</x:v>
      </x:c>
      <x:c r="G12" s="32" t="str">
        <x:v>BLD-016-POST</x:v>
      </x:c>
      <x:c r="H12" s="32" t="str"/>
      <x:c r="I12" s="32" t="str">
        <x:v>Existing project documentation / external build evidence</x:v>
      </x:c>
      <x:c r="J12" s="32" t="str">
        <x:v>Recorded externally where applicable</x:v>
      </x:c>
      <x:c r="K12" s="32" t="str">
        <x:v>VRM Games</x:v>
      </x:c>
      <x:c r="L12" s="82" t="str">
        <x:v>2026-07-06</x:v>
      </x:c>
      <x:c r="M12" s="82" t="str">
        <x:v>VRM Games / QA / Production</x:v>
      </x:c>
      <x:c r="N12" s="82" t="str">
        <x:v>2026-07-06</x:v>
      </x:c>
      <x:c r="O12" s="32" t="str"/>
      <x:c r="P12" s="32" t="str">
        <x:v>Save, close, reopen and equivalent load PASS. H6 verification remains pending.</x:v>
      </x:c>
    </x:row>
    <x:row r="13">
      <x:c r="A13" s="32" t="str">
        <x:v>EVD-H6-009</x:v>
      </x:c>
      <x:c r="B13" s="32" t="str">
        <x:v>H6</x:v>
      </x:c>
      <x:c r="C13" s="32" t="str">
        <x:v>Performance Record</x:v>
      </x:c>
      <x:c r="D13" s="32" t="str">
        <x:v>Hardware, FPS/frame time, memory, load/save, soak</x:v>
      </x:c>
      <x:c r="E13" s="32" t="str">
        <x:v>Engineering/QA</x:v>
      </x:c>
      <x:c r="F13" s="32" t="str">
        <x:v>MISSING</x:v>
      </x:c>
      <x:c r="G13" s="32" t="str"/>
      <x:c r="H13" s="32" t="str"/>
      <x:c r="I13" s="32" t="str"/>
      <x:c r="J13" s="32" t="str"/>
      <x:c r="K13" s="32" t="str"/>
      <x:c r="L13" s="82" t="str"/>
      <x:c r="M13" s="82" t="str"/>
      <x:c r="N13" s="82" t="str"/>
      <x:c r="O13" s="32" t="str"/>
      <x:c r="P13" s="32" t="str"/>
    </x:row>
    <x:row r="14">
      <x:c r="A14" s="32" t="str">
        <x:v>EVD-H6-010</x:v>
      </x:c>
      <x:c r="B14" s="32" t="str">
        <x:v>H6</x:v>
      </x:c>
      <x:c r="C14" s="32" t="str">
        <x:v>Build Record</x:v>
      </x:c>
      <x:c r="D14" s="32" t="str">
        <x:v>Build ID, version, SHA, profile, scenes, logs</x:v>
      </x:c>
      <x:c r="E14" s="32" t="str">
        <x:v>Build</x:v>
      </x:c>
      <x:c r="F14" s="32" t="str">
        <x:v>COMPLETE / S16 ONLY</x:v>
      </x:c>
      <x:c r="G14" s="32" t="str">
        <x:v>BLD-016-POST</x:v>
      </x:c>
      <x:c r="H14" s="32" t="str"/>
      <x:c r="I14" s="32" t="str">
        <x:v>Existing project documentation / external build evidence</x:v>
      </x:c>
      <x:c r="J14" s="32" t="str">
        <x:v>Recorded externally where applicable</x:v>
      </x:c>
      <x:c r="K14" s="32" t="str">
        <x:v>VRM Games</x:v>
      </x:c>
      <x:c r="L14" s="82" t="str">
        <x:v>2026-07-06</x:v>
      </x:c>
      <x:c r="M14" s="82" t="str">
        <x:v>VRM Games / QA / Production</x:v>
      </x:c>
      <x:c r="N14" s="82" t="str">
        <x:v>2026-07-06</x:v>
      </x:c>
      <x:c r="O14" s="32" t="str"/>
      <x:c r="P14" s="32" t="str">
        <x:v>Build record 0.0.21 completed. H6 verification remains pending.</x:v>
      </x:c>
    </x:row>
    <x:row r="15">
      <x:c r="A15" s="32" t="str">
        <x:v>EVD-H6-011</x:v>
      </x:c>
      <x:c r="B15" s="32" t="str">
        <x:v>H6</x:v>
      </x:c>
      <x:c r="C15" s="32" t="str">
        <x:v>Player.log package</x:v>
      </x:c>
      <x:c r="D15" s="32" t="str">
        <x:v>Startup, Golden Path, seven-day and soak logs</x:v>
      </x:c>
      <x:c r="E15" s="32" t="str">
        <x:v>QA/Engineering</x:v>
      </x:c>
      <x:c r="F15" s="32" t="str">
        <x:v>COMPLETE / S16 ONLY</x:v>
      </x:c>
      <x:c r="G15" s="32" t="str">
        <x:v>BLD-016-POST</x:v>
      </x:c>
      <x:c r="H15" s="32" t="str"/>
      <x:c r="I15" s="32" t="str">
        <x:v>Existing project documentation / external build evidence</x:v>
      </x:c>
      <x:c r="J15" s="32" t="str">
        <x:v>Recorded externally where applicable</x:v>
      </x:c>
      <x:c r="K15" s="32" t="str">
        <x:v>VRM Games</x:v>
      </x:c>
      <x:c r="L15" s="82" t="str">
        <x:v>2026-07-06</x:v>
      </x:c>
      <x:c r="M15" s="82" t="str">
        <x:v>VRM Games / QA / Production</x:v>
      </x:c>
      <x:c r="N15" s="82" t="str">
        <x:v>2026-07-06</x:v>
      </x:c>
      <x:c r="O15" s="32" t="str"/>
      <x:c r="P15" s="32" t="str">
        <x:v>Player.log reviewed without blocking errors. H6 verification remains pending.</x:v>
      </x:c>
    </x:row>
    <x:row r="16">
      <x:c r="A16" s="32" t="str">
        <x:v>EVD-H6-012</x:v>
      </x:c>
      <x:c r="B16" s="32" t="str">
        <x:v>H6</x:v>
      </x:c>
      <x:c r="C16" s="32" t="str">
        <x:v>Defect and exception package</x:v>
      </x:c>
      <x:c r="D16" s="32" t="str">
        <x:v>S0–S4, blockers, exceptions, known issues</x:v>
      </x:c>
      <x:c r="E16" s="32" t="str">
        <x:v>QA/Production</x:v>
      </x:c>
      <x:c r="F16" s="32" t="str">
        <x:v>MISSING</x:v>
      </x:c>
      <x:c r="G16" s="32" t="str"/>
      <x:c r="H16" s="32" t="str"/>
      <x:c r="I16" s="32" t="str"/>
      <x:c r="J16" s="32" t="str"/>
      <x:c r="K16" s="32" t="str"/>
      <x:c r="L16" s="82" t="str"/>
      <x:c r="M16" s="82" t="str"/>
      <x:c r="N16" s="82" t="str"/>
      <x:c r="O16" s="32" t="str"/>
      <x:c r="P16" s="32" t="str"/>
    </x:row>
    <x:row r="17">
      <x:c r="A17" s="32" t="str">
        <x:v>EVD-H6-013</x:v>
      </x:c>
      <x:c r="B17" s="32" t="str">
        <x:v>H6</x:v>
      </x:c>
      <x:c r="C17" s="32" t="str">
        <x:v>Localization ES/EN package</x:v>
      </x:c>
      <x:c r="D17" s="32" t="str">
        <x:v>Coverage, LQA, pseudoloc, glyphs, logs</x:v>
      </x:c>
      <x:c r="E17" s="32" t="str">
        <x:v>Localization</x:v>
      </x:c>
      <x:c r="F17" s="32" t="str">
        <x:v>MISSING</x:v>
      </x:c>
      <x:c r="G17" s="32" t="str"/>
      <x:c r="H17" s="32" t="str"/>
      <x:c r="I17" s="32" t="str"/>
      <x:c r="J17" s="32" t="str"/>
      <x:c r="K17" s="32" t="str"/>
      <x:c r="L17" s="82" t="str"/>
      <x:c r="M17" s="82" t="str"/>
      <x:c r="N17" s="82" t="str"/>
      <x:c r="O17" s="32" t="str"/>
      <x:c r="P17" s="32" t="str"/>
    </x:row>
    <x:row r="18">
      <x:c r="A18" s="32" t="str">
        <x:v>EVD-H6-014</x:v>
      </x:c>
      <x:c r="B18" s="32" t="str">
        <x:v>H6</x:v>
      </x:c>
      <x:c r="C18" s="32" t="str">
        <x:v>Accessibility evidence</x:v>
      </x:c>
      <x:c r="D18" s="32" t="str">
        <x:v>Scaling, reduce motion, focus, color redundancy</x:v>
      </x:c>
      <x:c r="E18" s="32" t="str">
        <x:v>Accessibility/UX</x:v>
      </x:c>
      <x:c r="F18" s="32" t="str">
        <x:v>MISSING</x:v>
      </x:c>
      <x:c r="G18" s="32" t="str"/>
      <x:c r="H18" s="32" t="str"/>
      <x:c r="I18" s="32" t="str"/>
      <x:c r="J18" s="32" t="str"/>
      <x:c r="K18" s="32" t="str"/>
      <x:c r="L18" s="82" t="str"/>
      <x:c r="M18" s="82" t="str"/>
      <x:c r="N18" s="82" t="str"/>
      <x:c r="O18" s="32" t="str"/>
      <x:c r="P18" s="32" t="str"/>
    </x:row>
    <x:row r="19">
      <x:c r="A19" s="32" t="str">
        <x:v>EVD-H6-015</x:v>
      </x:c>
      <x:c r="B19" s="32" t="str">
        <x:v>H6</x:v>
      </x:c>
      <x:c r="C19" s="32" t="str">
        <x:v>Art and audio signoff</x:v>
      </x:c>
      <x:c r="D19" s="32" t="str">
        <x:v>Representative quality and license coverage</x:v>
      </x:c>
      <x:c r="E19" s="32" t="str">
        <x:v>Art/Audio</x:v>
      </x:c>
      <x:c r="F19" s="32" t="str">
        <x:v>COMPLETE / S16 ONLY</x:v>
      </x:c>
      <x:c r="G19" s="32" t="str">
        <x:v>BLD-016-POST</x:v>
      </x:c>
      <x:c r="H19" s="32" t="str"/>
      <x:c r="I19" s="32" t="str">
        <x:v>Existing project documentation / external build evidence</x:v>
      </x:c>
      <x:c r="J19" s="32" t="str">
        <x:v>Recorded externally where applicable</x:v>
      </x:c>
      <x:c r="K19" s="32" t="str">
        <x:v>VRM Games</x:v>
      </x:c>
      <x:c r="L19" s="82" t="str">
        <x:v>2026-07-06</x:v>
      </x:c>
      <x:c r="M19" s="82" t="str">
        <x:v>VRM Games / QA / Production</x:v>
      </x:c>
      <x:c r="N19" s="82" t="str">
        <x:v>2026-07-06</x:v>
      </x:c>
      <x:c r="O19" s="32" t="str"/>
      <x:c r="P19" s="32" t="str">
        <x:v>Representative art/audio signoff recorded for Sprint 16. H6 verification remains pending.</x:v>
      </x:c>
    </x:row>
    <x:row r="20">
      <x:c r="A20" s="32" t="str">
        <x:v>EVD-H6-016</x:v>
      </x:c>
      <x:c r="B20" s="32" t="str">
        <x:v>H6</x:v>
      </x:c>
      <x:c r="C20" s="32" t="str">
        <x:v>Legal/license signoff</x:v>
      </x:c>
      <x:c r="D20" s="32" t="str">
        <x:v>Assets, fonts, audio, naming, notices</x:v>
      </x:c>
      <x:c r="E20" s="32" t="str">
        <x:v>Legal</x:v>
      </x:c>
      <x:c r="F20" s="32" t="str">
        <x:v>MISSING</x:v>
      </x:c>
      <x:c r="G20" s="32" t="str"/>
      <x:c r="H20" s="32" t="str"/>
      <x:c r="I20" s="32" t="str"/>
      <x:c r="J20" s="32" t="str"/>
      <x:c r="K20" s="32" t="str"/>
      <x:c r="L20" s="82" t="str"/>
      <x:c r="M20" s="82" t="str"/>
      <x:c r="N20" s="82" t="str"/>
      <x:c r="O20" s="32" t="str"/>
      <x:c r="P20" s="32" t="str"/>
    </x:row>
    <x:row r="21">
      <x:c r="A21" s="32" t="str">
        <x:v>EVD-H6-017</x:v>
      </x:c>
      <x:c r="B21" s="32" t="str">
        <x:v>H6</x:v>
      </x:c>
      <x:c r="C21" s="32" t="str">
        <x:v>Security/privacy signoff</x:v>
      </x:c>
      <x:c r="D21" s="32" t="str">
        <x:v>Secrets, dependencies, logs, data inventory</x:v>
      </x:c>
      <x:c r="E21" s="32" t="str">
        <x:v>Security/Privacy</x:v>
      </x:c>
      <x:c r="F21" s="32" t="str">
        <x:v>MISSING</x:v>
      </x:c>
      <x:c r="G21" s="32" t="str"/>
      <x:c r="H21" s="32" t="str"/>
      <x:c r="I21" s="32" t="str"/>
      <x:c r="J21" s="32" t="str"/>
      <x:c r="K21" s="32" t="str"/>
      <x:c r="L21" s="82" t="str"/>
      <x:c r="M21" s="82" t="str"/>
      <x:c r="N21" s="82" t="str"/>
      <x:c r="O21" s="32" t="str"/>
      <x:c r="P21" s="32" t="str"/>
    </x:row>
    <x:row r="22">
      <x:c r="A22" s="32" t="str">
        <x:v>EVD-H6-018</x:v>
      </x:c>
      <x:c r="B22" s="32" t="str">
        <x:v>H6</x:v>
      </x:c>
      <x:c r="C22" s="32" t="str">
        <x:v>Documentation traceability</x:v>
      </x:c>
      <x:c r="D22" s="32" t="str">
        <x:v>Requirements-tests-evidence-build links</x:v>
      </x:c>
      <x:c r="E22" s="32" t="str">
        <x:v>Documentation</x:v>
      </x:c>
      <x:c r="F22" s="32" t="str">
        <x:v>COMPLETE / S16 ONLY</x:v>
      </x:c>
      <x:c r="G22" s="32" t="str">
        <x:v>BLD-016-POST</x:v>
      </x:c>
      <x:c r="H22" s="32" t="str"/>
      <x:c r="I22" s="32" t="str">
        <x:v>Existing project documentation / external build evidence</x:v>
      </x:c>
      <x:c r="J22" s="32" t="str">
        <x:v>Recorded externally where applicable</x:v>
      </x:c>
      <x:c r="K22" s="32" t="str">
        <x:v>VRM Games</x:v>
      </x:c>
      <x:c r="L22" s="82" t="str">
        <x:v>2026-07-06</x:v>
      </x:c>
      <x:c r="M22" s="82" t="str">
        <x:v>VRM Games / QA / Production</x:v>
      </x:c>
      <x:c r="N22" s="82" t="str">
        <x:v>2026-07-06</x:v>
      </x:c>
      <x:c r="O22" s="32" t="str"/>
      <x:c r="P22" s="32" t="str">
        <x:v>Documentation and traceability updated for Sprint 16 closure. H6 verification remains pending.</x:v>
      </x:c>
    </x:row>
    <x:row r="23">
      <x:c r="A23" s="32" t="str">
        <x:v>EVD-H6-019</x:v>
      </x:c>
      <x:c r="B23" s="32" t="str">
        <x:v>H6</x:v>
      </x:c>
      <x:c r="C23" s="32" t="str">
        <x:v>Artifact manifest and checksums</x:v>
      </x:c>
      <x:c r="D23" s="32" t="str">
        <x:v>Files, sizes, hashes, verification</x:v>
      </x:c>
      <x:c r="E23" s="32" t="str">
        <x:v>Build/Documentation</x:v>
      </x:c>
      <x:c r="F23" s="32" t="str">
        <x:v>MISSING</x:v>
      </x:c>
      <x:c r="G23" s="32" t="str"/>
      <x:c r="H23" s="32" t="str"/>
      <x:c r="I23" s="32" t="str"/>
      <x:c r="J23" s="32" t="str"/>
      <x:c r="K23" s="32" t="str"/>
      <x:c r="L23" s="82" t="str"/>
      <x:c r="M23" s="82" t="str"/>
      <x:c r="N23" s="82" t="str"/>
      <x:c r="O23" s="32" t="str"/>
      <x:c r="P23" s="32" t="str"/>
    </x:row>
    <x:row r="24">
      <x:c r="A24" s="32" t="str">
        <x:v>EVD-H6-020</x:v>
      </x:c>
      <x:c r="B24" s="32" t="str">
        <x:v>H6</x:v>
      </x:c>
      <x:c r="C24" s="32" t="str">
        <x:v>H6 decision record</x:v>
      </x:c>
      <x:c r="D24" s="32" t="str">
        <x:v>Participants, result, accepted debt, actions</x:v>
      </x:c>
      <x:c r="E24" s="32" t="str">
        <x:v>Production</x:v>
      </x:c>
      <x:c r="F24" s="32" t="str">
        <x:v>MISSING</x:v>
      </x:c>
      <x:c r="G24" s="32" t="str"/>
      <x:c r="H24" s="32" t="str"/>
      <x:c r="I24" s="32" t="str"/>
      <x:c r="J24" s="32" t="str"/>
      <x:c r="K24" s="32" t="str"/>
      <x:c r="L24" s="82" t="str"/>
      <x:c r="M24" s="82" t="str"/>
      <x:c r="N24" s="82" t="str"/>
      <x:c r="O24" s="32" t="str"/>
      <x:c r="P24" s="32" t="str"/>
    </x:row>
    <x:row r="25">
      <x:c r="A25" s="32" t="str">
        <x:v>EVD-REL-001</x:v>
      </x:c>
      <x:c r="B25" s="32" t="str">
        <x:v>Release</x:v>
      </x:c>
      <x:c r="C25" s="32" t="str">
        <x:v>Steamworks onboarding</x:v>
      </x:c>
      <x:c r="D25" s="32" t="str">
        <x:v>Account, AppID, permissions, contacts</x:v>
      </x:c>
      <x:c r="E25" s="32" t="str">
        <x:v>Steam/Business</x:v>
      </x:c>
      <x:c r="F25" s="32" t="str">
        <x:v>MISSING</x:v>
      </x:c>
      <x:c r="G25" s="32" t="str"/>
      <x:c r="H25" s="32" t="str"/>
      <x:c r="I25" s="32" t="str"/>
      <x:c r="J25" s="32" t="str"/>
      <x:c r="K25" s="32" t="str"/>
      <x:c r="L25" s="82" t="str"/>
      <x:c r="M25" s="82" t="str"/>
      <x:c r="N25" s="82" t="str"/>
      <x:c r="O25" s="32" t="str"/>
      <x:c r="P25" s="32" t="str"/>
    </x:row>
    <x:row r="26">
      <x:c r="A26" s="32" t="str">
        <x:v>EVD-REL-002</x:v>
      </x:c>
      <x:c r="B26" s="32" t="str">
        <x:v>Release</x:v>
      </x:c>
      <x:c r="C26" s="32" t="str">
        <x:v>Store page copy and claims</x:v>
      </x:c>
      <x:c r="D26" s="32" t="str">
        <x:v>Approved texts, claims matrix, tags</x:v>
      </x:c>
      <x:c r="E26" s="32" t="str">
        <x:v>Marketing/Product</x:v>
      </x:c>
      <x:c r="F26" s="32" t="str">
        <x:v>MISSING</x:v>
      </x:c>
      <x:c r="G26" s="32" t="str"/>
      <x:c r="H26" s="32" t="str"/>
      <x:c r="I26" s="32" t="str"/>
      <x:c r="J26" s="32" t="str"/>
      <x:c r="K26" s="32" t="str"/>
      <x:c r="L26" s="82" t="str"/>
      <x:c r="M26" s="82" t="str"/>
      <x:c r="N26" s="82" t="str"/>
      <x:c r="O26" s="32" t="str"/>
      <x:c r="P26" s="32" t="str"/>
    </x:row>
    <x:row r="27">
      <x:c r="A27" s="32" t="str">
        <x:v>EVD-REL-003</x:v>
      </x:c>
      <x:c r="B27" s="32" t="str">
        <x:v>Release</x:v>
      </x:c>
      <x:c r="C27" s="32" t="str">
        <x:v>Store media package</x:v>
      </x:c>
      <x:c r="D27" s="32" t="str">
        <x:v>Capsules, screenshots, trailer, provenance</x:v>
      </x:c>
      <x:c r="E27" s="32" t="str">
        <x:v>Marketing/Art</x:v>
      </x:c>
      <x:c r="F27" s="32" t="str">
        <x:v>MISSING</x:v>
      </x:c>
      <x:c r="G27" s="32" t="str"/>
      <x:c r="H27" s="32" t="str"/>
      <x:c r="I27" s="32" t="str"/>
      <x:c r="J27" s="32" t="str"/>
      <x:c r="K27" s="32" t="str"/>
      <x:c r="L27" s="82" t="str"/>
      <x:c r="M27" s="82" t="str"/>
      <x:c r="N27" s="82" t="str"/>
      <x:c r="O27" s="32" t="str"/>
      <x:c r="P27" s="32" t="str"/>
    </x:row>
    <x:row r="28">
      <x:c r="A28" s="32" t="str">
        <x:v>EVD-REL-004</x:v>
      </x:c>
      <x:c r="B28" s="32" t="str">
        <x:v>Release</x:v>
      </x:c>
      <x:c r="C28" s="32" t="str">
        <x:v>Steam accessibility declarations</x:v>
      </x:c>
      <x:c r="D28" s="32" t="str">
        <x:v>Feature matrix and supporting tests</x:v>
      </x:c>
      <x:c r="E28" s="32" t="str">
        <x:v>Accessibility/Steam</x:v>
      </x:c>
      <x:c r="F28" s="32" t="str">
        <x:v>MISSING</x:v>
      </x:c>
      <x:c r="G28" s="32" t="str"/>
      <x:c r="H28" s="32" t="str"/>
      <x:c r="I28" s="32" t="str"/>
      <x:c r="J28" s="32" t="str"/>
      <x:c r="K28" s="32" t="str"/>
      <x:c r="L28" s="82" t="str"/>
      <x:c r="M28" s="82" t="str"/>
      <x:c r="N28" s="82" t="str"/>
      <x:c r="O28" s="32" t="str"/>
      <x:c r="P28" s="32" t="str"/>
    </x:row>
    <x:row r="29">
      <x:c r="A29" s="32" t="str">
        <x:v>EVD-REL-005</x:v>
      </x:c>
      <x:c r="B29" s="32" t="str">
        <x:v>Release</x:v>
      </x:c>
      <x:c r="C29" s="32" t="str">
        <x:v>Store localization package</x:v>
      </x:c>
      <x:c r="D29" s="32" t="str">
        <x:v>ES/EN store text and LQA</x:v>
      </x:c>
      <x:c r="E29" s="32" t="str">
        <x:v>Localization</x:v>
      </x:c>
      <x:c r="F29" s="32" t="str">
        <x:v>MISSING</x:v>
      </x:c>
      <x:c r="G29" s="32" t="str"/>
      <x:c r="H29" s="32" t="str"/>
      <x:c r="I29" s="32" t="str"/>
      <x:c r="J29" s="32" t="str"/>
      <x:c r="K29" s="32" t="str"/>
      <x:c r="L29" s="82" t="str"/>
      <x:c r="M29" s="82" t="str"/>
      <x:c r="N29" s="82" t="str"/>
      <x:c r="O29" s="32" t="str"/>
      <x:c r="P29" s="32" t="str"/>
    </x:row>
    <x:row r="30">
      <x:c r="A30" s="32" t="str">
        <x:v>EVD-REL-006</x:v>
      </x:c>
      <x:c r="B30" s="32" t="str">
        <x:v>Release</x:v>
      </x:c>
      <x:c r="C30" s="32" t="str">
        <x:v>RC provenance</x:v>
      </x:c>
      <x:c r="D30" s="32" t="str">
        <x:v>Tag/SHA, build record, manifest, checksum</x:v>
      </x:c>
      <x:c r="E30" s="32" t="str">
        <x:v>Build</x:v>
      </x:c>
      <x:c r="F30" s="32" t="str">
        <x:v>MISSING</x:v>
      </x:c>
      <x:c r="G30" s="32" t="str"/>
      <x:c r="H30" s="32" t="str"/>
      <x:c r="I30" s="32" t="str"/>
      <x:c r="J30" s="32" t="str"/>
      <x:c r="K30" s="32" t="str"/>
      <x:c r="L30" s="82" t="str"/>
      <x:c r="M30" s="82" t="str"/>
      <x:c r="N30" s="82" t="str"/>
      <x:c r="O30" s="32" t="str"/>
      <x:c r="P30" s="32" t="str"/>
    </x:row>
    <x:row r="31">
      <x:c r="A31" s="32" t="str">
        <x:v>EVD-REL-007</x:v>
      </x:c>
      <x:c r="B31" s="32" t="str">
        <x:v>Release</x:v>
      </x:c>
      <x:c r="C31" s="32" t="str">
        <x:v>Depot and branch configuration</x:v>
      </x:c>
      <x:c r="D31" s="32" t="str">
        <x:v>Depots, branches, permissions, upload records</x:v>
      </x:c>
      <x:c r="E31" s="32" t="str">
        <x:v>Steam/Build</x:v>
      </x:c>
      <x:c r="F31" s="32" t="str">
        <x:v>MISSING</x:v>
      </x:c>
      <x:c r="G31" s="32" t="str"/>
      <x:c r="H31" s="32" t="str"/>
      <x:c r="I31" s="32" t="str"/>
      <x:c r="J31" s="32" t="str"/>
      <x:c r="K31" s="32" t="str"/>
      <x:c r="L31" s="82" t="str"/>
      <x:c r="M31" s="82" t="str"/>
      <x:c r="N31" s="82" t="str"/>
      <x:c r="O31" s="32" t="str"/>
      <x:c r="P31" s="32" t="str"/>
    </x:row>
    <x:row r="32">
      <x:c r="A32" s="32" t="str">
        <x:v>EVD-REL-008</x:v>
      </x:c>
      <x:c r="B32" s="32" t="str">
        <x:v>Release</x:v>
      </x:c>
      <x:c r="C32" s="32" t="str">
        <x:v>Release QA report</x:v>
      </x:c>
      <x:c r="D32" s="32" t="str">
        <x:v>Regression, installs, upgrades, devices, locales</x:v>
      </x:c>
      <x:c r="E32" s="32" t="str">
        <x:v>QA</x:v>
      </x:c>
      <x:c r="F32" s="32" t="str">
        <x:v>MISSING</x:v>
      </x:c>
      <x:c r="G32" s="32" t="str"/>
      <x:c r="H32" s="32" t="str"/>
      <x:c r="I32" s="32" t="str"/>
      <x:c r="J32" s="32" t="str"/>
      <x:c r="K32" s="32" t="str"/>
      <x:c r="L32" s="82" t="str"/>
      <x:c r="M32" s="82" t="str"/>
      <x:c r="N32" s="82" t="str"/>
      <x:c r="O32" s="32" t="str"/>
      <x:c r="P32" s="32" t="str"/>
    </x:row>
    <x:row r="33">
      <x:c r="A33" s="32" t="str">
        <x:v>EVD-REL-009</x:v>
      </x:c>
      <x:c r="B33" s="32" t="str">
        <x:v>Release</x:v>
      </x:c>
      <x:c r="C33" s="32" t="str">
        <x:v>System requirements dossier</x:v>
      </x:c>
      <x:c r="D33" s="32" t="str">
        <x:v>Benchmarks and min/recommended rationale</x:v>
      </x:c>
      <x:c r="E33" s="32" t="str">
        <x:v>Engineering/QA</x:v>
      </x:c>
      <x:c r="F33" s="32" t="str">
        <x:v>MISSING</x:v>
      </x:c>
      <x:c r="G33" s="32" t="str"/>
      <x:c r="H33" s="32" t="str"/>
      <x:c r="I33" s="32" t="str"/>
      <x:c r="J33" s="32" t="str"/>
      <x:c r="K33" s="32" t="str"/>
      <x:c r="L33" s="82" t="str"/>
      <x:c r="M33" s="82" t="str"/>
      <x:c r="N33" s="82" t="str"/>
      <x:c r="O33" s="32" t="str"/>
      <x:c r="P33" s="32" t="str"/>
    </x:row>
    <x:row r="34">
      <x:c r="A34" s="32" t="str">
        <x:v>EVD-REL-010</x:v>
      </x:c>
      <x:c r="B34" s="32" t="str">
        <x:v>Release</x:v>
      </x:c>
      <x:c r="C34" s="32" t="str">
        <x:v>Release legal package</x:v>
      </x:c>
      <x:c r="D34" s="32" t="str">
        <x:v>Licenses, notices, ratings, privacy, terms</x:v>
      </x:c>
      <x:c r="E34" s="32" t="str">
        <x:v>Legal/Privacy</x:v>
      </x:c>
      <x:c r="F34" s="32" t="str">
        <x:v>MISSING</x:v>
      </x:c>
      <x:c r="G34" s="32" t="str"/>
      <x:c r="H34" s="32" t="str"/>
      <x:c r="I34" s="32" t="str"/>
      <x:c r="J34" s="32" t="str"/>
      <x:c r="K34" s="32" t="str"/>
      <x:c r="L34" s="82" t="str"/>
      <x:c r="M34" s="82" t="str"/>
      <x:c r="N34" s="82" t="str"/>
      <x:c r="O34" s="32" t="str"/>
      <x:c r="P34" s="32" t="str"/>
    </x:row>
    <x:row r="35">
      <x:c r="A35" s="32" t="str">
        <x:v>EVD-REL-011</x:v>
      </x:c>
      <x:c r="B35" s="32" t="str">
        <x:v>Release</x:v>
      </x:c>
      <x:c r="C35" s="32" t="str">
        <x:v>Release security report</x:v>
      </x:c>
      <x:c r="D35" s="32" t="str">
        <x:v>Scans, access review, incident readiness</x:v>
      </x:c>
      <x:c r="E35" s="32" t="str">
        <x:v>Security</x:v>
      </x:c>
      <x:c r="F35" s="32" t="str">
        <x:v>MISSING</x:v>
      </x:c>
      <x:c r="G35" s="32" t="str"/>
      <x:c r="H35" s="32" t="str"/>
      <x:c r="I35" s="32" t="str"/>
      <x:c r="J35" s="32" t="str"/>
      <x:c r="K35" s="32" t="str"/>
      <x:c r="L35" s="82" t="str"/>
      <x:c r="M35" s="82" t="str"/>
      <x:c r="N35" s="82" t="str"/>
      <x:c r="O35" s="32" t="str"/>
      <x:c r="P35" s="32" t="str"/>
    </x:row>
    <x:row r="36">
      <x:c r="A36" s="32" t="str">
        <x:v>EVD-REL-012</x:v>
      </x:c>
      <x:c r="B36" s="32" t="str">
        <x:v>Release</x:v>
      </x:c>
      <x:c r="C36" s="32" t="str">
        <x:v>Marketing campaign signoff</x:v>
      </x:c>
      <x:c r="D36" s="32" t="str">
        <x:v>Calendar, channels, claims, press/creator kits</x:v>
      </x:c>
      <x:c r="E36" s="32" t="str">
        <x:v>Marketing</x:v>
      </x:c>
      <x:c r="F36" s="32" t="str">
        <x:v>MISSING</x:v>
      </x:c>
      <x:c r="G36" s="32" t="str"/>
      <x:c r="H36" s="32" t="str"/>
      <x:c r="I36" s="32" t="str"/>
      <x:c r="J36" s="32" t="str"/>
      <x:c r="K36" s="32" t="str"/>
      <x:c r="L36" s="82" t="str"/>
      <x:c r="M36" s="82" t="str"/>
      <x:c r="N36" s="82" t="str"/>
      <x:c r="O36" s="32" t="str"/>
      <x:c r="P36" s="32" t="str"/>
    </x:row>
    <x:row r="37">
      <x:c r="A37" s="32" t="str">
        <x:v>EVD-REL-013</x:v>
      </x:c>
      <x:c r="B37" s="32" t="str">
        <x:v>Release</x:v>
      </x:c>
      <x:c r="C37" s="32" t="str">
        <x:v>Support readiness</x:v>
      </x:c>
      <x:c r="D37" s="32" t="str">
        <x:v>FAQ, ticketing, moderation, escalation</x:v>
      </x:c>
      <x:c r="E37" s="32" t="str">
        <x:v>Support/Community</x:v>
      </x:c>
      <x:c r="F37" s="32" t="str">
        <x:v>MISSING</x:v>
      </x:c>
      <x:c r="G37" s="32" t="str"/>
      <x:c r="H37" s="32" t="str"/>
      <x:c r="I37" s="32" t="str"/>
      <x:c r="J37" s="32" t="str"/>
      <x:c r="K37" s="32" t="str"/>
      <x:c r="L37" s="82" t="str"/>
      <x:c r="M37" s="82" t="str"/>
      <x:c r="N37" s="82" t="str"/>
      <x:c r="O37" s="32" t="str"/>
      <x:c r="P37" s="32" t="str"/>
    </x:row>
    <x:row r="38">
      <x:c r="A38" s="32" t="str">
        <x:v>EVD-REL-014</x:v>
      </x:c>
      <x:c r="B38" s="32" t="str">
        <x:v>Release</x:v>
      </x:c>
      <x:c r="C38" s="32" t="str">
        <x:v>Telemetry/crash readiness</x:v>
      </x:c>
      <x:c r="D38" s="32" t="str">
        <x:v>Decision, schema, consent, providers, tests</x:v>
      </x:c>
      <x:c r="E38" s="32" t="str">
        <x:v>Data/Privacy</x:v>
      </x:c>
      <x:c r="F38" s="32" t="str">
        <x:v>MISSING</x:v>
      </x:c>
      <x:c r="G38" s="32" t="str"/>
      <x:c r="H38" s="32" t="str"/>
      <x:c r="I38" s="32" t="str"/>
      <x:c r="J38" s="32" t="str"/>
      <x:c r="K38" s="32" t="str"/>
      <x:c r="L38" s="82" t="str"/>
      <x:c r="M38" s="82" t="str"/>
      <x:c r="N38" s="82" t="str"/>
      <x:c r="O38" s="32" t="str"/>
      <x:c r="P38" s="32" t="str"/>
    </x:row>
    <x:row r="39">
      <x:c r="A39" s="32" t="str">
        <x:v>EVD-REL-015</x:v>
      </x:c>
      <x:c r="B39" s="32" t="str">
        <x:v>Release</x:v>
      </x:c>
      <x:c r="C39" s="32" t="str">
        <x:v>Commercial readiness</x:v>
      </x:c>
      <x:c r="D39" s="32" t="str">
        <x:v>Price, tax, discount, key policy</x:v>
      </x:c>
      <x:c r="E39" s="32" t="str">
        <x:v>Business</x:v>
      </x:c>
      <x:c r="F39" s="32" t="str">
        <x:v>MISSING</x:v>
      </x:c>
      <x:c r="G39" s="32" t="str"/>
      <x:c r="H39" s="32" t="str"/>
      <x:c r="I39" s="32" t="str"/>
      <x:c r="J39" s="32" t="str"/>
      <x:c r="K39" s="32" t="str"/>
      <x:c r="L39" s="82" t="str"/>
      <x:c r="M39" s="82" t="str"/>
      <x:c r="N39" s="82" t="str"/>
      <x:c r="O39" s="32" t="str"/>
      <x:c r="P39" s="32" t="str"/>
    </x:row>
    <x:row r="40">
      <x:c r="A40" s="32" t="str">
        <x:v>EVD-REL-016</x:v>
      </x:c>
      <x:c r="B40" s="32" t="str">
        <x:v>Release</x:v>
      </x:c>
      <x:c r="C40" s="32" t="str">
        <x:v>Rollback and hotfix rehearsal</x:v>
      </x:c>
      <x:c r="D40" s="32" t="str">
        <x:v>Rollback RC, process, timing, ownership</x:v>
      </x:c>
      <x:c r="E40" s="32" t="str">
        <x:v>Live Ops/Build</x:v>
      </x:c>
      <x:c r="F40" s="32" t="str">
        <x:v>MISSING</x:v>
      </x:c>
      <x:c r="G40" s="32" t="str"/>
      <x:c r="H40" s="32" t="str"/>
      <x:c r="I40" s="32" t="str"/>
      <x:c r="J40" s="32" t="str"/>
      <x:c r="K40" s="32" t="str"/>
      <x:c r="L40" s="82" t="str"/>
      <x:c r="M40" s="82" t="str"/>
      <x:c r="N40" s="82" t="str"/>
      <x:c r="O40" s="32" t="str"/>
      <x:c r="P40" s="32" t="str"/>
    </x:row>
    <x:row r="41">
      <x:c r="A41" s="32" t="str">
        <x:v>EVD-REL-017</x:v>
      </x:c>
      <x:c r="B41" s="32" t="str">
        <x:v>Release</x:v>
      </x:c>
      <x:c r="C41" s="32" t="str">
        <x:v>Launch monitoring plan</x:v>
      </x:c>
      <x:c r="D41" s="32" t="str">
        <x:v>Dashboards, thresholds, rota, comms</x:v>
      </x:c>
      <x:c r="E41" s="32" t="str">
        <x:v>Live Ops</x:v>
      </x:c>
      <x:c r="F41" s="32" t="str">
        <x:v>MISSING</x:v>
      </x:c>
      <x:c r="G41" s="32" t="str"/>
      <x:c r="H41" s="32" t="str"/>
      <x:c r="I41" s="32" t="str"/>
      <x:c r="J41" s="32" t="str"/>
      <x:c r="K41" s="32" t="str"/>
      <x:c r="L41" s="82" t="str"/>
      <x:c r="M41" s="82" t="str"/>
      <x:c r="N41" s="82" t="str"/>
      <x:c r="O41" s="32" t="str"/>
      <x:c r="P41" s="32" t="str"/>
    </x:row>
    <x:row r="42">
      <x:c r="A42" s="32" t="str">
        <x:v>EVD-REL-018</x:v>
      </x:c>
      <x:c r="B42" s="32" t="str">
        <x:v>Release</x:v>
      </x:c>
      <x:c r="C42" s="32" t="str">
        <x:v>Final documentation baseline</x:v>
      </x:c>
      <x:c r="D42" s="32" t="str">
        <x:v>00–34, manifest, hashes, audit, handoff</x:v>
      </x:c>
      <x:c r="E42" s="32" t="str">
        <x:v>Documentation</x:v>
      </x:c>
      <x:c r="F42" s="32" t="str">
        <x:v>MISSING</x:v>
      </x:c>
      <x:c r="G42" s="32" t="str"/>
      <x:c r="H42" s="32" t="str"/>
      <x:c r="I42" s="32" t="str"/>
      <x:c r="J42" s="32" t="str"/>
      <x:c r="K42" s="32" t="str"/>
      <x:c r="L42" s="82" t="str"/>
      <x:c r="M42" s="82" t="str"/>
      <x:c r="N42" s="82" t="str"/>
      <x:c r="O42" s="32" t="str"/>
      <x:c r="P42" s="32" t="str"/>
    </x:row>
    <x:row r="43">
      <x:c r="A43" s="32" t="str">
        <x:v>EVD-REL-019</x:v>
      </x:c>
      <x:c r="B43" s="32" t="str">
        <x:v>Release</x:v>
      </x:c>
      <x:c r="C43" s="32" t="str">
        <x:v>Release decision record</x:v>
      </x:c>
      <x:c r="D43" s="32" t="str">
        <x:v>Go/no-go decision and signatures</x:v>
      </x:c>
      <x:c r="E43" s="32" t="str">
        <x:v>Production</x:v>
      </x:c>
      <x:c r="F43" s="32" t="str">
        <x:v>MISSING</x:v>
      </x:c>
      <x:c r="G43" s="32" t="str"/>
      <x:c r="H43" s="32" t="str"/>
      <x:c r="I43" s="32" t="str"/>
      <x:c r="J43" s="32" t="str"/>
      <x:c r="K43" s="32" t="str"/>
      <x:c r="L43" s="82" t="str"/>
      <x:c r="M43" s="82" t="str"/>
      <x:c r="N43" s="82" t="str"/>
      <x:c r="O43" s="32" t="str"/>
      <x:c r="P43" s="32" t="str"/>
    </x:row>
    <x:row r="44">
      <x:c r="A44" s="32" t="str">
        <x:v>EVD-REL-020</x:v>
      </x:c>
      <x:c r="B44" s="32" t="str">
        <x:v>Release</x:v>
      </x:c>
      <x:c r="C44" s="32" t="str">
        <x:v>Post-launch handoff</x:v>
      </x:c>
      <x:c r="D44" s="32" t="str">
        <x:v>Backlog, support, patching, continuity</x:v>
      </x:c>
      <x:c r="E44" s="32" t="str">
        <x:v>Production/Live Ops</x:v>
      </x:c>
      <x:c r="F44" s="32" t="str">
        <x:v>MISSING</x:v>
      </x:c>
      <x:c r="G44" s="32" t="str"/>
      <x:c r="H44" s="32" t="str"/>
      <x:c r="I44" s="32" t="str"/>
      <x:c r="J44" s="32" t="str"/>
      <x:c r="K44" s="32" t="str"/>
      <x:c r="L44" s="82" t="str"/>
      <x:c r="M44" s="82" t="str"/>
      <x:c r="N44" s="82" t="str"/>
      <x:c r="O44" s="32" t="str"/>
      <x:c r="P44" s="32" t="str"/>
    </x:row>
    <x:row r="45">
      <x:c r="A45" s="96" t="str">
        <x:v>EVD-DOC-001</x:v>
      </x:c>
      <x:c r="B45" s="96" t="str">
        <x:v>H6 / Baseline</x:v>
      </x:c>
      <x:c r="C45" s="96" t="str">
        <x:v>Governance regeneration and cross-reference package</x:v>
      </x:c>
      <x:c r="D45" s="96" t="str">
        <x:v>Updated 12, 13, 14, 15, 21, 23 and 31; comparison against RC1; change log</x:v>
      </x:c>
      <x:c r="E45" s="96" t="str">
        <x:v>Documentation/Production</x:v>
      </x:c>
      <x:c r="F45" s="96" t="str">
        <x:v>MISSING</x:v>
      </x:c>
      <x:c r="G45" s="96"/>
      <x:c r="H45" s="96"/>
      <x:c r="I45" s="96"/>
      <x:c r="J45" s="96"/>
      <x:c r="K45" s="96"/>
      <x:c r="L45" s="96"/>
      <x:c r="M45" s="96"/>
      <x:c r="N45" s="96"/>
      <x:c r="O45" s="96" t="str">
        <x:v>H6-DOC-019; H6-DOC-027; H6-DOC-028; REL-DOC-017; REL-DOC-025; REL-DOC-026</x:v>
      </x:c>
      <x:c r="P45" s="96"/>
    </x:row>
    <x:row r="46">
      <x:c r="A46" s="96" t="str">
        <x:v>EVD-DOC-002</x:v>
      </x:c>
      <x:c r="B46" s="96" t="str">
        <x:v>Baseline</x:v>
      </x:c>
      <x:c r="C46" s="96" t="str">
        <x:v>Candidate/final documentation manifest</x:v>
      </x:c>
      <x:c r="D46" s="96" t="str">
        <x:v>32 candidate and final exports, inventory 00–34, sizes, statuses, authority, substitutions, hashes</x:v>
      </x:c>
      <x:c r="E46" s="96" t="str">
        <x:v>Documentation/Production</x:v>
      </x:c>
      <x:c r="F46" s="96" t="str">
        <x:v>MISSING</x:v>
      </x:c>
      <x:c r="G46" s="96" t="str">
        <x:v>PKG-DOC-RC1</x:v>
      </x:c>
      <x:c r="H46" s="96"/>
      <x:c r="I46" s="96"/>
      <x:c r="J46" s="96"/>
      <x:c r="K46" s="96"/>
      <x:c r="L46" s="96"/>
      <x:c r="M46" s="96"/>
      <x:c r="N46" s="96"/>
      <x:c r="O46" s="96" t="str">
        <x:v>H6-DOC-015; H6-DOC-016; REL-DOC-013</x:v>
      </x:c>
      <x:c r="P46" s="96"/>
    </x:row>
    <x:row r="47">
      <x:c r="A47" s="96" t="str">
        <x:v>EVD-DOC-003</x:v>
      </x:c>
      <x:c r="B47" s="96" t="str">
        <x:v>Baseline / Continuity</x:v>
      </x:c>
      <x:c r="C47" s="96" t="str">
        <x:v>Risk and continuity validation package</x:v>
      </x:c>
      <x:c r="D47" s="96" t="str">
        <x:v>33 dashboards, risk owners, treatments, BIA, dependencies, backup/restore and exercise status</x:v>
      </x:c>
      <x:c r="E47" s="96" t="str">
        <x:v>Risk/Production</x:v>
      </x:c>
      <x:c r="F47" s="96" t="str">
        <x:v>MISSING</x:v>
      </x:c>
      <x:c r="G47" s="96"/>
      <x:c r="H47" s="96"/>
      <x:c r="I47" s="96"/>
      <x:c r="J47" s="96"/>
      <x:c r="K47" s="96"/>
      <x:c r="L47" s="96"/>
      <x:c r="M47" s="96"/>
      <x:c r="N47" s="96"/>
      <x:c r="O47" s="96" t="str">
        <x:v>H6-DOC-017; REL-DOC-014</x:v>
      </x:c>
      <x:c r="P47" s="96"/>
    </x:row>
    <x:row r="48">
      <x:c r="A48" s="96" t="str">
        <x:v>EVD-DOC-004</x:v>
      </x:c>
      <x:c r="B48" s="96" t="str">
        <x:v>Baseline / Handoff</x:v>
      </x:c>
      <x:c r="C48" s="96" t="str">
        <x:v>Final operations and handoff validation</x:v>
      </x:c>
      <x:c r="D48" s="96" t="str">
        <x:v>34 walkthrough, current paths, build/test/publish/recover steps and independent reviewer notes</x:v>
      </x:c>
      <x:c r="E48" s="96" t="str">
        <x:v>Documentation/Production</x:v>
      </x:c>
      <x:c r="F48" s="96" t="str">
        <x:v>MISSING</x:v>
      </x:c>
      <x:c r="G48" s="96" t="str">
        <x:v>PKG-DOC-FINAL</x:v>
      </x:c>
      <x:c r="H48" s="96"/>
      <x:c r="I48" s="96"/>
      <x:c r="J48" s="96"/>
      <x:c r="K48" s="96"/>
      <x:c r="L48" s="96"/>
      <x:c r="M48" s="96"/>
      <x:c r="N48" s="96"/>
      <x:c r="O48" s="96" t="str">
        <x:v>H6-DOC-018; REL-DOC-015</x:v>
      </x:c>
      <x:c r="P48" s="96"/>
    </x:row>
    <x:row r="49">
      <x:c r="A49" s="96" t="str">
        <x:v>EVD-DOC-005</x:v>
      </x:c>
      <x:c r="B49" s="96" t="str">
        <x:v>Baseline</x:v>
      </x:c>
      <x:c r="C49" s="96" t="str">
        <x:v>Candidate and final global audit</x:v>
      </x:c>
      <x:c r="D49" s="96" t="str">
        <x:v>16 candidate, findings register, corrections, rerun and final decision</x:v>
      </x:c>
      <x:c r="E49" s="96" t="str">
        <x:v>Documentation/QA</x:v>
      </x:c>
      <x:c r="F49" s="96" t="str">
        <x:v>MISSING</x:v>
      </x:c>
      <x:c r="G49" s="96" t="str">
        <x:v>PKG-DOC-RC1</x:v>
      </x:c>
      <x:c r="H49" s="96"/>
      <x:c r="I49" s="96"/>
      <x:c r="J49" s="96"/>
      <x:c r="K49" s="96"/>
      <x:c r="L49" s="96"/>
      <x:c r="M49" s="96"/>
      <x:c r="N49" s="96"/>
      <x:c r="O49" s="96" t="str">
        <x:v>H6-DOC-020; H6-DOC-021; REL-DOC-016</x:v>
      </x:c>
      <x:c r="P49" s="96"/>
    </x:row>
    <x:row r="50">
      <x:c r="A50" s="96" t="str">
        <x:v>EVD-DOC-006</x:v>
      </x:c>
      <x:c r="B50" s="96" t="str">
        <x:v>Baseline / Integrity</x:v>
      </x:c>
      <x:c r="C50" s="96" t="str">
        <x:v>Package manifest, checksums and validation report</x:v>
      </x:c>
      <x:c r="D50" s="96" t="str">
        <x:v>PACKAGE_MANIFEST, CHECKSUMS_SHA256, DOCUMENTATION_VALIDATION_REPORT, whitelist and self-hash handling</x:v>
      </x:c>
      <x:c r="E50" s="96" t="str">
        <x:v>Documentation/Build</x:v>
      </x:c>
      <x:c r="F50" s="96" t="str">
        <x:v>MISSING</x:v>
      </x:c>
      <x:c r="G50" s="96" t="str">
        <x:v>PKG-DOC-FINAL</x:v>
      </x:c>
      <x:c r="H50" s="96"/>
      <x:c r="I50" s="96"/>
      <x:c r="J50" s="96"/>
      <x:c r="K50" s="96"/>
      <x:c r="L50" s="96"/>
      <x:c r="M50" s="96"/>
      <x:c r="N50" s="96"/>
      <x:c r="O50" s="96" t="str">
        <x:v>H6-DOC-022; H6-DOC-023; H6-DOC-026; REL-DOC-018; REL-DOC-019; REL-DOC-022; REL-DOC-023</x:v>
      </x:c>
      <x:c r="P50" s="96"/>
    </x:row>
    <x:row r="51">
      <x:c r="A51" s="96" t="str">
        <x:v>EVD-DOC-007</x:v>
      </x:c>
      <x:c r="B51" s="96" t="str">
        <x:v>Baseline / Restore</x:v>
      </x:c>
      <x:c r="C51" s="96" t="str">
        <x:v>Clean extraction, restore and independent handoff test</x:v>
      </x:c>
      <x:c r="D51" s="96" t="str">
        <x:v>ZIP extraction, recursive hash verification, Excel/Markdown opening, restore log and reviewer result</x:v>
      </x:c>
      <x:c r="E51" s="96" t="str">
        <x:v>Documentation/Production</x:v>
      </x:c>
      <x:c r="F51" s="96" t="str">
        <x:v>MISSING</x:v>
      </x:c>
      <x:c r="G51" s="96" t="str">
        <x:v>PKG-DOC-FINAL</x:v>
      </x:c>
      <x:c r="H51" s="96"/>
      <x:c r="I51" s="96"/>
      <x:c r="J51" s="96"/>
      <x:c r="K51" s="96"/>
      <x:c r="L51" s="96"/>
      <x:c r="M51" s="96"/>
      <x:c r="N51" s="96"/>
      <x:c r="O51" s="96" t="str">
        <x:v>H6-DOC-024; REL-DOC-020; REL-DOC-024</x:v>
      </x:c>
      <x:c r="P51" s="96"/>
    </x:row>
    <x:row r="52">
      <x:c r="A52" s="96" t="str">
        <x:v>EVD-DOC-008</x:v>
      </x:c>
      <x:c r="B52" s="96" t="str">
        <x:v>Baseline / Git</x:v>
      </x:c>
      <x:c r="C52" s="96" t="str">
        <x:v>Commit, tag and environment identity</x:v>
      </x:c>
      <x:c r="D52" s="96" t="str">
        <x:v>Commit SHA, tag, Unity version, package state and mapping recorded in 13/32/34/PACKAGE_MANIFEST</x:v>
      </x:c>
      <x:c r="E52" s="96" t="str">
        <x:v>Documentation/Build</x:v>
      </x:c>
      <x:c r="F52" s="96" t="str">
        <x:v>MISSING</x:v>
      </x:c>
      <x:c r="G52" s="96" t="str">
        <x:v>PKG-DOC-FINAL</x:v>
      </x:c>
      <x:c r="H52" s="96"/>
      <x:c r="I52" s="96"/>
      <x:c r="J52" s="96"/>
      <x:c r="K52" s="96"/>
      <x:c r="L52" s="96"/>
      <x:c r="M52" s="96"/>
      <x:c r="N52" s="96"/>
      <x:c r="O52" s="96" t="str">
        <x:v>H6-DOC-025; REL-DOC-021</x:v>
      </x:c>
      <x:c r="P52" s="96"/>
    </x:row>
  </x:sheetData>
  <x:mergeCells>
    <x:mergeCell ref="A1:P1"/>
    <x:mergeCell ref="A2:P2"/>
  </x:mergeCells>
  <x:conditionalFormatting sqref="F5:F44">
    <x:cfRule type="expression" dxfId="10" priority="1">
      <x:formula>F5="VERIFIED"</x:formula>
    </x:cfRule>
    <x:cfRule type="expression" dxfId="11" priority="2">
      <x:formula>F5="REJECTED"</x:formula>
    </x:cfRule>
    <x:cfRule type="expression" dxfId="12" priority="3">
      <x:formula>F5="MISSING"</x:formula>
    </x:cfRule>
  </x:conditionalFormatting>
  <x:dataValidations count="2">
    <x:dataValidation type="list" sqref="F5:F44">
      <x:formula1>"MISSING,PARTIAL,COMPLETE,VERIFIED,REJECTED"</x:formula1>
    </x:dataValidation>
    <x:dataValidation type="list" sqref="F45:F52">
      <x:formula1>'11_Catalogos'!$E$2:$E$6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0d056fff04442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8" hidden="0" customWidth="1"/>
    <x:col min="3" max="3" width="16" hidden="0" customWidth="1"/>
    <x:col min="4" max="4" width="10" hidden="0" customWidth="1"/>
    <x:col min="5" max="5" width="22" hidden="0" customWidth="1"/>
    <x:col min="6" max="6" width="58" hidden="0" customWidth="1"/>
    <x:col min="7" max="7" width="35" hidden="0" customWidth="1"/>
    <x:col min="8" max="8" width="26" hidden="0" customWidth="1"/>
    <x:col min="9" max="9" width="12" hidden="0" customWidth="1"/>
    <x:col min="10" max="10" width="18" hidden="0" customWidth="1"/>
    <x:col min="11" max="11" width="22" hidden="0" customWidth="1"/>
    <x:col min="12" max="12" width="20" hidden="0" customWidth="1"/>
    <x:col min="13" max="13" width="20" hidden="0" customWidth="1"/>
    <x:col min="14" max="14" width="24" hidden="0" customWidth="1"/>
    <x:col min="15" max="15" width="24" hidden="0" customWidth="1"/>
    <x:col min="16" max="16" width="20" hidden="0" customWidth="1"/>
    <x:col min="17" max="17" width="46" hidden="0" customWidth="1"/>
    <x:col min="18" max="18" width="32" hidden="0" customWidth="1"/>
  </x:cols>
  <x:sheetData>
    <x:row r="1" ht="34" customHeight="1">
      <x:c r="A1" s="5" t="str">
        <x:v>Gate Blockers, Defects and Exceptions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 ht="38" customHeight="1">
      <x:c r="A2" s="14" t="str">
        <x:v>Registro único para normalizar S0/S1, hallazgos de auditoría, deuda aceptada y excepciones. Los 25 hallazgos de 16 se importan como OPEN para impedir su omisión.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</x:row>
    <x:row r="4" ht="42" customHeight="1">
      <x:c r="A4" s="24" t="str">
        <x:v>ID</x:v>
      </x:c>
      <x:c r="B4" s="24" t="str">
        <x:v>Record Type</x:v>
      </x:c>
      <x:c r="C4" s="24" t="str">
        <x:v>Severity</x:v>
      </x:c>
      <x:c r="D4" s="24" t="str">
        <x:v>Priority</x:v>
      </x:c>
      <x:c r="E4" s="24" t="str">
        <x:v>Area</x:v>
      </x:c>
      <x:c r="F4" s="24" t="str">
        <x:v>Summary / Finding</x:v>
      </x:c>
      <x:c r="G4" s="24" t="str">
        <x:v>Affected Docs / Components</x:v>
      </x:c>
      <x:c r="H4" s="24" t="str">
        <x:v>Affected Gate</x:v>
      </x:c>
      <x:c r="I4" s="24" t="str">
        <x:v>Blocks Gate</x:v>
      </x:c>
      <x:c r="J4" s="24" t="str">
        <x:v>Status</x:v>
      </x:c>
      <x:c r="K4" s="24" t="str">
        <x:v>Owner</x:v>
      </x:c>
      <x:c r="L4" s="24" t="str">
        <x:v>Detected Build</x:v>
      </x:c>
      <x:c r="M4" s="24" t="str">
        <x:v>Fixed Build</x:v>
      </x:c>
      <x:c r="N4" s="24" t="str">
        <x:v>Test / Evidence ID</x:v>
      </x:c>
      <x:c r="O4" s="24" t="str">
        <x:v>Exception Decision</x:v>
      </x:c>
      <x:c r="P4" s="24" t="str">
        <x:v>Review Trigger / Due</x:v>
      </x:c>
      <x:c r="Q4" s="24" t="str">
        <x:v>Resolution / Mitigation</x:v>
      </x:c>
      <x:c r="R4" s="24" t="str">
        <x:v>Source</x:v>
      </x:c>
    </x:row>
    <x:row r="5">
      <x:c r="A5" s="32" t="str">
        <x:v>AUD-GLOB-001</x:v>
      </x:c>
      <x:c r="B5" s="32" t="str">
        <x:v>AUDIT FINDING</x:v>
      </x:c>
      <x:c r="C5" s="32" t="str">
        <x:v>S1 / Audit A1</x:v>
      </x:c>
      <x:c r="D5" s="32" t="str">
        <x:v>P1</x:v>
      </x:c>
      <x:c r="E5" s="32" t="str">
        <x:v>Trazabilidad</x:v>
      </x:c>
      <x:c r="F5" s="32" t="str">
        <x:v>La cobertura 293/293 se presenta como completa sin trazabilidad de implementación suficiente</x:v>
      </x:c>
      <x:c r="G5" s="32" t="str">
        <x:v>13, 14, 15</x:v>
      </x:c>
      <x:c r="H5" s="32" t="str">
        <x:v>Baseline v1.0 / H6</x:v>
      </x:c>
      <x:c r="I5" s="32" t="str">
        <x:v>Yes</x:v>
      </x:c>
      <x:c r="J5" s="32" t="str">
        <x:v>OPEN</x:v>
      </x:c>
      <x:c r="K5" s="32" t="str"/>
      <x:c r="L5" s="32" t="str"/>
      <x:c r="M5" s="32" t="str"/>
      <x:c r="N5" s="32" t="str"/>
      <x:c r="O5" s="32" t="str"/>
      <x:c r="P5" s="32" t="str"/>
      <x:c r="Q5" s="32" t="str"/>
      <x:c r="R5" s="32" t="str">
        <x:v>16_Auditoria_Global_de_Coherencia.md §9</x:v>
      </x:c>
    </x:row>
    <x:row r="6">
      <x:c r="A6" s="32" t="str">
        <x:v>AUD-GLOB-002</x:v>
      </x:c>
      <x:c r="B6" s="32" t="str">
        <x:v>AUDIT FINDING</x:v>
      </x:c>
      <x:c r="C6" s="32" t="str">
        <x:v>S1 / Audit A1</x:v>
      </x:c>
      <x:c r="D6" s="32" t="str">
        <x:v>P1</x:v>
      </x:c>
      <x:c r="E6" s="32" t="str">
        <x:v>Auditoría automática</x:v>
      </x:c>
      <x:c r="F6" s="32" t="str">
        <x:v>Los controles de SHA y checksum de builds pendientes dan un PASS falso</x:v>
      </x:c>
      <x:c r="G6" s="32" t="str">
        <x:v>13</x:v>
      </x:c>
      <x:c r="H6" s="32" t="str">
        <x:v>Baseline v1.0 / Sprint 16 / H6</x:v>
      </x:c>
      <x:c r="I6" s="32" t="str">
        <x:v>Yes</x:v>
      </x:c>
      <x:c r="J6" s="32" t="str">
        <x:v>OPEN</x:v>
      </x:c>
      <x:c r="K6" s="32" t="str"/>
      <x:c r="L6" s="32" t="str"/>
      <x:c r="M6" s="32" t="str"/>
      <x:c r="N6" s="32" t="str"/>
      <x:c r="O6" s="32" t="str"/>
      <x:c r="P6" s="32" t="str"/>
      <x:c r="Q6" s="32" t="str">
        <x:v>Formula controls have been strengthened in regenerated 13, 23 and 31; verify with candidate audit 16 before closure.</x:v>
      </x:c>
      <x:c r="R6" s="32" t="str">
        <x:v>16_Auditoria_Global_de_Coherencia.md §9</x:v>
      </x:c>
    </x:row>
    <x:row r="7">
      <x:c r="A7" s="32" t="str">
        <x:v>AUD-GLOB-003</x:v>
      </x:c>
      <x:c r="B7" s="32" t="str">
        <x:v>AUDIT FINDING</x:v>
      </x:c>
      <x:c r="C7" s="32" t="str">
        <x:v>S1 / Audit A1</x:v>
      </x:c>
      <x:c r="D7" s="32" t="str">
        <x:v>P1</x:v>
      </x:c>
      <x:c r="E7" s="32" t="str">
        <x:v>Control de cambios</x:v>
      </x:c>
      <x:c r="F7" s="32" t="str">
        <x:v>La importación histórica perdió descripción, bloque y alcance de los cambios de Sprint 0</x:v>
      </x:c>
      <x:c r="G7" s="32" t="str">
        <x:v>13</x:v>
      </x:c>
      <x:c r="H7" s="32" t="str">
        <x:v>Baseline v1.0</x:v>
      </x:c>
      <x:c r="I7" s="32" t="str">
        <x:v>Review</x:v>
      </x:c>
      <x:c r="J7" s="32" t="str">
        <x:v>OPEN</x:v>
      </x:c>
      <x:c r="K7" s="32" t="str"/>
      <x:c r="L7" s="32" t="str"/>
      <x:c r="M7" s="32" t="str"/>
      <x:c r="N7" s="32" t="str"/>
      <x:c r="O7" s="32" t="str"/>
      <x:c r="P7" s="32" t="str"/>
      <x:c r="Q7" s="32" t="str"/>
      <x:c r="R7" s="32" t="str">
        <x:v>16_Auditoria_Global_de_Coherencia.md §9</x:v>
      </x:c>
    </x:row>
    <x:row r="8">
      <x:c r="A8" s="32" t="str">
        <x:v>AUD-GLOB-004</x:v>
      </x:c>
      <x:c r="B8" s="32" t="str">
        <x:v>AUDIT FINDING</x:v>
      </x:c>
      <x:c r="C8" s="32" t="str">
        <x:v>S1 / Audit A1</x:v>
      </x:c>
      <x:c r="D8" s="32" t="str">
        <x:v>P1</x:v>
      </x:c>
      <x:c r="E8" s="32" t="str">
        <x:v>Builds</x:v>
      </x:c>
      <x:c r="F8" s="32" t="str">
        <x:v>El Excel de producción sintetiza una build PASS para cada Sprint 0–15 sin evidencia equivalente</x:v>
      </x:c>
      <x:c r="G8" s="32" t="str">
        <x:v>08, 11, 12, 13</x:v>
      </x:c>
      <x:c r="H8" s="32" t="str">
        <x:v>Baseline v1.0</x:v>
      </x:c>
      <x:c r="I8" s="32" t="str">
        <x:v>Review</x:v>
      </x:c>
      <x:c r="J8" s="32" t="str">
        <x:v>OPEN</x:v>
      </x:c>
      <x:c r="K8" s="32" t="str"/>
      <x:c r="L8" s="32" t="str"/>
      <x:c r="M8" s="32" t="str"/>
      <x:c r="N8" s="32" t="str"/>
      <x:c r="O8" s="32" t="str"/>
      <x:c r="P8" s="32" t="str"/>
      <x:c r="Q8" s="32" t="str"/>
      <x:c r="R8" s="32" t="str">
        <x:v>16_Auditoria_Global_de_Coherencia.md §9</x:v>
      </x:c>
    </x:row>
    <x:row r="9">
      <x:c r="A9" s="32" t="str">
        <x:v>AUD-GLOB-005</x:v>
      </x:c>
      <x:c r="B9" s="32" t="str">
        <x:v>AUDIT FINDING</x:v>
      </x:c>
      <x:c r="C9" s="32" t="str">
        <x:v>S1 / Audit A1</x:v>
      </x:c>
      <x:c r="D9" s="32" t="str">
        <x:v>P1</x:v>
      </x:c>
      <x:c r="E9" s="32" t="str">
        <x:v>QA / Gates</x:v>
      </x:c>
      <x:c r="F9" s="32" t="str">
        <x:v>El universo de S0/S1 no está normalizado entre QA y producción</x:v>
      </x:c>
      <x:c r="G9" s="32" t="str">
        <x:v>07, 08, 12, 13, 14, 15</x:v>
      </x:c>
      <x:c r="H9" s="32" t="str">
        <x:v>Sprint 16 / Sprint 17 / H6</x:v>
      </x:c>
      <x:c r="I9" s="32" t="str">
        <x:v>Yes</x:v>
      </x:c>
      <x:c r="J9" s="32" t="str">
        <x:v>OPEN</x:v>
      </x:c>
      <x:c r="K9" s="32" t="str"/>
      <x:c r="L9" s="32" t="str"/>
      <x:c r="M9" s="32" t="str"/>
      <x:c r="N9" s="32" t="str"/>
      <x:c r="O9" s="32" t="str"/>
      <x:c r="P9" s="32" t="str"/>
      <x:c r="Q9" s="32" t="str"/>
      <x:c r="R9" s="32" t="str">
        <x:v>16_Auditoria_Global_de_Coherencia.md §9</x:v>
      </x:c>
    </x:row>
    <x:row r="10">
      <x:c r="A10" s="32" t="str">
        <x:v>AUD-GLOB-006</x:v>
      </x:c>
      <x:c r="B10" s="32" t="str">
        <x:v>AUDIT FINDING</x:v>
      </x:c>
      <x:c r="C10" s="32" t="str">
        <x:v>S1 / Audit A1</x:v>
      </x:c>
      <x:c r="D10" s="32" t="str">
        <x:v>P1</x:v>
      </x:c>
      <x:c r="E10" s="32" t="str">
        <x:v>Baseline documental</x:v>
      </x:c>
      <x:c r="F10" s="32" t="str">
        <x:v>Los registros documentales de 12 y 13 quedaron obsoletos tras crear 13, 14 y 15</x:v>
      </x:c>
      <x:c r="G10" s="32" t="str">
        <x:v>12, 13, 14, 15</x:v>
      </x:c>
      <x:c r="H10" s="32" t="str">
        <x:v>Baseline v1.0</x:v>
      </x:c>
      <x:c r="I10" s="32" t="str">
        <x:v>Review</x:v>
      </x:c>
      <x:c r="J10" s="32" t="str">
        <x:v>OPEN</x:v>
      </x:c>
      <x:c r="K10" s="32" t="str"/>
      <x:c r="L10" s="32" t="str"/>
      <x:c r="M10" s="32" t="str"/>
      <x:c r="N10" s="32" t="str"/>
      <x:c r="O10" s="32" t="str"/>
      <x:c r="P10" s="32" t="str"/>
      <x:c r="Q10" s="32" t="str">
        <x:v>12–15, 21 and 23 were regenerated after RC1; 31 is regenerated in this phase. Closure requires verification in candidate/final audit 16.</x:v>
      </x:c>
      <x:c r="R10" s="32" t="str">
        <x:v>16_Auditoria_Global_de_Coherencia.md §9</x:v>
      </x:c>
    </x:row>
    <x:row r="11">
      <x:c r="A11" s="32" t="str">
        <x:v>AUD-GLOB-007</x:v>
      </x:c>
      <x:c r="B11" s="32" t="str">
        <x:v>AUDIT FINDING</x:v>
      </x:c>
      <x:c r="C11" s="32" t="str">
        <x:v>S1 / Audit A1</x:v>
      </x:c>
      <x:c r="D11" s="32" t="str">
        <x:v>P1</x:v>
      </x:c>
      <x:c r="E11" s="32" t="str">
        <x:v>Escena / Integración</x:v>
      </x:c>
      <x:c r="F11" s="32" t="str">
        <x:v>StoreInitial sigue siendo objetivo documental, no escena representativa conectada</x:v>
      </x:c>
      <x:c r="G11" s="32" t="str">
        <x:v>02, 03, 05, 06, 07, 08, 10, 11, 12, 13, 14, 15</x:v>
      </x:c>
      <x:c r="H11" s="32" t="str">
        <x:v>Sprint 16 / H6</x:v>
      </x:c>
      <x:c r="I11" s="32" t="str">
        <x:v>Yes</x:v>
      </x:c>
      <x:c r="J11" s="32" t="str">
        <x:v>OPEN</x:v>
      </x:c>
      <x:c r="K11" s="32" t="str"/>
      <x:c r="L11" s="32" t="str"/>
      <x:c r="M11" s="32" t="str"/>
      <x:c r="N11" s="32" t="str"/>
      <x:c r="O11" s="32" t="str"/>
      <x:c r="P11" s="32" t="str"/>
      <x:c r="Q11" s="32" t="str"/>
      <x:c r="R11" s="32" t="str">
        <x:v>16_Auditoria_Global_de_Coherencia.md §9</x:v>
      </x:c>
    </x:row>
    <x:row r="12">
      <x:c r="A12" s="32" t="str">
        <x:v>AUD-GLOB-008</x:v>
      </x:c>
      <x:c r="B12" s="32" t="str">
        <x:v>AUDIT FINDING</x:v>
      </x:c>
      <x:c r="C12" s="32" t="str">
        <x:v>S2 / Audit A2</x:v>
      </x:c>
      <x:c r="D12" s="32" t="str">
        <x:v>P2</x:v>
      </x:c>
      <x:c r="E12" s="32" t="str">
        <x:v>Metadatos</x:v>
      </x:c>
      <x:c r="F12" s="32" t="str">
        <x:v>Las referencias de baseline documental siguen apuntando a v0.6 en documentos consolidados 1.0</x:v>
      </x:c>
      <x:c r="G12" s="32" t="str">
        <x:v>06, 07, 11</x:v>
      </x:c>
      <x:c r="H12" s="32" t="str">
        <x:v>Baseline v1.0</x:v>
      </x:c>
      <x:c r="I12" s="32" t="str">
        <x:v>Review</x:v>
      </x:c>
      <x:c r="J12" s="32" t="str">
        <x:v>OPEN</x:v>
      </x:c>
      <x:c r="K12" s="32" t="str"/>
      <x:c r="L12" s="32" t="str"/>
      <x:c r="M12" s="32" t="str"/>
      <x:c r="N12" s="32" t="str"/>
      <x:c r="O12" s="32" t="str"/>
      <x:c r="P12" s="32" t="str"/>
      <x:c r="Q12" s="32" t="str"/>
      <x:c r="R12" s="32" t="str">
        <x:v>16_Auditoria_Global_de_Coherencia.md §9</x:v>
      </x:c>
    </x:row>
    <x:row r="13">
      <x:c r="A13" s="32" t="str">
        <x:v>AUD-GLOB-009</x:v>
      </x:c>
      <x:c r="B13" s="32" t="str">
        <x:v>AUDIT FINDING</x:v>
      </x:c>
      <x:c r="C13" s="32" t="str">
        <x:v>S2 / Audit A2</x:v>
      </x:c>
      <x:c r="D13" s="32" t="str">
        <x:v>P2</x:v>
      </x:c>
      <x:c r="E13" s="32" t="str">
        <x:v>Navegación</x:v>
      </x:c>
      <x:c r="F13" s="32" t="str">
        <x:v>El Binder aún presenta la Guía Maestra como documento futuro</x:v>
      </x:c>
      <x:c r="G13" s="32" t="str">
        <x:v>14, 15</x:v>
      </x:c>
      <x:c r="H13" s="32" t="str">
        <x:v>Baseline v1.0</x:v>
      </x:c>
      <x:c r="I13" s="32" t="str">
        <x:v>Review</x:v>
      </x:c>
      <x:c r="J13" s="32" t="str">
        <x:v>OPEN</x:v>
      </x:c>
      <x:c r="K13" s="32" t="str"/>
      <x:c r="L13" s="32" t="str"/>
      <x:c r="M13" s="32" t="str"/>
      <x:c r="N13" s="32" t="str"/>
      <x:c r="O13" s="32" t="str"/>
      <x:c r="P13" s="32" t="str"/>
      <x:c r="Q13" s="32" t="str">
        <x:v>Binder 14 was regenerated and no longer treats the Guide or 31–34 as future work; verify in audit 16 before closing.</x:v>
      </x:c>
      <x:c r="R13" s="32" t="str">
        <x:v>16_Auditoria_Global_de_Coherencia.md §9</x:v>
      </x:c>
    </x:row>
    <x:row r="14">
      <x:c r="A14" s="32" t="str">
        <x:v>AUD-GLOB-010</x:v>
      </x:c>
      <x:c r="B14" s="32" t="str">
        <x:v>AUDIT FINDING</x:v>
      </x:c>
      <x:c r="C14" s="32" t="str">
        <x:v>S2 / Audit A2</x:v>
      </x:c>
      <x:c r="D14" s="32" t="str">
        <x:v>P2</x:v>
      </x:c>
      <x:c r="E14" s="32" t="str">
        <x:v>Navegación</x:v>
      </x:c>
      <x:c r="F14" s="32" t="str">
        <x:v>El dashboard de trazabilidad indica como siguiente documento el Project Binder</x:v>
      </x:c>
      <x:c r="G14" s="32" t="str">
        <x:v>13, 14, 15</x:v>
      </x:c>
      <x:c r="H14" s="32" t="str">
        <x:v>Baseline v1.0</x:v>
      </x:c>
      <x:c r="I14" s="32" t="str">
        <x:v>Review</x:v>
      </x:c>
      <x:c r="J14" s="32" t="str">
        <x:v>OPEN</x:v>
      </x:c>
      <x:c r="K14" s="32" t="str"/>
      <x:c r="L14" s="32" t="str"/>
      <x:c r="M14" s="32" t="str"/>
      <x:c r="N14" s="32" t="str"/>
      <x:c r="O14" s="32" t="str"/>
      <x:c r="P14" s="32" t="str"/>
      <x:c r="Q14" s="32" t="str">
        <x:v>Traceability 13 was regenerated and its next-step status updated; verify in audit 16 before closing.</x:v>
      </x:c>
      <x:c r="R14" s="32" t="str">
        <x:v>16_Auditoria_Global_de_Coherencia.md §9</x:v>
      </x:c>
    </x:row>
    <x:row r="15">
      <x:c r="A15" s="32" t="str">
        <x:v>AUD-GLOB-011</x:v>
      </x:c>
      <x:c r="B15" s="32" t="str">
        <x:v>AUDIT FINDING</x:v>
      </x:c>
      <x:c r="C15" s="32" t="str">
        <x:v>S2 / Audit A2</x:v>
      </x:c>
      <x:c r="D15" s="32" t="str">
        <x:v>P2</x:v>
      </x:c>
      <x:c r="E15" s="32" t="str">
        <x:v>Formato Markdown</x:v>
      </x:c>
      <x:c r="F15" s="32" t="str">
        <x:v>El front matter de 10 no comienza en el primer byte del archivo</x:v>
      </x:c>
      <x:c r="G15" s="32" t="str">
        <x:v>10</x:v>
      </x:c>
      <x:c r="H15" s="32" t="str">
        <x:v>Baseline v1.0</x:v>
      </x:c>
      <x:c r="I15" s="32" t="str">
        <x:v>Review</x:v>
      </x:c>
      <x:c r="J15" s="32" t="str">
        <x:v>OPEN</x:v>
      </x:c>
      <x:c r="K15" s="32" t="str"/>
      <x:c r="L15" s="32" t="str"/>
      <x:c r="M15" s="32" t="str"/>
      <x:c r="N15" s="32" t="str"/>
      <x:c r="O15" s="32" t="str"/>
      <x:c r="P15" s="32" t="str"/>
      <x:c r="Q15" s="32" t="str"/>
      <x:c r="R15" s="32" t="str">
        <x:v>16_Auditoria_Global_de_Coherencia.md §9</x:v>
      </x:c>
    </x:row>
    <x:row r="16">
      <x:c r="A16" s="32" t="str">
        <x:v>AUD-GLOB-012</x:v>
      </x:c>
      <x:c r="B16" s="32" t="str">
        <x:v>AUDIT FINDING</x:v>
      </x:c>
      <x:c r="C16" s="32" t="str">
        <x:v>S2 / Audit A2</x:v>
      </x:c>
      <x:c r="D16" s="32" t="str">
        <x:v>P2</x:v>
      </x:c>
      <x:c r="E16" s="32" t="str">
        <x:v>Metadatos</x:v>
      </x:c>
      <x:c r="F16" s="32" t="str">
        <x:v>La convención de metadatos no es uniforme</x:v>
      </x:c>
      <x:c r="G16" s="32" t="str">
        <x:v>00–15</x:v>
      </x:c>
      <x:c r="H16" s="32" t="str">
        <x:v>Baseline v1.0</x:v>
      </x:c>
      <x:c r="I16" s="32" t="str">
        <x:v>Review</x:v>
      </x:c>
      <x:c r="J16" s="32" t="str">
        <x:v>OPEN</x:v>
      </x:c>
      <x:c r="K16" s="32" t="str"/>
      <x:c r="L16" s="32" t="str"/>
      <x:c r="M16" s="32" t="str"/>
      <x:c r="N16" s="32" t="str"/>
      <x:c r="O16" s="32" t="str"/>
      <x:c r="P16" s="32" t="str"/>
      <x:c r="Q16" s="32" t="str"/>
      <x:c r="R16" s="32" t="str">
        <x:v>16_Auditoria_Global_de_Coherencia.md §9</x:v>
      </x:c>
    </x:row>
    <x:row r="17">
      <x:c r="A17" s="32" t="str">
        <x:v>AUD-GLOB-013</x:v>
      </x:c>
      <x:c r="B17" s="32" t="str">
        <x:v>AUDIT FINDING</x:v>
      </x:c>
      <x:c r="C17" s="32" t="str">
        <x:v>S2 / Audit A2</x:v>
      </x:c>
      <x:c r="D17" s="32" t="str">
        <x:v>P2</x:v>
      </x:c>
      <x:c r="E17" s="32" t="str">
        <x:v>QA</x:v>
      </x:c>
      <x:c r="F17" s="32" t="str">
        <x:v>Las cifras de pruebas usan unidades distintas sin etiqueta suficientemente visible</x:v>
      </x:c>
      <x:c r="G17" s="32" t="str">
        <x:v>07, 08, 12, 13, 14, 15</x:v>
      </x:c>
      <x:c r="H17" s="32" t="str">
        <x:v>Baseline v1.0 / H6</x:v>
      </x:c>
      <x:c r="I17" s="32" t="str">
        <x:v>Review</x:v>
      </x:c>
      <x:c r="J17" s="32" t="str">
        <x:v>OPEN</x:v>
      </x:c>
      <x:c r="K17" s="32" t="str"/>
      <x:c r="L17" s="32" t="str"/>
      <x:c r="M17" s="32" t="str"/>
      <x:c r="N17" s="32" t="str"/>
      <x:c r="O17" s="32" t="str"/>
      <x:c r="P17" s="32" t="str"/>
      <x:c r="Q17" s="32" t="str"/>
      <x:c r="R17" s="32" t="str">
        <x:v>16_Auditoria_Global_de_Coherencia.md §9</x:v>
      </x:c>
    </x:row>
    <x:row r="18">
      <x:c r="A18" s="32" t="str">
        <x:v>AUD-GLOB-014</x:v>
      </x:c>
      <x:c r="B18" s="32" t="str">
        <x:v>AUDIT FINDING</x:v>
      </x:c>
      <x:c r="C18" s="32" t="str">
        <x:v>S2 / Audit A2</x:v>
      </x:c>
      <x:c r="D18" s="32" t="str">
        <x:v>P2</x:v>
      </x:c>
      <x:c r="E18" s="32" t="str">
        <x:v>Requisitos</x:v>
      </x:c>
      <x:c r="F18" s="32" t="str">
        <x:v>173 requisitos QA y 293 requisitos de trazabilidad no comparten una taxonomía explícita</x:v>
      </x:c>
      <x:c r="G18" s="32" t="str">
        <x:v>08, 13, 14</x:v>
      </x:c>
      <x:c r="H18" s="32" t="str">
        <x:v>Baseline v1.0</x:v>
      </x:c>
      <x:c r="I18" s="32" t="str">
        <x:v>Review</x:v>
      </x:c>
      <x:c r="J18" s="32" t="str">
        <x:v>OPEN</x:v>
      </x:c>
      <x:c r="K18" s="32" t="str"/>
      <x:c r="L18" s="32" t="str"/>
      <x:c r="M18" s="32" t="str"/>
      <x:c r="N18" s="32" t="str"/>
      <x:c r="O18" s="32" t="str"/>
      <x:c r="P18" s="32" t="str"/>
      <x:c r="Q18" s="32" t="str"/>
      <x:c r="R18" s="32" t="str">
        <x:v>16_Auditoria_Global_de_Coherencia.md §9</x:v>
      </x:c>
    </x:row>
    <x:row r="19">
      <x:c r="A19" s="32" t="str">
        <x:v>AUD-GLOB-015</x:v>
      </x:c>
      <x:c r="B19" s="32" t="str">
        <x:v>AUDIT FINDING</x:v>
      </x:c>
      <x:c r="C19" s="32" t="str">
        <x:v>S2 / Audit A2</x:v>
      </x:c>
      <x:c r="D19" s="32" t="str">
        <x:v>P2</x:v>
      </x:c>
      <x:c r="E19" s="32" t="str">
        <x:v>Producción</x:v>
      </x:c>
      <x:c r="F19" s="32" t="str">
        <x:v>El progreso de Sprint 16 es porcentaje de filas, no progreso temporal ni esfuerzo completado</x:v>
      </x:c>
      <x:c r="G19" s="32" t="str">
        <x:v>12, 15</x:v>
      </x:c>
      <x:c r="H19" s="32" t="str">
        <x:v>Gestión Sprint 16</x:v>
      </x:c>
      <x:c r="I19" s="32" t="str">
        <x:v>Review</x:v>
      </x:c>
      <x:c r="J19" s="32" t="str">
        <x:v>OPEN</x:v>
      </x:c>
      <x:c r="K19" s="32" t="str"/>
      <x:c r="L19" s="32" t="str"/>
      <x:c r="M19" s="32" t="str"/>
      <x:c r="N19" s="32" t="str"/>
      <x:c r="O19" s="32" t="str"/>
      <x:c r="P19" s="32" t="str"/>
      <x:c r="Q19" s="32" t="str"/>
      <x:c r="R19" s="32" t="str">
        <x:v>16_Auditoria_Global_de_Coherencia.md §9</x:v>
      </x:c>
    </x:row>
    <x:row r="20">
      <x:c r="A20" s="32" t="str">
        <x:v>AUD-GLOB-016</x:v>
      </x:c>
      <x:c r="B20" s="32" t="str">
        <x:v>AUDIT FINDING</x:v>
      </x:c>
      <x:c r="C20" s="32" t="str">
        <x:v>S2 / Audit A2</x:v>
      </x:c>
      <x:c r="D20" s="32" t="str">
        <x:v>P2</x:v>
      </x:c>
      <x:c r="E20" s="32" t="str">
        <x:v>Build/Setup</x:v>
      </x:c>
      <x:c r="F20" s="32" t="str">
        <x:v>No existe todavía un perfil de candidata distribuible con StoreInitial y sin TestLab</x:v>
      </x:c>
      <x:c r="G20" s="32" t="str">
        <x:v>10, 11, 12, 13</x:v>
      </x:c>
      <x:c r="H20" s="32" t="str">
        <x:v>Sprint 16 / H6</x:v>
      </x:c>
      <x:c r="I20" s="32" t="str">
        <x:v>Review</x:v>
      </x:c>
      <x:c r="J20" s="32" t="str">
        <x:v>OPEN</x:v>
      </x:c>
      <x:c r="K20" s="32" t="str"/>
      <x:c r="L20" s="32" t="str"/>
      <x:c r="M20" s="32" t="str"/>
      <x:c r="N20" s="32" t="str"/>
      <x:c r="O20" s="32" t="str"/>
      <x:c r="P20" s="32" t="str"/>
      <x:c r="Q20" s="32" t="str"/>
      <x:c r="R20" s="32" t="str">
        <x:v>16_Auditoria_Global_de_Coherencia.md §9</x:v>
      </x:c>
    </x:row>
    <x:row r="21">
      <x:c r="A21" s="32" t="str">
        <x:v>AUD-GLOB-017</x:v>
      </x:c>
      <x:c r="B21" s="32" t="str">
        <x:v>AUDIT FINDING</x:v>
      </x:c>
      <x:c r="C21" s="32" t="str">
        <x:v>S2 / Audit A2</x:v>
      </x:c>
      <x:c r="D21" s="32" t="str">
        <x:v>P2</x:v>
      </x:c>
      <x:c r="E21" s="32" t="str">
        <x:v>PC UX</x:v>
      </x:c>
      <x:c r="F21" s="32" t="str">
        <x:v>Resolución y comportamiento de ventana continúan sin decisión de producto cerrada</x:v>
      </x:c>
      <x:c r="G21" s="32" t="str">
        <x:v>05, 10, 12, 13</x:v>
      </x:c>
      <x:c r="H21" s="32" t="str">
        <x:v>Sprint 17 / H6</x:v>
      </x:c>
      <x:c r="I21" s="32" t="str">
        <x:v>Review</x:v>
      </x:c>
      <x:c r="J21" s="32" t="str">
        <x:v>OPEN</x:v>
      </x:c>
      <x:c r="K21" s="32" t="str"/>
      <x:c r="L21" s="32" t="str"/>
      <x:c r="M21" s="32" t="str"/>
      <x:c r="N21" s="32" t="str"/>
      <x:c r="O21" s="32" t="str"/>
      <x:c r="P21" s="32" t="str"/>
      <x:c r="Q21" s="32" t="str"/>
      <x:c r="R21" s="32" t="str">
        <x:v>16_Auditoria_Global_de_Coherencia.md §9</x:v>
      </x:c>
    </x:row>
    <x:row r="22">
      <x:c r="A22" s="32" t="str">
        <x:v>AUD-GLOB-018</x:v>
      </x:c>
      <x:c r="B22" s="32" t="str">
        <x:v>AUDIT FINDING</x:v>
      </x:c>
      <x:c r="C22" s="32" t="str">
        <x:v>S2 / Audit A2</x:v>
      </x:c>
      <x:c r="D22" s="32" t="str">
        <x:v>P2</x:v>
      </x:c>
      <x:c r="E22" s="32" t="str">
        <x:v>Localización</x:v>
      </x:c>
      <x:c r="F22" s="32" t="str">
        <x:v>El paquete Localization está instalado, pero no hay tablas ES/EN que demuestren el requisito</x:v>
      </x:c>
      <x:c r="G22" s="32" t="str">
        <x:v>05, 07, 08, 10, 12, 13</x:v>
      </x:c>
      <x:c r="H22" s="32" t="str">
        <x:v>Sprint 17 / H6</x:v>
      </x:c>
      <x:c r="I22" s="32" t="str">
        <x:v>Review</x:v>
      </x:c>
      <x:c r="J22" s="32" t="str">
        <x:v>OPEN</x:v>
      </x:c>
      <x:c r="K22" s="32" t="str"/>
      <x:c r="L22" s="32" t="str"/>
      <x:c r="M22" s="32" t="str"/>
      <x:c r="N22" s="32" t="str"/>
      <x:c r="O22" s="32" t="str"/>
      <x:c r="P22" s="32" t="str"/>
      <x:c r="Q22" s="32" t="str"/>
      <x:c r="R22" s="32" t="str">
        <x:v>16_Auditoria_Global_de_Coherencia.md §9</x:v>
      </x:c>
    </x:row>
    <x:row r="23">
      <x:c r="A23" s="32" t="str">
        <x:v>AUD-GLOB-019</x:v>
      </x:c>
      <x:c r="B23" s="32" t="str">
        <x:v>AUDIT FINDING</x:v>
      </x:c>
      <x:c r="C23" s="32" t="str">
        <x:v>S2 / Audit A2</x:v>
      </x:c>
      <x:c r="D23" s="32" t="str">
        <x:v>P2</x:v>
      </x:c>
      <x:c r="E23" s="32" t="str">
        <x:v>Persistencia</x:v>
      </x:c>
      <x:c r="F23" s="32" t="str">
        <x:v>Persisten dos capas/modelos y el placement dinámico no está completamente cubierto por schema 2</x:v>
      </x:c>
      <x:c r="G23" s="32" t="str">
        <x:v>03, 04, 07, 12, 13, 15</x:v>
      </x:c>
      <x:c r="H23" s="32" t="str">
        <x:v>H6 / Post-H6</x:v>
      </x:c>
      <x:c r="I23" s="32" t="str">
        <x:v>Review</x:v>
      </x:c>
      <x:c r="J23" s="32" t="str">
        <x:v>OPEN</x:v>
      </x:c>
      <x:c r="K23" s="32" t="str"/>
      <x:c r="L23" s="32" t="str"/>
      <x:c r="M23" s="32" t="str"/>
      <x:c r="N23" s="32" t="str"/>
      <x:c r="O23" s="32" t="str"/>
      <x:c r="P23" s="32" t="str"/>
      <x:c r="Q23" s="32" t="str"/>
      <x:c r="R23" s="32" t="str">
        <x:v>16_Auditoria_Global_de_Coherencia.md §9</x:v>
      </x:c>
    </x:row>
    <x:row r="24">
      <x:c r="A24" s="32" t="str">
        <x:v>AUD-GLOB-020</x:v>
      </x:c>
      <x:c r="B24" s="32" t="str">
        <x:v>AUDIT FINDING</x:v>
      </x:c>
      <x:c r="C24" s="32" t="str">
        <x:v>S2 / Audit A2</x:v>
      </x:c>
      <x:c r="D24" s="32" t="str">
        <x:v>P2</x:v>
      </x:c>
      <x:c r="E24" s="32" t="str">
        <x:v>Código / Tooling</x:v>
      </x:c>
      <x:c r="F24" s="32" t="str">
        <x:v>Los estándares C# no están automatizados y existe una dependencia assembly cuestionada</x:v>
      </x:c>
      <x:c r="G24" s="32" t="str">
        <x:v>03, 09, 10, 12</x:v>
      </x:c>
      <x:c r="H24" s="32" t="str">
        <x:v>Deuda técnica / Post-H6</x:v>
      </x:c>
      <x:c r="I24" s="32" t="str">
        <x:v>Review</x:v>
      </x:c>
      <x:c r="J24" s="32" t="str">
        <x:v>OPEN</x:v>
      </x:c>
      <x:c r="K24" s="32" t="str"/>
      <x:c r="L24" s="32" t="str"/>
      <x:c r="M24" s="32" t="str"/>
      <x:c r="N24" s="32" t="str"/>
      <x:c r="O24" s="32" t="str"/>
      <x:c r="P24" s="32" t="str"/>
      <x:c r="Q24" s="32" t="str"/>
      <x:c r="R24" s="32" t="str">
        <x:v>16_Auditoria_Global_de_Coherencia.md §9</x:v>
      </x:c>
    </x:row>
    <x:row r="25">
      <x:c r="A25" s="32" t="str">
        <x:v>AUD-GLOB-021</x:v>
      </x:c>
      <x:c r="B25" s="32" t="str">
        <x:v>AUDIT FINDING</x:v>
      </x:c>
      <x:c r="C25" s="32" t="str">
        <x:v>S2 / Audit A2</x:v>
      </x:c>
      <x:c r="D25" s="32" t="str">
        <x:v>P2</x:v>
      </x:c>
      <x:c r="E25" s="32" t="str">
        <x:v>Control de cambios</x:v>
      </x:c>
      <x:c r="F25" s="32" t="str">
        <x:v>Los cambios abiertos, sin commit y sin decisión final necesitan clasificación, no un contador agregado</x:v>
      </x:c>
      <x:c r="G25" s="32" t="str">
        <x:v>13</x:v>
      </x:c>
      <x:c r="H25" s="32" t="str">
        <x:v>Baseline v1.0</x:v>
      </x:c>
      <x:c r="I25" s="32" t="str">
        <x:v>Review</x:v>
      </x:c>
      <x:c r="J25" s="32" t="str">
        <x:v>OPEN</x:v>
      </x:c>
      <x:c r="K25" s="32" t="str"/>
      <x:c r="L25" s="32" t="str"/>
      <x:c r="M25" s="32" t="str"/>
      <x:c r="N25" s="32" t="str"/>
      <x:c r="O25" s="32" t="str"/>
      <x:c r="P25" s="32" t="str"/>
      <x:c r="Q25" s="32" t="str"/>
      <x:c r="R25" s="32" t="str">
        <x:v>16_Auditoria_Global_de_Coherencia.md §9</x:v>
      </x:c>
    </x:row>
    <x:row r="26">
      <x:c r="A26" s="32" t="str">
        <x:v>AUD-GLOB-022</x:v>
      </x:c>
      <x:c r="B26" s="32" t="str">
        <x:v>AUDIT FINDING</x:v>
      </x:c>
      <x:c r="C26" s="32" t="str">
        <x:v>S2 / Audit A2</x:v>
      </x:c>
      <x:c r="D26" s="32" t="str">
        <x:v>P2</x:v>
      </x:c>
      <x:c r="E26" s="32" t="str">
        <x:v>Baselines históricas</x:v>
      </x:c>
      <x:c r="F26" s="32" t="str">
        <x:v>Tres baselines históricas no tienen commit o hash de paquete asociado</x:v>
      </x:c>
      <x:c r="G26" s="32" t="str">
        <x:v>13</x:v>
      </x:c>
      <x:c r="H26" s="32" t="str">
        <x:v>Baseline v1.0</x:v>
      </x:c>
      <x:c r="I26" s="32" t="str">
        <x:v>Review</x:v>
      </x:c>
      <x:c r="J26" s="32" t="str">
        <x:v>OPEN</x:v>
      </x:c>
      <x:c r="K26" s="32" t="str"/>
      <x:c r="L26" s="32" t="str"/>
      <x:c r="M26" s="32" t="str"/>
      <x:c r="N26" s="32" t="str"/>
      <x:c r="O26" s="32" t="str"/>
      <x:c r="P26" s="32" t="str"/>
      <x:c r="Q26" s="32" t="str"/>
      <x:c r="R26" s="32" t="str">
        <x:v>16_Auditoria_Global_de_Coherencia.md §9</x:v>
      </x:c>
    </x:row>
    <x:row r="27">
      <x:c r="A27" s="32" t="str">
        <x:v>AUD-GLOB-023</x:v>
      </x:c>
      <x:c r="B27" s="32" t="str">
        <x:v>AUDIT FINDING</x:v>
      </x:c>
      <x:c r="C27" s="32" t="str">
        <x:v>S3 / Audit A3</x:v>
      </x:c>
      <x:c r="D27" s="32" t="str">
        <x:v>P2</x:v>
      </x:c>
      <x:c r="E27" s="32" t="str">
        <x:v>Terminología</x:v>
      </x:c>
      <x:c r="F27" s="32" t="str">
        <x:v>Los estados mezclan español, inglés y varias formas equivalentes</x:v>
      </x:c>
      <x:c r="G27" s="32" t="str">
        <x:v>00–15</x:v>
      </x:c>
      <x:c r="H27" s="32" t="str">
        <x:v>Mantenibilidad</x:v>
      </x:c>
      <x:c r="I27" s="32" t="str">
        <x:v>Review</x:v>
      </x:c>
      <x:c r="J27" s="32" t="str">
        <x:v>OPEN</x:v>
      </x:c>
      <x:c r="K27" s="32" t="str"/>
      <x:c r="L27" s="32" t="str"/>
      <x:c r="M27" s="32" t="str"/>
      <x:c r="N27" s="32" t="str"/>
      <x:c r="O27" s="32" t="str"/>
      <x:c r="P27" s="32" t="str"/>
      <x:c r="Q27" s="32" t="str"/>
      <x:c r="R27" s="32" t="str">
        <x:v>16_Auditoria_Global_de_Coherencia.md §9</x:v>
      </x:c>
    </x:row>
    <x:row r="28">
      <x:c r="A28" s="32" t="str">
        <x:v>AUD-GLOB-024</x:v>
      </x:c>
      <x:c r="B28" s="32" t="str">
        <x:v>AUDIT FINDING</x:v>
      </x:c>
      <x:c r="C28" s="32" t="str">
        <x:v>S3 / Audit A3</x:v>
      </x:c>
      <x:c r="D28" s="32" t="str">
        <x:v>P2</x:v>
      </x:c>
      <x:c r="E28" s="32" t="str">
        <x:v>Autoría de escena</x:v>
      </x:c>
      <x:c r="F28" s="32" t="str">
        <x:v>Los ejemplos de StoreInitialSceneContext pueden confundirse con una clase existente</x:v>
      </x:c>
      <x:c r="G28" s="32" t="str">
        <x:v>03, 09, 10, 14, 15</x:v>
      </x:c>
      <x:c r="H28" s="32" t="str">
        <x:v>Sprint 16</x:v>
      </x:c>
      <x:c r="I28" s="32" t="str">
        <x:v>Review</x:v>
      </x:c>
      <x:c r="J28" s="32" t="str">
        <x:v>OPEN</x:v>
      </x:c>
      <x:c r="K28" s="32" t="str"/>
      <x:c r="L28" s="32" t="str"/>
      <x:c r="M28" s="32" t="str"/>
      <x:c r="N28" s="32" t="str"/>
      <x:c r="O28" s="32" t="str"/>
      <x:c r="P28" s="32" t="str"/>
      <x:c r="Q28" s="32" t="str"/>
      <x:c r="R28" s="32" t="str">
        <x:v>16_Auditoria_Global_de_Coherencia.md §9</x:v>
      </x:c>
    </x:row>
    <x:row r="29">
      <x:c r="A29" s="32" t="str">
        <x:v>AUD-GLOB-025</x:v>
      </x:c>
      <x:c r="B29" s="32" t="str">
        <x:v>AUDIT FINDING</x:v>
      </x:c>
      <x:c r="C29" s="32" t="str">
        <x:v>S3 / Audit A3</x:v>
      </x:c>
      <x:c r="D29" s="32" t="str">
        <x:v>P2</x:v>
      </x:c>
      <x:c r="E29" s="32" t="str">
        <x:v>Empaquetado</x:v>
      </x:c>
      <x:c r="F29" s="32" t="str">
        <x:v>El entorno de consolidación contiene drafts y previews que no deben entrar en la baseline</x:v>
      </x:c>
      <x:c r="G29" s="32" t="str">
        <x:v>Paquete final</x:v>
      </x:c>
      <x:c r="H29" s="32" t="str">
        <x:v>Baseline v1.0</x:v>
      </x:c>
      <x:c r="I29" s="32" t="str">
        <x:v>Review</x:v>
      </x:c>
      <x:c r="J29" s="32" t="str">
        <x:v>OPEN</x:v>
      </x:c>
      <x:c r="K29" s="32" t="str"/>
      <x:c r="L29" s="32" t="str"/>
      <x:c r="M29" s="32" t="str"/>
      <x:c r="N29" s="32" t="str"/>
      <x:c r="O29" s="32" t="str"/>
      <x:c r="P29" s="32" t="str"/>
      <x:c r="Q29" s="32" t="str"/>
      <x:c r="R29" s="32" t="str">
        <x:v>16_Auditoria_Global_de_Coherencia.md §9</x:v>
      </x:c>
    </x:row>
    <x:row r="30">
      <x:c r="A30" s="32" t="str">
        <x:v>AUD-GLOB-026</x:v>
      </x:c>
      <x:c r="B30" s="32" t="str">
        <x:v>AUDIT FINDING</x:v>
      </x:c>
      <x:c r="C30" s="32" t="str">
        <x:v>S3 / Audit A3</x:v>
      </x:c>
      <x:c r="D30" s="32" t="str">
        <x:v>P2</x:v>
      </x:c>
      <x:c r="E30" s="32" t="str">
        <x:v>Hashes</x:v>
      </x:c>
      <x:c r="F30" s="32" t="str">
        <x:v>Los documentos que inventarían su propio hash requieren cierre en dos pasadas</x:v>
      </x:c>
      <x:c r="G30" s="32" t="str">
        <x:v>12, 13, 14, 15, 16</x:v>
      </x:c>
      <x:c r="H30" s="32" t="str">
        <x:v>Baseline v1.0</x:v>
      </x:c>
      <x:c r="I30" s="32" t="str">
        <x:v>Review</x:v>
      </x:c>
      <x:c r="J30" s="32" t="str">
        <x:v>OPEN</x:v>
      </x:c>
      <x:c r="K30" s="32" t="str"/>
      <x:c r="L30" s="32" t="str"/>
      <x:c r="M30" s="32" t="str"/>
      <x:c r="N30" s="32" t="str"/>
      <x:c r="O30" s="32" t="str"/>
      <x:c r="P30" s="32" t="str"/>
      <x:c r="Q30" s="32" t="str"/>
      <x:c r="R30" s="32" t="str">
        <x:v>16_Auditoria_Global_de_Coherencia.md §9</x:v>
      </x:c>
    </x:row>
    <x:row r="31">
      <x:c r="A31" s="32" t="str">
        <x:v>AUD-GLOB-027</x:v>
      </x:c>
      <x:c r="B31" s="32" t="str">
        <x:v>AUDIT FINDING</x:v>
      </x:c>
      <x:c r="C31" s="32" t="str">
        <x:v>S3 / Audit A3</x:v>
      </x:c>
      <x:c r="D31" s="32" t="str">
        <x:v>P2</x:v>
      </x:c>
      <x:c r="E31" s="32" t="str">
        <x:v>Métricas</x:v>
      </x:c>
      <x:c r="F31" s="32" t="str">
        <x:v>Los KPIs de producción mezclan tareas, criterios, normas y deuda</x:v>
      </x:c>
      <x:c r="G31" s="32" t="str">
        <x:v>12, 15</x:v>
      </x:c>
      <x:c r="H31" s="32" t="str">
        <x:v>Gestión</x:v>
      </x:c>
      <x:c r="I31" s="32" t="str">
        <x:v>Review</x:v>
      </x:c>
      <x:c r="J31" s="32" t="str">
        <x:v>OPEN</x:v>
      </x:c>
      <x:c r="K31" s="32" t="str"/>
      <x:c r="L31" s="32" t="str"/>
      <x:c r="M31" s="32" t="str"/>
      <x:c r="N31" s="32" t="str"/>
      <x:c r="O31" s="32" t="str"/>
      <x:c r="P31" s="32" t="str"/>
      <x:c r="Q31" s="32" t="str"/>
      <x:c r="R31" s="32" t="str">
        <x:v>16_Auditoria_Global_de_Coherencia.md §9</x:v>
      </x:c>
    </x:row>
    <x:row r="32">
      <x:c r="A32" s="32" t="str">
        <x:v>AUD-GLOB-028</x:v>
      </x:c>
      <x:c r="B32" s="32" t="str">
        <x:v>AUDIT FINDING</x:v>
      </x:c>
      <x:c r="C32" s="32" t="str">
        <x:v>A4</x:v>
      </x:c>
      <x:c r="D32" s="32" t="str">
        <x:v>P2</x:v>
      </x:c>
      <x:c r="E32" s="32" t="str">
        <x:v>Contenido</x:v>
      </x:c>
      <x:c r="F32" s="32" t="str">
        <x:v>12 productos / 6 familias frente a 6 productos / 8 familias es evolución justificada</x:v>
      </x:c>
      <x:c r="G32" s="32" t="str">
        <x:v>01, 02, 07</x:v>
      </x:c>
      <x:c r="H32" s="32" t="str">
        <x:v>N/A</x:v>
      </x:c>
      <x:c r="I32" s="32" t="str">
        <x:v>Review</x:v>
      </x:c>
      <x:c r="J32" s="32" t="str">
        <x:v>JUSTIFIED</x:v>
      </x:c>
      <x:c r="K32" s="32" t="str"/>
      <x:c r="L32" s="32" t="str"/>
      <x:c r="M32" s="32" t="str"/>
      <x:c r="N32" s="32" t="str"/>
      <x:c r="O32" s="32" t="str"/>
      <x:c r="P32" s="32" t="str"/>
      <x:c r="Q32" s="32" t="str"/>
      <x:c r="R32" s="32" t="str">
        <x:v>16_Auditoria_Global_de_Coherencia.md §9</x:v>
      </x:c>
    </x:row>
    <x:row r="33">
      <x:c r="A33" s="32" t="str">
        <x:v>AUD-GLOB-029</x:v>
      </x:c>
      <x:c r="B33" s="32" t="str">
        <x:v>AUDIT FINDING</x:v>
      </x:c>
      <x:c r="C33" s="32" t="str">
        <x:v>A4</x:v>
      </x:c>
      <x:c r="D33" s="32" t="str">
        <x:v>P2</x:v>
      </x:c>
      <x:c r="E33" s="32" t="str">
        <x:v>Persistencia</x:v>
      </x:c>
      <x:c r="F33" s="32" t="str">
        <x:v>Schema 1 y schema 2 representan etapas compatibles de evolución</x:v>
      </x:c>
      <x:c r="G33" s="32" t="str">
        <x:v>03, 04, 07, 11, 13</x:v>
      </x:c>
      <x:c r="H33" s="32" t="str">
        <x:v>N/A</x:v>
      </x:c>
      <x:c r="I33" s="32" t="str">
        <x:v>Review</x:v>
      </x:c>
      <x:c r="J33" s="32" t="str">
        <x:v>JUSTIFIED</x:v>
      </x:c>
      <x:c r="K33" s="32" t="str"/>
      <x:c r="L33" s="32" t="str"/>
      <x:c r="M33" s="32" t="str"/>
      <x:c r="N33" s="32" t="str"/>
      <x:c r="O33" s="32" t="str"/>
      <x:c r="P33" s="32" t="str"/>
      <x:c r="Q33" s="32" t="str"/>
      <x:c r="R33" s="32" t="str">
        <x:v>16_Auditoria_Global_de_Coherencia.md §9</x:v>
      </x:c>
    </x:row>
    <x:row r="34">
      <x:c r="A34" s="32" t="str">
        <x:v>AUD-GLOB-030</x:v>
      </x:c>
      <x:c r="B34" s="32" t="str">
        <x:v>AUDIT FINDING</x:v>
      </x:c>
      <x:c r="C34" s="32" t="str">
        <x:v>A4</x:v>
      </x:c>
      <x:c r="D34" s="32" t="str">
        <x:v>P2</x:v>
      </x:c>
      <x:c r="E34" s="32" t="str">
        <x:v>Escenas</x:v>
      </x:c>
      <x:c r="F34" s="32" t="str">
        <x:v>La convivencia de Store y StoreInitial está justificada durante la migración</x:v>
      </x:c>
      <x:c r="G34" s="32" t="str">
        <x:v>02, 03, 06, 10, 11, 12, 13</x:v>
      </x:c>
      <x:c r="H34" s="32" t="str">
        <x:v>Sprint 16</x:v>
      </x:c>
      <x:c r="I34" s="32" t="str">
        <x:v>Review</x:v>
      </x:c>
      <x:c r="J34" s="32" t="str">
        <x:v>JUSTIFIED</x:v>
      </x:c>
      <x:c r="K34" s="32" t="str"/>
      <x:c r="L34" s="32" t="str"/>
      <x:c r="M34" s="32" t="str"/>
      <x:c r="N34" s="32" t="str"/>
      <x:c r="O34" s="32" t="str"/>
      <x:c r="P34" s="32" t="str"/>
      <x:c r="Q34" s="32" t="str"/>
      <x:c r="R34" s="32" t="str">
        <x:v>16_Auditoria_Global_de_Coherencia.md §9</x:v>
      </x:c>
    </x:row>
  </x:sheetData>
  <x:mergeCells>
    <x:mergeCell ref="A1:R1"/>
    <x:mergeCell ref="A2:R2"/>
  </x:mergeCells>
  <x:conditionalFormatting sqref="J5:J34">
    <x:cfRule type="expression" dxfId="13" priority="1">
      <x:formula>J5="CLOSED"</x:formula>
    </x:cfRule>
    <x:cfRule type="expression" dxfId="14" priority="2">
      <x:formula>J5="OPEN"</x:formula>
    </x:cfRule>
  </x:conditionalFormatting>
  <x:dataValidations count="3">
    <x:dataValidation type="list" sqref="D5:D34">
      <x:formula1>"P0,P1,P2,P3"</x:formula1>
    </x:dataValidation>
    <x:dataValidation type="list" sqref="I5:I34">
      <x:formula1>"Yes,No,Review"</x:formula1>
    </x:dataValidation>
    <x:dataValidation type="list" sqref="J5:J34">
      <x:formula1>"OPEN,IN PROGRESS,RESOLVED,CLOSED,ACCEPTED DEBT,REJECTED"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aa85853ab14e9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26" hidden="0" customWidth="1"/>
    <x:col min="5" max="5" width="42" hidden="0" customWidth="1"/>
    <x:col min="6" max="6" width="28" hidden="0" customWidth="1"/>
    <x:col min="7" max="7" width="22" hidden="0" customWidth="1"/>
    <x:col min="8" max="8" width="28" hidden="0" customWidth="1"/>
    <x:col min="9" max="9" width="40" hidden="0" customWidth="1"/>
    <x:col min="10" max="10" width="14" hidden="0" customWidth="1"/>
    <x:col min="11" max="11" width="16" hidden="0" customWidth="1"/>
    <x:col min="12" max="12" width="22" hidden="0" customWidth="1"/>
    <x:col min="13" max="13" width="15" hidden="0" customWidth="1"/>
    <x:col min="14" max="14" width="16" hidden="0" customWidth="1"/>
    <x:col min="15" max="15" width="18" hidden="0" customWidth="1"/>
    <x:col min="16" max="16" width="18" hidden="0" customWidth="1"/>
    <x:col min="17" max="17" width="42" hidden="0" customWidth="1"/>
    <x:col min="18" max="18" width="42" hidden="0" customWidth="1"/>
    <x:col min="19" max="19" width="16" hidden="0" customWidth="1"/>
    <x:col min="20" max="20" width="22" hidden="0" customWidth="1"/>
    <x:col min="21" max="21" width="48" hidden="0" customWidth="1"/>
  </x:cols>
  <x:sheetData>
    <x:row r="1" ht="34" customHeight="1">
      <x:c r="A1" s="5" t="str">
        <x:v>Build, Candidate and Integrity 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34" customHeight="1">
      <x:c r="A2" s="14" t="str">
        <x:v>Un registro incompleto nunca es PASS. SHA, checksum, manifest, escenas y ejecución externa deben pertenecer al mismo artefacto.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</x:row>
    <x:row r="4" ht="42" customHeight="1">
      <x:c r="A4" s="24" t="str">
        <x:v>Build ID</x:v>
      </x:c>
      <x:c r="B4" s="24" t="str">
        <x:v>Gate</x:v>
      </x:c>
      <x:c r="C4" s="24" t="str">
        <x:v>Version</x:v>
      </x:c>
      <x:c r="D4" s="24" t="str">
        <x:v>Channel / Artifact</x:v>
      </x:c>
      <x:c r="E4" s="24" t="str">
        <x:v>Commit SHA</x:v>
      </x:c>
      <x:c r="F4" s="24" t="str">
        <x:v>Branch / Tag</x:v>
      </x:c>
      <x:c r="G4" s="24" t="str">
        <x:v>Unity Version</x:v>
      </x:c>
      <x:c r="H4" s="24" t="str">
        <x:v>Build Profile</x:v>
      </x:c>
      <x:c r="I4" s="24" t="str">
        <x:v>Scenes / Content</x:v>
      </x:c>
      <x:c r="J4" s="24" t="str">
        <x:v>Architecture</x:v>
      </x:c>
      <x:c r="K4" s="24" t="str">
        <x:v>Build Date</x:v>
      </x:c>
      <x:c r="L4" s="24" t="str">
        <x:v>Built By</x:v>
      </x:c>
      <x:c r="M4" s="24" t="str">
        <x:v>Clean Checkout</x:v>
      </x:c>
      <x:c r="N4" s="24" t="str">
        <x:v>Tests</x:v>
      </x:c>
      <x:c r="O4" s="24" t="str">
        <x:v>Player.log Review</x:v>
      </x:c>
      <x:c r="P4" s="24" t="str">
        <x:v>Manifest Status</x:v>
      </x:c>
      <x:c r="Q4" s="24" t="str">
        <x:v>SHA-256</x:v>
      </x:c>
      <x:c r="R4" s="24" t="str">
        <x:v>Artifact Path</x:v>
      </x:c>
      <x:c r="S4" s="24" t="str">
        <x:v>Status</x:v>
      </x:c>
      <x:c r="T4" s="24" t="str">
        <x:v>Approver</x:v>
      </x:c>
      <x:c r="U4" s="24" t="str">
        <x:v>Notes</x:v>
      </x:c>
    </x:row>
    <x:row r="5">
      <x:c r="A5" s="32" t="str">
        <x:v>BLD-016-POST</x:v>
      </x:c>
      <x:c r="B5" s="32" t="str">
        <x:v>Sprint 16</x:v>
      </x:c>
      <x:c r="C5" s="32" t="str">
        <x:v>0.0.21</x:v>
      </x:c>
      <x:c r="D5" s="32" t="str">
        <x:v>Windows x64 Development</x:v>
      </x:c>
      <x:c r="E5" s="32" t="str">
        <x:v>Commit/push completed; SHA not supplied in this documentary update</x:v>
      </x:c>
      <x:c r="F5" s="32" t="str">
        <x:v>main / published</x:v>
      </x:c>
      <x:c r="G5" s="32" t="str">
        <x:v>Unity 6000.3.18f1</x:v>
      </x:c>
      <x:c r="H5" s="32" t="str">
        <x:v>Windows_Development</x:v>
      </x:c>
      <x:c r="I5" s="32" t="str">
        <x:v>Bootstrap; MainMenu; StoreInitial</x:v>
      </x:c>
      <x:c r="J5" s="32" t="str">
        <x:v>x86_64</x:v>
      </x:c>
      <x:c r="K5" s="86" t="str">
        <x:v>2026-07-06</x:v>
      </x:c>
      <x:c r="L5" s="32" t="str">
        <x:v>VRM Games</x:v>
      </x:c>
      <x:c r="M5" s="32" t="str">
        <x:v>Not recorded in this package</x:v>
      </x:c>
      <x:c r="N5" s="32" t="str">
        <x:v>EditMode PASS; PlayMode PASS; manual regression PASS; Golden Path PASS</x:v>
      </x:c>
      <x:c r="O5" s="32" t="str">
        <x:v>REVIEWED / PASS</x:v>
      </x:c>
      <x:c r="P5" s="32" t="str">
        <x:v>Recorded externally for Sprint 16 build</x:v>
      </x:c>
      <x:c r="Q5" s="32" t="str">
        <x:v>Recorded externally</x:v>
      </x:c>
      <x:c r="R5" s="32" t="str">
        <x:v>Local build artifact; excluded from Git</x:v>
      </x:c>
      <x:c r="S5" s="32" t="str">
        <x:v>PASS</x:v>
      </x:c>
      <x:c r="T5" s="32" t="str">
        <x:v>VRM Games / QA / Production</x:v>
      </x:c>
      <x:c r="U5" s="32" t="str">
        <x:v>Approved for Sprint 16 closure only; not an H6 candidate.</x:v>
      </x:c>
    </x:row>
    <x:row r="6">
      <x:c r="A6" s="32" t="str">
        <x:v>BLD-017-QA</x:v>
      </x:c>
      <x:c r="B6" s="32" t="str">
        <x:v>Sprint 17</x:v>
      </x:c>
      <x:c r="C6" s="32" t="str">
        <x:v>0.x-qa</x:v>
      </x:c>
      <x:c r="D6" s="32" t="str">
        <x:v>Windows x64 QA</x:v>
      </x:c>
      <x:c r="E6" s="32" t="str"/>
      <x:c r="F6" s="32" t="str"/>
      <x:c r="G6" s="32" t="str">
        <x:v>Unity 6000.3.18f1</x:v>
      </x:c>
      <x:c r="H6" s="32" t="str">
        <x:v>Windows_QA</x:v>
      </x:c>
      <x:c r="I6" s="32" t="str">
        <x:v>Bootstrap; MainMenu; StoreInitial; TestLab optional</x:v>
      </x:c>
      <x:c r="J6" s="32" t="str">
        <x:v>x86_64</x:v>
      </x:c>
      <x:c r="K6" s="86" t="str"/>
      <x:c r="L6" s="32" t="str">
        <x:v>Build/Engineering</x:v>
      </x:c>
      <x:c r="M6" s="32" t="str">
        <x:v>No</x:v>
      </x:c>
      <x:c r="N6" s="32" t="str">
        <x:v>NOT RUN</x:v>
      </x:c>
      <x:c r="O6" s="32" t="str">
        <x:v>NOT REVIEWED</x:v>
      </x:c>
      <x:c r="P6" s="32" t="str">
        <x:v>MISSING</x:v>
      </x:c>
      <x:c r="Q6" s="32" t="str"/>
      <x:c r="R6" s="32" t="str"/>
      <x:c r="S6" s="32" t="str">
        <x:v>INCOMPLETE</x:v>
      </x:c>
      <x:c r="T6" s="32" t="str">
        <x:v>QA/Production</x:v>
      </x:c>
      <x:c r="U6" s="32" t="str">
        <x:v>Dedicated QA artifact; may contain diagnostics, never substitute for H6 candidate.</x:v>
      </x:c>
    </x:row>
    <x:row r="7">
      <x:c r="A7" s="32" t="str">
        <x:v>BLD-H6</x:v>
      </x:c>
      <x:c r="B7" s="32" t="str">
        <x:v>H6</x:v>
      </x:c>
      <x:c r="C7" s="32" t="str">
        <x:v>0.x-h6</x:v>
      </x:c>
      <x:c r="D7" s="32" t="str">
        <x:v>Windows x64 H6 Candidate</x:v>
      </x:c>
      <x:c r="E7" s="32" t="str"/>
      <x:c r="F7" s="32" t="str"/>
      <x:c r="G7" s="32" t="str">
        <x:v>Unity 6000.3.18f1</x:v>
      </x:c>
      <x:c r="H7" s="32" t="str">
        <x:v>Windows_H6_Candidate</x:v>
      </x:c>
      <x:c r="I7" s="32" t="str">
        <x:v>Bootstrap; MainMenu; StoreInitial</x:v>
      </x:c>
      <x:c r="J7" s="32" t="str">
        <x:v>x86_64</x:v>
      </x:c>
      <x:c r="K7" s="86" t="str"/>
      <x:c r="L7" s="32" t="str">
        <x:v>Build/Engineering</x:v>
      </x:c>
      <x:c r="M7" s="32" t="str">
        <x:v>No</x:v>
      </x:c>
      <x:c r="N7" s="32" t="str">
        <x:v>NOT RUN</x:v>
      </x:c>
      <x:c r="O7" s="32" t="str">
        <x:v>NOT REVIEWED</x:v>
      </x:c>
      <x:c r="P7" s="32" t="str">
        <x:v>MISSING</x:v>
      </x:c>
      <x:c r="Q7" s="32" t="str"/>
      <x:c r="R7" s="32" t="str"/>
      <x:c r="S7" s="32" t="str">
        <x:v>INCOMPLETE</x:v>
      </x:c>
      <x:c r="T7" s="32" t="str">
        <x:v>All Discipline Leads</x:v>
      </x:c>
      <x:c r="U7" s="32" t="str">
        <x:v>Must be immutable and evaluated outside Editor.</x:v>
      </x:c>
    </x:row>
    <x:row r="8">
      <x:c r="A8" s="32" t="str">
        <x:v>BLD-STEAM-RC1</x:v>
      </x:c>
      <x:c r="B8" s="32" t="str">
        <x:v>Steam RC</x:v>
      </x:c>
      <x:c r="C8" s="32" t="str">
        <x:v>1.0.0-rc1</x:v>
      </x:c>
      <x:c r="D8" s="32" t="str">
        <x:v>Steam Windows x64 RC</x:v>
      </x:c>
      <x:c r="E8" s="32" t="str"/>
      <x:c r="F8" s="32" t="str"/>
      <x:c r="G8" s="32" t="str">
        <x:v>Unity 6000.3.18f1</x:v>
      </x:c>
      <x:c r="H8" s="32" t="str">
        <x:v>Windows_Steam_RC</x:v>
      </x:c>
      <x:c r="I8" s="32" t="str">
        <x:v>Bootstrap; MainMenu; StoreInitial</x:v>
      </x:c>
      <x:c r="J8" s="32" t="str">
        <x:v>x86_64</x:v>
      </x:c>
      <x:c r="K8" s="86" t="str"/>
      <x:c r="L8" s="32" t="str">
        <x:v>Build/Steam</x:v>
      </x:c>
      <x:c r="M8" s="32" t="str">
        <x:v>No</x:v>
      </x:c>
      <x:c r="N8" s="32" t="str">
        <x:v>NOT RUN</x:v>
      </x:c>
      <x:c r="O8" s="32" t="str">
        <x:v>NOT REVIEWED</x:v>
      </x:c>
      <x:c r="P8" s="32" t="str">
        <x:v>MISSING</x:v>
      </x:c>
      <x:c r="Q8" s="32" t="str"/>
      <x:c r="R8" s="32" t="str"/>
      <x:c r="S8" s="32" t="str">
        <x:v>PLANNED</x:v>
      </x:c>
      <x:c r="T8" s="32" t="str">
        <x:v>Release Board</x:v>
      </x:c>
      <x:c r="U8" s="32" t="str">
        <x:v>Future; created only after H6 and Steam phase opening.</x:v>
      </x:c>
    </x:row>
    <x:row r="9">
      <x:c r="A9" s="32" t="str">
        <x:v>BLD-STEAM-ROLLBACK</x:v>
      </x:c>
      <x:c r="B9" s="32" t="str">
        <x:v>Rollback</x:v>
      </x:c>
      <x:c r="C9" s="32" t="str">
        <x:v>1.0.0-rollback</x:v>
      </x:c>
      <x:c r="D9" s="32" t="str">
        <x:v>Steam Windows x64 Rollback</x:v>
      </x:c>
      <x:c r="E9" s="32" t="str"/>
      <x:c r="F9" s="32" t="str"/>
      <x:c r="G9" s="32" t="str">
        <x:v>Unity 6000.3.18f1</x:v>
      </x:c>
      <x:c r="H9" s="32" t="str">
        <x:v>Windows_Steam_RC</x:v>
      </x:c>
      <x:c r="I9" s="32" t="str">
        <x:v>Approved previous stable scenes</x:v>
      </x:c>
      <x:c r="J9" s="32" t="str">
        <x:v>x86_64</x:v>
      </x:c>
      <x:c r="K9" s="86" t="str"/>
      <x:c r="L9" s="32" t="str">
        <x:v>Build/Steam</x:v>
      </x:c>
      <x:c r="M9" s="32" t="str">
        <x:v>No</x:v>
      </x:c>
      <x:c r="N9" s="32" t="str">
        <x:v>NOT RUN</x:v>
      </x:c>
      <x:c r="O9" s="32" t="str">
        <x:v>NOT REVIEWED</x:v>
      </x:c>
      <x:c r="P9" s="32" t="str">
        <x:v>MISSING</x:v>
      </x:c>
      <x:c r="Q9" s="32" t="str"/>
      <x:c r="R9" s="32" t="str"/>
      <x:c r="S9" s="32" t="str">
        <x:v>PLANNED</x:v>
      </x:c>
      <x:c r="T9" s="32" t="str">
        <x:v>Release Board</x:v>
      </x:c>
      <x:c r="U9" s="32" t="str">
        <x:v>Future rollback artifact.</x:v>
      </x:c>
    </x:row>
    <x:row r="10">
      <x:c r="A10" s="96" t="str">
        <x:v>PKG-DOC-RC1</x:v>
      </x:c>
      <x:c r="B10" s="96" t="str">
        <x:v>Documentation Candidate</x:v>
      </x:c>
      <x:c r="C10" s="96" t="str">
        <x:v>Documentation_RC1-updated</x:v>
      </x:c>
      <x:c r="D10" s="96" t="str">
        <x:v>Candidate documentation folder/ZIP</x:v>
      </x:c>
      <x:c r="E10" s="96"/>
      <x:c r="F10" s="96"/>
      <x:c r="G10" s="96" t="str">
        <x:v>Unity 6000.3.18f1 (project reference)</x:v>
      </x:c>
      <x:c r="H10" s="96" t="str">
        <x:v>N/A</x:v>
      </x:c>
      <x:c r="I10" s="96" t="str">
        <x:v>00–34 candidate; 12–15/21/23/31 updated; 33/34 reviewed; 32 candidate</x:v>
      </x:c>
      <x:c r="J10" s="96" t="str">
        <x:v>ZIP</x:v>
      </x:c>
      <x:c r="K10" s="96"/>
      <x:c r="L10" s="96" t="str">
        <x:v>Documentation/Production</x:v>
      </x:c>
      <x:c r="M10" s="96" t="str">
        <x:v>No</x:v>
      </x:c>
      <x:c r="N10" s="96" t="str">
        <x:v>NOT RUN</x:v>
      </x:c>
      <x:c r="O10" s="96" t="str">
        <x:v>NOT REVIEWED</x:v>
      </x:c>
      <x:c r="P10" s="96" t="str">
        <x:v>MISSING</x:v>
      </x:c>
      <x:c r="Q10" s="96"/>
      <x:c r="R10" s="96"/>
      <x:c r="S10" s="96" t="str">
        <x:v>PLANNED</x:v>
      </x:c>
      <x:c r="T10" s="96" t="str">
        <x:v>Documentation/QA</x:v>
      </x:c>
      <x:c r="U10" s="96" t="str">
        <x:v>Candidate is for audit only; not immutable final baseline.</x:v>
      </x:c>
    </x:row>
    <x:row r="11">
      <x:c r="A11" s="96" t="str">
        <x:v>PKG-DOC-FINAL</x:v>
      </x:c>
      <x:c r="B11" s="96" t="str">
        <x:v>Final Documentation Baseline</x:v>
      </x:c>
      <x:c r="C11" s="96" t="str">
        <x:v>Documentation baseline TBD</x:v>
      </x:c>
      <x:c r="D11" s="96" t="str">
        <x:v>Immutable documentation ZIP</x:v>
      </x:c>
      <x:c r="E11" s="96"/>
      <x:c r="F11" s="96"/>
      <x:c r="G11" s="96" t="str">
        <x:v>Unity 6000.3.18f1 (project reference)</x:v>
      </x:c>
      <x:c r="H11" s="96" t="str">
        <x:v>N/A</x:v>
      </x:c>
      <x:c r="I11" s="96" t="str">
        <x:v>00–34 + external artifacts + historical/evidence/integrity folders</x:v>
      </x:c>
      <x:c r="J11" s="96" t="str">
        <x:v>ZIP</x:v>
      </x:c>
      <x:c r="K11" s="96"/>
      <x:c r="L11" s="96" t="str">
        <x:v>Documentation/Production</x:v>
      </x:c>
      <x:c r="M11" s="96" t="str">
        <x:v>No</x:v>
      </x:c>
      <x:c r="N11" s="96" t="str">
        <x:v>NOT RUN</x:v>
      </x:c>
      <x:c r="O11" s="96" t="str">
        <x:v>NOT REVIEWED</x:v>
      </x:c>
      <x:c r="P11" s="96" t="str">
        <x:v>MISSING</x:v>
      </x:c>
      <x:c r="Q11" s="96"/>
      <x:c r="R11" s="96"/>
      <x:c r="S11" s="96" t="str">
        <x:v>PLANNED</x:v>
      </x:c>
      <x:c r="T11" s="96" t="str">
        <x:v>Project Owner / QA</x:v>
      </x:c>
      <x:c r="U11" s="96" t="str">
        <x:v>Hash of ZIP is stored externally after package generation and verified after clean extraction.</x:v>
      </x:c>
    </x:row>
  </x:sheetData>
  <x:mergeCells>
    <x:mergeCell ref="A1:U1"/>
    <x:mergeCell ref="A2:U2"/>
  </x:mergeCells>
  <x:conditionalFormatting sqref="S5:S9">
    <x:cfRule type="expression" dxfId="15" priority="1">
      <x:formula>S5="APPROVED"</x:formula>
    </x:cfRule>
    <x:cfRule type="expression" dxfId="16" priority="2">
      <x:formula>S5="REJECTED"</x:formula>
    </x:cfRule>
  </x:conditionalFormatting>
  <x:dataValidations count="3">
    <x:dataValidation type="list" sqref="M5:M9">
      <x:formula1>"Yes,No"</x:formula1>
    </x:dataValidation>
    <x:dataValidation type="list" sqref="S5:S9">
      <x:formula1>"PLANNED,INCOMPLETE,READY,APPROVED,REJECTED"</x:formula1>
    </x:dataValidation>
    <x:dataValidation type="list" sqref="S10:S11">
      <x:formula1>'11_Catalogos'!$F$2:$F$6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8b1cb157624dd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0" hidden="0" customWidth="1"/>
    <x:col min="3" max="3" width="20" hidden="0" customWidth="1"/>
    <x:col min="4" max="4" width="38" hidden="0" customWidth="1"/>
    <x:col min="5" max="5" width="32" hidden="0" customWidth="1"/>
    <x:col min="6" max="6" width="48" hidden="0" customWidth="1"/>
    <x:col min="7" max="7" width="38" hidden="0" customWidth="1"/>
    <x:col min="8" max="8" width="22" hidden="0" customWidth="1"/>
    <x:col min="9" max="9" width="16" hidden="0" customWidth="1"/>
    <x:col min="10" max="10" width="18" hidden="0" customWidth="1"/>
    <x:col min="11" max="11" width="24" hidden="0" customWidth="1"/>
    <x:col min="12" max="12" width="20" hidden="0" customWidth="1"/>
    <x:col min="13" max="13" width="18" hidden="0" customWidth="1"/>
    <x:col min="14" max="14" width="18" hidden="0" customWidth="1"/>
    <x:col min="15" max="15" width="20" hidden="0" customWidth="1"/>
    <x:col min="16" max="16" width="16" hidden="0" customWidth="1"/>
    <x:col min="17" max="17" width="16" hidden="0" customWidth="1"/>
    <x:col min="18" max="18" width="38" hidden="0" customWidth="1"/>
  </x:cols>
  <x:sheetData>
    <x:row r="1" ht="34" customHeight="1">
      <x:c r="A1" s="5" t="str">
        <x:v>Acceptance and Release Test Execution Matrix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 ht="36" customHeight="1">
      <x:c r="A2" s="14" t="str">
        <x:v>Incluye los 40 escenarios obligatorios de 02 y pruebas especializadas H6/Release. Cada ejecución debe indicar build, entorno, locale y evidencia.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</x:row>
    <x:row r="4" ht="42" customHeight="1">
      <x:c r="A4" s="24" t="str">
        <x:v>Test ID</x:v>
      </x:c>
      <x:c r="B4" s="24" t="str">
        <x:v>Level</x:v>
      </x:c>
      <x:c r="C4" s="24" t="str">
        <x:v>Domain</x:v>
      </x:c>
      <x:c r="D4" s="24" t="str">
        <x:v>Scenario</x:v>
      </x:c>
      <x:c r="E4" s="24" t="str">
        <x:v>Preconditions</x:v>
      </x:c>
      <x:c r="F4" s="24" t="str">
        <x:v>Procedure / Steps</x:v>
      </x:c>
      <x:c r="G4" s="24" t="str">
        <x:v>Expected Result</x:v>
      </x:c>
      <x:c r="H4" s="24" t="str">
        <x:v>Required Build</x:v>
      </x:c>
      <x:c r="I4" s="24" t="str">
        <x:v>Locale</x:v>
      </x:c>
      <x:c r="J4" s="24" t="str">
        <x:v>Resolution</x:v>
      </x:c>
      <x:c r="K4" s="24" t="str">
        <x:v>Hardware / Environment</x:v>
      </x:c>
      <x:c r="L4" s="24" t="str">
        <x:v>Status</x:v>
      </x:c>
      <x:c r="M4" s="24" t="str">
        <x:v>Evidence ID</x:v>
      </x:c>
      <x:c r="N4" s="24" t="str">
        <x:v>Defect ID</x:v>
      </x:c>
      <x:c r="O4" s="24" t="str">
        <x:v>Executor</x:v>
      </x:c>
      <x:c r="P4" s="24" t="str">
        <x:v>Execution Date</x:v>
      </x:c>
      <x:c r="Q4" s="24" t="str">
        <x:v>Repeatability</x:v>
      </x:c>
      <x:c r="R4" s="24" t="str">
        <x:v>Notes</x:v>
      </x:c>
    </x:row>
    <x:row r="5">
      <x:c r="A5" s="32" t="str">
        <x:v>VS-TST-001</x:v>
      </x:c>
      <x:c r="B5" s="32" t="str">
        <x:v>D</x:v>
      </x:c>
      <x:c r="C5" s="32" t="str">
        <x:v>Vertical Slice</x:v>
      </x:c>
      <x:c r="D5" s="32" t="str">
        <x:v>Nueva partida desde instalación limpia</x:v>
      </x:c>
      <x:c r="E5" s="32" t="str"/>
      <x:c r="F5" s="32" t="str"/>
      <x:c r="G5" s="32" t="str">
        <x:v>Slot válido y recorrido sin bloqueo.</x:v>
      </x:c>
      <x:c r="H5" s="32" t="str">
        <x:v>H6 Candidate</x:v>
      </x:c>
      <x:c r="I5" s="32" t="str">
        <x:v>ES/EN as applicable</x:v>
      </x:c>
      <x:c r="J5" s="32" t="str">
        <x:v>1080p / matrix as applicable</x:v>
      </x:c>
      <x:c r="K5" s="32" t="str">
        <x:v>Registered H6 hardware</x:v>
      </x:c>
      <x:c r="L5" s="32" t="str">
        <x:v>NOT RUN</x:v>
      </x:c>
      <x:c r="M5" s="32" t="str"/>
      <x:c r="N5" s="32" t="str"/>
      <x:c r="O5" s="32" t="str"/>
      <x:c r="P5" s="82" t="str"/>
      <x:c r="Q5" s="32" t="str">
        <x:v>Required</x:v>
      </x:c>
      <x:c r="R5" s="32" t="str"/>
    </x:row>
    <x:row r="6">
      <x:c r="A6" s="32" t="str">
        <x:v>VS-TST-002</x:v>
      </x:c>
      <x:c r="B6" s="32" t="str">
        <x:v>D</x:v>
      </x:c>
      <x:c r="C6" s="32" t="str">
        <x:v>Vertical Slice</x:v>
      </x:c>
      <x:c r="D6" s="32" t="str">
        <x:v>Tres slots independientes</x:v>
      </x:c>
      <x:c r="E6" s="32" t="str"/>
      <x:c r="F6" s="32" t="str"/>
      <x:c r="G6" s="32" t="str">
        <x:v>No hay contaminación cruzada.</x:v>
      </x:c>
      <x:c r="H6" s="32" t="str">
        <x:v>H6 Candidate</x:v>
      </x:c>
      <x:c r="I6" s="32" t="str">
        <x:v>ES/EN as applicable</x:v>
      </x:c>
      <x:c r="J6" s="32" t="str">
        <x:v>1080p / matrix as applicable</x:v>
      </x:c>
      <x:c r="K6" s="32" t="str">
        <x:v>Registered H6 hardware</x:v>
      </x:c>
      <x:c r="L6" s="32" t="str">
        <x:v>NOT RUN</x:v>
      </x:c>
      <x:c r="M6" s="32" t="str"/>
      <x:c r="N6" s="32" t="str"/>
      <x:c r="O6" s="32" t="str"/>
      <x:c r="P6" s="82" t="str"/>
      <x:c r="Q6" s="32" t="str">
        <x:v>Required</x:v>
      </x:c>
      <x:c r="R6" s="32" t="str"/>
    </x:row>
    <x:row r="7">
      <x:c r="A7" s="32" t="str">
        <x:v>VS-TST-003</x:v>
      </x:c>
      <x:c r="B7" s="32" t="str">
        <x:v>D/E</x:v>
      </x:c>
      <x:c r="C7" s="32" t="str">
        <x:v>Vertical Slice</x:v>
      </x:c>
      <x:c r="D7" s="32" t="str">
        <x:v>Golden Path completo</x:v>
      </x:c>
      <x:c r="E7" s="32" t="str"/>
      <x:c r="F7" s="32" t="str"/>
      <x:c r="G7" s="32" t="str">
        <x:v>PASS sin debug.</x:v>
      </x:c>
      <x:c r="H7" s="32" t="str">
        <x:v>H6 Candidate</x:v>
      </x:c>
      <x:c r="I7" s="32" t="str">
        <x:v>ES/EN as applicable</x:v>
      </x:c>
      <x:c r="J7" s="32" t="str">
        <x:v>1080p / matrix as applicable</x:v>
      </x:c>
      <x:c r="K7" s="32" t="str">
        <x:v>Registered H6 hardware</x:v>
      </x:c>
      <x:c r="L7" s="32" t="str">
        <x:v>NOT RUN</x:v>
      </x:c>
      <x:c r="M7" s="32" t="str"/>
      <x:c r="N7" s="32" t="str"/>
      <x:c r="O7" s="32" t="str"/>
      <x:c r="P7" s="82" t="str"/>
      <x:c r="Q7" s="32" t="str">
        <x:v>Required</x:v>
      </x:c>
      <x:c r="R7" s="32" t="str"/>
    </x:row>
    <x:row r="8">
      <x:c r="A8" s="32" t="str">
        <x:v>VS-TST-004</x:v>
      </x:c>
      <x:c r="B8" s="32" t="str">
        <x:v>F</x:v>
      </x:c>
      <x:c r="C8" s="32" t="str">
        <x:v>Vertical Slice</x:v>
      </x:c>
      <x:c r="D8" s="32" t="str">
        <x:v>Siete días consecutivos</x:v>
      </x:c>
      <x:c r="E8" s="32" t="str"/>
      <x:c r="F8" s="32" t="str"/>
      <x:c r="G8" s="32" t="str">
        <x:v>Sin pérdida, duplicación ni corrupción.</x:v>
      </x:c>
      <x:c r="H8" s="32" t="str">
        <x:v>H6 Candidate</x:v>
      </x:c>
      <x:c r="I8" s="32" t="str">
        <x:v>ES/EN as applicable</x:v>
      </x:c>
      <x:c r="J8" s="32" t="str">
        <x:v>1080p / matrix as applicable</x:v>
      </x:c>
      <x:c r="K8" s="32" t="str">
        <x:v>Registered H6 hardware</x:v>
      </x:c>
      <x:c r="L8" s="32" t="str">
        <x:v>NOT RUN</x:v>
      </x:c>
      <x:c r="M8" s="32" t="str"/>
      <x:c r="N8" s="32" t="str"/>
      <x:c r="O8" s="32" t="str"/>
      <x:c r="P8" s="82" t="str"/>
      <x:c r="Q8" s="32" t="str">
        <x:v>Required</x:v>
      </x:c>
      <x:c r="R8" s="32" t="str"/>
    </x:row>
    <x:row r="9">
      <x:c r="A9" s="32" t="str">
        <x:v>VS-TST-005</x:v>
      </x:c>
      <x:c r="B9" s="32" t="str">
        <x:v>C/D</x:v>
      </x:c>
      <x:c r="C9" s="32" t="str">
        <x:v>Vertical Slice</x:v>
      </x:c>
      <x:c r="D9" s="32" t="str">
        <x:v>Cierre manual</x:v>
      </x:c>
      <x:c r="E9" s="32" t="str"/>
      <x:c r="F9" s="32" t="str"/>
      <x:c r="G9" s="32" t="str">
        <x:v>Clientes y reservas resueltos.</x:v>
      </x:c>
      <x:c r="H9" s="32" t="str">
        <x:v>H6 Candidate</x:v>
      </x:c>
      <x:c r="I9" s="32" t="str">
        <x:v>ES/EN as applicable</x:v>
      </x:c>
      <x:c r="J9" s="32" t="str">
        <x:v>1080p / matrix as applicable</x:v>
      </x:c>
      <x:c r="K9" s="32" t="str">
        <x:v>Registered H6 hardware</x:v>
      </x:c>
      <x:c r="L9" s="32" t="str">
        <x:v>NOT RUN</x:v>
      </x:c>
      <x:c r="M9" s="32" t="str"/>
      <x:c r="N9" s="32" t="str"/>
      <x:c r="O9" s="32" t="str"/>
      <x:c r="P9" s="82" t="str"/>
      <x:c r="Q9" s="32" t="str">
        <x:v>Required</x:v>
      </x:c>
      <x:c r="R9" s="32" t="str"/>
    </x:row>
    <x:row r="10">
      <x:c r="A10" s="32" t="str">
        <x:v>VS-TST-006</x:v>
      </x:c>
      <x:c r="B10" s="32" t="str">
        <x:v>C/D</x:v>
      </x:c>
      <x:c r="C10" s="32" t="str">
        <x:v>Vertical Slice</x:v>
      </x:c>
      <x:c r="D10" s="32" t="str">
        <x:v>Cierre forzado</x:v>
      </x:c>
      <x:c r="E10" s="32" t="str"/>
      <x:c r="F10" s="32" t="str"/>
      <x:c r="G10" s="32" t="str">
        <x:v>Transición determinista y segura.</x:v>
      </x:c>
      <x:c r="H10" s="32" t="str">
        <x:v>H6 Candidate</x:v>
      </x:c>
      <x:c r="I10" s="32" t="str">
        <x:v>ES/EN as applicable</x:v>
      </x:c>
      <x:c r="J10" s="32" t="str">
        <x:v>1080p / matrix as applicable</x:v>
      </x:c>
      <x:c r="K10" s="32" t="str">
        <x:v>Registered H6 hardware</x:v>
      </x:c>
      <x:c r="L10" s="32" t="str">
        <x:v>NOT RUN</x:v>
      </x:c>
      <x:c r="M10" s="32" t="str"/>
      <x:c r="N10" s="32" t="str"/>
      <x:c r="O10" s="32" t="str"/>
      <x:c r="P10" s="82" t="str"/>
      <x:c r="Q10" s="32" t="str">
        <x:v>Required</x:v>
      </x:c>
      <x:c r="R10" s="32" t="str"/>
    </x:row>
    <x:row r="11">
      <x:c r="A11" s="32" t="str">
        <x:v>VS-TST-007</x:v>
      </x:c>
      <x:c r="B11" s="32" t="str">
        <x:v>B/C</x:v>
      </x:c>
      <x:c r="C11" s="32" t="str">
        <x:v>Vertical Slice</x:v>
      </x:c>
      <x:c r="D11" s="32" t="str">
        <x:v>Colocación válida</x:v>
      </x:c>
      <x:c r="E11" s="32" t="str"/>
      <x:c r="F11" s="32" t="str"/>
      <x:c r="G11" s="32" t="str">
        <x:v>Preview y ocupación coinciden.</x:v>
      </x:c>
      <x:c r="H11" s="32" t="str">
        <x:v>H6 Candidate</x:v>
      </x:c>
      <x:c r="I11" s="32" t="str">
        <x:v>ES/EN as applicable</x:v>
      </x:c>
      <x:c r="J11" s="32" t="str">
        <x:v>1080p / matrix as applicable</x:v>
      </x:c>
      <x:c r="K11" s="32" t="str">
        <x:v>Registered H6 hardware</x:v>
      </x:c>
      <x:c r="L11" s="32" t="str">
        <x:v>NOT RUN</x:v>
      </x:c>
      <x:c r="M11" s="32" t="str"/>
      <x:c r="N11" s="32" t="str"/>
      <x:c r="O11" s="32" t="str"/>
      <x:c r="P11" s="82" t="str"/>
      <x:c r="Q11" s="32" t="str">
        <x:v>Required</x:v>
      </x:c>
      <x:c r="R11" s="32" t="str"/>
    </x:row>
    <x:row r="12">
      <x:c r="A12" s="32" t="str">
        <x:v>VS-TST-008</x:v>
      </x:c>
      <x:c r="B12" s="32" t="str">
        <x:v>B/C</x:v>
      </x:c>
      <x:c r="C12" s="32" t="str">
        <x:v>Vertical Slice</x:v>
      </x:c>
      <x:c r="D12" s="32" t="str">
        <x:v>Colocación solapada</x:v>
      </x:c>
      <x:c r="E12" s="32" t="str"/>
      <x:c r="F12" s="32" t="str"/>
      <x:c r="G12" s="32" t="str">
        <x:v>Rechazo sin mutación.</x:v>
      </x:c>
      <x:c r="H12" s="32" t="str">
        <x:v>H6 Candidate</x:v>
      </x:c>
      <x:c r="I12" s="32" t="str">
        <x:v>ES/EN as applicable</x:v>
      </x:c>
      <x:c r="J12" s="32" t="str">
        <x:v>1080p / matrix as applicable</x:v>
      </x:c>
      <x:c r="K12" s="32" t="str">
        <x:v>Registered H6 hardware</x:v>
      </x:c>
      <x:c r="L12" s="32" t="str">
        <x:v>NOT RUN</x:v>
      </x:c>
      <x:c r="M12" s="32" t="str"/>
      <x:c r="N12" s="32" t="str"/>
      <x:c r="O12" s="32" t="str"/>
      <x:c r="P12" s="82" t="str"/>
      <x:c r="Q12" s="32" t="str">
        <x:v>Required</x:v>
      </x:c>
      <x:c r="R12" s="32" t="str"/>
    </x:row>
    <x:row r="13">
      <x:c r="A13" s="32" t="str">
        <x:v>VS-TST-009</x:v>
      </x:c>
      <x:c r="B13" s="32" t="str">
        <x:v>B/C</x:v>
      </x:c>
      <x:c r="C13" s="32" t="str">
        <x:v>Vertical Slice</x:v>
      </x:c>
      <x:c r="D13" s="32" t="str">
        <x:v>Bloqueo de entrada</x:v>
      </x:c>
      <x:c r="E13" s="32" t="str"/>
      <x:c r="F13" s="32" t="str"/>
      <x:c r="G13" s="32" t="str">
        <x:v>Rechazo con causa.</x:v>
      </x:c>
      <x:c r="H13" s="32" t="str">
        <x:v>H6 Candidate</x:v>
      </x:c>
      <x:c r="I13" s="32" t="str">
        <x:v>ES/EN as applicable</x:v>
      </x:c>
      <x:c r="J13" s="32" t="str">
        <x:v>1080p / matrix as applicable</x:v>
      </x:c>
      <x:c r="K13" s="32" t="str">
        <x:v>Registered H6 hardware</x:v>
      </x:c>
      <x:c r="L13" s="32" t="str">
        <x:v>NOT RUN</x:v>
      </x:c>
      <x:c r="M13" s="32" t="str"/>
      <x:c r="N13" s="32" t="str"/>
      <x:c r="O13" s="32" t="str"/>
      <x:c r="P13" s="82" t="str"/>
      <x:c r="Q13" s="32" t="str">
        <x:v>Required</x:v>
      </x:c>
      <x:c r="R13" s="32" t="str"/>
    </x:row>
    <x:row r="14">
      <x:c r="A14" s="32" t="str">
        <x:v>VS-TST-010</x:v>
      </x:c>
      <x:c r="B14" s="32" t="str">
        <x:v>B/C</x:v>
      </x:c>
      <x:c r="C14" s="32" t="str">
        <x:v>Vertical Slice</x:v>
      </x:c>
      <x:c r="D14" s="32" t="str">
        <x:v>Mover y retirar</x:v>
      </x:c>
      <x:c r="E14" s="32" t="str"/>
      <x:c r="F14" s="32" t="str"/>
      <x:c r="G14" s="32" t="str">
        <x:v>Liberación exacta.</x:v>
      </x:c>
      <x:c r="H14" s="32" t="str">
        <x:v>H6 Candidate</x:v>
      </x:c>
      <x:c r="I14" s="32" t="str">
        <x:v>ES/EN as applicable</x:v>
      </x:c>
      <x:c r="J14" s="32" t="str">
        <x:v>1080p / matrix as applicable</x:v>
      </x:c>
      <x:c r="K14" s="32" t="str">
        <x:v>Registered H6 hardware</x:v>
      </x:c>
      <x:c r="L14" s="32" t="str">
        <x:v>NOT RUN</x:v>
      </x:c>
      <x:c r="M14" s="32" t="str"/>
      <x:c r="N14" s="32" t="str"/>
      <x:c r="O14" s="32" t="str"/>
      <x:c r="P14" s="82" t="str"/>
      <x:c r="Q14" s="32" t="str">
        <x:v>Required</x:v>
      </x:c>
      <x:c r="R14" s="32" t="str"/>
    </x:row>
    <x:row r="15">
      <x:c r="A15" s="32" t="str">
        <x:v>VS-TST-011</x:v>
      </x:c>
      <x:c r="B15" s="32" t="str">
        <x:v>A/C</x:v>
      </x:c>
      <x:c r="C15" s="32" t="str">
        <x:v>Vertical Slice</x:v>
      </x:c>
      <x:c r="D15" s="32" t="str">
        <x:v>Pedido sin dinero</x:v>
      </x:c>
      <x:c r="E15" s="32" t="str"/>
      <x:c r="F15" s="32" t="str"/>
      <x:c r="G15" s="32" t="str">
        <x:v>Rechazo sin coste.</x:v>
      </x:c>
      <x:c r="H15" s="32" t="str">
        <x:v>H6 Candidate</x:v>
      </x:c>
      <x:c r="I15" s="32" t="str">
        <x:v>ES/EN as applicable</x:v>
      </x:c>
      <x:c r="J15" s="32" t="str">
        <x:v>1080p / matrix as applicable</x:v>
      </x:c>
      <x:c r="K15" s="32" t="str">
        <x:v>Registered H6 hardware</x:v>
      </x:c>
      <x:c r="L15" s="32" t="str">
        <x:v>NOT RUN</x:v>
      </x:c>
      <x:c r="M15" s="32" t="str"/>
      <x:c r="N15" s="32" t="str"/>
      <x:c r="O15" s="32" t="str"/>
      <x:c r="P15" s="82" t="str"/>
      <x:c r="Q15" s="32" t="str">
        <x:v>Required</x:v>
      </x:c>
      <x:c r="R15" s="32" t="str"/>
    </x:row>
    <x:row r="16">
      <x:c r="A16" s="32" t="str">
        <x:v>VS-TST-012</x:v>
      </x:c>
      <x:c r="B16" s="32" t="str">
        <x:v>A/C</x:v>
      </x:c>
      <x:c r="C16" s="32" t="str">
        <x:v>Vertical Slice</x:v>
      </x:c>
      <x:c r="D16" s="32" t="str">
        <x:v>Pedido válido</x:v>
      </x:c>
      <x:c r="E16" s="32" t="str"/>
      <x:c r="F16" s="32" t="str"/>
      <x:c r="G16" s="32" t="str">
        <x:v>Registro correcto.</x:v>
      </x:c>
      <x:c r="H16" s="32" t="str">
        <x:v>H6 Candidate</x:v>
      </x:c>
      <x:c r="I16" s="32" t="str">
        <x:v>ES/EN as applicable</x:v>
      </x:c>
      <x:c r="J16" s="32" t="str">
        <x:v>1080p / matrix as applicable</x:v>
      </x:c>
      <x:c r="K16" s="32" t="str">
        <x:v>Registered H6 hardware</x:v>
      </x:c>
      <x:c r="L16" s="32" t="str">
        <x:v>NOT RUN</x:v>
      </x:c>
      <x:c r="M16" s="32" t="str"/>
      <x:c r="N16" s="32" t="str"/>
      <x:c r="O16" s="32" t="str"/>
      <x:c r="P16" s="82" t="str"/>
      <x:c r="Q16" s="32" t="str">
        <x:v>Required</x:v>
      </x:c>
      <x:c r="R16" s="32" t="str"/>
    </x:row>
    <x:row r="17">
      <x:c r="A17" s="32" t="str">
        <x:v>VS-TST-013</x:v>
      </x:c>
      <x:c r="B17" s="32" t="str">
        <x:v>A/C</x:v>
      </x:c>
      <x:c r="C17" s="32" t="str">
        <x:v>Vertical Slice</x:v>
      </x:c>
      <x:c r="D17" s="32" t="str">
        <x:v>Entrega única tras recarga</x:v>
      </x:c>
      <x:c r="E17" s="32" t="str"/>
      <x:c r="F17" s="32" t="str"/>
      <x:c r="G17" s="32" t="str">
        <x:v>Entrega una vez.</x:v>
      </x:c>
      <x:c r="H17" s="32" t="str">
        <x:v>H6 Candidate</x:v>
      </x:c>
      <x:c r="I17" s="32" t="str">
        <x:v>ES/EN as applicable</x:v>
      </x:c>
      <x:c r="J17" s="32" t="str">
        <x:v>1080p / matrix as applicable</x:v>
      </x:c>
      <x:c r="K17" s="32" t="str">
        <x:v>Registered H6 hardware</x:v>
      </x:c>
      <x:c r="L17" s="32" t="str">
        <x:v>NOT RUN</x:v>
      </x:c>
      <x:c r="M17" s="32" t="str"/>
      <x:c r="N17" s="32" t="str"/>
      <x:c r="O17" s="32" t="str"/>
      <x:c r="P17" s="82" t="str"/>
      <x:c r="Q17" s="32" t="str">
        <x:v>Required</x:v>
      </x:c>
      <x:c r="R17" s="32" t="str"/>
    </x:row>
    <x:row r="18">
      <x:c r="A18" s="32" t="str">
        <x:v>VS-TST-014</x:v>
      </x:c>
      <x:c r="B18" s="32" t="str">
        <x:v>A/C</x:v>
      </x:c>
      <x:c r="C18" s="32" t="str">
        <x:v>Vertical Slice</x:v>
      </x:c>
      <x:c r="D18" s="32" t="str">
        <x:v>Capacidad de recepción</x:v>
      </x:c>
      <x:c r="E18" s="32" t="str"/>
      <x:c r="F18" s="32" t="str"/>
      <x:c r="G18" s="32" t="str">
        <x:v>Sin pérdida.</x:v>
      </x:c>
      <x:c r="H18" s="32" t="str">
        <x:v>H6 Candidate</x:v>
      </x:c>
      <x:c r="I18" s="32" t="str">
        <x:v>ES/EN as applicable</x:v>
      </x:c>
      <x:c r="J18" s="32" t="str">
        <x:v>1080p / matrix as applicable</x:v>
      </x:c>
      <x:c r="K18" s="32" t="str">
        <x:v>Registered H6 hardware</x:v>
      </x:c>
      <x:c r="L18" s="32" t="str">
        <x:v>NOT RUN</x:v>
      </x:c>
      <x:c r="M18" s="32" t="str"/>
      <x:c r="N18" s="32" t="str"/>
      <x:c r="O18" s="32" t="str"/>
      <x:c r="P18" s="82" t="str"/>
      <x:c r="Q18" s="32" t="str">
        <x:v>Required</x:v>
      </x:c>
      <x:c r="R18" s="32" t="str"/>
    </x:row>
    <x:row r="19">
      <x:c r="A19" s="32" t="str">
        <x:v>VS-TST-015</x:v>
      </x:c>
      <x:c r="B19" s="32" t="str">
        <x:v>A/C</x:v>
      </x:c>
      <x:c r="C19" s="32" t="str">
        <x:v>Vertical Slice</x:v>
      </x:c>
      <x:c r="D19" s="32" t="str">
        <x:v>Transferencia válida</x:v>
      </x:c>
      <x:c r="E19" s="32" t="str"/>
      <x:c r="F19" s="32" t="str"/>
      <x:c r="G19" s="32" t="str">
        <x:v>Conservación de cantidad.</x:v>
      </x:c>
      <x:c r="H19" s="32" t="str">
        <x:v>H6 Candidate</x:v>
      </x:c>
      <x:c r="I19" s="32" t="str">
        <x:v>ES/EN as applicable</x:v>
      </x:c>
      <x:c r="J19" s="32" t="str">
        <x:v>1080p / matrix as applicable</x:v>
      </x:c>
      <x:c r="K19" s="32" t="str">
        <x:v>Registered H6 hardware</x:v>
      </x:c>
      <x:c r="L19" s="32" t="str">
        <x:v>NOT RUN</x:v>
      </x:c>
      <x:c r="M19" s="32" t="str"/>
      <x:c r="N19" s="32" t="str"/>
      <x:c r="O19" s="32" t="str"/>
      <x:c r="P19" s="82" t="str"/>
      <x:c r="Q19" s="32" t="str">
        <x:v>Required</x:v>
      </x:c>
      <x:c r="R19" s="32" t="str"/>
    </x:row>
    <x:row r="20">
      <x:c r="A20" s="32" t="str">
        <x:v>VS-TST-016</x:v>
      </x:c>
      <x:c r="B20" s="32" t="str">
        <x:v>A/C</x:v>
      </x:c>
      <x:c r="C20" s="32" t="str">
        <x:v>Vertical Slice</x:v>
      </x:c>
      <x:c r="D20" s="32" t="str">
        <x:v>Transferencia inválida</x:v>
      </x:c>
      <x:c r="E20" s="32" t="str"/>
      <x:c r="F20" s="32" t="str"/>
      <x:c r="G20" s="32" t="str">
        <x:v>Sin mutación parcial.</x:v>
      </x:c>
      <x:c r="H20" s="32" t="str">
        <x:v>H6 Candidate</x:v>
      </x:c>
      <x:c r="I20" s="32" t="str">
        <x:v>ES/EN as applicable</x:v>
      </x:c>
      <x:c r="J20" s="32" t="str">
        <x:v>1080p / matrix as applicable</x:v>
      </x:c>
      <x:c r="K20" s="32" t="str">
        <x:v>Registered H6 hardware</x:v>
      </x:c>
      <x:c r="L20" s="32" t="str">
        <x:v>NOT RUN</x:v>
      </x:c>
      <x:c r="M20" s="32" t="str"/>
      <x:c r="N20" s="32" t="str"/>
      <x:c r="O20" s="32" t="str"/>
      <x:c r="P20" s="82" t="str"/>
      <x:c r="Q20" s="32" t="str">
        <x:v>Required</x:v>
      </x:c>
      <x:c r="R20" s="32" t="str"/>
    </x:row>
    <x:row r="21">
      <x:c r="A21" s="32" t="str">
        <x:v>VS-TST-017</x:v>
      </x:c>
      <x:c r="B21" s="32" t="str">
        <x:v>A/C</x:v>
      </x:c>
      <x:c r="C21" s="32" t="str">
        <x:v>Vertical Slice</x:v>
      </x:c>
      <x:c r="D21" s="32" t="str">
        <x:v>Asignación incompatible</x:v>
      </x:c>
      <x:c r="E21" s="32" t="str"/>
      <x:c r="F21" s="32" t="str"/>
      <x:c r="G21" s="32" t="str">
        <x:v>Rechazo y feedback.</x:v>
      </x:c>
      <x:c r="H21" s="32" t="str">
        <x:v>H6 Candidate</x:v>
      </x:c>
      <x:c r="I21" s="32" t="str">
        <x:v>ES/EN as applicable</x:v>
      </x:c>
      <x:c r="J21" s="32" t="str">
        <x:v>1080p / matrix as applicable</x:v>
      </x:c>
      <x:c r="K21" s="32" t="str">
        <x:v>Registered H6 hardware</x:v>
      </x:c>
      <x:c r="L21" s="32" t="str">
        <x:v>NOT RUN</x:v>
      </x:c>
      <x:c r="M21" s="32" t="str"/>
      <x:c r="N21" s="32" t="str"/>
      <x:c r="O21" s="32" t="str"/>
      <x:c r="P21" s="82" t="str"/>
      <x:c r="Q21" s="32" t="str">
        <x:v>Required</x:v>
      </x:c>
      <x:c r="R21" s="32" t="str"/>
    </x:row>
    <x:row r="22">
      <x:c r="A22" s="32" t="str">
        <x:v>VS-TST-018</x:v>
      </x:c>
      <x:c r="B22" s="32" t="str">
        <x:v>A/C</x:v>
      </x:c>
      <x:c r="C22" s="32" t="str">
        <x:v>Vertical Slice</x:v>
      </x:c>
      <x:c r="D22" s="32" t="str">
        <x:v>Reposición límite</x:v>
      </x:c>
      <x:c r="E22" s="32" t="str"/>
      <x:c r="F22" s="32" t="str"/>
      <x:c r="G22" s="32" t="str">
        <x:v>No sobrellenado.</x:v>
      </x:c>
      <x:c r="H22" s="32" t="str">
        <x:v>H6 Candidate</x:v>
      </x:c>
      <x:c r="I22" s="32" t="str">
        <x:v>ES/EN as applicable</x:v>
      </x:c>
      <x:c r="J22" s="32" t="str">
        <x:v>1080p / matrix as applicable</x:v>
      </x:c>
      <x:c r="K22" s="32" t="str">
        <x:v>Registered H6 hardware</x:v>
      </x:c>
      <x:c r="L22" s="32" t="str">
        <x:v>NOT RUN</x:v>
      </x:c>
      <x:c r="M22" s="32" t="str"/>
      <x:c r="N22" s="32" t="str"/>
      <x:c r="O22" s="32" t="str"/>
      <x:c r="P22" s="82" t="str"/>
      <x:c r="Q22" s="32" t="str">
        <x:v>Required</x:v>
      </x:c>
      <x:c r="R22" s="32" t="str"/>
    </x:row>
    <x:row r="23">
      <x:c r="A23" s="32" t="str">
        <x:v>VS-TST-019</x:v>
      </x:c>
      <x:c r="B23" s="32" t="str">
        <x:v>C/F</x:v>
      </x:c>
      <x:c r="C23" s="32" t="str">
        <x:v>Vertical Slice</x:v>
      </x:c>
      <x:c r="D23" s="32" t="str">
        <x:v>Comparación de precios</x:v>
      </x:c>
      <x:c r="E23" s="32" t="str"/>
      <x:c r="F23" s="32" t="str"/>
      <x:c r="G23" s="32" t="str">
        <x:v>Respuesta de demanda observable.</x:v>
      </x:c>
      <x:c r="H23" s="32" t="str">
        <x:v>H6 Candidate</x:v>
      </x:c>
      <x:c r="I23" s="32" t="str">
        <x:v>ES/EN as applicable</x:v>
      </x:c>
      <x:c r="J23" s="32" t="str">
        <x:v>1080p / matrix as applicable</x:v>
      </x:c>
      <x:c r="K23" s="32" t="str">
        <x:v>Registered H6 hardware</x:v>
      </x:c>
      <x:c r="L23" s="32" t="str">
        <x:v>NOT RUN</x:v>
      </x:c>
      <x:c r="M23" s="32" t="str"/>
      <x:c r="N23" s="32" t="str"/>
      <x:c r="O23" s="32" t="str"/>
      <x:c r="P23" s="82" t="str"/>
      <x:c r="Q23" s="32" t="str">
        <x:v>Required</x:v>
      </x:c>
      <x:c r="R23" s="32" t="str"/>
    </x:row>
    <x:row r="24">
      <x:c r="A24" s="32" t="str">
        <x:v>VS-TST-020</x:v>
      </x:c>
      <x:c r="B24" s="32" t="str">
        <x:v>C/D</x:v>
      </x:c>
      <x:c r="C24" s="32" t="str">
        <x:v>Vertical Slice</x:v>
      </x:c>
      <x:c r="D24" s="32" t="str">
        <x:v>Sin stock</x:v>
      </x:c>
      <x:c r="E24" s="32" t="str"/>
      <x:c r="F24" s="32" t="str"/>
      <x:c r="G24" s="32" t="str">
        <x:v>Abandono o alternativa legible.</x:v>
      </x:c>
      <x:c r="H24" s="32" t="str">
        <x:v>H6 Candidate</x:v>
      </x:c>
      <x:c r="I24" s="32" t="str">
        <x:v>ES/EN as applicable</x:v>
      </x:c>
      <x:c r="J24" s="32" t="str">
        <x:v>1080p / matrix as applicable</x:v>
      </x:c>
      <x:c r="K24" s="32" t="str">
        <x:v>Registered H6 hardware</x:v>
      </x:c>
      <x:c r="L24" s="32" t="str">
        <x:v>NOT RUN</x:v>
      </x:c>
      <x:c r="M24" s="32" t="str"/>
      <x:c r="N24" s="32" t="str"/>
      <x:c r="O24" s="32" t="str"/>
      <x:c r="P24" s="82" t="str"/>
      <x:c r="Q24" s="32" t="str">
        <x:v>Required</x:v>
      </x:c>
      <x:c r="R24" s="32" t="str"/>
    </x:row>
    <x:row r="25">
      <x:c r="A25" s="32" t="str">
        <x:v>VS-TST-021</x:v>
      </x:c>
      <x:c r="B25" s="32" t="str">
        <x:v>A/C</x:v>
      </x:c>
      <x:c r="C25" s="32" t="str">
        <x:v>Vertical Slice</x:v>
      </x:c>
      <x:c r="D25" s="32" t="str">
        <x:v>Dos clientes, una unidad</x:v>
      </x:c>
      <x:c r="E25" s="32" t="str"/>
      <x:c r="F25" s="32" t="str"/>
      <x:c r="G25" s="32" t="str">
        <x:v>Una sola reserva/venta.</x:v>
      </x:c>
      <x:c r="H25" s="32" t="str">
        <x:v>H6 Candidate</x:v>
      </x:c>
      <x:c r="I25" s="32" t="str">
        <x:v>ES/EN as applicable</x:v>
      </x:c>
      <x:c r="J25" s="32" t="str">
        <x:v>1080p / matrix as applicable</x:v>
      </x:c>
      <x:c r="K25" s="32" t="str">
        <x:v>Registered H6 hardware</x:v>
      </x:c>
      <x:c r="L25" s="32" t="str">
        <x:v>NOT RUN</x:v>
      </x:c>
      <x:c r="M25" s="32" t="str"/>
      <x:c r="N25" s="32" t="str"/>
      <x:c r="O25" s="32" t="str"/>
      <x:c r="P25" s="82" t="str"/>
      <x:c r="Q25" s="32" t="str">
        <x:v>Required</x:v>
      </x:c>
      <x:c r="R25" s="32" t="str"/>
    </x:row>
    <x:row r="26">
      <x:c r="A26" s="32" t="str">
        <x:v>VS-TST-022</x:v>
      </x:c>
      <x:c r="B26" s="32" t="str">
        <x:v>A/C</x:v>
      </x:c>
      <x:c r="C26" s="32" t="str">
        <x:v>Vertical Slice</x:v>
      </x:c>
      <x:c r="D26" s="32" t="str">
        <x:v>Abandono libera reserva</x:v>
      </x:c>
      <x:c r="E26" s="32" t="str"/>
      <x:c r="F26" s="32" t="str"/>
      <x:c r="G26" s="32" t="str">
        <x:v>Unidad vuelve a disponibilidad.</x:v>
      </x:c>
      <x:c r="H26" s="32" t="str">
        <x:v>H6 Candidate</x:v>
      </x:c>
      <x:c r="I26" s="32" t="str">
        <x:v>ES/EN as applicable</x:v>
      </x:c>
      <x:c r="J26" s="32" t="str">
        <x:v>1080p / matrix as applicable</x:v>
      </x:c>
      <x:c r="K26" s="32" t="str">
        <x:v>Registered H6 hardware</x:v>
      </x:c>
      <x:c r="L26" s="32" t="str">
        <x:v>NOT RUN</x:v>
      </x:c>
      <x:c r="M26" s="32" t="str"/>
      <x:c r="N26" s="32" t="str"/>
      <x:c r="O26" s="32" t="str"/>
      <x:c r="P26" s="82" t="str"/>
      <x:c r="Q26" s="32" t="str">
        <x:v>Required</x:v>
      </x:c>
      <x:c r="R26" s="32" t="str"/>
    </x:row>
    <x:row r="27">
      <x:c r="A27" s="32" t="str">
        <x:v>VS-TST-023</x:v>
      </x:c>
      <x:c r="B27" s="32" t="str">
        <x:v>C/F</x:v>
      </x:c>
      <x:c r="C27" s="32" t="str">
        <x:v>Vertical Slice</x:v>
      </x:c>
      <x:c r="D27" s="32" t="str">
        <x:v>Cola saturada</x:v>
      </x:c>
      <x:c r="E27" s="32" t="str"/>
      <x:c r="F27" s="32" t="str"/>
      <x:c r="G27" s="32" t="str">
        <x:v>Sin deadlock.</x:v>
      </x:c>
      <x:c r="H27" s="32" t="str">
        <x:v>H6 Candidate</x:v>
      </x:c>
      <x:c r="I27" s="32" t="str">
        <x:v>ES/EN as applicable</x:v>
      </x:c>
      <x:c r="J27" s="32" t="str">
        <x:v>1080p / matrix as applicable</x:v>
      </x:c>
      <x:c r="K27" s="32" t="str">
        <x:v>Registered H6 hardware</x:v>
      </x:c>
      <x:c r="L27" s="32" t="str">
        <x:v>NOT RUN</x:v>
      </x:c>
      <x:c r="M27" s="32" t="str"/>
      <x:c r="N27" s="32" t="str"/>
      <x:c r="O27" s="32" t="str"/>
      <x:c r="P27" s="82" t="str"/>
      <x:c r="Q27" s="32" t="str">
        <x:v>Required</x:v>
      </x:c>
      <x:c r="R27" s="32" t="str"/>
    </x:row>
    <x:row r="28">
      <x:c r="A28" s="32" t="str">
        <x:v>VS-TST-024</x:v>
      </x:c>
      <x:c r="B28" s="32" t="str">
        <x:v>A/C</x:v>
      </x:c>
      <x:c r="C28" s="32" t="str">
        <x:v>Vertical Slice</x:v>
      </x:c>
      <x:c r="D28" s="32" t="str">
        <x:v>Doble confirmación de checkout</x:v>
      </x:c>
      <x:c r="E28" s="32" t="str"/>
      <x:c r="F28" s="32" t="str"/>
      <x:c r="G28" s="32" t="str">
        <x:v>Una sola venta.</x:v>
      </x:c>
      <x:c r="H28" s="32" t="str">
        <x:v>H6 Candidate</x:v>
      </x:c>
      <x:c r="I28" s="32" t="str">
        <x:v>ES/EN as applicable</x:v>
      </x:c>
      <x:c r="J28" s="32" t="str">
        <x:v>1080p / matrix as applicable</x:v>
      </x:c>
      <x:c r="K28" s="32" t="str">
        <x:v>Registered H6 hardware</x:v>
      </x:c>
      <x:c r="L28" s="32" t="str">
        <x:v>NOT RUN</x:v>
      </x:c>
      <x:c r="M28" s="32" t="str"/>
      <x:c r="N28" s="32" t="str"/>
      <x:c r="O28" s="32" t="str"/>
      <x:c r="P28" s="82" t="str"/>
      <x:c r="Q28" s="32" t="str">
        <x:v>Required</x:v>
      </x:c>
      <x:c r="R28" s="32" t="str"/>
    </x:row>
    <x:row r="29">
      <x:c r="A29" s="32" t="str">
        <x:v>VS-TST-025</x:v>
      </x:c>
      <x:c r="B29" s="32" t="str">
        <x:v>A/C</x:v>
      </x:c>
      <x:c r="C29" s="32" t="str">
        <x:v>Vertical Slice</x:v>
      </x:c>
      <x:c r="D29" s="32" t="str">
        <x:v>Cierre con reserva activa</x:v>
      </x:c>
      <x:c r="E29" s="32" t="str"/>
      <x:c r="F29" s="32" t="str"/>
      <x:c r="G29" s="32" t="str">
        <x:v>Resolución segura.</x:v>
      </x:c>
      <x:c r="H29" s="32" t="str">
        <x:v>H6 Candidate</x:v>
      </x:c>
      <x:c r="I29" s="32" t="str">
        <x:v>ES/EN as applicable</x:v>
      </x:c>
      <x:c r="J29" s="32" t="str">
        <x:v>1080p / matrix as applicable</x:v>
      </x:c>
      <x:c r="K29" s="32" t="str">
        <x:v>Registered H6 hardware</x:v>
      </x:c>
      <x:c r="L29" s="32" t="str">
        <x:v>NOT RUN</x:v>
      </x:c>
      <x:c r="M29" s="32" t="str"/>
      <x:c r="N29" s="32" t="str"/>
      <x:c r="O29" s="32" t="str"/>
      <x:c r="P29" s="82" t="str"/>
      <x:c r="Q29" s="32" t="str">
        <x:v>Required</x:v>
      </x:c>
      <x:c r="R29" s="32" t="str"/>
    </x:row>
    <x:row r="30">
      <x:c r="A30" s="32" t="str">
        <x:v>VS-TST-026</x:v>
      </x:c>
      <x:c r="B30" s="32" t="str">
        <x:v>A/F</x:v>
      </x:c>
      <x:c r="C30" s="32" t="str">
        <x:v>Vertical Slice</x:v>
      </x:c>
      <x:c r="D30" s="32" t="str">
        <x:v>Semana con beneficio</x:v>
      </x:c>
      <x:c r="E30" s="32" t="str"/>
      <x:c r="F30" s="32" t="str"/>
      <x:c r="G30" s="32" t="str">
        <x:v>Impuesto correcto.</x:v>
      </x:c>
      <x:c r="H30" s="32" t="str">
        <x:v>H6 Candidate</x:v>
      </x:c>
      <x:c r="I30" s="32" t="str">
        <x:v>ES/EN as applicable</x:v>
      </x:c>
      <x:c r="J30" s="32" t="str">
        <x:v>1080p / matrix as applicable</x:v>
      </x:c>
      <x:c r="K30" s="32" t="str">
        <x:v>Registered H6 hardware</x:v>
      </x:c>
      <x:c r="L30" s="32" t="str">
        <x:v>NOT RUN</x:v>
      </x:c>
      <x:c r="M30" s="32" t="str"/>
      <x:c r="N30" s="32" t="str"/>
      <x:c r="O30" s="32" t="str"/>
      <x:c r="P30" s="82" t="str"/>
      <x:c r="Q30" s="32" t="str">
        <x:v>Required</x:v>
      </x:c>
      <x:c r="R30" s="32" t="str"/>
    </x:row>
    <x:row r="31">
      <x:c r="A31" s="32" t="str">
        <x:v>VS-TST-027</x:v>
      </x:c>
      <x:c r="B31" s="32" t="str">
        <x:v>A/F</x:v>
      </x:c>
      <x:c r="C31" s="32" t="str">
        <x:v>Vertical Slice</x:v>
      </x:c>
      <x:c r="D31" s="32" t="str">
        <x:v>Semana sin beneficio</x:v>
      </x:c>
      <x:c r="E31" s="32" t="str"/>
      <x:c r="F31" s="32" t="str"/>
      <x:c r="G31" s="32" t="str">
        <x:v>Sin impuesto positivo indebido.</x:v>
      </x:c>
      <x:c r="H31" s="32" t="str">
        <x:v>H6 Candidate</x:v>
      </x:c>
      <x:c r="I31" s="32" t="str">
        <x:v>ES/EN as applicable</x:v>
      </x:c>
      <x:c r="J31" s="32" t="str">
        <x:v>1080p / matrix as applicable</x:v>
      </x:c>
      <x:c r="K31" s="32" t="str">
        <x:v>Registered H6 hardware</x:v>
      </x:c>
      <x:c r="L31" s="32" t="str">
        <x:v>NOT RUN</x:v>
      </x:c>
      <x:c r="M31" s="32" t="str"/>
      <x:c r="N31" s="32" t="str"/>
      <x:c r="O31" s="32" t="str"/>
      <x:c r="P31" s="82" t="str"/>
      <x:c r="Q31" s="32" t="str">
        <x:v>Required</x:v>
      </x:c>
      <x:c r="R31" s="32" t="str"/>
    </x:row>
    <x:row r="32">
      <x:c r="A32" s="32" t="str">
        <x:v>VS-TST-028</x:v>
      </x:c>
      <x:c r="B32" s="32" t="str">
        <x:v>C/D</x:v>
      </x:c>
      <x:c r="C32" s="32" t="str">
        <x:v>Vertical Slice</x:v>
      </x:c>
      <x:c r="D32" s="32" t="str">
        <x:v>Guardar en estado seguro</x:v>
      </x:c>
      <x:c r="E32" s="32" t="str"/>
      <x:c r="F32" s="32" t="str"/>
      <x:c r="G32" s="32" t="str">
        <x:v>Archivo válido.</x:v>
      </x:c>
      <x:c r="H32" s="32" t="str">
        <x:v>H6 Candidate</x:v>
      </x:c>
      <x:c r="I32" s="32" t="str">
        <x:v>ES/EN as applicable</x:v>
      </x:c>
      <x:c r="J32" s="32" t="str">
        <x:v>1080p / matrix as applicable</x:v>
      </x:c>
      <x:c r="K32" s="32" t="str">
        <x:v>Registered H6 hardware</x:v>
      </x:c>
      <x:c r="L32" s="32" t="str">
        <x:v>NOT RUN</x:v>
      </x:c>
      <x:c r="M32" s="32" t="str"/>
      <x:c r="N32" s="32" t="str"/>
      <x:c r="O32" s="32" t="str"/>
      <x:c r="P32" s="82" t="str"/>
      <x:c r="Q32" s="32" t="str">
        <x:v>Required</x:v>
      </x:c>
      <x:c r="R32" s="32" t="str"/>
    </x:row>
    <x:row r="33">
      <x:c r="A33" s="32" t="str">
        <x:v>VS-TST-029</x:v>
      </x:c>
      <x:c r="B33" s="32" t="str">
        <x:v>C/D</x:v>
      </x:c>
      <x:c r="C33" s="32" t="str">
        <x:v>Vertical Slice</x:v>
      </x:c>
      <x:c r="D33" s="32" t="str">
        <x:v>Guardar en estado no seguro</x:v>
      </x:c>
      <x:c r="E33" s="32" t="str"/>
      <x:c r="F33" s="32" t="str"/>
      <x:c r="G33" s="32" t="str">
        <x:v>Rechazo o resolución controlada.</x:v>
      </x:c>
      <x:c r="H33" s="32" t="str">
        <x:v>H6 Candidate</x:v>
      </x:c>
      <x:c r="I33" s="32" t="str">
        <x:v>ES/EN as applicable</x:v>
      </x:c>
      <x:c r="J33" s="32" t="str">
        <x:v>1080p / matrix as applicable</x:v>
      </x:c>
      <x:c r="K33" s="32" t="str">
        <x:v>Registered H6 hardware</x:v>
      </x:c>
      <x:c r="L33" s="32" t="str">
        <x:v>NOT RUN</x:v>
      </x:c>
      <x:c r="M33" s="32" t="str"/>
      <x:c r="N33" s="32" t="str"/>
      <x:c r="O33" s="32" t="str"/>
      <x:c r="P33" s="82" t="str"/>
      <x:c r="Q33" s="32" t="str">
        <x:v>Required</x:v>
      </x:c>
      <x:c r="R33" s="32" t="str"/>
    </x:row>
    <x:row r="34">
      <x:c r="A34" s="32" t="str">
        <x:v>VS-TST-030</x:v>
      </x:c>
      <x:c r="B34" s="32" t="str">
        <x:v>A/D</x:v>
      </x:c>
      <x:c r="C34" s="32" t="str">
        <x:v>Vertical Slice</x:v>
      </x:c>
      <x:c r="D34" s="32" t="str">
        <x:v>Equivalencia de recarga</x:v>
      </x:c>
      <x:c r="E34" s="32" t="str"/>
      <x:c r="F34" s="32" t="str"/>
      <x:c r="G34" s="32" t="str">
        <x:v>Campos obligatorios equivalentes.</x:v>
      </x:c>
      <x:c r="H34" s="32" t="str">
        <x:v>H6 Candidate</x:v>
      </x:c>
      <x:c r="I34" s="32" t="str">
        <x:v>ES/EN as applicable</x:v>
      </x:c>
      <x:c r="J34" s="32" t="str">
        <x:v>1080p / matrix as applicable</x:v>
      </x:c>
      <x:c r="K34" s="32" t="str">
        <x:v>Registered H6 hardware</x:v>
      </x:c>
      <x:c r="L34" s="32" t="str">
        <x:v>NOT RUN</x:v>
      </x:c>
      <x:c r="M34" s="32" t="str"/>
      <x:c r="N34" s="32" t="str"/>
      <x:c r="O34" s="32" t="str"/>
      <x:c r="P34" s="82" t="str"/>
      <x:c r="Q34" s="32" t="str">
        <x:v>Required</x:v>
      </x:c>
      <x:c r="R34" s="32" t="str"/>
    </x:row>
    <x:row r="35">
      <x:c r="A35" s="32" t="str">
        <x:v>VS-TST-031</x:v>
      </x:c>
      <x:c r="B35" s="32" t="str">
        <x:v>B/E</x:v>
      </x:c>
      <x:c r="C35" s="32" t="str">
        <x:v>Vertical Slice</x:v>
      </x:c>
      <x:c r="D35" s="32" t="str">
        <x:v>Archivo principal corrupto</x:v>
      </x:c>
      <x:c r="E35" s="32" t="str"/>
      <x:c r="F35" s="32" t="str"/>
      <x:c r="G35" s="32" t="str">
        <x:v>Mensaje y backup/control.</x:v>
      </x:c>
      <x:c r="H35" s="32" t="str">
        <x:v>H6 Candidate</x:v>
      </x:c>
      <x:c r="I35" s="32" t="str">
        <x:v>ES/EN as applicable</x:v>
      </x:c>
      <x:c r="J35" s="32" t="str">
        <x:v>1080p / matrix as applicable</x:v>
      </x:c>
      <x:c r="K35" s="32" t="str">
        <x:v>Registered H6 hardware</x:v>
      </x:c>
      <x:c r="L35" s="32" t="str">
        <x:v>NOT RUN</x:v>
      </x:c>
      <x:c r="M35" s="32" t="str"/>
      <x:c r="N35" s="32" t="str"/>
      <x:c r="O35" s="32" t="str"/>
      <x:c r="P35" s="82" t="str"/>
      <x:c r="Q35" s="32" t="str">
        <x:v>Required</x:v>
      </x:c>
      <x:c r="R35" s="32" t="str"/>
    </x:row>
    <x:row r="36">
      <x:c r="A36" s="32" t="str">
        <x:v>VS-TST-032</x:v>
      </x:c>
      <x:c r="B36" s="32" t="str">
        <x:v>C/D</x:v>
      </x:c>
      <x:c r="C36" s="32" t="str">
        <x:v>Vertical Slice</x:v>
      </x:c>
      <x:c r="D36" s="32" t="str">
        <x:v>Input de UI</x:v>
      </x:c>
      <x:c r="E36" s="32" t="str"/>
      <x:c r="F36" s="32" t="str"/>
      <x:c r="G36" s="32" t="str">
        <x:v>Sin propagación.</x:v>
      </x:c>
      <x:c r="H36" s="32" t="str">
        <x:v>H6 Candidate</x:v>
      </x:c>
      <x:c r="I36" s="32" t="str">
        <x:v>ES/EN as applicable</x:v>
      </x:c>
      <x:c r="J36" s="32" t="str">
        <x:v>1080p / matrix as applicable</x:v>
      </x:c>
      <x:c r="K36" s="32" t="str">
        <x:v>Registered H6 hardware</x:v>
      </x:c>
      <x:c r="L36" s="32" t="str">
        <x:v>NOT RUN</x:v>
      </x:c>
      <x:c r="M36" s="32" t="str"/>
      <x:c r="N36" s="32" t="str"/>
      <x:c r="O36" s="32" t="str"/>
      <x:c r="P36" s="82" t="str"/>
      <x:c r="Q36" s="32" t="str">
        <x:v>Required</x:v>
      </x:c>
      <x:c r="R36" s="32" t="str"/>
    </x:row>
    <x:row r="37">
      <x:c r="A37" s="32" t="str">
        <x:v>VS-TST-033</x:v>
      </x:c>
      <x:c r="B37" s="32" t="str">
        <x:v>C/E</x:v>
      </x:c>
      <x:c r="C37" s="32" t="str">
        <x:v>Vertical Slice</x:v>
      </x:c>
      <x:c r="D37" s="32" t="str">
        <x:v>Resolución 1080p</x:v>
      </x:c>
      <x:c r="E37" s="32" t="str"/>
      <x:c r="F37" s="32" t="str"/>
      <x:c r="G37" s="32" t="str">
        <x:v>Sin cortes bloqueantes.</x:v>
      </x:c>
      <x:c r="H37" s="32" t="str">
        <x:v>H6 Candidate</x:v>
      </x:c>
      <x:c r="I37" s="32" t="str">
        <x:v>ES/EN as applicable</x:v>
      </x:c>
      <x:c r="J37" s="32" t="str">
        <x:v>1080p / matrix as applicable</x:v>
      </x:c>
      <x:c r="K37" s="32" t="str">
        <x:v>Registered H6 hardware</x:v>
      </x:c>
      <x:c r="L37" s="32" t="str">
        <x:v>NOT RUN</x:v>
      </x:c>
      <x:c r="M37" s="32" t="str"/>
      <x:c r="N37" s="32" t="str"/>
      <x:c r="O37" s="32" t="str"/>
      <x:c r="P37" s="82" t="str"/>
      <x:c r="Q37" s="32" t="str">
        <x:v>Required</x:v>
      </x:c>
      <x:c r="R37" s="32" t="str"/>
    </x:row>
    <x:row r="38">
      <x:c r="A38" s="32" t="str">
        <x:v>VS-TST-034</x:v>
      </x:c>
      <x:c r="B38" s="32" t="str">
        <x:v>C/E</x:v>
      </x:c>
      <x:c r="C38" s="32" t="str">
        <x:v>Vertical Slice</x:v>
      </x:c>
      <x:c r="D38" s="32" t="str">
        <x:v>Idioma ES</x:v>
      </x:c>
      <x:c r="E38" s="32" t="str"/>
      <x:c r="F38" s="32" t="str"/>
      <x:c r="G38" s="32" t="str">
        <x:v>Textos correctos.</x:v>
      </x:c>
      <x:c r="H38" s="32" t="str">
        <x:v>H6 Candidate</x:v>
      </x:c>
      <x:c r="I38" s="32" t="str">
        <x:v>ES/EN as applicable</x:v>
      </x:c>
      <x:c r="J38" s="32" t="str">
        <x:v>1080p / matrix as applicable</x:v>
      </x:c>
      <x:c r="K38" s="32" t="str">
        <x:v>Registered H6 hardware</x:v>
      </x:c>
      <x:c r="L38" s="32" t="str">
        <x:v>NOT RUN</x:v>
      </x:c>
      <x:c r="M38" s="32" t="str"/>
      <x:c r="N38" s="32" t="str"/>
      <x:c r="O38" s="32" t="str"/>
      <x:c r="P38" s="82" t="str"/>
      <x:c r="Q38" s="32" t="str">
        <x:v>Required</x:v>
      </x:c>
      <x:c r="R38" s="32" t="str"/>
    </x:row>
    <x:row r="39">
      <x:c r="A39" s="32" t="str">
        <x:v>VS-TST-035</x:v>
      </x:c>
      <x:c r="B39" s="32" t="str">
        <x:v>C/E</x:v>
      </x:c>
      <x:c r="C39" s="32" t="str">
        <x:v>Vertical Slice</x:v>
      </x:c>
      <x:c r="D39" s="32" t="str">
        <x:v>Idioma EN</x:v>
      </x:c>
      <x:c r="E39" s="32" t="str"/>
      <x:c r="F39" s="32" t="str"/>
      <x:c r="G39" s="32" t="str">
        <x:v>Sin desbordes bloqueantes.</x:v>
      </x:c>
      <x:c r="H39" s="32" t="str">
        <x:v>H6 Candidate</x:v>
      </x:c>
      <x:c r="I39" s="32" t="str">
        <x:v>ES/EN as applicable</x:v>
      </x:c>
      <x:c r="J39" s="32" t="str">
        <x:v>1080p / matrix as applicable</x:v>
      </x:c>
      <x:c r="K39" s="32" t="str">
        <x:v>Registered H6 hardware</x:v>
      </x:c>
      <x:c r="L39" s="32" t="str">
        <x:v>NOT RUN</x:v>
      </x:c>
      <x:c r="M39" s="32" t="str"/>
      <x:c r="N39" s="32" t="str"/>
      <x:c r="O39" s="32" t="str"/>
      <x:c r="P39" s="82" t="str"/>
      <x:c r="Q39" s="32" t="str">
        <x:v>Required</x:v>
      </x:c>
      <x:c r="R39" s="32" t="str"/>
    </x:row>
    <x:row r="40">
      <x:c r="A40" s="32" t="str">
        <x:v>VS-TST-036</x:v>
      </x:c>
      <x:c r="B40" s="32" t="str">
        <x:v>C/E</x:v>
      </x:c>
      <x:c r="C40" s="32" t="str">
        <x:v>Vertical Slice</x:v>
      </x:c>
      <x:c r="D40" s="32" t="str">
        <x:v>Puerta y navegación</x:v>
      </x:c>
      <x:c r="E40" s="32" t="str"/>
      <x:c r="F40" s="32" t="str"/>
      <x:c r="G40" s="32" t="str">
        <x:v>Sin colisiones o bloqueo.</x:v>
      </x:c>
      <x:c r="H40" s="32" t="str">
        <x:v>H6 Candidate</x:v>
      </x:c>
      <x:c r="I40" s="32" t="str">
        <x:v>ES/EN as applicable</x:v>
      </x:c>
      <x:c r="J40" s="32" t="str">
        <x:v>1080p / matrix as applicable</x:v>
      </x:c>
      <x:c r="K40" s="32" t="str">
        <x:v>Registered H6 hardware</x:v>
      </x:c>
      <x:c r="L40" s="32" t="str">
        <x:v>NOT RUN</x:v>
      </x:c>
      <x:c r="M40" s="32" t="str"/>
      <x:c r="N40" s="32" t="str"/>
      <x:c r="O40" s="32" t="str"/>
      <x:c r="P40" s="82" t="str"/>
      <x:c r="Q40" s="32" t="str">
        <x:v>Required</x:v>
      </x:c>
      <x:c r="R40" s="32" t="str"/>
    </x:row>
    <x:row r="41">
      <x:c r="A41" s="32" t="str">
        <x:v>VS-TST-037</x:v>
      </x:c>
      <x:c r="B41" s="32" t="str">
        <x:v>E/F</x:v>
      </x:c>
      <x:c r="C41" s="32" t="str">
        <x:v>Vertical Slice</x:v>
      </x:c>
      <x:c r="D41" s="32" t="str">
        <x:v>Sesión de rendimiento</x:v>
      </x:c>
      <x:c r="E41" s="32" t="str"/>
      <x:c r="F41" s="32" t="str"/>
      <x:c r="G41" s="32" t="str">
        <x:v>Métricas registradas.</x:v>
      </x:c>
      <x:c r="H41" s="32" t="str">
        <x:v>H6 Candidate</x:v>
      </x:c>
      <x:c r="I41" s="32" t="str">
        <x:v>ES/EN as applicable</x:v>
      </x:c>
      <x:c r="J41" s="32" t="str">
        <x:v>1080p / matrix as applicable</x:v>
      </x:c>
      <x:c r="K41" s="32" t="str">
        <x:v>Registered H6 hardware</x:v>
      </x:c>
      <x:c r="L41" s="32" t="str">
        <x:v>NOT RUN</x:v>
      </x:c>
      <x:c r="M41" s="32" t="str"/>
      <x:c r="N41" s="32" t="str"/>
      <x:c r="O41" s="32" t="str"/>
      <x:c r="P41" s="82" t="str"/>
      <x:c r="Q41" s="32" t="str">
        <x:v>Required</x:v>
      </x:c>
      <x:c r="R41" s="32" t="str"/>
    </x:row>
    <x:row r="42">
      <x:c r="A42" s="32" t="str">
        <x:v>VS-TST-038</x:v>
      </x:c>
      <x:c r="B42" s="32" t="str">
        <x:v>E/F</x:v>
      </x:c>
      <x:c r="C42" s="32" t="str">
        <x:v>Vertical Slice</x:v>
      </x:c>
      <x:c r="D42" s="32" t="str">
        <x:v>Soak test</x:v>
      </x:c>
      <x:c r="E42" s="32" t="str"/>
      <x:c r="F42" s="32" t="str"/>
      <x:c r="G42" s="32" t="str">
        <x:v>Sin degradación grave.</x:v>
      </x:c>
      <x:c r="H42" s="32" t="str">
        <x:v>H6 Candidate</x:v>
      </x:c>
      <x:c r="I42" s="32" t="str">
        <x:v>ES/EN as applicable</x:v>
      </x:c>
      <x:c r="J42" s="32" t="str">
        <x:v>1080p / matrix as applicable</x:v>
      </x:c>
      <x:c r="K42" s="32" t="str">
        <x:v>Registered H6 hardware</x:v>
      </x:c>
      <x:c r="L42" s="32" t="str">
        <x:v>NOT RUN</x:v>
      </x:c>
      <x:c r="M42" s="32" t="str"/>
      <x:c r="N42" s="32" t="str"/>
      <x:c r="O42" s="32" t="str"/>
      <x:c r="P42" s="82" t="str"/>
      <x:c r="Q42" s="32" t="str">
        <x:v>Required</x:v>
      </x:c>
      <x:c r="R42" s="32" t="str"/>
    </x:row>
    <x:row r="43">
      <x:c r="A43" s="32" t="str">
        <x:v>VS-TST-039</x:v>
      </x:c>
      <x:c r="B43" s="32" t="str">
        <x:v>E</x:v>
      </x:c>
      <x:c r="C43" s="32" t="str">
        <x:v>Vertical Slice</x:v>
      </x:c>
      <x:c r="D43" s="32" t="str">
        <x:v>Build externa</x:v>
      </x:c>
      <x:c r="E43" s="32" t="str"/>
      <x:c r="F43" s="32" t="str"/>
      <x:c r="G43" s="32" t="str">
        <x:v>Arranque, guardado y log válidos.</x:v>
      </x:c>
      <x:c r="H43" s="32" t="str">
        <x:v>H6 Candidate</x:v>
      </x:c>
      <x:c r="I43" s="32" t="str">
        <x:v>ES/EN as applicable</x:v>
      </x:c>
      <x:c r="J43" s="32" t="str">
        <x:v>1080p / matrix as applicable</x:v>
      </x:c>
      <x:c r="K43" s="32" t="str">
        <x:v>Registered H6 hardware</x:v>
      </x:c>
      <x:c r="L43" s="32" t="str">
        <x:v>NOT RUN</x:v>
      </x:c>
      <x:c r="M43" s="32" t="str"/>
      <x:c r="N43" s="32" t="str"/>
      <x:c r="O43" s="32" t="str"/>
      <x:c r="P43" s="82" t="str"/>
      <x:c r="Q43" s="32" t="str">
        <x:v>Required</x:v>
      </x:c>
      <x:c r="R43" s="32" t="str"/>
    </x:row>
    <x:row r="44">
      <x:c r="A44" s="32" t="str">
        <x:v>VS-TST-040</x:v>
      </x:c>
      <x:c r="B44" s="32" t="str">
        <x:v>A/B/C</x:v>
      </x:c>
      <x:c r="C44" s="32" t="str">
        <x:v>Vertical Slice</x:v>
      </x:c>
      <x:c r="D44" s="32" t="str">
        <x:v>Regresión completa</x:v>
      </x:c>
      <x:c r="E44" s="32" t="str"/>
      <x:c r="F44" s="32" t="str"/>
      <x:c r="G44" s="32" t="str">
        <x:v>Todo verde o excepción formal.</x:v>
      </x:c>
      <x:c r="H44" s="32" t="str">
        <x:v>H6 Candidate</x:v>
      </x:c>
      <x:c r="I44" s="32" t="str">
        <x:v>ES/EN as applicable</x:v>
      </x:c>
      <x:c r="J44" s="32" t="str">
        <x:v>1080p / matrix as applicable</x:v>
      </x:c>
      <x:c r="K44" s="32" t="str">
        <x:v>Registered H6 hardware</x:v>
      </x:c>
      <x:c r="L44" s="32" t="str">
        <x:v>NOT RUN</x:v>
      </x:c>
      <x:c r="M44" s="32" t="str"/>
      <x:c r="N44" s="32" t="str"/>
      <x:c r="O44" s="32" t="str"/>
      <x:c r="P44" s="82" t="str"/>
      <x:c r="Q44" s="32" t="str">
        <x:v>Required</x:v>
      </x:c>
      <x:c r="R44" s="32" t="str"/>
    </x:row>
    <x:row r="45">
      <x:c r="A45" s="32" t="str">
        <x:v>H6-TST-041</x:v>
      </x:c>
      <x:c r="B45" s="32" t="str">
        <x:v>E</x:v>
      </x:c>
      <x:c r="C45" s="32" t="str">
        <x:v>Build</x:v>
      </x:c>
      <x:c r="D45" s="32" t="str">
        <x:v>Clean checkout build</x:v>
      </x:c>
      <x:c r="E45" s="32" t="str">
        <x:v>Repository/tag available</x:v>
      </x:c>
      <x:c r="F45" s="32" t="str">
        <x:v>Clone/clean, restore packages, build H6 profile</x:v>
      </x:c>
      <x:c r="G45" s="32" t="str">
        <x:v>Build succeeds with expected manifest</x:v>
      </x:c>
      <x:c r="H45" s="32" t="str">
        <x:v>H6 Candidate</x:v>
      </x:c>
      <x:c r="I45" s="32" t="str">
        <x:v>N/A</x:v>
      </x:c>
      <x:c r="J45" s="32" t="str">
        <x:v>N/A</x:v>
      </x:c>
      <x:c r="K45" s="32" t="str">
        <x:v>Build machine</x:v>
      </x:c>
      <x:c r="L45" s="32" t="str">
        <x:v>NOT RUN</x:v>
      </x:c>
      <x:c r="M45" s="32" t="str"/>
      <x:c r="N45" s="32" t="str"/>
      <x:c r="O45" s="32" t="str"/>
      <x:c r="P45" s="82" t="str"/>
      <x:c r="Q45" s="32" t="str">
        <x:v>Required</x:v>
      </x:c>
      <x:c r="R45" s="32" t="str"/>
    </x:row>
    <x:row r="46">
      <x:c r="A46" s="32" t="str">
        <x:v>H6-TST-042</x:v>
      </x:c>
      <x:c r="B46" s="32" t="str">
        <x:v>E</x:v>
      </x:c>
      <x:c r="C46" s="32" t="str">
        <x:v>Build</x:v>
      </x:c>
      <x:c r="D46" s="32" t="str">
        <x:v>Package integrity</x:v>
      </x:c>
      <x:c r="E46" s="32" t="str">
        <x:v>Candidate built</x:v>
      </x:c>
      <x:c r="F46" s="32" t="str">
        <x:v>Recalculate all file hashes after copy</x:v>
      </x:c>
      <x:c r="G46" s="32" t="str">
        <x:v>All hashes match manifest</x:v>
      </x:c>
      <x:c r="H46" s="32" t="str">
        <x:v>H6 Candidate</x:v>
      </x:c>
      <x:c r="I46" s="32" t="str">
        <x:v>N/A</x:v>
      </x:c>
      <x:c r="J46" s="32" t="str">
        <x:v>N/A</x:v>
      </x:c>
      <x:c r="K46" s="32" t="str">
        <x:v>Any</x:v>
      </x:c>
      <x:c r="L46" s="32" t="str">
        <x:v>NOT RUN</x:v>
      </x:c>
      <x:c r="M46" s="32" t="str"/>
      <x:c r="N46" s="32" t="str"/>
      <x:c r="O46" s="32" t="str"/>
      <x:c r="P46" s="82" t="str"/>
      <x:c r="Q46" s="32" t="str">
        <x:v>Required</x:v>
      </x:c>
      <x:c r="R46" s="32" t="str"/>
    </x:row>
    <x:row r="47">
      <x:c r="A47" s="32" t="str">
        <x:v>H6-TST-043</x:v>
      </x:c>
      <x:c r="B47" s="32" t="str">
        <x:v>C/E</x:v>
      </x:c>
      <x:c r="C47" s="32" t="str">
        <x:v>Localization</x:v>
      </x:c>
      <x:c r="D47" s="32" t="str">
        <x:v>Pseudolocalization expansion</x:v>
      </x:c>
      <x:c r="E47" s="32" t="str">
        <x:v>Tables complete</x:v>
      </x:c>
      <x:c r="F47" s="32" t="str">
        <x:v>Run all critical UI with expanded pseudo locale</x:v>
      </x:c>
      <x:c r="G47" s="32" t="str">
        <x:v>No blocking clipping/overflow</x:v>
      </x:c>
      <x:c r="H47" s="32" t="str">
        <x:v>QA/H6</x:v>
      </x:c>
      <x:c r="I47" s="32" t="str">
        <x:v>Pseudo</x:v>
      </x:c>
      <x:c r="J47" s="32" t="str">
        <x:v>Resolution matrix</x:v>
      </x:c>
      <x:c r="K47" s="32" t="str">
        <x:v>Registered</x:v>
      </x:c>
      <x:c r="L47" s="32" t="str">
        <x:v>NOT RUN</x:v>
      </x:c>
      <x:c r="M47" s="32" t="str"/>
      <x:c r="N47" s="32" t="str"/>
      <x:c r="O47" s="32" t="str"/>
      <x:c r="P47" s="82" t="str"/>
      <x:c r="Q47" s="32" t="str">
        <x:v>Required</x:v>
      </x:c>
      <x:c r="R47" s="32" t="str"/>
    </x:row>
    <x:row r="48">
      <x:c r="A48" s="32" t="str">
        <x:v>H6-TST-044</x:v>
      </x:c>
      <x:c r="B48" s="32" t="str">
        <x:v>E</x:v>
      </x:c>
      <x:c r="C48" s="32" t="str">
        <x:v>Localization</x:v>
      </x:c>
      <x:c r="D48" s="32" t="str">
        <x:v>Offline ES/EN</x:v>
      </x:c>
      <x:c r="E48" s="32" t="str">
        <x:v>Candidate installed</x:v>
      </x:c>
      <x:c r="F48" s="32" t="str">
        <x:v>Disable network; run Golden Path in both locales</x:v>
      </x:c>
      <x:c r="G48" s="32" t="str">
        <x:v>All text resolves locally</x:v>
      </x:c>
      <x:c r="H48" s="32" t="str">
        <x:v>H6 Candidate</x:v>
      </x:c>
      <x:c r="I48" s="32" t="str">
        <x:v>ES/EN</x:v>
      </x:c>
      <x:c r="J48" s="32" t="str">
        <x:v>1080p</x:v>
      </x:c>
      <x:c r="K48" s="32" t="str">
        <x:v>Registered</x:v>
      </x:c>
      <x:c r="L48" s="32" t="str">
        <x:v>NOT RUN</x:v>
      </x:c>
      <x:c r="M48" s="32" t="str"/>
      <x:c r="N48" s="32" t="str"/>
      <x:c r="O48" s="32" t="str"/>
      <x:c r="P48" s="82" t="str"/>
      <x:c r="Q48" s="32" t="str">
        <x:v>Required</x:v>
      </x:c>
      <x:c r="R48" s="32" t="str"/>
    </x:row>
    <x:row r="49">
      <x:c r="A49" s="32" t="str">
        <x:v>H6-TST-045</x:v>
      </x:c>
      <x:c r="B49" s="32" t="str">
        <x:v>C/E</x:v>
      </x:c>
      <x:c r="C49" s="32" t="str">
        <x:v>Accessibility</x:v>
      </x:c>
      <x:c r="D49" s="32" t="str">
        <x:v>UI/text scale extremes</x:v>
      </x:c>
      <x:c r="E49" s="32" t="str">
        <x:v>Settings available</x:v>
      </x:c>
      <x:c r="F49" s="32" t="str">
        <x:v>Run critical flows at 80/150 percent</x:v>
      </x:c>
      <x:c r="G49" s="32" t="str">
        <x:v>No hidden critical controls</x:v>
      </x:c>
      <x:c r="H49" s="32" t="str">
        <x:v>QA/H6</x:v>
      </x:c>
      <x:c r="I49" s="32" t="str">
        <x:v>ES/EN</x:v>
      </x:c>
      <x:c r="J49" s="32" t="str">
        <x:v>Resolution matrix</x:v>
      </x:c>
      <x:c r="K49" s="32" t="str">
        <x:v>Registered</x:v>
      </x:c>
      <x:c r="L49" s="32" t="str">
        <x:v>NOT RUN</x:v>
      </x:c>
      <x:c r="M49" s="32" t="str"/>
      <x:c r="N49" s="32" t="str"/>
      <x:c r="O49" s="32" t="str"/>
      <x:c r="P49" s="82" t="str"/>
      <x:c r="Q49" s="32" t="str">
        <x:v>Required</x:v>
      </x:c>
      <x:c r="R49" s="32" t="str"/>
    </x:row>
    <x:row r="50">
      <x:c r="A50" s="32" t="str">
        <x:v>H6-TST-046</x:v>
      </x:c>
      <x:c r="B50" s="32" t="str">
        <x:v>C/E</x:v>
      </x:c>
      <x:c r="C50" s="32" t="str">
        <x:v>Accessibility</x:v>
      </x:c>
      <x:c r="D50" s="32" t="str">
        <x:v>Reduce motion coverage</x:v>
      </x:c>
      <x:c r="E50" s="32" t="str">
        <x:v>Setting available</x:v>
      </x:c>
      <x:c r="F50" s="32" t="str">
        <x:v>Toggle and inspect all defined motion surfaces</x:v>
      </x:c>
      <x:c r="G50" s="32" t="str">
        <x:v>All declared consumers respond</x:v>
      </x:c>
      <x:c r="H50" s="32" t="str">
        <x:v>QA/H6</x:v>
      </x:c>
      <x:c r="I50" s="32" t="str">
        <x:v>ES/EN</x:v>
      </x:c>
      <x:c r="J50" s="32" t="str">
        <x:v>1080p</x:v>
      </x:c>
      <x:c r="K50" s="32" t="str">
        <x:v>Registered</x:v>
      </x:c>
      <x:c r="L50" s="32" t="str">
        <x:v>NOT RUN</x:v>
      </x:c>
      <x:c r="M50" s="32" t="str"/>
      <x:c r="N50" s="32" t="str"/>
      <x:c r="O50" s="32" t="str"/>
      <x:c r="P50" s="82" t="str"/>
      <x:c r="Q50" s="32" t="str">
        <x:v>Required</x:v>
      </x:c>
      <x:c r="R50" s="32" t="str"/>
    </x:row>
    <x:row r="51">
      <x:c r="A51" s="32" t="str">
        <x:v>H6-TST-047</x:v>
      </x:c>
      <x:c r="B51" s="32" t="str">
        <x:v>C/E</x:v>
      </x:c>
      <x:c r="C51" s="32" t="str">
        <x:v>Accessibility</x:v>
      </x:c>
      <x:c r="D51" s="32" t="str">
        <x:v>Color redundancy</x:v>
      </x:c>
      <x:c r="E51" s="32" t="str">
        <x:v>Critical states identified</x:v>
      </x:c>
      <x:c r="F51" s="32" t="str">
        <x:v>Review with color simulation and grayscale</x:v>
      </x:c>
      <x:c r="G51" s="32" t="str">
        <x:v>Information remains understandable</x:v>
      </x:c>
      <x:c r="H51" s="32" t="str">
        <x:v>QA/H6</x:v>
      </x:c>
      <x:c r="I51" s="32" t="str">
        <x:v>ES/EN</x:v>
      </x:c>
      <x:c r="J51" s="32" t="str">
        <x:v>1080p</x:v>
      </x:c>
      <x:c r="K51" s="32" t="str">
        <x:v>Registered</x:v>
      </x:c>
      <x:c r="L51" s="32" t="str">
        <x:v>NOT RUN</x:v>
      </x:c>
      <x:c r="M51" s="32" t="str"/>
      <x:c r="N51" s="32" t="str"/>
      <x:c r="O51" s="32" t="str"/>
      <x:c r="P51" s="82" t="str"/>
      <x:c r="Q51" s="32" t="str">
        <x:v>Required</x:v>
      </x:c>
      <x:c r="R51" s="32" t="str"/>
    </x:row>
    <x:row r="52">
      <x:c r="A52" s="32" t="str">
        <x:v>H6-TST-048</x:v>
      </x:c>
      <x:c r="B52" s="32" t="str">
        <x:v>E/F</x:v>
      </x:c>
      <x:c r="C52" s="32" t="str">
        <x:v>Performance</x:v>
      </x:c>
      <x:c r="D52" s="32" t="str">
        <x:v>8-customer saturation</x:v>
      </x:c>
      <x:c r="E52" s="32" t="str">
        <x:v>Representative scene/content</x:v>
      </x:c>
      <x:c r="F52" s="32" t="str">
        <x:v>Run peak store with 8 customers and transactions</x:v>
      </x:c>
      <x:c r="G52" s="32" t="str">
        <x:v>No severe stutter/deadlock; metrics recorded</x:v>
      </x:c>
      <x:c r="H52" s="32" t="str">
        <x:v>H6 Candidate</x:v>
      </x:c>
      <x:c r="I52" s="32" t="str">
        <x:v>ES/EN</x:v>
      </x:c>
      <x:c r="J52" s="32" t="str">
        <x:v>1080p</x:v>
      </x:c>
      <x:c r="K52" s="32" t="str">
        <x:v>H6 hardware</x:v>
      </x:c>
      <x:c r="L52" s="32" t="str">
        <x:v>NOT RUN</x:v>
      </x:c>
      <x:c r="M52" s="32" t="str"/>
      <x:c r="N52" s="32" t="str"/>
      <x:c r="O52" s="32" t="str"/>
      <x:c r="P52" s="82" t="str"/>
      <x:c r="Q52" s="32" t="str">
        <x:v>Required</x:v>
      </x:c>
      <x:c r="R52" s="32" t="str"/>
    </x:row>
    <x:row r="53">
      <x:c r="A53" s="32" t="str">
        <x:v>H6-TST-049</x:v>
      </x:c>
      <x:c r="B53" s="32" t="str">
        <x:v>E/F</x:v>
      </x:c>
      <x:c r="C53" s="32" t="str">
        <x:v>Performance</x:v>
      </x:c>
      <x:c r="D53" s="32" t="str">
        <x:v>Memory and GC soak</x:v>
      </x:c>
      <x:c r="E53" s="32" t="str">
        <x:v>Candidate installed</x:v>
      </x:c>
      <x:c r="F53" s="32" t="str">
        <x:v>Run prolonged session and sample memory/allocations</x:v>
      </x:c>
      <x:c r="G53" s="32" t="str">
        <x:v>No severe growth; stable allocations</x:v>
      </x:c>
      <x:c r="H53" s="32" t="str">
        <x:v>H6 Candidate</x:v>
      </x:c>
      <x:c r="I53" s="32" t="str">
        <x:v>ES/EN</x:v>
      </x:c>
      <x:c r="J53" s="32" t="str">
        <x:v>1080p</x:v>
      </x:c>
      <x:c r="K53" s="32" t="str">
        <x:v>H6 hardware</x:v>
      </x:c>
      <x:c r="L53" s="32" t="str">
        <x:v>NOT RUN</x:v>
      </x:c>
      <x:c r="M53" s="32" t="str"/>
      <x:c r="N53" s="32" t="str"/>
      <x:c r="O53" s="32" t="str"/>
      <x:c r="P53" s="82" t="str"/>
      <x:c r="Q53" s="32" t="str">
        <x:v>Required</x:v>
      </x:c>
      <x:c r="R53" s="32" t="str"/>
    </x:row>
    <x:row r="54">
      <x:c r="A54" s="32" t="str">
        <x:v>H6-TST-050</x:v>
      </x:c>
      <x:c r="B54" s="32" t="str">
        <x:v>E</x:v>
      </x:c>
      <x:c r="C54" s="32" t="str">
        <x:v>Security</x:v>
      </x:c>
      <x:c r="D54" s="32" t="str">
        <x:v>Secrets/package scan</x:v>
      </x:c>
      <x:c r="E54" s="32" t="str">
        <x:v>Candidate and repo frozen</x:v>
      </x:c>
      <x:c r="F54" s="32" t="str">
        <x:v>Run approved scanners and manual package review</x:v>
      </x:c>
      <x:c r="G54" s="32" t="str">
        <x:v>No secrets or unauthorized files</x:v>
      </x:c>
      <x:c r="H54" s="32" t="str">
        <x:v>H6 Candidate</x:v>
      </x:c>
      <x:c r="I54" s="32" t="str">
        <x:v>N/A</x:v>
      </x:c>
      <x:c r="J54" s="32" t="str">
        <x:v>N/A</x:v>
      </x:c>
      <x:c r="K54" s="32" t="str">
        <x:v>Build/Security</x:v>
      </x:c>
      <x:c r="L54" s="32" t="str">
        <x:v>NOT RUN</x:v>
      </x:c>
      <x:c r="M54" s="32" t="str"/>
      <x:c r="N54" s="32" t="str"/>
      <x:c r="O54" s="32" t="str"/>
      <x:c r="P54" s="82" t="str"/>
      <x:c r="Q54" s="32" t="str">
        <x:v>Required</x:v>
      </x:c>
      <x:c r="R54" s="32" t="str"/>
    </x:row>
    <x:row r="55">
      <x:c r="A55" s="32" t="str">
        <x:v>H6-TST-051</x:v>
      </x:c>
      <x:c r="B55" s="32" t="str">
        <x:v>E</x:v>
      </x:c>
      <x:c r="C55" s="32" t="str">
        <x:v>Privacy</x:v>
      </x:c>
      <x:c r="D55" s="32" t="str">
        <x:v>Network behavior</x:v>
      </x:c>
      <x:c r="E55" s="32" t="str">
        <x:v>Candidate installed</x:v>
      </x:c>
      <x:c r="F55" s="32" t="str">
        <x:v>Capture network online/offline during Golden Path</x:v>
      </x:c>
      <x:c r="G55" s="32" t="str">
        <x:v>Only approved traffic; offline works</x:v>
      </x:c>
      <x:c r="H55" s="32" t="str">
        <x:v>H6 Candidate</x:v>
      </x:c>
      <x:c r="I55" s="32" t="str">
        <x:v>ES/EN</x:v>
      </x:c>
      <x:c r="J55" s="32" t="str">
        <x:v>1080p</x:v>
      </x:c>
      <x:c r="K55" s="32" t="str">
        <x:v>Registered</x:v>
      </x:c>
      <x:c r="L55" s="32" t="str">
        <x:v>NOT RUN</x:v>
      </x:c>
      <x:c r="M55" s="32" t="str"/>
      <x:c r="N55" s="32" t="str"/>
      <x:c r="O55" s="32" t="str"/>
      <x:c r="P55" s="82" t="str"/>
      <x:c r="Q55" s="32" t="str">
        <x:v>Required</x:v>
      </x:c>
      <x:c r="R55" s="32" t="str"/>
    </x:row>
    <x:row r="56">
      <x:c r="A56" s="32" t="str">
        <x:v>H6-TST-052</x:v>
      </x:c>
      <x:c r="B56" s="32" t="str">
        <x:v>E</x:v>
      </x:c>
      <x:c r="C56" s="32" t="str">
        <x:v>Legal</x:v>
      </x:c>
      <x:c r="D56" s="32" t="str">
        <x:v>Build-to-license reconciliation</x:v>
      </x:c>
      <x:c r="E56" s="32" t="str">
        <x:v>Build manifest available</x:v>
      </x:c>
      <x:c r="F56" s="32" t="str">
        <x:v>Match every third-party asset to legal register</x:v>
      </x:c>
      <x:c r="G56" s="32" t="str">
        <x:v>100% covered or removed</x:v>
      </x:c>
      <x:c r="H56" s="32" t="str">
        <x:v>H6 Candidate</x:v>
      </x:c>
      <x:c r="I56" s="32" t="str">
        <x:v>N/A</x:v>
      </x:c>
      <x:c r="J56" s="32" t="str">
        <x:v>N/A</x:v>
      </x:c>
      <x:c r="K56" s="32" t="str">
        <x:v>N/A</x:v>
      </x:c>
      <x:c r="L56" s="32" t="str">
        <x:v>NOT RUN</x:v>
      </x:c>
      <x:c r="M56" s="32" t="str"/>
      <x:c r="N56" s="32" t="str"/>
      <x:c r="O56" s="32" t="str"/>
      <x:c r="P56" s="82" t="str"/>
      <x:c r="Q56" s="32" t="str">
        <x:v>Required</x:v>
      </x:c>
      <x:c r="R56" s="32" t="str"/>
    </x:row>
    <x:row r="57">
      <x:c r="A57" s="32" t="str">
        <x:v>H6-TST-053</x:v>
      </x:c>
      <x:c r="B57" s="32" t="str">
        <x:v>E</x:v>
      </x:c>
      <x:c r="C57" s="32" t="str">
        <x:v>Desktop</x:v>
      </x:c>
      <x:c r="D57" s="32" t="str">
        <x:v>Alt-tab/focus recovery</x:v>
      </x:c>
      <x:c r="E57" s="32" t="str">
        <x:v>Candidate running</x:v>
      </x:c>
      <x:c r="F57" s="32" t="str">
        <x:v>Alt-tab during menus, gameplay, save and audio</x:v>
      </x:c>
      <x:c r="G57" s="32" t="str">
        <x:v>Controlled pause/focus/input/audio</x:v>
      </x:c>
      <x:c r="H57" s="32" t="str">
        <x:v>H6 Candidate</x:v>
      </x:c>
      <x:c r="I57" s="32" t="str">
        <x:v>ES/EN</x:v>
      </x:c>
      <x:c r="J57" s="32" t="str">
        <x:v>1080p</x:v>
      </x:c>
      <x:c r="K57" s="32" t="str">
        <x:v>Registered</x:v>
      </x:c>
      <x:c r="L57" s="32" t="str">
        <x:v>NOT RUN</x:v>
      </x:c>
      <x:c r="M57" s="32" t="str"/>
      <x:c r="N57" s="32" t="str"/>
      <x:c r="O57" s="32" t="str"/>
      <x:c r="P57" s="82" t="str"/>
      <x:c r="Q57" s="32" t="str">
        <x:v>Required</x:v>
      </x:c>
      <x:c r="R57" s="32" t="str"/>
    </x:row>
    <x:row r="58">
      <x:c r="A58" s="32" t="str">
        <x:v>H6-TST-054</x:v>
      </x:c>
      <x:c r="B58" s="32" t="str">
        <x:v>E</x:v>
      </x:c>
      <x:c r="C58" s="32" t="str">
        <x:v>Audio</x:v>
      </x:c>
      <x:c r="D58" s="32" t="str">
        <x:v>Device disconnect/reconnect</x:v>
      </x:c>
      <x:c r="E58" s="32" t="str">
        <x:v>Candidate running</x:v>
      </x:c>
      <x:c r="F58" s="32" t="str">
        <x:v>Disconnect/reconnect output device</x:v>
      </x:c>
      <x:c r="G58" s="32" t="str">
        <x:v>No crash; controlled recovery</x:v>
      </x:c>
      <x:c r="H58" s="32" t="str">
        <x:v>H6 Candidate</x:v>
      </x:c>
      <x:c r="I58" s="32" t="str">
        <x:v>ES/EN</x:v>
      </x:c>
      <x:c r="J58" s="32" t="str">
        <x:v>1080p</x:v>
      </x:c>
      <x:c r="K58" s="32" t="str">
        <x:v>Registered</x:v>
      </x:c>
      <x:c r="L58" s="32" t="str">
        <x:v>NOT RUN</x:v>
      </x:c>
      <x:c r="M58" s="32" t="str"/>
      <x:c r="N58" s="32" t="str"/>
      <x:c r="O58" s="32" t="str"/>
      <x:c r="P58" s="82" t="str"/>
      <x:c r="Q58" s="32" t="str">
        <x:v>Required</x:v>
      </x:c>
      <x:c r="R58" s="32" t="str"/>
    </x:row>
    <x:row r="59">
      <x:c r="A59" s="32" t="str">
        <x:v>H6-TST-055</x:v>
      </x:c>
      <x:c r="B59" s="32" t="str">
        <x:v>E</x:v>
      </x:c>
      <x:c r="C59" s="32" t="str">
        <x:v>Persistence</x:v>
      </x:c>
      <x:c r="D59" s="32" t="str">
        <x:v>Interrupted save fault injection</x:v>
      </x:c>
      <x:c r="E59" s="32" t="str">
        <x:v>Controlled test build/data backup</x:v>
      </x:c>
      <x:c r="F59" s="32" t="str">
        <x:v>Interrupt write at safe test points</x:v>
      </x:c>
      <x:c r="G59" s="32" t="str">
        <x:v>No silent corruption; recovery path</x:v>
      </x:c>
      <x:c r="H59" s="32" t="str">
        <x:v>QA Build</x:v>
      </x:c>
      <x:c r="I59" s="32" t="str">
        <x:v>ES/EN</x:v>
      </x:c>
      <x:c r="J59" s="32" t="str">
        <x:v>1080p</x:v>
      </x:c>
      <x:c r="K59" s="32" t="str">
        <x:v>Registered</x:v>
      </x:c>
      <x:c r="L59" s="32" t="str">
        <x:v>NOT RUN</x:v>
      </x:c>
      <x:c r="M59" s="32" t="str"/>
      <x:c r="N59" s="32" t="str"/>
      <x:c r="O59" s="32" t="str"/>
      <x:c r="P59" s="82" t="str"/>
      <x:c r="Q59" s="32" t="str">
        <x:v>Required</x:v>
      </x:c>
      <x:c r="R59" s="32" t="str"/>
    </x:row>
    <x:row r="60">
      <x:c r="A60" s="32" t="str">
        <x:v>H6-TST-056</x:v>
      </x:c>
      <x:c r="B60" s="32" t="str">
        <x:v>E</x:v>
      </x:c>
      <x:c r="C60" s="32" t="str">
        <x:v>Evidence</x:v>
      </x:c>
      <x:c r="D60" s="32" t="str">
        <x:v>Evidence/build identity audit</x:v>
      </x:c>
      <x:c r="E60" s="32" t="str">
        <x:v>All records complete</x:v>
      </x:c>
      <x:c r="F60" s="32" t="str">
        <x:v>Compare Build ID/SHA/checksum across all evidence</x:v>
      </x:c>
      <x:c r="G60" s="32" t="str">
        <x:v>All evidence belongs to candidate</x:v>
      </x:c>
      <x:c r="H60" s="32" t="str">
        <x:v>H6 Candidate</x:v>
      </x:c>
      <x:c r="I60" s="32" t="str">
        <x:v>N/A</x:v>
      </x:c>
      <x:c r="J60" s="32" t="str">
        <x:v>N/A</x:v>
      </x:c>
      <x:c r="K60" s="32" t="str">
        <x:v>N/A</x:v>
      </x:c>
      <x:c r="L60" s="32" t="str">
        <x:v>NOT RUN</x:v>
      </x:c>
      <x:c r="M60" s="32" t="str"/>
      <x:c r="N60" s="32" t="str"/>
      <x:c r="O60" s="32" t="str"/>
      <x:c r="P60" s="82" t="str"/>
      <x:c r="Q60" s="32" t="str">
        <x:v>Required</x:v>
      </x:c>
      <x:c r="R60" s="32" t="str"/>
    </x:row>
    <x:row r="61">
      <x:c r="A61" s="32" t="str">
        <x:v>REL-TST-001</x:v>
      </x:c>
      <x:c r="B61" s="32" t="str">
        <x:v>E</x:v>
      </x:c>
      <x:c r="C61" s="32" t="str">
        <x:v>Steam</x:v>
      </x:c>
      <x:c r="D61" s="32" t="str">
        <x:v>Fresh Steam install</x:v>
      </x:c>
      <x:c r="E61" s="32" t="str">
        <x:v>RC uploaded</x:v>
      </x:c>
      <x:c r="F61" s="32" t="str">
        <x:v>Install on clean machine/account and launch</x:v>
      </x:c>
      <x:c r="G61" s="32" t="str">
        <x:v>Install and first run succeed</x:v>
      </x:c>
      <x:c r="H61" s="32" t="str">
        <x:v>Steam RC</x:v>
      </x:c>
      <x:c r="I61" s="32" t="str">
        <x:v>ES/EN</x:v>
      </x:c>
      <x:c r="J61" s="32" t="str">
        <x:v>1080p</x:v>
      </x:c>
      <x:c r="K61" s="32" t="str">
        <x:v>Minimum/Recommended</x:v>
      </x:c>
      <x:c r="L61" s="32" t="str">
        <x:v>NOT RUN</x:v>
      </x:c>
      <x:c r="M61" s="32" t="str"/>
      <x:c r="N61" s="32" t="str"/>
      <x:c r="O61" s="32" t="str"/>
      <x:c r="P61" s="82" t="str"/>
      <x:c r="Q61" s="32" t="str">
        <x:v>Required</x:v>
      </x:c>
      <x:c r="R61" s="32" t="str"/>
    </x:row>
    <x:row r="62">
      <x:c r="A62" s="32" t="str">
        <x:v>REL-TST-002</x:v>
      </x:c>
      <x:c r="B62" s="32" t="str">
        <x:v>E</x:v>
      </x:c>
      <x:c r="C62" s="32" t="str">
        <x:v>Steam</x:v>
      </x:c>
      <x:c r="D62" s="32" t="str">
        <x:v>Incremental update</x:v>
      </x:c>
      <x:c r="E62" s="32" t="str">
        <x:v>Previous build installed</x:v>
      </x:c>
      <x:c r="F62" s="32" t="str">
        <x:v>Update to RC and run saves/settings</x:v>
      </x:c>
      <x:c r="G62" s="32" t="str">
        <x:v>Update succeeds; data compatible</x:v>
      </x:c>
      <x:c r="H62" s="32" t="str">
        <x:v>Steam RC</x:v>
      </x:c>
      <x:c r="I62" s="32" t="str">
        <x:v>ES/EN</x:v>
      </x:c>
      <x:c r="J62" s="32" t="str">
        <x:v>1080p</x:v>
      </x:c>
      <x:c r="K62" s="32" t="str">
        <x:v>Minimum/Recommended</x:v>
      </x:c>
      <x:c r="L62" s="32" t="str">
        <x:v>NOT RUN</x:v>
      </x:c>
      <x:c r="M62" s="32" t="str"/>
      <x:c r="N62" s="32" t="str"/>
      <x:c r="O62" s="32" t="str"/>
      <x:c r="P62" s="82" t="str"/>
      <x:c r="Q62" s="32" t="str">
        <x:v>Required</x:v>
      </x:c>
      <x:c r="R62" s="32" t="str"/>
    </x:row>
    <x:row r="63">
      <x:c r="A63" s="32" t="str">
        <x:v>REL-TST-003</x:v>
      </x:c>
      <x:c r="B63" s="32" t="str">
        <x:v>E</x:v>
      </x:c>
      <x:c r="C63" s="32" t="str">
        <x:v>Steam</x:v>
      </x:c>
      <x:c r="D63" s="32" t="str">
        <x:v>Rollback</x:v>
      </x:c>
      <x:c r="E63" s="32" t="str">
        <x:v>RC installed</x:v>
      </x:c>
      <x:c r="F63" s="32" t="str">
        <x:v>Rollback to approved build and validate supported data path</x:v>
      </x:c>
      <x:c r="G63" s="32" t="str">
        <x:v>Rollback behaves per policy</x:v>
      </x:c>
      <x:c r="H63" s="32" t="str">
        <x:v>Steam Rollback</x:v>
      </x:c>
      <x:c r="I63" s="32" t="str">
        <x:v>ES/EN</x:v>
      </x:c>
      <x:c r="J63" s="32" t="str">
        <x:v>1080p</x:v>
      </x:c>
      <x:c r="K63" s="32" t="str">
        <x:v>Minimum/Recommended</x:v>
      </x:c>
      <x:c r="L63" s="32" t="str">
        <x:v>NOT RUN</x:v>
      </x:c>
      <x:c r="M63" s="32" t="str"/>
      <x:c r="N63" s="32" t="str"/>
      <x:c r="O63" s="32" t="str"/>
      <x:c r="P63" s="82" t="str"/>
      <x:c r="Q63" s="32" t="str">
        <x:v>Required</x:v>
      </x:c>
      <x:c r="R63" s="32" t="str"/>
    </x:row>
    <x:row r="64">
      <x:c r="A64" s="32" t="str">
        <x:v>REL-TST-004</x:v>
      </x:c>
      <x:c r="B64" s="32" t="str">
        <x:v>E</x:v>
      </x:c>
      <x:c r="C64" s="32" t="str">
        <x:v>Steam</x:v>
      </x:c>
      <x:c r="D64" s="32" t="str">
        <x:v>Steam Offline Mode</x:v>
      </x:c>
      <x:c r="E64" s="32" t="str">
        <x:v>Steam RC installed</x:v>
      </x:c>
      <x:c r="F64" s="32" t="str">
        <x:v>Enter offline mode and complete supported flow</x:v>
      </x:c>
      <x:c r="G64" s="32" t="str">
        <x:v>Game remains playable per declared scope</x:v>
      </x:c>
      <x:c r="H64" s="32" t="str">
        <x:v>Steam RC</x:v>
      </x:c>
      <x:c r="I64" s="32" t="str">
        <x:v>ES/EN</x:v>
      </x:c>
      <x:c r="J64" s="32" t="str">
        <x:v>1080p</x:v>
      </x:c>
      <x:c r="K64" s="32" t="str">
        <x:v>Minimum/Recommended</x:v>
      </x:c>
      <x:c r="L64" s="32" t="str">
        <x:v>NOT RUN</x:v>
      </x:c>
      <x:c r="M64" s="32" t="str"/>
      <x:c r="N64" s="32" t="str"/>
      <x:c r="O64" s="32" t="str"/>
      <x:c r="P64" s="82" t="str"/>
      <x:c r="Q64" s="32" t="str">
        <x:v>Required</x:v>
      </x:c>
      <x:c r="R64" s="32" t="str"/>
    </x:row>
    <x:row r="65">
      <x:c r="A65" s="32" t="str">
        <x:v>REL-TST-005</x:v>
      </x:c>
      <x:c r="B65" s="32" t="str">
        <x:v>E</x:v>
      </x:c>
      <x:c r="C65" s="32" t="str">
        <x:v>Steam</x:v>
      </x:c>
      <x:c r="D65" s="32" t="str">
        <x:v>Overlay/integration</x:v>
      </x:c>
      <x:c r="E65" s="32" t="str">
        <x:v>Features enabled</x:v>
      </x:c>
      <x:c r="F65" s="32" t="str">
        <x:v>Exercise overlay and enabled Steam features</x:v>
      </x:c>
      <x:c r="G65" s="32" t="str">
        <x:v>No input/save/crash regressions</x:v>
      </x:c>
      <x:c r="H65" s="32" t="str">
        <x:v>Steam RC</x:v>
      </x:c>
      <x:c r="I65" s="32" t="str">
        <x:v>ES/EN</x:v>
      </x:c>
      <x:c r="J65" s="32" t="str">
        <x:v>1080p</x:v>
      </x:c>
      <x:c r="K65" s="32" t="str">
        <x:v>Recommended</x:v>
      </x:c>
      <x:c r="L65" s="32" t="str">
        <x:v>NOT RUN</x:v>
      </x:c>
      <x:c r="M65" s="32" t="str"/>
      <x:c r="N65" s="32" t="str"/>
      <x:c r="O65" s="32" t="str"/>
      <x:c r="P65" s="82" t="str"/>
      <x:c r="Q65" s="32" t="str">
        <x:v>Required</x:v>
      </x:c>
      <x:c r="R65" s="32" t="str"/>
    </x:row>
    <x:row r="66">
      <x:c r="A66" s="32" t="str">
        <x:v>REL-TST-006</x:v>
      </x:c>
      <x:c r="B66" s="32" t="str">
        <x:v>E</x:v>
      </x:c>
      <x:c r="C66" s="32" t="str">
        <x:v>Store</x:v>
      </x:c>
      <x:c r="D66" s="32" t="str">
        <x:v>Screenshot provenance</x:v>
      </x:c>
      <x:c r="E66" s="32" t="str">
        <x:v>Store assets prepared</x:v>
      </x:c>
      <x:c r="F66" s="32" t="str">
        <x:v>Verify each screenshot/trailer frame against approved build</x:v>
      </x:c>
      <x:c r="G66" s="32" t="str">
        <x:v>All media accurate and cleared</x:v>
      </x:c>
      <x:c r="H66" s="32" t="str">
        <x:v>Steam RC</x:v>
      </x:c>
      <x:c r="I66" s="32" t="str">
        <x:v>ES/EN</x:v>
      </x:c>
      <x:c r="J66" s="32" t="str">
        <x:v>1080p</x:v>
      </x:c>
      <x:c r="K66" s="32" t="str">
        <x:v>N/A</x:v>
      </x:c>
      <x:c r="L66" s="32" t="str">
        <x:v>NOT RUN</x:v>
      </x:c>
      <x:c r="M66" s="32" t="str"/>
      <x:c r="N66" s="32" t="str"/>
      <x:c r="O66" s="32" t="str"/>
      <x:c r="P66" s="82" t="str"/>
      <x:c r="Q66" s="32" t="str">
        <x:v>Required</x:v>
      </x:c>
      <x:c r="R66" s="32" t="str"/>
    </x:row>
    <x:row r="67">
      <x:c r="A67" s="32" t="str">
        <x:v>REL-TST-007</x:v>
      </x:c>
      <x:c r="B67" s="32" t="str">
        <x:v>E</x:v>
      </x:c>
      <x:c r="C67" s="32" t="str">
        <x:v>Accessibility</x:v>
      </x:c>
      <x:c r="D67" s="32" t="str">
        <x:v>Steam declaration audit</x:v>
      </x:c>
      <x:c r="E67" s="32" t="str">
        <x:v>Feature draft prepared</x:v>
      </x:c>
      <x:c r="F67" s="32" t="str">
        <x:v>Execute evidence for each checked Steam feature</x:v>
      </x:c>
      <x:c r="G67" s="32" t="str">
        <x:v>No unsupported declaration</x:v>
      </x:c>
      <x:c r="H67" s="32" t="str">
        <x:v>Steam RC</x:v>
      </x:c>
      <x:c r="I67" s="32" t="str">
        <x:v>ES/EN</x:v>
      </x:c>
      <x:c r="J67" s="32" t="str">
        <x:v>Matrix</x:v>
      </x:c>
      <x:c r="K67" s="32" t="str">
        <x:v>Supported hardware</x:v>
      </x:c>
      <x:c r="L67" s="32" t="str">
        <x:v>NOT RUN</x:v>
      </x:c>
      <x:c r="M67" s="32" t="str"/>
      <x:c r="N67" s="32" t="str"/>
      <x:c r="O67" s="32" t="str"/>
      <x:c r="P67" s="82" t="str"/>
      <x:c r="Q67" s="32" t="str">
        <x:v>Required</x:v>
      </x:c>
      <x:c r="R67" s="32" t="str"/>
    </x:row>
    <x:row r="68">
      <x:c r="A68" s="32" t="str">
        <x:v>REL-TST-008</x:v>
      </x:c>
      <x:c r="B68" s="32" t="str">
        <x:v>E</x:v>
      </x:c>
      <x:c r="C68" s="32" t="str">
        <x:v>Localization</x:v>
      </x:c>
      <x:c r="D68" s="32" t="str">
        <x:v>Store metadata LQA</x:v>
      </x:c>
      <x:c r="E68" s="32" t="str">
        <x:v>Store draft complete</x:v>
      </x:c>
      <x:c r="F68" s="32" t="str">
        <x:v>Review ES/EN page and assets in context</x:v>
      </x:c>
      <x:c r="G68" s="32" t="str">
        <x:v>No blocking language/format defects</x:v>
      </x:c>
      <x:c r="H68" s="32" t="str">
        <x:v>N/A</x:v>
      </x:c>
      <x:c r="I68" s="32" t="str">
        <x:v>ES/EN</x:v>
      </x:c>
      <x:c r="J68" s="32" t="str">
        <x:v>Web/Steam client</x:v>
      </x:c>
      <x:c r="K68" s="32" t="str">
        <x:v>N/A</x:v>
      </x:c>
      <x:c r="L68" s="32" t="str">
        <x:v>NOT RUN</x:v>
      </x:c>
      <x:c r="M68" s="32" t="str"/>
      <x:c r="N68" s="32" t="str"/>
      <x:c r="O68" s="32" t="str"/>
      <x:c r="P68" s="82" t="str"/>
      <x:c r="Q68" s="32" t="str">
        <x:v>Required</x:v>
      </x:c>
      <x:c r="R68" s="32" t="str"/>
    </x:row>
    <x:row r="69">
      <x:c r="A69" s="32" t="str">
        <x:v>REL-TST-009</x:v>
      </x:c>
      <x:c r="B69" s="32" t="str">
        <x:v>E/F</x:v>
      </x:c>
      <x:c r="C69" s="32" t="str">
        <x:v>Performance</x:v>
      </x:c>
      <x:c r="D69" s="32" t="str">
        <x:v>Minimum hardware RC benchmark</x:v>
      </x:c>
      <x:c r="E69" s="32" t="str">
        <x:v>Minimum hardware defined</x:v>
      </x:c>
      <x:c r="F69" s="32" t="str">
        <x:v>Run benchmark and soak from Steam install</x:v>
      </x:c>
      <x:c r="G69" s="32" t="str">
        <x:v>Meets approved requirements</x:v>
      </x:c>
      <x:c r="H69" s="32" t="str">
        <x:v>Steam RC</x:v>
      </x:c>
      <x:c r="I69" s="32" t="str">
        <x:v>ES/EN</x:v>
      </x:c>
      <x:c r="J69" s="32" t="str">
        <x:v>Target settings</x:v>
      </x:c>
      <x:c r="K69" s="32" t="str">
        <x:v>Minimum</x:v>
      </x:c>
      <x:c r="L69" s="32" t="str">
        <x:v>NOT RUN</x:v>
      </x:c>
      <x:c r="M69" s="32" t="str"/>
      <x:c r="N69" s="32" t="str"/>
      <x:c r="O69" s="32" t="str"/>
      <x:c r="P69" s="82" t="str"/>
      <x:c r="Q69" s="32" t="str">
        <x:v>Required</x:v>
      </x:c>
      <x:c r="R69" s="32" t="str"/>
    </x:row>
    <x:row r="70">
      <x:c r="A70" s="32" t="str">
        <x:v>REL-TST-010</x:v>
      </x:c>
      <x:c r="B70" s="32" t="str">
        <x:v>E</x:v>
      </x:c>
      <x:c r="C70" s="32" t="str">
        <x:v>Support</x:v>
      </x:c>
      <x:c r="D70" s="32" t="str">
        <x:v>Build identification</x:v>
      </x:c>
      <x:c r="E70" s="32" t="str">
        <x:v>RC installed</x:v>
      </x:c>
      <x:c r="F70" s="32" t="str">
        <x:v>User locates version/build info via support path</x:v>
      </x:c>
      <x:c r="G70" s="32" t="str">
        <x:v>Support can identify exact build</x:v>
      </x:c>
      <x:c r="H70" s="32" t="str">
        <x:v>Steam RC</x:v>
      </x:c>
      <x:c r="I70" s="32" t="str">
        <x:v>ES/EN</x:v>
      </x:c>
      <x:c r="J70" s="32" t="str">
        <x:v>1080p</x:v>
      </x:c>
      <x:c r="K70" s="32" t="str">
        <x:v>Any</x:v>
      </x:c>
      <x:c r="L70" s="32" t="str">
        <x:v>NOT RUN</x:v>
      </x:c>
      <x:c r="M70" s="32" t="str"/>
      <x:c r="N70" s="32" t="str"/>
      <x:c r="O70" s="32" t="str"/>
      <x:c r="P70" s="82" t="str"/>
      <x:c r="Q70" s="32" t="str">
        <x:v>Required</x:v>
      </x:c>
      <x:c r="R70" s="32" t="str"/>
    </x:row>
    <x:row r="71">
      <x:c r="A71" s="32" t="str">
        <x:v>REL-TST-011</x:v>
      </x:c>
      <x:c r="B71" s="32" t="str">
        <x:v>E</x:v>
      </x:c>
      <x:c r="C71" s="32" t="str">
        <x:v>Security</x:v>
      </x:c>
      <x:c r="D71" s="32" t="str">
        <x:v>Upload credential isolation</x:v>
      </x:c>
      <x:c r="E71" s="32" t="str">
        <x:v>Upload pipeline configured</x:v>
      </x:c>
      <x:c r="F71" s="32" t="str">
        <x:v>Run dry-run and inspect logs/config</x:v>
      </x:c>
      <x:c r="G71" s="32" t="str">
        <x:v>No secrets exposed; permissions constrained</x:v>
      </x:c>
      <x:c r="H71" s="32" t="str">
        <x:v>Steam RC</x:v>
      </x:c>
      <x:c r="I71" s="32" t="str">
        <x:v>N/A</x:v>
      </x:c>
      <x:c r="J71" s="32" t="str">
        <x:v>N/A</x:v>
      </x:c>
      <x:c r="K71" s="32" t="str">
        <x:v>CI/Build</x:v>
      </x:c>
      <x:c r="L71" s="32" t="str">
        <x:v>NOT RUN</x:v>
      </x:c>
      <x:c r="M71" s="32" t="str"/>
      <x:c r="N71" s="32" t="str"/>
      <x:c r="O71" s="32" t="str"/>
      <x:c r="P71" s="82" t="str"/>
      <x:c r="Q71" s="32" t="str">
        <x:v>Required</x:v>
      </x:c>
      <x:c r="R71" s="32" t="str"/>
    </x:row>
    <x:row r="72">
      <x:c r="A72" s="32" t="str">
        <x:v>REL-TST-012</x:v>
      </x:c>
      <x:c r="B72" s="32" t="str">
        <x:v>E</x:v>
      </x:c>
      <x:c r="C72" s="32" t="str">
        <x:v>Live Ops</x:v>
      </x:c>
      <x:c r="D72" s="32" t="str">
        <x:v>Hotfix rehearsal</x:v>
      </x:c>
      <x:c r="E72" s="32" t="str">
        <x:v>RC and test issue available</x:v>
      </x:c>
      <x:c r="F72" s="32" t="str">
        <x:v>Branch, fix, build, test, upload to private branch</x:v>
      </x:c>
      <x:c r="G72" s="32" t="str">
        <x:v>Reproducible within playbook</x:v>
      </x:c>
      <x:c r="H72" s="32" t="str">
        <x:v>Hotfix RC</x:v>
      </x:c>
      <x:c r="I72" s="32" t="str">
        <x:v>ES/EN</x:v>
      </x:c>
      <x:c r="J72" s="32" t="str">
        <x:v>1080p</x:v>
      </x:c>
      <x:c r="K72" s="32" t="str">
        <x:v>Build/QA</x:v>
      </x:c>
      <x:c r="L72" s="32" t="str">
        <x:v>NOT RUN</x:v>
      </x:c>
      <x:c r="M72" s="32" t="str"/>
      <x:c r="N72" s="32" t="str"/>
      <x:c r="O72" s="32" t="str"/>
      <x:c r="P72" s="82" t="str"/>
      <x:c r="Q72" s="32" t="str">
        <x:v>Required</x:v>
      </x:c>
      <x:c r="R72" s="32" t="str"/>
    </x:row>
    <x:row r="73">
      <x:c r="A73" s="32" t="str">
        <x:v>REL-TST-013</x:v>
      </x:c>
      <x:c r="B73" s="32" t="str">
        <x:v>E</x:v>
      </x:c>
      <x:c r="C73" s="32" t="str">
        <x:v>Live Ops</x:v>
      </x:c>
      <x:c r="D73" s="32" t="str">
        <x:v>Rollback rehearsal</x:v>
      </x:c>
      <x:c r="E73" s="32" t="str">
        <x:v>RC and rollback build available</x:v>
      </x:c>
      <x:c r="F73" s="32" t="str">
        <x:v>Perform private branch rollback and smoke</x:v>
      </x:c>
      <x:c r="G73" s="32" t="str">
        <x:v>Rollback succeeds within target</x:v>
      </x:c>
      <x:c r="H73" s="32" t="str">
        <x:v>Steam Rollback</x:v>
      </x:c>
      <x:c r="I73" s="32" t="str">
        <x:v>ES/EN</x:v>
      </x:c>
      <x:c r="J73" s="32" t="str">
        <x:v>1080p</x:v>
      </x:c>
      <x:c r="K73" s="32" t="str">
        <x:v>Build/QA</x:v>
      </x:c>
      <x:c r="L73" s="32" t="str">
        <x:v>NOT RUN</x:v>
      </x:c>
      <x:c r="M73" s="32" t="str"/>
      <x:c r="N73" s="32" t="str"/>
      <x:c r="O73" s="32" t="str"/>
      <x:c r="P73" s="82" t="str"/>
      <x:c r="Q73" s="32" t="str">
        <x:v>Required</x:v>
      </x:c>
      <x:c r="R73" s="32" t="str"/>
    </x:row>
    <x:row r="74">
      <x:c r="A74" s="32" t="str">
        <x:v>REL-TST-014</x:v>
      </x:c>
      <x:c r="B74" s="32" t="str">
        <x:v>E</x:v>
      </x:c>
      <x:c r="C74" s="32" t="str">
        <x:v>Privacy</x:v>
      </x:c>
      <x:c r="D74" s="32" t="str">
        <x:v>Consent/opt-out</x:v>
      </x:c>
      <x:c r="E74" s="32" t="str">
        <x:v>Telemetry enabled by decision</x:v>
      </x:c>
      <x:c r="F74" s="32" t="str">
        <x:v>Exercise consent, decline, change and offline</x:v>
      </x:c>
      <x:c r="G74" s="32" t="str">
        <x:v>Behavior matches policy</x:v>
      </x:c>
      <x:c r="H74" s="32" t="str">
        <x:v>Steam RC</x:v>
      </x:c>
      <x:c r="I74" s="32" t="str">
        <x:v>ES/EN</x:v>
      </x:c>
      <x:c r="J74" s="32" t="str">
        <x:v>1080p</x:v>
      </x:c>
      <x:c r="K74" s="32" t="str">
        <x:v>Any</x:v>
      </x:c>
      <x:c r="L74" s="32" t="str">
        <x:v>NOT RUN</x:v>
      </x:c>
      <x:c r="M74" s="32" t="str"/>
      <x:c r="N74" s="32" t="str"/>
      <x:c r="O74" s="32" t="str"/>
      <x:c r="P74" s="82" t="str"/>
      <x:c r="Q74" s="32" t="str">
        <x:v>Required</x:v>
      </x:c>
      <x:c r="R74" s="32" t="str"/>
    </x:row>
    <x:row r="75">
      <x:c r="A75" s="32" t="str">
        <x:v>REL-TST-015</x:v>
      </x:c>
      <x:c r="B75" s="32" t="str">
        <x:v>E</x:v>
      </x:c>
      <x:c r="C75" s="32" t="str">
        <x:v>Crash</x:v>
      </x:c>
      <x:c r="D75" s="32" t="str">
        <x:v>Crash report privacy</x:v>
      </x:c>
      <x:c r="E75" s="32" t="str">
        <x:v>Crash pipeline configured</x:v>
      </x:c>
      <x:c r="F75" s="32" t="str">
        <x:v>Trigger controlled crash and inspect payload</x:v>
      </x:c>
      <x:c r="G75" s="32" t="str">
        <x:v>No excessive/sensitive data</x:v>
      </x:c>
      <x:c r="H75" s="32" t="str">
        <x:v>Steam RC</x:v>
      </x:c>
      <x:c r="I75" s="32" t="str">
        <x:v>ES/EN</x:v>
      </x:c>
      <x:c r="J75" s="32" t="str">
        <x:v>1080p</x:v>
      </x:c>
      <x:c r="K75" s="32" t="str">
        <x:v>Any</x:v>
      </x:c>
      <x:c r="L75" s="32" t="str">
        <x:v>NOT RUN</x:v>
      </x:c>
      <x:c r="M75" s="32" t="str"/>
      <x:c r="N75" s="32" t="str"/>
      <x:c r="O75" s="32" t="str"/>
      <x:c r="P75" s="82" t="str"/>
      <x:c r="Q75" s="32" t="str">
        <x:v>Required</x:v>
      </x:c>
      <x:c r="R75" s="32" t="str"/>
    </x:row>
    <x:row r="76">
      <x:c r="A76" s="96" t="str">
        <x:v>DOC-TST-001</x:v>
      </x:c>
      <x:c r="B76" s="96" t="str">
        <x:v>Baseline</x:v>
      </x:c>
      <x:c r="C76" s="96" t="str">
        <x:v>Documentation</x:v>
      </x:c>
      <x:c r="D76" s="96" t="str">
        <x:v>Presence, numbering and canonical names 00–34</x:v>
      </x:c>
      <x:c r="E76" s="96" t="str">
        <x:v>Candidate folder prepared</x:v>
      </x:c>
      <x:c r="F76" s="96" t="str">
        <x:v>Compare expected list with actual files and 13/32</x:v>
      </x:c>
      <x:c r="G76" s="96" t="str">
        <x:v>All 35 numbered documents present exactly once</x:v>
      </x:c>
      <x:c r="H76" s="96" t="str">
        <x:v>Documentation RC</x:v>
      </x:c>
      <x:c r="I76" s="96" t="str">
        <x:v>N/A</x:v>
      </x:c>
      <x:c r="J76" s="96" t="str">
        <x:v>N/A</x:v>
      </x:c>
      <x:c r="K76" s="96" t="str">
        <x:v>Clean validation environment</x:v>
      </x:c>
      <x:c r="L76" s="96" t="str">
        <x:v>NOT RUN</x:v>
      </x:c>
      <x:c r="M76" s="96" t="str">
        <x:v>EVD-DOC-002</x:v>
      </x:c>
      <x:c r="N76" s="96"/>
      <x:c r="O76" s="96"/>
      <x:c r="P76" s="96"/>
      <x:c r="Q76" s="96" t="str">
        <x:v>Required</x:v>
      </x:c>
      <x:c r="R76" s="96"/>
    </x:row>
    <x:row r="77">
      <x:c r="A77" s="96" t="str">
        <x:v>DOC-TST-002</x:v>
      </x:c>
      <x:c r="B77" s="96" t="str">
        <x:v>Baseline</x:v>
      </x:c>
      <x:c r="C77" s="96" t="str">
        <x:v>Integrity</x:v>
      </x:c>
      <x:c r="D77" s="96" t="str">
        <x:v>Sizes and SHA-256 match manifest</x:v>
      </x:c>
      <x:c r="E77" s="96" t="str">
        <x:v>Candidate/final package exported</x:v>
      </x:c>
      <x:c r="F77" s="96" t="str">
        <x:v>Recalculate all hashes externally and compare</x:v>
      </x:c>
      <x:c r="G77" s="96" t="str">
        <x:v>All hashes match; self-hash rules respected</x:v>
      </x:c>
      <x:c r="H77" s="96" t="str">
        <x:v>Documentation RC / Final</x:v>
      </x:c>
      <x:c r="I77" s="96" t="str">
        <x:v>N/A</x:v>
      </x:c>
      <x:c r="J77" s="96" t="str">
        <x:v>N/A</x:v>
      </x:c>
      <x:c r="K77" s="96" t="str">
        <x:v>Clean validation environment</x:v>
      </x:c>
      <x:c r="L77" s="96" t="str">
        <x:v>NOT RUN</x:v>
      </x:c>
      <x:c r="M77" s="96" t="str">
        <x:v>EVD-DOC-006</x:v>
      </x:c>
      <x:c r="N77" s="96"/>
      <x:c r="O77" s="96"/>
      <x:c r="P77" s="96"/>
      <x:c r="Q77" s="96" t="str">
        <x:v>Required</x:v>
      </x:c>
      <x:c r="R77" s="96"/>
    </x:row>
    <x:row r="78">
      <x:c r="A78" s="96" t="str">
        <x:v>DOC-TST-003</x:v>
      </x:c>
      <x:c r="B78" s="96" t="str">
        <x:v>Baseline</x:v>
      </x:c>
      <x:c r="C78" s="96" t="str">
        <x:v>Excel</x:v>
      </x:c>
      <x:c r="D78" s="96" t="str">
        <x:v>Formula and reference scan</x:v>
      </x:c>
      <x:c r="E78" s="96" t="str">
        <x:v>All XLSX files available</x:v>
      </x:c>
      <x:c r="F78" s="96" t="str">
        <x:v>Open/recalculate; scan #REF!, #DIV/0!, #VALUE!, #NAME?, #N/A and broken validations</x:v>
      </x:c>
      <x:c r="G78" s="96" t="str">
        <x:v>No unexplained formula errors or broken ranges</x:v>
      </x:c>
      <x:c r="H78" s="96" t="str">
        <x:v>Documentation RC / Final</x:v>
      </x:c>
      <x:c r="I78" s="96" t="str">
        <x:v>N/A</x:v>
      </x:c>
      <x:c r="J78" s="96" t="str">
        <x:v>N/A</x:v>
      </x:c>
      <x:c r="K78" s="96" t="str">
        <x:v>Excel-compatible environment</x:v>
      </x:c>
      <x:c r="L78" s="96" t="str">
        <x:v>NOT RUN</x:v>
      </x:c>
      <x:c r="M78" s="96" t="str">
        <x:v>EVD-DOC-006</x:v>
      </x:c>
      <x:c r="N78" s="96"/>
      <x:c r="O78" s="96"/>
      <x:c r="P78" s="96"/>
      <x:c r="Q78" s="96" t="str">
        <x:v>Required</x:v>
      </x:c>
      <x:c r="R78" s="96"/>
    </x:row>
    <x:row r="79">
      <x:c r="A79" s="96" t="str">
        <x:v>DOC-TST-004</x:v>
      </x:c>
      <x:c r="B79" s="96" t="str">
        <x:v>Baseline</x:v>
      </x:c>
      <x:c r="C79" s="96" t="str">
        <x:v>Markdown</x:v>
      </x:c>
      <x:c r="D79" s="96" t="str">
        <x:v>Markdown structure and encoding</x:v>
      </x:c>
      <x:c r="E79" s="96" t="str">
        <x:v>All MD files available</x:v>
      </x:c>
      <x:c r="F79" s="96" t="str">
        <x:v>Validate UTF-8, headings, tables, code fences and internal references</x:v>
      </x:c>
      <x:c r="G79" s="96" t="str">
        <x:v>No malformed structures or broken critical links</x:v>
      </x:c>
      <x:c r="H79" s="96" t="str">
        <x:v>Documentation RC / Final</x:v>
      </x:c>
      <x:c r="I79" s="96" t="str">
        <x:v>N/A</x:v>
      </x:c>
      <x:c r="J79" s="96" t="str">
        <x:v>N/A</x:v>
      </x:c>
      <x:c r="K79" s="96" t="str">
        <x:v>Markdown validation environment</x:v>
      </x:c>
      <x:c r="L79" s="96" t="str">
        <x:v>NOT RUN</x:v>
      </x:c>
      <x:c r="M79" s="96" t="str">
        <x:v>EVD-DOC-006</x:v>
      </x:c>
      <x:c r="N79" s="96"/>
      <x:c r="O79" s="96"/>
      <x:c r="P79" s="96"/>
      <x:c r="Q79" s="96" t="str">
        <x:v>Required</x:v>
      </x:c>
      <x:c r="R79" s="96"/>
    </x:row>
    <x:row r="80">
      <x:c r="A80" s="96" t="str">
        <x:v>DOC-TST-005</x:v>
      </x:c>
      <x:c r="B80" s="96" t="str">
        <x:v>Baseline</x:v>
      </x:c>
      <x:c r="C80" s="96" t="str">
        <x:v>Traceability</x:v>
      </x:c>
      <x:c r="D80" s="96" t="str">
        <x:v>Cross-references and substitutions</x:v>
      </x:c>
      <x:c r="E80" s="96" t="str">
        <x:v>13, 31 and 32 available</x:v>
      </x:c>
      <x:c r="F80" s="96" t="str">
        <x:v>Sample requirements, changes, evidence, risks and historical substitutions</x:v>
      </x:c>
      <x:c r="G80" s="96" t="str">
        <x:v>References resolve and current/historical authority is clear</x:v>
      </x:c>
      <x:c r="H80" s="96" t="str">
        <x:v>Documentation RC / Final</x:v>
      </x:c>
      <x:c r="I80" s="96" t="str">
        <x:v>N/A</x:v>
      </x:c>
      <x:c r="J80" s="96" t="str">
        <x:v>N/A</x:v>
      </x:c>
      <x:c r="K80" s="96" t="str">
        <x:v>Clean validation environment</x:v>
      </x:c>
      <x:c r="L80" s="96" t="str">
        <x:v>NOT RUN</x:v>
      </x:c>
      <x:c r="M80" s="96" t="str">
        <x:v>EVD-DOC-001</x:v>
      </x:c>
      <x:c r="N80" s="96"/>
      <x:c r="O80" s="96"/>
      <x:c r="P80" s="96"/>
      <x:c r="Q80" s="96" t="str">
        <x:v>Required</x:v>
      </x:c>
      <x:c r="R80" s="96"/>
    </x:row>
    <x:row r="81">
      <x:c r="A81" s="96" t="str">
        <x:v>DOC-TST-006</x:v>
      </x:c>
      <x:c r="B81" s="96" t="str">
        <x:v>Baseline</x:v>
      </x:c>
      <x:c r="C81" s="96" t="str">
        <x:v>Audit</x:v>
      </x:c>
      <x:c r="D81" s="96" t="str">
        <x:v>BLOCKER/HIGH closure</x:v>
      </x:c>
      <x:c r="E81" s="96" t="str">
        <x:v>16 final and change log available</x:v>
      </x:c>
      <x:c r="F81" s="96" t="str">
        <x:v>Compare findings with fixes, decisions and exceptions</x:v>
      </x:c>
      <x:c r="G81" s="96" t="str">
        <x:v>Zero unresolved BLOCKER/HIGH</x:v>
      </x:c>
      <x:c r="H81" s="96" t="str">
        <x:v>Documentation Final</x:v>
      </x:c>
      <x:c r="I81" s="96" t="str">
        <x:v>N/A</x:v>
      </x:c>
      <x:c r="J81" s="96" t="str">
        <x:v>N/A</x:v>
      </x:c>
      <x:c r="K81" s="96" t="str">
        <x:v>Audit review environment</x:v>
      </x:c>
      <x:c r="L81" s="96" t="str">
        <x:v>NOT RUN</x:v>
      </x:c>
      <x:c r="M81" s="96" t="str">
        <x:v>EVD-DOC-005</x:v>
      </x:c>
      <x:c r="N81" s="96"/>
      <x:c r="O81" s="96"/>
      <x:c r="P81" s="96"/>
      <x:c r="Q81" s="96" t="str">
        <x:v>Required</x:v>
      </x:c>
      <x:c r="R81" s="96"/>
    </x:row>
    <x:row r="82">
      <x:c r="A82" s="96" t="str">
        <x:v>DOC-TST-007</x:v>
      </x:c>
      <x:c r="B82" s="96" t="str">
        <x:v>Baseline</x:v>
      </x:c>
      <x:c r="C82" s="96" t="str">
        <x:v>Restore</x:v>
      </x:c>
      <x:c r="D82" s="96" t="str">
        <x:v>Clean extraction and checksum verification</x:v>
      </x:c>
      <x:c r="E82" s="96" t="str">
        <x:v>Final ZIP and external checksum available</x:v>
      </x:c>
      <x:c r="F82" s="96" t="str">
        <x:v>Extract elsewhere, verify recursively and open representative Excel/Markdown files</x:v>
      </x:c>
      <x:c r="G82" s="96" t="str">
        <x:v>Restore PASS; no corruption or path ambiguity</x:v>
      </x:c>
      <x:c r="H82" s="96" t="str">
        <x:v>Documentation Final</x:v>
      </x:c>
      <x:c r="I82" s="96" t="str">
        <x:v>N/A</x:v>
      </x:c>
      <x:c r="J82" s="96" t="str">
        <x:v>N/A</x:v>
      </x:c>
      <x:c r="K82" s="96" t="str">
        <x:v>Independent clean location</x:v>
      </x:c>
      <x:c r="L82" s="96" t="str">
        <x:v>NOT RUN</x:v>
      </x:c>
      <x:c r="M82" s="96" t="str">
        <x:v>EVD-DOC-007</x:v>
      </x:c>
      <x:c r="N82" s="96"/>
      <x:c r="O82" s="96"/>
      <x:c r="P82" s="96"/>
      <x:c r="Q82" s="96" t="str">
        <x:v>Required</x:v>
      </x:c>
      <x:c r="R82" s="96"/>
    </x:row>
    <x:row r="83">
      <x:c r="A83" s="96" t="str">
        <x:v>DOC-TST-008</x:v>
      </x:c>
      <x:c r="B83" s="96" t="str">
        <x:v>Baseline</x:v>
      </x:c>
      <x:c r="C83" s="96" t="str">
        <x:v>Handoff</x:v>
      </x:c>
      <x:c r="D83" s="96" t="str">
        <x:v>Independent project handoff</x:v>
      </x:c>
      <x:c r="E83" s="96" t="str">
        <x:v>34 final, README_FIRST and repository access available</x:v>
      </x:c>
      <x:c r="F83" s="96" t="str">
        <x:v>Reviewer follows orientation, verification and next-step procedure without chat context</x:v>
      </x:c>
      <x:c r="G83" s="96" t="str">
        <x:v>Reviewer reaches correct state and records gaps</x:v>
      </x:c>
      <x:c r="H83" s="96" t="str">
        <x:v>Documentation Final</x:v>
      </x:c>
      <x:c r="I83" s="96" t="str">
        <x:v>N/A</x:v>
      </x:c>
      <x:c r="J83" s="96" t="str">
        <x:v>N/A</x:v>
      </x:c>
      <x:c r="K83" s="96" t="str">
        <x:v>Independent reviewer workstation</x:v>
      </x:c>
      <x:c r="L83" s="96" t="str">
        <x:v>NOT RUN</x:v>
      </x:c>
      <x:c r="M83" s="96" t="str">
        <x:v>EVD-DOC-007</x:v>
      </x:c>
      <x:c r="N83" s="96"/>
      <x:c r="O83" s="96"/>
      <x:c r="P83" s="96"/>
      <x:c r="Q83" s="96" t="str">
        <x:v>Required</x:v>
      </x:c>
      <x:c r="R83" s="96"/>
    </x:row>
  </x:sheetData>
  <x:mergeCells>
    <x:mergeCell ref="A1:R1"/>
    <x:mergeCell ref="A2:R2"/>
  </x:mergeCells>
  <x:conditionalFormatting sqref="L5:L75">
    <x:cfRule type="expression" dxfId="17" priority="1">
      <x:formula>L5="PASS"</x:formula>
    </x:cfRule>
    <x:cfRule type="expression" dxfId="18" priority="2">
      <x:formula>L5="FAIL"</x:formula>
    </x:cfRule>
  </x:conditionalFormatting>
  <x:dataValidations count="2">
    <x:dataValidation type="list" sqref="L5:L75">
      <x:formula1>"NOT RUN,IN PROGRESS,PASS,FAIL,BLOCKED,EXCEPTION APPROVED,NOT APPLICABLE"</x:formula1>
    </x:dataValidation>
    <x:dataValidation type="list" sqref="L76:L83">
      <x:formula1>'11_Catalogos'!$A$2:$A$8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c3809d8b8d4f8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0" hidden="0" customWidth="1"/>
    <x:col min="4" max="4" width="88" hidden="0" customWidth="1"/>
    <x:col min="5" max="5" width="10" hidden="0" customWidth="1"/>
    <x:col min="6" max="6" width="16" hidden="0" customWidth="1"/>
    <x:col min="7" max="7" width="20" hidden="0" customWidth="1"/>
    <x:col min="8" max="8" width="66" hidden="0" customWidth="1"/>
    <x:col min="9" max="9" width="24" hidden="0" customWidth="1"/>
    <x:col min="10" max="10" width="58" hidden="0" customWidth="1"/>
    <x:col min="11" max="11" width="62" hidden="0" customWidth="1"/>
  </x:cols>
  <x:sheetData>
    <x:row r="1" ht="34" customHeight="1">
      <x:c r="A1" s="5" t="str">
        <x:v>Historical and Current Source Traceability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8" customHeight="1">
      <x:c r="A2" s="14" t="str">
        <x:v>Inventario con hash de fuentes vigentes, documentos 00–34, baselines v0.3–v0.6 y registros de desarrollo. Se distinguen versiones RC1, candidatas y finales; los hashes autorreferentes se almacenan externamente.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</x:row>
    <x:row r="4" ht="42" customHeight="1">
      <x:c r="A4" s="24" t="str">
        <x:v>Source ID</x:v>
      </x:c>
      <x:c r="B4" s="24" t="str">
        <x:v>Family</x:v>
      </x:c>
      <x:c r="C4" s="24" t="str">
        <x:v>Baseline / Version</x:v>
      </x:c>
      <x:c r="D4" s="24" t="str">
        <x:v>Relative Path</x:v>
      </x:c>
      <x:c r="E4" s="24" t="str">
        <x:v>Type</x:v>
      </x:c>
      <x:c r="F4" s="24" t="str">
        <x:v>Size (bytes)</x:v>
      </x:c>
      <x:c r="G4" s="24" t="str">
        <x:v>Modified</x:v>
      </x:c>
      <x:c r="H4" s="24" t="str">
        <x:v>SHA-256</x:v>
      </x:c>
      <x:c r="I4" s="24" t="str">
        <x:v>Authority / Use</x:v>
      </x:c>
      <x:c r="J4" s="24" t="str">
        <x:v>Superseded By / Current Relation</x:v>
      </x:c>
      <x:c r="K4" s="24" t="str">
        <x:v>Retained Decision Rule</x:v>
      </x:c>
    </x:row>
    <x:row r="5">
      <x:c r="A5" s="32" t="str">
        <x:v>SRC-0001</x:v>
      </x:c>
      <x:c r="B5" s="32" t="str">
        <x:v>Scope/Governance</x:v>
      </x:c>
      <x:c r="C5" s="32" t="str">
        <x:v>Current consolidated</x:v>
      </x:c>
      <x:c r="D5" s="32" t="str">
        <x:v>cc_docs_new/Documentacion/00_Enfoque_y_Alcance.md</x:v>
      </x:c>
      <x:c r="E5" s="32" t="str">
        <x:v>md</x:v>
      </x:c>
      <x:c r="F5" s="88" t="n">
        <x:v>127401</x:v>
      </x:c>
      <x:c r="G5" s="32" t="str">
        <x:v>2026-07-01 03:50</x:v>
      </x:c>
      <x:c r="H5" s="32" t="str">
        <x:v>63dd6f0f1b9c2c80be2aec55718d18d9d031ce4acb14f677769d6e69ceaad21f</x:v>
      </x:c>
      <x:c r="I5" s="32" t="str">
        <x:v>Current source</x:v>
      </x:c>
      <x:c r="J5" s="32" t="str"/>
      <x:c r="K5" s="32" t="str">
        <x:v>Retain original acceptance intent, gates, constraints and evidence lineage unless explicitly superseded.</x:v>
      </x:c>
    </x:row>
    <x:row r="6">
      <x:c r="A6" s="32" t="str">
        <x:v>SRC-0002</x:v>
      </x:c>
      <x:c r="B6" s="32" t="str">
        <x:v>01_Game_Design_Document</x:v>
      </x:c>
      <x:c r="C6" s="32" t="str">
        <x:v>Current consolidated</x:v>
      </x:c>
      <x:c r="D6" s="32" t="str">
        <x:v>cc_docs_new/Documentacion/01_Game_Design_Document.md</x:v>
      </x:c>
      <x:c r="E6" s="32" t="str">
        <x:v>md</x:v>
      </x:c>
      <x:c r="F6" s="88" t="n">
        <x:v>132822</x:v>
      </x:c>
      <x:c r="G6" s="32" t="str">
        <x:v>2026-07-01 04:44</x:v>
      </x:c>
      <x:c r="H6" s="32" t="str">
        <x:v>a9cd9e3203abc5269c25c59dc7f626b0771df4ec2d65e781109ff146bceb2177</x:v>
      </x:c>
      <x:c r="I6" s="32" t="str">
        <x:v>Current source</x:v>
      </x:c>
      <x:c r="J6" s="32" t="str"/>
      <x:c r="K6" s="32" t="str">
        <x:v>Retain original acceptance intent, gates, constraints and evidence lineage unless explicitly superseded.</x:v>
      </x:c>
    </x:row>
    <x:row r="7">
      <x:c r="A7" s="32" t="str">
        <x:v>SRC-0003</x:v>
      </x:c>
      <x:c r="B7" s="32" t="str">
        <x:v>Vertical Slice</x:v>
      </x:c>
      <x:c r="C7" s="32" t="str">
        <x:v>Current consolidated</x:v>
      </x:c>
      <x:c r="D7" s="32" t="str">
        <x:v>cc_docs_new/Documentacion/02_Vertical_Slice_Specification.md</x:v>
      </x:c>
      <x:c r="E7" s="32" t="str">
        <x:v>md</x:v>
      </x:c>
      <x:c r="F7" s="88" t="n">
        <x:v>64531</x:v>
      </x:c>
      <x:c r="G7" s="32" t="str">
        <x:v>2026-07-01 05:14</x:v>
      </x:c>
      <x:c r="H7" s="32" t="str">
        <x:v>75893f130116e88a08b8da5590dd81876a234581081eafaa8d08374c1a60513f</x:v>
      </x:c>
      <x:c r="I7" s="32" t="str">
        <x:v>Current source</x:v>
      </x:c>
      <x:c r="J7" s="32" t="str"/>
      <x:c r="K7" s="32" t="str">
        <x:v>Retain original acceptance intent, gates, constraints and evidence lineage unless explicitly superseded.</x:v>
      </x:c>
    </x:row>
    <x:row r="8">
      <x:c r="A8" s="32" t="str">
        <x:v>SRC-0004</x:v>
      </x:c>
      <x:c r="B8" s="32" t="str">
        <x:v>03_Technical_Design_Document</x:v>
      </x:c>
      <x:c r="C8" s="32" t="str">
        <x:v>Current consolidated</x:v>
      </x:c>
      <x:c r="D8" s="32" t="str">
        <x:v>cc_docs_new/Documentacion/03_Technical_Design_Document.md</x:v>
      </x:c>
      <x:c r="E8" s="32" t="str">
        <x:v>md</x:v>
      </x:c>
      <x:c r="F8" s="88" t="n">
        <x:v>101994</x:v>
      </x:c>
      <x:c r="G8" s="32" t="str">
        <x:v>2026-07-01 05:23</x:v>
      </x:c>
      <x:c r="H8" s="32" t="str">
        <x:v>66264703c5ff4959d03093690e9845a98ec0e5025e685b9a639ac8cbb616cd12</x:v>
      </x:c>
      <x:c r="I8" s="32" t="str">
        <x:v>Current source</x:v>
      </x:c>
      <x:c r="J8" s="32" t="str"/>
      <x:c r="K8" s="32" t="str">
        <x:v>Retain original acceptance intent, gates, constraints and evidence lineage unless explicitly superseded.</x:v>
      </x:c>
    </x:row>
    <x:row r="9">
      <x:c r="A9" s="32" t="str">
        <x:v>SRC-0005</x:v>
      </x:c>
      <x:c r="B9" s="32" t="str">
        <x:v>Data/Persistence</x:v>
      </x:c>
      <x:c r="C9" s="32" t="str">
        <x:v>Current consolidated</x:v>
      </x:c>
      <x:c r="D9" s="32" t="str">
        <x:v>cc_docs_new/Documentacion/04_Modelo_de_Datos.md</x:v>
      </x:c>
      <x:c r="E9" s="32" t="str">
        <x:v>md</x:v>
      </x:c>
      <x:c r="F9" s="88" t="n">
        <x:v>102948</x:v>
      </x:c>
      <x:c r="G9" s="32" t="str">
        <x:v>2026-07-01 05:32</x:v>
      </x:c>
      <x:c r="H9" s="32" t="str">
        <x:v>d851a72b55742c2c704cc7c002929bc5894e7142511c6af843440bb193fb19d4</x:v>
      </x:c>
      <x:c r="I9" s="32" t="str">
        <x:v>Current source</x:v>
      </x:c>
      <x:c r="J9" s="32" t="str"/>
      <x:c r="K9" s="32" t="str">
        <x:v>Retain original acceptance intent, gates, constraints and evidence lineage unless explicitly superseded.</x:v>
      </x:c>
    </x:row>
    <x:row r="10">
      <x:c r="A10" s="32" t="str">
        <x:v>SRC-0006</x:v>
      </x:c>
      <x:c r="B10" s="32" t="str">
        <x:v>UX</x:v>
      </x:c>
      <x:c r="C10" s="32" t="str">
        <x:v>Current consolidated</x:v>
      </x:c>
      <x:c r="D10" s="32" t="str">
        <x:v>cc_docs_new/Documentacion/05_UX_Flow.md</x:v>
      </x:c>
      <x:c r="E10" s="32" t="str">
        <x:v>md</x:v>
      </x:c>
      <x:c r="F10" s="88" t="n">
        <x:v>56805</x:v>
      </x:c>
      <x:c r="G10" s="32" t="str">
        <x:v>2026-07-01 05:39</x:v>
      </x:c>
      <x:c r="H10" s="32" t="str">
        <x:v>e08da5ff67fb073a8b950babe325ae58ddb2e121513dc2f553acd4f2c14b867e</x:v>
      </x:c>
      <x:c r="I10" s="32" t="str">
        <x:v>Current source</x:v>
      </x:c>
      <x:c r="J10" s="32" t="str"/>
      <x:c r="K10" s="32" t="str">
        <x:v>Retain original acceptance intent, gates, constraints and evidence lineage unless explicitly superseded.</x:v>
      </x:c>
    </x:row>
    <x:row r="11">
      <x:c r="A11" s="32" t="str">
        <x:v>SRC-0007</x:v>
      </x:c>
      <x:c r="B11" s="32" t="str">
        <x:v>06_Production_Roadmap_y_Sprint_Plan</x:v>
      </x:c>
      <x:c r="C11" s="32" t="str">
        <x:v>Current consolidated</x:v>
      </x:c>
      <x:c r="D11" s="32" t="str">
        <x:v>cc_docs_new/Documentacion/06_Production_Roadmap_y_Sprint_Plan.md</x:v>
      </x:c>
      <x:c r="E11" s="32" t="str">
        <x:v>md</x:v>
      </x:c>
      <x:c r="F11" s="88" t="n">
        <x:v>61564</x:v>
      </x:c>
      <x:c r="G11" s="32" t="str">
        <x:v>2026-07-01 05:46</x:v>
      </x:c>
      <x:c r="H11" s="32" t="str">
        <x:v>d00b156c0ad1c66069278119c55f76c738a577a3e2835f770208d1a5f2faadff</x:v>
      </x:c>
      <x:c r="I11" s="32" t="str">
        <x:v>Current source</x:v>
      </x:c>
      <x:c r="J11" s="32" t="str"/>
      <x:c r="K11" s="32" t="str">
        <x:v>Retain original acceptance intent, gates, constraints and evidence lineage unless explicitly superseded.</x:v>
      </x:c>
    </x:row>
    <x:row r="12">
      <x:c r="A12" s="32" t="str">
        <x:v>SRC-0008</x:v>
      </x:c>
      <x:c r="B12" s="32" t="str">
        <x:v>QA</x:v>
      </x:c>
      <x:c r="C12" s="32" t="str">
        <x:v>Current consolidated</x:v>
      </x:c>
      <x:c r="D12" s="32" t="str">
        <x:v>cc_docs_new/Documentacion/07_QA_Testing_Plan.md</x:v>
      </x:c>
      <x:c r="E12" s="32" t="str">
        <x:v>md</x:v>
      </x:c>
      <x:c r="F12" s="88" t="n">
        <x:v>79435</x:v>
      </x:c>
      <x:c r="G12" s="32" t="str">
        <x:v>2026-07-01 05:55</x:v>
      </x:c>
      <x:c r="H12" s="32" t="str">
        <x:v>bc9c05a3737e345546ef16e5390e034295ef35ad66c31647852aec81b4e7affe</x:v>
      </x:c>
      <x:c r="I12" s="32" t="str">
        <x:v>Current source</x:v>
      </x:c>
      <x:c r="J12" s="32" t="str"/>
      <x:c r="K12" s="32" t="str">
        <x:v>Retain original acceptance intent, gates, constraints and evidence lineage unless explicitly superseded.</x:v>
      </x:c>
    </x:row>
    <x:row r="13">
      <x:c r="A13" s="32" t="str">
        <x:v>SRC-0009</x:v>
      </x:c>
      <x:c r="B13" s="32" t="str">
        <x:v>QA</x:v>
      </x:c>
      <x:c r="C13" s="32" t="str">
        <x:v>Current consolidated</x:v>
      </x:c>
      <x:c r="D13" s="32" t="str">
        <x:v>cc_docs_new/Documentacion/08_QA_Testing_Matrix.xlsx</x:v>
      </x:c>
      <x:c r="E13" s="32" t="str">
        <x:v>xlsx</x:v>
      </x:c>
      <x:c r="F13" s="88" t="n">
        <x:v>185032</x:v>
      </x:c>
      <x:c r="G13" s="32" t="str">
        <x:v>2026-07-01 06:11</x:v>
      </x:c>
      <x:c r="H13" s="32" t="str">
        <x:v>233e57f01d2468fe13c136c8fcd3ee75b39bd3de6530349626ea98d4ff254214</x:v>
      </x:c>
      <x:c r="I13" s="32" t="str">
        <x:v>Current source</x:v>
      </x:c>
      <x:c r="J13" s="32" t="str"/>
      <x:c r="K13" s="32" t="str">
        <x:v>Retain original acceptance intent, gates, constraints and evidence lineage unless explicitly superseded.</x:v>
      </x:c>
    </x:row>
    <x:row r="14">
      <x:c r="A14" s="32" t="str">
        <x:v>SRC-0010</x:v>
      </x:c>
      <x:c r="B14" s="32" t="str">
        <x:v>09_CSharp_Coding_Standards</x:v>
      </x:c>
      <x:c r="C14" s="32" t="str">
        <x:v>Current consolidated</x:v>
      </x:c>
      <x:c r="D14" s="32" t="str">
        <x:v>cc_docs_new/Documentacion/09_CSharp_Coding_Standards.md</x:v>
      </x:c>
      <x:c r="E14" s="32" t="str">
        <x:v>md</x:v>
      </x:c>
      <x:c r="F14" s="88" t="n">
        <x:v>95321</x:v>
      </x:c>
      <x:c r="G14" s="32" t="str">
        <x:v>2026-07-01 06:22</x:v>
      </x:c>
      <x:c r="H14" s="32" t="str">
        <x:v>3b734d6cd49f31c09c10bb4941625e143f6c634e3fb50c157f0720e73b1c2a68</x:v>
      </x:c>
      <x:c r="I14" s="32" t="str">
        <x:v>Current source</x:v>
      </x:c>
      <x:c r="J14" s="32" t="str"/>
      <x:c r="K14" s="32" t="str">
        <x:v>Retain original acceptance intent, gates, constraints and evidence lineage unless explicitly superseded.</x:v>
      </x:c>
    </x:row>
    <x:row r="15">
      <x:c r="A15" s="32" t="str">
        <x:v>SRC-0011</x:v>
      </x:c>
      <x:c r="B15" s="32" t="str">
        <x:v>10_Unity_Project_Setup_Guide</x:v>
      </x:c>
      <x:c r="C15" s="32" t="str">
        <x:v>Current consolidated</x:v>
      </x:c>
      <x:c r="D15" s="32" t="str">
        <x:v>cc_docs_new/Documentacion/10_Unity_Project_Setup_Guide.md</x:v>
      </x:c>
      <x:c r="E15" s="32" t="str">
        <x:v>md</x:v>
      </x:c>
      <x:c r="F15" s="88" t="n">
        <x:v>78408</x:v>
      </x:c>
      <x:c r="G15" s="32" t="str">
        <x:v>2026-07-01 12:48</x:v>
      </x:c>
      <x:c r="H15" s="32" t="str">
        <x:v>31430bb0544edd9577323aa0009d6ca3df8b9fbcf6c8a150fc33df69b9f963a4</x:v>
      </x:c>
      <x:c r="I15" s="32" t="str">
        <x:v>Current source</x:v>
      </x:c>
      <x:c r="J15" s="32" t="str"/>
      <x:c r="K15" s="32" t="str">
        <x:v>Retain original acceptance intent, gates, constraints and evidence lineage unless explicitly superseded.</x:v>
      </x:c>
    </x:row>
    <x:row r="16">
      <x:c r="A16" s="32" t="str">
        <x:v>SRC-0012</x:v>
      </x:c>
      <x:c r="B16" s="32" t="str">
        <x:v>Build/Versioning</x:v>
      </x:c>
      <x:c r="C16" s="32" t="str">
        <x:v>Current consolidated</x:v>
      </x:c>
      <x:c r="D16" s="32" t="str">
        <x:v>cc_docs_new/Documentacion/11_Build_y_Versioning_Guide.md</x:v>
      </x:c>
      <x:c r="E16" s="32" t="str">
        <x:v>md</x:v>
      </x:c>
      <x:c r="F16" s="88" t="n">
        <x:v>85324</x:v>
      </x:c>
      <x:c r="G16" s="32" t="str">
        <x:v>2026-07-01 12:57</x:v>
      </x:c>
      <x:c r="H16" s="32" t="str">
        <x:v>38a16a0f97505c0b405509dd3c7e3d1b50e77b89fbe3f4cb1931d3e04f602215</x:v>
      </x:c>
      <x:c r="I16" s="32" t="str">
        <x:v>Current source</x:v>
      </x:c>
      <x:c r="J16" s="32" t="str"/>
      <x:c r="K16" s="32" t="str">
        <x:v>Retain original acceptance intent, gates, constraints and evidence lineage unless explicitly superseded.</x:v>
      </x:c>
    </x:row>
    <x:row r="17">
      <x:c r="A17" s="32" t="str">
        <x:v>SRC-0013</x:v>
      </x:c>
      <x:c r="B17" s="32" t="str">
        <x:v>12_Excel_Maestro_de_Produccion</x:v>
      </x:c>
      <x:c r="C17" s="32" t="str">
        <x:v>Current candidate — post RC1</x:v>
      </x:c>
      <x:c r="D17" s="32" t="str">
        <x:v>Documentacion_Tras_RC1/12_Excel_Maestro_de_Produccion.xlsx</x:v>
      </x:c>
      <x:c r="E17" s="32" t="str">
        <x:v>xlsx</x:v>
      </x:c>
      <x:c r="F17" s="88" t="n">
        <x:v>484932</x:v>
      </x:c>
      <x:c r="G17" s="32" t="str">
        <x:v>2026-07-01</x:v>
      </x:c>
      <x:c r="H17" s="32" t="str">
        <x:v>3d70e97326868389dac977934e6000285c22b3c33c0e62be31313880726b4d7d</x:v>
      </x:c>
      <x:c r="I17" s="32" t="str">
        <x:v>Current candidate source</x:v>
      </x:c>
      <x:c r="J17" s="32" t="str">
        <x:v>Replaces RC1; final version/hash recorded after freeze</x:v>
      </x:c>
      <x:c r="K17" s="32" t="str">
        <x:v>Retain original acceptance intent, gates, constraints and evidence lineage unless explicitly superseded.</x:v>
      </x:c>
    </x:row>
    <x:row r="18">
      <x:c r="A18" s="32" t="str">
        <x:v>SRC-0014</x:v>
      </x:c>
      <x:c r="B18" s="32" t="str">
        <x:v>13_Trazabilidad_y_Control_de_Cambios</x:v>
      </x:c>
      <x:c r="C18" s="32" t="str">
        <x:v>Current candidate — post RC1</x:v>
      </x:c>
      <x:c r="D18" s="32" t="str">
        <x:v>Documentacion_Tras_RC1/13_Trazabilidad_y_Control_de_Cambios.xlsx</x:v>
      </x:c>
      <x:c r="E18" s="32" t="str">
        <x:v>xlsx</x:v>
      </x:c>
      <x:c r="F18" s="88" t="n">
        <x:v>577554</x:v>
      </x:c>
      <x:c r="G18" s="32" t="str">
        <x:v>2026-07-01</x:v>
      </x:c>
      <x:c r="H18" s="32" t="str">
        <x:v>97cf106d7707de9e6dcadfa2ec9374676b0ea9fe0945ac87eb89db788df8da43</x:v>
      </x:c>
      <x:c r="I18" s="32" t="str">
        <x:v>Current candidate source</x:v>
      </x:c>
      <x:c r="J18" s="32" t="str">
        <x:v>Replaces RC1; must receive final audit/commit entries</x:v>
      </x:c>
      <x:c r="K18" s="32" t="str">
        <x:v>Retain original acceptance intent, gates, constraints and evidence lineage unless explicitly superseded.</x:v>
      </x:c>
    </x:row>
    <x:row r="19">
      <x:c r="A19" s="32" t="str">
        <x:v>SRC-0015</x:v>
      </x:c>
      <x:c r="B19" s="32" t="str">
        <x:v>14_Project_Binder_Indice_Maestro</x:v>
      </x:c>
      <x:c r="C19" s="32" t="str">
        <x:v>Current candidate — post RC1</x:v>
      </x:c>
      <x:c r="D19" s="32" t="str">
        <x:v>Documentacion_Tras_RC1/14_Project_Binder_Indice_Maestro.md</x:v>
      </x:c>
      <x:c r="E19" s="32" t="str">
        <x:v>md</x:v>
      </x:c>
      <x:c r="F19" s="88" t="n">
        <x:v>95577</x:v>
      </x:c>
      <x:c r="G19" s="32" t="str">
        <x:v>2026-07-01</x:v>
      </x:c>
      <x:c r="H19" s="32" t="str">
        <x:v>d0e8c2b0bf78a414d00c290d8ab8e4b2742e80de7bf509764318c6b7a9e4f144</x:v>
      </x:c>
      <x:c r="I19" s="32" t="str">
        <x:v>Current candidate source</x:v>
      </x:c>
      <x:c r="J19" s="32" t="str">
        <x:v>Replaces RC1; final references verified in audit 16</x:v>
      </x:c>
      <x:c r="K19" s="32" t="str">
        <x:v>Retain original acceptance intent, gates, constraints and evidence lineage unless explicitly superseded.</x:v>
      </x:c>
    </x:row>
    <x:row r="20">
      <x:c r="A20" s="32" t="str">
        <x:v>SRC-0016</x:v>
      </x:c>
      <x:c r="B20" s="32" t="str">
        <x:v>15_Guia_Maestra</x:v>
      </x:c>
      <x:c r="C20" s="32" t="str">
        <x:v>Current candidate — post RC1</x:v>
      </x:c>
      <x:c r="D20" s="32" t="str">
        <x:v>Documentacion_Tras_RC1/15_Guia_Maestra.md</x:v>
      </x:c>
      <x:c r="E20" s="32" t="str">
        <x:v>md</x:v>
      </x:c>
      <x:c r="F20" s="88" t="n">
        <x:v>149595</x:v>
      </x:c>
      <x:c r="G20" s="32" t="str">
        <x:v>2026-07-01</x:v>
      </x:c>
      <x:c r="H20" s="32" t="str">
        <x:v>70aa63feb69785d3b2e8b044c73b9c5f075829fd198e4de5504196d2262cae71</x:v>
      </x:c>
      <x:c r="I20" s="32" t="str">
        <x:v>Current candidate source</x:v>
      </x:c>
      <x:c r="J20" s="32" t="str">
        <x:v>Replaces RC1; final package paths added later</x:v>
      </x:c>
      <x:c r="K20" s="32" t="str">
        <x:v>Retain original acceptance intent, gates, constraints and evidence lineage unless explicitly superseded.</x:v>
      </x:c>
    </x:row>
    <x:row r="21">
      <x:c r="A21" s="32" t="str">
        <x:v>SRC-0017</x:v>
      </x:c>
      <x:c r="B21" s="32" t="str">
        <x:v>16_Auditoria_Global_de_Coherencia</x:v>
      </x:c>
      <x:c r="C21" s="32" t="str">
        <x:v>Current consolidated</x:v>
      </x:c>
      <x:c r="D21" s="32" t="str">
        <x:v>cc_docs_new/Documentacion/16_Auditoria_Global_de_Coherencia.md</x:v>
      </x:c>
      <x:c r="E21" s="32" t="str">
        <x:v>md</x:v>
      </x:c>
      <x:c r="F21" s="88" t="n">
        <x:v>87439</x:v>
      </x:c>
      <x:c r="G21" s="32" t="str">
        <x:v>2026-07-01 13:54</x:v>
      </x:c>
      <x:c r="H21" s="32" t="str">
        <x:v>4a62376b8aee623be40957ae0511d2dcab2919947f3abb2cef3502b9bb60863e</x:v>
      </x:c>
      <x:c r="I21" s="32" t="str">
        <x:v>Current source</x:v>
      </x:c>
      <x:c r="J21" s="32" t="str"/>
      <x:c r="K21" s="32" t="str">
        <x:v>Retain original acceptance intent, gates, constraints and evidence lineage unless explicitly superseded.</x:v>
      </x:c>
    </x:row>
    <x:row r="22">
      <x:c r="A22" s="32" t="str">
        <x:v>SRC-0018</x:v>
      </x:c>
      <x:c r="B22" s="32" t="str">
        <x:v>Art</x:v>
      </x:c>
      <x:c r="C22" s="32" t="str">
        <x:v>Current consolidated</x:v>
      </x:c>
      <x:c r="D22" s="32" t="str">
        <x:v>cc_docs_new/Documentacion/17_Art_Bible.md</x:v>
      </x:c>
      <x:c r="E22" s="32" t="str">
        <x:v>md</x:v>
      </x:c>
      <x:c r="F22" s="88" t="n">
        <x:v>133913</x:v>
      </x:c>
      <x:c r="G22" s="32" t="str">
        <x:v>2026-07-01 14:12</x:v>
      </x:c>
      <x:c r="H22" s="32" t="str">
        <x:v>095c6cc42223a972c7faa68435595fc7c22f839fabc62b2038371a0ef6c14239</x:v>
      </x:c>
      <x:c r="I22" s="32" t="str">
        <x:v>Current source</x:v>
      </x:c>
      <x:c r="J22" s="32" t="str"/>
      <x:c r="K22" s="32" t="str">
        <x:v>Retain original acceptance intent, gates, constraints and evidence lineage unless explicitly superseded.</x:v>
      </x:c>
    </x:row>
    <x:row r="23">
      <x:c r="A23" s="32" t="str">
        <x:v>SRC-0019</x:v>
      </x:c>
      <x:c r="B23" s="32" t="str">
        <x:v>Audio</x:v>
      </x:c>
      <x:c r="C23" s="32" t="str">
        <x:v>Current consolidated</x:v>
      </x:c>
      <x:c r="D23" s="32" t="str">
        <x:v>cc_docs_new/Documentacion/18_Audio_Bible.md</x:v>
      </x:c>
      <x:c r="E23" s="32" t="str">
        <x:v>md</x:v>
      </x:c>
      <x:c r="F23" s="88" t="n">
        <x:v>144525</x:v>
      </x:c>
      <x:c r="G23" s="32" t="str">
        <x:v>2026-07-01 14:24</x:v>
      </x:c>
      <x:c r="H23" s="32" t="str">
        <x:v>c2eabe93a7c26f70e1d4d77fb0ddcaa97e2cdd1e70247e637b9db5bd2f07ce92</x:v>
      </x:c>
      <x:c r="I23" s="32" t="str">
        <x:v>Current source</x:v>
      </x:c>
      <x:c r="J23" s="32" t="str"/>
      <x:c r="K23" s="32" t="str">
        <x:v>Retain original acceptance intent, gates, constraints and evidence lineage unless explicitly superseded.</x:v>
      </x:c>
    </x:row>
    <x:row r="24">
      <x:c r="A24" s="32" t="str">
        <x:v>SRC-0020</x:v>
      </x:c>
      <x:c r="B24" s="32" t="str">
        <x:v>UI</x:v>
      </x:c>
      <x:c r="C24" s="32" t="str">
        <x:v>Current consolidated</x:v>
      </x:c>
      <x:c r="D24" s="32" t="str">
        <x:v>cc_docs_new/Documentacion/19_UI_Style_Guide.md</x:v>
      </x:c>
      <x:c r="E24" s="32" t="str">
        <x:v>md</x:v>
      </x:c>
      <x:c r="F24" s="88" t="n">
        <x:v>149800</x:v>
      </x:c>
      <x:c r="G24" s="32" t="str">
        <x:v>2026-07-01 14:40</x:v>
      </x:c>
      <x:c r="H24" s="32" t="str">
        <x:v>b34ca4db1eba7a536466b6a9a105d8d92396ade2108aa7dd99fa7d5d4eaebc1a</x:v>
      </x:c>
      <x:c r="I24" s="32" t="str">
        <x:v>Current source</x:v>
      </x:c>
      <x:c r="J24" s="32" t="str"/>
      <x:c r="K24" s="32" t="str">
        <x:v>Retain original acceptance intent, gates, constraints and evidence lineage unless explicitly superseded.</x:v>
      </x:c>
    </x:row>
    <x:row r="25">
      <x:c r="A25" s="32" t="str">
        <x:v>SRC-0021</x:v>
      </x:c>
      <x:c r="B25" s="32" t="str">
        <x:v>20_Economy_and_Balance_Specification</x:v>
      </x:c>
      <x:c r="C25" s="32" t="str">
        <x:v>Current consolidated</x:v>
      </x:c>
      <x:c r="D25" s="32" t="str">
        <x:v>cc_docs_new/Documentacion/20_Economy_and_Balance_Specification.md</x:v>
      </x:c>
      <x:c r="E25" s="32" t="str">
        <x:v>md</x:v>
      </x:c>
      <x:c r="F25" s="88" t="n">
        <x:v>154547</x:v>
      </x:c>
      <x:c r="G25" s="32" t="str">
        <x:v>2026-07-01 14:56</x:v>
      </x:c>
      <x:c r="H25" s="32" t="str">
        <x:v>908c70772ed35eecdb05c3036c6901523a4caf2c3e708ca8f049c2a160ef2aac</x:v>
      </x:c>
      <x:c r="I25" s="32" t="str">
        <x:v>Current source</x:v>
      </x:c>
      <x:c r="J25" s="32" t="str"/>
      <x:c r="K25" s="32" t="str">
        <x:v>Retain original acceptance intent, gates, constraints and evidence lineage unless explicitly superseded.</x:v>
      </x:c>
    </x:row>
    <x:row r="26">
      <x:c r="A26" s="32" t="str">
        <x:v>SRC-0022</x:v>
      </x:c>
      <x:c r="B26" s="32" t="str">
        <x:v>21_Initial_Content_Catalog</x:v>
      </x:c>
      <x:c r="C26" s="32" t="str">
        <x:v>Current candidate — post RC1</x:v>
      </x:c>
      <x:c r="D26" s="32" t="str">
        <x:v>Documentacion_Tras_RC1/21_Initial_Content_Catalog.xlsx</x:v>
      </x:c>
      <x:c r="E26" s="32" t="str">
        <x:v>xlsx</x:v>
      </x:c>
      <x:c r="F26" s="88" t="n">
        <x:v>186599</x:v>
      </x:c>
      <x:c r="G26" s="32" t="str">
        <x:v>2026-07-01</x:v>
      </x:c>
      <x:c r="H26" s="32" t="str">
        <x:v>2f98e2b7070e5a1f70d4feee03a7d154a2dcdeff8078b040c442e2393fc676c8</x:v>
      </x:c>
      <x:c r="I26" s="32" t="str">
        <x:v>Current candidate source</x:v>
      </x:c>
      <x:c r="J26" s="32" t="str">
        <x:v>Replaces RC1; legal/content cross-references updated</x:v>
      </x:c>
      <x:c r="K26" s="32" t="str">
        <x:v>Retain original acceptance intent, gates, constraints and evidence lineage unless explicitly superseded.</x:v>
      </x:c>
    </x:row>
    <x:row r="27">
      <x:c r="A27" s="32" t="str">
        <x:v>SRC-0023</x:v>
      </x:c>
      <x:c r="B27" s="32" t="str">
        <x:v>Localization</x:v>
      </x:c>
      <x:c r="C27" s="32" t="str">
        <x:v>Current consolidated</x:v>
      </x:c>
      <x:c r="D27" s="32" t="str">
        <x:v>cc_docs_new/Documentacion/22_Localization_Plan.md</x:v>
      </x:c>
      <x:c r="E27" s="32" t="str">
        <x:v>md</x:v>
      </x:c>
      <x:c r="F27" s="88" t="n">
        <x:v>157323</x:v>
      </x:c>
      <x:c r="G27" s="32" t="str">
        <x:v>2026-07-01 15:39</x:v>
      </x:c>
      <x:c r="H27" s="32" t="str">
        <x:v>184a53b2813bc1327a6913e6e88ea4c81142da1ee4ddeff88f75467c784f1ff0</x:v>
      </x:c>
      <x:c r="I27" s="32" t="str">
        <x:v>Current source</x:v>
      </x:c>
      <x:c r="J27" s="32" t="str"/>
      <x:c r="K27" s="32" t="str">
        <x:v>Retain original acceptance intent, gates, constraints and evidence lineage unless explicitly superseded.</x:v>
      </x:c>
    </x:row>
    <x:row r="28">
      <x:c r="A28" s="32" t="str">
        <x:v>SRC-0024</x:v>
      </x:c>
      <x:c r="B28" s="32" t="str">
        <x:v>Legal/Licenses</x:v>
      </x:c>
      <x:c r="C28" s="32" t="str">
        <x:v>Current candidate — post RC1</x:v>
      </x:c>
      <x:c r="D28" s="32" t="str">
        <x:v>Documentacion_Tras_RC1/23_Legal_Credits_and_Licenses_Register.xlsx</x:v>
      </x:c>
      <x:c r="E28" s="32" t="str">
        <x:v>xlsx</x:v>
      </x:c>
      <x:c r="F28" s="88" t="n">
        <x:v>489706</x:v>
      </x:c>
      <x:c r="G28" s="32" t="str">
        <x:v>2026-07-01</x:v>
      </x:c>
      <x:c r="H28" s="32" t="str">
        <x:v>df975425a8b8c1cfd9375179893a68422c5691c95f63be5f0862b3d6ce783e63</x:v>
      </x:c>
      <x:c r="I28" s="32" t="str">
        <x:v>Current candidate source</x:v>
      </x:c>
      <x:c r="J28" s="32" t="str">
        <x:v>Replaces RC1; integrated with 00–34 and release controls</x:v>
      </x:c>
      <x:c r="K28" s="32" t="str">
        <x:v>Retain original acceptance intent, gates, constraints and evidence lineage unless explicitly superseded.</x:v>
      </x:c>
    </x:row>
    <x:row r="29">
      <x:c r="A29" s="32" t="str">
        <x:v>SRC-0025</x:v>
      </x:c>
      <x:c r="B29" s="32" t="str">
        <x:v>Steam Publishing</x:v>
      </x:c>
      <x:c r="C29" s="32" t="str">
        <x:v>Current consolidated</x:v>
      </x:c>
      <x:c r="D29" s="32" t="str">
        <x:v>cc_docs_new/Documentacion/24_Steam_Publishing_Plan.md</x:v>
      </x:c>
      <x:c r="E29" s="32" t="str">
        <x:v>md</x:v>
      </x:c>
      <x:c r="F29" s="88" t="n">
        <x:v>171037</x:v>
      </x:c>
      <x:c r="G29" s="32" t="str">
        <x:v>2026-07-01 16:20</x:v>
      </x:c>
      <x:c r="H29" s="32" t="str">
        <x:v>f087e24d3a18f8c4a6651728d5f70d1df804042587e206fdeac2e7e637a87646</x:v>
      </x:c>
      <x:c r="I29" s="32" t="str">
        <x:v>Current source</x:v>
      </x:c>
      <x:c r="J29" s="32" t="str"/>
      <x:c r="K29" s="32" t="str">
        <x:v>Retain original acceptance intent, gates, constraints and evidence lineage unless explicitly superseded.</x:v>
      </x:c>
    </x:row>
    <x:row r="30">
      <x:c r="A30" s="32" t="str">
        <x:v>SRC-0026</x:v>
      </x:c>
      <x:c r="B30" s="32" t="str">
        <x:v>25_Post_Launch_and_Live_Operations_Plan</x:v>
      </x:c>
      <x:c r="C30" s="32" t="str">
        <x:v>Current consolidated</x:v>
      </x:c>
      <x:c r="D30" s="32" t="str">
        <x:v>cc_docs_new/Documentacion/25_Post_Launch_and_Live_Operations_Plan.md</x:v>
      </x:c>
      <x:c r="E30" s="32" t="str">
        <x:v>md</x:v>
      </x:c>
      <x:c r="F30" s="88" t="n">
        <x:v>327218</x:v>
      </x:c>
      <x:c r="G30" s="32" t="str">
        <x:v>2026-07-01 16:33</x:v>
      </x:c>
      <x:c r="H30" s="32" t="str">
        <x:v>158e1e43514c5d5d6c365f6cd1a73929f54c4a48c5cc460b593530ae5e49bac9</x:v>
      </x:c>
      <x:c r="I30" s="32" t="str">
        <x:v>Current source</x:v>
      </x:c>
      <x:c r="J30" s="32" t="str"/>
      <x:c r="K30" s="32" t="str">
        <x:v>Retain original acceptance intent, gates, constraints and evidence lineage unless explicitly superseded.</x:v>
      </x:c>
    </x:row>
    <x:row r="31">
      <x:c r="A31" s="32" t="str">
        <x:v>SRC-0027</x:v>
      </x:c>
      <x:c r="B31" s="32" t="str">
        <x:v>26_Privacy_Data_and_Telemetry_Plan</x:v>
      </x:c>
      <x:c r="C31" s="32" t="str">
        <x:v>Current consolidated</x:v>
      </x:c>
      <x:c r="D31" s="32" t="str">
        <x:v>cc_docs_new/Documentacion/26_Privacy_Data_and_Telemetry_Plan.md</x:v>
      </x:c>
      <x:c r="E31" s="32" t="str">
        <x:v>md</x:v>
      </x:c>
      <x:c r="F31" s="88" t="n">
        <x:v>321182</x:v>
      </x:c>
      <x:c r="G31" s="32" t="str">
        <x:v>2026-07-01 16:45</x:v>
      </x:c>
      <x:c r="H31" s="32" t="str">
        <x:v>284abfe537793c2ec8b0e5cbac484cd9395567c4434aef7f5ad5ee7005e95f36</x:v>
      </x:c>
      <x:c r="I31" s="32" t="str">
        <x:v>Current source</x:v>
      </x:c>
      <x:c r="J31" s="32" t="str"/>
      <x:c r="K31" s="32" t="str">
        <x:v>Retain original acceptance intent, gates, constraints and evidence lineage unless explicitly superseded.</x:v>
      </x:c>
    </x:row>
    <x:row r="32">
      <x:c r="A32" s="32" t="str">
        <x:v>SRC-0028</x:v>
      </x:c>
      <x:c r="B32" s="32" t="str">
        <x:v>27_Security_and_Incident_Response_Plan</x:v>
      </x:c>
      <x:c r="C32" s="32" t="str">
        <x:v>Current consolidated</x:v>
      </x:c>
      <x:c r="D32" s="32" t="str">
        <x:v>cc_docs_new/Documentacion/27_Security_and_Incident_Response_Plan.md</x:v>
      </x:c>
      <x:c r="E32" s="32" t="str">
        <x:v>md</x:v>
      </x:c>
      <x:c r="F32" s="88" t="n">
        <x:v>422182</x:v>
      </x:c>
      <x:c r="G32" s="32" t="str">
        <x:v>2026-07-01 18:06</x:v>
      </x:c>
      <x:c r="H32" s="32" t="str">
        <x:v>f925bfbf3df2000323c12a4486480d06c8ab8181684e5922168b8bdf89d05f92</x:v>
      </x:c>
      <x:c r="I32" s="32" t="str">
        <x:v>Current source</x:v>
      </x:c>
      <x:c r="J32" s="32" t="str"/>
      <x:c r="K32" s="32" t="str">
        <x:v>Retain original acceptance intent, gates, constraints and evidence lineage unless explicitly superseded.</x:v>
      </x:c>
    </x:row>
    <x:row r="33">
      <x:c r="A33" s="32" t="str">
        <x:v>SRC-0029</x:v>
      </x:c>
      <x:c r="B33" s="32" t="str">
        <x:v>Marketing</x:v>
      </x:c>
      <x:c r="C33" s="32" t="str">
        <x:v>Current consolidated</x:v>
      </x:c>
      <x:c r="D33" s="32" t="str">
        <x:v>28_Marketing_and_Communication_Plan.md</x:v>
      </x:c>
      <x:c r="E33" s="32" t="str">
        <x:v>md</x:v>
      </x:c>
      <x:c r="F33" s="88" t="n">
        <x:v>87510</x:v>
      </x:c>
      <x:c r="G33" s="32" t="str">
        <x:v>2026-07-01 18:08</x:v>
      </x:c>
      <x:c r="H33" s="32" t="str">
        <x:v>28dd332855126558b3da6019f2e546b1e8ab7db81dc530a89f3e3fbfe757cded</x:v>
      </x:c>
      <x:c r="I33" s="32" t="str">
        <x:v>Current source</x:v>
      </x:c>
      <x:c r="J33" s="32" t="str"/>
      <x:c r="K33" s="32" t="str">
        <x:v>Retain original acceptance intent, gates, constraints and evidence lineage unless explicitly superseded.</x:v>
      </x:c>
    </x:row>
    <x:row r="34">
      <x:c r="A34" s="32" t="str">
        <x:v>SRC-0030</x:v>
      </x:c>
      <x:c r="B34" s="32" t="str">
        <x:v>29_Accessibility_and_Inclusive_Design_Plan</x:v>
      </x:c>
      <x:c r="C34" s="32" t="str">
        <x:v>Current consolidated</x:v>
      </x:c>
      <x:c r="D34" s="32" t="str">
        <x:v>29_Accessibility_and_Inclusive_Design_Plan.md</x:v>
      </x:c>
      <x:c r="E34" s="32" t="str">
        <x:v>md</x:v>
      </x:c>
      <x:c r="F34" s="88" t="n">
        <x:v>105005</x:v>
      </x:c>
      <x:c r="G34" s="32" t="str">
        <x:v>2026-07-01 18:08</x:v>
      </x:c>
      <x:c r="H34" s="32" t="str">
        <x:v>678ceabb509062cd93c7690315397b1cc6204c0da6a5d57324ba11e2fda64333</x:v>
      </x:c>
      <x:c r="I34" s="32" t="str">
        <x:v>Current source</x:v>
      </x:c>
      <x:c r="J34" s="32" t="str"/>
      <x:c r="K34" s="32" t="str">
        <x:v>Retain original acceptance intent, gates, constraints and evidence lineage unless explicitly superseded.</x:v>
      </x:c>
    </x:row>
    <x:row r="35">
      <x:c r="A35" s="32" t="str">
        <x:v>SRC-0031</x:v>
      </x:c>
      <x:c r="B35" s="32" t="str">
        <x:v>30_Performance_and_Optimization_Plan</x:v>
      </x:c>
      <x:c r="C35" s="32" t="str">
        <x:v>Current consolidated</x:v>
      </x:c>
      <x:c r="D35" s="32" t="str">
        <x:v>30_Performance_and_Optimization_Plan.md</x:v>
      </x:c>
      <x:c r="E35" s="32" t="str">
        <x:v>md</x:v>
      </x:c>
      <x:c r="F35" s="88" t="n">
        <x:v>109482</x:v>
      </x:c>
      <x:c r="G35" s="32" t="str">
        <x:v>2026-07-01 18:08</x:v>
      </x:c>
      <x:c r="H35" s="32" t="str">
        <x:v>18f53eaa61734ad735c02c8b7c70ed37f5f0e80f7c01828b05d092c49b0de260</x:v>
      </x:c>
      <x:c r="I35" s="32" t="str">
        <x:v>Current source</x:v>
      </x:c>
      <x:c r="J35" s="32" t="str"/>
      <x:c r="K35" s="32" t="str">
        <x:v>Retain original acceptance intent, gates, constraints and evidence lineage unless explicitly superseded.</x:v>
      </x:c>
    </x:row>
    <x:row r="36">
      <x:c r="A36" s="32" t="str">
        <x:v>SRC-0032</x:v>
      </x:c>
      <x:c r="B36" s="32" t="str">
        <x:v>Scope/Governance</x:v>
      </x:c>
      <x:c r="C36" s="32" t="str">
        <x:v>v0.3</x:v>
      </x:c>
      <x:c r="D36" s="32" t="str">
        <x:v>cc_project_old/Documentation/00_Official_Baseline/v0.3/00_Project_Governance/Enfoque_v0.6.md</x:v>
      </x:c>
      <x:c r="E36" s="32" t="str">
        <x:v>md</x:v>
      </x:c>
      <x:c r="F36" s="88" t="n">
        <x:v>122708</x:v>
      </x:c>
      <x:c r="G36" s="32" t="str">
        <x:v>2026-06-22 02:14</x:v>
      </x:c>
      <x:c r="H36" s="32" t="str">
        <x:v>6765207677c2adad0d124d20b9c27c82563eebc5eb3a0acb817dddbd148b3fbb</x:v>
      </x:c>
      <x:c r="I36" s="32" t="str">
        <x:v>Historical baseline source</x:v>
      </x:c>
      <x:c r="J36" s="32" t="str">
        <x:v>Consolidated documents 00–34; retained for genealogy and decisions not explicitly revoked</x:v>
      </x:c>
      <x:c r="K36" s="32" t="str">
        <x:v>Retain original acceptance intent, gates, constraints and evidence lineage unless explicitly superseded.</x:v>
      </x:c>
    </x:row>
    <x:row r="37">
      <x:c r="A37" s="32" t="str">
        <x:v>SRC-0033</x:v>
      </x:c>
      <x:c r="B37" s="32" t="str">
        <x:v>QA</x:v>
      </x:c>
      <x:c r="C37" s="32" t="str">
        <x:v>v0.3</x:v>
      </x:c>
      <x:c r="D37" s="32" t="str">
        <x:v>cc_project_old/Documentation/00_Official_Baseline/v0.3/04_QA_Production/Cartridge_And_Cloud_QA_Testing_Matrix_v0.3.xlsx</x:v>
      </x:c>
      <x:c r="E37" s="32" t="str">
        <x:v>xlsx</x:v>
      </x:c>
      <x:c r="F37" s="88" t="n">
        <x:v>21821</x:v>
      </x:c>
      <x:c r="G37" s="32" t="str">
        <x:v>2026-06-22 02:14</x:v>
      </x:c>
      <x:c r="H37" s="32" t="str">
        <x:v>f7d48e93b2ca3cc8e86b1dfc2164126d923af38ba0c76cb4dde566e6bc4da05d</x:v>
      </x:c>
      <x:c r="I37" s="32" t="str">
        <x:v>Historical baseline source</x:v>
      </x:c>
      <x:c r="J37" s="32" t="str">
        <x:v>Consolidated documents 00–34; retained for genealogy and decisions not explicitly revoked</x:v>
      </x:c>
      <x:c r="K37" s="32" t="str">
        <x:v>Retain original acceptance intent, gates, constraints and evidence lineage unless explicitly superseded.</x:v>
      </x:c>
    </x:row>
    <x:row r="38">
      <x:c r="A38" s="32" t="str">
        <x:v>SRC-0034</x:v>
      </x:c>
      <x:c r="B38" s="32" t="str">
        <x:v>Art</x:v>
      </x:c>
      <x:c r="C38" s="32" t="str">
        <x:v>v0.3</x:v>
      </x:c>
      <x:c r="D38" s="32" t="str">
        <x:v>cc_project_old/Documentation/00_Official_Baseline/v0.3/99_Source_Markdown/Cartridge_And_Cloud_Art_Bible_v0.3.md</x:v>
      </x:c>
      <x:c r="E38" s="32" t="str">
        <x:v>md</x:v>
      </x:c>
      <x:c r="F38" s="88" t="n">
        <x:v>13594</x:v>
      </x:c>
      <x:c r="G38" s="32" t="str">
        <x:v>2026-06-22 02:14</x:v>
      </x:c>
      <x:c r="H38" s="32" t="str">
        <x:v>de2f2c02aef523f9e01bee94c071c44903425c32f63eb0c6b8786ee792397bb3</x:v>
      </x:c>
      <x:c r="I38" s="32" t="str">
        <x:v>Historical baseline source</x:v>
      </x:c>
      <x:c r="J38" s="32" t="str">
        <x:v>Consolidated documents 00–34; retained for genealogy and decisions not explicitly revoked</x:v>
      </x:c>
      <x:c r="K38" s="32" t="str">
        <x:v>Retain original acceptance intent, gates, constraints and evidence lineage unless explicitly superseded.</x:v>
      </x:c>
    </x:row>
    <x:row r="39">
      <x:c r="A39" s="32" t="str">
        <x:v>SRC-0035</x:v>
      </x:c>
      <x:c r="B39" s="32" t="str">
        <x:v>Audio</x:v>
      </x:c>
      <x:c r="C39" s="32" t="str">
        <x:v>v0.3</x:v>
      </x:c>
      <x:c r="D39" s="32" t="str">
        <x:v>cc_project_old/Documentation/00_Official_Baseline/v0.3/99_Source_Markdown/Cartridge_And_Cloud_Audio_Bible_v0.3.md</x:v>
      </x:c>
      <x:c r="E39" s="32" t="str">
        <x:v>md</x:v>
      </x:c>
      <x:c r="F39" s="88" t="n">
        <x:v>3927</x:v>
      </x:c>
      <x:c r="G39" s="32" t="str">
        <x:v>2026-06-22 02:14</x:v>
      </x:c>
      <x:c r="H39" s="32" t="str">
        <x:v>8530be74a5a22c33b4000ae322d90249eeb7a4567ec123a402c7b5c76a7023c9</x:v>
      </x:c>
      <x:c r="I39" s="32" t="str">
        <x:v>Historical baseline source</x:v>
      </x:c>
      <x:c r="J39" s="32" t="str">
        <x:v>Consolidated documents 00–34; retained for genealogy and decisions not explicitly revoked</x:v>
      </x:c>
      <x:c r="K39" s="32" t="str">
        <x:v>Retain original acceptance intent, gates, constraints and evidence lineage unless explicitly superseded.</x:v>
      </x:c>
    </x:row>
    <x:row r="40">
      <x:c r="A40" s="32" t="str">
        <x:v>SRC-0036</x:v>
      </x:c>
      <x:c r="B40" s="32" t="str">
        <x:v>Build/Versioning</x:v>
      </x:c>
      <x:c r="C40" s="32" t="str">
        <x:v>v0.3</x:v>
      </x:c>
      <x:c r="D40" s="32" t="str">
        <x:v>cc_project_old/Documentation/00_Official_Baseline/v0.3/99_Source_Markdown/Cartridge_And_Cloud_Build_Versioning_Guide_v0.3.md</x:v>
      </x:c>
      <x:c r="E40" s="32" t="str">
        <x:v>md</x:v>
      </x:c>
      <x:c r="F40" s="88" t="n">
        <x:v>3678</x:v>
      </x:c>
      <x:c r="G40" s="32" t="str">
        <x:v>2026-06-22 02:14</x:v>
      </x:c>
      <x:c r="H40" s="32" t="str">
        <x:v>fcc0988f428b45303c4cc2f5a681cbed9970475667bb6a37fa97a36529dc3705</x:v>
      </x:c>
      <x:c r="I40" s="32" t="str">
        <x:v>Historical baseline source</x:v>
      </x:c>
      <x:c r="J40" s="32" t="str">
        <x:v>Consolidated documents 00–34; retained for genealogy and decisions not explicitly revoked</x:v>
      </x:c>
      <x:c r="K40" s="32" t="str">
        <x:v>Retain original acceptance intent, gates, constraints and evidence lineage unless explicitly superseded.</x:v>
      </x:c>
    </x:row>
    <x:row r="41">
      <x:c r="A41" s="32" t="str">
        <x:v>SRC-0037</x:v>
      </x:c>
      <x:c r="B41" s="32" t="str">
        <x:v>Validation/Audit</x:v>
      </x:c>
      <x:c r="C41" s="32" t="str">
        <x:v>v0.3</x:v>
      </x:c>
      <x:c r="D41" s="32" t="str">
        <x:v>cc_project_old/Documentation/00_Official_Baseline/v0.3/99_Source_Markdown/Cartridge_And_Cloud_Documentation_Validation_Report_v0.1.md</x:v>
      </x:c>
      <x:c r="E41" s="32" t="str">
        <x:v>md</x:v>
      </x:c>
      <x:c r="F41" s="88" t="n">
        <x:v>7445</x:v>
      </x:c>
      <x:c r="G41" s="32" t="str">
        <x:v>2026-06-22 02:14</x:v>
      </x:c>
      <x:c r="H41" s="32" t="str">
        <x:v>d0b43ff719168cf7c2e4375cd828d9d86f0884cb1c8dcdde12a3250babe7934e</x:v>
      </x:c>
      <x:c r="I41" s="32" t="str">
        <x:v>Historical baseline source</x:v>
      </x:c>
      <x:c r="J41" s="32" t="str">
        <x:v>Consolidated documents 00–34; retained for genealogy and decisions not explicitly revoked</x:v>
      </x:c>
      <x:c r="K41" s="32" t="str">
        <x:v>Retain original acceptance intent, gates, constraints and evidence lineage unless explicitly superseded.</x:v>
      </x:c>
    </x:row>
    <x:row r="42">
      <x:c r="A42" s="32" t="str">
        <x:v>SRC-0038</x:v>
      </x:c>
      <x:c r="B42" s="32" t="str">
        <x:v>Scope/Governance</x:v>
      </x:c>
      <x:c r="C42" s="32" t="str">
        <x:v>v0.3</x:v>
      </x:c>
      <x:c r="D42" s="32" t="str">
        <x:v>cc_project_old/Documentation/00_Official_Baseline/v0.3/99_Source_Markdown/Cartridge_And_Cloud_Enfoque_v0.6_PDF_Source.md</x:v>
      </x:c>
      <x:c r="E42" s="32" t="str">
        <x:v>md</x:v>
      </x:c>
      <x:c r="F42" s="88" t="n">
        <x:v>124327</x:v>
      </x:c>
      <x:c r="G42" s="32" t="str">
        <x:v>2026-06-22 02:14</x:v>
      </x:c>
      <x:c r="H42" s="32" t="str">
        <x:v>50f9151e64949a4255514d419c4f75524ddcecc4b1337c293db7d269f3aec052</x:v>
      </x:c>
      <x:c r="I42" s="32" t="str">
        <x:v>Historical baseline source</x:v>
      </x:c>
      <x:c r="J42" s="32" t="str">
        <x:v>Consolidated documents 00–34; retained for genealogy and decisions not explicitly revoked</x:v>
      </x:c>
      <x:c r="K42" s="32" t="str">
        <x:v>Retain original acceptance intent, gates, constraints and evidence lineage unless explicitly superseded.</x:v>
      </x:c>
    </x:row>
    <x:row r="43">
      <x:c r="A43" s="32" t="str">
        <x:v>SRC-0039</x:v>
      </x:c>
      <x:c r="B43" s="32" t="str">
        <x:v>Steam Publishing</x:v>
      </x:c>
      <x:c r="C43" s="32" t="str">
        <x:v>v0.3</x:v>
      </x:c>
      <x:c r="D43" s="32" t="str">
        <x:v>cc_project_old/Documentation/00_Official_Baseline/v0.3/99_Source_Markdown/Cartridge_And_Cloud_GDD_v0.4_PCSteam.md</x:v>
      </x:c>
      <x:c r="E43" s="32" t="str">
        <x:v>md</x:v>
      </x:c>
      <x:c r="F43" s="88" t="n">
        <x:v>114534</x:v>
      </x:c>
      <x:c r="G43" s="32" t="str">
        <x:v>2026-06-22 02:14</x:v>
      </x:c>
      <x:c r="H43" s="32" t="str">
        <x:v>8939cf748467b18cee2e351b5eac309fe108b7fe02cd6da59a96230e9dd125fe</x:v>
      </x:c>
      <x:c r="I43" s="32" t="str">
        <x:v>Historical baseline source</x:v>
      </x:c>
      <x:c r="J43" s="32" t="str">
        <x:v>Consolidated documents 00–34; retained for genealogy and decisions not explicitly revoked</x:v>
      </x:c>
      <x:c r="K43" s="32" t="str">
        <x:v>Retain original acceptance intent, gates, constraints and evidence lineage unless explicitly superseded.</x:v>
      </x:c>
    </x:row>
    <x:row r="44">
      <x:c r="A44" s="32" t="str">
        <x:v>SRC-0040</x:v>
      </x:c>
      <x:c r="B44" s="32" t="str">
        <x:v>Cartridge_And_Cloud_Initial_Content_Catalog_v0.1</x:v>
      </x:c>
      <x:c r="C44" s="32" t="str">
        <x:v>v0.3</x:v>
      </x:c>
      <x:c r="D44" s="32" t="str">
        <x:v>cc_project_old/Documentation/00_Official_Baseline/v0.3/99_Source_Markdown/Cartridge_And_Cloud_Initial_Content_Catalog_v0.1.md</x:v>
      </x:c>
      <x:c r="E44" s="32" t="str">
        <x:v>md</x:v>
      </x:c>
      <x:c r="F44" s="88" t="n">
        <x:v>23013</x:v>
      </x:c>
      <x:c r="G44" s="32" t="str">
        <x:v>2026-06-22 02:14</x:v>
      </x:c>
      <x:c r="H44" s="32" t="str">
        <x:v>5b416cba7975a0ee42762eabb9ea236c30a19091fb3d3031285ac67ab0a83dcb</x:v>
      </x:c>
      <x:c r="I44" s="32" t="str">
        <x:v>Historical baseline source</x:v>
      </x:c>
      <x:c r="J44" s="32" t="str">
        <x:v>Consolidated documents 00–34; retained for genealogy and decisions not explicitly revoked</x:v>
      </x:c>
      <x:c r="K44" s="32" t="str">
        <x:v>Retain original acceptance intent, gates, constraints and evidence lineage unless explicitly superseded.</x:v>
      </x:c>
    </x:row>
    <x:row r="45">
      <x:c r="A45" s="32" t="str">
        <x:v>SRC-0041</x:v>
      </x:c>
      <x:c r="B45" s="32" t="str">
        <x:v>Legal/Licenses</x:v>
      </x:c>
      <x:c r="C45" s="32" t="str">
        <x:v>v0.3</x:v>
      </x:c>
      <x:c r="D45" s="32" t="str">
        <x:v>cc_project_old/Documentation/00_Official_Baseline/v0.3/99_Source_Markdown/Cartridge_And_Cloud_Legal_Credits_Licenses_Register_v0.3.md</x:v>
      </x:c>
      <x:c r="E45" s="32" t="str">
        <x:v>md</x:v>
      </x:c>
      <x:c r="F45" s="88" t="n">
        <x:v>3972</x:v>
      </x:c>
      <x:c r="G45" s="32" t="str">
        <x:v>2026-06-22 02:14</x:v>
      </x:c>
      <x:c r="H45" s="32" t="str">
        <x:v>ffc5bc6af65b27ede021acfdef2dbc5f20f680560e0be1a872586ab146a2f101</x:v>
      </x:c>
      <x:c r="I45" s="32" t="str">
        <x:v>Historical baseline source</x:v>
      </x:c>
      <x:c r="J45" s="32" t="str">
        <x:v>Consolidated documents 00–34; retained for genealogy and decisions not explicitly revoked</x:v>
      </x:c>
      <x:c r="K45" s="32" t="str">
        <x:v>Retain original acceptance intent, gates, constraints and evidence lineage unless explicitly superseded.</x:v>
      </x:c>
    </x:row>
    <x:row r="46">
      <x:c r="A46" s="32" t="str">
        <x:v>SRC-0042</x:v>
      </x:c>
      <x:c r="B46" s="32" t="str">
        <x:v>Localization</x:v>
      </x:c>
      <x:c r="C46" s="32" t="str">
        <x:v>v0.3</x:v>
      </x:c>
      <x:c r="D46" s="32" t="str">
        <x:v>cc_project_old/Documentation/00_Official_Baseline/v0.3/99_Source_Markdown/Cartridge_And_Cloud_Localization_Plan_v0.3.md</x:v>
      </x:c>
      <x:c r="E46" s="32" t="str">
        <x:v>md</x:v>
      </x:c>
      <x:c r="F46" s="88" t="n">
        <x:v>3806</x:v>
      </x:c>
      <x:c r="G46" s="32" t="str">
        <x:v>2026-06-22 02:14</x:v>
      </x:c>
      <x:c r="H46" s="32" t="str">
        <x:v>f48dcd0d33e717b3e65734a9f87677d3b72edb9e67b54ff630720ecc46686349</x:v>
      </x:c>
      <x:c r="I46" s="32" t="str">
        <x:v>Historical baseline source</x:v>
      </x:c>
      <x:c r="J46" s="32" t="str">
        <x:v>Consolidated documents 00–34; retained for genealogy and decisions not explicitly revoked</x:v>
      </x:c>
      <x:c r="K46" s="32" t="str">
        <x:v>Retain original acceptance intent, gates, constraints and evidence lineage unless explicitly superseded.</x:v>
      </x:c>
    </x:row>
    <x:row r="47">
      <x:c r="A47" s="32" t="str">
        <x:v>SRC-0043</x:v>
      </x:c>
      <x:c r="B47" s="32" t="str">
        <x:v>Marketing</x:v>
      </x:c>
      <x:c r="C47" s="32" t="str">
        <x:v>v0.3</x:v>
      </x:c>
      <x:c r="D47" s="32" t="str">
        <x:v>cc_project_old/Documentation/00_Official_Baseline/v0.3/99_Source_Markdown/Cartridge_And_Cloud_Marketing_Plan_v0.3.md</x:v>
      </x:c>
      <x:c r="E47" s="32" t="str">
        <x:v>md</x:v>
      </x:c>
      <x:c r="F47" s="88" t="n">
        <x:v>8241</x:v>
      </x:c>
      <x:c r="G47" s="32" t="str">
        <x:v>2026-06-22 02:14</x:v>
      </x:c>
      <x:c r="H47" s="32" t="str">
        <x:v>1900805edf3fd6d0acd18cc95125905eae608adbf46cde0098cb49e82fb25fca</x:v>
      </x:c>
      <x:c r="I47" s="32" t="str">
        <x:v>Historical baseline source</x:v>
      </x:c>
      <x:c r="J47" s="32" t="str">
        <x:v>Consolidated documents 00–34; retained for genealogy and decisions not explicitly revoked</x:v>
      </x:c>
      <x:c r="K47" s="32" t="str">
        <x:v>Retain original acceptance intent, gates, constraints and evidence lineage unless explicitly superseded.</x:v>
      </x:c>
    </x:row>
    <x:row r="48">
      <x:c r="A48" s="32" t="str">
        <x:v>SRC-0044</x:v>
      </x:c>
      <x:c r="B48" s="32" t="str">
        <x:v>Data/Persistence</x:v>
      </x:c>
      <x:c r="C48" s="32" t="str">
        <x:v>v0.3</x:v>
      </x:c>
      <x:c r="D48" s="32" t="str">
        <x:v>cc_project_old/Documentation/00_Official_Baseline/v0.3/99_Source_Markdown/Cartridge_And_Cloud_Modelo_de_Datos_v0.3.md</x:v>
      </x:c>
      <x:c r="E48" s="32" t="str">
        <x:v>md</x:v>
      </x:c>
      <x:c r="F48" s="88" t="n">
        <x:v>71576</x:v>
      </x:c>
      <x:c r="G48" s="32" t="str">
        <x:v>2026-06-22 02:14</x:v>
      </x:c>
      <x:c r="H48" s="32" t="str">
        <x:v>6d3fd4346cf55ecdf33d5aae3e1c1f267936e594d8902d3c51f3edb76003a46b</x:v>
      </x:c>
      <x:c r="I48" s="32" t="str">
        <x:v>Historical baseline source</x:v>
      </x:c>
      <x:c r="J48" s="32" t="str">
        <x:v>Consolidated documents 00–34; retained for genealogy and decisions not explicitly revoked</x:v>
      </x:c>
      <x:c r="K48" s="32" t="str">
        <x:v>Retain original acceptance intent, gates, constraints and evidence lineage unless explicitly superseded.</x:v>
      </x:c>
    </x:row>
    <x:row r="49">
      <x:c r="A49" s="32" t="str">
        <x:v>SRC-0045</x:v>
      </x:c>
      <x:c r="B49" s="32" t="str">
        <x:v>Manifest/Baseline</x:v>
      </x:c>
      <x:c r="C49" s="32" t="str">
        <x:v>v0.3</x:v>
      </x:c>
      <x:c r="D49" s="32" t="str">
        <x:v>cc_project_old/Documentation/00_Official_Baseline/v0.3/99_Source_Markdown/Cartridge_And_Cloud_Package_Manifest_v0.1.md</x:v>
      </x:c>
      <x:c r="E49" s="32" t="str">
        <x:v>md</x:v>
      </x:c>
      <x:c r="F49" s="88" t="n">
        <x:v>6551</x:v>
      </x:c>
      <x:c r="G49" s="32" t="str">
        <x:v>2026-06-22 02:14</x:v>
      </x:c>
      <x:c r="H49" s="32" t="str">
        <x:v>58b7f326720277d2b490784a8091cff34f3182ac4fff57796e70d7817d9a4bc1</x:v>
      </x:c>
      <x:c r="I49" s="32" t="str">
        <x:v>Historical baseline source</x:v>
      </x:c>
      <x:c r="J49" s="32" t="str">
        <x:v>Consolidated documents 00–34; retained for genealogy and decisions not explicitly revoked</x:v>
      </x:c>
      <x:c r="K49" s="32" t="str">
        <x:v>Retain original acceptance intent, gates, constraints and evidence lineage unless explicitly superseded.</x:v>
      </x:c>
    </x:row>
    <x:row r="50">
      <x:c r="A50" s="32" t="str">
        <x:v>SRC-0046</x:v>
      </x:c>
      <x:c r="B50" s="32" t="str">
        <x:v>Cartridge_And_Cloud_Production_Roadmap_Sprint_Plan_v0.3</x:v>
      </x:c>
      <x:c r="C50" s="32" t="str">
        <x:v>v0.3</x:v>
      </x:c>
      <x:c r="D50" s="32" t="str">
        <x:v>cc_project_old/Documentation/00_Official_Baseline/v0.3/99_Source_Markdown/Cartridge_And_Cloud_Production_Roadmap_Sprint_Plan_v0.3.md</x:v>
      </x:c>
      <x:c r="E50" s="32" t="str">
        <x:v>md</x:v>
      </x:c>
      <x:c r="F50" s="88" t="n">
        <x:v>5738</x:v>
      </x:c>
      <x:c r="G50" s="32" t="str">
        <x:v>2026-06-22 02:14</x:v>
      </x:c>
      <x:c r="H50" s="32" t="str">
        <x:v>93b345037c1356c7e176a7377bd66a168aa356366aa3c4e16062b09fcb46ee60</x:v>
      </x:c>
      <x:c r="I50" s="32" t="str">
        <x:v>Historical baseline source</x:v>
      </x:c>
      <x:c r="J50" s="32" t="str">
        <x:v>Consolidated documents 00–34; retained for genealogy and decisions not explicitly revoked</x:v>
      </x:c>
      <x:c r="K50" s="32" t="str">
        <x:v>Retain original acceptance intent, gates, constraints and evidence lineage unless explicitly superseded.</x:v>
      </x:c>
    </x:row>
    <x:row r="51">
      <x:c r="A51" s="32" t="str">
        <x:v>SRC-0047</x:v>
      </x:c>
      <x:c r="B51" s="32" t="str">
        <x:v>QA</x:v>
      </x:c>
      <x:c r="C51" s="32" t="str">
        <x:v>v0.3</x:v>
      </x:c>
      <x:c r="D51" s="32" t="str">
        <x:v>cc_project_old/Documentation/00_Official_Baseline/v0.3/99_Source_Markdown/Cartridge_And_Cloud_QA_Testing_Plan_v0.3.md</x:v>
      </x:c>
      <x:c r="E51" s="32" t="str">
        <x:v>md</x:v>
      </x:c>
      <x:c r="F51" s="88" t="n">
        <x:v>9293</x:v>
      </x:c>
      <x:c r="G51" s="32" t="str">
        <x:v>2026-06-22 02:14</x:v>
      </x:c>
      <x:c r="H51" s="32" t="str">
        <x:v>517a90d50868dd91010be4eaaca335326b63e8d370613c82a5b5664753ab3891</x:v>
      </x:c>
      <x:c r="I51" s="32" t="str">
        <x:v>Historical baseline source</x:v>
      </x:c>
      <x:c r="J51" s="32" t="str">
        <x:v>Consolidated documents 00–34; retained for genealogy and decisions not explicitly revoked</x:v>
      </x:c>
      <x:c r="K51" s="32" t="str">
        <x:v>Retain original acceptance intent, gates, constraints and evidence lineage unless explicitly superseded.</x:v>
      </x:c>
    </x:row>
    <x:row r="52">
      <x:c r="A52" s="32" t="str">
        <x:v>SRC-0048</x:v>
      </x:c>
      <x:c r="B52" s="32" t="str">
        <x:v>Steam Publishing</x:v>
      </x:c>
      <x:c r="C52" s="32" t="str">
        <x:v>v0.3</x:v>
      </x:c>
      <x:c r="D52" s="32" t="str">
        <x:v>cc_project_old/Documentation/00_Official_Baseline/v0.3/99_Source_Markdown/Cartridge_And_Cloud_Steam_Publishing_Plan_v0.3.md</x:v>
      </x:c>
      <x:c r="E52" s="32" t="str">
        <x:v>md</x:v>
      </x:c>
      <x:c r="F52" s="88" t="n">
        <x:v>3923</x:v>
      </x:c>
      <x:c r="G52" s="32" t="str">
        <x:v>2026-06-22 02:14</x:v>
      </x:c>
      <x:c r="H52" s="32" t="str">
        <x:v>1a004be75991bdcbbaf457a57da123e3297fce15a38c591e3f589e11e277dbd5</x:v>
      </x:c>
      <x:c r="I52" s="32" t="str">
        <x:v>Historical baseline source</x:v>
      </x:c>
      <x:c r="J52" s="32" t="str">
        <x:v>Consolidated documents 00–34; retained for genealogy and decisions not explicitly revoked</x:v>
      </x:c>
      <x:c r="K52" s="32" t="str">
        <x:v>Retain original acceptance intent, gates, constraints and evidence lineage unless explicitly superseded.</x:v>
      </x:c>
    </x:row>
    <x:row r="53">
      <x:c r="A53" s="32" t="str">
        <x:v>SRC-0049</x:v>
      </x:c>
      <x:c r="B53" s="32" t="str">
        <x:v>Technical</x:v>
      </x:c>
      <x:c r="C53" s="32" t="str">
        <x:v>v0.3</x:v>
      </x:c>
      <x:c r="D53" s="32" t="str">
        <x:v>cc_project_old/Documentation/00_Official_Baseline/v0.3/99_Source_Markdown/Cartridge_And_Cloud_TDD_v0.3_Technical_Design_Document.md</x:v>
      </x:c>
      <x:c r="E53" s="32" t="str">
        <x:v>md</x:v>
      </x:c>
      <x:c r="F53" s="88" t="n">
        <x:v>17342</x:v>
      </x:c>
      <x:c r="G53" s="32" t="str">
        <x:v>2026-06-22 02:14</x:v>
      </x:c>
      <x:c r="H53" s="32" t="str">
        <x:v>86160690276d137118b119d6376eee8d1834097dbfe92fb6da7d18356d737eb2</x:v>
      </x:c>
      <x:c r="I53" s="32" t="str">
        <x:v>Historical baseline source</x:v>
      </x:c>
      <x:c r="J53" s="32" t="str">
        <x:v>Consolidated documents 00–34; retained for genealogy and decisions not explicitly revoked</x:v>
      </x:c>
      <x:c r="K53" s="32" t="str">
        <x:v>Retain original acceptance intent, gates, constraints and evidence lineage unless explicitly superseded.</x:v>
      </x:c>
    </x:row>
    <x:row r="54">
      <x:c r="A54" s="32" t="str">
        <x:v>SRC-0050</x:v>
      </x:c>
      <x:c r="B54" s="32" t="str">
        <x:v>UI</x:v>
      </x:c>
      <x:c r="C54" s="32" t="str">
        <x:v>v0.3</x:v>
      </x:c>
      <x:c r="D54" s="32" t="str">
        <x:v>cc_project_old/Documentation/00_Official_Baseline/v0.3/99_Source_Markdown/Cartridge_And_Cloud_UI_Style_Guide_v0.3.md</x:v>
      </x:c>
      <x:c r="E54" s="32" t="str">
        <x:v>md</x:v>
      </x:c>
      <x:c r="F54" s="88" t="n">
        <x:v>47855</x:v>
      </x:c>
      <x:c r="G54" s="32" t="str">
        <x:v>2026-06-22 02:14</x:v>
      </x:c>
      <x:c r="H54" s="32" t="str">
        <x:v>d446fa1988af7343cacee8c3817afd3e3fd10f933fe1524d7e0b65f718842065</x:v>
      </x:c>
      <x:c r="I54" s="32" t="str">
        <x:v>Historical baseline source</x:v>
      </x:c>
      <x:c r="J54" s="32" t="str">
        <x:v>Consolidated documents 00–34; retained for genealogy and decisions not explicitly revoked</x:v>
      </x:c>
      <x:c r="K54" s="32" t="str">
        <x:v>Retain original acceptance intent, gates, constraints and evidence lineage unless explicitly superseded.</x:v>
      </x:c>
    </x:row>
    <x:row r="55">
      <x:c r="A55" s="32" t="str">
        <x:v>SRC-0051</x:v>
      </x:c>
      <x:c r="B55" s="32" t="str">
        <x:v>UX</x:v>
      </x:c>
      <x:c r="C55" s="32" t="str">
        <x:v>v0.3</x:v>
      </x:c>
      <x:c r="D55" s="32" t="str">
        <x:v>cc_project_old/Documentation/00_Official_Baseline/v0.3/99_Source_Markdown/Cartridge_And_Cloud_UX_Flow_v0.3.md</x:v>
      </x:c>
      <x:c r="E55" s="32" t="str">
        <x:v>md</x:v>
      </x:c>
      <x:c r="F55" s="88" t="n">
        <x:v>87463</x:v>
      </x:c>
      <x:c r="G55" s="32" t="str">
        <x:v>2026-06-22 02:14</x:v>
      </x:c>
      <x:c r="H55" s="32" t="str">
        <x:v>abb29bbf9b9e9dfbef5161feb03ec07c7bc405cfe4b217e8843534279eb3b50c</x:v>
      </x:c>
      <x:c r="I55" s="32" t="str">
        <x:v>Historical baseline source</x:v>
      </x:c>
      <x:c r="J55" s="32" t="str">
        <x:v>Consolidated documents 00–34; retained for genealogy and decisions not explicitly revoked</x:v>
      </x:c>
      <x:c r="K55" s="32" t="str">
        <x:v>Retain original acceptance intent, gates, constraints and evidence lineage unless explicitly superseded.</x:v>
      </x:c>
    </x:row>
    <x:row r="56">
      <x:c r="A56" s="32" t="str">
        <x:v>SRC-0052</x:v>
      </x:c>
      <x:c r="B56" s="32" t="str">
        <x:v>Cartridge_And_Cloud_Unity_Project_Setup_Guide_v0.3</x:v>
      </x:c>
      <x:c r="C56" s="32" t="str">
        <x:v>v0.3</x:v>
      </x:c>
      <x:c r="D56" s="32" t="str">
        <x:v>cc_project_old/Documentation/00_Official_Baseline/v0.3/99_Source_Markdown/Cartridge_And_Cloud_Unity_Project_Setup_Guide_v0.3.md</x:v>
      </x:c>
      <x:c r="E56" s="32" t="str">
        <x:v>md</x:v>
      </x:c>
      <x:c r="F56" s="88" t="n">
        <x:v>4564</x:v>
      </x:c>
      <x:c r="G56" s="32" t="str">
        <x:v>2026-06-22 02:14</x:v>
      </x:c>
      <x:c r="H56" s="32" t="str">
        <x:v>0a6f42c71d9d22cee8aa12796842fd5391c3570f675f7361f1932418b74e1e55</x:v>
      </x:c>
      <x:c r="I56" s="32" t="str">
        <x:v>Historical baseline source</x:v>
      </x:c>
      <x:c r="J56" s="32" t="str">
        <x:v>Consolidated documents 00–34; retained for genealogy and decisions not explicitly revoked</x:v>
      </x:c>
      <x:c r="K56" s="32" t="str">
        <x:v>Retain original acceptance intent, gates, constraints and evidence lineage unless explicitly superseded.</x:v>
      </x:c>
    </x:row>
    <x:row r="57">
      <x:c r="A57" s="32" t="str">
        <x:v>SRC-0053</x:v>
      </x:c>
      <x:c r="B57" s="32" t="str">
        <x:v>Vertical Slice</x:v>
      </x:c>
      <x:c r="C57" s="32" t="str">
        <x:v>v0.3</x:v>
      </x:c>
      <x:c r="D57" s="32" t="str">
        <x:v>cc_project_old/Documentation/00_Official_Baseline/v0.3/99_Source_Markdown/Cartridge_And_Cloud_Vertical_Slice_Specification_v0.1.md</x:v>
      </x:c>
      <x:c r="E57" s="32" t="str">
        <x:v>md</x:v>
      </x:c>
      <x:c r="F57" s="88" t="n">
        <x:v>8682</x:v>
      </x:c>
      <x:c r="G57" s="32" t="str">
        <x:v>2026-06-22 02:14</x:v>
      </x:c>
      <x:c r="H57" s="32" t="str">
        <x:v>69792ba4790022b23d631d437e043d777844f775b94d6552bc33bc682b876bb0</x:v>
      </x:c>
      <x:c r="I57" s="32" t="str">
        <x:v>Historical baseline source</x:v>
      </x:c>
      <x:c r="J57" s="32" t="str">
        <x:v>Consolidated documents 00–34; retained for genealogy and decisions not explicitly revoked</x:v>
      </x:c>
      <x:c r="K57" s="32" t="str">
        <x:v>Retain original acceptance intent, gates, constraints and evidence lineage unless explicitly superseded.</x:v>
      </x:c>
    </x:row>
    <x:row r="58">
      <x:c r="A58" s="32" t="str">
        <x:v>SRC-0054</x:v>
      </x:c>
      <x:c r="B58" s="32" t="str">
        <x:v>Validation/Audit</x:v>
      </x:c>
      <x:c r="C58" s="32" t="str">
        <x:v>v0.3</x:v>
      </x:c>
      <x:c r="D58" s="32" t="str">
        <x:v>cc_project_old/Documentation/00_Official_Baseline/v0.3/DOCUMENTATION_VALIDATION_REPORT.md</x:v>
      </x:c>
      <x:c r="E58" s="32" t="str">
        <x:v>md</x:v>
      </x:c>
      <x:c r="F58" s="88" t="n">
        <x:v>6971</x:v>
      </x:c>
      <x:c r="G58" s="32" t="str">
        <x:v>2026-06-22 02:14</x:v>
      </x:c>
      <x:c r="H58" s="32" t="str">
        <x:v>076932dd1f220819ff5db542d6da8b719950ae9e3b2302b989445a810568dca5</x:v>
      </x:c>
      <x:c r="I58" s="32" t="str">
        <x:v>Historical baseline source</x:v>
      </x:c>
      <x:c r="J58" s="32" t="str">
        <x:v>Consolidated documents 00–34; retained for genealogy and decisions not explicitly revoked</x:v>
      </x:c>
      <x:c r="K58" s="32" t="str">
        <x:v>Retain original acceptance intent, gates, constraints and evidence lineage unless explicitly superseded.</x:v>
      </x:c>
    </x:row>
    <x:row r="59">
      <x:c r="A59" s="32" t="str">
        <x:v>SRC-0055</x:v>
      </x:c>
      <x:c r="B59" s="32" t="str">
        <x:v>Manifest/Baseline</x:v>
      </x:c>
      <x:c r="C59" s="32" t="str">
        <x:v>v0.3</x:v>
      </x:c>
      <x:c r="D59" s="32" t="str">
        <x:v>cc_project_old/Documentation/00_Official_Baseline/v0.3/PACKAGE_MANIFEST.md</x:v>
      </x:c>
      <x:c r="E59" s="32" t="str">
        <x:v>md</x:v>
      </x:c>
      <x:c r="F59" s="88" t="n">
        <x:v>6098</x:v>
      </x:c>
      <x:c r="G59" s="32" t="str">
        <x:v>2026-06-22 02:14</x:v>
      </x:c>
      <x:c r="H59" s="32" t="str">
        <x:v>7fb1bdbd0b11a372ccf4ad87efea6f88326188a21a8f4760680b0e49cd928783</x:v>
      </x:c>
      <x:c r="I59" s="32" t="str">
        <x:v>Historical baseline source</x:v>
      </x:c>
      <x:c r="J59" s="32" t="str">
        <x:v>Consolidated documents 00–34; retained for genealogy and decisions not explicitly revoked</x:v>
      </x:c>
      <x:c r="K59" s="32" t="str">
        <x:v>Retain original acceptance intent, gates, constraints and evidence lineage unless explicitly superseded.</x:v>
      </x:c>
    </x:row>
    <x:row r="60">
      <x:c r="A60" s="32" t="str">
        <x:v>SRC-0056</x:v>
      </x:c>
      <x:c r="B60" s="32" t="str">
        <x:v>Scope/Governance</x:v>
      </x:c>
      <x:c r="C60" s="32" t="str">
        <x:v>v0.4</x:v>
      </x:c>
      <x:c r="D60" s="32" t="str">
        <x:v>cc_project_old/Documentation/00_Official_Baseline/v0.4/00_Project_Governance/Enfoque_v0.6.md</x:v>
      </x:c>
      <x:c r="E60" s="32" t="str">
        <x:v>md</x:v>
      </x:c>
      <x:c r="F60" s="88" t="n">
        <x:v>122708</x:v>
      </x:c>
      <x:c r="G60" s="32" t="str">
        <x:v>2026-06-21 07:22</x:v>
      </x:c>
      <x:c r="H60" s="32" t="str">
        <x:v>6765207677c2adad0d124d20b9c27c82563eebc5eb3a0acb817dddbd148b3fbb</x:v>
      </x:c>
      <x:c r="I60" s="32" t="str">
        <x:v>Historical baseline source</x:v>
      </x:c>
      <x:c r="J60" s="32" t="str">
        <x:v>Consolidated documents 00–34; retained for genealogy and decisions not explicitly revoked</x:v>
      </x:c>
      <x:c r="K60" s="32" t="str">
        <x:v>Retain original acceptance intent, gates, constraints and evidence lineage unless explicitly superseded.</x:v>
      </x:c>
    </x:row>
    <x:row r="61">
      <x:c r="A61" s="32" t="str">
        <x:v>SRC-0057</x:v>
      </x:c>
      <x:c r="B61" s="32" t="str">
        <x:v>QA</x:v>
      </x:c>
      <x:c r="C61" s="32" t="str">
        <x:v>v0.4</x:v>
      </x:c>
      <x:c r="D61" s="32" t="str">
        <x:v>cc_project_old/Documentation/00_Official_Baseline/v0.4/04_QA_Production/Cartridge_And_Cloud_QA_Testing_Matrix_v0.4.xlsx</x:v>
      </x:c>
      <x:c r="E61" s="32" t="str">
        <x:v>xlsx</x:v>
      </x:c>
      <x:c r="F61" s="88" t="n">
        <x:v>26049</x:v>
      </x:c>
      <x:c r="G61" s="32" t="str">
        <x:v>2026-06-22 13:30</x:v>
      </x:c>
      <x:c r="H61" s="32" t="str">
        <x:v>80d79fa25df8c4dfaf0e91ff3f0e519ffcd283d802cf9e418e06fa88fa01d4d4</x:v>
      </x:c>
      <x:c r="I61" s="32" t="str">
        <x:v>Historical baseline source</x:v>
      </x:c>
      <x:c r="J61" s="32" t="str">
        <x:v>Consolidated documents 00–34; retained for genealogy and decisions not explicitly revoked</x:v>
      </x:c>
      <x:c r="K61" s="32" t="str">
        <x:v>Retain original acceptance intent, gates, constraints and evidence lineage unless explicitly superseded.</x:v>
      </x:c>
    </x:row>
    <x:row r="62">
      <x:c r="A62" s="32" t="str">
        <x:v>SRC-0058</x:v>
      </x:c>
      <x:c r="B62" s="32" t="str">
        <x:v>Validation/Audit</x:v>
      </x:c>
      <x:c r="C62" s="32" t="str">
        <x:v>v0.4</x:v>
      </x:c>
      <x:c r="D62" s="32" t="str">
        <x:v>cc_project_old/Documentation/00_Official_Baseline/v0.4/06_Development_Records/Sprint_00/S0.10_Validation_Checklist.md</x:v>
      </x:c>
      <x:c r="E62" s="32" t="str">
        <x:v>md</x:v>
      </x:c>
      <x:c r="F62" s="88" t="n">
        <x:v>1121</x:v>
      </x:c>
      <x:c r="G62" s="32" t="str">
        <x:v>2026-06-22 13:25</x:v>
      </x:c>
      <x:c r="H62" s="32" t="str">
        <x:v>292c90a2509bf4000f78d77cba56b38740a72e8bc5c3b99c53a4de14e6fb1279</x:v>
      </x:c>
      <x:c r="I62" s="32" t="str">
        <x:v>Historical baseline source</x:v>
      </x:c>
      <x:c r="J62" s="32" t="str">
        <x:v>Consolidated documents 00–34; retained for genealogy and decisions not explicitly revoked</x:v>
      </x:c>
      <x:c r="K62" s="32" t="str">
        <x:v>Retain original acceptance intent, gates, constraints and evidence lineage unless explicitly superseded.</x:v>
      </x:c>
    </x:row>
    <x:row r="63">
      <x:c r="A63" s="32" t="str">
        <x:v>SRC-0059</x:v>
      </x:c>
      <x:c r="B63" s="32" t="str">
        <x:v>Art</x:v>
      </x:c>
      <x:c r="C63" s="32" t="str">
        <x:v>v0.4</x:v>
      </x:c>
      <x:c r="D63" s="32" t="str">
        <x:v>cc_project_old/Documentation/00_Official_Baseline/v0.4/99_Source_Markdown/Cartridge_And_Cloud_Art_Bible_v0.3.md</x:v>
      </x:c>
      <x:c r="E63" s="32" t="str">
        <x:v>md</x:v>
      </x:c>
      <x:c r="F63" s="88" t="n">
        <x:v>13699</x:v>
      </x:c>
      <x:c r="G63" s="32" t="str">
        <x:v>2026-06-22 13:31</x:v>
      </x:c>
      <x:c r="H63" s="32" t="str">
        <x:v>9d12adda06afbf7db50291337b88095e23005722431fdb4959ffb33afc1ad0c7</x:v>
      </x:c>
      <x:c r="I63" s="32" t="str">
        <x:v>Historical baseline source</x:v>
      </x:c>
      <x:c r="J63" s="32" t="str">
        <x:v>Consolidated documents 00–34; retained for genealogy and decisions not explicitly revoked</x:v>
      </x:c>
      <x:c r="K63" s="32" t="str">
        <x:v>Retain original acceptance intent, gates, constraints and evidence lineage unless explicitly superseded.</x:v>
      </x:c>
    </x:row>
    <x:row r="64">
      <x:c r="A64" s="32" t="str">
        <x:v>SRC-0060</x:v>
      </x:c>
      <x:c r="B64" s="32" t="str">
        <x:v>Audio</x:v>
      </x:c>
      <x:c r="C64" s="32" t="str">
        <x:v>v0.4</x:v>
      </x:c>
      <x:c r="D64" s="32" t="str">
        <x:v>cc_project_old/Documentation/00_Official_Baseline/v0.4/99_Source_Markdown/Cartridge_And_Cloud_Audio_Bible_v0.3.md</x:v>
      </x:c>
      <x:c r="E64" s="32" t="str">
        <x:v>md</x:v>
      </x:c>
      <x:c r="F64" s="88" t="n">
        <x:v>4032</x:v>
      </x:c>
      <x:c r="G64" s="32" t="str">
        <x:v>2026-06-22 13:31</x:v>
      </x:c>
      <x:c r="H64" s="32" t="str">
        <x:v>9de246aa116d50e54ce46f23ea6e683d337ce3d58f06023af66c068fa6803f4a</x:v>
      </x:c>
      <x:c r="I64" s="32" t="str">
        <x:v>Historical baseline source</x:v>
      </x:c>
      <x:c r="J64" s="32" t="str">
        <x:v>Consolidated documents 00–34; retained for genealogy and decisions not explicitly revoked</x:v>
      </x:c>
      <x:c r="K64" s="32" t="str">
        <x:v>Retain original acceptance intent, gates, constraints and evidence lineage unless explicitly superseded.</x:v>
      </x:c>
    </x:row>
    <x:row r="65">
      <x:c r="A65" s="32" t="str">
        <x:v>SRC-0061</x:v>
      </x:c>
      <x:c r="B65" s="32" t="str">
        <x:v>Build/Versioning</x:v>
      </x:c>
      <x:c r="C65" s="32" t="str">
        <x:v>v0.4</x:v>
      </x:c>
      <x:c r="D65" s="32" t="str">
        <x:v>cc_project_old/Documentation/00_Official_Baseline/v0.4/99_Source_Markdown/Cartridge_And_Cloud_Build_Versioning_Guide_v0.4.md</x:v>
      </x:c>
      <x:c r="E65" s="32" t="str">
        <x:v>md</x:v>
      </x:c>
      <x:c r="F65" s="88" t="n">
        <x:v>4723</x:v>
      </x:c>
      <x:c r="G65" s="32" t="str">
        <x:v>2026-06-22 13:25</x:v>
      </x:c>
      <x:c r="H65" s="32" t="str">
        <x:v>6ac0c7072b5ac4b1844d82daffe1ec5f241dba369145e5c62152e290b8309acd</x:v>
      </x:c>
      <x:c r="I65" s="32" t="str">
        <x:v>Historical baseline source</x:v>
      </x:c>
      <x:c r="J65" s="32" t="str">
        <x:v>Consolidated documents 00–34; retained for genealogy and decisions not explicitly revoked</x:v>
      </x:c>
      <x:c r="K65" s="32" t="str">
        <x:v>Retain original acceptance intent, gates, constraints and evidence lineage unless explicitly superseded.</x:v>
      </x:c>
    </x:row>
    <x:row r="66">
      <x:c r="A66" s="32" t="str">
        <x:v>SRC-0062</x:v>
      </x:c>
      <x:c r="B66" s="32" t="str">
        <x:v>Validation/Audit</x:v>
      </x:c>
      <x:c r="C66" s="32" t="str">
        <x:v>v0.4</x:v>
      </x:c>
      <x:c r="D66" s="32" t="str">
        <x:v>cc_project_old/Documentation/00_Official_Baseline/v0.4/99_Source_Markdown/Cartridge_And_Cloud_Documentation_Validation_Report_v0.2.md</x:v>
      </x:c>
      <x:c r="E66" s="32" t="str">
        <x:v>md</x:v>
      </x:c>
      <x:c r="F66" s="88" t="n">
        <x:v>2115</x:v>
      </x:c>
      <x:c r="G66" s="32" t="str">
        <x:v>2026-06-22 13:33</x:v>
      </x:c>
      <x:c r="H66" s="32" t="str">
        <x:v>cc60a6477abb733f9abfc2fab159b0a22d30dc134abe5e20ef6bdd4546b9c732</x:v>
      </x:c>
      <x:c r="I66" s="32" t="str">
        <x:v>Historical baseline source</x:v>
      </x:c>
      <x:c r="J66" s="32" t="str">
        <x:v>Consolidated documents 00–34; retained for genealogy and decisions not explicitly revoked</x:v>
      </x:c>
      <x:c r="K66" s="32" t="str">
        <x:v>Retain original acceptance intent, gates, constraints and evidence lineage unless explicitly superseded.</x:v>
      </x:c>
    </x:row>
    <x:row r="67">
      <x:c r="A67" s="32" t="str">
        <x:v>SRC-0063</x:v>
      </x:c>
      <x:c r="B67" s="32" t="str">
        <x:v>Scope/Governance</x:v>
      </x:c>
      <x:c r="C67" s="32" t="str">
        <x:v>v0.4</x:v>
      </x:c>
      <x:c r="D67" s="32" t="str">
        <x:v>cc_project_old/Documentation/00_Official_Baseline/v0.4/99_Source_Markdown/Cartridge_And_Cloud_Enfoque_v0.6_PDF_Source.md</x:v>
      </x:c>
      <x:c r="E67" s="32" t="str">
        <x:v>md</x:v>
      </x:c>
      <x:c r="F67" s="88" t="n">
        <x:v>124432</x:v>
      </x:c>
      <x:c r="G67" s="32" t="str">
        <x:v>2026-06-22 13:31</x:v>
      </x:c>
      <x:c r="H67" s="32" t="str">
        <x:v>8e6ba5102d28b0aa36d1306b531407587510850d2a7ca50691389d53ce938548</x:v>
      </x:c>
      <x:c r="I67" s="32" t="str">
        <x:v>Historical baseline source</x:v>
      </x:c>
      <x:c r="J67" s="32" t="str">
        <x:v>Consolidated documents 00–34; retained for genealogy and decisions not explicitly revoked</x:v>
      </x:c>
      <x:c r="K67" s="32" t="str">
        <x:v>Retain original acceptance intent, gates, constraints and evidence lineage unless explicitly superseded.</x:v>
      </x:c>
    </x:row>
    <x:row r="68">
      <x:c r="A68" s="32" t="str">
        <x:v>SRC-0064</x:v>
      </x:c>
      <x:c r="B68" s="32" t="str">
        <x:v>Steam Publishing</x:v>
      </x:c>
      <x:c r="C68" s="32" t="str">
        <x:v>v0.4</x:v>
      </x:c>
      <x:c r="D68" s="32" t="str">
        <x:v>cc_project_old/Documentation/00_Official_Baseline/v0.4/99_Source_Markdown/Cartridge_And_Cloud_GDD_v0.4_PCSteam.md</x:v>
      </x:c>
      <x:c r="E68" s="32" t="str">
        <x:v>md</x:v>
      </x:c>
      <x:c r="F68" s="88" t="n">
        <x:v>114639</x:v>
      </x:c>
      <x:c r="G68" s="32" t="str">
        <x:v>2026-06-22 13:31</x:v>
      </x:c>
      <x:c r="H68" s="32" t="str">
        <x:v>88be82c3d3cfa4cb5965379e621b0aba522efa1217041cdc23a129ec4817485a</x:v>
      </x:c>
      <x:c r="I68" s="32" t="str">
        <x:v>Historical baseline source</x:v>
      </x:c>
      <x:c r="J68" s="32" t="str">
        <x:v>Consolidated documents 00–34; retained for genealogy and decisions not explicitly revoked</x:v>
      </x:c>
      <x:c r="K68" s="32" t="str">
        <x:v>Retain original acceptance intent, gates, constraints and evidence lineage unless explicitly superseded.</x:v>
      </x:c>
    </x:row>
    <x:row r="69">
      <x:c r="A69" s="32" t="str">
        <x:v>SRC-0065</x:v>
      </x:c>
      <x:c r="B69" s="32" t="str">
        <x:v>Cartridge_And_Cloud_Initial_Content_Catalog_v0.1</x:v>
      </x:c>
      <x:c r="C69" s="32" t="str">
        <x:v>v0.4</x:v>
      </x:c>
      <x:c r="D69" s="32" t="str">
        <x:v>cc_project_old/Documentation/00_Official_Baseline/v0.4/99_Source_Markdown/Cartridge_And_Cloud_Initial_Content_Catalog_v0.1.md</x:v>
      </x:c>
      <x:c r="E69" s="32" t="str">
        <x:v>md</x:v>
      </x:c>
      <x:c r="F69" s="88" t="n">
        <x:v>23118</x:v>
      </x:c>
      <x:c r="G69" s="32" t="str">
        <x:v>2026-06-22 13:31</x:v>
      </x:c>
      <x:c r="H69" s="32" t="str">
        <x:v>2bb04a31e3a2661e17e00f23ac0becc61b2c198a36fce87cf9f7aa1c76f07103</x:v>
      </x:c>
      <x:c r="I69" s="32" t="str">
        <x:v>Historical baseline source</x:v>
      </x:c>
      <x:c r="J69" s="32" t="str">
        <x:v>Consolidated documents 00–34; retained for genealogy and decisions not explicitly revoked</x:v>
      </x:c>
      <x:c r="K69" s="32" t="str">
        <x:v>Retain original acceptance intent, gates, constraints and evidence lineage unless explicitly superseded.</x:v>
      </x:c>
    </x:row>
    <x:row r="70">
      <x:c r="A70" s="32" t="str">
        <x:v>SRC-0066</x:v>
      </x:c>
      <x:c r="B70" s="32" t="str">
        <x:v>Legal/Licenses</x:v>
      </x:c>
      <x:c r="C70" s="32" t="str">
        <x:v>v0.4</x:v>
      </x:c>
      <x:c r="D70" s="32" t="str">
        <x:v>cc_project_old/Documentation/00_Official_Baseline/v0.4/99_Source_Markdown/Cartridge_And_Cloud_Legal_Credits_Licenses_Register_v0.3.md</x:v>
      </x:c>
      <x:c r="E70" s="32" t="str">
        <x:v>md</x:v>
      </x:c>
      <x:c r="F70" s="88" t="n">
        <x:v>4077</x:v>
      </x:c>
      <x:c r="G70" s="32" t="str">
        <x:v>2026-06-22 13:31</x:v>
      </x:c>
      <x:c r="H70" s="32" t="str">
        <x:v>1a0e921f139b73179fe734eec452dcc3aa8c43860309390fe41ea1fb588fe81f</x:v>
      </x:c>
      <x:c r="I70" s="32" t="str">
        <x:v>Historical baseline source</x:v>
      </x:c>
      <x:c r="J70" s="32" t="str">
        <x:v>Consolidated documents 00–34; retained for genealogy and decisions not explicitly revoked</x:v>
      </x:c>
      <x:c r="K70" s="32" t="str">
        <x:v>Retain original acceptance intent, gates, constraints and evidence lineage unless explicitly superseded.</x:v>
      </x:c>
    </x:row>
    <x:row r="71">
      <x:c r="A71" s="32" t="str">
        <x:v>SRC-0067</x:v>
      </x:c>
      <x:c r="B71" s="32" t="str">
        <x:v>Localization</x:v>
      </x:c>
      <x:c r="C71" s="32" t="str">
        <x:v>v0.4</x:v>
      </x:c>
      <x:c r="D71" s="32" t="str">
        <x:v>cc_project_old/Documentation/00_Official_Baseline/v0.4/99_Source_Markdown/Cartridge_And_Cloud_Localization_Plan_v0.3.md</x:v>
      </x:c>
      <x:c r="E71" s="32" t="str">
        <x:v>md</x:v>
      </x:c>
      <x:c r="F71" s="88" t="n">
        <x:v>3911</x:v>
      </x:c>
      <x:c r="G71" s="32" t="str">
        <x:v>2026-06-22 13:31</x:v>
      </x:c>
      <x:c r="H71" s="32" t="str">
        <x:v>2158be2c46ec697e617419a9192bbaa8a0dd4435b5c650fca9295921b958cb3a</x:v>
      </x:c>
      <x:c r="I71" s="32" t="str">
        <x:v>Historical baseline source</x:v>
      </x:c>
      <x:c r="J71" s="32" t="str">
        <x:v>Consolidated documents 00–34; retained for genealogy and decisions not explicitly revoked</x:v>
      </x:c>
      <x:c r="K71" s="32" t="str">
        <x:v>Retain original acceptance intent, gates, constraints and evidence lineage unless explicitly superseded.</x:v>
      </x:c>
    </x:row>
    <x:row r="72">
      <x:c r="A72" s="32" t="str">
        <x:v>SRC-0068</x:v>
      </x:c>
      <x:c r="B72" s="32" t="str">
        <x:v>Marketing</x:v>
      </x:c>
      <x:c r="C72" s="32" t="str">
        <x:v>v0.4</x:v>
      </x:c>
      <x:c r="D72" s="32" t="str">
        <x:v>cc_project_old/Documentation/00_Official_Baseline/v0.4/99_Source_Markdown/Cartridge_And_Cloud_Marketing_Plan_v0.3.md</x:v>
      </x:c>
      <x:c r="E72" s="32" t="str">
        <x:v>md</x:v>
      </x:c>
      <x:c r="F72" s="88" t="n">
        <x:v>8346</x:v>
      </x:c>
      <x:c r="G72" s="32" t="str">
        <x:v>2026-06-22 13:31</x:v>
      </x:c>
      <x:c r="H72" s="32" t="str">
        <x:v>c38c0faa88c5d3625e8814d5ec02eebb39d321819624b8dd0539d13f364d26e7</x:v>
      </x:c>
      <x:c r="I72" s="32" t="str">
        <x:v>Historical baseline source</x:v>
      </x:c>
      <x:c r="J72" s="32" t="str">
        <x:v>Consolidated documents 00–34; retained for genealogy and decisions not explicitly revoked</x:v>
      </x:c>
      <x:c r="K72" s="32" t="str">
        <x:v>Retain original acceptance intent, gates, constraints and evidence lineage unless explicitly superseded.</x:v>
      </x:c>
    </x:row>
    <x:row r="73">
      <x:c r="A73" s="32" t="str">
        <x:v>SRC-0069</x:v>
      </x:c>
      <x:c r="B73" s="32" t="str">
        <x:v>Data/Persistence</x:v>
      </x:c>
      <x:c r="C73" s="32" t="str">
        <x:v>v0.4</x:v>
      </x:c>
      <x:c r="D73" s="32" t="str">
        <x:v>cc_project_old/Documentation/00_Official_Baseline/v0.4/99_Source_Markdown/Cartridge_And_Cloud_Modelo_de_Datos_v0.3.md</x:v>
      </x:c>
      <x:c r="E73" s="32" t="str">
        <x:v>md</x:v>
      </x:c>
      <x:c r="F73" s="88" t="n">
        <x:v>71681</x:v>
      </x:c>
      <x:c r="G73" s="32" t="str">
        <x:v>2026-06-22 13:31</x:v>
      </x:c>
      <x:c r="H73" s="32" t="str">
        <x:v>3c722995fa9423f0de31cf9a45cf527574c5f77eb13f2788db0b84585baf8a0b</x:v>
      </x:c>
      <x:c r="I73" s="32" t="str">
        <x:v>Historical baseline source</x:v>
      </x:c>
      <x:c r="J73" s="32" t="str">
        <x:v>Consolidated documents 00–34; retained for genealogy and decisions not explicitly revoked</x:v>
      </x:c>
      <x:c r="K73" s="32" t="str">
        <x:v>Retain original acceptance intent, gates, constraints and evidence lineage unless explicitly superseded.</x:v>
      </x:c>
    </x:row>
    <x:row r="74">
      <x:c r="A74" s="32" t="str">
        <x:v>SRC-0070</x:v>
      </x:c>
      <x:c r="B74" s="32" t="str">
        <x:v>Manifest/Baseline</x:v>
      </x:c>
      <x:c r="C74" s="32" t="str">
        <x:v>v0.4</x:v>
      </x:c>
      <x:c r="D74" s="32" t="str">
        <x:v>cc_project_old/Documentation/00_Official_Baseline/v0.4/99_Source_Markdown/Cartridge_And_Cloud_Package_Manifest_v0.2.md</x:v>
      </x:c>
      <x:c r="E74" s="32" t="str">
        <x:v>md</x:v>
      </x:c>
      <x:c r="F74" s="88" t="n">
        <x:v>2456</x:v>
      </x:c>
      <x:c r="G74" s="32" t="str">
        <x:v>2026-06-22 13:35</x:v>
      </x:c>
      <x:c r="H74" s="32" t="str">
        <x:v>ccf1ff8da3ecfb69e1ee93a902e1d13d706d5e7ada9ac4a185515c8f93cd2b7a</x:v>
      </x:c>
      <x:c r="I74" s="32" t="str">
        <x:v>Historical baseline source</x:v>
      </x:c>
      <x:c r="J74" s="32" t="str">
        <x:v>Consolidated documents 00–34; retained for genealogy and decisions not explicitly revoked</x:v>
      </x:c>
      <x:c r="K74" s="32" t="str">
        <x:v>Retain original acceptance intent, gates, constraints and evidence lineage unless explicitly superseded.</x:v>
      </x:c>
    </x:row>
    <x:row r="75">
      <x:c r="A75" s="32" t="str">
        <x:v>SRC-0071</x:v>
      </x:c>
      <x:c r="B75" s="32" t="str">
        <x:v>Cartridge_And_Cloud_Production_Roadmap_Sprint_Plan_v0.4</x:v>
      </x:c>
      <x:c r="C75" s="32" t="str">
        <x:v>v0.4</x:v>
      </x:c>
      <x:c r="D75" s="32" t="str">
        <x:v>cc_project_old/Documentation/00_Official_Baseline/v0.4/99_Source_Markdown/Cartridge_And_Cloud_Production_Roadmap_Sprint_Plan_v0.4.md</x:v>
      </x:c>
      <x:c r="E75" s="32" t="str">
        <x:v>md</x:v>
      </x:c>
      <x:c r="F75" s="88" t="n">
        <x:v>6571</x:v>
      </x:c>
      <x:c r="G75" s="32" t="str">
        <x:v>2026-06-22 13:25</x:v>
      </x:c>
      <x:c r="H75" s="32" t="str">
        <x:v>e9976daa630e8bc1460831eea0c3d280d24f38d3907ef3dd97baec6e35661404</x:v>
      </x:c>
      <x:c r="I75" s="32" t="str">
        <x:v>Historical baseline source</x:v>
      </x:c>
      <x:c r="J75" s="32" t="str">
        <x:v>Consolidated documents 00–34; retained for genealogy and decisions not explicitly revoked</x:v>
      </x:c>
      <x:c r="K75" s="32" t="str">
        <x:v>Retain original acceptance intent, gates, constraints and evidence lineage unless explicitly superseded.</x:v>
      </x:c>
    </x:row>
    <x:row r="76">
      <x:c r="A76" s="32" t="str">
        <x:v>SRC-0072</x:v>
      </x:c>
      <x:c r="B76" s="32" t="str">
        <x:v>QA</x:v>
      </x:c>
      <x:c r="C76" s="32" t="str">
        <x:v>v0.4</x:v>
      </x:c>
      <x:c r="D76" s="32" t="str">
        <x:v>cc_project_old/Documentation/00_Official_Baseline/v0.4/99_Source_Markdown/Cartridge_And_Cloud_QA_Testing_Plan_v0.4.md</x:v>
      </x:c>
      <x:c r="E76" s="32" t="str">
        <x:v>md</x:v>
      </x:c>
      <x:c r="F76" s="88" t="n">
        <x:v>10116</x:v>
      </x:c>
      <x:c r="G76" s="32" t="str">
        <x:v>2026-06-22 13:25</x:v>
      </x:c>
      <x:c r="H76" s="32" t="str">
        <x:v>623c83bd390d3fb1e7cb09e554f6a29f63db662c7ca3e296c65938c65969a724</x:v>
      </x:c>
      <x:c r="I76" s="32" t="str">
        <x:v>Historical baseline source</x:v>
      </x:c>
      <x:c r="J76" s="32" t="str">
        <x:v>Consolidated documents 00–34; retained for genealogy and decisions not explicitly revoked</x:v>
      </x:c>
      <x:c r="K76" s="32" t="str">
        <x:v>Retain original acceptance intent, gates, constraints and evidence lineage unless explicitly superseded.</x:v>
      </x:c>
    </x:row>
    <x:row r="77">
      <x:c r="A77" s="32" t="str">
        <x:v>SRC-0073</x:v>
      </x:c>
      <x:c r="B77" s="32" t="str">
        <x:v>Steam Publishing</x:v>
      </x:c>
      <x:c r="C77" s="32" t="str">
        <x:v>v0.4</x:v>
      </x:c>
      <x:c r="D77" s="32" t="str">
        <x:v>cc_project_old/Documentation/00_Official_Baseline/v0.4/99_Source_Markdown/Cartridge_And_Cloud_Steam_Publishing_Plan_v0.3.md</x:v>
      </x:c>
      <x:c r="E77" s="32" t="str">
        <x:v>md</x:v>
      </x:c>
      <x:c r="F77" s="88" t="n">
        <x:v>4028</x:v>
      </x:c>
      <x:c r="G77" s="32" t="str">
        <x:v>2026-06-22 13:31</x:v>
      </x:c>
      <x:c r="H77" s="32" t="str">
        <x:v>56979c2830951e4a82a7d01793cebe9a930df4a773245de2b7489d0e73cb0777</x:v>
      </x:c>
      <x:c r="I77" s="32" t="str">
        <x:v>Historical baseline source</x:v>
      </x:c>
      <x:c r="J77" s="32" t="str">
        <x:v>Consolidated documents 00–34; retained for genealogy and decisions not explicitly revoked</x:v>
      </x:c>
      <x:c r="K77" s="32" t="str">
        <x:v>Retain original acceptance intent, gates, constraints and evidence lineage unless explicitly superseded.</x:v>
      </x:c>
    </x:row>
    <x:row r="78">
      <x:c r="A78" s="32" t="str">
        <x:v>SRC-0074</x:v>
      </x:c>
      <x:c r="B78" s="32" t="str">
        <x:v>Technical</x:v>
      </x:c>
      <x:c r="C78" s="32" t="str">
        <x:v>v0.4</x:v>
      </x:c>
      <x:c r="D78" s="32" t="str">
        <x:v>cc_project_old/Documentation/00_Official_Baseline/v0.4/99_Source_Markdown/Cartridge_And_Cloud_TDD_v0.4_Technical_Design_Document.md</x:v>
      </x:c>
      <x:c r="E78" s="32" t="str">
        <x:v>md</x:v>
      </x:c>
      <x:c r="F78" s="88" t="n">
        <x:v>19073</x:v>
      </x:c>
      <x:c r="G78" s="32" t="str">
        <x:v>2026-06-22 13:25</x:v>
      </x:c>
      <x:c r="H78" s="32" t="str">
        <x:v>bd2237fa0323821c4d4717d89940f005bbce2c2232ac91a4dd72f54301fb879d</x:v>
      </x:c>
      <x:c r="I78" s="32" t="str">
        <x:v>Historical baseline source</x:v>
      </x:c>
      <x:c r="J78" s="32" t="str">
        <x:v>Consolidated documents 00–34; retained for genealogy and decisions not explicitly revoked</x:v>
      </x:c>
      <x:c r="K78" s="32" t="str">
        <x:v>Retain original acceptance intent, gates, constraints and evidence lineage unless explicitly superseded.</x:v>
      </x:c>
    </x:row>
    <x:row r="79">
      <x:c r="A79" s="32" t="str">
        <x:v>SRC-0075</x:v>
      </x:c>
      <x:c r="B79" s="32" t="str">
        <x:v>UI</x:v>
      </x:c>
      <x:c r="C79" s="32" t="str">
        <x:v>v0.4</x:v>
      </x:c>
      <x:c r="D79" s="32" t="str">
        <x:v>cc_project_old/Documentation/00_Official_Baseline/v0.4/99_Source_Markdown/Cartridge_And_Cloud_UI_Style_Guide_v0.3.md</x:v>
      </x:c>
      <x:c r="E79" s="32" t="str">
        <x:v>md</x:v>
      </x:c>
      <x:c r="F79" s="88" t="n">
        <x:v>47960</x:v>
      </x:c>
      <x:c r="G79" s="32" t="str">
        <x:v>2026-06-22 13:31</x:v>
      </x:c>
      <x:c r="H79" s="32" t="str">
        <x:v>8e0d241b40ecc46860cc6c51036f436d85ecfeca0cecfc721897b52396b7fca2</x:v>
      </x:c>
      <x:c r="I79" s="32" t="str">
        <x:v>Historical baseline source</x:v>
      </x:c>
      <x:c r="J79" s="32" t="str">
        <x:v>Consolidated documents 00–34; retained for genealogy and decisions not explicitly revoked</x:v>
      </x:c>
      <x:c r="K79" s="32" t="str">
        <x:v>Retain original acceptance intent, gates, constraints and evidence lineage unless explicitly superseded.</x:v>
      </x:c>
    </x:row>
    <x:row r="80">
      <x:c r="A80" s="32" t="str">
        <x:v>SRC-0076</x:v>
      </x:c>
      <x:c r="B80" s="32" t="str">
        <x:v>UX</x:v>
      </x:c>
      <x:c r="C80" s="32" t="str">
        <x:v>v0.4</x:v>
      </x:c>
      <x:c r="D80" s="32" t="str">
        <x:v>cc_project_old/Documentation/00_Official_Baseline/v0.4/99_Source_Markdown/Cartridge_And_Cloud_UX_Flow_v0.3.md</x:v>
      </x:c>
      <x:c r="E80" s="32" t="str">
        <x:v>md</x:v>
      </x:c>
      <x:c r="F80" s="88" t="n">
        <x:v>87568</x:v>
      </x:c>
      <x:c r="G80" s="32" t="str">
        <x:v>2026-06-22 13:31</x:v>
      </x:c>
      <x:c r="H80" s="32" t="str">
        <x:v>2f7e2355cb0e994394e536f8de514ba499aca16a2a81b8e6be1867a025842a9d</x:v>
      </x:c>
      <x:c r="I80" s="32" t="str">
        <x:v>Historical baseline source</x:v>
      </x:c>
      <x:c r="J80" s="32" t="str">
        <x:v>Consolidated documents 00–34; retained for genealogy and decisions not explicitly revoked</x:v>
      </x:c>
      <x:c r="K80" s="32" t="str">
        <x:v>Retain original acceptance intent, gates, constraints and evidence lineage unless explicitly superseded.</x:v>
      </x:c>
    </x:row>
    <x:row r="81">
      <x:c r="A81" s="32" t="str">
        <x:v>SRC-0077</x:v>
      </x:c>
      <x:c r="B81" s="32" t="str">
        <x:v>Cartridge_And_Cloud_Unity_Project_Setup_Guide_v0.4</x:v>
      </x:c>
      <x:c r="C81" s="32" t="str">
        <x:v>v0.4</x:v>
      </x:c>
      <x:c r="D81" s="32" t="str">
        <x:v>cc_project_old/Documentation/00_Official_Baseline/v0.4/99_Source_Markdown/Cartridge_And_Cloud_Unity_Project_Setup_Guide_v0.4.md</x:v>
      </x:c>
      <x:c r="E81" s="32" t="str">
        <x:v>md</x:v>
      </x:c>
      <x:c r="F81" s="88" t="n">
        <x:v>5564</x:v>
      </x:c>
      <x:c r="G81" s="32" t="str">
        <x:v>2026-06-22 13:25</x:v>
      </x:c>
      <x:c r="H81" s="32" t="str">
        <x:v>0feb637a512b120a1515127467a5a9af0e97758c5a2f93627b6a4f3165b63cf8</x:v>
      </x:c>
      <x:c r="I81" s="32" t="str">
        <x:v>Historical baseline source</x:v>
      </x:c>
      <x:c r="J81" s="32" t="str">
        <x:v>Consolidated documents 00–34; retained for genealogy and decisions not explicitly revoked</x:v>
      </x:c>
      <x:c r="K81" s="32" t="str">
        <x:v>Retain original acceptance intent, gates, constraints and evidence lineage unless explicitly superseded.</x:v>
      </x:c>
    </x:row>
    <x:row r="82">
      <x:c r="A82" s="32" t="str">
        <x:v>SRC-0078</x:v>
      </x:c>
      <x:c r="B82" s="32" t="str">
        <x:v>Vertical Slice</x:v>
      </x:c>
      <x:c r="C82" s="32" t="str">
        <x:v>v0.4</x:v>
      </x:c>
      <x:c r="D82" s="32" t="str">
        <x:v>cc_project_old/Documentation/00_Official_Baseline/v0.4/99_Source_Markdown/Cartridge_And_Cloud_Vertical_Slice_Specification_v0.2.md</x:v>
      </x:c>
      <x:c r="E82" s="32" t="str">
        <x:v>md</x:v>
      </x:c>
      <x:c r="F82" s="88" t="n">
        <x:v>9317</x:v>
      </x:c>
      <x:c r="G82" s="32" t="str">
        <x:v>2026-06-22 13:25</x:v>
      </x:c>
      <x:c r="H82" s="32" t="str">
        <x:v>884464e9599f0f1b66fdeff7a3c6422bf9d37b883817f480e0429ebdcd126b9d</x:v>
      </x:c>
      <x:c r="I82" s="32" t="str">
        <x:v>Historical baseline source</x:v>
      </x:c>
      <x:c r="J82" s="32" t="str">
        <x:v>Consolidated documents 00–34; retained for genealogy and decisions not explicitly revoked</x:v>
      </x:c>
      <x:c r="K82" s="32" t="str">
        <x:v>Retain original acceptance intent, gates, constraints and evidence lineage unless explicitly superseded.</x:v>
      </x:c>
    </x:row>
    <x:row r="83">
      <x:c r="A83" s="32" t="str">
        <x:v>SRC-0079</x:v>
      </x:c>
      <x:c r="B83" s="32" t="str">
        <x:v>Validation/Audit</x:v>
      </x:c>
      <x:c r="C83" s="32" t="str">
        <x:v>v0.4</x:v>
      </x:c>
      <x:c r="D83" s="32" t="str">
        <x:v>cc_project_old/Documentation/00_Official_Baseline/v0.4/DOCUMENTATION_VALIDATION_REPORT.md</x:v>
      </x:c>
      <x:c r="E83" s="32" t="str">
        <x:v>md</x:v>
      </x:c>
      <x:c r="F83" s="88" t="n">
        <x:v>2115</x:v>
      </x:c>
      <x:c r="G83" s="32" t="str">
        <x:v>2026-06-22 13:33</x:v>
      </x:c>
      <x:c r="H83" s="32" t="str">
        <x:v>cc60a6477abb733f9abfc2fab159b0a22d30dc134abe5e20ef6bdd4546b9c732</x:v>
      </x:c>
      <x:c r="I83" s="32" t="str">
        <x:v>Historical baseline source</x:v>
      </x:c>
      <x:c r="J83" s="32" t="str">
        <x:v>Consolidated documents 00–34; retained for genealogy and decisions not explicitly revoked</x:v>
      </x:c>
      <x:c r="K83" s="32" t="str">
        <x:v>Retain original acceptance intent, gates, constraints and evidence lineage unless explicitly superseded.</x:v>
      </x:c>
    </x:row>
    <x:row r="84">
      <x:c r="A84" s="32" t="str">
        <x:v>SRC-0080</x:v>
      </x:c>
      <x:c r="B84" s="32" t="str">
        <x:v>Manifest/Baseline</x:v>
      </x:c>
      <x:c r="C84" s="32" t="str">
        <x:v>v0.4</x:v>
      </x:c>
      <x:c r="D84" s="32" t="str">
        <x:v>cc_project_old/Documentation/00_Official_Baseline/v0.4/PACKAGE_MANIFEST.md</x:v>
      </x:c>
      <x:c r="E84" s="32" t="str">
        <x:v>md</x:v>
      </x:c>
      <x:c r="F84" s="88" t="n">
        <x:v>2456</x:v>
      </x:c>
      <x:c r="G84" s="32" t="str">
        <x:v>2026-06-22 13:35</x:v>
      </x:c>
      <x:c r="H84" s="32" t="str">
        <x:v>ccf1ff8da3ecfb69e1ee93a902e1d13d706d5e7ada9ac4a185515c8f93cd2b7a</x:v>
      </x:c>
      <x:c r="I84" s="32" t="str">
        <x:v>Historical baseline source</x:v>
      </x:c>
      <x:c r="J84" s="32" t="str">
        <x:v>Consolidated documents 00–34; retained for genealogy and decisions not explicitly revoked</x:v>
      </x:c>
      <x:c r="K84" s="32" t="str">
        <x:v>Retain original acceptance intent, gates, constraints and evidence lineage unless explicitly superseded.</x:v>
      </x:c>
    </x:row>
    <x:row r="85">
      <x:c r="A85" s="32" t="str">
        <x:v>SRC-0081</x:v>
      </x:c>
      <x:c r="B85" s="32" t="str">
        <x:v>Scope/Governance</x:v>
      </x:c>
      <x:c r="C85" s="32" t="str">
        <x:v>v0.5</x:v>
      </x:c>
      <x:c r="D85" s="32" t="str">
        <x:v>cc_project_old/Documentation/00_Official_Baseline/v0.5/00_Project_Governance/Enfoque_v0.7.md</x:v>
      </x:c>
      <x:c r="E85" s="32" t="str">
        <x:v>md</x:v>
      </x:c>
      <x:c r="F85" s="88" t="n">
        <x:v>4112</x:v>
      </x:c>
      <x:c r="G85" s="32" t="str">
        <x:v>2026-06-25 16:50</x:v>
      </x:c>
      <x:c r="H85" s="32" t="str">
        <x:v>dff2fd6d5ae6a688ae147c6eebc2e81b5667cf2433198204867ed51559cc11ea</x:v>
      </x:c>
      <x:c r="I85" s="32" t="str">
        <x:v>Historical baseline source</x:v>
      </x:c>
      <x:c r="J85" s="32" t="str">
        <x:v>Consolidated documents 00–34; retained for genealogy and decisions not explicitly revoked</x:v>
      </x:c>
      <x:c r="K85" s="32" t="str">
        <x:v>Retain original acceptance intent, gates, constraints and evidence lineage unless explicitly superseded.</x:v>
      </x:c>
    </x:row>
    <x:row r="86">
      <x:c r="A86" s="32" t="str">
        <x:v>SRC-0082</x:v>
      </x:c>
      <x:c r="B86" s="32" t="str">
        <x:v>QA</x:v>
      </x:c>
      <x:c r="C86" s="32" t="str">
        <x:v>v0.5</x:v>
      </x:c>
      <x:c r="D86" s="32" t="str">
        <x:v>cc_project_old/Documentation/00_Official_Baseline/v0.5/04_QA_Production/Cartridge_And_Cloud_QA_Testing_Matrix_v0.5.xlsx</x:v>
      </x:c>
      <x:c r="E86" s="32" t="str">
        <x:v>xlsx</x:v>
      </x:c>
      <x:c r="F86" s="88" t="n">
        <x:v>8327</x:v>
      </x:c>
      <x:c r="G86" s="32" t="str">
        <x:v>2026-06-25 16:58</x:v>
      </x:c>
      <x:c r="H86" s="32" t="str">
        <x:v>dbff9b69bb8edae19c2158fb4293aaf574a584a407cca672cf6f89dabae6690e</x:v>
      </x:c>
      <x:c r="I86" s="32" t="str">
        <x:v>Historical baseline source</x:v>
      </x:c>
      <x:c r="J86" s="32" t="str">
        <x:v>Consolidated documents 00–34; retained for genealogy and decisions not explicitly revoked</x:v>
      </x:c>
      <x:c r="K86" s="32" t="str">
        <x:v>Retain original acceptance intent, gates, constraints and evidence lineage unless explicitly superseded.</x:v>
      </x:c>
    </x:row>
    <x:row r="87">
      <x:c r="A87" s="32" t="str">
        <x:v>SRC-0083</x:v>
      </x:c>
      <x:c r="B87" s="32" t="str">
        <x:v>Handoff</x:v>
      </x:c>
      <x:c r="C87" s="32" t="str">
        <x:v>v0.5</x:v>
      </x:c>
      <x:c r="D87" s="32" t="str">
        <x:v>cc_project_old/Documentation/00_Official_Baseline/v0.5/06_Development_Records/Handoff/CURRENT_PROJECT_HANDOFF.md</x:v>
      </x:c>
      <x:c r="E87" s="32" t="str">
        <x:v>md</x:v>
      </x:c>
      <x:c r="F87" s="88" t="n">
        <x:v>2275</x:v>
      </x:c>
      <x:c r="G87" s="32" t="str">
        <x:v>2026-06-25 16:50</x:v>
      </x:c>
      <x:c r="H87" s="32" t="str">
        <x:v>9c251d0f3c14584f5da35a50ab3a5b62564e6f1f656d903fa2590eda74e2e396</x:v>
      </x:c>
      <x:c r="I87" s="32" t="str">
        <x:v>Historical baseline source</x:v>
      </x:c>
      <x:c r="J87" s="32" t="str">
        <x:v>Consolidated documents 00–34; retained for genealogy and decisions not explicitly revoked</x:v>
      </x:c>
      <x:c r="K87" s="32" t="str">
        <x:v>Retain original acceptance intent, gates, constraints and evidence lineage unless explicitly superseded.</x:v>
      </x:c>
    </x:row>
    <x:row r="88">
      <x:c r="A88" s="32" t="str">
        <x:v>SRC-0084</x:v>
      </x:c>
      <x:c r="B88" s="32" t="str">
        <x:v>Build/Versioning</x:v>
      </x:c>
      <x:c r="C88" s="32" t="str">
        <x:v>v0.5</x:v>
      </x:c>
      <x:c r="D88" s="32" t="str">
        <x:v>cc_project_old/Documentation/00_Official_Baseline/v0.5/06_Development_Records/Sprints/Sprint_01/Governance/ADR-0010_Phase_Level_Build_Evidence_and_Release_Policy.md</x:v>
      </x:c>
      <x:c r="E88" s="32" t="str">
        <x:v>md</x:v>
      </x:c>
      <x:c r="F88" s="88" t="n">
        <x:v>2861</x:v>
      </x:c>
      <x:c r="G88" s="32" t="str">
        <x:v>2026-06-22 23:48</x:v>
      </x:c>
      <x:c r="H88" s="32" t="str">
        <x:v>ad328a9eabc2302b0688591df010650b693d9423f0f485eb1000e24d50475184</x:v>
      </x:c>
      <x:c r="I88" s="32" t="str">
        <x:v>Historical baseline source</x:v>
      </x:c>
      <x:c r="J88" s="32" t="str">
        <x:v>Consolidated documents 00–34; retained for genealogy and decisions not explicitly revoked</x:v>
      </x:c>
      <x:c r="K88" s="32" t="str">
        <x:v>Retain original acceptance intent, gates, constraints and evidence lineage unless explicitly superseded.</x:v>
      </x:c>
    </x:row>
    <x:row r="89">
      <x:c r="A89" s="32" t="str">
        <x:v>SRC-0085</x:v>
      </x:c>
      <x:c r="B89" s="32" t="str">
        <x:v>Acceptance/QA</x:v>
      </x:c>
      <x:c r="C89" s="32" t="str">
        <x:v>v0.5</x:v>
      </x:c>
      <x:c r="D89" s="32" t="str">
        <x:v>cc_project_old/Documentation/00_Official_Baseline/v0.5/06_Development_Records/Sprints/Sprint_01/QA/S1_Acceptance_Matrix.md</x:v>
      </x:c>
      <x:c r="E89" s="32" t="str">
        <x:v>md</x:v>
      </x:c>
      <x:c r="F89" s="88" t="n">
        <x:v>1455</x:v>
      </x:c>
      <x:c r="G89" s="32" t="str">
        <x:v>2026-06-22 23:48</x:v>
      </x:c>
      <x:c r="H89" s="32" t="str">
        <x:v>a5a4e0a192fe33559c582efd9ee4d53170e26af9e07db63aae1e22b1f5c66f49</x:v>
      </x:c>
      <x:c r="I89" s="32" t="str">
        <x:v>Historical baseline source</x:v>
      </x:c>
      <x:c r="J89" s="32" t="str">
        <x:v>Consolidated documents 00–34; retained for genealogy and decisions not explicitly revoked</x:v>
      </x:c>
      <x:c r="K89" s="32" t="str">
        <x:v>Retain original acceptance intent, gates, constraints and evidence lineage unless explicitly superseded.</x:v>
      </x:c>
    </x:row>
    <x:row r="90">
      <x:c r="A90" s="32" t="str">
        <x:v>SRC-0086</x:v>
      </x:c>
      <x:c r="B90" s="32" t="str">
        <x:v>Validation/Audit</x:v>
      </x:c>
      <x:c r="C90" s="32" t="str">
        <x:v>v0.5</x:v>
      </x:c>
      <x:c r="D90" s="32" t="str">
        <x:v>cc_project_old/Documentation/00_Official_Baseline/v0.5/06_Development_Records/Sprints/Sprint_01/QA/S1_Validation_Checklist.md</x:v>
      </x:c>
      <x:c r="E90" s="32" t="str">
        <x:v>md</x:v>
      </x:c>
      <x:c r="F90" s="88" t="n">
        <x:v>1591</x:v>
      </x:c>
      <x:c r="G90" s="32" t="str">
        <x:v>2026-06-22 23:48</x:v>
      </x:c>
      <x:c r="H90" s="32" t="str">
        <x:v>a6538450622d348cafd5964a5af26d84ce9b5aa1890a06af6789b8bb4fd9dc9c</x:v>
      </x:c>
      <x:c r="I90" s="32" t="str">
        <x:v>Historical baseline source</x:v>
      </x:c>
      <x:c r="J90" s="32" t="str">
        <x:v>Consolidated documents 00–34; retained for genealogy and decisions not explicitly revoked</x:v>
      </x:c>
      <x:c r="K90" s="32" t="str">
        <x:v>Retain original acceptance intent, gates, constraints and evidence lineage unless explicitly superseded.</x:v>
      </x:c>
    </x:row>
    <x:row r="91">
      <x:c r="A91" s="32" t="str">
        <x:v>SRC-0087</x:v>
      </x:c>
      <x:c r="B91" s="32" t="str">
        <x:v>ADR-0011_Minimal_Versioned_Save_Skeleton</x:v>
      </x:c>
      <x:c r="C91" s="32" t="str">
        <x:v>v0.5</x:v>
      </x:c>
      <x:c r="D91" s="32" t="str">
        <x:v>cc_project_old/Documentation/00_Official_Baseline/v0.5/06_Development_Records/Sprints/Sprint_02/Governance/ADR-0011_Minimal_Versioned_Save_Skeleton.md</x:v>
      </x:c>
      <x:c r="E91" s="32" t="str">
        <x:v>md</x:v>
      </x:c>
      <x:c r="F91" s="88" t="n">
        <x:v>2505</x:v>
      </x:c>
      <x:c r="G91" s="32" t="str">
        <x:v>2026-06-23 00:41</x:v>
      </x:c>
      <x:c r="H91" s="32" t="str">
        <x:v>4048b071ec41b0d5caf4beb0d5a4ff7547e409f566a403d0e9331a604de076dd</x:v>
      </x:c>
      <x:c r="I91" s="32" t="str">
        <x:v>Historical baseline source</x:v>
      </x:c>
      <x:c r="J91" s="32" t="str">
        <x:v>Consolidated documents 00–34; retained for genealogy and decisions not explicitly revoked</x:v>
      </x:c>
      <x:c r="K91" s="32" t="str">
        <x:v>Retain original acceptance intent, gates, constraints and evidence lineage unless explicitly superseded.</x:v>
      </x:c>
    </x:row>
    <x:row r="92">
      <x:c r="A92" s="32" t="str">
        <x:v>SRC-0088</x:v>
      </x:c>
      <x:c r="B92" s="32" t="str">
        <x:v>Acceptance/QA</x:v>
      </x:c>
      <x:c r="C92" s="32" t="str">
        <x:v>v0.5</x:v>
      </x:c>
      <x:c r="D92" s="32" t="str">
        <x:v>cc_project_old/Documentation/00_Official_Baseline/v0.5/06_Development_Records/Sprints/Sprint_02/QA/S2_Acceptance_Matrix.md</x:v>
      </x:c>
      <x:c r="E92" s="32" t="str">
        <x:v>md</x:v>
      </x:c>
      <x:c r="F92" s="88" t="n">
        <x:v>993</x:v>
      </x:c>
      <x:c r="G92" s="32" t="str">
        <x:v>2026-06-23 00:41</x:v>
      </x:c>
      <x:c r="H92" s="32" t="str">
        <x:v>1c184fd5c44de6051e83614676a1571d4d49e7cd8b4d68c8ef85167b64e2692f</x:v>
      </x:c>
      <x:c r="I92" s="32" t="str">
        <x:v>Historical baseline source</x:v>
      </x:c>
      <x:c r="J92" s="32" t="str">
        <x:v>Consolidated documents 00–34; retained for genealogy and decisions not explicitly revoked</x:v>
      </x:c>
      <x:c r="K92" s="32" t="str">
        <x:v>Retain original acceptance intent, gates, constraints and evidence lineage unless explicitly superseded.</x:v>
      </x:c>
    </x:row>
    <x:row r="93">
      <x:c r="A93" s="32" t="str">
        <x:v>SRC-0089</x:v>
      </x:c>
      <x:c r="B93" s="32" t="str">
        <x:v>Validation/Audit</x:v>
      </x:c>
      <x:c r="C93" s="32" t="str">
        <x:v>v0.5</x:v>
      </x:c>
      <x:c r="D93" s="32" t="str">
        <x:v>cc_project_old/Documentation/00_Official_Baseline/v0.5/06_Development_Records/Sprints/Sprint_02/QA/S2_Validation_Checklist.md</x:v>
      </x:c>
      <x:c r="E93" s="32" t="str">
        <x:v>md</x:v>
      </x:c>
      <x:c r="F93" s="88" t="n">
        <x:v>1272</x:v>
      </x:c>
      <x:c r="G93" s="32" t="str">
        <x:v>2026-06-23 00:41</x:v>
      </x:c>
      <x:c r="H93" s="32" t="str">
        <x:v>c0a872b546a633fd2774377e613690ce0b756b0acb22eecc799f2083cb294606</x:v>
      </x:c>
      <x:c r="I93" s="32" t="str">
        <x:v>Historical baseline source</x:v>
      </x:c>
      <x:c r="J93" s="32" t="str">
        <x:v>Consolidated documents 00–34; retained for genealogy and decisions not explicitly revoked</x:v>
      </x:c>
      <x:c r="K93" s="32" t="str">
        <x:v>Retain original acceptance intent, gates, constraints and evidence lineage unless explicitly superseded.</x:v>
      </x:c>
    </x:row>
    <x:row r="94">
      <x:c r="A94" s="32" t="str">
        <x:v>SRC-0090</x:v>
      </x:c>
      <x:c r="B94" s="32" t="str">
        <x:v>ADR-0012_Scene_Driven_Input_Contexts</x:v>
      </x:c>
      <x:c r="C94" s="32" t="str">
        <x:v>v0.5</x:v>
      </x:c>
      <x:c r="D94" s="32" t="str">
        <x:v>cc_project_old/Documentation/00_Official_Baseline/v0.5/06_Development_Records/Sprints/Sprint_03/Governance/ADR-0012_Scene_Driven_Input_Contexts.md</x:v>
      </x:c>
      <x:c r="E94" s="32" t="str">
        <x:v>md</x:v>
      </x:c>
      <x:c r="F94" s="88" t="n">
        <x:v>1159</x:v>
      </x:c>
      <x:c r="G94" s="32" t="str">
        <x:v>2026-06-25 01:35</x:v>
      </x:c>
      <x:c r="H94" s="32" t="str">
        <x:v>13c16537cc90fb0cdf3e74d588a585635c8b7b998433a1ed52501aad1d89af0f</x:v>
      </x:c>
      <x:c r="I94" s="32" t="str">
        <x:v>Historical baseline source</x:v>
      </x:c>
      <x:c r="J94" s="32" t="str">
        <x:v>Consolidated documents 00–34; retained for genealogy and decisions not explicitly revoked</x:v>
      </x:c>
      <x:c r="K94" s="32" t="str">
        <x:v>Retain original acceptance intent, gates, constraints and evidence lineage unless explicitly superseded.</x:v>
      </x:c>
    </x:row>
    <x:row r="95">
      <x:c r="A95" s="32" t="str">
        <x:v>SRC-0091</x:v>
      </x:c>
      <x:c r="B95" s="32" t="str">
        <x:v>ADR-0013_Direct_Planar_Click_To_Move_Foundation</x:v>
      </x:c>
      <x:c r="C95" s="32" t="str">
        <x:v>v0.5</x:v>
      </x:c>
      <x:c r="D95" s="32" t="str">
        <x:v>cc_project_old/Documentation/00_Official_Baseline/v0.5/06_Development_Records/Sprints/Sprint_03/Governance/ADR-0013_Direct_Planar_Click_To_Move_Foundation.md</x:v>
      </x:c>
      <x:c r="E95" s="32" t="str">
        <x:v>md</x:v>
      </x:c>
      <x:c r="F95" s="88" t="n">
        <x:v>1449</x:v>
      </x:c>
      <x:c r="G95" s="32" t="str">
        <x:v>2026-06-25 01:35</x:v>
      </x:c>
      <x:c r="H95" s="32" t="str">
        <x:v>24601e21279c905274e2c7092c1504eae9f72be23477d15741fab33d79971059</x:v>
      </x:c>
      <x:c r="I95" s="32" t="str">
        <x:v>Historical baseline source</x:v>
      </x:c>
      <x:c r="J95" s="32" t="str">
        <x:v>Consolidated documents 00–34; retained for genealogy and decisions not explicitly revoked</x:v>
      </x:c>
      <x:c r="K95" s="32" t="str">
        <x:v>Retain original acceptance intent, gates, constraints and evidence lineage unless explicitly superseded.</x:v>
      </x:c>
    </x:row>
    <x:row r="96">
      <x:c r="A96" s="32" t="str">
        <x:v>SRC-0092</x:v>
      </x:c>
      <x:c r="B96" s="32" t="str">
        <x:v>ADR-0014_Orbit_Zoom_Follow_Camera</x:v>
      </x:c>
      <x:c r="C96" s="32" t="str">
        <x:v>v0.5</x:v>
      </x:c>
      <x:c r="D96" s="32" t="str">
        <x:v>cc_project_old/Documentation/00_Official_Baseline/v0.5/06_Development_Records/Sprints/Sprint_03/Governance/ADR-0014_Orbit_Zoom_Follow_Camera.md</x:v>
      </x:c>
      <x:c r="E96" s="32" t="str">
        <x:v>md</x:v>
      </x:c>
      <x:c r="F96" s="88" t="n">
        <x:v>1331</x:v>
      </x:c>
      <x:c r="G96" s="32" t="str">
        <x:v>2026-06-25 01:35</x:v>
      </x:c>
      <x:c r="H96" s="32" t="str">
        <x:v>c7bcb3d83c5544605bac741e625f1a441f5ba10047e204e4ce6dbd9eb7468a77</x:v>
      </x:c>
      <x:c r="I96" s="32" t="str">
        <x:v>Historical baseline source</x:v>
      </x:c>
      <x:c r="J96" s="32" t="str">
        <x:v>Consolidated documents 00–34; retained for genealogy and decisions not explicitly revoked</x:v>
      </x:c>
      <x:c r="K96" s="32" t="str">
        <x:v>Retain original acceptance intent, gates, constraints and evidence lineage unless explicitly superseded.</x:v>
      </x:c>
    </x:row>
    <x:row r="97">
      <x:c r="A97" s="32" t="str">
        <x:v>SRC-0093</x:v>
      </x:c>
      <x:c r="B97" s="32" t="str">
        <x:v>ADR-0015_Project_Input_Actions_And_Context_Routing</x:v>
      </x:c>
      <x:c r="C97" s="32" t="str">
        <x:v>v0.5</x:v>
      </x:c>
      <x:c r="D97" s="32" t="str">
        <x:v>cc_project_old/Documentation/00_Official_Baseline/v0.5/06_Development_Records/Sprints/Sprint_03/Governance/ADR-0015_Project_Input_Actions_And_Context_Routing.md</x:v>
      </x:c>
      <x:c r="E97" s="32" t="str">
        <x:v>md</x:v>
      </x:c>
      <x:c r="F97" s="88" t="n">
        <x:v>1653</x:v>
      </x:c>
      <x:c r="G97" s="32" t="str">
        <x:v>2026-06-25 01:35</x:v>
      </x:c>
      <x:c r="H97" s="32" t="str">
        <x:v>b665c0f33852bfb4ae7d0de42fac1636487181e19c28593c1d728d412e21954e</x:v>
      </x:c>
      <x:c r="I97" s="32" t="str">
        <x:v>Historical baseline source</x:v>
      </x:c>
      <x:c r="J97" s="32" t="str">
        <x:v>Consolidated documents 00–34; retained for genealogy and decisions not explicitly revoked</x:v>
      </x:c>
      <x:c r="K97" s="32" t="str">
        <x:v>Retain original acceptance intent, gates, constraints and evidence lineage unless explicitly superseded.</x:v>
      </x:c>
    </x:row>
    <x:row r="98">
      <x:c r="A98" s="32" t="str">
        <x:v>SRC-0094</x:v>
      </x:c>
      <x:c r="B98" s="32" t="str">
        <x:v>Validation/Audit</x:v>
      </x:c>
      <x:c r="C98" s="32" t="str">
        <x:v>v0.5</x:v>
      </x:c>
      <x:c r="D98" s="32" t="str">
        <x:v>cc_project_old/Documentation/00_Official_Baseline/v0.5/06_Development_Records/Sprints/Sprint_03/QA/S3.1_Validation_Checklist.md</x:v>
      </x:c>
      <x:c r="E98" s="32" t="str">
        <x:v>md</x:v>
      </x:c>
      <x:c r="F98" s="88" t="n">
        <x:v>572</x:v>
      </x:c>
      <x:c r="G98" s="32" t="str">
        <x:v>2026-06-25 01:35</x:v>
      </x:c>
      <x:c r="H98" s="32" t="str">
        <x:v>504a5c5285be528dd826475d48095d89f3e9ef702c59ebab2408debe90246aa7</x:v>
      </x:c>
      <x:c r="I98" s="32" t="str">
        <x:v>Historical baseline source</x:v>
      </x:c>
      <x:c r="J98" s="32" t="str">
        <x:v>Consolidated documents 00–34; retained for genealogy and decisions not explicitly revoked</x:v>
      </x:c>
      <x:c r="K98" s="32" t="str">
        <x:v>Retain original acceptance intent, gates, constraints and evidence lineage unless explicitly superseded.</x:v>
      </x:c>
    </x:row>
    <x:row r="99">
      <x:c r="A99" s="32" t="str">
        <x:v>SRC-0095</x:v>
      </x:c>
      <x:c r="B99" s="32" t="str">
        <x:v>Validation/Audit</x:v>
      </x:c>
      <x:c r="C99" s="32" t="str">
        <x:v>v0.5</x:v>
      </x:c>
      <x:c r="D99" s="32" t="str">
        <x:v>cc_project_old/Documentation/00_Official_Baseline/v0.5/06_Development_Records/Sprints/Sprint_03/QA/S3.2_Validation_Checklist.md</x:v>
      </x:c>
      <x:c r="E99" s="32" t="str">
        <x:v>md</x:v>
      </x:c>
      <x:c r="F99" s="88" t="n">
        <x:v>869</x:v>
      </x:c>
      <x:c r="G99" s="32" t="str">
        <x:v>2026-06-25 01:35</x:v>
      </x:c>
      <x:c r="H99" s="32" t="str">
        <x:v>40c1fcb0f866cbe4f549fdd6fb510200c537a172b368c89cb851be0e75d7d6ba</x:v>
      </x:c>
      <x:c r="I99" s="32" t="str">
        <x:v>Historical baseline source</x:v>
      </x:c>
      <x:c r="J99" s="32" t="str">
        <x:v>Consolidated documents 00–34; retained for genealogy and decisions not explicitly revoked</x:v>
      </x:c>
      <x:c r="K99" s="32" t="str">
        <x:v>Retain original acceptance intent, gates, constraints and evidence lineage unless explicitly superseded.</x:v>
      </x:c>
    </x:row>
    <x:row r="100">
      <x:c r="A100" s="32" t="str">
        <x:v>SRC-0096</x:v>
      </x:c>
      <x:c r="B100" s="32" t="str">
        <x:v>Validation/Audit</x:v>
      </x:c>
      <x:c r="C100" s="32" t="str">
        <x:v>v0.5</x:v>
      </x:c>
      <x:c r="D100" s="32" t="str">
        <x:v>cc_project_old/Documentation/00_Official_Baseline/v0.5/06_Development_Records/Sprints/Sprint_03/QA/S3.3_Validation_Checklist.md</x:v>
      </x:c>
      <x:c r="E100" s="32" t="str">
        <x:v>md</x:v>
      </x:c>
      <x:c r="F100" s="88" t="n">
        <x:v>848</x:v>
      </x:c>
      <x:c r="G100" s="32" t="str">
        <x:v>2026-06-25 01:35</x:v>
      </x:c>
      <x:c r="H100" s="32" t="str">
        <x:v>9ba60442d1b478ccf14f8185361528a5bedb267e7102ea8a963696dc6eee0123</x:v>
      </x:c>
      <x:c r="I100" s="32" t="str">
        <x:v>Historical baseline source</x:v>
      </x:c>
      <x:c r="J100" s="32" t="str">
        <x:v>Consolidated documents 00–34; retained for genealogy and decisions not explicitly revoked</x:v>
      </x:c>
      <x:c r="K100" s="32" t="str">
        <x:v>Retain original acceptance intent, gates, constraints and evidence lineage unless explicitly superseded.</x:v>
      </x:c>
    </x:row>
    <x:row r="101">
      <x:c r="A101" s="32" t="str">
        <x:v>SRC-0097</x:v>
      </x:c>
      <x:c r="B101" s="32" t="str">
        <x:v>Build/Versioning</x:v>
      </x:c>
      <x:c r="C101" s="32" t="str">
        <x:v>v0.5</x:v>
      </x:c>
      <x:c r="D101" s="32" t="str">
        <x:v>cc_project_old/Documentation/00_Official_Baseline/v0.5/06_Development_Records/Sprints/Sprint_03/QA/S3.4_Build_Execution_Record.md</x:v>
      </x:c>
      <x:c r="E101" s="32" t="str">
        <x:v>md</x:v>
      </x:c>
      <x:c r="F101" s="88" t="n">
        <x:v>1303</x:v>
      </x:c>
      <x:c r="G101" s="32" t="str">
        <x:v>2026-06-25 01:35</x:v>
      </x:c>
      <x:c r="H101" s="32" t="str">
        <x:v>bdbcbe899c627a7abf1f302f7db42ce29de1f0809c8373a454e3bc070984ab7d</x:v>
      </x:c>
      <x:c r="I101" s="32" t="str">
        <x:v>Historical baseline source</x:v>
      </x:c>
      <x:c r="J101" s="32" t="str">
        <x:v>Consolidated documents 00–34; retained for genealogy and decisions not explicitly revoked</x:v>
      </x:c>
      <x:c r="K101" s="32" t="str">
        <x:v>Retain original acceptance intent, gates, constraints and evidence lineage unless explicitly superseded.</x:v>
      </x:c>
    </x:row>
    <x:row r="102">
      <x:c r="A102" s="32" t="str">
        <x:v>SRC-0098</x:v>
      </x:c>
      <x:c r="B102" s="32" t="str">
        <x:v>Validation/Audit</x:v>
      </x:c>
      <x:c r="C102" s="32" t="str">
        <x:v>v0.5</x:v>
      </x:c>
      <x:c r="D102" s="32" t="str">
        <x:v>cc_project_old/Documentation/00_Official_Baseline/v0.5/06_Development_Records/Sprints/Sprint_03/QA/S3.4_Validation_Checklist.md</x:v>
      </x:c>
      <x:c r="E102" s="32" t="str">
        <x:v>md</x:v>
      </x:c>
      <x:c r="F102" s="88" t="n">
        <x:v>1892</x:v>
      </x:c>
      <x:c r="G102" s="32" t="str">
        <x:v>2026-06-25 01:35</x:v>
      </x:c>
      <x:c r="H102" s="32" t="str">
        <x:v>52fce0bcde72678d3b864e12c3ab0a0a39eef2f3d1c321d94d7c55c21ab65027</x:v>
      </x:c>
      <x:c r="I102" s="32" t="str">
        <x:v>Historical baseline source</x:v>
      </x:c>
      <x:c r="J102" s="32" t="str">
        <x:v>Consolidated documents 00–34; retained for genealogy and decisions not explicitly revoked</x:v>
      </x:c>
      <x:c r="K102" s="32" t="str">
        <x:v>Retain original acceptance intent, gates, constraints and evidence lineage unless explicitly superseded.</x:v>
      </x:c>
    </x:row>
    <x:row r="103">
      <x:c r="A103" s="32" t="str">
        <x:v>SRC-0099</x:v>
      </x:c>
      <x:c r="B103" s="32" t="str">
        <x:v>Acceptance/QA</x:v>
      </x:c>
      <x:c r="C103" s="32" t="str">
        <x:v>v0.5</x:v>
      </x:c>
      <x:c r="D103" s="32" t="str">
        <x:v>cc_project_old/Documentation/00_Official_Baseline/v0.5/06_Development_Records/Sprints/Sprint_03/QA/S3_Acceptance_Matrix.md</x:v>
      </x:c>
      <x:c r="E103" s="32" t="str">
        <x:v>md</x:v>
      </x:c>
      <x:c r="F103" s="88" t="n">
        <x:v>1643</x:v>
      </x:c>
      <x:c r="G103" s="32" t="str">
        <x:v>2026-06-25 01:35</x:v>
      </x:c>
      <x:c r="H103" s="32" t="str">
        <x:v>dcd3a753ec03bf462ed61fee96f551716970f05a54702fcec5ebdc271bda15b7</x:v>
      </x:c>
      <x:c r="I103" s="32" t="str">
        <x:v>Historical baseline source</x:v>
      </x:c>
      <x:c r="J103" s="32" t="str">
        <x:v>Consolidated documents 00–34; retained for genealogy and decisions not explicitly revoked</x:v>
      </x:c>
      <x:c r="K103" s="32" t="str">
        <x:v>Retain original acceptance intent, gates, constraints and evidence lineage unless explicitly superseded.</x:v>
      </x:c>
    </x:row>
    <x:row r="104">
      <x:c r="A104" s="32" t="str">
        <x:v>SRC-0100</x:v>
      </x:c>
      <x:c r="B104" s="32" t="str">
        <x:v>ADR-0016_Grid_Coordinate_And_Footprint_Foundation</x:v>
      </x:c>
      <x:c r="C104" s="32" t="str">
        <x:v>v0.5</x:v>
      </x:c>
      <x:c r="D104" s="32" t="str">
        <x:v>cc_project_old/Documentation/00_Official_Baseline/v0.5/06_Development_Records/Sprints/Sprint_04/Governance/ADR-0016_Grid_Coordinate_And_Footprint_Foundation.md</x:v>
      </x:c>
      <x:c r="E104" s="32" t="str">
        <x:v>md</x:v>
      </x:c>
      <x:c r="F104" s="88" t="n">
        <x:v>1157</x:v>
      </x:c>
      <x:c r="G104" s="32" t="str">
        <x:v>2026-06-25 11:54</x:v>
      </x:c>
      <x:c r="H104" s="32" t="str">
        <x:v>84ffb0f806ec18937785dc30f5410a0be471ea75deeeb3d23021657ff513d622</x:v>
      </x:c>
      <x:c r="I104" s="32" t="str">
        <x:v>Historical baseline source</x:v>
      </x:c>
      <x:c r="J104" s="32" t="str">
        <x:v>Consolidated documents 00–34; retained for genealogy and decisions not explicitly revoked</x:v>
      </x:c>
      <x:c r="K104" s="32" t="str">
        <x:v>Retain original acceptance intent, gates, constraints and evidence lineage unless explicitly superseded.</x:v>
      </x:c>
    </x:row>
    <x:row r="105">
      <x:c r="A105" s="32" t="str">
        <x:v>SRC-0101</x:v>
      </x:c>
      <x:c r="B105" s="32" t="str">
        <x:v>ADR-0017_Placement_Preview_And_Rotation</x:v>
      </x:c>
      <x:c r="C105" s="32" t="str">
        <x:v>v0.5</x:v>
      </x:c>
      <x:c r="D105" s="32" t="str">
        <x:v>cc_project_old/Documentation/00_Official_Baseline/v0.5/06_Development_Records/Sprints/Sprint_04/Governance/ADR-0017_Placement_Preview_And_Rotation.md</x:v>
      </x:c>
      <x:c r="E105" s="32" t="str">
        <x:v>md</x:v>
      </x:c>
      <x:c r="F105" s="88" t="n">
        <x:v>1125</x:v>
      </x:c>
      <x:c r="G105" s="32" t="str">
        <x:v>2026-06-25 11:54</x:v>
      </x:c>
      <x:c r="H105" s="32" t="str">
        <x:v>996ccbe4400bc1971fea44b1d1e89b7a0cbe30437fa660283af16e79b8f18965</x:v>
      </x:c>
      <x:c r="I105" s="32" t="str">
        <x:v>Historical baseline source</x:v>
      </x:c>
      <x:c r="J105" s="32" t="str">
        <x:v>Consolidated documents 00–34; retained for genealogy and decisions not explicitly revoked</x:v>
      </x:c>
      <x:c r="K105" s="32" t="str">
        <x:v>Retain original acceptance intent, gates, constraints and evidence lineage unless explicitly superseded.</x:v>
      </x:c>
    </x:row>
    <x:row r="106">
      <x:c r="A106" s="32" t="str">
        <x:v>SRC-0102</x:v>
      </x:c>
      <x:c r="B106" s="32" t="str">
        <x:v>ADR-0018_Atomic_Occupancy_And_Placement_Mode</x:v>
      </x:c>
      <x:c r="C106" s="32" t="str">
        <x:v>v0.5</x:v>
      </x:c>
      <x:c r="D106" s="32" t="str">
        <x:v>cc_project_old/Documentation/00_Official_Baseline/v0.5/06_Development_Records/Sprints/Sprint_04/Governance/ADR-0018_Atomic_Occupancy_And_Placement_Mode.md</x:v>
      </x:c>
      <x:c r="E106" s="32" t="str">
        <x:v>md</x:v>
      </x:c>
      <x:c r="F106" s="88" t="n">
        <x:v>1439</x:v>
      </x:c>
      <x:c r="G106" s="32" t="str">
        <x:v>2026-06-25 11:54</x:v>
      </x:c>
      <x:c r="H106" s="32" t="str">
        <x:v>3cdafe143aedd7a015756ec256b6c92be2aaaa918c33499421589d3fb51177e1</x:v>
      </x:c>
      <x:c r="I106" s="32" t="str">
        <x:v>Historical baseline source</x:v>
      </x:c>
      <x:c r="J106" s="32" t="str">
        <x:v>Consolidated documents 00–34; retained for genealogy and decisions not explicitly revoked</x:v>
      </x:c>
      <x:c r="K106" s="32" t="str">
        <x:v>Retain original acceptance intent, gates, constraints and evidence lineage unless explicitly superseded.</x:v>
      </x:c>
    </x:row>
    <x:row r="107">
      <x:c r="A107" s="32" t="str">
        <x:v>SRC-0103</x:v>
      </x:c>
      <x:c r="B107" s="32" t="str">
        <x:v>Build/Versioning</x:v>
      </x:c>
      <x:c r="C107" s="32" t="str">
        <x:v>v0.5</x:v>
      </x:c>
      <x:c r="D107" s="32" t="str">
        <x:v>cc_project_old/Documentation/00_Official_Baseline/v0.5/06_Development_Records/Sprints/Sprint_04/Governance/ADR-0019_Sprint_04_Final_Integration_And_Build_Gate.md</x:v>
      </x:c>
      <x:c r="E107" s="32" t="str">
        <x:v>md</x:v>
      </x:c>
      <x:c r="F107" s="88" t="n">
        <x:v>1324</x:v>
      </x:c>
      <x:c r="G107" s="32" t="str">
        <x:v>2026-06-25 11:54</x:v>
      </x:c>
      <x:c r="H107" s="32" t="str">
        <x:v>f78c4971ab6969d8d3f302b93ceb5dbf30f2d553f433122bd8d24eb12fa7dff3</x:v>
      </x:c>
      <x:c r="I107" s="32" t="str">
        <x:v>Historical baseline source</x:v>
      </x:c>
      <x:c r="J107" s="32" t="str">
        <x:v>Consolidated documents 00–34; retained for genealogy and decisions not explicitly revoked</x:v>
      </x:c>
      <x:c r="K107" s="32" t="str">
        <x:v>Retain original acceptance intent, gates, constraints and evidence lineage unless explicitly superseded.</x:v>
      </x:c>
    </x:row>
    <x:row r="108">
      <x:c r="A108" s="32" t="str">
        <x:v>SRC-0104</x:v>
      </x:c>
      <x:c r="B108" s="32" t="str">
        <x:v>Validation/Audit</x:v>
      </x:c>
      <x:c r="C108" s="32" t="str">
        <x:v>v0.5</x:v>
      </x:c>
      <x:c r="D108" s="32" t="str">
        <x:v>cc_project_old/Documentation/00_Official_Baseline/v0.5/06_Development_Records/Sprints/Sprint_04/QA/S4.1_Validation_Checklist.md</x:v>
      </x:c>
      <x:c r="E108" s="32" t="str">
        <x:v>md</x:v>
      </x:c>
      <x:c r="F108" s="88" t="n">
        <x:v>594</x:v>
      </x:c>
      <x:c r="G108" s="32" t="str">
        <x:v>2026-06-25 11:54</x:v>
      </x:c>
      <x:c r="H108" s="32" t="str">
        <x:v>4daee65527260559801d1bcb435232c0c1f15966f4f45bde43628a95c577dbe8</x:v>
      </x:c>
      <x:c r="I108" s="32" t="str">
        <x:v>Historical baseline source</x:v>
      </x:c>
      <x:c r="J108" s="32" t="str">
        <x:v>Consolidated documents 00–34; retained for genealogy and decisions not explicitly revoked</x:v>
      </x:c>
      <x:c r="K108" s="32" t="str">
        <x:v>Retain original acceptance intent, gates, constraints and evidence lineage unless explicitly superseded.</x:v>
      </x:c>
    </x:row>
    <x:row r="109">
      <x:c r="A109" s="32" t="str">
        <x:v>SRC-0105</x:v>
      </x:c>
      <x:c r="B109" s="32" t="str">
        <x:v>Validation/Audit</x:v>
      </x:c>
      <x:c r="C109" s="32" t="str">
        <x:v>v0.5</x:v>
      </x:c>
      <x:c r="D109" s="32" t="str">
        <x:v>cc_project_old/Documentation/00_Official_Baseline/v0.5/06_Development_Records/Sprints/Sprint_04/QA/S4.2_Validation_Checklist.md</x:v>
      </x:c>
      <x:c r="E109" s="32" t="str">
        <x:v>md</x:v>
      </x:c>
      <x:c r="F109" s="88" t="n">
        <x:v>672</x:v>
      </x:c>
      <x:c r="G109" s="32" t="str">
        <x:v>2026-06-25 11:54</x:v>
      </x:c>
      <x:c r="H109" s="32" t="str">
        <x:v>7947d8708859cc6b5175331acf6e36cf44438788f243c179b53e6818cdb7f466</x:v>
      </x:c>
      <x:c r="I109" s="32" t="str">
        <x:v>Historical baseline source</x:v>
      </x:c>
      <x:c r="J109" s="32" t="str">
        <x:v>Consolidated documents 00–34; retained for genealogy and decisions not explicitly revoked</x:v>
      </x:c>
      <x:c r="K109" s="32" t="str">
        <x:v>Retain original acceptance intent, gates, constraints and evidence lineage unless explicitly superseded.</x:v>
      </x:c>
    </x:row>
    <x:row r="110">
      <x:c r="A110" s="32" t="str">
        <x:v>SRC-0106</x:v>
      </x:c>
      <x:c r="B110" s="32" t="str">
        <x:v>Validation/Audit</x:v>
      </x:c>
      <x:c r="C110" s="32" t="str">
        <x:v>v0.5</x:v>
      </x:c>
      <x:c r="D110" s="32" t="str">
        <x:v>cc_project_old/Documentation/00_Official_Baseline/v0.5/06_Development_Records/Sprints/Sprint_04/QA/S4.3_Validation_Checklist.md</x:v>
      </x:c>
      <x:c r="E110" s="32" t="str">
        <x:v>md</x:v>
      </x:c>
      <x:c r="F110" s="88" t="n">
        <x:v>830</x:v>
      </x:c>
      <x:c r="G110" s="32" t="str">
        <x:v>2026-06-25 11:54</x:v>
      </x:c>
      <x:c r="H110" s="32" t="str">
        <x:v>9d54905170c7ae7daffda84bc479882bd5b7a25667e30ce31dd4aadf38a1cdda</x:v>
      </x:c>
      <x:c r="I110" s="32" t="str">
        <x:v>Historical baseline source</x:v>
      </x:c>
      <x:c r="J110" s="32" t="str">
        <x:v>Consolidated documents 00–34; retained for genealogy and decisions not explicitly revoked</x:v>
      </x:c>
      <x:c r="K110" s="32" t="str">
        <x:v>Retain original acceptance intent, gates, constraints and evidence lineage unless explicitly superseded.</x:v>
      </x:c>
    </x:row>
    <x:row r="111">
      <x:c r="A111" s="32" t="str">
        <x:v>SRC-0107</x:v>
      </x:c>
      <x:c r="B111" s="32" t="str">
        <x:v>Build/Versioning</x:v>
      </x:c>
      <x:c r="C111" s="32" t="str">
        <x:v>v0.5</x:v>
      </x:c>
      <x:c r="D111" s="32" t="str">
        <x:v>cc_project_old/Documentation/00_Official_Baseline/v0.5/06_Development_Records/Sprints/Sprint_04/QA/S4.4_Build_Execution_Record.md</x:v>
      </x:c>
      <x:c r="E111" s="32" t="str">
        <x:v>md</x:v>
      </x:c>
      <x:c r="F111" s="88" t="n">
        <x:v>1164</x:v>
      </x:c>
      <x:c r="G111" s="32" t="str">
        <x:v>2026-06-25 11:54</x:v>
      </x:c>
      <x:c r="H111" s="32" t="str">
        <x:v>6f662c5fe7ccef7a3080584798ccf51c720d4ade1dc50b1be2f8c4c107da529d</x:v>
      </x:c>
      <x:c r="I111" s="32" t="str">
        <x:v>Historical baseline source</x:v>
      </x:c>
      <x:c r="J111" s="32" t="str">
        <x:v>Consolidated documents 00–34; retained for genealogy and decisions not explicitly revoked</x:v>
      </x:c>
      <x:c r="K111" s="32" t="str">
        <x:v>Retain original acceptance intent, gates, constraints and evidence lineage unless explicitly superseded.</x:v>
      </x:c>
    </x:row>
    <x:row r="112">
      <x:c r="A112" s="32" t="str">
        <x:v>SRC-0108</x:v>
      </x:c>
      <x:c r="B112" s="32" t="str">
        <x:v>Validation/Audit</x:v>
      </x:c>
      <x:c r="C112" s="32" t="str">
        <x:v>v0.5</x:v>
      </x:c>
      <x:c r="D112" s="32" t="str">
        <x:v>cc_project_old/Documentation/00_Official_Baseline/v0.5/06_Development_Records/Sprints/Sprint_04/QA/S4.4_Validation_Checklist.md</x:v>
      </x:c>
      <x:c r="E112" s="32" t="str">
        <x:v>md</x:v>
      </x:c>
      <x:c r="F112" s="88" t="n">
        <x:v>1638</x:v>
      </x:c>
      <x:c r="G112" s="32" t="str">
        <x:v>2026-06-25 11:54</x:v>
      </x:c>
      <x:c r="H112" s="32" t="str">
        <x:v>b24bd7794a9e1143df30f7930936e6e08dbd8e4a6614384b13e493fbd31972a7</x:v>
      </x:c>
      <x:c r="I112" s="32" t="str">
        <x:v>Historical baseline source</x:v>
      </x:c>
      <x:c r="J112" s="32" t="str">
        <x:v>Consolidated documents 00–34; retained for genealogy and decisions not explicitly revoked</x:v>
      </x:c>
      <x:c r="K112" s="32" t="str">
        <x:v>Retain original acceptance intent, gates, constraints and evidence lineage unless explicitly superseded.</x:v>
      </x:c>
    </x:row>
    <x:row r="113">
      <x:c r="A113" s="32" t="str">
        <x:v>SRC-0109</x:v>
      </x:c>
      <x:c r="B113" s="32" t="str">
        <x:v>Acceptance/QA</x:v>
      </x:c>
      <x:c r="C113" s="32" t="str">
        <x:v>v0.5</x:v>
      </x:c>
      <x:c r="D113" s="32" t="str">
        <x:v>cc_project_old/Documentation/00_Official_Baseline/v0.5/06_Development_Records/Sprints/Sprint_04/QA/S4_Acceptance_Matrix.md</x:v>
      </x:c>
      <x:c r="E113" s="32" t="str">
        <x:v>md</x:v>
      </x:c>
      <x:c r="F113" s="88" t="n">
        <x:v>2209</x:v>
      </x:c>
      <x:c r="G113" s="32" t="str">
        <x:v>2026-06-25 11:54</x:v>
      </x:c>
      <x:c r="H113" s="32" t="str">
        <x:v>30a86d51980351f806ef30aa6187ce90857bde474c163d47a6a3396b60522f89</x:v>
      </x:c>
      <x:c r="I113" s="32" t="str">
        <x:v>Historical baseline source</x:v>
      </x:c>
      <x:c r="J113" s="32" t="str">
        <x:v>Consolidated documents 00–34; retained for genealogy and decisions not explicitly revoked</x:v>
      </x:c>
      <x:c r="K113" s="32" t="str">
        <x:v>Retain original acceptance intent, gates, constraints and evidence lineage unless explicitly superseded.</x:v>
      </x:c>
    </x:row>
    <x:row r="114">
      <x:c r="A114" s="32" t="str">
        <x:v>SRC-0110</x:v>
      </x:c>
      <x:c r="B114" s="32" t="str">
        <x:v>ADR-0020_Initial_Store_Shell_Dimensions_And_Entrance</x:v>
      </x:c>
      <x:c r="C114" s="32" t="str">
        <x:v>v0.5</x:v>
      </x:c>
      <x:c r="D114" s="32" t="str">
        <x:v>cc_project_old/Documentation/00_Official_Baseline/v0.5/06_Development_Records/Sprints/Sprint_05/Governance/ADR-0020_Initial_Store_Shell_Dimensions_And_Entrance.md</x:v>
      </x:c>
      <x:c r="E114" s="32" t="str">
        <x:v>md</x:v>
      </x:c>
      <x:c r="F114" s="88" t="n">
        <x:v>870</x:v>
      </x:c>
      <x:c r="G114" s="32" t="str">
        <x:v>2026-06-25 16:04</x:v>
      </x:c>
      <x:c r="H114" s="32" t="str">
        <x:v>af706a1741b657833a36805700e10d25e2b66264438b488c1a8983e883799e3d</x:v>
      </x:c>
      <x:c r="I114" s="32" t="str">
        <x:v>Historical baseline source</x:v>
      </x:c>
      <x:c r="J114" s="32" t="str">
        <x:v>Consolidated documents 00–34; retained for genealogy and decisions not explicitly revoked</x:v>
      </x:c>
      <x:c r="K114" s="32" t="str">
        <x:v>Retain original acceptance intent, gates, constraints and evidence lineage unless explicitly superseded.</x:v>
      </x:c>
    </x:row>
    <x:row r="115">
      <x:c r="A115" s="32" t="str">
        <x:v>SRC-0111</x:v>
      </x:c>
      <x:c r="B115" s="32" t="str">
        <x:v>Validation/Audit</x:v>
      </x:c>
      <x:c r="C115" s="32" t="str">
        <x:v>v0.5</x:v>
      </x:c>
      <x:c r="D115" s="32" t="str">
        <x:v>cc_project_old/Documentation/00_Official_Baseline/v0.5/06_Development_Records/Sprints/Sprint_05/Governance/ADR-0021_Logical_Store_Access_Validation.md</x:v>
      </x:c>
      <x:c r="E115" s="32" t="str">
        <x:v>md</x:v>
      </x:c>
      <x:c r="F115" s="88" t="n">
        <x:v>1131</x:v>
      </x:c>
      <x:c r="G115" s="32" t="str">
        <x:v>2026-06-25 16:04</x:v>
      </x:c>
      <x:c r="H115" s="32" t="str">
        <x:v>079eab3c8041ef624f17ba35976f8ac46627ed9ff192a910e1f0f4f63fee5fe7</x:v>
      </x:c>
      <x:c r="I115" s="32" t="str">
        <x:v>Historical baseline source</x:v>
      </x:c>
      <x:c r="J115" s="32" t="str">
        <x:v>Consolidated documents 00–34; retained for genealogy and decisions not explicitly revoked</x:v>
      </x:c>
      <x:c r="K115" s="32" t="str">
        <x:v>Retain original acceptance intent, gates, constraints and evidence lineage unless explicitly superseded.</x:v>
      </x:c>
    </x:row>
    <x:row r="116">
      <x:c r="A116" s="32" t="str">
        <x:v>SRC-0112</x:v>
      </x:c>
      <x:c r="B116" s="32" t="str">
        <x:v>ADR-0022_Store_Placement_And_Access_Integration</x:v>
      </x:c>
      <x:c r="C116" s="32" t="str">
        <x:v>v0.5</x:v>
      </x:c>
      <x:c r="D116" s="32" t="str">
        <x:v>cc_project_old/Documentation/00_Official_Baseline/v0.5/06_Development_Records/Sprints/Sprint_05/Governance/ADR-0022_Store_Placement_And_Access_Integration.md</x:v>
      </x:c>
      <x:c r="E116" s="32" t="str">
        <x:v>md</x:v>
      </x:c>
      <x:c r="F116" s="88" t="n">
        <x:v>1085</x:v>
      </x:c>
      <x:c r="G116" s="32" t="str">
        <x:v>2026-06-25 16:04</x:v>
      </x:c>
      <x:c r="H116" s="32" t="str">
        <x:v>f180b5eac43281274d001667b8fc49f39febfbacfeb78fec7d686b9e07546524</x:v>
      </x:c>
      <x:c r="I116" s="32" t="str">
        <x:v>Historical baseline source</x:v>
      </x:c>
      <x:c r="J116" s="32" t="str">
        <x:v>Consolidated documents 00–34; retained for genealogy and decisions not explicitly revoked</x:v>
      </x:c>
      <x:c r="K116" s="32" t="str">
        <x:v>Retain original acceptance intent, gates, constraints and evidence lineage unless explicitly superseded.</x:v>
      </x:c>
    </x:row>
    <x:row r="117">
      <x:c r="A117" s="32" t="str">
        <x:v>SRC-0113</x:v>
      </x:c>
      <x:c r="B117" s="32" t="str">
        <x:v>Build/Versioning</x:v>
      </x:c>
      <x:c r="C117" s="32" t="str">
        <x:v>v0.5</x:v>
      </x:c>
      <x:c r="D117" s="32" t="str">
        <x:v>cc_project_old/Documentation/00_Official_Baseline/v0.5/06_Development_Records/Sprints/Sprint_05/Governance/ADR-0023_Sprint_05_Final_Integration_And_Build_Gate.md</x:v>
      </x:c>
      <x:c r="E117" s="32" t="str">
        <x:v>md</x:v>
      </x:c>
      <x:c r="F117" s="88" t="n">
        <x:v>972</x:v>
      </x:c>
      <x:c r="G117" s="32" t="str">
        <x:v>2026-06-25 16:04</x:v>
      </x:c>
      <x:c r="H117" s="32" t="str">
        <x:v>86eaea910888d35b0bb89c6a30aef788d767f38b95283339487890c29844f476</x:v>
      </x:c>
      <x:c r="I117" s="32" t="str">
        <x:v>Historical baseline source</x:v>
      </x:c>
      <x:c r="J117" s="32" t="str">
        <x:v>Consolidated documents 00–34; retained for genealogy and decisions not explicitly revoked</x:v>
      </x:c>
      <x:c r="K117" s="32" t="str">
        <x:v>Retain original acceptance intent, gates, constraints and evidence lineage unless explicitly superseded.</x:v>
      </x:c>
    </x:row>
    <x:row r="118">
      <x:c r="A118" s="32" t="str">
        <x:v>SRC-0114</x:v>
      </x:c>
      <x:c r="B118" s="32" t="str">
        <x:v>Validation/Audit</x:v>
      </x:c>
      <x:c r="C118" s="32" t="str">
        <x:v>v0.5</x:v>
      </x:c>
      <x:c r="D118" s="32" t="str">
        <x:v>cc_project_old/Documentation/00_Official_Baseline/v0.5/06_Development_Records/Sprints/Sprint_05/QA/S5.1_Validation_Checklist.md</x:v>
      </x:c>
      <x:c r="E118" s="32" t="str">
        <x:v>md</x:v>
      </x:c>
      <x:c r="F118" s="88" t="n">
        <x:v>871</x:v>
      </x:c>
      <x:c r="G118" s="32" t="str">
        <x:v>2026-06-25 16:04</x:v>
      </x:c>
      <x:c r="H118" s="32" t="str">
        <x:v>dba681ba566172cebf50f3be75fb1945018e196ebe93fcd9b4407267bb699c08</x:v>
      </x:c>
      <x:c r="I118" s="32" t="str">
        <x:v>Historical baseline source</x:v>
      </x:c>
      <x:c r="J118" s="32" t="str">
        <x:v>Consolidated documents 00–34; retained for genealogy and decisions not explicitly revoked</x:v>
      </x:c>
      <x:c r="K118" s="32" t="str">
        <x:v>Retain original acceptance intent, gates, constraints and evidence lineage unless explicitly superseded.</x:v>
      </x:c>
    </x:row>
    <x:row r="119">
      <x:c r="A119" s="32" t="str">
        <x:v>SRC-0115</x:v>
      </x:c>
      <x:c r="B119" s="32" t="str">
        <x:v>Validation/Audit</x:v>
      </x:c>
      <x:c r="C119" s="32" t="str">
        <x:v>v0.5</x:v>
      </x:c>
      <x:c r="D119" s="32" t="str">
        <x:v>cc_project_old/Documentation/00_Official_Baseline/v0.5/06_Development_Records/Sprints/Sprint_05/QA/S5.2_Validation_Checklist.md</x:v>
      </x:c>
      <x:c r="E119" s="32" t="str">
        <x:v>md</x:v>
      </x:c>
      <x:c r="F119" s="88" t="n">
        <x:v>1340</x:v>
      </x:c>
      <x:c r="G119" s="32" t="str">
        <x:v>2026-06-25 16:04</x:v>
      </x:c>
      <x:c r="H119" s="32" t="str">
        <x:v>b5397d64a2dd02e76abf1c6a2a2f1b8be245c7b0993593de4d9d0147c22e39c0</x:v>
      </x:c>
      <x:c r="I119" s="32" t="str">
        <x:v>Historical baseline source</x:v>
      </x:c>
      <x:c r="J119" s="32" t="str">
        <x:v>Consolidated documents 00–34; retained for genealogy and decisions not explicitly revoked</x:v>
      </x:c>
      <x:c r="K119" s="32" t="str">
        <x:v>Retain original acceptance intent, gates, constraints and evidence lineage unless explicitly superseded.</x:v>
      </x:c>
    </x:row>
    <x:row r="120">
      <x:c r="A120" s="32" t="str">
        <x:v>SRC-0116</x:v>
      </x:c>
      <x:c r="B120" s="32" t="str">
        <x:v>Validation/Audit</x:v>
      </x:c>
      <x:c r="C120" s="32" t="str">
        <x:v>v0.5</x:v>
      </x:c>
      <x:c r="D120" s="32" t="str">
        <x:v>cc_project_old/Documentation/00_Official_Baseline/v0.5/06_Development_Records/Sprints/Sprint_05/QA/S5.3_Validation_Checklist.md</x:v>
      </x:c>
      <x:c r="E120" s="32" t="str">
        <x:v>md</x:v>
      </x:c>
      <x:c r="F120" s="88" t="n">
        <x:v>1306</x:v>
      </x:c>
      <x:c r="G120" s="32" t="str">
        <x:v>2026-06-25 16:04</x:v>
      </x:c>
      <x:c r="H120" s="32" t="str">
        <x:v>e443533c5c2372eb4f308301e7b20c93c2c64f44c55738dda64bb5c7510ce209</x:v>
      </x:c>
      <x:c r="I120" s="32" t="str">
        <x:v>Historical baseline source</x:v>
      </x:c>
      <x:c r="J120" s="32" t="str">
        <x:v>Consolidated documents 00–34; retained for genealogy and decisions not explicitly revoked</x:v>
      </x:c>
      <x:c r="K120" s="32" t="str">
        <x:v>Retain original acceptance intent, gates, constraints and evidence lineage unless explicitly superseded.</x:v>
      </x:c>
    </x:row>
    <x:row r="121">
      <x:c r="A121" s="32" t="str">
        <x:v>SRC-0117</x:v>
      </x:c>
      <x:c r="B121" s="32" t="str">
        <x:v>Build/Versioning</x:v>
      </x:c>
      <x:c r="C121" s="32" t="str">
        <x:v>v0.5</x:v>
      </x:c>
      <x:c r="D121" s="32" t="str">
        <x:v>cc_project_old/Documentation/00_Official_Baseline/v0.5/06_Development_Records/Sprints/Sprint_05/QA/S5.4_Build_Execution_Record.md</x:v>
      </x:c>
      <x:c r="E121" s="32" t="str">
        <x:v>md</x:v>
      </x:c>
      <x:c r="F121" s="88" t="n">
        <x:v>1347</x:v>
      </x:c>
      <x:c r="G121" s="32" t="str">
        <x:v>2026-06-25 16:04</x:v>
      </x:c>
      <x:c r="H121" s="32" t="str">
        <x:v>83700192228af99fb4487bdf4cdd1332d13a194be7cd5fb197278013952f8fe1</x:v>
      </x:c>
      <x:c r="I121" s="32" t="str">
        <x:v>Historical baseline source</x:v>
      </x:c>
      <x:c r="J121" s="32" t="str">
        <x:v>Consolidated documents 00–34; retained for genealogy and decisions not explicitly revoked</x:v>
      </x:c>
      <x:c r="K121" s="32" t="str">
        <x:v>Retain original acceptance intent, gates, constraints and evidence lineage unless explicitly superseded.</x:v>
      </x:c>
    </x:row>
    <x:row r="122">
      <x:c r="A122" s="32" t="str">
        <x:v>SRC-0118</x:v>
      </x:c>
      <x:c r="B122" s="32" t="str">
        <x:v>Validation/Audit</x:v>
      </x:c>
      <x:c r="C122" s="32" t="str">
        <x:v>v0.5</x:v>
      </x:c>
      <x:c r="D122" s="32" t="str">
        <x:v>cc_project_old/Documentation/00_Official_Baseline/v0.5/06_Development_Records/Sprints/Sprint_05/QA/S5.4_Validation_Checklist.md</x:v>
      </x:c>
      <x:c r="E122" s="32" t="str">
        <x:v>md</x:v>
      </x:c>
      <x:c r="F122" s="88" t="n">
        <x:v>1839</x:v>
      </x:c>
      <x:c r="G122" s="32" t="str">
        <x:v>2026-06-25 16:04</x:v>
      </x:c>
      <x:c r="H122" s="32" t="str">
        <x:v>99d648322bc2b6f6ca1dff0fae525dae89f84c6726bf4ed749bb09bd1a1f155c</x:v>
      </x:c>
      <x:c r="I122" s="32" t="str">
        <x:v>Historical baseline source</x:v>
      </x:c>
      <x:c r="J122" s="32" t="str">
        <x:v>Consolidated documents 00–34; retained for genealogy and decisions not explicitly revoked</x:v>
      </x:c>
      <x:c r="K122" s="32" t="str">
        <x:v>Retain original acceptance intent, gates, constraints and evidence lineage unless explicitly superseded.</x:v>
      </x:c>
    </x:row>
    <x:row r="123">
      <x:c r="A123" s="32" t="str">
        <x:v>SRC-0119</x:v>
      </x:c>
      <x:c r="B123" s="32" t="str">
        <x:v>Acceptance/QA</x:v>
      </x:c>
      <x:c r="C123" s="32" t="str">
        <x:v>v0.5</x:v>
      </x:c>
      <x:c r="D123" s="32" t="str">
        <x:v>cc_project_old/Documentation/00_Official_Baseline/v0.5/06_Development_Records/Sprints/Sprint_05/QA/S5_Acceptance_Matrix.md</x:v>
      </x:c>
      <x:c r="E123" s="32" t="str">
        <x:v>md</x:v>
      </x:c>
      <x:c r="F123" s="88" t="n">
        <x:v>2498</x:v>
      </x:c>
      <x:c r="G123" s="32" t="str">
        <x:v>2026-06-25 16:04</x:v>
      </x:c>
      <x:c r="H123" s="32" t="str">
        <x:v>3c265e9509b133370788c1ea024e4de481f773b526a524f2ec880d60abe053b6</x:v>
      </x:c>
      <x:c r="I123" s="32" t="str">
        <x:v>Historical baseline source</x:v>
      </x:c>
      <x:c r="J123" s="32" t="str">
        <x:v>Consolidated documents 00–34; retained for genealogy and decisions not explicitly revoked</x:v>
      </x:c>
      <x:c r="K123" s="32" t="str">
        <x:v>Retain original acceptance intent, gates, constraints and evidence lineage unless explicitly superseded.</x:v>
      </x:c>
    </x:row>
    <x:row r="124">
      <x:c r="A124" s="32" t="str">
        <x:v>SRC-0120</x:v>
      </x:c>
      <x:c r="B124" s="32" t="str">
        <x:v>Art</x:v>
      </x:c>
      <x:c r="C124" s="32" t="str">
        <x:v>v0.5</x:v>
      </x:c>
      <x:c r="D124" s="32" t="str">
        <x:v>cc_project_old/Documentation/00_Official_Baseline/v0.5/99_Source_Markdown/Cartridge_And_Cloud_Art_Bible_v0.4.md</x:v>
      </x:c>
      <x:c r="E124" s="32" t="str">
        <x:v>md</x:v>
      </x:c>
      <x:c r="F124" s="88" t="n">
        <x:v>2426</x:v>
      </x:c>
      <x:c r="G124" s="32" t="str">
        <x:v>2026-06-25 16:50</x:v>
      </x:c>
      <x:c r="H124" s="32" t="str">
        <x:v>85241caca78cbac42e40a735b73a116ee47e5937605952cebb092272bb3a1979</x:v>
      </x:c>
      <x:c r="I124" s="32" t="str">
        <x:v>Historical baseline source</x:v>
      </x:c>
      <x:c r="J124" s="32" t="str">
        <x:v>Consolidated documents 00–34; retained for genealogy and decisions not explicitly revoked</x:v>
      </x:c>
      <x:c r="K124" s="32" t="str">
        <x:v>Retain original acceptance intent, gates, constraints and evidence lineage unless explicitly superseded.</x:v>
      </x:c>
    </x:row>
    <x:row r="125">
      <x:c r="A125" s="32" t="str">
        <x:v>SRC-0121</x:v>
      </x:c>
      <x:c r="B125" s="32" t="str">
        <x:v>Audio</x:v>
      </x:c>
      <x:c r="C125" s="32" t="str">
        <x:v>v0.5</x:v>
      </x:c>
      <x:c r="D125" s="32" t="str">
        <x:v>cc_project_old/Documentation/00_Official_Baseline/v0.5/99_Source_Markdown/Cartridge_And_Cloud_Audio_Bible_v0.4.md</x:v>
      </x:c>
      <x:c r="E125" s="32" t="str">
        <x:v>md</x:v>
      </x:c>
      <x:c r="F125" s="88" t="n">
        <x:v>1955</x:v>
      </x:c>
      <x:c r="G125" s="32" t="str">
        <x:v>2026-06-25 16:50</x:v>
      </x:c>
      <x:c r="H125" s="32" t="str">
        <x:v>b63eff2e7197d01df8375a9d815ddf046d123a222fdaf70079a8356d58c9e092</x:v>
      </x:c>
      <x:c r="I125" s="32" t="str">
        <x:v>Historical baseline source</x:v>
      </x:c>
      <x:c r="J125" s="32" t="str">
        <x:v>Consolidated documents 00–34; retained for genealogy and decisions not explicitly revoked</x:v>
      </x:c>
      <x:c r="K125" s="32" t="str">
        <x:v>Retain original acceptance intent, gates, constraints and evidence lineage unless explicitly superseded.</x:v>
      </x:c>
    </x:row>
    <x:row r="126">
      <x:c r="A126" s="32" t="str">
        <x:v>SRC-0122</x:v>
      </x:c>
      <x:c r="B126" s="32" t="str">
        <x:v>Build/Versioning</x:v>
      </x:c>
      <x:c r="C126" s="32" t="str">
        <x:v>v0.5</x:v>
      </x:c>
      <x:c r="D126" s="32" t="str">
        <x:v>cc_project_old/Documentation/00_Official_Baseline/v0.5/99_Source_Markdown/Cartridge_And_Cloud_Build_Versioning_Guide_v0.5.md</x:v>
      </x:c>
      <x:c r="E126" s="32" t="str">
        <x:v>md</x:v>
      </x:c>
      <x:c r="F126" s="88" t="n">
        <x:v>2384</x:v>
      </x:c>
      <x:c r="G126" s="32" t="str">
        <x:v>2026-06-25 16:50</x:v>
      </x:c>
      <x:c r="H126" s="32" t="str">
        <x:v>3df0fc5321a57c528f6386bcd922c2e930ba194736af94f064262c371bb63be6</x:v>
      </x:c>
      <x:c r="I126" s="32" t="str">
        <x:v>Historical baseline source</x:v>
      </x:c>
      <x:c r="J126" s="32" t="str">
        <x:v>Consolidated documents 00–34; retained for genealogy and decisions not explicitly revoked</x:v>
      </x:c>
      <x:c r="K126" s="32" t="str">
        <x:v>Retain original acceptance intent, gates, constraints and evidence lineage unless explicitly superseded.</x:v>
      </x:c>
    </x:row>
    <x:row r="127">
      <x:c r="A127" s="32" t="str">
        <x:v>SRC-0123</x:v>
      </x:c>
      <x:c r="B127" s="32" t="str">
        <x:v>Validation/Audit</x:v>
      </x:c>
      <x:c r="C127" s="32" t="str">
        <x:v>v0.5</x:v>
      </x:c>
      <x:c r="D127" s="32" t="str">
        <x:v>cc_project_old/Documentation/00_Official_Baseline/v0.5/99_Source_Markdown/Cartridge_And_Cloud_Documentation_Validation_Report_v0.3.md</x:v>
      </x:c>
      <x:c r="E127" s="32" t="str">
        <x:v>md</x:v>
      </x:c>
      <x:c r="F127" s="88" t="n">
        <x:v>1944</x:v>
      </x:c>
      <x:c r="G127" s="32" t="str">
        <x:v>2026-06-25 16:50</x:v>
      </x:c>
      <x:c r="H127" s="32" t="str">
        <x:v>f0580c1ab55321eefc1ff3f1f57ec2337ca1c313c1c98f24b19d2967f73cf010</x:v>
      </x:c>
      <x:c r="I127" s="32" t="str">
        <x:v>Historical baseline source</x:v>
      </x:c>
      <x:c r="J127" s="32" t="str">
        <x:v>Consolidated documents 00–34; retained for genealogy and decisions not explicitly revoked</x:v>
      </x:c>
      <x:c r="K127" s="32" t="str">
        <x:v>Retain original acceptance intent, gates, constraints and evidence lineage unless explicitly superseded.</x:v>
      </x:c>
    </x:row>
    <x:row r="128">
      <x:c r="A128" s="32" t="str">
        <x:v>SRC-0124</x:v>
      </x:c>
      <x:c r="B128" s="32" t="str">
        <x:v>Scope/Governance</x:v>
      </x:c>
      <x:c r="C128" s="32" t="str">
        <x:v>v0.5</x:v>
      </x:c>
      <x:c r="D128" s="32" t="str">
        <x:v>cc_project_old/Documentation/00_Official_Baseline/v0.5/99_Source_Markdown/Cartridge_And_Cloud_Enfoque_v0.7.md</x:v>
      </x:c>
      <x:c r="E128" s="32" t="str">
        <x:v>md</x:v>
      </x:c>
      <x:c r="F128" s="88" t="n">
        <x:v>4112</x:v>
      </x:c>
      <x:c r="G128" s="32" t="str">
        <x:v>2026-06-25 16:50</x:v>
      </x:c>
      <x:c r="H128" s="32" t="str">
        <x:v>dff2fd6d5ae6a688ae147c6eebc2e81b5667cf2433198204867ed51559cc11ea</x:v>
      </x:c>
      <x:c r="I128" s="32" t="str">
        <x:v>Historical baseline source</x:v>
      </x:c>
      <x:c r="J128" s="32" t="str">
        <x:v>Consolidated documents 00–34; retained for genealogy and decisions not explicitly revoked</x:v>
      </x:c>
      <x:c r="K128" s="32" t="str">
        <x:v>Retain original acceptance intent, gates, constraints and evidence lineage unless explicitly superseded.</x:v>
      </x:c>
    </x:row>
    <x:row r="129">
      <x:c r="A129" s="32" t="str">
        <x:v>SRC-0125</x:v>
      </x:c>
      <x:c r="B129" s="32" t="str">
        <x:v>Steam Publishing</x:v>
      </x:c>
      <x:c r="C129" s="32" t="str">
        <x:v>v0.5</x:v>
      </x:c>
      <x:c r="D129" s="32" t="str">
        <x:v>cc_project_old/Documentation/00_Official_Baseline/v0.5/99_Source_Markdown/Cartridge_And_Cloud_GDD_v0.5_PCSteam.md</x:v>
      </x:c>
      <x:c r="E129" s="32" t="str">
        <x:v>md</x:v>
      </x:c>
      <x:c r="F129" s="88" t="n">
        <x:v>4208</x:v>
      </x:c>
      <x:c r="G129" s="32" t="str">
        <x:v>2026-06-25 16:50</x:v>
      </x:c>
      <x:c r="H129" s="32" t="str">
        <x:v>17284e1e8d67332d5a8e76e56d194b7e176225dfb49e2729caf6664a96c6aa09</x:v>
      </x:c>
      <x:c r="I129" s="32" t="str">
        <x:v>Historical baseline source</x:v>
      </x:c>
      <x:c r="J129" s="32" t="str">
        <x:v>Consolidated documents 00–34; retained for genealogy and decisions not explicitly revoked</x:v>
      </x:c>
      <x:c r="K129" s="32" t="str">
        <x:v>Retain original acceptance intent, gates, constraints and evidence lineage unless explicitly superseded.</x:v>
      </x:c>
    </x:row>
    <x:row r="130">
      <x:c r="A130" s="32" t="str">
        <x:v>SRC-0126</x:v>
      </x:c>
      <x:c r="B130" s="32" t="str">
        <x:v>Cartridge_And_Cloud_Initial_Content_Catalog_v0.2</x:v>
      </x:c>
      <x:c r="C130" s="32" t="str">
        <x:v>v0.5</x:v>
      </x:c>
      <x:c r="D130" s="32" t="str">
        <x:v>cc_project_old/Documentation/00_Official_Baseline/v0.5/99_Source_Markdown/Cartridge_And_Cloud_Initial_Content_Catalog_v0.2.md</x:v>
      </x:c>
      <x:c r="E130" s="32" t="str">
        <x:v>md</x:v>
      </x:c>
      <x:c r="F130" s="88" t="n">
        <x:v>2513</x:v>
      </x:c>
      <x:c r="G130" s="32" t="str">
        <x:v>2026-06-25 16:50</x:v>
      </x:c>
      <x:c r="H130" s="32" t="str">
        <x:v>02439c64569896a24e292ec42717612412828e784bf7c1c701fbc477d57b0d51</x:v>
      </x:c>
      <x:c r="I130" s="32" t="str">
        <x:v>Historical baseline source</x:v>
      </x:c>
      <x:c r="J130" s="32" t="str">
        <x:v>Consolidated documents 00–34; retained for genealogy and decisions not explicitly revoked</x:v>
      </x:c>
      <x:c r="K130" s="32" t="str">
        <x:v>Retain original acceptance intent, gates, constraints and evidence lineage unless explicitly superseded.</x:v>
      </x:c>
    </x:row>
    <x:row r="131">
      <x:c r="A131" s="32" t="str">
        <x:v>SRC-0127</x:v>
      </x:c>
      <x:c r="B131" s="32" t="str">
        <x:v>Legal/Licenses</x:v>
      </x:c>
      <x:c r="C131" s="32" t="str">
        <x:v>v0.5</x:v>
      </x:c>
      <x:c r="D131" s="32" t="str">
        <x:v>cc_project_old/Documentation/00_Official_Baseline/v0.5/99_Source_Markdown/Cartridge_And_Cloud_Legal_Credits_Licenses_Register_v0.4.md</x:v>
      </x:c>
      <x:c r="E131" s="32" t="str">
        <x:v>md</x:v>
      </x:c>
      <x:c r="F131" s="88" t="n">
        <x:v>2001</x:v>
      </x:c>
      <x:c r="G131" s="32" t="str">
        <x:v>2026-06-25 16:50</x:v>
      </x:c>
      <x:c r="H131" s="32" t="str">
        <x:v>18f78b69a56edee6f8783d32859d6e231d061422d24abd6feefdbf06fe68567b</x:v>
      </x:c>
      <x:c r="I131" s="32" t="str">
        <x:v>Historical baseline source</x:v>
      </x:c>
      <x:c r="J131" s="32" t="str">
        <x:v>Consolidated documents 00–34; retained for genealogy and decisions not explicitly revoked</x:v>
      </x:c>
      <x:c r="K131" s="32" t="str">
        <x:v>Retain original acceptance intent, gates, constraints and evidence lineage unless explicitly superseded.</x:v>
      </x:c>
    </x:row>
    <x:row r="132">
      <x:c r="A132" s="32" t="str">
        <x:v>SRC-0128</x:v>
      </x:c>
      <x:c r="B132" s="32" t="str">
        <x:v>Localization</x:v>
      </x:c>
      <x:c r="C132" s="32" t="str">
        <x:v>v0.5</x:v>
      </x:c>
      <x:c r="D132" s="32" t="str">
        <x:v>cc_project_old/Documentation/00_Official_Baseline/v0.5/99_Source_Markdown/Cartridge_And_Cloud_Localization_Plan_v0.4.md</x:v>
      </x:c>
      <x:c r="E132" s="32" t="str">
        <x:v>md</x:v>
      </x:c>
      <x:c r="F132" s="88" t="n">
        <x:v>1892</x:v>
      </x:c>
      <x:c r="G132" s="32" t="str">
        <x:v>2026-06-25 16:50</x:v>
      </x:c>
      <x:c r="H132" s="32" t="str">
        <x:v>01a3ddb286f975644985bc0c034eab75ef2ba4a283cd200f2e5dfd673732839f</x:v>
      </x:c>
      <x:c r="I132" s="32" t="str">
        <x:v>Historical baseline source</x:v>
      </x:c>
      <x:c r="J132" s="32" t="str">
        <x:v>Consolidated documents 00–34; retained for genealogy and decisions not explicitly revoked</x:v>
      </x:c>
      <x:c r="K132" s="32" t="str">
        <x:v>Retain original acceptance intent, gates, constraints and evidence lineage unless explicitly superseded.</x:v>
      </x:c>
    </x:row>
    <x:row r="133">
      <x:c r="A133" s="32" t="str">
        <x:v>SRC-0129</x:v>
      </x:c>
      <x:c r="B133" s="32" t="str">
        <x:v>Marketing</x:v>
      </x:c>
      <x:c r="C133" s="32" t="str">
        <x:v>v0.5</x:v>
      </x:c>
      <x:c r="D133" s="32" t="str">
        <x:v>cc_project_old/Documentation/00_Official_Baseline/v0.5/99_Source_Markdown/Cartridge_And_Cloud_Marketing_Plan_v0.4.md</x:v>
      </x:c>
      <x:c r="E133" s="32" t="str">
        <x:v>md</x:v>
      </x:c>
      <x:c r="F133" s="88" t="n">
        <x:v>2049</x:v>
      </x:c>
      <x:c r="G133" s="32" t="str">
        <x:v>2026-06-25 16:50</x:v>
      </x:c>
      <x:c r="H133" s="32" t="str">
        <x:v>dad726385bd8f67c059d6a77413a82accff668d5502367f7dee52b5dfbb2ac59</x:v>
      </x:c>
      <x:c r="I133" s="32" t="str">
        <x:v>Historical baseline source</x:v>
      </x:c>
      <x:c r="J133" s="32" t="str">
        <x:v>Consolidated documents 00–34; retained for genealogy and decisions not explicitly revoked</x:v>
      </x:c>
      <x:c r="K133" s="32" t="str">
        <x:v>Retain original acceptance intent, gates, constraints and evidence lineage unless explicitly superseded.</x:v>
      </x:c>
    </x:row>
    <x:row r="134">
      <x:c r="A134" s="32" t="str">
        <x:v>SRC-0130</x:v>
      </x:c>
      <x:c r="B134" s="32" t="str">
        <x:v>Data/Persistence</x:v>
      </x:c>
      <x:c r="C134" s="32" t="str">
        <x:v>v0.5</x:v>
      </x:c>
      <x:c r="D134" s="32" t="str">
        <x:v>cc_project_old/Documentation/00_Official_Baseline/v0.5/99_Source_Markdown/Cartridge_And_Cloud_Modelo_de_Datos_v0.4.md</x:v>
      </x:c>
      <x:c r="E134" s="32" t="str">
        <x:v>md</x:v>
      </x:c>
      <x:c r="F134" s="88" t="n">
        <x:v>3193</x:v>
      </x:c>
      <x:c r="G134" s="32" t="str">
        <x:v>2026-06-25 16:50</x:v>
      </x:c>
      <x:c r="H134" s="32" t="str">
        <x:v>e657c304a8f9572abfd1e8240c23860b4feb42b9b314f6384d31993f2f5a01a3</x:v>
      </x:c>
      <x:c r="I134" s="32" t="str">
        <x:v>Historical baseline source</x:v>
      </x:c>
      <x:c r="J134" s="32" t="str">
        <x:v>Consolidated documents 00–34; retained for genealogy and decisions not explicitly revoked</x:v>
      </x:c>
      <x:c r="K134" s="32" t="str">
        <x:v>Retain original acceptance intent, gates, constraints and evidence lineage unless explicitly superseded.</x:v>
      </x:c>
    </x:row>
    <x:row r="135">
      <x:c r="A135" s="32" t="str">
        <x:v>SRC-0131</x:v>
      </x:c>
      <x:c r="B135" s="32" t="str">
        <x:v>Manifest/Baseline</x:v>
      </x:c>
      <x:c r="C135" s="32" t="str">
        <x:v>v0.5</x:v>
      </x:c>
      <x:c r="D135" s="32" t="str">
        <x:v>cc_project_old/Documentation/00_Official_Baseline/v0.5/99_Source_Markdown/Cartridge_And_Cloud_Package_Manifest_v0.3.md</x:v>
      </x:c>
      <x:c r="E135" s="32" t="str">
        <x:v>md</x:v>
      </x:c>
      <x:c r="F135" s="88" t="n">
        <x:v>1783</x:v>
      </x:c>
      <x:c r="G135" s="32" t="str">
        <x:v>2026-06-25 16:50</x:v>
      </x:c>
      <x:c r="H135" s="32" t="str">
        <x:v>7ae705ca39b1e39345748c208af4274cbbe9eaf887a249e5666bceefadf9d0d2</x:v>
      </x:c>
      <x:c r="I135" s="32" t="str">
        <x:v>Historical baseline source</x:v>
      </x:c>
      <x:c r="J135" s="32" t="str">
        <x:v>Consolidated documents 00–34; retained for genealogy and decisions not explicitly revoked</x:v>
      </x:c>
      <x:c r="K135" s="32" t="str">
        <x:v>Retain original acceptance intent, gates, constraints and evidence lineage unless explicitly superseded.</x:v>
      </x:c>
    </x:row>
    <x:row r="136">
      <x:c r="A136" s="32" t="str">
        <x:v>SRC-0132</x:v>
      </x:c>
      <x:c r="B136" s="32" t="str">
        <x:v>Cartridge_And_Cloud_Production_Roadmap_Sprint_Plan_v0.5</x:v>
      </x:c>
      <x:c r="C136" s="32" t="str">
        <x:v>v0.5</x:v>
      </x:c>
      <x:c r="D136" s="32" t="str">
        <x:v>cc_project_old/Documentation/00_Official_Baseline/v0.5/99_Source_Markdown/Cartridge_And_Cloud_Production_Roadmap_Sprint_Plan_v0.5.md</x:v>
      </x:c>
      <x:c r="E136" s="32" t="str">
        <x:v>md</x:v>
      </x:c>
      <x:c r="F136" s="88" t="n">
        <x:v>3654</x:v>
      </x:c>
      <x:c r="G136" s="32" t="str">
        <x:v>2026-06-25 16:50</x:v>
      </x:c>
      <x:c r="H136" s="32" t="str">
        <x:v>d0623a03b2ff75fa95ecd6bbaa5fcba0fa8faada31fc2a6b4a569caa50f0e285</x:v>
      </x:c>
      <x:c r="I136" s="32" t="str">
        <x:v>Historical baseline source</x:v>
      </x:c>
      <x:c r="J136" s="32" t="str">
        <x:v>Consolidated documents 00–34; retained for genealogy and decisions not explicitly revoked</x:v>
      </x:c>
      <x:c r="K136" s="32" t="str">
        <x:v>Retain original acceptance intent, gates, constraints and evidence lineage unless explicitly superseded.</x:v>
      </x:c>
    </x:row>
    <x:row r="137">
      <x:c r="A137" s="32" t="str">
        <x:v>SRC-0133</x:v>
      </x:c>
      <x:c r="B137" s="32" t="str">
        <x:v>QA</x:v>
      </x:c>
      <x:c r="C137" s="32" t="str">
        <x:v>v0.5</x:v>
      </x:c>
      <x:c r="D137" s="32" t="str">
        <x:v>cc_project_old/Documentation/00_Official_Baseline/v0.5/99_Source_Markdown/Cartridge_And_Cloud_QA_Testing_Plan_v0.5.md</x:v>
      </x:c>
      <x:c r="E137" s="32" t="str">
        <x:v>md</x:v>
      </x:c>
      <x:c r="F137" s="88" t="n">
        <x:v>2853</x:v>
      </x:c>
      <x:c r="G137" s="32" t="str">
        <x:v>2026-06-25 16:50</x:v>
      </x:c>
      <x:c r="H137" s="32" t="str">
        <x:v>c19ab67f26aae4b44fd5c6d431fb163ddbfccefcbcc0ca68518826040b534f1c</x:v>
      </x:c>
      <x:c r="I137" s="32" t="str">
        <x:v>Historical baseline source</x:v>
      </x:c>
      <x:c r="J137" s="32" t="str">
        <x:v>Consolidated documents 00–34; retained for genealogy and decisions not explicitly revoked</x:v>
      </x:c>
      <x:c r="K137" s="32" t="str">
        <x:v>Retain original acceptance intent, gates, constraints and evidence lineage unless explicitly superseded.</x:v>
      </x:c>
    </x:row>
    <x:row r="138">
      <x:c r="A138" s="32" t="str">
        <x:v>SRC-0134</x:v>
      </x:c>
      <x:c r="B138" s="32" t="str">
        <x:v>Steam Publishing</x:v>
      </x:c>
      <x:c r="C138" s="32" t="str">
        <x:v>v0.5</x:v>
      </x:c>
      <x:c r="D138" s="32" t="str">
        <x:v>cc_project_old/Documentation/00_Official_Baseline/v0.5/99_Source_Markdown/Cartridge_And_Cloud_Steam_Publishing_Plan_v0.4.md</x:v>
      </x:c>
      <x:c r="E138" s="32" t="str">
        <x:v>md</x:v>
      </x:c>
      <x:c r="F138" s="88" t="n">
        <x:v>2025</x:v>
      </x:c>
      <x:c r="G138" s="32" t="str">
        <x:v>2026-06-25 16:50</x:v>
      </x:c>
      <x:c r="H138" s="32" t="str">
        <x:v>19664d4092ea89898c5bc37483a0b1aba6f473abbfa02c2794df8f2dd482058d</x:v>
      </x:c>
      <x:c r="I138" s="32" t="str">
        <x:v>Historical baseline source</x:v>
      </x:c>
      <x:c r="J138" s="32" t="str">
        <x:v>Consolidated documents 00–34; retained for genealogy and decisions not explicitly revoked</x:v>
      </x:c>
      <x:c r="K138" s="32" t="str">
        <x:v>Retain original acceptance intent, gates, constraints and evidence lineage unless explicitly superseded.</x:v>
      </x:c>
    </x:row>
    <x:row r="139">
      <x:c r="A139" s="32" t="str">
        <x:v>SRC-0135</x:v>
      </x:c>
      <x:c r="B139" s="32" t="str">
        <x:v>Technical</x:v>
      </x:c>
      <x:c r="C139" s="32" t="str">
        <x:v>v0.5</x:v>
      </x:c>
      <x:c r="D139" s="32" t="str">
        <x:v>cc_project_old/Documentation/00_Official_Baseline/v0.5/99_Source_Markdown/Cartridge_And_Cloud_TDD_v0.5_Technical_Design_Document.md</x:v>
      </x:c>
      <x:c r="E139" s="32" t="str">
        <x:v>md</x:v>
      </x:c>
      <x:c r="F139" s="88" t="n">
        <x:v>4246</x:v>
      </x:c>
      <x:c r="G139" s="32" t="str">
        <x:v>2026-06-25 16:50</x:v>
      </x:c>
      <x:c r="H139" s="32" t="str">
        <x:v>2067d16cac0aae694c69895371dca234c4daaa5258f13922844214283bd09e25</x:v>
      </x:c>
      <x:c r="I139" s="32" t="str">
        <x:v>Historical baseline source</x:v>
      </x:c>
      <x:c r="J139" s="32" t="str">
        <x:v>Consolidated documents 00–34; retained for genealogy and decisions not explicitly revoked</x:v>
      </x:c>
      <x:c r="K139" s="32" t="str">
        <x:v>Retain original acceptance intent, gates, constraints and evidence lineage unless explicitly superseded.</x:v>
      </x:c>
    </x:row>
    <x:row r="140">
      <x:c r="A140" s="32" t="str">
        <x:v>SRC-0136</x:v>
      </x:c>
      <x:c r="B140" s="32" t="str">
        <x:v>UI</x:v>
      </x:c>
      <x:c r="C140" s="32" t="str">
        <x:v>v0.5</x:v>
      </x:c>
      <x:c r="D140" s="32" t="str">
        <x:v>cc_project_old/Documentation/00_Official_Baseline/v0.5/99_Source_Markdown/Cartridge_And_Cloud_UI_Style_Guide_v0.4.md</x:v>
      </x:c>
      <x:c r="E140" s="32" t="str">
        <x:v>md</x:v>
      </x:c>
      <x:c r="F140" s="88" t="n">
        <x:v>2262</x:v>
      </x:c>
      <x:c r="G140" s="32" t="str">
        <x:v>2026-06-25 16:50</x:v>
      </x:c>
      <x:c r="H140" s="32" t="str">
        <x:v>8b3346d21414eb370a5e98eb7871f5083cf7bc8d4214ab5cff7ae87ff0b46a22</x:v>
      </x:c>
      <x:c r="I140" s="32" t="str">
        <x:v>Historical baseline source</x:v>
      </x:c>
      <x:c r="J140" s="32" t="str">
        <x:v>Consolidated documents 00–34; retained for genealogy and decisions not explicitly revoked</x:v>
      </x:c>
      <x:c r="K140" s="32" t="str">
        <x:v>Retain original acceptance intent, gates, constraints and evidence lineage unless explicitly superseded.</x:v>
      </x:c>
    </x:row>
    <x:row r="141">
      <x:c r="A141" s="32" t="str">
        <x:v>SRC-0137</x:v>
      </x:c>
      <x:c r="B141" s="32" t="str">
        <x:v>UX</x:v>
      </x:c>
      <x:c r="C141" s="32" t="str">
        <x:v>v0.5</x:v>
      </x:c>
      <x:c r="D141" s="32" t="str">
        <x:v>cc_project_old/Documentation/00_Official_Baseline/v0.5/99_Source_Markdown/Cartridge_And_Cloud_UX_Flow_v0.4.md</x:v>
      </x:c>
      <x:c r="E141" s="32" t="str">
        <x:v>md</x:v>
      </x:c>
      <x:c r="F141" s="88" t="n">
        <x:v>3023</x:v>
      </x:c>
      <x:c r="G141" s="32" t="str">
        <x:v>2026-06-25 16:50</x:v>
      </x:c>
      <x:c r="H141" s="32" t="str">
        <x:v>43143ab9e7504624ffdb4a2e9612332ee795f91ae05ea5d6448e5ce2f018bba8</x:v>
      </x:c>
      <x:c r="I141" s="32" t="str">
        <x:v>Historical baseline source</x:v>
      </x:c>
      <x:c r="J141" s="32" t="str">
        <x:v>Consolidated documents 00–34; retained for genealogy and decisions not explicitly revoked</x:v>
      </x:c>
      <x:c r="K141" s="32" t="str">
        <x:v>Retain original acceptance intent, gates, constraints and evidence lineage unless explicitly superseded.</x:v>
      </x:c>
    </x:row>
    <x:row r="142">
      <x:c r="A142" s="32" t="str">
        <x:v>SRC-0138</x:v>
      </x:c>
      <x:c r="B142" s="32" t="str">
        <x:v>Cartridge_And_Cloud_Unity_Project_Setup_Guide_v0.5</x:v>
      </x:c>
      <x:c r="C142" s="32" t="str">
        <x:v>v0.5</x:v>
      </x:c>
      <x:c r="D142" s="32" t="str">
        <x:v>cc_project_old/Documentation/00_Official_Baseline/v0.5/99_Source_Markdown/Cartridge_And_Cloud_Unity_Project_Setup_Guide_v0.5.md</x:v>
      </x:c>
      <x:c r="E142" s="32" t="str">
        <x:v>md</x:v>
      </x:c>
      <x:c r="F142" s="88" t="n">
        <x:v>2491</x:v>
      </x:c>
      <x:c r="G142" s="32" t="str">
        <x:v>2026-06-25 16:50</x:v>
      </x:c>
      <x:c r="H142" s="32" t="str">
        <x:v>cb4a9ea65fc1c8b95df59019c3bf6887cf220606980d221904494dfb057cf6ca</x:v>
      </x:c>
      <x:c r="I142" s="32" t="str">
        <x:v>Historical baseline source</x:v>
      </x:c>
      <x:c r="J142" s="32" t="str">
        <x:v>Consolidated documents 00–34; retained for genealogy and decisions not explicitly revoked</x:v>
      </x:c>
      <x:c r="K142" s="32" t="str">
        <x:v>Retain original acceptance intent, gates, constraints and evidence lineage unless explicitly superseded.</x:v>
      </x:c>
    </x:row>
    <x:row r="143">
      <x:c r="A143" s="32" t="str">
        <x:v>SRC-0139</x:v>
      </x:c>
      <x:c r="B143" s="32" t="str">
        <x:v>Vertical Slice</x:v>
      </x:c>
      <x:c r="C143" s="32" t="str">
        <x:v>v0.5</x:v>
      </x:c>
      <x:c r="D143" s="32" t="str">
        <x:v>cc_project_old/Documentation/00_Official_Baseline/v0.5/99_Source_Markdown/Cartridge_And_Cloud_Vertical_Slice_Specification_v0.3.md</x:v>
      </x:c>
      <x:c r="E143" s="32" t="str">
        <x:v>md</x:v>
      </x:c>
      <x:c r="F143" s="88" t="n">
        <x:v>2813</x:v>
      </x:c>
      <x:c r="G143" s="32" t="str">
        <x:v>2026-06-25 16:50</x:v>
      </x:c>
      <x:c r="H143" s="32" t="str">
        <x:v>17213417be3b7b2b95f8e3841d09a6679eee689bb62a35335e3f318135c15e46</x:v>
      </x:c>
      <x:c r="I143" s="32" t="str">
        <x:v>Historical baseline source</x:v>
      </x:c>
      <x:c r="J143" s="32" t="str">
        <x:v>Consolidated documents 00–34; retained for genealogy and decisions not explicitly revoked</x:v>
      </x:c>
      <x:c r="K143" s="32" t="str">
        <x:v>Retain original acceptance intent, gates, constraints and evidence lineage unless explicitly superseded.</x:v>
      </x:c>
    </x:row>
    <x:row r="144">
      <x:c r="A144" s="32" t="str">
        <x:v>SRC-0140</x:v>
      </x:c>
      <x:c r="B144" s="32" t="str">
        <x:v>Handoff</x:v>
      </x:c>
      <x:c r="C144" s="32" t="str">
        <x:v>v0.5</x:v>
      </x:c>
      <x:c r="D144" s="32" t="str">
        <x:v>cc_project_old/Documentation/00_Official_Baseline/v0.5/CURRENT_PROJECT_HANDOFF.md</x:v>
      </x:c>
      <x:c r="E144" s="32" t="str">
        <x:v>md</x:v>
      </x:c>
      <x:c r="F144" s="88" t="n">
        <x:v>2275</x:v>
      </x:c>
      <x:c r="G144" s="32" t="str">
        <x:v>2026-06-25 16:50</x:v>
      </x:c>
      <x:c r="H144" s="32" t="str">
        <x:v>9c251d0f3c14584f5da35a50ab3a5b62564e6f1f656d903fa2590eda74e2e396</x:v>
      </x:c>
      <x:c r="I144" s="32" t="str">
        <x:v>Historical baseline source</x:v>
      </x:c>
      <x:c r="J144" s="32" t="str">
        <x:v>Consolidated documents 00–34; retained for genealogy and decisions not explicitly revoked</x:v>
      </x:c>
      <x:c r="K144" s="32" t="str">
        <x:v>Retain original acceptance intent, gates, constraints and evidence lineage unless explicitly superseded.</x:v>
      </x:c>
    </x:row>
    <x:row r="145">
      <x:c r="A145" s="32" t="str">
        <x:v>SRC-0141</x:v>
      </x:c>
      <x:c r="B145" s="32" t="str">
        <x:v>Validation/Audit</x:v>
      </x:c>
      <x:c r="C145" s="32" t="str">
        <x:v>v0.5</x:v>
      </x:c>
      <x:c r="D145" s="32" t="str">
        <x:v>cc_project_old/Documentation/00_Official_Baseline/v0.5/DOCUMENTATION_VALIDATION_REPORT.md</x:v>
      </x:c>
      <x:c r="E145" s="32" t="str">
        <x:v>md</x:v>
      </x:c>
      <x:c r="F145" s="88" t="n">
        <x:v>862</x:v>
      </x:c>
      <x:c r="G145" s="32" t="str">
        <x:v>2026-06-25 17:01</x:v>
      </x:c>
      <x:c r="H145" s="32" t="str">
        <x:v>b608e9caaaec26accc854775997781e2c88f32385160430c8ae5092fbe0ae0a8</x:v>
      </x:c>
      <x:c r="I145" s="32" t="str">
        <x:v>Historical baseline source</x:v>
      </x:c>
      <x:c r="J145" s="32" t="str">
        <x:v>Consolidated documents 00–34; retained for genealogy and decisions not explicitly revoked</x:v>
      </x:c>
      <x:c r="K145" s="32" t="str">
        <x:v>Retain original acceptance intent, gates, constraints and evidence lineage unless explicitly superseded.</x:v>
      </x:c>
    </x:row>
    <x:row r="146">
      <x:c r="A146" s="32" t="str">
        <x:v>SRC-0142</x:v>
      </x:c>
      <x:c r="B146" s="32" t="str">
        <x:v>Manifest/Baseline</x:v>
      </x:c>
      <x:c r="C146" s="32" t="str">
        <x:v>v0.5</x:v>
      </x:c>
      <x:c r="D146" s="32" t="str">
        <x:v>cc_project_old/Documentation/00_Official_Baseline/v0.5/PACKAGE_MANIFEST.md</x:v>
      </x:c>
      <x:c r="E146" s="32" t="str">
        <x:v>md</x:v>
      </x:c>
      <x:c r="F146" s="88" t="n">
        <x:v>814</x:v>
      </x:c>
      <x:c r="G146" s="32" t="str">
        <x:v>2026-06-25 16:58</x:v>
      </x:c>
      <x:c r="H146" s="32" t="str">
        <x:v>8bb540cf6f6eb6e6f079cf55786ab3b53f4ec042bb1dd01147edb03222f306c5</x:v>
      </x:c>
      <x:c r="I146" s="32" t="str">
        <x:v>Historical baseline source</x:v>
      </x:c>
      <x:c r="J146" s="32" t="str">
        <x:v>Consolidated documents 00–34; retained for genealogy and decisions not explicitly revoked</x:v>
      </x:c>
      <x:c r="K146" s="32" t="str">
        <x:v>Retain original acceptance intent, gates, constraints and evidence lineage unless explicitly superseded.</x:v>
      </x:c>
    </x:row>
    <x:row r="147">
      <x:c r="A147" s="32" t="str">
        <x:v>SRC-0143</x:v>
      </x:c>
      <x:c r="B147" s="32" t="str">
        <x:v>Validation/Audit</x:v>
      </x:c>
      <x:c r="C147" s="32" t="str">
        <x:v>v0.5</x:v>
      </x:c>
      <x:c r="D147" s="32" t="str">
        <x:v>cc_project_old/Documentation/00_Official_Baseline/v0.5/PDF_VALIDATION_REPORT.md</x:v>
      </x:c>
      <x:c r="E147" s="32" t="str">
        <x:v>md</x:v>
      </x:c>
      <x:c r="F147" s="88" t="n">
        <x:v>2614</x:v>
      </x:c>
      <x:c r="G147" s="32" t="str">
        <x:v>2026-06-25 17:01</x:v>
      </x:c>
      <x:c r="H147" s="32" t="str">
        <x:v>c87154f12568ab9fd42365b3d59de5a41944370240380aea1058870ee3004ff5</x:v>
      </x:c>
      <x:c r="I147" s="32" t="str">
        <x:v>Historical baseline source</x:v>
      </x:c>
      <x:c r="J147" s="32" t="str">
        <x:v>Consolidated documents 00–34; retained for genealogy and decisions not explicitly revoked</x:v>
      </x:c>
      <x:c r="K147" s="32" t="str">
        <x:v>Retain original acceptance intent, gates, constraints and evidence lineage unless explicitly superseded.</x:v>
      </x:c>
    </x:row>
    <x:row r="148">
      <x:c r="A148" s="32" t="str">
        <x:v>SRC-0144</x:v>
      </x:c>
      <x:c r="B148" s="32" t="str">
        <x:v>Scope/Governance</x:v>
      </x:c>
      <x:c r="C148" s="32" t="str">
        <x:v>v0.6</x:v>
      </x:c>
      <x:c r="D148" s="32" t="str">
        <x:v>cc_project_old/Documentation/00_Official_Baseline/v0.6/00_Project_Governance/Enfoque_v0.8.md</x:v>
      </x:c>
      <x:c r="E148" s="32" t="str">
        <x:v>md</x:v>
      </x:c>
      <x:c r="F148" s="88" t="n">
        <x:v>3665</x:v>
      </x:c>
      <x:c r="G148" s="32" t="str">
        <x:v>2026-06-30 23:21</x:v>
      </x:c>
      <x:c r="H148" s="32" t="str">
        <x:v>7723b3a72d7b63ace8f1401c9eb2ed250a671e6a49e867f134583c4572ce524c</x:v>
      </x:c>
      <x:c r="I148" s="32" t="str">
        <x:v>Historical baseline source</x:v>
      </x:c>
      <x:c r="J148" s="32" t="str">
        <x:v>Consolidated documents 00–34; retained for genealogy and decisions not explicitly revoked</x:v>
      </x:c>
      <x:c r="K148" s="32" t="str">
        <x:v>Retain original acceptance intent, gates, constraints and evidence lineage unless explicitly superseded.</x:v>
      </x:c>
    </x:row>
    <x:row r="149">
      <x:c r="A149" s="32" t="str">
        <x:v>SRC-0145</x:v>
      </x:c>
      <x:c r="B149" s="32" t="str">
        <x:v>QA</x:v>
      </x:c>
      <x:c r="C149" s="32" t="str">
        <x:v>v0.6</x:v>
      </x:c>
      <x:c r="D149" s="32" t="str">
        <x:v>cc_project_old/Documentation/00_Official_Baseline/v0.6/04_QA_Production/Cartridge_And_Cloud_QA_Testing_Matrix_v0.6.xlsx</x:v>
      </x:c>
      <x:c r="E149" s="32" t="str">
        <x:v>xlsx</x:v>
      </x:c>
      <x:c r="F149" s="88" t="n">
        <x:v>8110</x:v>
      </x:c>
      <x:c r="G149" s="32" t="str">
        <x:v>2026-06-30 23:24</x:v>
      </x:c>
      <x:c r="H149" s="32" t="str">
        <x:v>96a6eb8272a2c9a42f718f71406a1b8d770e2d7cf0d96d2c3d0a0c418445d681</x:v>
      </x:c>
      <x:c r="I149" s="32" t="str">
        <x:v>Historical baseline source</x:v>
      </x:c>
      <x:c r="J149" s="32" t="str">
        <x:v>Consolidated documents 00–34; retained for genealogy and decisions not explicitly revoked</x:v>
      </x:c>
      <x:c r="K149" s="32" t="str">
        <x:v>Retain original acceptance intent, gates, constraints and evidence lineage unless explicitly superseded.</x:v>
      </x:c>
    </x:row>
    <x:row r="150">
      <x:c r="A150" s="32" t="str">
        <x:v>SRC-0146</x:v>
      </x:c>
      <x:c r="B150" s="32" t="str">
        <x:v>ADR-0035_StoreInitial_Manual_Scene_Authoring</x:v>
      </x:c>
      <x:c r="C150" s="32" t="str">
        <x:v>v0.6</x:v>
      </x:c>
      <x:c r="D150" s="32" t="str">
        <x:v>cc_project_old/Documentation/00_Official_Baseline/v0.6/06_Development_Records/Governance/ADR-0035_StoreInitial_Manual_Scene_Authoring.md</x:v>
      </x:c>
      <x:c r="E150" s="32" t="str">
        <x:v>md</x:v>
      </x:c>
      <x:c r="F150" s="88" t="n">
        <x:v>847</x:v>
      </x:c>
      <x:c r="G150" s="32" t="str">
        <x:v>2026-06-30 23:21</x:v>
      </x:c>
      <x:c r="H150" s="32" t="str">
        <x:v>0e69d8b664239477738f3dcce96eb5cfce2ff6e3db8817261f639ac4d64092b3</x:v>
      </x:c>
      <x:c r="I150" s="32" t="str">
        <x:v>Historical baseline source</x:v>
      </x:c>
      <x:c r="J150" s="32" t="str">
        <x:v>Consolidated documents 00–34; retained for genealogy and decisions not explicitly revoked</x:v>
      </x:c>
      <x:c r="K150" s="32" t="str">
        <x:v>Retain original acceptance intent, gates, constraints and evidence lineage unless explicitly superseded.</x:v>
      </x:c>
    </x:row>
    <x:row r="151">
      <x:c r="A151" s="32" t="str">
        <x:v>SRC-0147</x:v>
      </x:c>
      <x:c r="B151" s="32" t="str">
        <x:v>Handoff</x:v>
      </x:c>
      <x:c r="C151" s="32" t="str">
        <x:v>v0.6</x:v>
      </x:c>
      <x:c r="D151" s="32" t="str">
        <x:v>cc_project_old/Documentation/00_Official_Baseline/v0.6/06_Development_Records/Handoff/CURRENT_PROJECT_HANDOFF.md</x:v>
      </x:c>
      <x:c r="E151" s="32" t="str">
        <x:v>md</x:v>
      </x:c>
      <x:c r="F151" s="88" t="n">
        <x:v>1241</x:v>
      </x:c>
      <x:c r="G151" s="32" t="str">
        <x:v>2026-06-30 23:21</x:v>
      </x:c>
      <x:c r="H151" s="32" t="str">
        <x:v>7a297d84a36ecdd9e4296a631fc5acbff882218d125e63312850e8f28b46cd87</x:v>
      </x:c>
      <x:c r="I151" s="32" t="str">
        <x:v>Historical baseline source</x:v>
      </x:c>
      <x:c r="J151" s="32" t="str">
        <x:v>Consolidated documents 00–34; retained for genealogy and decisions not explicitly revoked</x:v>
      </x:c>
      <x:c r="K151" s="32" t="str">
        <x:v>Retain original acceptance intent, gates, constraints and evidence lineage unless explicitly superseded.</x:v>
      </x:c>
    </x:row>
    <x:row r="152">
      <x:c r="A152" s="32" t="str">
        <x:v>SRC-0148</x:v>
      </x:c>
      <x:c r="B152" s="32" t="str">
        <x:v>Sprint_16_Integration_Timeline</x:v>
      </x:c>
      <x:c r="C152" s="32" t="str">
        <x:v>v0.6</x:v>
      </x:c>
      <x:c r="D152" s="32" t="str">
        <x:v>cc_project_old/Documentation/00_Official_Baseline/v0.6/06_Development_Records/Historical/Sprint_16_Integration_Timeline.md</x:v>
      </x:c>
      <x:c r="E152" s="32" t="str">
        <x:v>md</x:v>
      </x:c>
      <x:c r="F152" s="88" t="n">
        <x:v>1783</x:v>
      </x:c>
      <x:c r="G152" s="32" t="str">
        <x:v>2026-06-30 23:32</x:v>
      </x:c>
      <x:c r="H152" s="32" t="str">
        <x:v>89fde821c460328fbb8700022883006d2eb8a1ab892c266972b7a1cc207cbcc0</x:v>
      </x:c>
      <x:c r="I152" s="32" t="str">
        <x:v>Historical baseline source</x:v>
      </x:c>
      <x:c r="J152" s="32" t="str">
        <x:v>Consolidated documents 00–34; retained for genealogy and decisions not explicitly revoked</x:v>
      </x:c>
      <x:c r="K152" s="32" t="str">
        <x:v>Retain original acceptance intent, gates, constraints and evidence lineage unless explicitly superseded.</x:v>
      </x:c>
    </x:row>
    <x:row r="153">
      <x:c r="A153" s="32" t="str">
        <x:v>SRC-0149</x:v>
      </x:c>
      <x:c r="B153" s="32" t="str">
        <x:v>KNOWN_ISSUES_v0.6</x:v>
      </x:c>
      <x:c r="C153" s="32" t="str">
        <x:v>v0.6</x:v>
      </x:c>
      <x:c r="D153" s="32" t="str">
        <x:v>cc_project_old/Documentation/00_Official_Baseline/v0.6/06_Development_Records/Known_Issues/KNOWN_ISSUES_v0.6.md</x:v>
      </x:c>
      <x:c r="E153" s="32" t="str">
        <x:v>md</x:v>
      </x:c>
      <x:c r="F153" s="88" t="n">
        <x:v>625</x:v>
      </x:c>
      <x:c r="G153" s="32" t="str">
        <x:v>2026-06-30 23:21</x:v>
      </x:c>
      <x:c r="H153" s="32" t="str">
        <x:v>cafa5a86bea24229e6306b324d1511e08d663f0b1ef97925be6de562f50ab5ec</x:v>
      </x:c>
      <x:c r="I153" s="32" t="str">
        <x:v>Historical baseline source</x:v>
      </x:c>
      <x:c r="J153" s="32" t="str">
        <x:v>Consolidated documents 00–34; retained for genealogy and decisions not explicitly revoked</x:v>
      </x:c>
      <x:c r="K153" s="32" t="str">
        <x:v>Retain original acceptance intent, gates, constraints and evidence lineage unless explicitly superseded.</x:v>
      </x:c>
    </x:row>
    <x:row r="154">
      <x:c r="A154" s="32" t="str">
        <x:v>SRC-0150</x:v>
      </x:c>
      <x:c r="B154" s="32" t="str">
        <x:v>Sprint_16_Current_Status</x:v>
      </x:c>
      <x:c r="C154" s="32" t="str">
        <x:v>v0.6</x:v>
      </x:c>
      <x:c r="D154" s="32" t="str">
        <x:v>cc_project_old/Documentation/00_Official_Baseline/v0.6/06_Development_Records/Sprints/Sprint_16/Governance/Sprint_16_Current_Status.md</x:v>
      </x:c>
      <x:c r="E154" s="32" t="str">
        <x:v>md</x:v>
      </x:c>
      <x:c r="F154" s="88" t="n">
        <x:v>665</x:v>
      </x:c>
      <x:c r="G154" s="32" t="str">
        <x:v>2026-06-30 23:21</x:v>
      </x:c>
      <x:c r="H154" s="32" t="str">
        <x:v>bc336c8bf852d942d1b0289cebfdde9db889088990fcc6151df5db559e94d1a9</x:v>
      </x:c>
      <x:c r="I154" s="32" t="str">
        <x:v>Historical baseline source</x:v>
      </x:c>
      <x:c r="J154" s="32" t="str">
        <x:v>Consolidated documents 00–34; retained for genealogy and decisions not explicitly revoked</x:v>
      </x:c>
      <x:c r="K154" s="32" t="str">
        <x:v>Retain original acceptance intent, gates, constraints and evidence lineage unless explicitly superseded.</x:v>
      </x:c>
    </x:row>
    <x:row r="155">
      <x:c r="A155" s="32" t="str">
        <x:v>SRC-0151</x:v>
      </x:c>
      <x:c r="B155" s="32" t="str">
        <x:v>Sprint_16_Representative_Asset_Integration_Record</x:v>
      </x:c>
      <x:c r="C155" s="32" t="str">
        <x:v>v0.6</x:v>
      </x:c>
      <x:c r="D155" s="32" t="str">
        <x:v>cc_project_old/Documentation/00_Official_Baseline/v0.6/06_Development_Records/Sprints/Sprint_16/Governance/Sprint_16_Representative_Asset_Integration_Record.md</x:v>
      </x:c>
      <x:c r="E155" s="32" t="str">
        <x:v>md</x:v>
      </x:c>
      <x:c r="F155" s="88" t="n">
        <x:v>554</x:v>
      </x:c>
      <x:c r="G155" s="32" t="str">
        <x:v>2026-06-30 23:21</x:v>
      </x:c>
      <x:c r="H155" s="32" t="str">
        <x:v>91133cf2823d732d58fcd23601d6816e610e00375cc38e39737929d88fc4ec54</x:v>
      </x:c>
      <x:c r="I155" s="32" t="str">
        <x:v>Historical baseline source</x:v>
      </x:c>
      <x:c r="J155" s="32" t="str">
        <x:v>Consolidated documents 00–34; retained for genealogy and decisions not explicitly revoked</x:v>
      </x:c>
      <x:c r="K155" s="32" t="str">
        <x:v>Retain original acceptance intent, gates, constraints and evidence lineage unless explicitly superseded.</x:v>
      </x:c>
    </x:row>
    <x:row r="156">
      <x:c r="A156" s="32" t="str">
        <x:v>SRC-0152</x:v>
      </x:c>
      <x:c r="B156" s="32" t="str">
        <x:v>Acceptance/QA</x:v>
      </x:c>
      <x:c r="C156" s="32" t="str">
        <x:v>v0.6</x:v>
      </x:c>
      <x:c r="D156" s="32" t="str">
        <x:v>cc_project_old/Documentation/00_Official_Baseline/v0.6/06_Development_Records/Sprints/Sprint_16/QA/S16_Acceptance_Matrix.md</x:v>
      </x:c>
      <x:c r="E156" s="32" t="str">
        <x:v>md</x:v>
      </x:c>
      <x:c r="F156" s="88" t="n">
        <x:v>572</x:v>
      </x:c>
      <x:c r="G156" s="32" t="str">
        <x:v>2026-06-30 23:21</x:v>
      </x:c>
      <x:c r="H156" s="32" t="str">
        <x:v>4ad529aceeaf7e2ea87def0e0be2f8f3998d6218f6ac11a06b40f770e66c44fd</x:v>
      </x:c>
      <x:c r="I156" s="32" t="str">
        <x:v>Historical baseline source</x:v>
      </x:c>
      <x:c r="J156" s="32" t="str">
        <x:v>Consolidated documents 00–34; retained for genealogy and decisions not explicitly revoked</x:v>
      </x:c>
      <x:c r="K156" s="32" t="str">
        <x:v>Retain original acceptance intent, gates, constraints and evidence lineage unless explicitly superseded.</x:v>
      </x:c>
    </x:row>
    <x:row r="157">
      <x:c r="A157" s="32" t="str">
        <x:v>SRC-0153</x:v>
      </x:c>
      <x:c r="B157" s="32" t="str">
        <x:v>Sprint_17_Opening_Brief</x:v>
      </x:c>
      <x:c r="C157" s="32" t="str">
        <x:v>v0.6</x:v>
      </x:c>
      <x:c r="D157" s="32" t="str">
        <x:v>cc_project_old/Documentation/00_Official_Baseline/v0.6/06_Development_Records/Sprints/Sprint_17/Governance/Sprint_17_Opening_Brief.md</x:v>
      </x:c>
      <x:c r="E157" s="32" t="str">
        <x:v>md</x:v>
      </x:c>
      <x:c r="F157" s="88" t="n">
        <x:v>239</x:v>
      </x:c>
      <x:c r="G157" s="32" t="str">
        <x:v>2026-06-30 23:21</x:v>
      </x:c>
      <x:c r="H157" s="32" t="str">
        <x:v>fb2c1a557e3b6cd765497315fa554eacc048c2fd21a2be9c7f5f28895a189ac1</x:v>
      </x:c>
      <x:c r="I157" s="32" t="str">
        <x:v>Historical baseline source</x:v>
      </x:c>
      <x:c r="J157" s="32" t="str">
        <x:v>Consolidated documents 00–34; retained for genealogy and decisions not explicitly revoked</x:v>
      </x:c>
      <x:c r="K157" s="32" t="str">
        <x:v>Retain original acceptance intent, gates, constraints and evidence lineage unless explicitly superseded.</x:v>
      </x:c>
    </x:row>
    <x:row r="158">
      <x:c r="A158" s="32" t="str">
        <x:v>SRC-0154</x:v>
      </x:c>
      <x:c r="B158" s="32" t="str">
        <x:v>Art</x:v>
      </x:c>
      <x:c r="C158" s="32" t="str">
        <x:v>v0.6</x:v>
      </x:c>
      <x:c r="D158" s="32" t="str">
        <x:v>cc_project_old/Documentation/00_Official_Baseline/v0.6/99_Source_Markdown/Cartridge_And_Cloud_Art_Bible_v0.5.md</x:v>
      </x:c>
      <x:c r="E158" s="32" t="str">
        <x:v>md</x:v>
      </x:c>
      <x:c r="F158" s="88" t="n">
        <x:v>2501</x:v>
      </x:c>
      <x:c r="G158" s="32" t="str">
        <x:v>2026-06-30 23:21</x:v>
      </x:c>
      <x:c r="H158" s="32" t="str">
        <x:v>27d4fe8de7bd166329880e6975b1bf90883cd92ca7133b667f1036b09816ca42</x:v>
      </x:c>
      <x:c r="I158" s="32" t="str">
        <x:v>Historical baseline source</x:v>
      </x:c>
      <x:c r="J158" s="32" t="str">
        <x:v>Consolidated documents 00–34; retained for genealogy and decisions not explicitly revoked</x:v>
      </x:c>
      <x:c r="K158" s="32" t="str">
        <x:v>Retain original acceptance intent, gates, constraints and evidence lineage unless explicitly superseded.</x:v>
      </x:c>
    </x:row>
    <x:row r="159">
      <x:c r="A159" s="32" t="str">
        <x:v>SRC-0155</x:v>
      </x:c>
      <x:c r="B159" s="32" t="str">
        <x:v>Audio</x:v>
      </x:c>
      <x:c r="C159" s="32" t="str">
        <x:v>v0.6</x:v>
      </x:c>
      <x:c r="D159" s="32" t="str">
        <x:v>cc_project_old/Documentation/00_Official_Baseline/v0.6/99_Source_Markdown/Cartridge_And_Cloud_Audio_Bible_v0.5.md</x:v>
      </x:c>
      <x:c r="E159" s="32" t="str">
        <x:v>md</x:v>
      </x:c>
      <x:c r="F159" s="88" t="n">
        <x:v>2018</x:v>
      </x:c>
      <x:c r="G159" s="32" t="str">
        <x:v>2026-06-30 23:21</x:v>
      </x:c>
      <x:c r="H159" s="32" t="str">
        <x:v>3edc3d0db88a36ac7726381883bbf4ffb5f5260a6cb5d972ecf659fbd5116aed</x:v>
      </x:c>
      <x:c r="I159" s="32" t="str">
        <x:v>Historical baseline source</x:v>
      </x:c>
      <x:c r="J159" s="32" t="str">
        <x:v>Consolidated documents 00–34; retained for genealogy and decisions not explicitly revoked</x:v>
      </x:c>
      <x:c r="K159" s="32" t="str">
        <x:v>Retain original acceptance intent, gates, constraints and evidence lineage unless explicitly superseded.</x:v>
      </x:c>
    </x:row>
    <x:row r="160">
      <x:c r="A160" s="32" t="str">
        <x:v>SRC-0156</x:v>
      </x:c>
      <x:c r="B160" s="32" t="str">
        <x:v>Build/Versioning</x:v>
      </x:c>
      <x:c r="C160" s="32" t="str">
        <x:v>v0.6</x:v>
      </x:c>
      <x:c r="D160" s="32" t="str">
        <x:v>cc_project_old/Documentation/00_Official_Baseline/v0.6/99_Source_Markdown/Cartridge_And_Cloud_Build_Versioning_Guide_v0.6.md</x:v>
      </x:c>
      <x:c r="E160" s="32" t="str">
        <x:v>md</x:v>
      </x:c>
      <x:c r="F160" s="88" t="n">
        <x:v>2462</x:v>
      </x:c>
      <x:c r="G160" s="32" t="str">
        <x:v>2026-06-30 23:21</x:v>
      </x:c>
      <x:c r="H160" s="32" t="str">
        <x:v>8cd0f62e233cfbad2bed3a07122696e2ea81b4fd5280987cffb9a8a2a1e98d43</x:v>
      </x:c>
      <x:c r="I160" s="32" t="str">
        <x:v>Historical baseline source</x:v>
      </x:c>
      <x:c r="J160" s="32" t="str">
        <x:v>Consolidated documents 00–34; retained for genealogy and decisions not explicitly revoked</x:v>
      </x:c>
      <x:c r="K160" s="32" t="str">
        <x:v>Retain original acceptance intent, gates, constraints and evidence lineage unless explicitly superseded.</x:v>
      </x:c>
    </x:row>
    <x:row r="161">
      <x:c r="A161" s="32" t="str">
        <x:v>SRC-0157</x:v>
      </x:c>
      <x:c r="B161" s="32" t="str">
        <x:v>Validation/Audit</x:v>
      </x:c>
      <x:c r="C161" s="32" t="str">
        <x:v>v0.6</x:v>
      </x:c>
      <x:c r="D161" s="32" t="str">
        <x:v>cc_project_old/Documentation/00_Official_Baseline/v0.6/99_Source_Markdown/Cartridge_And_Cloud_Documentation_Validation_Report_v0.4.md</x:v>
      </x:c>
      <x:c r="E161" s="32" t="str">
        <x:v>md</x:v>
      </x:c>
      <x:c r="F161" s="88" t="n">
        <x:v>2021</x:v>
      </x:c>
      <x:c r="G161" s="32" t="str">
        <x:v>2026-06-30 23:21</x:v>
      </x:c>
      <x:c r="H161" s="32" t="str">
        <x:v>a08d4ff750799f8b8d4cf0bd9412f4e6c5c7258055d089a896d0abaf8bf52d69</x:v>
      </x:c>
      <x:c r="I161" s="32" t="str">
        <x:v>Historical baseline source</x:v>
      </x:c>
      <x:c r="J161" s="32" t="str">
        <x:v>Consolidated documents 00–34; retained for genealogy and decisions not explicitly revoked</x:v>
      </x:c>
      <x:c r="K161" s="32" t="str">
        <x:v>Retain original acceptance intent, gates, constraints and evidence lineage unless explicitly superseded.</x:v>
      </x:c>
    </x:row>
    <x:row r="162">
      <x:c r="A162" s="32" t="str">
        <x:v>SRC-0158</x:v>
      </x:c>
      <x:c r="B162" s="32" t="str">
        <x:v>Scope/Governance</x:v>
      </x:c>
      <x:c r="C162" s="32" t="str">
        <x:v>v0.6</x:v>
      </x:c>
      <x:c r="D162" s="32" t="str">
        <x:v>cc_project_old/Documentation/00_Official_Baseline/v0.6/99_Source_Markdown/Cartridge_And_Cloud_Enfoque_v0.8.md</x:v>
      </x:c>
      <x:c r="E162" s="32" t="str">
        <x:v>md</x:v>
      </x:c>
      <x:c r="F162" s="88" t="n">
        <x:v>3665</x:v>
      </x:c>
      <x:c r="G162" s="32" t="str">
        <x:v>2026-06-30 23:21</x:v>
      </x:c>
      <x:c r="H162" s="32" t="str">
        <x:v>7723b3a72d7b63ace8f1401c9eb2ed250a671e6a49e867f134583c4572ce524c</x:v>
      </x:c>
      <x:c r="I162" s="32" t="str">
        <x:v>Historical baseline source</x:v>
      </x:c>
      <x:c r="J162" s="32" t="str">
        <x:v>Consolidated documents 00–34; retained for genealogy and decisions not explicitly revoked</x:v>
      </x:c>
      <x:c r="K162" s="32" t="str">
        <x:v>Retain original acceptance intent, gates, constraints and evidence lineage unless explicitly superseded.</x:v>
      </x:c>
    </x:row>
    <x:row r="163">
      <x:c r="A163" s="32" t="str">
        <x:v>SRC-0159</x:v>
      </x:c>
      <x:c r="B163" s="32" t="str">
        <x:v>Steam Publishing</x:v>
      </x:c>
      <x:c r="C163" s="32" t="str">
        <x:v>v0.6</x:v>
      </x:c>
      <x:c r="D163" s="32" t="str">
        <x:v>cc_project_old/Documentation/00_Official_Baseline/v0.6/99_Source_Markdown/Cartridge_And_Cloud_GDD_v0.6_PCSteam.md</x:v>
      </x:c>
      <x:c r="E163" s="32" t="str">
        <x:v>md</x:v>
      </x:c>
      <x:c r="F163" s="88" t="n">
        <x:v>4005</x:v>
      </x:c>
      <x:c r="G163" s="32" t="str">
        <x:v>2026-06-30 23:21</x:v>
      </x:c>
      <x:c r="H163" s="32" t="str">
        <x:v>333c7777584bcdee29c1caa8f90f4e43e3013e88cc339466a1a51f5bdd42c0d7</x:v>
      </x:c>
      <x:c r="I163" s="32" t="str">
        <x:v>Historical baseline source</x:v>
      </x:c>
      <x:c r="J163" s="32" t="str">
        <x:v>Consolidated documents 00–34; retained for genealogy and decisions not explicitly revoked</x:v>
      </x:c>
      <x:c r="K163" s="32" t="str">
        <x:v>Retain original acceptance intent, gates, constraints and evidence lineage unless explicitly superseded.</x:v>
      </x:c>
    </x:row>
    <x:row r="164">
      <x:c r="A164" s="32" t="str">
        <x:v>SRC-0160</x:v>
      </x:c>
      <x:c r="B164" s="32" t="str">
        <x:v>Cartridge_And_Cloud_Initial_Content_Catalog_v0.3</x:v>
      </x:c>
      <x:c r="C164" s="32" t="str">
        <x:v>v0.6</x:v>
      </x:c>
      <x:c r="D164" s="32" t="str">
        <x:v>cc_project_old/Documentation/00_Official_Baseline/v0.6/99_Source_Markdown/Cartridge_And_Cloud_Initial_Content_Catalog_v0.3.md</x:v>
      </x:c>
      <x:c r="E164" s="32" t="str">
        <x:v>md</x:v>
      </x:c>
      <x:c r="F164" s="88" t="n">
        <x:v>2784</x:v>
      </x:c>
      <x:c r="G164" s="32" t="str">
        <x:v>2026-06-30 23:21</x:v>
      </x:c>
      <x:c r="H164" s="32" t="str">
        <x:v>68f8841d7f5e83b1078bbf8c110e799165b74f5d75a823839d0acfd3086b333e</x:v>
      </x:c>
      <x:c r="I164" s="32" t="str">
        <x:v>Historical baseline source</x:v>
      </x:c>
      <x:c r="J164" s="32" t="str">
        <x:v>Consolidated documents 00–34; retained for genealogy and decisions not explicitly revoked</x:v>
      </x:c>
      <x:c r="K164" s="32" t="str">
        <x:v>Retain original acceptance intent, gates, constraints and evidence lineage unless explicitly superseded.</x:v>
      </x:c>
    </x:row>
    <x:row r="165">
      <x:c r="A165" s="32" t="str">
        <x:v>SRC-0161</x:v>
      </x:c>
      <x:c r="B165" s="32" t="str">
        <x:v>Legal/Licenses</x:v>
      </x:c>
      <x:c r="C165" s="32" t="str">
        <x:v>v0.6</x:v>
      </x:c>
      <x:c r="D165" s="32" t="str">
        <x:v>cc_project_old/Documentation/00_Official_Baseline/v0.6/99_Source_Markdown/Cartridge_And_Cloud_Legal_Credits_Licenses_Register_v0.5.md</x:v>
      </x:c>
      <x:c r="E165" s="32" t="str">
        <x:v>md</x:v>
      </x:c>
      <x:c r="F165" s="88" t="n">
        <x:v>1951</x:v>
      </x:c>
      <x:c r="G165" s="32" t="str">
        <x:v>2026-06-30 23:21</x:v>
      </x:c>
      <x:c r="H165" s="32" t="str">
        <x:v>610fc2ca1dd8ea1859fb779039e5de841610646d1e5601d316b2fe34410c3c81</x:v>
      </x:c>
      <x:c r="I165" s="32" t="str">
        <x:v>Historical baseline source</x:v>
      </x:c>
      <x:c r="J165" s="32" t="str">
        <x:v>Consolidated documents 00–34; retained for genealogy and decisions not explicitly revoked</x:v>
      </x:c>
      <x:c r="K165" s="32" t="str">
        <x:v>Retain original acceptance intent, gates, constraints and evidence lineage unless explicitly superseded.</x:v>
      </x:c>
    </x:row>
    <x:row r="166">
      <x:c r="A166" s="32" t="str">
        <x:v>SRC-0162</x:v>
      </x:c>
      <x:c r="B166" s="32" t="str">
        <x:v>Localization</x:v>
      </x:c>
      <x:c r="C166" s="32" t="str">
        <x:v>v0.6</x:v>
      </x:c>
      <x:c r="D166" s="32" t="str">
        <x:v>cc_project_old/Documentation/00_Official_Baseline/v0.6/99_Source_Markdown/Cartridge_And_Cloud_Localization_Plan_v0.5.md</x:v>
      </x:c>
      <x:c r="E166" s="32" t="str">
        <x:v>md</x:v>
      </x:c>
      <x:c r="F166" s="88" t="n">
        <x:v>1891</x:v>
      </x:c>
      <x:c r="G166" s="32" t="str">
        <x:v>2026-06-30 23:21</x:v>
      </x:c>
      <x:c r="H166" s="32" t="str">
        <x:v>e8c63ec8a67f5d87f5dcec078c94ac08620b27a064a5a6866a20fa78de1becf9</x:v>
      </x:c>
      <x:c r="I166" s="32" t="str">
        <x:v>Historical baseline source</x:v>
      </x:c>
      <x:c r="J166" s="32" t="str">
        <x:v>Consolidated documents 00–34; retained for genealogy and decisions not explicitly revoked</x:v>
      </x:c>
      <x:c r="K166" s="32" t="str">
        <x:v>Retain original acceptance intent, gates, constraints and evidence lineage unless explicitly superseded.</x:v>
      </x:c>
    </x:row>
    <x:row r="167">
      <x:c r="A167" s="32" t="str">
        <x:v>SRC-0163</x:v>
      </x:c>
      <x:c r="B167" s="32" t="str">
        <x:v>Marketing</x:v>
      </x:c>
      <x:c r="C167" s="32" t="str">
        <x:v>v0.6</x:v>
      </x:c>
      <x:c r="D167" s="32" t="str">
        <x:v>cc_project_old/Documentation/00_Official_Baseline/v0.6/99_Source_Markdown/Cartridge_And_Cloud_Marketing_Plan_v0.5.md</x:v>
      </x:c>
      <x:c r="E167" s="32" t="str">
        <x:v>md</x:v>
      </x:c>
      <x:c r="F167" s="88" t="n">
        <x:v>1864</x:v>
      </x:c>
      <x:c r="G167" s="32" t="str">
        <x:v>2026-06-30 23:21</x:v>
      </x:c>
      <x:c r="H167" s="32" t="str">
        <x:v>96b3223429d38a0c83f4c89f07b63e3c258a72cbc76ada7c5e8e5991b62ab1ea</x:v>
      </x:c>
      <x:c r="I167" s="32" t="str">
        <x:v>Historical baseline source</x:v>
      </x:c>
      <x:c r="J167" s="32" t="str">
        <x:v>Consolidated documents 00–34; retained for genealogy and decisions not explicitly revoked</x:v>
      </x:c>
      <x:c r="K167" s="32" t="str">
        <x:v>Retain original acceptance intent, gates, constraints and evidence lineage unless explicitly superseded.</x:v>
      </x:c>
    </x:row>
    <x:row r="168">
      <x:c r="A168" s="32" t="str">
        <x:v>SRC-0164</x:v>
      </x:c>
      <x:c r="B168" s="32" t="str">
        <x:v>Data/Persistence</x:v>
      </x:c>
      <x:c r="C168" s="32" t="str">
        <x:v>v0.6</x:v>
      </x:c>
      <x:c r="D168" s="32" t="str">
        <x:v>cc_project_old/Documentation/00_Official_Baseline/v0.6/99_Source_Markdown/Cartridge_And_Cloud_Modelo_de_Datos_v0.5.md</x:v>
      </x:c>
      <x:c r="E168" s="32" t="str">
        <x:v>md</x:v>
      </x:c>
      <x:c r="F168" s="88" t="n">
        <x:v>3168</x:v>
      </x:c>
      <x:c r="G168" s="32" t="str">
        <x:v>2026-06-30 23:21</x:v>
      </x:c>
      <x:c r="H168" s="32" t="str">
        <x:v>409201b990309744b05a65a3306034e605e7254d10a5d4232b707cdbc8779b4a</x:v>
      </x:c>
      <x:c r="I168" s="32" t="str">
        <x:v>Historical baseline source</x:v>
      </x:c>
      <x:c r="J168" s="32" t="str">
        <x:v>Consolidated documents 00–34; retained for genealogy and decisions not explicitly revoked</x:v>
      </x:c>
      <x:c r="K168" s="32" t="str">
        <x:v>Retain original acceptance intent, gates, constraints and evidence lineage unless explicitly superseded.</x:v>
      </x:c>
    </x:row>
    <x:row r="169">
      <x:c r="A169" s="32" t="str">
        <x:v>SRC-0165</x:v>
      </x:c>
      <x:c r="B169" s="32" t="str">
        <x:v>Manifest/Baseline</x:v>
      </x:c>
      <x:c r="C169" s="32" t="str">
        <x:v>v0.6</x:v>
      </x:c>
      <x:c r="D169" s="32" t="str">
        <x:v>cc_project_old/Documentation/00_Official_Baseline/v0.6/99_Source_Markdown/Cartridge_And_Cloud_Package_Manifest_v0.4.md</x:v>
      </x:c>
      <x:c r="E169" s="32" t="str">
        <x:v>md</x:v>
      </x:c>
      <x:c r="F169" s="88" t="n">
        <x:v>1910</x:v>
      </x:c>
      <x:c r="G169" s="32" t="str">
        <x:v>2026-06-30 23:21</x:v>
      </x:c>
      <x:c r="H169" s="32" t="str">
        <x:v>89ae5a7d733d8d70f36b64cfe3653aed99149827155fcddec0cadf650fd38acb</x:v>
      </x:c>
      <x:c r="I169" s="32" t="str">
        <x:v>Historical baseline source</x:v>
      </x:c>
      <x:c r="J169" s="32" t="str">
        <x:v>Consolidated documents 00–34; retained for genealogy and decisions not explicitly revoked</x:v>
      </x:c>
      <x:c r="K169" s="32" t="str">
        <x:v>Retain original acceptance intent, gates, constraints and evidence lineage unless explicitly superseded.</x:v>
      </x:c>
    </x:row>
    <x:row r="170">
      <x:c r="A170" s="32" t="str">
        <x:v>SRC-0166</x:v>
      </x:c>
      <x:c r="B170" s="32" t="str">
        <x:v>Cartridge_And_Cloud_Production_Roadmap_Sprint_Plan_v0.6</x:v>
      </x:c>
      <x:c r="C170" s="32" t="str">
        <x:v>v0.6</x:v>
      </x:c>
      <x:c r="D170" s="32" t="str">
        <x:v>cc_project_old/Documentation/00_Official_Baseline/v0.6/99_Source_Markdown/Cartridge_And_Cloud_Production_Roadmap_Sprint_Plan_v0.6.md</x:v>
      </x:c>
      <x:c r="E170" s="32" t="str">
        <x:v>md</x:v>
      </x:c>
      <x:c r="F170" s="88" t="n">
        <x:v>3191</x:v>
      </x:c>
      <x:c r="G170" s="32" t="str">
        <x:v>2026-06-30 23:21</x:v>
      </x:c>
      <x:c r="H170" s="32" t="str">
        <x:v>f7b50c87cbc0faa2478f677f868e2e29dd1e74abfe74c1cbb30aed74ab7ac70a</x:v>
      </x:c>
      <x:c r="I170" s="32" t="str">
        <x:v>Historical baseline source</x:v>
      </x:c>
      <x:c r="J170" s="32" t="str">
        <x:v>Consolidated documents 00–34; retained for genealogy and decisions not explicitly revoked</x:v>
      </x:c>
      <x:c r="K170" s="32" t="str">
        <x:v>Retain original acceptance intent, gates, constraints and evidence lineage unless explicitly superseded.</x:v>
      </x:c>
    </x:row>
    <x:row r="171">
      <x:c r="A171" s="32" t="str">
        <x:v>SRC-0167</x:v>
      </x:c>
      <x:c r="B171" s="32" t="str">
        <x:v>QA</x:v>
      </x:c>
      <x:c r="C171" s="32" t="str">
        <x:v>v0.6</x:v>
      </x:c>
      <x:c r="D171" s="32" t="str">
        <x:v>cc_project_old/Documentation/00_Official_Baseline/v0.6/99_Source_Markdown/Cartridge_And_Cloud_QA_Testing_Plan_v0.6.md</x:v>
      </x:c>
      <x:c r="E171" s="32" t="str">
        <x:v>md</x:v>
      </x:c>
      <x:c r="F171" s="88" t="n">
        <x:v>2637</x:v>
      </x:c>
      <x:c r="G171" s="32" t="str">
        <x:v>2026-06-30 23:21</x:v>
      </x:c>
      <x:c r="H171" s="32" t="str">
        <x:v>7659a777a9aa78f083d8a6d577898bec89430cae108b079ee7137c769da7f069</x:v>
      </x:c>
      <x:c r="I171" s="32" t="str">
        <x:v>Historical baseline source</x:v>
      </x:c>
      <x:c r="J171" s="32" t="str">
        <x:v>Consolidated documents 00–34; retained for genealogy and decisions not explicitly revoked</x:v>
      </x:c>
      <x:c r="K171" s="32" t="str">
        <x:v>Retain original acceptance intent, gates, constraints and evidence lineage unless explicitly superseded.</x:v>
      </x:c>
    </x:row>
    <x:row r="172">
      <x:c r="A172" s="32" t="str">
        <x:v>SRC-0168</x:v>
      </x:c>
      <x:c r="B172" s="32" t="str">
        <x:v>Steam Publishing</x:v>
      </x:c>
      <x:c r="C172" s="32" t="str">
        <x:v>v0.6</x:v>
      </x:c>
      <x:c r="D172" s="32" t="str">
        <x:v>cc_project_old/Documentation/00_Official_Baseline/v0.6/99_Source_Markdown/Cartridge_And_Cloud_Steam_Publishing_Plan_v0.5.md</x:v>
      </x:c>
      <x:c r="E172" s="32" t="str">
        <x:v>md</x:v>
      </x:c>
      <x:c r="F172" s="88" t="n">
        <x:v>1866</x:v>
      </x:c>
      <x:c r="G172" s="32" t="str">
        <x:v>2026-06-30 23:21</x:v>
      </x:c>
      <x:c r="H172" s="32" t="str">
        <x:v>f7840ee791e07430dd750500421dc6e262d21d5119e634634919247ff13cf8d0</x:v>
      </x:c>
      <x:c r="I172" s="32" t="str">
        <x:v>Historical baseline source</x:v>
      </x:c>
      <x:c r="J172" s="32" t="str">
        <x:v>Consolidated documents 00–34; retained for genealogy and decisions not explicitly revoked</x:v>
      </x:c>
      <x:c r="K172" s="32" t="str">
        <x:v>Retain original acceptance intent, gates, constraints and evidence lineage unless explicitly superseded.</x:v>
      </x:c>
    </x:row>
    <x:row r="173">
      <x:c r="A173" s="32" t="str">
        <x:v>SRC-0169</x:v>
      </x:c>
      <x:c r="B173" s="32" t="str">
        <x:v>Technical</x:v>
      </x:c>
      <x:c r="C173" s="32" t="str">
        <x:v>v0.6</x:v>
      </x:c>
      <x:c r="D173" s="32" t="str">
        <x:v>cc_project_old/Documentation/00_Official_Baseline/v0.6/99_Source_Markdown/Cartridge_And_Cloud_TDD_v0.6_Technical_Design_Document.md</x:v>
      </x:c>
      <x:c r="E173" s="32" t="str">
        <x:v>md</x:v>
      </x:c>
      <x:c r="F173" s="88" t="n">
        <x:v>4268</x:v>
      </x:c>
      <x:c r="G173" s="32" t="str">
        <x:v>2026-06-30 23:21</x:v>
      </x:c>
      <x:c r="H173" s="32" t="str">
        <x:v>daa5578e670e61ffe40db754ef512d02885d1bb7600c74487194ad8ec27cb2ce</x:v>
      </x:c>
      <x:c r="I173" s="32" t="str">
        <x:v>Historical baseline source</x:v>
      </x:c>
      <x:c r="J173" s="32" t="str">
        <x:v>Consolidated documents 00–34; retained for genealogy and decisions not explicitly revoked</x:v>
      </x:c>
      <x:c r="K173" s="32" t="str">
        <x:v>Retain original acceptance intent, gates, constraints and evidence lineage unless explicitly superseded.</x:v>
      </x:c>
    </x:row>
    <x:row r="174">
      <x:c r="A174" s="32" t="str">
        <x:v>SRC-0170</x:v>
      </x:c>
      <x:c r="B174" s="32" t="str">
        <x:v>UI</x:v>
      </x:c>
      <x:c r="C174" s="32" t="str">
        <x:v>v0.6</x:v>
      </x:c>
      <x:c r="D174" s="32" t="str">
        <x:v>cc_project_old/Documentation/00_Official_Baseline/v0.6/99_Source_Markdown/Cartridge_And_Cloud_UI_Style_Guide_v0.5.md</x:v>
      </x:c>
      <x:c r="E174" s="32" t="str">
        <x:v>md</x:v>
      </x:c>
      <x:c r="F174" s="88" t="n">
        <x:v>2181</x:v>
      </x:c>
      <x:c r="G174" s="32" t="str">
        <x:v>2026-06-30 23:21</x:v>
      </x:c>
      <x:c r="H174" s="32" t="str">
        <x:v>857f070207a752796ff5c21968020d3230a8c357d84a140593c74c47c59ee645</x:v>
      </x:c>
      <x:c r="I174" s="32" t="str">
        <x:v>Historical baseline source</x:v>
      </x:c>
      <x:c r="J174" s="32" t="str">
        <x:v>Consolidated documents 00–34; retained for genealogy and decisions not explicitly revoked</x:v>
      </x:c>
      <x:c r="K174" s="32" t="str">
        <x:v>Retain original acceptance intent, gates, constraints and evidence lineage unless explicitly superseded.</x:v>
      </x:c>
    </x:row>
    <x:row r="175">
      <x:c r="A175" s="32" t="str">
        <x:v>SRC-0171</x:v>
      </x:c>
      <x:c r="B175" s="32" t="str">
        <x:v>UX</x:v>
      </x:c>
      <x:c r="C175" s="32" t="str">
        <x:v>v0.6</x:v>
      </x:c>
      <x:c r="D175" s="32" t="str">
        <x:v>cc_project_old/Documentation/00_Official_Baseline/v0.6/99_Source_Markdown/Cartridge_And_Cloud_UX_Flow_v0.5.md</x:v>
      </x:c>
      <x:c r="E175" s="32" t="str">
        <x:v>md</x:v>
      </x:c>
      <x:c r="F175" s="88" t="n">
        <x:v>2707</x:v>
      </x:c>
      <x:c r="G175" s="32" t="str">
        <x:v>2026-06-30 23:21</x:v>
      </x:c>
      <x:c r="H175" s="32" t="str">
        <x:v>5c755541bbc69510af12839f8435e090972edc7b7bb484139683614f69fcb85c</x:v>
      </x:c>
      <x:c r="I175" s="32" t="str">
        <x:v>Historical baseline source</x:v>
      </x:c>
      <x:c r="J175" s="32" t="str">
        <x:v>Consolidated documents 00–34; retained for genealogy and decisions not explicitly revoked</x:v>
      </x:c>
      <x:c r="K175" s="32" t="str">
        <x:v>Retain original acceptance intent, gates, constraints and evidence lineage unless explicitly superseded.</x:v>
      </x:c>
    </x:row>
    <x:row r="176">
      <x:c r="A176" s="32" t="str">
        <x:v>SRC-0172</x:v>
      </x:c>
      <x:c r="B176" s="32" t="str">
        <x:v>Cartridge_And_Cloud_Unity_Project_Setup_Guide_v0.6</x:v>
      </x:c>
      <x:c r="C176" s="32" t="str">
        <x:v>v0.6</x:v>
      </x:c>
      <x:c r="D176" s="32" t="str">
        <x:v>cc_project_old/Documentation/00_Official_Baseline/v0.6/99_Source_Markdown/Cartridge_And_Cloud_Unity_Project_Setup_Guide_v0.6.md</x:v>
      </x:c>
      <x:c r="E176" s="32" t="str">
        <x:v>md</x:v>
      </x:c>
      <x:c r="F176" s="88" t="n">
        <x:v>2805</x:v>
      </x:c>
      <x:c r="G176" s="32" t="str">
        <x:v>2026-06-30 23:21</x:v>
      </x:c>
      <x:c r="H176" s="32" t="str">
        <x:v>e0ba621f7cbd548da5ffa6484a1c2a0c91b820f845e5d410e318f01c34547497</x:v>
      </x:c>
      <x:c r="I176" s="32" t="str">
        <x:v>Historical baseline source</x:v>
      </x:c>
      <x:c r="J176" s="32" t="str">
        <x:v>Consolidated documents 00–34; retained for genealogy and decisions not explicitly revoked</x:v>
      </x:c>
      <x:c r="K176" s="32" t="str">
        <x:v>Retain original acceptance intent, gates, constraints and evidence lineage unless explicitly superseded.</x:v>
      </x:c>
    </x:row>
    <x:row r="177">
      <x:c r="A177" s="32" t="str">
        <x:v>SRC-0173</x:v>
      </x:c>
      <x:c r="B177" s="32" t="str">
        <x:v>Vertical Slice</x:v>
      </x:c>
      <x:c r="C177" s="32" t="str">
        <x:v>v0.6</x:v>
      </x:c>
      <x:c r="D177" s="32" t="str">
        <x:v>cc_project_old/Documentation/00_Official_Baseline/v0.6/99_Source_Markdown/Cartridge_And_Cloud_Vertical_Slice_Specification_v0.4.md</x:v>
      </x:c>
      <x:c r="E177" s="32" t="str">
        <x:v>md</x:v>
      </x:c>
      <x:c r="F177" s="88" t="n">
        <x:v>3027</x:v>
      </x:c>
      <x:c r="G177" s="32" t="str">
        <x:v>2026-06-30 23:21</x:v>
      </x:c>
      <x:c r="H177" s="32" t="str">
        <x:v>efff0d3056515ad3e71a9c751f7ec86ce932d3098fb5870b246c04559695a3f5</x:v>
      </x:c>
      <x:c r="I177" s="32" t="str">
        <x:v>Historical baseline source</x:v>
      </x:c>
      <x:c r="J177" s="32" t="str">
        <x:v>Consolidated documents 00–34; retained for genealogy and decisions not explicitly revoked</x:v>
      </x:c>
      <x:c r="K177" s="32" t="str">
        <x:v>Retain original acceptance intent, gates, constraints and evidence lineage unless explicitly superseded.</x:v>
      </x:c>
    </x:row>
    <x:row r="178">
      <x:c r="A178" s="32" t="str">
        <x:v>SRC-0174</x:v>
      </x:c>
      <x:c r="B178" s="32" t="str">
        <x:v>Handoff</x:v>
      </x:c>
      <x:c r="C178" s="32" t="str">
        <x:v>v0.6</x:v>
      </x:c>
      <x:c r="D178" s="32" t="str">
        <x:v>cc_project_old/Documentation/00_Official_Baseline/v0.6/CURRENT_PROJECT_HANDOFF.md</x:v>
      </x:c>
      <x:c r="E178" s="32" t="str">
        <x:v>md</x:v>
      </x:c>
      <x:c r="F178" s="88" t="n">
        <x:v>1241</x:v>
      </x:c>
      <x:c r="G178" s="32" t="str">
        <x:v>2026-06-30 23:21</x:v>
      </x:c>
      <x:c r="H178" s="32" t="str">
        <x:v>7a297d84a36ecdd9e4296a631fc5acbff882218d125e63312850e8f28b46cd87</x:v>
      </x:c>
      <x:c r="I178" s="32" t="str">
        <x:v>Historical baseline source</x:v>
      </x:c>
      <x:c r="J178" s="32" t="str">
        <x:v>Consolidated documents 00–34; retained for genealogy and decisions not explicitly revoked</x:v>
      </x:c>
      <x:c r="K178" s="32" t="str">
        <x:v>Retain original acceptance intent, gates, constraints and evidence lineage unless explicitly superseded.</x:v>
      </x:c>
    </x:row>
    <x:row r="179">
      <x:c r="A179" s="32" t="str">
        <x:v>SRC-0175</x:v>
      </x:c>
      <x:c r="B179" s="32" t="str">
        <x:v>Validation/Audit</x:v>
      </x:c>
      <x:c r="C179" s="32" t="str">
        <x:v>v0.6</x:v>
      </x:c>
      <x:c r="D179" s="32" t="str">
        <x:v>cc_project_old/Documentation/00_Official_Baseline/v0.6/DOCUMENTATION_VALIDATION_REPORT.md</x:v>
      </x:c>
      <x:c r="E179" s="32" t="str">
        <x:v>md</x:v>
      </x:c>
      <x:c r="F179" s="88" t="n">
        <x:v>1370</x:v>
      </x:c>
      <x:c r="G179" s="32" t="str">
        <x:v>2026-06-30 23:34</x:v>
      </x:c>
      <x:c r="H179" s="32" t="str">
        <x:v>689cecc2f66971314e99bd44ba378e6a58c676813359778b191f0759f1a36553</x:v>
      </x:c>
      <x:c r="I179" s="32" t="str">
        <x:v>Historical baseline source</x:v>
      </x:c>
      <x:c r="J179" s="32" t="str">
        <x:v>Consolidated documents 00–34; retained for genealogy and decisions not explicitly revoked</x:v>
      </x:c>
      <x:c r="K179" s="32" t="str">
        <x:v>Retain original acceptance intent, gates, constraints and evidence lineage unless explicitly superseded.</x:v>
      </x:c>
    </x:row>
    <x:row r="180">
      <x:c r="A180" s="32" t="str">
        <x:v>SRC-0176</x:v>
      </x:c>
      <x:c r="B180" s="32" t="str">
        <x:v>Manifest/Baseline</x:v>
      </x:c>
      <x:c r="C180" s="32" t="str">
        <x:v>v0.6</x:v>
      </x:c>
      <x:c r="D180" s="32" t="str">
        <x:v>cc_project_old/Documentation/00_Official_Baseline/v0.6/PACKAGE_MANIFEST.md</x:v>
      </x:c>
      <x:c r="E180" s="32" t="str">
        <x:v>md</x:v>
      </x:c>
      <x:c r="F180" s="88" t="n">
        <x:v>876</x:v>
      </x:c>
      <x:c r="G180" s="32" t="str">
        <x:v>2026-06-30 23:34</x:v>
      </x:c>
      <x:c r="H180" s="32" t="str">
        <x:v>c25b2f638ce7814f8f2d9a153481efe6891a01b7e873f1a3251775ee51b922dd</x:v>
      </x:c>
      <x:c r="I180" s="32" t="str">
        <x:v>Historical baseline source</x:v>
      </x:c>
      <x:c r="J180" s="32" t="str">
        <x:v>Consolidated documents 00–34; retained for genealogy and decisions not explicitly revoked</x:v>
      </x:c>
      <x:c r="K180" s="32" t="str">
        <x:v>Retain original acceptance intent, gates, constraints and evidence lineage unless explicitly superseded.</x:v>
      </x:c>
    </x:row>
    <x:row r="181">
      <x:c r="A181" s="32" t="str">
        <x:v>SRC-0177</x:v>
      </x:c>
      <x:c r="B181" s="32" t="str">
        <x:v>Validation/Audit</x:v>
      </x:c>
      <x:c r="C181" s="32" t="str">
        <x:v>v0.6</x:v>
      </x:c>
      <x:c r="D181" s="32" t="str">
        <x:v>cc_project_old/Documentation/00_Official_Baseline/v0.6/PDF_VALIDATION_REPORT.md</x:v>
      </x:c>
      <x:c r="E181" s="32" t="str">
        <x:v>md</x:v>
      </x:c>
      <x:c r="F181" s="88" t="n">
        <x:v>2561</x:v>
      </x:c>
      <x:c r="G181" s="32" t="str">
        <x:v>2026-06-30 23:34</x:v>
      </x:c>
      <x:c r="H181" s="32" t="str">
        <x:v>9bdd1e982f2dba4c51c17e30800fff385bfc5140adcf48714367e8831b84b438</x:v>
      </x:c>
      <x:c r="I181" s="32" t="str">
        <x:v>Historical baseline source</x:v>
      </x:c>
      <x:c r="J181" s="32" t="str">
        <x:v>Consolidated documents 00–34; retained for genealogy and decisions not explicitly revoked</x:v>
      </x:c>
      <x:c r="K181" s="32" t="str">
        <x:v>Retain original acceptance intent, gates, constraints and evidence lineage unless explicitly superseded.</x:v>
      </x:c>
    </x:row>
    <x:row r="182">
      <x:c r="A182" s="32" t="str">
        <x:v>SRC-0178</x:v>
      </x:c>
      <x:c r="B182" s="32" t="str">
        <x:v>ADR-0001-Unity-and-Package-Baseline</x:v>
      </x:c>
      <x:c r="C182" s="32" t="str">
        <x:v>Development record</x:v>
      </x:c>
      <x:c r="D182" s="32" t="str">
        <x:v>cc_project_old/Documentation/10_Development_Records/ADR/ADR-0001-Unity-and-Package-Baseline.md</x:v>
      </x:c>
      <x:c r="E182" s="32" t="str">
        <x:v>md</x:v>
      </x:c>
      <x:c r="F182" s="88" t="n">
        <x:v>831</x:v>
      </x:c>
      <x:c r="G182" s="32" t="str">
        <x:v>2026-06-22 02:14</x:v>
      </x:c>
      <x:c r="H182" s="32" t="str">
        <x:v>196d02854bf9a34c0e4c2acd7056cde24e0a232c74d345f900997fff9689f853</x:v>
      </x:c>
      <x:c r="I182" s="32" t="str">
        <x:v>Development evidence</x:v>
      </x:c>
      <x:c r="J182" s="32" t="str">
        <x:v>Consolidated documents 00–34; retained for genealogy and decisions not explicitly revoked</x:v>
      </x:c>
      <x:c r="K182" s="32" t="str">
        <x:v>Retain original acceptance intent, gates, constraints and evidence lineage unless explicitly superseded.</x:v>
      </x:c>
    </x:row>
    <x:row r="183">
      <x:c r="A183" s="32" t="str">
        <x:v>SRC-0179</x:v>
      </x:c>
      <x:c r="B183" s="32" t="str">
        <x:v>ADR-0002-Version-Control-and-Repository-Workflow</x:v>
      </x:c>
      <x:c r="C183" s="32" t="str">
        <x:v>Development record</x:v>
      </x:c>
      <x:c r="D183" s="32" t="str">
        <x:v>cc_project_old/Documentation/10_Development_Records/ADR/ADR-0002-Version-Control-and-Repository-Workflow.md</x:v>
      </x:c>
      <x:c r="E183" s="32" t="str">
        <x:v>md</x:v>
      </x:c>
      <x:c r="F183" s="88" t="n">
        <x:v>701</x:v>
      </x:c>
      <x:c r="G183" s="32" t="str">
        <x:v>2026-06-22 02:14</x:v>
      </x:c>
      <x:c r="H183" s="32" t="str">
        <x:v>53e4ccc17554147c05af07525dbbe96401d99cc339774c075dffbd835edfb099</x:v>
      </x:c>
      <x:c r="I183" s="32" t="str">
        <x:v>Development evidence</x:v>
      </x:c>
      <x:c r="J183" s="32" t="str">
        <x:v>Consolidated documents 00–34; retained for genealogy and decisions not explicitly revoked</x:v>
      </x:c>
      <x:c r="K183" s="32" t="str">
        <x:v>Retain original acceptance intent, gates, constraints and evidence lineage unless explicitly superseded.</x:v>
      </x:c>
    </x:row>
    <x:row r="184">
      <x:c r="A184" s="32" t="str">
        <x:v>SRC-0180</x:v>
      </x:c>
      <x:c r="B184" s="32" t="str">
        <x:v>ADR-0003-Documentation-Baseline-and-Operational-Layer</x:v>
      </x:c>
      <x:c r="C184" s="32" t="str">
        <x:v>Development record</x:v>
      </x:c>
      <x:c r="D184" s="32" t="str">
        <x:v>cc_project_old/Documentation/10_Development_Records/ADR/ADR-0003-Documentation-Baseline-and-Operational-Layer.md</x:v>
      </x:c>
      <x:c r="E184" s="32" t="str">
        <x:v>md</x:v>
      </x:c>
      <x:c r="F184" s="88" t="n">
        <x:v>808</x:v>
      </x:c>
      <x:c r="G184" s="32" t="str">
        <x:v>2026-06-22 02:14</x:v>
      </x:c>
      <x:c r="H184" s="32" t="str">
        <x:v>18a0308055e403fabd0e9b7a3d60910d22f9ba4dd2a35317408c441e905c605f</x:v>
      </x:c>
      <x:c r="I184" s="32" t="str">
        <x:v>Development evidence</x:v>
      </x:c>
      <x:c r="J184" s="32" t="str">
        <x:v>Consolidated documents 00–34; retained for genealogy and decisions not explicitly revoked</x:v>
      </x:c>
      <x:c r="K184" s="32" t="str">
        <x:v>Retain original acceptance intent, gates, constraints and evidence lineage unless explicitly superseded.</x:v>
      </x:c>
    </x:row>
    <x:row r="185">
      <x:c r="A185" s="32" t="str">
        <x:v>SRC-0181</x:v>
      </x:c>
      <x:c r="B185" s="32" t="str">
        <x:v>ADR-0004-Assembly-Dependency-Boundaries</x:v>
      </x:c>
      <x:c r="C185" s="32" t="str">
        <x:v>Development record</x:v>
      </x:c>
      <x:c r="D185" s="32" t="str">
        <x:v>cc_project_old/Documentation/10_Development_Records/ADR/ADR-0004-Assembly-Dependency-Boundaries.md</x:v>
      </x:c>
      <x:c r="E185" s="32" t="str">
        <x:v>md</x:v>
      </x:c>
      <x:c r="F185" s="88" t="n">
        <x:v>792</x:v>
      </x:c>
      <x:c r="G185" s="32" t="str">
        <x:v>2026-06-22 02:14</x:v>
      </x:c>
      <x:c r="H185" s="32" t="str">
        <x:v>8eea405d40efbffd5f51ad2c945994ffd82165bb5fef57900518c94fc23ac800</x:v>
      </x:c>
      <x:c r="I185" s="32" t="str">
        <x:v>Development evidence</x:v>
      </x:c>
      <x:c r="J185" s="32" t="str">
        <x:v>Consolidated documents 00–34; retained for genealogy and decisions not explicitly revoked</x:v>
      </x:c>
      <x:c r="K185" s="32" t="str">
        <x:v>Retain original acceptance intent, gates, constraints and evidence lineage unless explicitly superseded.</x:v>
      </x:c>
    </x:row>
    <x:row r="186">
      <x:c r="A186" s="32" t="str">
        <x:v>SRC-0182</x:v>
      </x:c>
      <x:c r="B186" s="32" t="str">
        <x:v>Build/Versioning</x:v>
      </x:c>
      <x:c r="C186" s="32" t="str">
        <x:v>Development record</x:v>
      </x:c>
      <x:c r="D186" s="32" t="str">
        <x:v>cc_project_old/Documentation/10_Development_Records/ADR/ADR-0005-Scene-Baseline-and-Build-Order.md</x:v>
      </x:c>
      <x:c r="E186" s="32" t="str">
        <x:v>md</x:v>
      </x:c>
      <x:c r="F186" s="88" t="n">
        <x:v>1662</x:v>
      </x:c>
      <x:c r="G186" s="32" t="str">
        <x:v>2026-06-21 21:55</x:v>
      </x:c>
      <x:c r="H186" s="32" t="str">
        <x:v>e83bbf7ee82448366ccdd997c18b11a620016ba4ea70b4576f8b159930db8880</x:v>
      </x:c>
      <x:c r="I186" s="32" t="str">
        <x:v>Development evidence</x:v>
      </x:c>
      <x:c r="J186" s="32" t="str">
        <x:v>Consolidated documents 00–34; retained for genealogy and decisions not explicitly revoked</x:v>
      </x:c>
      <x:c r="K186" s="32" t="str">
        <x:v>Retain original acceptance intent, gates, constraints and evidence lineage unless explicitly superseded.</x:v>
      </x:c>
    </x:row>
    <x:row r="187">
      <x:c r="A187" s="32" t="str">
        <x:v>SRC-0183</x:v>
      </x:c>
      <x:c r="B187" s="32" t="str">
        <x:v>ADR-0006-Smoke-Test-Baseline-and-Execution-Policy</x:v>
      </x:c>
      <x:c r="C187" s="32" t="str">
        <x:v>Development record</x:v>
      </x:c>
      <x:c r="D187" s="32" t="str">
        <x:v>cc_project_old/Documentation/10_Development_Records/ADR/ADR-0006-Smoke-Test-Baseline-and-Execution-Policy.md</x:v>
      </x:c>
      <x:c r="E187" s="32" t="str">
        <x:v>md</x:v>
      </x:c>
      <x:c r="F187" s="88" t="n">
        <x:v>1527</x:v>
      </x:c>
      <x:c r="G187" s="32" t="str">
        <x:v>2026-06-22 01:01</x:v>
      </x:c>
      <x:c r="H187" s="32" t="str">
        <x:v>e2b6c379f89de34cfbf3064b62dad675d85560a4a0117ebc634cd49d703ab97a</x:v>
      </x:c>
      <x:c r="I187" s="32" t="str">
        <x:v>Development evidence</x:v>
      </x:c>
      <x:c r="J187" s="32" t="str">
        <x:v>Consolidated documents 00–34; retained for genealogy and decisions not explicitly revoked</x:v>
      </x:c>
      <x:c r="K187" s="32" t="str">
        <x:v>Retain original acceptance intent, gates, constraints and evidence lineage unless explicitly superseded.</x:v>
      </x:c>
    </x:row>
    <x:row r="188">
      <x:c r="A188" s="32" t="str">
        <x:v>SRC-0184</x:v>
      </x:c>
      <x:c r="B188" s="32" t="str">
        <x:v>Build/Versioning</x:v>
      </x:c>
      <x:c r="C188" s="32" t="str">
        <x:v>Development record</x:v>
      </x:c>
      <x:c r="D188" s="32" t="str">
        <x:v>cc_project_old/Documentation/10_Development_Records/ADR/ADR-0007-Windows-Development-Build-Baseline.md</x:v>
      </x:c>
      <x:c r="E188" s="32" t="str">
        <x:v>md</x:v>
      </x:c>
      <x:c r="F188" s="88" t="n">
        <x:v>2251</x:v>
      </x:c>
      <x:c r="G188" s="32" t="str">
        <x:v>2026-06-22 01:51</x:v>
      </x:c>
      <x:c r="H188" s="32" t="str">
        <x:v>e62888a6608c248e56868b73025bd7044c455528178984f410f53fa18e942641</x:v>
      </x:c>
      <x:c r="I188" s="32" t="str">
        <x:v>Development evidence</x:v>
      </x:c>
      <x:c r="J188" s="32" t="str">
        <x:v>Consolidated documents 00–34; retained for genealogy and decisions not explicitly revoked</x:v>
      </x:c>
      <x:c r="K188" s="32" t="str">
        <x:v>Retain original acceptance intent, gates, constraints and evidence lineage unless explicitly superseded.</x:v>
      </x:c>
    </x:row>
    <x:row r="189">
      <x:c r="A189" s="32" t="str">
        <x:v>SRC-0185</x:v>
      </x:c>
      <x:c r="B189" s="32" t="str">
        <x:v>ADR-0008-Sprint-0-Foundation-Closure-Policy</x:v>
      </x:c>
      <x:c r="C189" s="32" t="str">
        <x:v>Development record</x:v>
      </x:c>
      <x:c r="D189" s="32" t="str">
        <x:v>cc_project_old/Documentation/10_Development_Records/ADR/ADR-0008-Sprint-0-Foundation-Closure-Policy.md</x:v>
      </x:c>
      <x:c r="E189" s="32" t="str">
        <x:v>md</x:v>
      </x:c>
      <x:c r="F189" s="88" t="n">
        <x:v>1341</x:v>
      </x:c>
      <x:c r="G189" s="32" t="str">
        <x:v>2026-06-22 03:18</x:v>
      </x:c>
      <x:c r="H189" s="32" t="str">
        <x:v>76b9266ef045590959eef0187fff7fa2c4dcbfa7f6cf173159873e39cdaca757</x:v>
      </x:c>
      <x:c r="I189" s="32" t="str">
        <x:v>Development evidence</x:v>
      </x:c>
      <x:c r="J189" s="32" t="str">
        <x:v>Consolidated documents 00–34; retained for genealogy and decisions not explicitly revoked</x:v>
      </x:c>
      <x:c r="K189" s="32" t="str">
        <x:v>Retain original acceptance intent, gates, constraints and evidence lineage unless explicitly superseded.</x:v>
      </x:c>
    </x:row>
    <x:row r="190">
      <x:c r="A190" s="32" t="str">
        <x:v>SRC-0186</x:v>
      </x:c>
      <x:c r="B190" s="32" t="str">
        <x:v>Handoff</x:v>
      </x:c>
      <x:c r="C190" s="32" t="str">
        <x:v>Development record</x:v>
      </x:c>
      <x:c r="D190" s="32" t="str">
        <x:v>cc_project_old/Documentation/10_Development_Records/Handoff/CURRENT_PROJECT_HANDOFF.md</x:v>
      </x:c>
      <x:c r="E190" s="32" t="str">
        <x:v>md</x:v>
      </x:c>
      <x:c r="F190" s="88" t="n">
        <x:v>1168</x:v>
      </x:c>
      <x:c r="G190" s="32" t="str">
        <x:v>2026-06-29 13:07</x:v>
      </x:c>
      <x:c r="H190" s="32" t="str">
        <x:v>ea48666ee43dbf978bef364ee645cd3ff32f31e4e6dfbd96b9edfab316546028</x:v>
      </x:c>
      <x:c r="I190" s="32" t="str">
        <x:v>Development evidence</x:v>
      </x:c>
      <x:c r="J190" s="32" t="str">
        <x:v>Consolidated documents 00–34; retained for genealogy and decisions not explicitly revoked</x:v>
      </x:c>
      <x:c r="K190" s="32" t="str">
        <x:v>Retain original acceptance intent, gates, constraints and evidence lineage unless explicitly superseded.</x:v>
      </x:c>
    </x:row>
    <x:row r="191">
      <x:c r="A191" s="32" t="str">
        <x:v>SRC-0187</x:v>
      </x:c>
      <x:c r="B191" s="32" t="str">
        <x:v>ADR-0009_Bootstrap_Owned_Scene_Flow</x:v>
      </x:c>
      <x:c r="C191" s="32" t="str">
        <x:v>Development record</x:v>
      </x:c>
      <x:c r="D191" s="32" t="str">
        <x:v>cc_project_old/Documentation/10_Development_Records/Sprint_01/Governance/ADR-0009_Bootstrap_Owned_Scene_Flow.md</x:v>
      </x:c>
      <x:c r="E191" s="32" t="str">
        <x:v>md</x:v>
      </x:c>
      <x:c r="F191" s="88" t="n">
        <x:v>1410</x:v>
      </x:c>
      <x:c r="G191" s="32" t="str">
        <x:v>2026-06-22 22:15</x:v>
      </x:c>
      <x:c r="H191" s="32" t="str">
        <x:v>15408cc4633c35efc6f8b622230184e1636f9140898e48811a2f3498a0e0e2b5</x:v>
      </x:c>
      <x:c r="I191" s="32" t="str">
        <x:v>Development evidence</x:v>
      </x:c>
      <x:c r="J191" s="32" t="str">
        <x:v>Consolidated documents 00–34; retained for genealogy and decisions not explicitly revoked</x:v>
      </x:c>
      <x:c r="K191" s="32" t="str">
        <x:v>Retain original acceptance intent, gates, constraints and evidence lineage unless explicitly superseded.</x:v>
      </x:c>
    </x:row>
    <x:row r="192">
      <x:c r="A192" s="32" t="str">
        <x:v>SRC-0188</x:v>
      </x:c>
      <x:c r="B192" s="32" t="str">
        <x:v>Build/Versioning</x:v>
      </x:c>
      <x:c r="C192" s="32" t="str">
        <x:v>Development record</x:v>
      </x:c>
      <x:c r="D192" s="32" t="str">
        <x:v>cc_project_old/Documentation/10_Development_Records/Sprint_01/Governance/ADR-0010_Phase_Level_Build_Evidence_and_Release_Policy.md</x:v>
      </x:c>
      <x:c r="E192" s="32" t="str">
        <x:v>md</x:v>
      </x:c>
      <x:c r="F192" s="88" t="n">
        <x:v>2861</x:v>
      </x:c>
      <x:c r="G192" s="32" t="str">
        <x:v>2026-06-22 23:48</x:v>
      </x:c>
      <x:c r="H192" s="32" t="str">
        <x:v>ad328a9eabc2302b0688591df010650b693d9423f0f485eb1000e24d50475184</x:v>
      </x:c>
      <x:c r="I192" s="32" t="str">
        <x:v>Development evidence</x:v>
      </x:c>
      <x:c r="J192" s="32" t="str">
        <x:v>Consolidated documents 00–34; retained for genealogy and decisions not explicitly revoked</x:v>
      </x:c>
      <x:c r="K192" s="32" t="str">
        <x:v>Retain original acceptance intent, gates, constraints and evidence lineage unless explicitly superseded.</x:v>
      </x:c>
    </x:row>
    <x:row r="193">
      <x:c r="A193" s="32" t="str">
        <x:v>SRC-0189</x:v>
      </x:c>
      <x:c r="B193" s="32" t="str">
        <x:v>Acceptance/QA</x:v>
      </x:c>
      <x:c r="C193" s="32" t="str">
        <x:v>Development record</x:v>
      </x:c>
      <x:c r="D193" s="32" t="str">
        <x:v>cc_project_old/Documentation/10_Development_Records/Sprint_01/QA/S1_Acceptance_Matrix.md</x:v>
      </x:c>
      <x:c r="E193" s="32" t="str">
        <x:v>md</x:v>
      </x:c>
      <x:c r="F193" s="88" t="n">
        <x:v>1455</x:v>
      </x:c>
      <x:c r="G193" s="32" t="str">
        <x:v>2026-06-22 23:48</x:v>
      </x:c>
      <x:c r="H193" s="32" t="str">
        <x:v>a5a4e0a192fe33559c582efd9ee4d53170e26af9e07db63aae1e22b1f5c66f49</x:v>
      </x:c>
      <x:c r="I193" s="32" t="str">
        <x:v>Development evidence</x:v>
      </x:c>
      <x:c r="J193" s="32" t="str">
        <x:v>Consolidated documents 00–34; retained for genealogy and decisions not explicitly revoked</x:v>
      </x:c>
      <x:c r="K193" s="32" t="str">
        <x:v>Retain original acceptance intent, gates, constraints and evidence lineage unless explicitly superseded.</x:v>
      </x:c>
    </x:row>
    <x:row r="194">
      <x:c r="A194" s="32" t="str">
        <x:v>SRC-0190</x:v>
      </x:c>
      <x:c r="B194" s="32" t="str">
        <x:v>Validation/Audit</x:v>
      </x:c>
      <x:c r="C194" s="32" t="str">
        <x:v>Development record</x:v>
      </x:c>
      <x:c r="D194" s="32" t="str">
        <x:v>cc_project_old/Documentation/10_Development_Records/Sprint_01/QA/S1_Validation_Checklist.md</x:v>
      </x:c>
      <x:c r="E194" s="32" t="str">
        <x:v>md</x:v>
      </x:c>
      <x:c r="F194" s="88" t="n">
        <x:v>1591</x:v>
      </x:c>
      <x:c r="G194" s="32" t="str">
        <x:v>2026-06-22 23:48</x:v>
      </x:c>
      <x:c r="H194" s="32" t="str">
        <x:v>a6538450622d348cafd5964a5af26d84ce9b5aa1890a06af6789b8bb4fd9dc9c</x:v>
      </x:c>
      <x:c r="I194" s="32" t="str">
        <x:v>Development evidence</x:v>
      </x:c>
      <x:c r="J194" s="32" t="str">
        <x:v>Consolidated documents 00–34; retained for genealogy and decisions not explicitly revoked</x:v>
      </x:c>
      <x:c r="K194" s="32" t="str">
        <x:v>Retain original acceptance intent, gates, constraints and evidence lineage unless explicitly superseded.</x:v>
      </x:c>
    </x:row>
    <x:row r="195">
      <x:c r="A195" s="32" t="str">
        <x:v>SRC-0191</x:v>
      </x:c>
      <x:c r="B195" s="32" t="str">
        <x:v>ADR-0011_Minimal_Versioned_Save_Skeleton</x:v>
      </x:c>
      <x:c r="C195" s="32" t="str">
        <x:v>Development record</x:v>
      </x:c>
      <x:c r="D195" s="32" t="str">
        <x:v>cc_project_old/Documentation/10_Development_Records/Sprint_02/Governance/ADR-0011_Minimal_Versioned_Save_Skeleton.md</x:v>
      </x:c>
      <x:c r="E195" s="32" t="str">
        <x:v>md</x:v>
      </x:c>
      <x:c r="F195" s="88" t="n">
        <x:v>2505</x:v>
      </x:c>
      <x:c r="G195" s="32" t="str">
        <x:v>2026-06-23 00:41</x:v>
      </x:c>
      <x:c r="H195" s="32" t="str">
        <x:v>4048b071ec41b0d5caf4beb0d5a4ff7547e409f566a403d0e9331a604de076dd</x:v>
      </x:c>
      <x:c r="I195" s="32" t="str">
        <x:v>Development evidence</x:v>
      </x:c>
      <x:c r="J195" s="32" t="str">
        <x:v>Consolidated documents 00–34; retained for genealogy and decisions not explicitly revoked</x:v>
      </x:c>
      <x:c r="K195" s="32" t="str">
        <x:v>Retain original acceptance intent, gates, constraints and evidence lineage unless explicitly superseded.</x:v>
      </x:c>
    </x:row>
    <x:row r="196">
      <x:c r="A196" s="32" t="str">
        <x:v>SRC-0192</x:v>
      </x:c>
      <x:c r="B196" s="32" t="str">
        <x:v>Acceptance/QA</x:v>
      </x:c>
      <x:c r="C196" s="32" t="str">
        <x:v>Development record</x:v>
      </x:c>
      <x:c r="D196" s="32" t="str">
        <x:v>cc_project_old/Documentation/10_Development_Records/Sprint_02/QA/S2_Acceptance_Matrix.md</x:v>
      </x:c>
      <x:c r="E196" s="32" t="str">
        <x:v>md</x:v>
      </x:c>
      <x:c r="F196" s="88" t="n">
        <x:v>993</x:v>
      </x:c>
      <x:c r="G196" s="32" t="str">
        <x:v>2026-06-23 00:41</x:v>
      </x:c>
      <x:c r="H196" s="32" t="str">
        <x:v>1c184fd5c44de6051e83614676a1571d4d49e7cd8b4d68c8ef85167b64e2692f</x:v>
      </x:c>
      <x:c r="I196" s="32" t="str">
        <x:v>Development evidence</x:v>
      </x:c>
      <x:c r="J196" s="32" t="str">
        <x:v>Consolidated documents 00–34; retained for genealogy and decisions not explicitly revoked</x:v>
      </x:c>
      <x:c r="K196" s="32" t="str">
        <x:v>Retain original acceptance intent, gates, constraints and evidence lineage unless explicitly superseded.</x:v>
      </x:c>
    </x:row>
    <x:row r="197">
      <x:c r="A197" s="32" t="str">
        <x:v>SRC-0193</x:v>
      </x:c>
      <x:c r="B197" s="32" t="str">
        <x:v>Validation/Audit</x:v>
      </x:c>
      <x:c r="C197" s="32" t="str">
        <x:v>Development record</x:v>
      </x:c>
      <x:c r="D197" s="32" t="str">
        <x:v>cc_project_old/Documentation/10_Development_Records/Sprint_02/QA/S2_Validation_Checklist.md</x:v>
      </x:c>
      <x:c r="E197" s="32" t="str">
        <x:v>md</x:v>
      </x:c>
      <x:c r="F197" s="88" t="n">
        <x:v>1272</x:v>
      </x:c>
      <x:c r="G197" s="32" t="str">
        <x:v>2026-06-23 00:41</x:v>
      </x:c>
      <x:c r="H197" s="32" t="str">
        <x:v>c0a872b546a633fd2774377e613690ce0b756b0acb22eecc799f2083cb294606</x:v>
      </x:c>
      <x:c r="I197" s="32" t="str">
        <x:v>Development evidence</x:v>
      </x:c>
      <x:c r="J197" s="32" t="str">
        <x:v>Consolidated documents 00–34; retained for genealogy and decisions not explicitly revoked</x:v>
      </x:c>
      <x:c r="K197" s="32" t="str">
        <x:v>Retain original acceptance intent, gates, constraints and evidence lineage unless explicitly superseded.</x:v>
      </x:c>
    </x:row>
    <x:row r="198">
      <x:c r="A198" s="32" t="str">
        <x:v>SRC-0194</x:v>
      </x:c>
      <x:c r="B198" s="32" t="str">
        <x:v>ADR-0012_Scene_Driven_Input_Contexts</x:v>
      </x:c>
      <x:c r="C198" s="32" t="str">
        <x:v>Development record</x:v>
      </x:c>
      <x:c r="D198" s="32" t="str">
        <x:v>cc_project_old/Documentation/10_Development_Records/Sprint_03/Governance/ADR-0012_Scene_Driven_Input_Contexts.md</x:v>
      </x:c>
      <x:c r="E198" s="32" t="str">
        <x:v>md</x:v>
      </x:c>
      <x:c r="F198" s="88" t="n">
        <x:v>1159</x:v>
      </x:c>
      <x:c r="G198" s="32" t="str">
        <x:v>2026-06-25 01:35</x:v>
      </x:c>
      <x:c r="H198" s="32" t="str">
        <x:v>13c16537cc90fb0cdf3e74d588a585635c8b7b998433a1ed52501aad1d89af0f</x:v>
      </x:c>
      <x:c r="I198" s="32" t="str">
        <x:v>Development evidence</x:v>
      </x:c>
      <x:c r="J198" s="32" t="str">
        <x:v>Consolidated documents 00–34; retained for genealogy and decisions not explicitly revoked</x:v>
      </x:c>
      <x:c r="K198" s="32" t="str">
        <x:v>Retain original acceptance intent, gates, constraints and evidence lineage unless explicitly superseded.</x:v>
      </x:c>
    </x:row>
    <x:row r="199">
      <x:c r="A199" s="32" t="str">
        <x:v>SRC-0195</x:v>
      </x:c>
      <x:c r="B199" s="32" t="str">
        <x:v>ADR-0013_Direct_Planar_Click_To_Move_Foundation</x:v>
      </x:c>
      <x:c r="C199" s="32" t="str">
        <x:v>Development record</x:v>
      </x:c>
      <x:c r="D199" s="32" t="str">
        <x:v>cc_project_old/Documentation/10_Development_Records/Sprint_03/Governance/ADR-0013_Direct_Planar_Click_To_Move_Foundation.md</x:v>
      </x:c>
      <x:c r="E199" s="32" t="str">
        <x:v>md</x:v>
      </x:c>
      <x:c r="F199" s="88" t="n">
        <x:v>1449</x:v>
      </x:c>
      <x:c r="G199" s="32" t="str">
        <x:v>2026-06-25 01:35</x:v>
      </x:c>
      <x:c r="H199" s="32" t="str">
        <x:v>24601e21279c905274e2c7092c1504eae9f72be23477d15741fab33d79971059</x:v>
      </x:c>
      <x:c r="I199" s="32" t="str">
        <x:v>Development evidence</x:v>
      </x:c>
      <x:c r="J199" s="32" t="str">
        <x:v>Consolidated documents 00–34; retained for genealogy and decisions not explicitly revoked</x:v>
      </x:c>
      <x:c r="K199" s="32" t="str">
        <x:v>Retain original acceptance intent, gates, constraints and evidence lineage unless explicitly superseded.</x:v>
      </x:c>
    </x:row>
    <x:row r="200">
      <x:c r="A200" s="32" t="str">
        <x:v>SRC-0196</x:v>
      </x:c>
      <x:c r="B200" s="32" t="str">
        <x:v>ADR-0014_Orbit_Zoom_Follow_Camera</x:v>
      </x:c>
      <x:c r="C200" s="32" t="str">
        <x:v>Development record</x:v>
      </x:c>
      <x:c r="D200" s="32" t="str">
        <x:v>cc_project_old/Documentation/10_Development_Records/Sprint_03/Governance/ADR-0014_Orbit_Zoom_Follow_Camera.md</x:v>
      </x:c>
      <x:c r="E200" s="32" t="str">
        <x:v>md</x:v>
      </x:c>
      <x:c r="F200" s="88" t="n">
        <x:v>1331</x:v>
      </x:c>
      <x:c r="G200" s="32" t="str">
        <x:v>2026-06-25 01:35</x:v>
      </x:c>
      <x:c r="H200" s="32" t="str">
        <x:v>c7bcb3d83c5544605bac741e625f1a441f5ba10047e204e4ce6dbd9eb7468a77</x:v>
      </x:c>
      <x:c r="I200" s="32" t="str">
        <x:v>Development evidence</x:v>
      </x:c>
      <x:c r="J200" s="32" t="str">
        <x:v>Consolidated documents 00–34; retained for genealogy and decisions not explicitly revoked</x:v>
      </x:c>
      <x:c r="K200" s="32" t="str">
        <x:v>Retain original acceptance intent, gates, constraints and evidence lineage unless explicitly superseded.</x:v>
      </x:c>
    </x:row>
    <x:row r="201">
      <x:c r="A201" s="32" t="str">
        <x:v>SRC-0197</x:v>
      </x:c>
      <x:c r="B201" s="32" t="str">
        <x:v>ADR-0015_Project_Input_Actions_And_Context_Routing</x:v>
      </x:c>
      <x:c r="C201" s="32" t="str">
        <x:v>Development record</x:v>
      </x:c>
      <x:c r="D201" s="32" t="str">
        <x:v>cc_project_old/Documentation/10_Development_Records/Sprint_03/Governance/ADR-0015_Project_Input_Actions_And_Context_Routing.md</x:v>
      </x:c>
      <x:c r="E201" s="32" t="str">
        <x:v>md</x:v>
      </x:c>
      <x:c r="F201" s="88" t="n">
        <x:v>1653</x:v>
      </x:c>
      <x:c r="G201" s="32" t="str">
        <x:v>2026-06-25 01:35</x:v>
      </x:c>
      <x:c r="H201" s="32" t="str">
        <x:v>b665c0f33852bfb4ae7d0de42fac1636487181e19c28593c1d728d412e21954e</x:v>
      </x:c>
      <x:c r="I201" s="32" t="str">
        <x:v>Development evidence</x:v>
      </x:c>
      <x:c r="J201" s="32" t="str">
        <x:v>Consolidated documents 00–34; retained for genealogy and decisions not explicitly revoked</x:v>
      </x:c>
      <x:c r="K201" s="32" t="str">
        <x:v>Retain original acceptance intent, gates, constraints and evidence lineage unless explicitly superseded.</x:v>
      </x:c>
    </x:row>
    <x:row r="202">
      <x:c r="A202" s="32" t="str">
        <x:v>SRC-0198</x:v>
      </x:c>
      <x:c r="B202" s="32" t="str">
        <x:v>Validation/Audit</x:v>
      </x:c>
      <x:c r="C202" s="32" t="str">
        <x:v>Development record</x:v>
      </x:c>
      <x:c r="D202" s="32" t="str">
        <x:v>cc_project_old/Documentation/10_Development_Records/Sprint_03/QA/S3.1_Validation_Checklist.md</x:v>
      </x:c>
      <x:c r="E202" s="32" t="str">
        <x:v>md</x:v>
      </x:c>
      <x:c r="F202" s="88" t="n">
        <x:v>572</x:v>
      </x:c>
      <x:c r="G202" s="32" t="str">
        <x:v>2026-06-25 01:35</x:v>
      </x:c>
      <x:c r="H202" s="32" t="str">
        <x:v>504a5c5285be528dd826475d48095d89f3e9ef702c59ebab2408debe90246aa7</x:v>
      </x:c>
      <x:c r="I202" s="32" t="str">
        <x:v>Development evidence</x:v>
      </x:c>
      <x:c r="J202" s="32" t="str">
        <x:v>Consolidated documents 00–34; retained for genealogy and decisions not explicitly revoked</x:v>
      </x:c>
      <x:c r="K202" s="32" t="str">
        <x:v>Retain original acceptance intent, gates, constraints and evidence lineage unless explicitly superseded.</x:v>
      </x:c>
    </x:row>
    <x:row r="203">
      <x:c r="A203" s="32" t="str">
        <x:v>SRC-0199</x:v>
      </x:c>
      <x:c r="B203" s="32" t="str">
        <x:v>Validation/Audit</x:v>
      </x:c>
      <x:c r="C203" s="32" t="str">
        <x:v>Development record</x:v>
      </x:c>
      <x:c r="D203" s="32" t="str">
        <x:v>cc_project_old/Documentation/10_Development_Records/Sprint_03/QA/S3.2_Validation_Checklist.md</x:v>
      </x:c>
      <x:c r="E203" s="32" t="str">
        <x:v>md</x:v>
      </x:c>
      <x:c r="F203" s="88" t="n">
        <x:v>869</x:v>
      </x:c>
      <x:c r="G203" s="32" t="str">
        <x:v>2026-06-25 01:35</x:v>
      </x:c>
      <x:c r="H203" s="32" t="str">
        <x:v>40c1fcb0f866cbe4f549fdd6fb510200c537a172b368c89cb851be0e75d7d6ba</x:v>
      </x:c>
      <x:c r="I203" s="32" t="str">
        <x:v>Development evidence</x:v>
      </x:c>
      <x:c r="J203" s="32" t="str">
        <x:v>Consolidated documents 00–34; retained for genealogy and decisions not explicitly revoked</x:v>
      </x:c>
      <x:c r="K203" s="32" t="str">
        <x:v>Retain original acceptance intent, gates, constraints and evidence lineage unless explicitly superseded.</x:v>
      </x:c>
    </x:row>
    <x:row r="204">
      <x:c r="A204" s="32" t="str">
        <x:v>SRC-0200</x:v>
      </x:c>
      <x:c r="B204" s="32" t="str">
        <x:v>Validation/Audit</x:v>
      </x:c>
      <x:c r="C204" s="32" t="str">
        <x:v>Development record</x:v>
      </x:c>
      <x:c r="D204" s="32" t="str">
        <x:v>cc_project_old/Documentation/10_Development_Records/Sprint_03/QA/S3.3_Validation_Checklist.md</x:v>
      </x:c>
      <x:c r="E204" s="32" t="str">
        <x:v>md</x:v>
      </x:c>
      <x:c r="F204" s="88" t="n">
        <x:v>848</x:v>
      </x:c>
      <x:c r="G204" s="32" t="str">
        <x:v>2026-06-25 01:35</x:v>
      </x:c>
      <x:c r="H204" s="32" t="str">
        <x:v>9ba60442d1b478ccf14f8185361528a5bedb267e7102ea8a963696dc6eee0123</x:v>
      </x:c>
      <x:c r="I204" s="32" t="str">
        <x:v>Development evidence</x:v>
      </x:c>
      <x:c r="J204" s="32" t="str">
        <x:v>Consolidated documents 00–34; retained for genealogy and decisions not explicitly revoked</x:v>
      </x:c>
      <x:c r="K204" s="32" t="str">
        <x:v>Retain original acceptance intent, gates, constraints and evidence lineage unless explicitly superseded.</x:v>
      </x:c>
    </x:row>
    <x:row r="205">
      <x:c r="A205" s="32" t="str">
        <x:v>SRC-0201</x:v>
      </x:c>
      <x:c r="B205" s="32" t="str">
        <x:v>Build/Versioning</x:v>
      </x:c>
      <x:c r="C205" s="32" t="str">
        <x:v>Development record</x:v>
      </x:c>
      <x:c r="D205" s="32" t="str">
        <x:v>cc_project_old/Documentation/10_Development_Records/Sprint_03/QA/S3.4_Build_Execution_Record.md</x:v>
      </x:c>
      <x:c r="E205" s="32" t="str">
        <x:v>md</x:v>
      </x:c>
      <x:c r="F205" s="88" t="n">
        <x:v>1303</x:v>
      </x:c>
      <x:c r="G205" s="32" t="str">
        <x:v>2026-06-25 01:35</x:v>
      </x:c>
      <x:c r="H205" s="32" t="str">
        <x:v>bdbcbe899c627a7abf1f302f7db42ce29de1f0809c8373a454e3bc070984ab7d</x:v>
      </x:c>
      <x:c r="I205" s="32" t="str">
        <x:v>Development evidence</x:v>
      </x:c>
      <x:c r="J205" s="32" t="str">
        <x:v>Consolidated documents 00–34; retained for genealogy and decisions not explicitly revoked</x:v>
      </x:c>
      <x:c r="K205" s="32" t="str">
        <x:v>Retain original acceptance intent, gates, constraints and evidence lineage unless explicitly superseded.</x:v>
      </x:c>
    </x:row>
    <x:row r="206">
      <x:c r="A206" s="32" t="str">
        <x:v>SRC-0202</x:v>
      </x:c>
      <x:c r="B206" s="32" t="str">
        <x:v>Validation/Audit</x:v>
      </x:c>
      <x:c r="C206" s="32" t="str">
        <x:v>Development record</x:v>
      </x:c>
      <x:c r="D206" s="32" t="str">
        <x:v>cc_project_old/Documentation/10_Development_Records/Sprint_03/QA/S3.4_Validation_Checklist.md</x:v>
      </x:c>
      <x:c r="E206" s="32" t="str">
        <x:v>md</x:v>
      </x:c>
      <x:c r="F206" s="88" t="n">
        <x:v>1892</x:v>
      </x:c>
      <x:c r="G206" s="32" t="str">
        <x:v>2026-06-25 01:35</x:v>
      </x:c>
      <x:c r="H206" s="32" t="str">
        <x:v>52fce0bcde72678d3b864e12c3ab0a0a39eef2f3d1c321d94d7c55c21ab65027</x:v>
      </x:c>
      <x:c r="I206" s="32" t="str">
        <x:v>Development evidence</x:v>
      </x:c>
      <x:c r="J206" s="32" t="str">
        <x:v>Consolidated documents 00–34; retained for genealogy and decisions not explicitly revoked</x:v>
      </x:c>
      <x:c r="K206" s="32" t="str">
        <x:v>Retain original acceptance intent, gates, constraints and evidence lineage unless explicitly superseded.</x:v>
      </x:c>
    </x:row>
    <x:row r="207">
      <x:c r="A207" s="32" t="str">
        <x:v>SRC-0203</x:v>
      </x:c>
      <x:c r="B207" s="32" t="str">
        <x:v>Acceptance/QA</x:v>
      </x:c>
      <x:c r="C207" s="32" t="str">
        <x:v>Development record</x:v>
      </x:c>
      <x:c r="D207" s="32" t="str">
        <x:v>cc_project_old/Documentation/10_Development_Records/Sprint_03/QA/S3_Acceptance_Matrix.md</x:v>
      </x:c>
      <x:c r="E207" s="32" t="str">
        <x:v>md</x:v>
      </x:c>
      <x:c r="F207" s="88" t="n">
        <x:v>1643</x:v>
      </x:c>
      <x:c r="G207" s="32" t="str">
        <x:v>2026-06-25 01:35</x:v>
      </x:c>
      <x:c r="H207" s="32" t="str">
        <x:v>dcd3a753ec03bf462ed61fee96f551716970f05a54702fcec5ebdc271bda15b7</x:v>
      </x:c>
      <x:c r="I207" s="32" t="str">
        <x:v>Development evidence</x:v>
      </x:c>
      <x:c r="J207" s="32" t="str">
        <x:v>Consolidated documents 00–34; retained for genealogy and decisions not explicitly revoked</x:v>
      </x:c>
      <x:c r="K207" s="32" t="str">
        <x:v>Retain original acceptance intent, gates, constraints and evidence lineage unless explicitly superseded.</x:v>
      </x:c>
    </x:row>
    <x:row r="208">
      <x:c r="A208" s="32" t="str">
        <x:v>SRC-0204</x:v>
      </x:c>
      <x:c r="B208" s="32" t="str">
        <x:v>ADR-0016_Grid_Coordinate_And_Footprint_Foundation</x:v>
      </x:c>
      <x:c r="C208" s="32" t="str">
        <x:v>Development record</x:v>
      </x:c>
      <x:c r="D208" s="32" t="str">
        <x:v>cc_project_old/Documentation/10_Development_Records/Sprint_04/Governance/ADR-0016_Grid_Coordinate_And_Footprint_Foundation.md</x:v>
      </x:c>
      <x:c r="E208" s="32" t="str">
        <x:v>md</x:v>
      </x:c>
      <x:c r="F208" s="88" t="n">
        <x:v>1157</x:v>
      </x:c>
      <x:c r="G208" s="32" t="str">
        <x:v>2026-06-25 11:54</x:v>
      </x:c>
      <x:c r="H208" s="32" t="str">
        <x:v>84ffb0f806ec18937785dc30f5410a0be471ea75deeeb3d23021657ff513d622</x:v>
      </x:c>
      <x:c r="I208" s="32" t="str">
        <x:v>Development evidence</x:v>
      </x:c>
      <x:c r="J208" s="32" t="str">
        <x:v>Consolidated documents 00–34; retained for genealogy and decisions not explicitly revoked</x:v>
      </x:c>
      <x:c r="K208" s="32" t="str">
        <x:v>Retain original acceptance intent, gates, constraints and evidence lineage unless explicitly superseded.</x:v>
      </x:c>
    </x:row>
    <x:row r="209">
      <x:c r="A209" s="32" t="str">
        <x:v>SRC-0205</x:v>
      </x:c>
      <x:c r="B209" s="32" t="str">
        <x:v>ADR-0017_Placement_Preview_And_Rotation</x:v>
      </x:c>
      <x:c r="C209" s="32" t="str">
        <x:v>Development record</x:v>
      </x:c>
      <x:c r="D209" s="32" t="str">
        <x:v>cc_project_old/Documentation/10_Development_Records/Sprint_04/Governance/ADR-0017_Placement_Preview_And_Rotation.md</x:v>
      </x:c>
      <x:c r="E209" s="32" t="str">
        <x:v>md</x:v>
      </x:c>
      <x:c r="F209" s="88" t="n">
        <x:v>1125</x:v>
      </x:c>
      <x:c r="G209" s="32" t="str">
        <x:v>2026-06-25 11:54</x:v>
      </x:c>
      <x:c r="H209" s="32" t="str">
        <x:v>996ccbe4400bc1971fea44b1d1e89b7a0cbe30437fa660283af16e79b8f18965</x:v>
      </x:c>
      <x:c r="I209" s="32" t="str">
        <x:v>Development evidence</x:v>
      </x:c>
      <x:c r="J209" s="32" t="str">
        <x:v>Consolidated documents 00–34; retained for genealogy and decisions not explicitly revoked</x:v>
      </x:c>
      <x:c r="K209" s="32" t="str">
        <x:v>Retain original acceptance intent, gates, constraints and evidence lineage unless explicitly superseded.</x:v>
      </x:c>
    </x:row>
    <x:row r="210">
      <x:c r="A210" s="32" t="str">
        <x:v>SRC-0206</x:v>
      </x:c>
      <x:c r="B210" s="32" t="str">
        <x:v>ADR-0018_Atomic_Occupancy_And_Placement_Mode</x:v>
      </x:c>
      <x:c r="C210" s="32" t="str">
        <x:v>Development record</x:v>
      </x:c>
      <x:c r="D210" s="32" t="str">
        <x:v>cc_project_old/Documentation/10_Development_Records/Sprint_04/Governance/ADR-0018_Atomic_Occupancy_And_Placement_Mode.md</x:v>
      </x:c>
      <x:c r="E210" s="32" t="str">
        <x:v>md</x:v>
      </x:c>
      <x:c r="F210" s="88" t="n">
        <x:v>1439</x:v>
      </x:c>
      <x:c r="G210" s="32" t="str">
        <x:v>2026-06-25 11:54</x:v>
      </x:c>
      <x:c r="H210" s="32" t="str">
        <x:v>3cdafe143aedd7a015756ec256b6c92be2aaaa918c33499421589d3fb51177e1</x:v>
      </x:c>
      <x:c r="I210" s="32" t="str">
        <x:v>Development evidence</x:v>
      </x:c>
      <x:c r="J210" s="32" t="str">
        <x:v>Consolidated documents 00–34; retained for genealogy and decisions not explicitly revoked</x:v>
      </x:c>
      <x:c r="K210" s="32" t="str">
        <x:v>Retain original acceptance intent, gates, constraints and evidence lineage unless explicitly superseded.</x:v>
      </x:c>
    </x:row>
    <x:row r="211">
      <x:c r="A211" s="32" t="str">
        <x:v>SRC-0207</x:v>
      </x:c>
      <x:c r="B211" s="32" t="str">
        <x:v>Build/Versioning</x:v>
      </x:c>
      <x:c r="C211" s="32" t="str">
        <x:v>Development record</x:v>
      </x:c>
      <x:c r="D211" s="32" t="str">
        <x:v>cc_project_old/Documentation/10_Development_Records/Sprint_04/Governance/ADR-0019_Sprint_04_Final_Integration_And_Build_Gate.md</x:v>
      </x:c>
      <x:c r="E211" s="32" t="str">
        <x:v>md</x:v>
      </x:c>
      <x:c r="F211" s="88" t="n">
        <x:v>1324</x:v>
      </x:c>
      <x:c r="G211" s="32" t="str">
        <x:v>2026-06-25 11:54</x:v>
      </x:c>
      <x:c r="H211" s="32" t="str">
        <x:v>f78c4971ab6969d8d3f302b93ceb5dbf30f2d553f433122bd8d24eb12fa7dff3</x:v>
      </x:c>
      <x:c r="I211" s="32" t="str">
        <x:v>Development evidence</x:v>
      </x:c>
      <x:c r="J211" s="32" t="str">
        <x:v>Consolidated documents 00–34; retained for genealogy and decisions not explicitly revoked</x:v>
      </x:c>
      <x:c r="K211" s="32" t="str">
        <x:v>Retain original acceptance intent, gates, constraints and evidence lineage unless explicitly superseded.</x:v>
      </x:c>
    </x:row>
    <x:row r="212">
      <x:c r="A212" s="32" t="str">
        <x:v>SRC-0208</x:v>
      </x:c>
      <x:c r="B212" s="32" t="str">
        <x:v>Validation/Audit</x:v>
      </x:c>
      <x:c r="C212" s="32" t="str">
        <x:v>Development record</x:v>
      </x:c>
      <x:c r="D212" s="32" t="str">
        <x:v>cc_project_old/Documentation/10_Development_Records/Sprint_04/QA/S4.1_Validation_Checklist.md</x:v>
      </x:c>
      <x:c r="E212" s="32" t="str">
        <x:v>md</x:v>
      </x:c>
      <x:c r="F212" s="88" t="n">
        <x:v>594</x:v>
      </x:c>
      <x:c r="G212" s="32" t="str">
        <x:v>2026-06-25 11:54</x:v>
      </x:c>
      <x:c r="H212" s="32" t="str">
        <x:v>4daee65527260559801d1bcb435232c0c1f15966f4f45bde43628a95c577dbe8</x:v>
      </x:c>
      <x:c r="I212" s="32" t="str">
        <x:v>Development evidence</x:v>
      </x:c>
      <x:c r="J212" s="32" t="str">
        <x:v>Consolidated documents 00–34; retained for genealogy and decisions not explicitly revoked</x:v>
      </x:c>
      <x:c r="K212" s="32" t="str">
        <x:v>Retain original acceptance intent, gates, constraints and evidence lineage unless explicitly superseded.</x:v>
      </x:c>
    </x:row>
    <x:row r="213">
      <x:c r="A213" s="32" t="str">
        <x:v>SRC-0209</x:v>
      </x:c>
      <x:c r="B213" s="32" t="str">
        <x:v>Validation/Audit</x:v>
      </x:c>
      <x:c r="C213" s="32" t="str">
        <x:v>Development record</x:v>
      </x:c>
      <x:c r="D213" s="32" t="str">
        <x:v>cc_project_old/Documentation/10_Development_Records/Sprint_04/QA/S4.2_Validation_Checklist.md</x:v>
      </x:c>
      <x:c r="E213" s="32" t="str">
        <x:v>md</x:v>
      </x:c>
      <x:c r="F213" s="88" t="n">
        <x:v>672</x:v>
      </x:c>
      <x:c r="G213" s="32" t="str">
        <x:v>2026-06-25 11:54</x:v>
      </x:c>
      <x:c r="H213" s="32" t="str">
        <x:v>7947d8708859cc6b5175331acf6e36cf44438788f243c179b53e6818cdb7f466</x:v>
      </x:c>
      <x:c r="I213" s="32" t="str">
        <x:v>Development evidence</x:v>
      </x:c>
      <x:c r="J213" s="32" t="str">
        <x:v>Consolidated documents 00–34; retained for genealogy and decisions not explicitly revoked</x:v>
      </x:c>
      <x:c r="K213" s="32" t="str">
        <x:v>Retain original acceptance intent, gates, constraints and evidence lineage unless explicitly superseded.</x:v>
      </x:c>
    </x:row>
    <x:row r="214">
      <x:c r="A214" s="32" t="str">
        <x:v>SRC-0210</x:v>
      </x:c>
      <x:c r="B214" s="32" t="str">
        <x:v>Validation/Audit</x:v>
      </x:c>
      <x:c r="C214" s="32" t="str">
        <x:v>Development record</x:v>
      </x:c>
      <x:c r="D214" s="32" t="str">
        <x:v>cc_project_old/Documentation/10_Development_Records/Sprint_04/QA/S4.3_Validation_Checklist.md</x:v>
      </x:c>
      <x:c r="E214" s="32" t="str">
        <x:v>md</x:v>
      </x:c>
      <x:c r="F214" s="88" t="n">
        <x:v>830</x:v>
      </x:c>
      <x:c r="G214" s="32" t="str">
        <x:v>2026-06-25 11:54</x:v>
      </x:c>
      <x:c r="H214" s="32" t="str">
        <x:v>9d54905170c7ae7daffda84bc479882bd5b7a25667e30ce31dd4aadf38a1cdda</x:v>
      </x:c>
      <x:c r="I214" s="32" t="str">
        <x:v>Development evidence</x:v>
      </x:c>
      <x:c r="J214" s="32" t="str">
        <x:v>Consolidated documents 00–34; retained for genealogy and decisions not explicitly revoked</x:v>
      </x:c>
      <x:c r="K214" s="32" t="str">
        <x:v>Retain original acceptance intent, gates, constraints and evidence lineage unless explicitly superseded.</x:v>
      </x:c>
    </x:row>
    <x:row r="215">
      <x:c r="A215" s="32" t="str">
        <x:v>SRC-0211</x:v>
      </x:c>
      <x:c r="B215" s="32" t="str">
        <x:v>Build/Versioning</x:v>
      </x:c>
      <x:c r="C215" s="32" t="str">
        <x:v>Development record</x:v>
      </x:c>
      <x:c r="D215" s="32" t="str">
        <x:v>cc_project_old/Documentation/10_Development_Records/Sprint_04/QA/S4.4_Build_Execution_Record.md</x:v>
      </x:c>
      <x:c r="E215" s="32" t="str">
        <x:v>md</x:v>
      </x:c>
      <x:c r="F215" s="88" t="n">
        <x:v>1164</x:v>
      </x:c>
      <x:c r="G215" s="32" t="str">
        <x:v>2026-06-25 11:54</x:v>
      </x:c>
      <x:c r="H215" s="32" t="str">
        <x:v>6f662c5fe7ccef7a3080584798ccf51c720d4ade1dc50b1be2f8c4c107da529d</x:v>
      </x:c>
      <x:c r="I215" s="32" t="str">
        <x:v>Development evidence</x:v>
      </x:c>
      <x:c r="J215" s="32" t="str">
        <x:v>Consolidated documents 00–34; retained for genealogy and decisions not explicitly revoked</x:v>
      </x:c>
      <x:c r="K215" s="32" t="str">
        <x:v>Retain original acceptance intent, gates, constraints and evidence lineage unless explicitly superseded.</x:v>
      </x:c>
    </x:row>
    <x:row r="216">
      <x:c r="A216" s="32" t="str">
        <x:v>SRC-0212</x:v>
      </x:c>
      <x:c r="B216" s="32" t="str">
        <x:v>Validation/Audit</x:v>
      </x:c>
      <x:c r="C216" s="32" t="str">
        <x:v>Development record</x:v>
      </x:c>
      <x:c r="D216" s="32" t="str">
        <x:v>cc_project_old/Documentation/10_Development_Records/Sprint_04/QA/S4.4_Validation_Checklist.md</x:v>
      </x:c>
      <x:c r="E216" s="32" t="str">
        <x:v>md</x:v>
      </x:c>
      <x:c r="F216" s="88" t="n">
        <x:v>1638</x:v>
      </x:c>
      <x:c r="G216" s="32" t="str">
        <x:v>2026-06-25 11:54</x:v>
      </x:c>
      <x:c r="H216" s="32" t="str">
        <x:v>b24bd7794a9e1143df30f7930936e6e08dbd8e4a6614384b13e493fbd31972a7</x:v>
      </x:c>
      <x:c r="I216" s="32" t="str">
        <x:v>Development evidence</x:v>
      </x:c>
      <x:c r="J216" s="32" t="str">
        <x:v>Consolidated documents 00–34; retained for genealogy and decisions not explicitly revoked</x:v>
      </x:c>
      <x:c r="K216" s="32" t="str">
        <x:v>Retain original acceptance intent, gates, constraints and evidence lineage unless explicitly superseded.</x:v>
      </x:c>
    </x:row>
    <x:row r="217">
      <x:c r="A217" s="32" t="str">
        <x:v>SRC-0213</x:v>
      </x:c>
      <x:c r="B217" s="32" t="str">
        <x:v>Acceptance/QA</x:v>
      </x:c>
      <x:c r="C217" s="32" t="str">
        <x:v>Development record</x:v>
      </x:c>
      <x:c r="D217" s="32" t="str">
        <x:v>cc_project_old/Documentation/10_Development_Records/Sprint_04/QA/S4_Acceptance_Matrix.md</x:v>
      </x:c>
      <x:c r="E217" s="32" t="str">
        <x:v>md</x:v>
      </x:c>
      <x:c r="F217" s="88" t="n">
        <x:v>2209</x:v>
      </x:c>
      <x:c r="G217" s="32" t="str">
        <x:v>2026-06-25 11:54</x:v>
      </x:c>
      <x:c r="H217" s="32" t="str">
        <x:v>30a86d51980351f806ef30aa6187ce90857bde474c163d47a6a3396b60522f89</x:v>
      </x:c>
      <x:c r="I217" s="32" t="str">
        <x:v>Development evidence</x:v>
      </x:c>
      <x:c r="J217" s="32" t="str">
        <x:v>Consolidated documents 00–34; retained for genealogy and decisions not explicitly revoked</x:v>
      </x:c>
      <x:c r="K217" s="32" t="str">
        <x:v>Retain original acceptance intent, gates, constraints and evidence lineage unless explicitly superseded.</x:v>
      </x:c>
    </x:row>
    <x:row r="218">
      <x:c r="A218" s="32" t="str">
        <x:v>SRC-0214</x:v>
      </x:c>
      <x:c r="B218" s="32" t="str">
        <x:v>ADR-0020_Initial_Store_Shell_Dimensions_And_Entrance</x:v>
      </x:c>
      <x:c r="C218" s="32" t="str">
        <x:v>Development record</x:v>
      </x:c>
      <x:c r="D218" s="32" t="str">
        <x:v>cc_project_old/Documentation/10_Development_Records/Sprint_05/Governance/ADR-0020_Initial_Store_Shell_Dimensions_And_Entrance.md</x:v>
      </x:c>
      <x:c r="E218" s="32" t="str">
        <x:v>md</x:v>
      </x:c>
      <x:c r="F218" s="88" t="n">
        <x:v>870</x:v>
      </x:c>
      <x:c r="G218" s="32" t="str">
        <x:v>2026-06-25 16:04</x:v>
      </x:c>
      <x:c r="H218" s="32" t="str">
        <x:v>af706a1741b657833a36805700e10d25e2b66264438b488c1a8983e883799e3d</x:v>
      </x:c>
      <x:c r="I218" s="32" t="str">
        <x:v>Development evidence</x:v>
      </x:c>
      <x:c r="J218" s="32" t="str">
        <x:v>Consolidated documents 00–34; retained for genealogy and decisions not explicitly revoked</x:v>
      </x:c>
      <x:c r="K218" s="32" t="str">
        <x:v>Retain original acceptance intent, gates, constraints and evidence lineage unless explicitly superseded.</x:v>
      </x:c>
    </x:row>
    <x:row r="219">
      <x:c r="A219" s="32" t="str">
        <x:v>SRC-0215</x:v>
      </x:c>
      <x:c r="B219" s="32" t="str">
        <x:v>Validation/Audit</x:v>
      </x:c>
      <x:c r="C219" s="32" t="str">
        <x:v>Development record</x:v>
      </x:c>
      <x:c r="D219" s="32" t="str">
        <x:v>cc_project_old/Documentation/10_Development_Records/Sprint_05/Governance/ADR-0021_Logical_Store_Access_Validation.md</x:v>
      </x:c>
      <x:c r="E219" s="32" t="str">
        <x:v>md</x:v>
      </x:c>
      <x:c r="F219" s="88" t="n">
        <x:v>1131</x:v>
      </x:c>
      <x:c r="G219" s="32" t="str">
        <x:v>2026-06-25 16:04</x:v>
      </x:c>
      <x:c r="H219" s="32" t="str">
        <x:v>079eab3c8041ef624f17ba35976f8ac46627ed9ff192a910e1f0f4f63fee5fe7</x:v>
      </x:c>
      <x:c r="I219" s="32" t="str">
        <x:v>Development evidence</x:v>
      </x:c>
      <x:c r="J219" s="32" t="str">
        <x:v>Consolidated documents 00–34; retained for genealogy and decisions not explicitly revoked</x:v>
      </x:c>
      <x:c r="K219" s="32" t="str">
        <x:v>Retain original acceptance intent, gates, constraints and evidence lineage unless explicitly superseded.</x:v>
      </x:c>
    </x:row>
    <x:row r="220">
      <x:c r="A220" s="32" t="str">
        <x:v>SRC-0216</x:v>
      </x:c>
      <x:c r="B220" s="32" t="str">
        <x:v>ADR-0022_Store_Placement_And_Access_Integration</x:v>
      </x:c>
      <x:c r="C220" s="32" t="str">
        <x:v>Development record</x:v>
      </x:c>
      <x:c r="D220" s="32" t="str">
        <x:v>cc_project_old/Documentation/10_Development_Records/Sprint_05/Governance/ADR-0022_Store_Placement_And_Access_Integration.md</x:v>
      </x:c>
      <x:c r="E220" s="32" t="str">
        <x:v>md</x:v>
      </x:c>
      <x:c r="F220" s="88" t="n">
        <x:v>1085</x:v>
      </x:c>
      <x:c r="G220" s="32" t="str">
        <x:v>2026-06-25 16:04</x:v>
      </x:c>
      <x:c r="H220" s="32" t="str">
        <x:v>f180b5eac43281274d001667b8fc49f39febfbacfeb78fec7d686b9e07546524</x:v>
      </x:c>
      <x:c r="I220" s="32" t="str">
        <x:v>Development evidence</x:v>
      </x:c>
      <x:c r="J220" s="32" t="str">
        <x:v>Consolidated documents 00–34; retained for genealogy and decisions not explicitly revoked</x:v>
      </x:c>
      <x:c r="K220" s="32" t="str">
        <x:v>Retain original acceptance intent, gates, constraints and evidence lineage unless explicitly superseded.</x:v>
      </x:c>
    </x:row>
    <x:row r="221">
      <x:c r="A221" s="32" t="str">
        <x:v>SRC-0217</x:v>
      </x:c>
      <x:c r="B221" s="32" t="str">
        <x:v>Build/Versioning</x:v>
      </x:c>
      <x:c r="C221" s="32" t="str">
        <x:v>Development record</x:v>
      </x:c>
      <x:c r="D221" s="32" t="str">
        <x:v>cc_project_old/Documentation/10_Development_Records/Sprint_05/Governance/ADR-0023_Sprint_05_Final_Integration_And_Build_Gate.md</x:v>
      </x:c>
      <x:c r="E221" s="32" t="str">
        <x:v>md</x:v>
      </x:c>
      <x:c r="F221" s="88" t="n">
        <x:v>972</x:v>
      </x:c>
      <x:c r="G221" s="32" t="str">
        <x:v>2026-06-25 16:04</x:v>
      </x:c>
      <x:c r="H221" s="32" t="str">
        <x:v>86eaea910888d35b0bb89c6a30aef788d767f38b95283339487890c29844f476</x:v>
      </x:c>
      <x:c r="I221" s="32" t="str">
        <x:v>Development evidence</x:v>
      </x:c>
      <x:c r="J221" s="32" t="str">
        <x:v>Consolidated documents 00–34; retained for genealogy and decisions not explicitly revoked</x:v>
      </x:c>
      <x:c r="K221" s="32" t="str">
        <x:v>Retain original acceptance intent, gates, constraints and evidence lineage unless explicitly superseded.</x:v>
      </x:c>
    </x:row>
    <x:row r="222">
      <x:c r="A222" s="32" t="str">
        <x:v>SRC-0218</x:v>
      </x:c>
      <x:c r="B222" s="32" t="str">
        <x:v>Validation/Audit</x:v>
      </x:c>
      <x:c r="C222" s="32" t="str">
        <x:v>Development record</x:v>
      </x:c>
      <x:c r="D222" s="32" t="str">
        <x:v>cc_project_old/Documentation/10_Development_Records/Sprint_05/QA/S5.1_Validation_Checklist.md</x:v>
      </x:c>
      <x:c r="E222" s="32" t="str">
        <x:v>md</x:v>
      </x:c>
      <x:c r="F222" s="88" t="n">
        <x:v>871</x:v>
      </x:c>
      <x:c r="G222" s="32" t="str">
        <x:v>2026-06-25 16:04</x:v>
      </x:c>
      <x:c r="H222" s="32" t="str">
        <x:v>dba681ba566172cebf50f3be75fb1945018e196ebe93fcd9b4407267bb699c08</x:v>
      </x:c>
      <x:c r="I222" s="32" t="str">
        <x:v>Development evidence</x:v>
      </x:c>
      <x:c r="J222" s="32" t="str">
        <x:v>Consolidated documents 00–34; retained for genealogy and decisions not explicitly revoked</x:v>
      </x:c>
      <x:c r="K222" s="32" t="str">
        <x:v>Retain original acceptance intent, gates, constraints and evidence lineage unless explicitly superseded.</x:v>
      </x:c>
    </x:row>
    <x:row r="223">
      <x:c r="A223" s="32" t="str">
        <x:v>SRC-0219</x:v>
      </x:c>
      <x:c r="B223" s="32" t="str">
        <x:v>Validation/Audit</x:v>
      </x:c>
      <x:c r="C223" s="32" t="str">
        <x:v>Development record</x:v>
      </x:c>
      <x:c r="D223" s="32" t="str">
        <x:v>cc_project_old/Documentation/10_Development_Records/Sprint_05/QA/S5.2_Validation_Checklist.md</x:v>
      </x:c>
      <x:c r="E223" s="32" t="str">
        <x:v>md</x:v>
      </x:c>
      <x:c r="F223" s="88" t="n">
        <x:v>1340</x:v>
      </x:c>
      <x:c r="G223" s="32" t="str">
        <x:v>2026-06-25 16:04</x:v>
      </x:c>
      <x:c r="H223" s="32" t="str">
        <x:v>b5397d64a2dd02e76abf1c6a2a2f1b8be245c7b0993593de4d9d0147c22e39c0</x:v>
      </x:c>
      <x:c r="I223" s="32" t="str">
        <x:v>Development evidence</x:v>
      </x:c>
      <x:c r="J223" s="32" t="str">
        <x:v>Consolidated documents 00–34; retained for genealogy and decisions not explicitly revoked</x:v>
      </x:c>
      <x:c r="K223" s="32" t="str">
        <x:v>Retain original acceptance intent, gates, constraints and evidence lineage unless explicitly superseded.</x:v>
      </x:c>
    </x:row>
    <x:row r="224">
      <x:c r="A224" s="32" t="str">
        <x:v>SRC-0220</x:v>
      </x:c>
      <x:c r="B224" s="32" t="str">
        <x:v>Validation/Audit</x:v>
      </x:c>
      <x:c r="C224" s="32" t="str">
        <x:v>Development record</x:v>
      </x:c>
      <x:c r="D224" s="32" t="str">
        <x:v>cc_project_old/Documentation/10_Development_Records/Sprint_05/QA/S5.3_Validation_Checklist.md</x:v>
      </x:c>
      <x:c r="E224" s="32" t="str">
        <x:v>md</x:v>
      </x:c>
      <x:c r="F224" s="88" t="n">
        <x:v>1306</x:v>
      </x:c>
      <x:c r="G224" s="32" t="str">
        <x:v>2026-06-25 16:04</x:v>
      </x:c>
      <x:c r="H224" s="32" t="str">
        <x:v>e443533c5c2372eb4f308301e7b20c93c2c64f44c55738dda64bb5c7510ce209</x:v>
      </x:c>
      <x:c r="I224" s="32" t="str">
        <x:v>Development evidence</x:v>
      </x:c>
      <x:c r="J224" s="32" t="str">
        <x:v>Consolidated documents 00–34; retained for genealogy and decisions not explicitly revoked</x:v>
      </x:c>
      <x:c r="K224" s="32" t="str">
        <x:v>Retain original acceptance intent, gates, constraints and evidence lineage unless explicitly superseded.</x:v>
      </x:c>
    </x:row>
    <x:row r="225">
      <x:c r="A225" s="32" t="str">
        <x:v>SRC-0221</x:v>
      </x:c>
      <x:c r="B225" s="32" t="str">
        <x:v>Build/Versioning</x:v>
      </x:c>
      <x:c r="C225" s="32" t="str">
        <x:v>Development record</x:v>
      </x:c>
      <x:c r="D225" s="32" t="str">
        <x:v>cc_project_old/Documentation/10_Development_Records/Sprint_05/QA/S5.4_Build_Execution_Record.md</x:v>
      </x:c>
      <x:c r="E225" s="32" t="str">
        <x:v>md</x:v>
      </x:c>
      <x:c r="F225" s="88" t="n">
        <x:v>1347</x:v>
      </x:c>
      <x:c r="G225" s="32" t="str">
        <x:v>2026-06-25 16:04</x:v>
      </x:c>
      <x:c r="H225" s="32" t="str">
        <x:v>83700192228af99fb4487bdf4cdd1332d13a194be7cd5fb197278013952f8fe1</x:v>
      </x:c>
      <x:c r="I225" s="32" t="str">
        <x:v>Development evidence</x:v>
      </x:c>
      <x:c r="J225" s="32" t="str">
        <x:v>Consolidated documents 00–34; retained for genealogy and decisions not explicitly revoked</x:v>
      </x:c>
      <x:c r="K225" s="32" t="str">
        <x:v>Retain original acceptance intent, gates, constraints and evidence lineage unless explicitly superseded.</x:v>
      </x:c>
    </x:row>
    <x:row r="226">
      <x:c r="A226" s="32" t="str">
        <x:v>SRC-0222</x:v>
      </x:c>
      <x:c r="B226" s="32" t="str">
        <x:v>Validation/Audit</x:v>
      </x:c>
      <x:c r="C226" s="32" t="str">
        <x:v>Development record</x:v>
      </x:c>
      <x:c r="D226" s="32" t="str">
        <x:v>cc_project_old/Documentation/10_Development_Records/Sprint_05/QA/S5.4_Validation_Checklist.md</x:v>
      </x:c>
      <x:c r="E226" s="32" t="str">
        <x:v>md</x:v>
      </x:c>
      <x:c r="F226" s="88" t="n">
        <x:v>1839</x:v>
      </x:c>
      <x:c r="G226" s="32" t="str">
        <x:v>2026-06-25 16:04</x:v>
      </x:c>
      <x:c r="H226" s="32" t="str">
        <x:v>99d648322bc2b6f6ca1dff0fae525dae89f84c6726bf4ed749bb09bd1a1f155c</x:v>
      </x:c>
      <x:c r="I226" s="32" t="str">
        <x:v>Development evidence</x:v>
      </x:c>
      <x:c r="J226" s="32" t="str">
        <x:v>Consolidated documents 00–34; retained for genealogy and decisions not explicitly revoked</x:v>
      </x:c>
      <x:c r="K226" s="32" t="str">
        <x:v>Retain original acceptance intent, gates, constraints and evidence lineage unless explicitly superseded.</x:v>
      </x:c>
    </x:row>
    <x:row r="227">
      <x:c r="A227" s="32" t="str">
        <x:v>SRC-0223</x:v>
      </x:c>
      <x:c r="B227" s="32" t="str">
        <x:v>Acceptance/QA</x:v>
      </x:c>
      <x:c r="C227" s="32" t="str">
        <x:v>Development record</x:v>
      </x:c>
      <x:c r="D227" s="32" t="str">
        <x:v>cc_project_old/Documentation/10_Development_Records/Sprint_05/QA/S5_Acceptance_Matrix.md</x:v>
      </x:c>
      <x:c r="E227" s="32" t="str">
        <x:v>md</x:v>
      </x:c>
      <x:c r="F227" s="88" t="n">
        <x:v>2498</x:v>
      </x:c>
      <x:c r="G227" s="32" t="str">
        <x:v>2026-06-25 16:04</x:v>
      </x:c>
      <x:c r="H227" s="32" t="str">
        <x:v>3c265e9509b133370788c1ea024e4de481f773b526a524f2ec880d60abe053b6</x:v>
      </x:c>
      <x:c r="I227" s="32" t="str">
        <x:v>Development evidence</x:v>
      </x:c>
      <x:c r="J227" s="32" t="str">
        <x:v>Consolidated documents 00–34; retained for genealogy and decisions not explicitly revoked</x:v>
      </x:c>
      <x:c r="K227" s="32" t="str">
        <x:v>Retain original acceptance intent, gates, constraints and evidence lineage unless explicitly superseded.</x:v>
      </x:c>
    </x:row>
    <x:row r="228">
      <x:c r="A228" s="32" t="str">
        <x:v>SRC-0224</x:v>
      </x:c>
      <x:c r="B228" s="32" t="str">
        <x:v>ADR-0024_Stack_And_Unit_Capacity_Model</x:v>
      </x:c>
      <x:c r="C228" s="32" t="str">
        <x:v>Development record</x:v>
      </x:c>
      <x:c r="D228" s="32" t="str">
        <x:v>cc_project_old/Documentation/10_Development_Records/Sprint_06/Governance/ADR-0024_Stack_And_Unit_Capacity_Model.md</x:v>
      </x:c>
      <x:c r="E228" s="32" t="str">
        <x:v>md</x:v>
      </x:c>
      <x:c r="F228" s="88" t="n">
        <x:v>848</x:v>
      </x:c>
      <x:c r="G228" s="32" t="str">
        <x:v>2026-06-25 17:52</x:v>
      </x:c>
      <x:c r="H228" s="32" t="str">
        <x:v>a621a76517cf2dce58d2f2a6444486853bceb8107e45e2ce0cead9da79b99f87</x:v>
      </x:c>
      <x:c r="I228" s="32" t="str">
        <x:v>Development evidence</x:v>
      </x:c>
      <x:c r="J228" s="32" t="str">
        <x:v>Consolidated documents 00–34; retained for genealogy and decisions not explicitly revoked</x:v>
      </x:c>
      <x:c r="K228" s="32" t="str">
        <x:v>Retain original acceptance intent, gates, constraints and evidence lineage unless explicitly superseded.</x:v>
      </x:c>
    </x:row>
    <x:row r="229">
      <x:c r="A229" s="32" t="str">
        <x:v>SRC-0225</x:v>
      </x:c>
      <x:c r="B229" s="32" t="str">
        <x:v>ADR-0025_Atomic_Inventory_Transfers</x:v>
      </x:c>
      <x:c r="C229" s="32" t="str">
        <x:v>Development record</x:v>
      </x:c>
      <x:c r="D229" s="32" t="str">
        <x:v>cc_project_old/Documentation/10_Development_Records/Sprint_06/Governance/ADR-0025_Atomic_Inventory_Transfers.md</x:v>
      </x:c>
      <x:c r="E229" s="32" t="str">
        <x:v>md</x:v>
      </x:c>
      <x:c r="F229" s="88" t="n">
        <x:v>873</x:v>
      </x:c>
      <x:c r="G229" s="32" t="str">
        <x:v>2026-06-25 17:52</x:v>
      </x:c>
      <x:c r="H229" s="32" t="str">
        <x:v>4286c837998785523afe7b5818a07a7f09b63b8f94175a602f7133ae7c3df6ad</x:v>
      </x:c>
      <x:c r="I229" s="32" t="str">
        <x:v>Development evidence</x:v>
      </x:c>
      <x:c r="J229" s="32" t="str">
        <x:v>Consolidated documents 00–34; retained for genealogy and decisions not explicitly revoked</x:v>
      </x:c>
      <x:c r="K229" s="32" t="str">
        <x:v>Retain original acceptance intent, gates, constraints and evidence lineage unless explicitly superseded.</x:v>
      </x:c>
    </x:row>
    <x:row r="230">
      <x:c r="A230" s="32" t="str">
        <x:v>SRC-0226</x:v>
      </x:c>
      <x:c r="B230" s="32" t="str">
        <x:v>ADR-0026_Sprint_06_Version_And_Persistence_Boundary</x:v>
      </x:c>
      <x:c r="C230" s="32" t="str">
        <x:v>Development record</x:v>
      </x:c>
      <x:c r="D230" s="32" t="str">
        <x:v>cc_project_old/Documentation/10_Development_Records/Sprint_06/Governance/ADR-0026_Sprint_06_Version_And_Persistence_Boundary.md</x:v>
      </x:c>
      <x:c r="E230" s="32" t="str">
        <x:v>md</x:v>
      </x:c>
      <x:c r="F230" s="88" t="n">
        <x:v>587</x:v>
      </x:c>
      <x:c r="G230" s="32" t="str">
        <x:v>2026-06-25 17:52</x:v>
      </x:c>
      <x:c r="H230" s="32" t="str">
        <x:v>88e809b7e5a461f57c5d9f943adaf6eeb0445f62ba3cd08440f5d2e45c48ed1f</x:v>
      </x:c>
      <x:c r="I230" s="32" t="str">
        <x:v>Development evidence</x:v>
      </x:c>
      <x:c r="J230" s="32" t="str">
        <x:v>Consolidated documents 00–34; retained for genealogy and decisions not explicitly revoked</x:v>
      </x:c>
      <x:c r="K230" s="32" t="str">
        <x:v>Retain original acceptance intent, gates, constraints and evidence lineage unless explicitly superseded.</x:v>
      </x:c>
    </x:row>
    <x:row r="231">
      <x:c r="A231" s="32" t="str">
        <x:v>SRC-0227</x:v>
      </x:c>
      <x:c r="B231" s="32" t="str">
        <x:v>Acceptance/QA</x:v>
      </x:c>
      <x:c r="C231" s="32" t="str">
        <x:v>Development record</x:v>
      </x:c>
      <x:c r="D231" s="32" t="str">
        <x:v>cc_project_old/Documentation/10_Development_Records/Sprint_06/QA/S6_Acceptance_Matrix.md</x:v>
      </x:c>
      <x:c r="E231" s="32" t="str">
        <x:v>md</x:v>
      </x:c>
      <x:c r="F231" s="88" t="n">
        <x:v>3014</x:v>
      </x:c>
      <x:c r="G231" s="32" t="str">
        <x:v>2026-06-25 20:50</x:v>
      </x:c>
      <x:c r="H231" s="32" t="str">
        <x:v>b55fe039c6404ff22749ff07f20dc741ee277ece3a892d9d1a6a526eb61dab8e</x:v>
      </x:c>
      <x:c r="I231" s="32" t="str">
        <x:v>Development evidence</x:v>
      </x:c>
      <x:c r="J231" s="32" t="str">
        <x:v>Consolidated documents 00–34; retained for genealogy and decisions not explicitly revoked</x:v>
      </x:c>
      <x:c r="K231" s="32" t="str">
        <x:v>Retain original acceptance intent, gates, constraints and evidence lineage unless explicitly superseded.</x:v>
      </x:c>
    </x:row>
    <x:row r="232">
      <x:c r="A232" s="32" t="str">
        <x:v>SRC-0228</x:v>
      </x:c>
      <x:c r="B232" s="32" t="str">
        <x:v>Validation/Audit</x:v>
      </x:c>
      <x:c r="C232" s="32" t="str">
        <x:v>Development record</x:v>
      </x:c>
      <x:c r="D232" s="32" t="str">
        <x:v>cc_project_old/Documentation/10_Development_Records/Sprint_06/QA/S6_Validation_Checklist.md</x:v>
      </x:c>
      <x:c r="E232" s="32" t="str">
        <x:v>md</x:v>
      </x:c>
      <x:c r="F232" s="88" t="n">
        <x:v>1068</x:v>
      </x:c>
      <x:c r="G232" s="32" t="str">
        <x:v>2026-06-25 20:50</x:v>
      </x:c>
      <x:c r="H232" s="32" t="str">
        <x:v>723a177cac5edf16f6820ffc10dad91550e2da2eb918ddb59269ffcb0102f899</x:v>
      </x:c>
      <x:c r="I232" s="32" t="str">
        <x:v>Development evidence</x:v>
      </x:c>
      <x:c r="J232" s="32" t="str">
        <x:v>Consolidated documents 00–34; retained for genealogy and decisions not explicitly revoked</x:v>
      </x:c>
      <x:c r="K232" s="32" t="str">
        <x:v>Retain original acceptance intent, gates, constraints and evidence lineage unless explicitly superseded.</x:v>
      </x:c>
    </x:row>
    <x:row r="233">
      <x:c r="A233" s="32" t="str">
        <x:v>SRC-0229</x:v>
      </x:c>
      <x:c r="B233" s="32" t="str">
        <x:v>ADR-0027_Product_and_Supplier_Authoring</x:v>
      </x:c>
      <x:c r="C233" s="32" t="str">
        <x:v>Development record</x:v>
      </x:c>
      <x:c r="D233" s="32" t="str">
        <x:v>cc_project_old/Documentation/10_Development_Records/Sprint_07/Governance/ADR-0027_Product_and_Supplier_Authoring.md</x:v>
      </x:c>
      <x:c r="E233" s="32" t="str">
        <x:v>md</x:v>
      </x:c>
      <x:c r="F233" s="88" t="n">
        <x:v>1065</x:v>
      </x:c>
      <x:c r="G233" s="32" t="str">
        <x:v>2026-06-25 18:33</x:v>
      </x:c>
      <x:c r="H233" s="32" t="str">
        <x:v>86a7e5e37add2c9d6fe855fef6deda2f4ddfba8f00cdb1062dfdbec3eb0dcb13</x:v>
      </x:c>
      <x:c r="I233" s="32" t="str">
        <x:v>Development evidence</x:v>
      </x:c>
      <x:c r="J233" s="32" t="str">
        <x:v>Consolidated documents 00–34; retained for genealogy and decisions not explicitly revoked</x:v>
      </x:c>
      <x:c r="K233" s="32" t="str">
        <x:v>Retain original acceptance intent, gates, constraints and evidence lineage unless explicitly superseded.</x:v>
      </x:c>
    </x:row>
    <x:row r="234">
      <x:c r="A234" s="32" t="str">
        <x:v>SRC-0230</x:v>
      </x:c>
      <x:c r="B234" s="32" t="str">
        <x:v>ADR-0028_Box_Based_Ordering</x:v>
      </x:c>
      <x:c r="C234" s="32" t="str">
        <x:v>Development record</x:v>
      </x:c>
      <x:c r="D234" s="32" t="str">
        <x:v>cc_project_old/Documentation/10_Development_Records/Sprint_07/Governance/ADR-0028_Box_Based_Ordering.md</x:v>
      </x:c>
      <x:c r="E234" s="32" t="str">
        <x:v>md</x:v>
      </x:c>
      <x:c r="F234" s="88" t="n">
        <x:v>870</x:v>
      </x:c>
      <x:c r="G234" s="32" t="str">
        <x:v>2026-06-25 18:33</x:v>
      </x:c>
      <x:c r="H234" s="32" t="str">
        <x:v>57af021d5e1412eadd90d34cdb62da418efa8d0bd0001d8da4c219bb9fa98f40</x:v>
      </x:c>
      <x:c r="I234" s="32" t="str">
        <x:v>Development evidence</x:v>
      </x:c>
      <x:c r="J234" s="32" t="str">
        <x:v>Consolidated documents 00–34; retained for genealogy and decisions not explicitly revoked</x:v>
      </x:c>
      <x:c r="K234" s="32" t="str">
        <x:v>Retain original acceptance intent, gates, constraints and evidence lineage unless explicitly superseded.</x:v>
      </x:c>
    </x:row>
    <x:row r="235">
      <x:c r="A235" s="32" t="str">
        <x:v>SRC-0231</x:v>
      </x:c>
      <x:c r="B235" s="32" t="str">
        <x:v>ADR-0029_Atomic_Box_Receiving</x:v>
      </x:c>
      <x:c r="C235" s="32" t="str">
        <x:v>Development record</x:v>
      </x:c>
      <x:c r="D235" s="32" t="str">
        <x:v>cc_project_old/Documentation/10_Development_Records/Sprint_07/Governance/ADR-0029_Atomic_Box_Receiving.md</x:v>
      </x:c>
      <x:c r="E235" s="32" t="str">
        <x:v>md</x:v>
      </x:c>
      <x:c r="F235" s="88" t="n">
        <x:v>1021</x:v>
      </x:c>
      <x:c r="G235" s="32" t="str">
        <x:v>2026-06-25 18:33</x:v>
      </x:c>
      <x:c r="H235" s="32" t="str">
        <x:v>bf3785f3178e96118326edaf1a4134d4300f5817a838cb24bacdd7dc6884af0d</x:v>
      </x:c>
      <x:c r="I235" s="32" t="str">
        <x:v>Development evidence</x:v>
      </x:c>
      <x:c r="J235" s="32" t="str">
        <x:v>Consolidated documents 00–34; retained for genealogy and decisions not explicitly revoked</x:v>
      </x:c>
      <x:c r="K235" s="32" t="str">
        <x:v>Retain original acceptance intent, gates, constraints and evidence lineage unless explicitly superseded.</x:v>
      </x:c>
    </x:row>
    <x:row r="236">
      <x:c r="A236" s="32" t="str">
        <x:v>SRC-0232</x:v>
      </x:c>
      <x:c r="B236" s="32" t="str">
        <x:v>Acceptance/QA</x:v>
      </x:c>
      <x:c r="C236" s="32" t="str">
        <x:v>Development record</x:v>
      </x:c>
      <x:c r="D236" s="32" t="str">
        <x:v>cc_project_old/Documentation/10_Development_Records/Sprint_07/QA/S7_Acceptance_Matrix.md</x:v>
      </x:c>
      <x:c r="E236" s="32" t="str">
        <x:v>md</x:v>
      </x:c>
      <x:c r="F236" s="88" t="n">
        <x:v>3351</x:v>
      </x:c>
      <x:c r="G236" s="32" t="str">
        <x:v>2026-06-25 20:50</x:v>
      </x:c>
      <x:c r="H236" s="32" t="str">
        <x:v>e5517ab2f2b047aacb634c1ee7e42ea6f4b1b0f3bb6477cc7a0fb595439546b2</x:v>
      </x:c>
      <x:c r="I236" s="32" t="str">
        <x:v>Development evidence</x:v>
      </x:c>
      <x:c r="J236" s="32" t="str">
        <x:v>Consolidated documents 00–34; retained for genealogy and decisions not explicitly revoked</x:v>
      </x:c>
      <x:c r="K236" s="32" t="str">
        <x:v>Retain original acceptance intent, gates, constraints and evidence lineage unless explicitly superseded.</x:v>
      </x:c>
    </x:row>
    <x:row r="237">
      <x:c r="A237" s="32" t="str">
        <x:v>SRC-0233</x:v>
      </x:c>
      <x:c r="B237" s="32" t="str">
        <x:v>Validation/Audit</x:v>
      </x:c>
      <x:c r="C237" s="32" t="str">
        <x:v>Development record</x:v>
      </x:c>
      <x:c r="D237" s="32" t="str">
        <x:v>cc_project_old/Documentation/10_Development_Records/Sprint_07/QA/S7_Validation_Checklist.md</x:v>
      </x:c>
      <x:c r="E237" s="32" t="str">
        <x:v>md</x:v>
      </x:c>
      <x:c r="F237" s="88" t="n">
        <x:v>1575</x:v>
      </x:c>
      <x:c r="G237" s="32" t="str">
        <x:v>2026-06-25 20:50</x:v>
      </x:c>
      <x:c r="H237" s="32" t="str">
        <x:v>df553497f162dd3f8ad2e2e315b380fa06e2a3d8d489f675eb291fdf00c7d923</x:v>
      </x:c>
      <x:c r="I237" s="32" t="str">
        <x:v>Development evidence</x:v>
      </x:c>
      <x:c r="J237" s="32" t="str">
        <x:v>Consolidated documents 00–34; retained for genealogy and decisions not explicitly revoked</x:v>
      </x:c>
      <x:c r="K237" s="32" t="str">
        <x:v>Retain original acceptance intent, gates, constraints and evidence lineage unless explicitly superseded.</x:v>
      </x:c>
    </x:row>
    <x:row r="238">
      <x:c r="A238" s="32" t="str">
        <x:v>SRC-0234</x:v>
      </x:c>
      <x:c r="B238" s="32" t="str">
        <x:v>ADR-0030_Single_Product_Display_Assignment</x:v>
      </x:c>
      <x:c r="C238" s="32" t="str">
        <x:v>Development record</x:v>
      </x:c>
      <x:c r="D238" s="32" t="str">
        <x:v>cc_project_old/Documentation/10_Development_Records/Sprint_08/Governance/ADR-0030_Single_Product_Display_Assignment.md</x:v>
      </x:c>
      <x:c r="E238" s="32" t="str">
        <x:v>md</x:v>
      </x:c>
      <x:c r="F238" s="88" t="n">
        <x:v>437</x:v>
      </x:c>
      <x:c r="G238" s="32" t="str">
        <x:v>2026-06-25 19:07</x:v>
      </x:c>
      <x:c r="H238" s="32" t="str">
        <x:v>ff34c07064a44ae5ffb3db2f205b4ef1fe2fd330bed57702a84f53e4f428e4a5</x:v>
      </x:c>
      <x:c r="I238" s="32" t="str">
        <x:v>Development evidence</x:v>
      </x:c>
      <x:c r="J238" s="32" t="str">
        <x:v>Consolidated documents 00–34; retained for genealogy and decisions not explicitly revoked</x:v>
      </x:c>
      <x:c r="K238" s="32" t="str">
        <x:v>Retain original acceptance intent, gates, constraints and evidence lineage unless explicitly superseded.</x:v>
      </x:c>
    </x:row>
    <x:row r="239">
      <x:c r="A239" s="32" t="str">
        <x:v>SRC-0235</x:v>
      </x:c>
      <x:c r="B239" s="32" t="str">
        <x:v>ADR-0031_Display_Capacity_and_Visible_Units</x:v>
      </x:c>
      <x:c r="C239" s="32" t="str">
        <x:v>Development record</x:v>
      </x:c>
      <x:c r="D239" s="32" t="str">
        <x:v>cc_project_old/Documentation/10_Development_Records/Sprint_08/Governance/ADR-0031_Display_Capacity_and_Visible_Units.md</x:v>
      </x:c>
      <x:c r="E239" s="32" t="str">
        <x:v>md</x:v>
      </x:c>
      <x:c r="F239" s="88" t="n">
        <x:v>332</x:v>
      </x:c>
      <x:c r="G239" s="32" t="str">
        <x:v>2026-06-25 19:07</x:v>
      </x:c>
      <x:c r="H239" s="32" t="str">
        <x:v>55398e2d4b0f0989db0716a124fd96d597cfe878d561d2546f8114c74009a900</x:v>
      </x:c>
      <x:c r="I239" s="32" t="str">
        <x:v>Development evidence</x:v>
      </x:c>
      <x:c r="J239" s="32" t="str">
        <x:v>Consolidated documents 00–34; retained for genealogy and decisions not explicitly revoked</x:v>
      </x:c>
      <x:c r="K239" s="32" t="str">
        <x:v>Retain original acceptance intent, gates, constraints and evidence lineage unless explicitly superseded.</x:v>
      </x:c>
    </x:row>
    <x:row r="240">
      <x:c r="A240" s="32" t="str">
        <x:v>SRC-0236</x:v>
      </x:c>
      <x:c r="B240" s="32" t="str">
        <x:v>ADR-0032_Atomic_Manual_Restocking</x:v>
      </x:c>
      <x:c r="C240" s="32" t="str">
        <x:v>Development record</x:v>
      </x:c>
      <x:c r="D240" s="32" t="str">
        <x:v>cc_project_old/Documentation/10_Development_Records/Sprint_08/Governance/ADR-0032_Atomic_Manual_Restocking.md</x:v>
      </x:c>
      <x:c r="E240" s="32" t="str">
        <x:v>md</x:v>
      </x:c>
      <x:c r="F240" s="88" t="n">
        <x:v>373</x:v>
      </x:c>
      <x:c r="G240" s="32" t="str">
        <x:v>2026-06-25 19:07</x:v>
      </x:c>
      <x:c r="H240" s="32" t="str">
        <x:v>3995a709fcd6235ec918570685e381fea53ef9620adb0bf10a0f25d2f0e6b970</x:v>
      </x:c>
      <x:c r="I240" s="32" t="str">
        <x:v>Development evidence</x:v>
      </x:c>
      <x:c r="J240" s="32" t="str">
        <x:v>Consolidated documents 00–34; retained for genealogy and decisions not explicitly revoked</x:v>
      </x:c>
      <x:c r="K240" s="32" t="str">
        <x:v>Retain original acceptance intent, gates, constraints and evidence lineage unless explicitly superseded.</x:v>
      </x:c>
    </x:row>
    <x:row r="241">
      <x:c r="A241" s="32" t="str">
        <x:v>SRC-0237</x:v>
      </x:c>
      <x:c r="B241" s="32" t="str">
        <x:v>ADR-0033_Display_Authoring_and_Placement_Boundary</x:v>
      </x:c>
      <x:c r="C241" s="32" t="str">
        <x:v>Development record</x:v>
      </x:c>
      <x:c r="D241" s="32" t="str">
        <x:v>cc_project_old/Documentation/10_Development_Records/Sprint_08/Governance/ADR-0033_Display_Authoring_and_Placement_Boundary.md</x:v>
      </x:c>
      <x:c r="E241" s="32" t="str">
        <x:v>md</x:v>
      </x:c>
      <x:c r="F241" s="88" t="n">
        <x:v>406</x:v>
      </x:c>
      <x:c r="G241" s="32" t="str">
        <x:v>2026-06-25 19:07</x:v>
      </x:c>
      <x:c r="H241" s="32" t="str">
        <x:v>68b6ada32b41b33a38e6bd2e36673610f62e92d911bd9181b1cc431c25a22c77</x:v>
      </x:c>
      <x:c r="I241" s="32" t="str">
        <x:v>Development evidence</x:v>
      </x:c>
      <x:c r="J241" s="32" t="str">
        <x:v>Consolidated documents 00–34; retained for genealogy and decisions not explicitly revoked</x:v>
      </x:c>
      <x:c r="K241" s="32" t="str">
        <x:v>Retain original acceptance intent, gates, constraints and evidence lineage unless explicitly superseded.</x:v>
      </x:c>
    </x:row>
    <x:row r="242">
      <x:c r="A242" s="32" t="str">
        <x:v>SRC-0238</x:v>
      </x:c>
      <x:c r="B242" s="32" t="str">
        <x:v>Handoff</x:v>
      </x:c>
      <x:c r="C242" s="32" t="str">
        <x:v>Development record</x:v>
      </x:c>
      <x:c r="D242" s="32" t="str">
        <x:v>cc_project_old/Documentation/10_Development_Records/Sprint_08/Governance/S8_Handoff_Update_Template.md</x:v>
      </x:c>
      <x:c r="E242" s="32" t="str">
        <x:v>md</x:v>
      </x:c>
      <x:c r="F242" s="88" t="n">
        <x:v>1297</x:v>
      </x:c>
      <x:c r="G242" s="32" t="str">
        <x:v>2026-06-25 19:59</x:v>
      </x:c>
      <x:c r="H242" s="32" t="str">
        <x:v>752c345e77607a3d096548520f2ce082a816d2eeb0d01ea0d29ddbe2bd32013a</x:v>
      </x:c>
      <x:c r="I242" s="32" t="str">
        <x:v>Development evidence</x:v>
      </x:c>
      <x:c r="J242" s="32" t="str">
        <x:v>Consolidated documents 00–34; retained for genealogy and decisions not explicitly revoked</x:v>
      </x:c>
      <x:c r="K242" s="32" t="str">
        <x:v>Retain original acceptance intent, gates, constraints and evidence lineage unless explicitly superseded.</x:v>
      </x:c>
    </x:row>
    <x:row r="243">
      <x:c r="A243" s="32" t="str">
        <x:v>SRC-0239</x:v>
      </x:c>
      <x:c r="B243" s="32" t="str">
        <x:v>Acceptance/QA</x:v>
      </x:c>
      <x:c r="C243" s="32" t="str">
        <x:v>Development record</x:v>
      </x:c>
      <x:c r="D243" s="32" t="str">
        <x:v>cc_project_old/Documentation/10_Development_Records/Sprint_08/QA/S8_Acceptance_Matrix.md</x:v>
      </x:c>
      <x:c r="E243" s="32" t="str">
        <x:v>md</x:v>
      </x:c>
      <x:c r="F243" s="88" t="n">
        <x:v>1833</x:v>
      </x:c>
      <x:c r="G243" s="32" t="str">
        <x:v>2026-06-25 19:59</x:v>
      </x:c>
      <x:c r="H243" s="32" t="str">
        <x:v>514b68f2839e76b1757df9d2d457dca9701cbe8f3de4169c6e38fe7e7c1e576c</x:v>
      </x:c>
      <x:c r="I243" s="32" t="str">
        <x:v>Development evidence</x:v>
      </x:c>
      <x:c r="J243" s="32" t="str">
        <x:v>Consolidated documents 00–34; retained for genealogy and decisions not explicitly revoked</x:v>
      </x:c>
      <x:c r="K243" s="32" t="str">
        <x:v>Retain original acceptance intent, gates, constraints and evidence lineage unless explicitly superseded.</x:v>
      </x:c>
    </x:row>
    <x:row r="244">
      <x:c r="A244" s="32" t="str">
        <x:v>SRC-0240</x:v>
      </x:c>
      <x:c r="B244" s="32" t="str">
        <x:v>Build/Versioning</x:v>
      </x:c>
      <x:c r="C244" s="32" t="str">
        <x:v>Development record</x:v>
      </x:c>
      <x:c r="D244" s="32" t="str">
        <x:v>cc_project_old/Documentation/10_Development_Records/Sprint_08/QA/S8_Build_Execution_Record.md</x:v>
      </x:c>
      <x:c r="E244" s="32" t="str">
        <x:v>md</x:v>
      </x:c>
      <x:c r="F244" s="88" t="n">
        <x:v>1531</x:v>
      </x:c>
      <x:c r="G244" s="32" t="str">
        <x:v>2026-06-25 19:59</x:v>
      </x:c>
      <x:c r="H244" s="32" t="str">
        <x:v>975e35974c3ac193dedc354ad39f652dccd31356a4d69ec241dddcfdd84f29c1</x:v>
      </x:c>
      <x:c r="I244" s="32" t="str">
        <x:v>Development evidence</x:v>
      </x:c>
      <x:c r="J244" s="32" t="str">
        <x:v>Consolidated documents 00–34; retained for genealogy and decisions not explicitly revoked</x:v>
      </x:c>
      <x:c r="K244" s="32" t="str">
        <x:v>Retain original acceptance intent, gates, constraints and evidence lineage unless explicitly superseded.</x:v>
      </x:c>
    </x:row>
    <x:row r="245">
      <x:c r="A245" s="32" t="str">
        <x:v>SRC-0241</x:v>
      </x:c>
      <x:c r="B245" s="32" t="str">
        <x:v>Validation/Audit</x:v>
      </x:c>
      <x:c r="C245" s="32" t="str">
        <x:v>Development record</x:v>
      </x:c>
      <x:c r="D245" s="32" t="str">
        <x:v>cc_project_old/Documentation/10_Development_Records/Sprint_08/QA/S8_Manual_Validation_Record.md</x:v>
      </x:c>
      <x:c r="E245" s="32" t="str">
        <x:v>md</x:v>
      </x:c>
      <x:c r="F245" s="88" t="n">
        <x:v>1698</x:v>
      </x:c>
      <x:c r="G245" s="32" t="str">
        <x:v>2026-06-25 19:59</x:v>
      </x:c>
      <x:c r="H245" s="32" t="str">
        <x:v>29369a792ec0f4c8d2ae2237c630eedda24f727c2c644ffcb6a2ff997927755d</x:v>
      </x:c>
      <x:c r="I245" s="32" t="str">
        <x:v>Development evidence</x:v>
      </x:c>
      <x:c r="J245" s="32" t="str">
        <x:v>Consolidated documents 00–34; retained for genealogy and decisions not explicitly revoked</x:v>
      </x:c>
      <x:c r="K245" s="32" t="str">
        <x:v>Retain original acceptance intent, gates, constraints and evidence lineage unless explicitly superseded.</x:v>
      </x:c>
    </x:row>
    <x:row r="246">
      <x:c r="A246" s="32" t="str">
        <x:v>SRC-0242</x:v>
      </x:c>
      <x:c r="B246" s="32" t="str">
        <x:v>Validation/Audit</x:v>
      </x:c>
      <x:c r="C246" s="32" t="str">
        <x:v>Development record</x:v>
      </x:c>
      <x:c r="D246" s="32" t="str">
        <x:v>cc_project_old/Documentation/10_Development_Records/Sprint_08/QA/S8_Validation_Checklist.md</x:v>
      </x:c>
      <x:c r="E246" s="32" t="str">
        <x:v>md</x:v>
      </x:c>
      <x:c r="F246" s="88" t="n">
        <x:v>1593</x:v>
      </x:c>
      <x:c r="G246" s="32" t="str">
        <x:v>2026-06-25 19:59</x:v>
      </x:c>
      <x:c r="H246" s="32" t="str">
        <x:v>e78968953305cb6dc030ececd164ea1e6ac7ca13a88385f2fcadb04e22c61e88</x:v>
      </x:c>
      <x:c r="I246" s="32" t="str">
        <x:v>Development evidence</x:v>
      </x:c>
      <x:c r="J246" s="32" t="str">
        <x:v>Consolidated documents 00–34; retained for genealogy and decisions not explicitly revoked</x:v>
      </x:c>
      <x:c r="K246" s="32" t="str">
        <x:v>Retain original acceptance intent, gates, constraints and evidence lineage unless explicitly superseded.</x:v>
      </x:c>
    </x:row>
    <x:row r="247">
      <x:c r="A247" s="32" t="str">
        <x:v>SRC-0243</x:v>
      </x:c>
      <x:c r="B247" s="32" t="str">
        <x:v>ADR-0034_Deterministic_Profile_Selection_and_Spawn_Queue</x:v>
      </x:c>
      <x:c r="C247" s="32" t="str">
        <x:v>Development record</x:v>
      </x:c>
      <x:c r="D247" s="32" t="str">
        <x:v>cc_project_old/Documentation/10_Development_Records/Sprint_09/Governance/ADR-0034_Deterministic_Profile_Selection_and_Spawn_Queue.md</x:v>
      </x:c>
      <x:c r="E247" s="32" t="str">
        <x:v>md</x:v>
      </x:c>
      <x:c r="F247" s="88" t="n">
        <x:v>308</x:v>
      </x:c>
      <x:c r="G247" s="32" t="str">
        <x:v>2026-06-25 20:09</x:v>
      </x:c>
      <x:c r="H247" s="32" t="str">
        <x:v>b3190da9985256d7704754263838fb9845526aaf470eec40c3e6501ffa6b8d0b</x:v>
      </x:c>
      <x:c r="I247" s="32" t="str">
        <x:v>Development evidence</x:v>
      </x:c>
      <x:c r="J247" s="32" t="str">
        <x:v>Consolidated documents 00–34; retained for genealogy and decisions not explicitly revoked</x:v>
      </x:c>
      <x:c r="K247" s="32" t="str">
        <x:v>Retain original acceptance intent, gates, constraints and evidence lineage unless explicitly superseded.</x:v>
      </x:c>
    </x:row>
    <x:row r="248">
      <x:c r="A248" s="32" t="str">
        <x:v>SRC-0244</x:v>
      </x:c>
      <x:c r="B248" s="32" t="str">
        <x:v>ADR-0035_Customer_Lifecycle_and_Patience</x:v>
      </x:c>
      <x:c r="C248" s="32" t="str">
        <x:v>Development record</x:v>
      </x:c>
      <x:c r="D248" s="32" t="str">
        <x:v>cc_project_old/Documentation/10_Development_Records/Sprint_09/Governance/ADR-0035_Customer_Lifecycle_and_Patience.md</x:v>
      </x:c>
      <x:c r="E248" s="32" t="str">
        <x:v>md</x:v>
      </x:c>
      <x:c r="F248" s="88" t="n">
        <x:v>394</x:v>
      </x:c>
      <x:c r="G248" s="32" t="str">
        <x:v>2026-06-25 20:09</x:v>
      </x:c>
      <x:c r="H248" s="32" t="str">
        <x:v>abae8d2eebdfc7d8b65386653fb1cbb78c351049ef3d838a6d8b0668dd1e1173</x:v>
      </x:c>
      <x:c r="I248" s="32" t="str">
        <x:v>Development evidence</x:v>
      </x:c>
      <x:c r="J248" s="32" t="str">
        <x:v>Consolidated documents 00–34; retained for genealogy and decisions not explicitly revoked</x:v>
      </x:c>
      <x:c r="K248" s="32" t="str">
        <x:v>Retain original acceptance intent, gates, constraints and evidence lineage unless explicitly superseded.</x:v>
      </x:c>
    </x:row>
    <x:row r="249">
      <x:c r="A249" s="32" t="str">
        <x:v>SRC-0245</x:v>
      </x:c>
      <x:c r="B249" s="32" t="str">
        <x:v>ADR-0036_Technical_Navigation_Boundary</x:v>
      </x:c>
      <x:c r="C249" s="32" t="str">
        <x:v>Development record</x:v>
      </x:c>
      <x:c r="D249" s="32" t="str">
        <x:v>cc_project_old/Documentation/10_Development_Records/Sprint_09/Governance/ADR-0036_Technical_Navigation_Boundary.md</x:v>
      </x:c>
      <x:c r="E249" s="32" t="str">
        <x:v>md</x:v>
      </x:c>
      <x:c r="F249" s="88" t="n">
        <x:v>339</x:v>
      </x:c>
      <x:c r="G249" s="32" t="str">
        <x:v>2026-06-25 20:09</x:v>
      </x:c>
      <x:c r="H249" s="32" t="str">
        <x:v>d749100129b58f4e3fd7f9da9b540340194be1dee4dce5195173796089acb4d0</x:v>
      </x:c>
      <x:c r="I249" s="32" t="str">
        <x:v>Development evidence</x:v>
      </x:c>
      <x:c r="J249" s="32" t="str">
        <x:v>Consolidated documents 00–34; retained for genealogy and decisions not explicitly revoked</x:v>
      </x:c>
      <x:c r="K249" s="32" t="str">
        <x:v>Retain original acceptance intent, gates, constraints and evidence lineage unless explicitly superseded.</x:v>
      </x:c>
    </x:row>
    <x:row r="250">
      <x:c r="A250" s="32" t="str">
        <x:v>SRC-0246</x:v>
      </x:c>
      <x:c r="B250" s="32" t="str">
        <x:v>ADR-0037_Population_Cap_and_Technical_Representation</x:v>
      </x:c>
      <x:c r="C250" s="32" t="str">
        <x:v>Development record</x:v>
      </x:c>
      <x:c r="D250" s="32" t="str">
        <x:v>cc_project_old/Documentation/10_Development_Records/Sprint_09/Governance/ADR-0037_Population_Cap_and_Technical_Representation.md</x:v>
      </x:c>
      <x:c r="E250" s="32" t="str">
        <x:v>md</x:v>
      </x:c>
      <x:c r="F250" s="88" t="n">
        <x:v>307</x:v>
      </x:c>
      <x:c r="G250" s="32" t="str">
        <x:v>2026-06-25 20:09</x:v>
      </x:c>
      <x:c r="H250" s="32" t="str">
        <x:v>a03265cb88add303fe2be3c2b7982b1c183f2a3d52c5e7815b17a1a886428392</x:v>
      </x:c>
      <x:c r="I250" s="32" t="str">
        <x:v>Development evidence</x:v>
      </x:c>
      <x:c r="J250" s="32" t="str">
        <x:v>Consolidated documents 00–34; retained for genealogy and decisions not explicitly revoked</x:v>
      </x:c>
      <x:c r="K250" s="32" t="str">
        <x:v>Retain original acceptance intent, gates, constraints and evidence lineage unless explicitly superseded.</x:v>
      </x:c>
    </x:row>
    <x:row r="251">
      <x:c r="A251" s="32" t="str">
        <x:v>SRC-0247</x:v>
      </x:c>
      <x:c r="B251" s="32" t="str">
        <x:v>Handoff</x:v>
      </x:c>
      <x:c r="C251" s="32" t="str">
        <x:v>Development record</x:v>
      </x:c>
      <x:c r="D251" s="32" t="str">
        <x:v>cc_project_old/Documentation/10_Development_Records/Sprint_09/Governance/S9_Handoff_Update_Template.md</x:v>
      </x:c>
      <x:c r="E251" s="32" t="str">
        <x:v>md</x:v>
      </x:c>
      <x:c r="F251" s="88" t="n">
        <x:v>501</x:v>
      </x:c>
      <x:c r="G251" s="32" t="str">
        <x:v>2026-06-25 20:22</x:v>
      </x:c>
      <x:c r="H251" s="32" t="str">
        <x:v>e3d501b14918d549aab4d42cc2d289a8f1d83730600d1083109ea64ea409baae</x:v>
      </x:c>
      <x:c r="I251" s="32" t="str">
        <x:v>Development evidence</x:v>
      </x:c>
      <x:c r="J251" s="32" t="str">
        <x:v>Consolidated documents 00–34; retained for genealogy and decisions not explicitly revoked</x:v>
      </x:c>
      <x:c r="K251" s="32" t="str">
        <x:v>Retain original acceptance intent, gates, constraints and evidence lineage unless explicitly superseded.</x:v>
      </x:c>
    </x:row>
    <x:row r="252">
      <x:c r="A252" s="32" t="str">
        <x:v>SRC-0248</x:v>
      </x:c>
      <x:c r="B252" s="32" t="str">
        <x:v>Acceptance/QA</x:v>
      </x:c>
      <x:c r="C252" s="32" t="str">
        <x:v>Development record</x:v>
      </x:c>
      <x:c r="D252" s="32" t="str">
        <x:v>cc_project_old/Documentation/10_Development_Records/Sprint_09/QA/S9_Acceptance_Matrix.md</x:v>
      </x:c>
      <x:c r="E252" s="32" t="str">
        <x:v>md</x:v>
      </x:c>
      <x:c r="F252" s="88" t="n">
        <x:v>727</x:v>
      </x:c>
      <x:c r="G252" s="32" t="str">
        <x:v>2026-06-25 20:22</x:v>
      </x:c>
      <x:c r="H252" s="32" t="str">
        <x:v>476e8342efea9323b73b46337890b795fe2b3bc500486fd08a9e9f5dbf6706ef</x:v>
      </x:c>
      <x:c r="I252" s="32" t="str">
        <x:v>Development evidence</x:v>
      </x:c>
      <x:c r="J252" s="32" t="str">
        <x:v>Consolidated documents 00–34; retained for genealogy and decisions not explicitly revoked</x:v>
      </x:c>
      <x:c r="K252" s="32" t="str">
        <x:v>Retain original acceptance intent, gates, constraints and evidence lineage unless explicitly superseded.</x:v>
      </x:c>
    </x:row>
    <x:row r="253">
      <x:c r="A253" s="32" t="str">
        <x:v>SRC-0249</x:v>
      </x:c>
      <x:c r="B253" s="32" t="str">
        <x:v>Build/Versioning</x:v>
      </x:c>
      <x:c r="C253" s="32" t="str">
        <x:v>Development record</x:v>
      </x:c>
      <x:c r="D253" s="32" t="str">
        <x:v>cc_project_old/Documentation/10_Development_Records/Sprint_09/QA/S9_Build_Execution_Record.md</x:v>
      </x:c>
      <x:c r="E253" s="32" t="str">
        <x:v>md</x:v>
      </x:c>
      <x:c r="F253" s="88" t="n">
        <x:v>773</x:v>
      </x:c>
      <x:c r="G253" s="32" t="str">
        <x:v>2026-06-25 20:22</x:v>
      </x:c>
      <x:c r="H253" s="32" t="str">
        <x:v>743edb2e5421984273fb169aab3fbb16c48d6b0ac2e177c5e83ba01b51099304</x:v>
      </x:c>
      <x:c r="I253" s="32" t="str">
        <x:v>Development evidence</x:v>
      </x:c>
      <x:c r="J253" s="32" t="str">
        <x:v>Consolidated documents 00–34; retained for genealogy and decisions not explicitly revoked</x:v>
      </x:c>
      <x:c r="K253" s="32" t="str">
        <x:v>Retain original acceptance intent, gates, constraints and evidence lineage unless explicitly superseded.</x:v>
      </x:c>
    </x:row>
    <x:row r="254">
      <x:c r="A254" s="32" t="str">
        <x:v>SRC-0250</x:v>
      </x:c>
      <x:c r="B254" s="32" t="str">
        <x:v>Validation/Audit</x:v>
      </x:c>
      <x:c r="C254" s="32" t="str">
        <x:v>Development record</x:v>
      </x:c>
      <x:c r="D254" s="32" t="str">
        <x:v>cc_project_old/Documentation/10_Development_Records/Sprint_09/QA/S9_Manual_Validation_Record.md</x:v>
      </x:c>
      <x:c r="E254" s="32" t="str">
        <x:v>md</x:v>
      </x:c>
      <x:c r="F254" s="88" t="n">
        <x:v>813</x:v>
      </x:c>
      <x:c r="G254" s="32" t="str">
        <x:v>2026-06-25 20:22</x:v>
      </x:c>
      <x:c r="H254" s="32" t="str">
        <x:v>93b6eaaed85d417f81eb41a37696d307efd7c0523b25d309a76ed453eff9b2fc</x:v>
      </x:c>
      <x:c r="I254" s="32" t="str">
        <x:v>Development evidence</x:v>
      </x:c>
      <x:c r="J254" s="32" t="str">
        <x:v>Consolidated documents 00–34; retained for genealogy and decisions not explicitly revoked</x:v>
      </x:c>
      <x:c r="K254" s="32" t="str">
        <x:v>Retain original acceptance intent, gates, constraints and evidence lineage unless explicitly superseded.</x:v>
      </x:c>
    </x:row>
    <x:row r="255">
      <x:c r="A255" s="32" t="str">
        <x:v>SRC-0251</x:v>
      </x:c>
      <x:c r="B255" s="32" t="str">
        <x:v>Validation/Audit</x:v>
      </x:c>
      <x:c r="C255" s="32" t="str">
        <x:v>Development record</x:v>
      </x:c>
      <x:c r="D255" s="32" t="str">
        <x:v>cc_project_old/Documentation/10_Development_Records/Sprint_09/QA/S9_Validation_Checklist.md</x:v>
      </x:c>
      <x:c r="E255" s="32" t="str">
        <x:v>md</x:v>
      </x:c>
      <x:c r="F255" s="88" t="n">
        <x:v>643</x:v>
      </x:c>
      <x:c r="G255" s="32" t="str">
        <x:v>2026-06-25 20:22</x:v>
      </x:c>
      <x:c r="H255" s="32" t="str">
        <x:v>07c2186f8993ca63a64d0b6c14bdff998f0b1a5e193bc1ce0d4944640a189d3c</x:v>
      </x:c>
      <x:c r="I255" s="32" t="str">
        <x:v>Development evidence</x:v>
      </x:c>
      <x:c r="J255" s="32" t="str">
        <x:v>Consolidated documents 00–34; retained for genealogy and decisions not explicitly revoked</x:v>
      </x:c>
      <x:c r="K255" s="32" t="str">
        <x:v>Retain original acceptance intent, gates, constraints and evidence lineage unless explicitly superseded.</x:v>
      </x:c>
    </x:row>
    <x:row r="256">
      <x:c r="A256" s="32" t="str">
        <x:v>SRC-0252</x:v>
      </x:c>
      <x:c r="B256" s="32" t="str">
        <x:v>ADR-0038-ReservationBackedCart</x:v>
      </x:c>
      <x:c r="C256" s="32" t="str">
        <x:v>Development record</x:v>
      </x:c>
      <x:c r="D256" s="32" t="str">
        <x:v>cc_project_old/Documentation/10_Development_Records/Sprint_10/Architecture/ADR-0038-ReservationBackedCart.md</x:v>
      </x:c>
      <x:c r="E256" s="32" t="str">
        <x:v>md</x:v>
      </x:c>
      <x:c r="F256" s="88" t="n">
        <x:v>176</x:v>
      </x:c>
      <x:c r="G256" s="32" t="str">
        <x:v>2026-06-26 00:19</x:v>
      </x:c>
      <x:c r="H256" s="32" t="str">
        <x:v>b75acced6289b8579e95ccb0e1dbe76dcaa3fafbbd9e4c16c8bda84aaa7a37fc</x:v>
      </x:c>
      <x:c r="I256" s="32" t="str">
        <x:v>Development evidence</x:v>
      </x:c>
      <x:c r="J256" s="32" t="str">
        <x:v>Consolidated documents 00–34; retained for genealogy and decisions not explicitly revoked</x:v>
      </x:c>
      <x:c r="K256" s="32" t="str">
        <x:v>Retain original acceptance intent, gates, constraints and evidence lineage unless explicitly superseded.</x:v>
      </x:c>
    </x:row>
    <x:row r="257">
      <x:c r="A257" s="32" t="str">
        <x:v>SRC-0253</x:v>
      </x:c>
      <x:c r="B257" s="32" t="str">
        <x:v>ADR-0039-DeterministicShoppingSearch</x:v>
      </x:c>
      <x:c r="C257" s="32" t="str">
        <x:v>Development record</x:v>
      </x:c>
      <x:c r="D257" s="32" t="str">
        <x:v>cc_project_old/Documentation/10_Development_Records/Sprint_10/Architecture/ADR-0039-DeterministicShoppingSearch.md</x:v>
      </x:c>
      <x:c r="E257" s="32" t="str">
        <x:v>md</x:v>
      </x:c>
      <x:c r="F257" s="88" t="n">
        <x:v>179</x:v>
      </x:c>
      <x:c r="G257" s="32" t="str">
        <x:v>2026-06-26 00:19</x:v>
      </x:c>
      <x:c r="H257" s="32" t="str">
        <x:v>f68af75f570d688595409b8c6be5689989143acb084811e26f6e21f125bae81e</x:v>
      </x:c>
      <x:c r="I257" s="32" t="str">
        <x:v>Development evidence</x:v>
      </x:c>
      <x:c r="J257" s="32" t="str">
        <x:v>Consolidated documents 00–34; retained for genealogy and decisions not explicitly revoked</x:v>
      </x:c>
      <x:c r="K257" s="32" t="str">
        <x:v>Retain original acceptance intent, gates, constraints and evidence lineage unless explicitly superseded.</x:v>
      </x:c>
    </x:row>
    <x:row r="258">
      <x:c r="A258" s="32" t="str">
        <x:v>SRC-0254</x:v>
      </x:c>
      <x:c r="B258" s="32" t="str">
        <x:v>ADR-0040-ReservationProvenance</x:v>
      </x:c>
      <x:c r="C258" s="32" t="str">
        <x:v>Development record</x:v>
      </x:c>
      <x:c r="D258" s="32" t="str">
        <x:v>cc_project_old/Documentation/10_Development_Records/Sprint_10/Architecture/ADR-0040-ReservationProvenance.md</x:v>
      </x:c>
      <x:c r="E258" s="32" t="str">
        <x:v>md</x:v>
      </x:c>
      <x:c r="F258" s="88" t="n">
        <x:v>130</x:v>
      </x:c>
      <x:c r="G258" s="32" t="str">
        <x:v>2026-06-26 00:19</x:v>
      </x:c>
      <x:c r="H258" s="32" t="str">
        <x:v>fb548c17172d591576640e2454ef14319057adc48b3dbd9944374ff306f3dee5</x:v>
      </x:c>
      <x:c r="I258" s="32" t="str">
        <x:v>Development evidence</x:v>
      </x:c>
      <x:c r="J258" s="32" t="str">
        <x:v>Consolidated documents 00–34; retained for genealogy and decisions not explicitly revoked</x:v>
      </x:c>
      <x:c r="K258" s="32" t="str">
        <x:v>Retain original acceptance intent, gates, constraints and evidence lineage unless explicitly superseded.</x:v>
      </x:c>
    </x:row>
    <x:row r="259">
      <x:c r="A259" s="32" t="str">
        <x:v>SRC-0255</x:v>
      </x:c>
      <x:c r="B259" s="32" t="str">
        <x:v>ADR-0041-CustomerShoppingSessionBoundary</x:v>
      </x:c>
      <x:c r="C259" s="32" t="str">
        <x:v>Development record</x:v>
      </x:c>
      <x:c r="D259" s="32" t="str">
        <x:v>cc_project_old/Documentation/10_Development_Records/Sprint_10/Architecture/ADR-0041-CustomerShoppingSessionBoundary.md</x:v>
      </x:c>
      <x:c r="E259" s="32" t="str">
        <x:v>md</x:v>
      </x:c>
      <x:c r="F259" s="88" t="n">
        <x:v>160</x:v>
      </x:c>
      <x:c r="G259" s="32" t="str">
        <x:v>2026-06-26 00:19</x:v>
      </x:c>
      <x:c r="H259" s="32" t="str">
        <x:v>d6bf2284912c0e33992a0af84e445ad75fb6af270bb901ec0bf0f03942a11c08</x:v>
      </x:c>
      <x:c r="I259" s="32" t="str">
        <x:v>Development evidence</x:v>
      </x:c>
      <x:c r="J259" s="32" t="str">
        <x:v>Consolidated documents 00–34; retained for genealogy and decisions not explicitly revoked</x:v>
      </x:c>
      <x:c r="K259" s="32" t="str">
        <x:v>Retain original acceptance intent, gates, constraints and evidence lineage unless explicitly superseded.</x:v>
      </x:c>
    </x:row>
    <x:row r="260">
      <x:c r="A260" s="32" t="str">
        <x:v>SRC-0256</x:v>
      </x:c>
      <x:c r="B260" s="32" t="str">
        <x:v>Handoff</x:v>
      </x:c>
      <x:c r="C260" s="32" t="str">
        <x:v>Development record</x:v>
      </x:c>
      <x:c r="D260" s="32" t="str">
        <x:v>cc_project_old/Documentation/10_Development_Records/Sprint_10/Governance/S10_Handoff_Update_Template.md</x:v>
      </x:c>
      <x:c r="E260" s="32" t="str">
        <x:v>md</x:v>
      </x:c>
      <x:c r="F260" s="88" t="n">
        <x:v>429</x:v>
      </x:c>
      <x:c r="G260" s="32" t="str">
        <x:v>2026-06-26 01:01</x:v>
      </x:c>
      <x:c r="H260" s="32" t="str">
        <x:v>e7893c392feb7b35d3e270034b36f9da758d73673adb7e3f50cecea5763003a0</x:v>
      </x:c>
      <x:c r="I260" s="32" t="str">
        <x:v>Development evidence</x:v>
      </x:c>
      <x:c r="J260" s="32" t="str">
        <x:v>Consolidated documents 00–34; retained for genealogy and decisions not explicitly revoked</x:v>
      </x:c>
      <x:c r="K260" s="32" t="str">
        <x:v>Retain original acceptance intent, gates, constraints and evidence lineage unless explicitly superseded.</x:v>
      </x:c>
    </x:row>
    <x:row r="261">
      <x:c r="A261" s="32" t="str">
        <x:v>SRC-0257</x:v>
      </x:c>
      <x:c r="B261" s="32" t="str">
        <x:v>Acceptance/QA</x:v>
      </x:c>
      <x:c r="C261" s="32" t="str">
        <x:v>Development record</x:v>
      </x:c>
      <x:c r="D261" s="32" t="str">
        <x:v>cc_project_old/Documentation/10_Development_Records/Sprint_10/QA/S10_Acceptance_Matrix.md</x:v>
      </x:c>
      <x:c r="E261" s="32" t="str">
        <x:v>md</x:v>
      </x:c>
      <x:c r="F261" s="88" t="n">
        <x:v>665</x:v>
      </x:c>
      <x:c r="G261" s="32" t="str">
        <x:v>2026-06-26 01:01</x:v>
      </x:c>
      <x:c r="H261" s="32" t="str">
        <x:v>8a3558314d7d868e3e2ce0dc33fe62e7b1b33eddf1e70b2d6eab43c9b3600d8c</x:v>
      </x:c>
      <x:c r="I261" s="32" t="str">
        <x:v>Development evidence</x:v>
      </x:c>
      <x:c r="J261" s="32" t="str">
        <x:v>Consolidated documents 00–34; retained for genealogy and decisions not explicitly revoked</x:v>
      </x:c>
      <x:c r="K261" s="32" t="str">
        <x:v>Retain original acceptance intent, gates, constraints and evidence lineage unless explicitly superseded.</x:v>
      </x:c>
    </x:row>
    <x:row r="262">
      <x:c r="A262" s="32" t="str">
        <x:v>SRC-0258</x:v>
      </x:c>
      <x:c r="B262" s="32" t="str">
        <x:v>Build/Versioning</x:v>
      </x:c>
      <x:c r="C262" s="32" t="str">
        <x:v>Development record</x:v>
      </x:c>
      <x:c r="D262" s="32" t="str">
        <x:v>cc_project_old/Documentation/10_Development_Records/Sprint_10/QA/S10_Build_Execution_Record.md</x:v>
      </x:c>
      <x:c r="E262" s="32" t="str">
        <x:v>md</x:v>
      </x:c>
      <x:c r="F262" s="88" t="n">
        <x:v>535</x:v>
      </x:c>
      <x:c r="G262" s="32" t="str">
        <x:v>2026-06-26 01:01</x:v>
      </x:c>
      <x:c r="H262" s="32" t="str">
        <x:v>adea9b7fcdab6e319f0ded3171260cc0200e2ae3ab424916a8068a7175872369</x:v>
      </x:c>
      <x:c r="I262" s="32" t="str">
        <x:v>Development evidence</x:v>
      </x:c>
      <x:c r="J262" s="32" t="str">
        <x:v>Consolidated documents 00–34; retained for genealogy and decisions not explicitly revoked</x:v>
      </x:c>
      <x:c r="K262" s="32" t="str">
        <x:v>Retain original acceptance intent, gates, constraints and evidence lineage unless explicitly superseded.</x:v>
      </x:c>
    </x:row>
    <x:row r="263">
      <x:c r="A263" s="32" t="str">
        <x:v>SRC-0259</x:v>
      </x:c>
      <x:c r="B263" s="32" t="str">
        <x:v>Validation/Audit</x:v>
      </x:c>
      <x:c r="C263" s="32" t="str">
        <x:v>Development record</x:v>
      </x:c>
      <x:c r="D263" s="32" t="str">
        <x:v>cc_project_old/Documentation/10_Development_Records/Sprint_10/QA/S10_Manual_Validation_Record.md</x:v>
      </x:c>
      <x:c r="E263" s="32" t="str">
        <x:v>md</x:v>
      </x:c>
      <x:c r="F263" s="88" t="n">
        <x:v>609</x:v>
      </x:c>
      <x:c r="G263" s="32" t="str">
        <x:v>2026-06-26 01:01</x:v>
      </x:c>
      <x:c r="H263" s="32" t="str">
        <x:v>35d91142c2f3c26612d93bdf77ed3d4211d1d08373d21fcb34960e5987457c19</x:v>
      </x:c>
      <x:c r="I263" s="32" t="str">
        <x:v>Development evidence</x:v>
      </x:c>
      <x:c r="J263" s="32" t="str">
        <x:v>Consolidated documents 00–34; retained for genealogy and decisions not explicitly revoked</x:v>
      </x:c>
      <x:c r="K263" s="32" t="str">
        <x:v>Retain original acceptance intent, gates, constraints and evidence lineage unless explicitly superseded.</x:v>
      </x:c>
    </x:row>
    <x:row r="264">
      <x:c r="A264" s="32" t="str">
        <x:v>SRC-0260</x:v>
      </x:c>
      <x:c r="B264" s="32" t="str">
        <x:v>Validation/Audit</x:v>
      </x:c>
      <x:c r="C264" s="32" t="str">
        <x:v>Development record</x:v>
      </x:c>
      <x:c r="D264" s="32" t="str">
        <x:v>cc_project_old/Documentation/10_Development_Records/Sprint_10/QA/S10_Validation_Checklist.md</x:v>
      </x:c>
      <x:c r="E264" s="32" t="str">
        <x:v>md</x:v>
      </x:c>
      <x:c r="F264" s="88" t="n">
        <x:v>522</x:v>
      </x:c>
      <x:c r="G264" s="32" t="str">
        <x:v>2026-06-26 01:01</x:v>
      </x:c>
      <x:c r="H264" s="32" t="str">
        <x:v>4ccd94ab6aeac432193d476585e83286bd5be87777256812814dd206ad2d5e55</x:v>
      </x:c>
      <x:c r="I264" s="32" t="str">
        <x:v>Development evidence</x:v>
      </x:c>
      <x:c r="J264" s="32" t="str">
        <x:v>Consolidated documents 00–34; retained for genealogy and decisions not explicitly revoked</x:v>
      </x:c>
      <x:c r="K264" s="32" t="str">
        <x:v>Retain original acceptance intent, gates, constraints and evidence lineage unless explicitly superseded.</x:v>
      </x:c>
    </x:row>
    <x:row r="265">
      <x:c r="A265" s="32" t="str">
        <x:v>SRC-0261</x:v>
      </x:c>
      <x:c r="B265" s="32" t="str">
        <x:v>ADR-0042-StrictFifoCheckoutQueue</x:v>
      </x:c>
      <x:c r="C265" s="32" t="str">
        <x:v>Development record</x:v>
      </x:c>
      <x:c r="D265" s="32" t="str">
        <x:v>cc_project_old/Documentation/10_Development_Records/Sprint_11/Architecture/ADR-0042-StrictFifoCheckoutQueue.md</x:v>
      </x:c>
      <x:c r="E265" s="32" t="str">
        <x:v>md</x:v>
      </x:c>
      <x:c r="F265" s="88" t="n">
        <x:v>205</x:v>
      </x:c>
      <x:c r="G265" s="32" t="str">
        <x:v>2026-06-26 01:14</x:v>
      </x:c>
      <x:c r="H265" s="32" t="str">
        <x:v>094a7bdd2663b03a04f085dd8b9e0c775081f8b64eb6319858f1ac39b086df43</x:v>
      </x:c>
      <x:c r="I265" s="32" t="str">
        <x:v>Development evidence</x:v>
      </x:c>
      <x:c r="J265" s="32" t="str">
        <x:v>Consolidated documents 00–34; retained for genealogy and decisions not explicitly revoked</x:v>
      </x:c>
      <x:c r="K265" s="32" t="str">
        <x:v>Retain original acceptance intent, gates, constraints and evidence lineage unless explicitly superseded.</x:v>
      </x:c>
    </x:row>
    <x:row r="266">
      <x:c r="A266" s="32" t="str">
        <x:v>SRC-0262</x:v>
      </x:c>
      <x:c r="B266" s="32" t="str">
        <x:v>ADR-0043-SingleEntryCheckoutStation</x:v>
      </x:c>
      <x:c r="C266" s="32" t="str">
        <x:v>Development record</x:v>
      </x:c>
      <x:c r="D266" s="32" t="str">
        <x:v>cc_project_old/Documentation/10_Development_Records/Sprint_11/Architecture/ADR-0043-SingleEntryCheckoutStation.md</x:v>
      </x:c>
      <x:c r="E266" s="32" t="str">
        <x:v>md</x:v>
      </x:c>
      <x:c r="F266" s="88" t="n">
        <x:v>177</x:v>
      </x:c>
      <x:c r="G266" s="32" t="str">
        <x:v>2026-06-26 01:14</x:v>
      </x:c>
      <x:c r="H266" s="32" t="str">
        <x:v>251308c9d85fe221f37152f5f9448a811db556b3b91816c20485e7a12949d5db</x:v>
      </x:c>
      <x:c r="I266" s="32" t="str">
        <x:v>Development evidence</x:v>
      </x:c>
      <x:c r="J266" s="32" t="str">
        <x:v>Consolidated documents 00–34; retained for genealogy and decisions not explicitly revoked</x:v>
      </x:c>
      <x:c r="K266" s="32" t="str">
        <x:v>Retain original acceptance intent, gates, constraints and evidence lineage unless explicitly superseded.</x:v>
      </x:c>
    </x:row>
    <x:row r="267">
      <x:c r="A267" s="32" t="str">
        <x:v>SRC-0263</x:v>
      </x:c>
      <x:c r="B267" s="32" t="str">
        <x:v>ADR-0044-PreflightThenCommitCheckout</x:v>
      </x:c>
      <x:c r="C267" s="32" t="str">
        <x:v>Development record</x:v>
      </x:c>
      <x:c r="D267" s="32" t="str">
        <x:v>cc_project_old/Documentation/10_Development_Records/Sprint_11/Architecture/ADR-0044-PreflightThenCommitCheckout.md</x:v>
      </x:c>
      <x:c r="E267" s="32" t="str">
        <x:v>md</x:v>
      </x:c>
      <x:c r="F267" s="88" t="n">
        <x:v>263</x:v>
      </x:c>
      <x:c r="G267" s="32" t="str">
        <x:v>2026-06-26 01:14</x:v>
      </x:c>
      <x:c r="H267" s="32" t="str">
        <x:v>a58dfea3f71f24fd52ae8c7ab9d015aad8b31ad56c60e12162e4aff95783a864</x:v>
      </x:c>
      <x:c r="I267" s="32" t="str">
        <x:v>Development evidence</x:v>
      </x:c>
      <x:c r="J267" s="32" t="str">
        <x:v>Consolidated documents 00–34; retained for genealogy and decisions not explicitly revoked</x:v>
      </x:c>
      <x:c r="K267" s="32" t="str">
        <x:v>Retain original acceptance intent, gates, constraints and evidence lineage unless explicitly superseded.</x:v>
      </x:c>
    </x:row>
    <x:row r="268">
      <x:c r="A268" s="32" t="str">
        <x:v>SRC-0264</x:v>
      </x:c>
      <x:c r="B268" s="32" t="str">
        <x:v>ADR-0045-CheckoutIdempotency</x:v>
      </x:c>
      <x:c r="C268" s="32" t="str">
        <x:v>Development record</x:v>
      </x:c>
      <x:c r="D268" s="32" t="str">
        <x:v>cc_project_old/Documentation/10_Development_Records/Sprint_11/Architecture/ADR-0045-CheckoutIdempotency.md</x:v>
      </x:c>
      <x:c r="E268" s="32" t="str">
        <x:v>md</x:v>
      </x:c>
      <x:c r="F268" s="88" t="n">
        <x:v>152</x:v>
      </x:c>
      <x:c r="G268" s="32" t="str">
        <x:v>2026-06-26 01:14</x:v>
      </x:c>
      <x:c r="H268" s="32" t="str">
        <x:v>dcaf08280bbc3fb2f7947d5d594d13d1d84c415dfa93e3c83148280a171d5d75</x:v>
      </x:c>
      <x:c r="I268" s="32" t="str">
        <x:v>Development evidence</x:v>
      </x:c>
      <x:c r="J268" s="32" t="str">
        <x:v>Consolidated documents 00–34; retained for genealogy and decisions not explicitly revoked</x:v>
      </x:c>
      <x:c r="K268" s="32" t="str">
        <x:v>Retain original acceptance intent, gates, constraints and evidence lineage unless explicitly superseded.</x:v>
      </x:c>
    </x:row>
    <x:row r="269">
      <x:c r="A269" s="32" t="str">
        <x:v>SRC-0265</x:v>
      </x:c>
      <x:c r="B269" s="32" t="str">
        <x:v>Handoff</x:v>
      </x:c>
      <x:c r="C269" s="32" t="str">
        <x:v>Development record</x:v>
      </x:c>
      <x:c r="D269" s="32" t="str">
        <x:v>cc_project_old/Documentation/10_Development_Records/Sprint_11/Governance/S11_Handoff_Update_Template.md</x:v>
      </x:c>
      <x:c r="E269" s="32" t="str">
        <x:v>md</x:v>
      </x:c>
      <x:c r="F269" s="88" t="n">
        <x:v>422</x:v>
      </x:c>
      <x:c r="G269" s="32" t="str">
        <x:v>2026-06-26 02:21</x:v>
      </x:c>
      <x:c r="H269" s="32" t="str">
        <x:v>3da63a8600ab4da7f1afe4032690763029d3551297fad0d51afbfa841687dad5</x:v>
      </x:c>
      <x:c r="I269" s="32" t="str">
        <x:v>Development evidence</x:v>
      </x:c>
      <x:c r="J269" s="32" t="str">
        <x:v>Consolidated documents 00–34; retained for genealogy and decisions not explicitly revoked</x:v>
      </x:c>
      <x:c r="K269" s="32" t="str">
        <x:v>Retain original acceptance intent, gates, constraints and evidence lineage unless explicitly superseded.</x:v>
      </x:c>
    </x:row>
    <x:row r="270">
      <x:c r="A270" s="32" t="str">
        <x:v>SRC-0266</x:v>
      </x:c>
      <x:c r="B270" s="32" t="str">
        <x:v>Acceptance/QA</x:v>
      </x:c>
      <x:c r="C270" s="32" t="str">
        <x:v>Development record</x:v>
      </x:c>
      <x:c r="D270" s="32" t="str">
        <x:v>cc_project_old/Documentation/10_Development_Records/Sprint_11/QA/S11_Acceptance_Matrix.md</x:v>
      </x:c>
      <x:c r="E270" s="32" t="str">
        <x:v>md</x:v>
      </x:c>
      <x:c r="F270" s="88" t="n">
        <x:v>650</x:v>
      </x:c>
      <x:c r="G270" s="32" t="str">
        <x:v>2026-06-26 02:21</x:v>
      </x:c>
      <x:c r="H270" s="32" t="str">
        <x:v>a6f876fb02398be1ee466d2f9dde9613ad9c0fa2fc0088778b791ab9a3d00e8d</x:v>
      </x:c>
      <x:c r="I270" s="32" t="str">
        <x:v>Development evidence</x:v>
      </x:c>
      <x:c r="J270" s="32" t="str">
        <x:v>Consolidated documents 00–34; retained for genealogy and decisions not explicitly revoked</x:v>
      </x:c>
      <x:c r="K270" s="32" t="str">
        <x:v>Retain original acceptance intent, gates, constraints and evidence lineage unless explicitly superseded.</x:v>
      </x:c>
    </x:row>
    <x:row r="271">
      <x:c r="A271" s="32" t="str">
        <x:v>SRC-0267</x:v>
      </x:c>
      <x:c r="B271" s="32" t="str">
        <x:v>Build/Versioning</x:v>
      </x:c>
      <x:c r="C271" s="32" t="str">
        <x:v>Development record</x:v>
      </x:c>
      <x:c r="D271" s="32" t="str">
        <x:v>cc_project_old/Documentation/10_Development_Records/Sprint_11/QA/S11_Build_Execution_Record.md</x:v>
      </x:c>
      <x:c r="E271" s="32" t="str">
        <x:v>md</x:v>
      </x:c>
      <x:c r="F271" s="88" t="n">
        <x:v>494</x:v>
      </x:c>
      <x:c r="G271" s="32" t="str">
        <x:v>2026-06-26 02:21</x:v>
      </x:c>
      <x:c r="H271" s="32" t="str">
        <x:v>6e5b3ee3b6b9a1a6d2f6c90fc07df567cfdd81126f6e2c06aa4c3307db206f24</x:v>
      </x:c>
      <x:c r="I271" s="32" t="str">
        <x:v>Development evidence</x:v>
      </x:c>
      <x:c r="J271" s="32" t="str">
        <x:v>Consolidated documents 00–34; retained for genealogy and decisions not explicitly revoked</x:v>
      </x:c>
      <x:c r="K271" s="32" t="str">
        <x:v>Retain original acceptance intent, gates, constraints and evidence lineage unless explicitly superseded.</x:v>
      </x:c>
    </x:row>
    <x:row r="272">
      <x:c r="A272" s="32" t="str">
        <x:v>SRC-0268</x:v>
      </x:c>
      <x:c r="B272" s="32" t="str">
        <x:v>Validation/Audit</x:v>
      </x:c>
      <x:c r="C272" s="32" t="str">
        <x:v>Development record</x:v>
      </x:c>
      <x:c r="D272" s="32" t="str">
        <x:v>cc_project_old/Documentation/10_Development_Records/Sprint_11/QA/S11_Manual_Validation_Record.md</x:v>
      </x:c>
      <x:c r="E272" s="32" t="str">
        <x:v>md</x:v>
      </x:c>
      <x:c r="F272" s="88" t="n">
        <x:v>627</x:v>
      </x:c>
      <x:c r="G272" s="32" t="str">
        <x:v>2026-06-26 02:21</x:v>
      </x:c>
      <x:c r="H272" s="32" t="str">
        <x:v>4570258f61607a4d682668a55327dd21ba3c5358f213888de0b75dc7309f94f8</x:v>
      </x:c>
      <x:c r="I272" s="32" t="str">
        <x:v>Development evidence</x:v>
      </x:c>
      <x:c r="J272" s="32" t="str">
        <x:v>Consolidated documents 00–34; retained for genealogy and decisions not explicitly revoked</x:v>
      </x:c>
      <x:c r="K272" s="32" t="str">
        <x:v>Retain original acceptance intent, gates, constraints and evidence lineage unless explicitly superseded.</x:v>
      </x:c>
    </x:row>
    <x:row r="273">
      <x:c r="A273" s="32" t="str">
        <x:v>SRC-0269</x:v>
      </x:c>
      <x:c r="B273" s="32" t="str">
        <x:v>Validation/Audit</x:v>
      </x:c>
      <x:c r="C273" s="32" t="str">
        <x:v>Development record</x:v>
      </x:c>
      <x:c r="D273" s="32" t="str">
        <x:v>cc_project_old/Documentation/10_Development_Records/Sprint_11/QA/S11_Validation_Checklist.md</x:v>
      </x:c>
      <x:c r="E273" s="32" t="str">
        <x:v>md</x:v>
      </x:c>
      <x:c r="F273" s="88" t="n">
        <x:v>586</x:v>
      </x:c>
      <x:c r="G273" s="32" t="str">
        <x:v>2026-06-26 02:21</x:v>
      </x:c>
      <x:c r="H273" s="32" t="str">
        <x:v>6e6a1eaca9f8b962ef3092264ba1419f8dae3c1212518a64cb3ed738fa1b4b22</x:v>
      </x:c>
      <x:c r="I273" s="32" t="str">
        <x:v>Development evidence</x:v>
      </x:c>
      <x:c r="J273" s="32" t="str">
        <x:v>Consolidated documents 00–34; retained for genealogy and decisions not explicitly revoked</x:v>
      </x:c>
      <x:c r="K273" s="32" t="str">
        <x:v>Retain original acceptance intent, gates, constraints and evidence lineage unless explicitly superseded.</x:v>
      </x:c>
    </x:row>
    <x:row r="274">
      <x:c r="A274" s="32" t="str">
        <x:v>SRC-0270</x:v>
      </x:c>
      <x:c r="B274" s="32" t="str">
        <x:v>ADR-0046-LogicalStoreDayAggregate</x:v>
      </x:c>
      <x:c r="C274" s="32" t="str">
        <x:v>Development record</x:v>
      </x:c>
      <x:c r="D274" s="32" t="str">
        <x:v>cc_project_old/Documentation/10_Development_Records/Sprint_12/Architecture/ADR-0046-LogicalStoreDayAggregate.md</x:v>
      </x:c>
      <x:c r="E274" s="32" t="str">
        <x:v>md</x:v>
      </x:c>
      <x:c r="F274" s="88" t="n">
        <x:v>191</x:v>
      </x:c>
      <x:c r="G274" s="32" t="str">
        <x:v>2026-06-26 09:38</x:v>
      </x:c>
      <x:c r="H274" s="32" t="str">
        <x:v>4b0703008d657d9b20ef1554afcf827e8126540b156009d91cfc61c6270fcc7d</x:v>
      </x:c>
      <x:c r="I274" s="32" t="str">
        <x:v>Development evidence</x:v>
      </x:c>
      <x:c r="J274" s="32" t="str">
        <x:v>Consolidated documents 00–34; retained for genealogy and decisions not explicitly revoked</x:v>
      </x:c>
      <x:c r="K274" s="32" t="str">
        <x:v>Retain original acceptance intent, gates, constraints and evidence lineage unless explicitly superseded.</x:v>
      </x:c>
    </x:row>
    <x:row r="275">
      <x:c r="A275" s="32" t="str">
        <x:v>SRC-0271</x:v>
      </x:c>
      <x:c r="B275" s="32" t="str">
        <x:v>ADR-0047-ClosingAdmissionGates</x:v>
      </x:c>
      <x:c r="C275" s="32" t="str">
        <x:v>Development record</x:v>
      </x:c>
      <x:c r="D275" s="32" t="str">
        <x:v>cc_project_old/Documentation/10_Development_Records/Sprint_12/Architecture/ADR-0047-ClosingAdmissionGates.md</x:v>
      </x:c>
      <x:c r="E275" s="32" t="str">
        <x:v>md</x:v>
      </x:c>
      <x:c r="F275" s="88" t="n">
        <x:v>203</x:v>
      </x:c>
      <x:c r="G275" s="32" t="str">
        <x:v>2026-06-26 09:38</x:v>
      </x:c>
      <x:c r="H275" s="32" t="str">
        <x:v>1bea6d3a71b2dda9f027398423d40013fed095318570d0c983c3a5ef5adbf2ef</x:v>
      </x:c>
      <x:c r="I275" s="32" t="str">
        <x:v>Development evidence</x:v>
      </x:c>
      <x:c r="J275" s="32" t="str">
        <x:v>Consolidated documents 00–34; retained for genealogy and decisions not explicitly revoked</x:v>
      </x:c>
      <x:c r="K275" s="32" t="str">
        <x:v>Retain original acceptance intent, gates, constraints and evidence lineage unless explicitly superseded.</x:v>
      </x:c>
    </x:row>
    <x:row r="276">
      <x:c r="A276" s="32" t="str">
        <x:v>SRC-0272</x:v>
      </x:c>
      <x:c r="B276" s="32" t="str">
        <x:v>ADR-0048-DeterministicDrainAndResolution</x:v>
      </x:c>
      <x:c r="C276" s="32" t="str">
        <x:v>Development record</x:v>
      </x:c>
      <x:c r="D276" s="32" t="str">
        <x:v>cc_project_old/Documentation/10_Development_Records/Sprint_12/Architecture/ADR-0048-DeterministicDrainAndResolution.md</x:v>
      </x:c>
      <x:c r="E276" s="32" t="str">
        <x:v>md</x:v>
      </x:c>
      <x:c r="F276" s="88" t="n">
        <x:v>201</x:v>
      </x:c>
      <x:c r="G276" s="32" t="str">
        <x:v>2026-06-26 09:38</x:v>
      </x:c>
      <x:c r="H276" s="32" t="str">
        <x:v>930429172027b64eeed649d79c17f55747622690c4355f303b4b1f572f2e53da</x:v>
      </x:c>
      <x:c r="I276" s="32" t="str">
        <x:v>Development evidence</x:v>
      </x:c>
      <x:c r="J276" s="32" t="str">
        <x:v>Consolidated documents 00–34; retained for genealogy and decisions not explicitly revoked</x:v>
      </x:c>
      <x:c r="K276" s="32" t="str">
        <x:v>Retain original acceptance intent, gates, constraints and evidence lineage unless explicitly superseded.</x:v>
      </x:c>
    </x:row>
    <x:row r="277">
      <x:c r="A277" s="32" t="str">
        <x:v>SRC-0273</x:v>
      </x:c>
      <x:c r="B277" s="32" t="str">
        <x:v>ADR-0049-ClosureReadinessSnapshot</x:v>
      </x:c>
      <x:c r="C277" s="32" t="str">
        <x:v>Development record</x:v>
      </x:c>
      <x:c r="D277" s="32" t="str">
        <x:v>cc_project_old/Documentation/10_Development_Records/Sprint_12/Architecture/ADR-0049-ClosureReadinessSnapshot.md</x:v>
      </x:c>
      <x:c r="E277" s="32" t="str">
        <x:v>md</x:v>
      </x:c>
      <x:c r="F277" s="88" t="n">
        <x:v>173</x:v>
      </x:c>
      <x:c r="G277" s="32" t="str">
        <x:v>2026-06-26 09:38</x:v>
      </x:c>
      <x:c r="H277" s="32" t="str">
        <x:v>8bbed47b5de9fe5d2fb48f877e7bc1452a95aab891c3fcae14d6b06fea819df9</x:v>
      </x:c>
      <x:c r="I277" s="32" t="str">
        <x:v>Development evidence</x:v>
      </x:c>
      <x:c r="J277" s="32" t="str">
        <x:v>Consolidated documents 00–34; retained for genealogy and decisions not explicitly revoked</x:v>
      </x:c>
      <x:c r="K277" s="32" t="str">
        <x:v>Retain original acceptance intent, gates, constraints and evidence lineage unless explicitly superseded.</x:v>
      </x:c>
    </x:row>
    <x:row r="278">
      <x:c r="A278" s="32" t="str">
        <x:v>SRC-0274</x:v>
      </x:c>
      <x:c r="B278" s="32" t="str">
        <x:v>ADR-0050-TechnicalDaySummary</x:v>
      </x:c>
      <x:c r="C278" s="32" t="str">
        <x:v>Development record</x:v>
      </x:c>
      <x:c r="D278" s="32" t="str">
        <x:v>cc_project_old/Documentation/10_Development_Records/Sprint_12/Architecture/ADR-0050-TechnicalDaySummary.md</x:v>
      </x:c>
      <x:c r="E278" s="32" t="str">
        <x:v>md</x:v>
      </x:c>
      <x:c r="F278" s="88" t="n">
        <x:v>146</x:v>
      </x:c>
      <x:c r="G278" s="32" t="str">
        <x:v>2026-06-26 09:38</x:v>
      </x:c>
      <x:c r="H278" s="32" t="str">
        <x:v>523e7074e3ffda8a481a51a7fe1637494cf452b722c77823f268c3d7b773a1dc</x:v>
      </x:c>
      <x:c r="I278" s="32" t="str">
        <x:v>Development evidence</x:v>
      </x:c>
      <x:c r="J278" s="32" t="str">
        <x:v>Consolidated documents 00–34; retained for genealogy and decisions not explicitly revoked</x:v>
      </x:c>
      <x:c r="K278" s="32" t="str">
        <x:v>Retain original acceptance intent, gates, constraints and evidence lineage unless explicitly superseded.</x:v>
      </x:c>
    </x:row>
    <x:row r="279">
      <x:c r="A279" s="32" t="str">
        <x:v>SRC-0275</x:v>
      </x:c>
      <x:c r="B279" s="32" t="str">
        <x:v>Handoff</x:v>
      </x:c>
      <x:c r="C279" s="32" t="str">
        <x:v>Development record</x:v>
      </x:c>
      <x:c r="D279" s="32" t="str">
        <x:v>cc_project_old/Documentation/10_Development_Records/Sprint_12/Governance/S12_Handoff_Update_Template.md</x:v>
      </x:c>
      <x:c r="E279" s="32" t="str">
        <x:v>md</x:v>
      </x:c>
      <x:c r="F279" s="88" t="n">
        <x:v>361</x:v>
      </x:c>
      <x:c r="G279" s="32" t="str">
        <x:v>2026-06-29 00:29</x:v>
      </x:c>
      <x:c r="H279" s="32" t="str">
        <x:v>683e99d27f7af84f319fad7c98230f6dec7f9b9eeddf8b4066f750b22c230bd0</x:v>
      </x:c>
      <x:c r="I279" s="32" t="str">
        <x:v>Development evidence</x:v>
      </x:c>
      <x:c r="J279" s="32" t="str">
        <x:v>Consolidated documents 00–34; retained for genealogy and decisions not explicitly revoked</x:v>
      </x:c>
      <x:c r="K279" s="32" t="str">
        <x:v>Retain original acceptance intent, gates, constraints and evidence lineage unless explicitly superseded.</x:v>
      </x:c>
    </x:row>
    <x:row r="280">
      <x:c r="A280" s="32" t="str">
        <x:v>SRC-0276</x:v>
      </x:c>
      <x:c r="B280" s="32" t="str">
        <x:v>Acceptance/QA</x:v>
      </x:c>
      <x:c r="C280" s="32" t="str">
        <x:v>Development record</x:v>
      </x:c>
      <x:c r="D280" s="32" t="str">
        <x:v>cc_project_old/Documentation/10_Development_Records/Sprint_12/QA/S12_Acceptance_Matrix.md</x:v>
      </x:c>
      <x:c r="E280" s="32" t="str">
        <x:v>md</x:v>
      </x:c>
      <x:c r="F280" s="88" t="n">
        <x:v>661</x:v>
      </x:c>
      <x:c r="G280" s="32" t="str">
        <x:v>2026-06-29 00:29</x:v>
      </x:c>
      <x:c r="H280" s="32" t="str">
        <x:v>9b16fac6f71a8d05203d140a77a1b0c202a5f445556cc663208b04e5c45392b9</x:v>
      </x:c>
      <x:c r="I280" s="32" t="str">
        <x:v>Development evidence</x:v>
      </x:c>
      <x:c r="J280" s="32" t="str">
        <x:v>Consolidated documents 00–34; retained for genealogy and decisions not explicitly revoked</x:v>
      </x:c>
      <x:c r="K280" s="32" t="str">
        <x:v>Retain original acceptance intent, gates, constraints and evidence lineage unless explicitly superseded.</x:v>
      </x:c>
    </x:row>
    <x:row r="281">
      <x:c r="A281" s="32" t="str">
        <x:v>SRC-0277</x:v>
      </x:c>
      <x:c r="B281" s="32" t="str">
        <x:v>Build/Versioning</x:v>
      </x:c>
      <x:c r="C281" s="32" t="str">
        <x:v>Development record</x:v>
      </x:c>
      <x:c r="D281" s="32" t="str">
        <x:v>cc_project_old/Documentation/10_Development_Records/Sprint_12/QA/S12_Build_Execution_Record.md</x:v>
      </x:c>
      <x:c r="E281" s="32" t="str">
        <x:v>md</x:v>
      </x:c>
      <x:c r="F281" s="88" t="n">
        <x:v>431</x:v>
      </x:c>
      <x:c r="G281" s="32" t="str">
        <x:v>2026-06-29 00:29</x:v>
      </x:c>
      <x:c r="H281" s="32" t="str">
        <x:v>e3531d9bc28665f33ed38c176188246308d38bd480be42c1758f848e433f69b4</x:v>
      </x:c>
      <x:c r="I281" s="32" t="str">
        <x:v>Development evidence</x:v>
      </x:c>
      <x:c r="J281" s="32" t="str">
        <x:v>Consolidated documents 00–34; retained for genealogy and decisions not explicitly revoked</x:v>
      </x:c>
      <x:c r="K281" s="32" t="str">
        <x:v>Retain original acceptance intent, gates, constraints and evidence lineage unless explicitly superseded.</x:v>
      </x:c>
    </x:row>
    <x:row r="282">
      <x:c r="A282" s="32" t="str">
        <x:v>SRC-0278</x:v>
      </x:c>
      <x:c r="B282" s="32" t="str">
        <x:v>Validation/Audit</x:v>
      </x:c>
      <x:c r="C282" s="32" t="str">
        <x:v>Development record</x:v>
      </x:c>
      <x:c r="D282" s="32" t="str">
        <x:v>cc_project_old/Documentation/10_Development_Records/Sprint_12/QA/S12_Manual_Validation_Record.md</x:v>
      </x:c>
      <x:c r="E282" s="32" t="str">
        <x:v>md</x:v>
      </x:c>
      <x:c r="F282" s="88" t="n">
        <x:v>703</x:v>
      </x:c>
      <x:c r="G282" s="32" t="str">
        <x:v>2026-06-29 00:29</x:v>
      </x:c>
      <x:c r="H282" s="32" t="str">
        <x:v>e64f8e7b06c81b96a686a34d6165cf5cc6c2aaeb1114954e858f41f7cbd9cb40</x:v>
      </x:c>
      <x:c r="I282" s="32" t="str">
        <x:v>Development evidence</x:v>
      </x:c>
      <x:c r="J282" s="32" t="str">
        <x:v>Consolidated documents 00–34; retained for genealogy and decisions not explicitly revoked</x:v>
      </x:c>
      <x:c r="K282" s="32" t="str">
        <x:v>Retain original acceptance intent, gates, constraints and evidence lineage unless explicitly superseded.</x:v>
      </x:c>
    </x:row>
    <x:row r="283">
      <x:c r="A283" s="32" t="str">
        <x:v>SRC-0279</x:v>
      </x:c>
      <x:c r="B283" s="32" t="str">
        <x:v>Validation/Audit</x:v>
      </x:c>
      <x:c r="C283" s="32" t="str">
        <x:v>Development record</x:v>
      </x:c>
      <x:c r="D283" s="32" t="str">
        <x:v>cc_project_old/Documentation/10_Development_Records/Sprint_12/QA/S12_Validation_Checklist.md</x:v>
      </x:c>
      <x:c r="E283" s="32" t="str">
        <x:v>md</x:v>
      </x:c>
      <x:c r="F283" s="88" t="n">
        <x:v>583</x:v>
      </x:c>
      <x:c r="G283" s="32" t="str">
        <x:v>2026-06-29 00:29</x:v>
      </x:c>
      <x:c r="H283" s="32" t="str">
        <x:v>00cd5c9edcc23a93e48b68df03a8b85c659dae40a91b0523e840c6ca5d043720</x:v>
      </x:c>
      <x:c r="I283" s="32" t="str">
        <x:v>Development evidence</x:v>
      </x:c>
      <x:c r="J283" s="32" t="str">
        <x:v>Consolidated documents 00–34; retained for genealogy and decisions not explicitly revoked</x:v>
      </x:c>
      <x:c r="K283" s="32" t="str">
        <x:v>Retain original acceptance intent, gates, constraints and evidence lineage unless explicitly superseded.</x:v>
      </x:c>
    </x:row>
    <x:row r="284">
      <x:c r="A284" s="32" t="str">
        <x:v>SRC-0280</x:v>
      </x:c>
      <x:c r="B284" s="32" t="str">
        <x:v>ADR-0051-IntegerMinorUnitMoney</x:v>
      </x:c>
      <x:c r="C284" s="32" t="str">
        <x:v>Development record</x:v>
      </x:c>
      <x:c r="D284" s="32" t="str">
        <x:v>cc_project_old/Documentation/10_Development_Records/Sprint_13/Architecture/ADR-0051-IntegerMinorUnitMoney.md</x:v>
      </x:c>
      <x:c r="E284" s="32" t="str">
        <x:v>md</x:v>
      </x:c>
      <x:c r="F284" s="88" t="n">
        <x:v>173</x:v>
      </x:c>
      <x:c r="G284" s="32" t="str">
        <x:v>2026-06-29 00:39</x:v>
      </x:c>
      <x:c r="H284" s="32" t="str">
        <x:v>73384536261c238a733a2f818844f35d55f135835e6b5c97cdd7dae6d63ca795</x:v>
      </x:c>
      <x:c r="I284" s="32" t="str">
        <x:v>Development evidence</x:v>
      </x:c>
      <x:c r="J284" s="32" t="str">
        <x:v>Consolidated documents 00–34; retained for genealogy and decisions not explicitly revoked</x:v>
      </x:c>
      <x:c r="K284" s="32" t="str">
        <x:v>Retain original acceptance intent, gates, constraints and evidence lineage unless explicitly superseded.</x:v>
      </x:c>
    </x:row>
    <x:row r="285">
      <x:c r="A285" s="32" t="str">
        <x:v>SRC-0281</x:v>
      </x:c>
      <x:c r="B285" s="32" t="str">
        <x:v>ADR-0052-SeparateSalePriceCatalog</x:v>
      </x:c>
      <x:c r="C285" s="32" t="str">
        <x:v>Development record</x:v>
      </x:c>
      <x:c r="D285" s="32" t="str">
        <x:v>cc_project_old/Documentation/10_Development_Records/Sprint_13/Architecture/ADR-0052-SeparateSalePriceCatalog.md</x:v>
      </x:c>
      <x:c r="E285" s="32" t="str">
        <x:v>md</x:v>
      </x:c>
      <x:c r="F285" s="88" t="n">
        <x:v>226</x:v>
      </x:c>
      <x:c r="G285" s="32" t="str">
        <x:v>2026-06-29 00:39</x:v>
      </x:c>
      <x:c r="H285" s="32" t="str">
        <x:v>1a0a34e33c5a76ff1cfb80921aa4dbbdf223200b95c8e54bf52e95e1eece4018</x:v>
      </x:c>
      <x:c r="I285" s="32" t="str">
        <x:v>Development evidence</x:v>
      </x:c>
      <x:c r="J285" s="32" t="str">
        <x:v>Consolidated documents 00–34; retained for genealogy and decisions not explicitly revoked</x:v>
      </x:c>
      <x:c r="K285" s="32" t="str">
        <x:v>Retain original acceptance intent, gates, constraints and evidence lineage unless explicitly superseded.</x:v>
      </x:c>
    </x:row>
    <x:row r="286">
      <x:c r="A286" s="32" t="str">
        <x:v>SRC-0282</x:v>
      </x:c>
      <x:c r="B286" s="32" t="str">
        <x:v>ADR-0053-QuoteBeforePhysicalCheckout</x:v>
      </x:c>
      <x:c r="C286" s="32" t="str">
        <x:v>Development record</x:v>
      </x:c>
      <x:c r="D286" s="32" t="str">
        <x:v>cc_project_old/Documentation/10_Development_Records/Sprint_13/Architecture/ADR-0053-QuoteBeforePhysicalCheckout.md</x:v>
      </x:c>
      <x:c r="E286" s="32" t="str">
        <x:v>md</x:v>
      </x:c>
      <x:c r="F286" s="88" t="n">
        <x:v>196</x:v>
      </x:c>
      <x:c r="G286" s="32" t="str">
        <x:v>2026-06-29 00:39</x:v>
      </x:c>
      <x:c r="H286" s="32" t="str">
        <x:v>5c71902b6c89d51d471338f30be7fdf34014f33944ada9030b826b0149562d3a</x:v>
      </x:c>
      <x:c r="I286" s="32" t="str">
        <x:v>Development evidence</x:v>
      </x:c>
      <x:c r="J286" s="32" t="str">
        <x:v>Consolidated documents 00–34; retained for genealogy and decisions not explicitly revoked</x:v>
      </x:c>
      <x:c r="K286" s="32" t="str">
        <x:v>Retain original acceptance intent, gates, constraints and evidence lineage unless explicitly superseded.</x:v>
      </x:c>
    </x:row>
    <x:row r="287">
      <x:c r="A287" s="32" t="str">
        <x:v>SRC-0283</x:v>
      </x:c>
      <x:c r="B287" s="32" t="str">
        <x:v>ADR-0054-IdempotentEconomyLedger</x:v>
      </x:c>
      <x:c r="C287" s="32" t="str">
        <x:v>Development record</x:v>
      </x:c>
      <x:c r="D287" s="32" t="str">
        <x:v>cc_project_old/Documentation/10_Development_Records/Sprint_13/Architecture/ADR-0054-IdempotentEconomyLedger.md</x:v>
      </x:c>
      <x:c r="E287" s="32" t="str">
        <x:v>md</x:v>
      </x:c>
      <x:c r="F287" s="88" t="n">
        <x:v>158</x:v>
      </x:c>
      <x:c r="G287" s="32" t="str">
        <x:v>2026-06-29 00:39</x:v>
      </x:c>
      <x:c r="H287" s="32" t="str">
        <x:v>f52b16bb87159d2616add98a3c44442ddfb65e0fe5e50fa4fea29fee33215246</x:v>
      </x:c>
      <x:c r="I287" s="32" t="str">
        <x:v>Development evidence</x:v>
      </x:c>
      <x:c r="J287" s="32" t="str">
        <x:v>Consolidated documents 00–34; retained for genealogy and decisions not explicitly revoked</x:v>
      </x:c>
      <x:c r="K287" s="32" t="str">
        <x:v>Retain original acceptance intent, gates, constraints and evidence lineage unless explicitly superseded.</x:v>
      </x:c>
    </x:row>
    <x:row r="288">
      <x:c r="A288" s="32" t="str">
        <x:v>SRC-0284</x:v>
      </x:c>
      <x:c r="B288" s="32" t="str">
        <x:v>ADR-0055-ClosedDayEconomicResult</x:v>
      </x:c>
      <x:c r="C288" s="32" t="str">
        <x:v>Development record</x:v>
      </x:c>
      <x:c r="D288" s="32" t="str">
        <x:v>cc_project_old/Documentation/10_Development_Records/Sprint_13/Architecture/ADR-0055-ClosedDayEconomicResult.md</x:v>
      </x:c>
      <x:c r="E288" s="32" t="str">
        <x:v>md</x:v>
      </x:c>
      <x:c r="F288" s="88" t="n">
        <x:v>189</x:v>
      </x:c>
      <x:c r="G288" s="32" t="str">
        <x:v>2026-06-29 00:39</x:v>
      </x:c>
      <x:c r="H288" s="32" t="str">
        <x:v>d0445e9824c68ff49cdc6836a4809e56bc768dfeb1f504dd17f6207db76ef0af</x:v>
      </x:c>
      <x:c r="I288" s="32" t="str">
        <x:v>Development evidence</x:v>
      </x:c>
      <x:c r="J288" s="32" t="str">
        <x:v>Consolidated documents 00–34; retained for genealogy and decisions not explicitly revoked</x:v>
      </x:c>
      <x:c r="K288" s="32" t="str">
        <x:v>Retain original acceptance intent, gates, constraints and evidence lineage unless explicitly superseded.</x:v>
      </x:c>
    </x:row>
    <x:row r="289">
      <x:c r="A289" s="32" t="str">
        <x:v>SRC-0285</x:v>
      </x:c>
      <x:c r="B289" s="32" t="str">
        <x:v>Handoff</x:v>
      </x:c>
      <x:c r="C289" s="32" t="str">
        <x:v>Development record</x:v>
      </x:c>
      <x:c r="D289" s="32" t="str">
        <x:v>cc_project_old/Documentation/10_Development_Records/Sprint_13/Governance/S13_Handoff_Update_Template.md</x:v>
      </x:c>
      <x:c r="E289" s="32" t="str">
        <x:v>md</x:v>
      </x:c>
      <x:c r="F289" s="88" t="n">
        <x:v>431</x:v>
      </x:c>
      <x:c r="G289" s="32" t="str">
        <x:v>2026-06-29 00:46</x:v>
      </x:c>
      <x:c r="H289" s="32" t="str">
        <x:v>7d91ce81d3567cd4f392f6d9784c7415d628eec2b65e7468ea5e1b694af743f8</x:v>
      </x:c>
      <x:c r="I289" s="32" t="str">
        <x:v>Development evidence</x:v>
      </x:c>
      <x:c r="J289" s="32" t="str">
        <x:v>Consolidated documents 00–34; retained for genealogy and decisions not explicitly revoked</x:v>
      </x:c>
      <x:c r="K289" s="32" t="str">
        <x:v>Retain original acceptance intent, gates, constraints and evidence lineage unless explicitly superseded.</x:v>
      </x:c>
    </x:row>
    <x:row r="290">
      <x:c r="A290" s="32" t="str">
        <x:v>SRC-0286</x:v>
      </x:c>
      <x:c r="B290" s="32" t="str">
        <x:v>Acceptance/QA</x:v>
      </x:c>
      <x:c r="C290" s="32" t="str">
        <x:v>Development record</x:v>
      </x:c>
      <x:c r="D290" s="32" t="str">
        <x:v>cc_project_old/Documentation/10_Development_Records/Sprint_13/QA/S13_Acceptance_Matrix.md</x:v>
      </x:c>
      <x:c r="E290" s="32" t="str">
        <x:v>md</x:v>
      </x:c>
      <x:c r="F290" s="88" t="n">
        <x:v>693</x:v>
      </x:c>
      <x:c r="G290" s="32" t="str">
        <x:v>2026-06-29 00:46</x:v>
      </x:c>
      <x:c r="H290" s="32" t="str">
        <x:v>e7f134005949b363e84fadb28d740ff268adb3c42de47070fbcc968862319f2b</x:v>
      </x:c>
      <x:c r="I290" s="32" t="str">
        <x:v>Development evidence</x:v>
      </x:c>
      <x:c r="J290" s="32" t="str">
        <x:v>Consolidated documents 00–34; retained for genealogy and decisions not explicitly revoked</x:v>
      </x:c>
      <x:c r="K290" s="32" t="str">
        <x:v>Retain original acceptance intent, gates, constraints and evidence lineage unless explicitly superseded.</x:v>
      </x:c>
    </x:row>
    <x:row r="291">
      <x:c r="A291" s="32" t="str">
        <x:v>SRC-0287</x:v>
      </x:c>
      <x:c r="B291" s="32" t="str">
        <x:v>Build/Versioning</x:v>
      </x:c>
      <x:c r="C291" s="32" t="str">
        <x:v>Development record</x:v>
      </x:c>
      <x:c r="D291" s="32" t="str">
        <x:v>cc_project_old/Documentation/10_Development_Records/Sprint_13/QA/S13_Build_Execution_Record.md</x:v>
      </x:c>
      <x:c r="E291" s="32" t="str">
        <x:v>md</x:v>
      </x:c>
      <x:c r="F291" s="88" t="n">
        <x:v>493</x:v>
      </x:c>
      <x:c r="G291" s="32" t="str">
        <x:v>2026-06-29 00:46</x:v>
      </x:c>
      <x:c r="H291" s="32" t="str">
        <x:v>887232c7346268536f197fc6069ad7f518735c2f51c302f0d27e6c2625cd005b</x:v>
      </x:c>
      <x:c r="I291" s="32" t="str">
        <x:v>Development evidence</x:v>
      </x:c>
      <x:c r="J291" s="32" t="str">
        <x:v>Consolidated documents 00–34; retained for genealogy and decisions not explicitly revoked</x:v>
      </x:c>
      <x:c r="K291" s="32" t="str">
        <x:v>Retain original acceptance intent, gates, constraints and evidence lineage unless explicitly superseded.</x:v>
      </x:c>
    </x:row>
    <x:row r="292">
      <x:c r="A292" s="32" t="str">
        <x:v>SRC-0288</x:v>
      </x:c>
      <x:c r="B292" s="32" t="str">
        <x:v>Validation/Audit</x:v>
      </x:c>
      <x:c r="C292" s="32" t="str">
        <x:v>Development record</x:v>
      </x:c>
      <x:c r="D292" s="32" t="str">
        <x:v>cc_project_old/Documentation/10_Development_Records/Sprint_13/QA/S13_Manual_Validation_Record.md</x:v>
      </x:c>
      <x:c r="E292" s="32" t="str">
        <x:v>md</x:v>
      </x:c>
      <x:c r="F292" s="88" t="n">
        <x:v>726</x:v>
      </x:c>
      <x:c r="G292" s="32" t="str">
        <x:v>2026-06-29 00:46</x:v>
      </x:c>
      <x:c r="H292" s="32" t="str">
        <x:v>debd552a2298fb05bf6cf48f5030ad4531e4ec02a2c030467e9d7fcb390cef99</x:v>
      </x:c>
      <x:c r="I292" s="32" t="str">
        <x:v>Development evidence</x:v>
      </x:c>
      <x:c r="J292" s="32" t="str">
        <x:v>Consolidated documents 00–34; retained for genealogy and decisions not explicitly revoked</x:v>
      </x:c>
      <x:c r="K292" s="32" t="str">
        <x:v>Retain original acceptance intent, gates, constraints and evidence lineage unless explicitly superseded.</x:v>
      </x:c>
    </x:row>
    <x:row r="293">
      <x:c r="A293" s="32" t="str">
        <x:v>SRC-0289</x:v>
      </x:c>
      <x:c r="B293" s="32" t="str">
        <x:v>Validation/Audit</x:v>
      </x:c>
      <x:c r="C293" s="32" t="str">
        <x:v>Development record</x:v>
      </x:c>
      <x:c r="D293" s="32" t="str">
        <x:v>cc_project_old/Documentation/10_Development_Records/Sprint_13/QA/S13_Validation_Checklist.md</x:v>
      </x:c>
      <x:c r="E293" s="32" t="str">
        <x:v>md</x:v>
      </x:c>
      <x:c r="F293" s="88" t="n">
        <x:v>525</x:v>
      </x:c>
      <x:c r="G293" s="32" t="str">
        <x:v>2026-06-29 00:46</x:v>
      </x:c>
      <x:c r="H293" s="32" t="str">
        <x:v>f758216e28d991ede9e414acc767c6a118c4c3e5960de13d4f8f7a42e35bcbc1</x:v>
      </x:c>
      <x:c r="I293" s="32" t="str">
        <x:v>Development evidence</x:v>
      </x:c>
      <x:c r="J293" s="32" t="str">
        <x:v>Consolidated documents 00–34; retained for genealogy and decisions not explicitly revoked</x:v>
      </x:c>
      <x:c r="K293" s="32" t="str">
        <x:v>Retain original acceptance intent, gates, constraints and evidence lineage unless explicitly superseded.</x:v>
      </x:c>
    </x:row>
    <x:row r="294">
      <x:c r="A294" s="32" t="str">
        <x:v>SRC-0290</x:v>
      </x:c>
      <x:c r="B294" s="32" t="str">
        <x:v>ADR-0056-CompatibleIntegratedSaveV2</x:v>
      </x:c>
      <x:c r="C294" s="32" t="str">
        <x:v>Development record</x:v>
      </x:c>
      <x:c r="D294" s="32" t="str">
        <x:v>cc_project_old/Documentation/10_Development_Records/Sprint_14/Architecture/ADR-0056-CompatibleIntegratedSaveV2.md</x:v>
      </x:c>
      <x:c r="E294" s="32" t="str">
        <x:v>md</x:v>
      </x:c>
      <x:c r="F294" s="88" t="n">
        <x:v>198</x:v>
      </x:c>
      <x:c r="G294" s="32" t="str">
        <x:v>2026-06-29 00:59</x:v>
      </x:c>
      <x:c r="H294" s="32" t="str">
        <x:v>5cc539efb691df4398f23002613d08079fa8869bde84816f89a91be781ffcf6a</x:v>
      </x:c>
      <x:c r="I294" s="32" t="str">
        <x:v>Development evidence</x:v>
      </x:c>
      <x:c r="J294" s="32" t="str">
        <x:v>Consolidated documents 00–34; retained for genealogy and decisions not explicitly revoked</x:v>
      </x:c>
      <x:c r="K294" s="32" t="str">
        <x:v>Retain original acceptance intent, gates, constraints and evidence lineage unless explicitly superseded.</x:v>
      </x:c>
    </x:row>
    <x:row r="295">
      <x:c r="A295" s="32" t="str">
        <x:v>SRC-0291</x:v>
      </x:c>
      <x:c r="B295" s="32" t="str">
        <x:v>ADR-0057-ValidatedAtomicWrite</x:v>
      </x:c>
      <x:c r="C295" s="32" t="str">
        <x:v>Development record</x:v>
      </x:c>
      <x:c r="D295" s="32" t="str">
        <x:v>cc_project_old/Documentation/10_Development_Records/Sprint_14/Architecture/ADR-0057-ValidatedAtomicWrite.md</x:v>
      </x:c>
      <x:c r="E295" s="32" t="str">
        <x:v>md</x:v>
      </x:c>
      <x:c r="F295" s="88" t="n">
        <x:v>215</x:v>
      </x:c>
      <x:c r="G295" s="32" t="str">
        <x:v>2026-06-29 00:59</x:v>
      </x:c>
      <x:c r="H295" s="32" t="str">
        <x:v>919cf393c0449300f85947190ba50828706c34ebfbc0a93d9aa31a1d9e021301</x:v>
      </x:c>
      <x:c r="I295" s="32" t="str">
        <x:v>Development evidence</x:v>
      </x:c>
      <x:c r="J295" s="32" t="str">
        <x:v>Consolidated documents 00–34; retained for genealogy and decisions not explicitly revoked</x:v>
      </x:c>
      <x:c r="K295" s="32" t="str">
        <x:v>Retain original acceptance intent, gates, constraints and evidence lineage unless explicitly superseded.</x:v>
      </x:c>
    </x:row>
    <x:row r="296">
      <x:c r="A296" s="32" t="str">
        <x:v>SRC-0292</x:v>
      </x:c>
      <x:c r="B296" s="32" t="str">
        <x:v>ADR-0058-ChecksumAndGenerationEnvelope</x:v>
      </x:c>
      <x:c r="C296" s="32" t="str">
        <x:v>Development record</x:v>
      </x:c>
      <x:c r="D296" s="32" t="str">
        <x:v>cc_project_old/Documentation/10_Development_Records/Sprint_14/Architecture/ADR-0058-ChecksumAndGenerationEnvelope.md</x:v>
      </x:c>
      <x:c r="E296" s="32" t="str">
        <x:v>md</x:v>
      </x:c>
      <x:c r="F296" s="88" t="n">
        <x:v>192</x:v>
      </x:c>
      <x:c r="G296" s="32" t="str">
        <x:v>2026-06-29 00:59</x:v>
      </x:c>
      <x:c r="H296" s="32" t="str">
        <x:v>ee9dd8479ba19464211e32510dcb7cd3f4f4a199cc9506ac28cf7cefc3cffd0b</x:v>
      </x:c>
      <x:c r="I296" s="32" t="str">
        <x:v>Development evidence</x:v>
      </x:c>
      <x:c r="J296" s="32" t="str">
        <x:v>Consolidated documents 00–34; retained for genealogy and decisions not explicitly revoked</x:v>
      </x:c>
      <x:c r="K296" s="32" t="str">
        <x:v>Retain original acceptance intent, gates, constraints and evidence lineage unless explicitly superseded.</x:v>
      </x:c>
    </x:row>
    <x:row r="297">
      <x:c r="A297" s="32" t="str">
        <x:v>SRC-0293</x:v>
      </x:c>
      <x:c r="B297" s="32" t="str">
        <x:v>ADR-0059-BackupFirstRecovery</x:v>
      </x:c>
      <x:c r="C297" s="32" t="str">
        <x:v>Development record</x:v>
      </x:c>
      <x:c r="D297" s="32" t="str">
        <x:v>cc_project_old/Documentation/10_Development_Records/Sprint_14/Architecture/ADR-0059-BackupFirstRecovery.md</x:v>
      </x:c>
      <x:c r="E297" s="32" t="str">
        <x:v>md</x:v>
      </x:c>
      <x:c r="F297" s="88" t="n">
        <x:v>209</x:v>
      </x:c>
      <x:c r="G297" s="32" t="str">
        <x:v>2026-06-29 00:59</x:v>
      </x:c>
      <x:c r="H297" s="32" t="str">
        <x:v>22af6a1df416b4c7fb8389f08ec428c61289bbb5984d958e0576aa2478ad03d4</x:v>
      </x:c>
      <x:c r="I297" s="32" t="str">
        <x:v>Development evidence</x:v>
      </x:c>
      <x:c r="J297" s="32" t="str">
        <x:v>Consolidated documents 00–34; retained for genealogy and decisions not explicitly revoked</x:v>
      </x:c>
      <x:c r="K297" s="32" t="str">
        <x:v>Retain original acceptance intent, gates, constraints and evidence lineage unless explicitly superseded.</x:v>
      </x:c>
    </x:row>
    <x:row r="298">
      <x:c r="A298" s="32" t="str">
        <x:v>SRC-0294</x:v>
      </x:c>
      <x:c r="B298" s="32" t="str">
        <x:v>ADR-0060-TwoPhaseRestore</x:v>
      </x:c>
      <x:c r="C298" s="32" t="str">
        <x:v>Development record</x:v>
      </x:c>
      <x:c r="D298" s="32" t="str">
        <x:v>cc_project_old/Documentation/10_Development_Records/Sprint_14/Architecture/ADR-0060-TwoPhaseRestore.md</x:v>
      </x:c>
      <x:c r="E298" s="32" t="str">
        <x:v>md</x:v>
      </x:c>
      <x:c r="F298" s="88" t="n">
        <x:v>189</x:v>
      </x:c>
      <x:c r="G298" s="32" t="str">
        <x:v>2026-06-29 00:59</x:v>
      </x:c>
      <x:c r="H298" s="32" t="str">
        <x:v>4c701c8c4cfcadabb5a9002e0599765339d6028694431b79bb8a372f6a857345</x:v>
      </x:c>
      <x:c r="I298" s="32" t="str">
        <x:v>Development evidence</x:v>
      </x:c>
      <x:c r="J298" s="32" t="str">
        <x:v>Consolidated documents 00–34; retained for genealogy and decisions not explicitly revoked</x:v>
      </x:c>
      <x:c r="K298" s="32" t="str">
        <x:v>Retain original acceptance intent, gates, constraints and evidence lineage unless explicitly superseded.</x:v>
      </x:c>
    </x:row>
    <x:row r="299">
      <x:c r="A299" s="32" t="str">
        <x:v>SRC-0295</x:v>
      </x:c>
      <x:c r="B299" s="32" t="str">
        <x:v>Handoff</x:v>
      </x:c>
      <x:c r="C299" s="32" t="str">
        <x:v>Development record</x:v>
      </x:c>
      <x:c r="D299" s="32" t="str">
        <x:v>cc_project_old/Documentation/10_Development_Records/Sprint_14/Governance/S14_Handoff_Update_Template.md</x:v>
      </x:c>
      <x:c r="E299" s="32" t="str">
        <x:v>md</x:v>
      </x:c>
      <x:c r="F299" s="88" t="n">
        <x:v>437</x:v>
      </x:c>
      <x:c r="G299" s="32" t="str">
        <x:v>2026-06-29 10:37</x:v>
      </x:c>
      <x:c r="H299" s="32" t="str">
        <x:v>70ac9acc5473a29f44723f4e1499f027f5adbc772ae45635ebdb035f2374bd4f</x:v>
      </x:c>
      <x:c r="I299" s="32" t="str">
        <x:v>Development evidence</x:v>
      </x:c>
      <x:c r="J299" s="32" t="str">
        <x:v>Consolidated documents 00–34; retained for genealogy and decisions not explicitly revoked</x:v>
      </x:c>
      <x:c r="K299" s="32" t="str">
        <x:v>Retain original acceptance intent, gates, constraints and evidence lineage unless explicitly superseded.</x:v>
      </x:c>
    </x:row>
    <x:row r="300">
      <x:c r="A300" s="32" t="str">
        <x:v>SRC-0296</x:v>
      </x:c>
      <x:c r="B300" s="32" t="str">
        <x:v>Acceptance/QA</x:v>
      </x:c>
      <x:c r="C300" s="32" t="str">
        <x:v>Development record</x:v>
      </x:c>
      <x:c r="D300" s="32" t="str">
        <x:v>cc_project_old/Documentation/10_Development_Records/Sprint_14/QA/S14_Acceptance_Matrix.md</x:v>
      </x:c>
      <x:c r="E300" s="32" t="str">
        <x:v>md</x:v>
      </x:c>
      <x:c r="F300" s="88" t="n">
        <x:v>761</x:v>
      </x:c>
      <x:c r="G300" s="32" t="str">
        <x:v>2026-06-29 10:37</x:v>
      </x:c>
      <x:c r="H300" s="32" t="str">
        <x:v>6abc7f9f6b1f199f797ede8e4610be0819c89c52ba763b09489f76e5b6d2b3e9</x:v>
      </x:c>
      <x:c r="I300" s="32" t="str">
        <x:v>Development evidence</x:v>
      </x:c>
      <x:c r="J300" s="32" t="str">
        <x:v>Consolidated documents 00–34; retained for genealogy and decisions not explicitly revoked</x:v>
      </x:c>
      <x:c r="K300" s="32" t="str">
        <x:v>Retain original acceptance intent, gates, constraints and evidence lineage unless explicitly superseded.</x:v>
      </x:c>
    </x:row>
    <x:row r="301">
      <x:c r="A301" s="32" t="str">
        <x:v>SRC-0297</x:v>
      </x:c>
      <x:c r="B301" s="32" t="str">
        <x:v>Build/Versioning</x:v>
      </x:c>
      <x:c r="C301" s="32" t="str">
        <x:v>Development record</x:v>
      </x:c>
      <x:c r="D301" s="32" t="str">
        <x:v>cc_project_old/Documentation/10_Development_Records/Sprint_14/QA/S14_Build_Execution_Record.md</x:v>
      </x:c>
      <x:c r="E301" s="32" t="str">
        <x:v>md</x:v>
      </x:c>
      <x:c r="F301" s="88" t="n">
        <x:v>490</x:v>
      </x:c>
      <x:c r="G301" s="32" t="str">
        <x:v>2026-06-29 10:37</x:v>
      </x:c>
      <x:c r="H301" s="32" t="str">
        <x:v>758b82a0301e5f3de699b76365cf74c577377bcb6d88333c4b65a26e6065af33</x:v>
      </x:c>
      <x:c r="I301" s="32" t="str">
        <x:v>Development evidence</x:v>
      </x:c>
      <x:c r="J301" s="32" t="str">
        <x:v>Consolidated documents 00–34; retained for genealogy and decisions not explicitly revoked</x:v>
      </x:c>
      <x:c r="K301" s="32" t="str">
        <x:v>Retain original acceptance intent, gates, constraints and evidence lineage unless explicitly superseded.</x:v>
      </x:c>
    </x:row>
    <x:row r="302">
      <x:c r="A302" s="32" t="str">
        <x:v>SRC-0298</x:v>
      </x:c>
      <x:c r="B302" s="32" t="str">
        <x:v>Validation/Audit</x:v>
      </x:c>
      <x:c r="C302" s="32" t="str">
        <x:v>Development record</x:v>
      </x:c>
      <x:c r="D302" s="32" t="str">
        <x:v>cc_project_old/Documentation/10_Development_Records/Sprint_14/QA/S14_Manual_Validation_Record.md</x:v>
      </x:c>
      <x:c r="E302" s="32" t="str">
        <x:v>md</x:v>
      </x:c>
      <x:c r="F302" s="88" t="n">
        <x:v>791</x:v>
      </x:c>
      <x:c r="G302" s="32" t="str">
        <x:v>2026-06-29 10:37</x:v>
      </x:c>
      <x:c r="H302" s="32" t="str">
        <x:v>142883a842fadfab456fd787b586363340a31cc0e90dbb33955858e3bc95e0ca</x:v>
      </x:c>
      <x:c r="I302" s="32" t="str">
        <x:v>Development evidence</x:v>
      </x:c>
      <x:c r="J302" s="32" t="str">
        <x:v>Consolidated documents 00–34; retained for genealogy and decisions not explicitly revoked</x:v>
      </x:c>
      <x:c r="K302" s="32" t="str">
        <x:v>Retain original acceptance intent, gates, constraints and evidence lineage unless explicitly superseded.</x:v>
      </x:c>
    </x:row>
    <x:row r="303">
      <x:c r="A303" s="32" t="str">
        <x:v>SRC-0299</x:v>
      </x:c>
      <x:c r="B303" s="32" t="str">
        <x:v>Validation/Audit</x:v>
      </x:c>
      <x:c r="C303" s="32" t="str">
        <x:v>Development record</x:v>
      </x:c>
      <x:c r="D303" s="32" t="str">
        <x:v>cc_project_old/Documentation/10_Development_Records/Sprint_14/QA/S14_Validation_Checklist.md</x:v>
      </x:c>
      <x:c r="E303" s="32" t="str">
        <x:v>md</x:v>
      </x:c>
      <x:c r="F303" s="88" t="n">
        <x:v>626</x:v>
      </x:c>
      <x:c r="G303" s="32" t="str">
        <x:v>2026-06-29 10:37</x:v>
      </x:c>
      <x:c r="H303" s="32" t="str">
        <x:v>d309169ea50987bc6ecf0e9aa8739c80e72f34154e8e9f29ed5916b30ed63d9f</x:v>
      </x:c>
      <x:c r="I303" s="32" t="str">
        <x:v>Development evidence</x:v>
      </x:c>
      <x:c r="J303" s="32" t="str">
        <x:v>Consolidated documents 00–34; retained for genealogy and decisions not explicitly revoked</x:v>
      </x:c>
      <x:c r="K303" s="32" t="str">
        <x:v>Retain original acceptance intent, gates, constraints and evidence lineage unless explicitly superseded.</x:v>
      </x:c>
    </x:row>
    <x:row r="304">
      <x:c r="A304" s="32" t="str">
        <x:v>SRC-0300</x:v>
      </x:c>
      <x:c r="B304" s="32" t="str">
        <x:v>ADR-0061-RuntimeUICompositionRoot</x:v>
      </x:c>
      <x:c r="C304" s="32" t="str">
        <x:v>Development record</x:v>
      </x:c>
      <x:c r="D304" s="32" t="str">
        <x:v>cc_project_old/Documentation/10_Development_Records/Sprint_15/Architecture/ADR-0061-RuntimeUICompositionRoot.md</x:v>
      </x:c>
      <x:c r="E304" s="32" t="str">
        <x:v>md</x:v>
      </x:c>
      <x:c r="F304" s="88" t="n">
        <x:v>251</x:v>
      </x:c>
      <x:c r="G304" s="32" t="str">
        <x:v>2026-06-29 11:12</x:v>
      </x:c>
      <x:c r="H304" s="32" t="str">
        <x:v>65c71a50143e1217e64a395d48e368db684e9051879a84fe991d293254644fd9</x:v>
      </x:c>
      <x:c r="I304" s="32" t="str">
        <x:v>Development evidence</x:v>
      </x:c>
      <x:c r="J304" s="32" t="str">
        <x:v>Consolidated documents 00–34; retained for genealogy and decisions not explicitly revoked</x:v>
      </x:c>
      <x:c r="K304" s="32" t="str">
        <x:v>Retain original acceptance intent, gates, constraints and evidence lineage unless explicitly superseded.</x:v>
      </x:c>
    </x:row>
    <x:row r="305">
      <x:c r="A305" s="32" t="str">
        <x:v>SRC-0301</x:v>
      </x:c>
      <x:c r="B305" s="32" t="str">
        <x:v>ADR-0062-SlotUIUsesIntegratedRepository</x:v>
      </x:c>
      <x:c r="C305" s="32" t="str">
        <x:v>Development record</x:v>
      </x:c>
      <x:c r="D305" s="32" t="str">
        <x:v>cc_project_old/Documentation/10_Development_Records/Sprint_15/Architecture/ADR-0062-SlotUIUsesIntegratedRepository.md</x:v>
      </x:c>
      <x:c r="E305" s="32" t="str">
        <x:v>md</x:v>
      </x:c>
      <x:c r="F305" s="88" t="n">
        <x:v>188</x:v>
      </x:c>
      <x:c r="G305" s="32" t="str">
        <x:v>2026-06-29 11:12</x:v>
      </x:c>
      <x:c r="H305" s="32" t="str">
        <x:v>ddaab79fcc1ee70e54e299ef81c1b274c28de02b60cd7ca500b83f0c779a83ae</x:v>
      </x:c>
      <x:c r="I305" s="32" t="str">
        <x:v>Development evidence</x:v>
      </x:c>
      <x:c r="J305" s="32" t="str">
        <x:v>Consolidated documents 00–34; retained for genealogy and decisions not explicitly revoked</x:v>
      </x:c>
      <x:c r="K305" s="32" t="str">
        <x:v>Retain original acceptance intent, gates, constraints and evidence lineage unless explicitly superseded.</x:v>
      </x:c>
    </x:row>
    <x:row r="306">
      <x:c r="A306" s="32" t="str">
        <x:v>SRC-0302</x:v>
      </x:c>
      <x:c r="B306" s="32" t="str">
        <x:v>ADR-0063-ClosedDayAutosaveIdempotency</x:v>
      </x:c>
      <x:c r="C306" s="32" t="str">
        <x:v>Development record</x:v>
      </x:c>
      <x:c r="D306" s="32" t="str">
        <x:v>cc_project_old/Documentation/10_Development_Records/Sprint_15/Architecture/ADR-0063-ClosedDayAutosaveIdempotency.md</x:v>
      </x:c>
      <x:c r="E306" s="32" t="str">
        <x:v>md</x:v>
      </x:c>
      <x:c r="F306" s="88" t="n">
        <x:v>200</x:v>
      </x:c>
      <x:c r="G306" s="32" t="str">
        <x:v>2026-06-29 11:12</x:v>
      </x:c>
      <x:c r="H306" s="32" t="str">
        <x:v>8575a38534155149713d4c711e65216ce43402c06dce60d181fbad87d806ad59</x:v>
      </x:c>
      <x:c r="I306" s="32" t="str">
        <x:v>Development evidence</x:v>
      </x:c>
      <x:c r="J306" s="32" t="str">
        <x:v>Consolidated documents 00–34; retained for genealogy and decisions not explicitly revoked</x:v>
      </x:c>
      <x:c r="K306" s="32" t="str">
        <x:v>Retain original acceptance intent, gates, constraints and evidence lineage unless explicitly superseded.</x:v>
      </x:c>
    </x:row>
    <x:row r="307">
      <x:c r="A307" s="32" t="str">
        <x:v>SRC-0303</x:v>
      </x:c>
      <x:c r="B307" s="32" t="str">
        <x:v>ADR-0064-TutorialProgressSidecar</x:v>
      </x:c>
      <x:c r="C307" s="32" t="str">
        <x:v>Development record</x:v>
      </x:c>
      <x:c r="D307" s="32" t="str">
        <x:v>cc_project_old/Documentation/10_Development_Records/Sprint_15/Architecture/ADR-0064-TutorialProgressSidecar.md</x:v>
      </x:c>
      <x:c r="E307" s="32" t="str">
        <x:v>md</x:v>
      </x:c>
      <x:c r="F307" s="88" t="n">
        <x:v>201</x:v>
      </x:c>
      <x:c r="G307" s="32" t="str">
        <x:v>2026-06-29 11:12</x:v>
      </x:c>
      <x:c r="H307" s="32" t="str">
        <x:v>d2cdde79c43ec5206b0f28cd4e4d5542210988058e9039cd6c510e41b8992b85</x:v>
      </x:c>
      <x:c r="I307" s="32" t="str">
        <x:v>Development evidence</x:v>
      </x:c>
      <x:c r="J307" s="32" t="str">
        <x:v>Consolidated documents 00–34; retained for genealogy and decisions not explicitly revoked</x:v>
      </x:c>
      <x:c r="K307" s="32" t="str">
        <x:v>Retain original acceptance intent, gates, constraints and evidence lineage unless explicitly superseded.</x:v>
      </x:c>
    </x:row>
    <x:row r="308">
      <x:c r="A308" s="32" t="str">
        <x:v>SRC-0304</x:v>
      </x:c>
      <x:c r="B308" s="32" t="str">
        <x:v>ADR-0065-GlobalAccessibilityPreferences</x:v>
      </x:c>
      <x:c r="C308" s="32" t="str">
        <x:v>Development record</x:v>
      </x:c>
      <x:c r="D308" s="32" t="str">
        <x:v>cc_project_old/Documentation/10_Development_Records/Sprint_15/Architecture/ADR-0065-GlobalAccessibilityPreferences.md</x:v>
      </x:c>
      <x:c r="E308" s="32" t="str">
        <x:v>md</x:v>
      </x:c>
      <x:c r="F308" s="88" t="n">
        <x:v>202</x:v>
      </x:c>
      <x:c r="G308" s="32" t="str">
        <x:v>2026-06-29 11:12</x:v>
      </x:c>
      <x:c r="H308" s="32" t="str">
        <x:v>2d42a2ba223eea0dd142a1c34949bf6095b257b8790b7ad36aabf0ae3fd4f30f</x:v>
      </x:c>
      <x:c r="I308" s="32" t="str">
        <x:v>Development evidence</x:v>
      </x:c>
      <x:c r="J308" s="32" t="str">
        <x:v>Consolidated documents 00–34; retained for genealogy and decisions not explicitly revoked</x:v>
      </x:c>
      <x:c r="K308" s="32" t="str">
        <x:v>Retain original acceptance intent, gates, constraints and evidence lineage unless explicitly superseded.</x:v>
      </x:c>
    </x:row>
    <x:row r="309">
      <x:c r="A309" s="32" t="str">
        <x:v>SRC-0305</x:v>
      </x:c>
      <x:c r="B309" s="32" t="str">
        <x:v>ADR-0066-ExclusiveUIInput</x:v>
      </x:c>
      <x:c r="C309" s="32" t="str">
        <x:v>Development record</x:v>
      </x:c>
      <x:c r="D309" s="32" t="str">
        <x:v>cc_project_old/Documentation/10_Development_Records/Sprint_15/Architecture/ADR-0066-ExclusiveUIInput.md</x:v>
      </x:c>
      <x:c r="E309" s="32" t="str">
        <x:v>md</x:v>
      </x:c>
      <x:c r="F309" s="88" t="n">
        <x:v>193</x:v>
      </x:c>
      <x:c r="G309" s="32" t="str">
        <x:v>2026-06-29 11:12</x:v>
      </x:c>
      <x:c r="H309" s="32" t="str">
        <x:v>dd52812f99015a563282f87506a4b57884e6c41b4f0f9488cfb4d58944d74bbe</x:v>
      </x:c>
      <x:c r="I309" s="32" t="str">
        <x:v>Development evidence</x:v>
      </x:c>
      <x:c r="J309" s="32" t="str">
        <x:v>Consolidated documents 00–34; retained for genealogy and decisions not explicitly revoked</x:v>
      </x:c>
      <x:c r="K309" s="32" t="str">
        <x:v>Retain original acceptance intent, gates, constraints and evidence lineage unless explicitly superseded.</x:v>
      </x:c>
    </x:row>
    <x:row r="310">
      <x:c r="A310" s="32" t="str">
        <x:v>SRC-0306</x:v>
      </x:c>
      <x:c r="B310" s="32" t="str">
        <x:v>Acceptance/QA</x:v>
      </x:c>
      <x:c r="C310" s="32" t="str">
        <x:v>Development record</x:v>
      </x:c>
      <x:c r="D310" s="32" t="str">
        <x:v>cc_project_old/Documentation/10_Development_Records/Sprint_15/QA/S15_Acceptance_Matrix.md</x:v>
      </x:c>
      <x:c r="E310" s="32" t="str">
        <x:v>md</x:v>
      </x:c>
      <x:c r="F310" s="88" t="n">
        <x:v>744</x:v>
      </x:c>
      <x:c r="G310" s="32" t="str">
        <x:v>2026-06-29 11:54</x:v>
      </x:c>
      <x:c r="H310" s="32" t="str">
        <x:v>ef5c3d5a5d788d7a52965e858620ca76d260711f96e5132bb7938c765b6762da</x:v>
      </x:c>
      <x:c r="I310" s="32" t="str">
        <x:v>Development evidence</x:v>
      </x:c>
      <x:c r="J310" s="32" t="str">
        <x:v>Consolidated documents 00–34; retained for genealogy and decisions not explicitly revoked</x:v>
      </x:c>
      <x:c r="K310" s="32" t="str">
        <x:v>Retain original acceptance intent, gates, constraints and evidence lineage unless explicitly superseded.</x:v>
      </x:c>
    </x:row>
    <x:row r="311">
      <x:c r="A311" s="32" t="str">
        <x:v>SRC-0307</x:v>
      </x:c>
      <x:c r="B311" s="32" t="str">
        <x:v>Build/Versioning</x:v>
      </x:c>
      <x:c r="C311" s="32" t="str">
        <x:v>Development record</x:v>
      </x:c>
      <x:c r="D311" s="32" t="str">
        <x:v>cc_project_old/Documentation/10_Development_Records/Sprint_15/QA/S15_Build_Execution_Record.md</x:v>
      </x:c>
      <x:c r="E311" s="32" t="str">
        <x:v>md</x:v>
      </x:c>
      <x:c r="F311" s="88" t="n">
        <x:v>359</x:v>
      </x:c>
      <x:c r="G311" s="32" t="str">
        <x:v>2026-06-29 11:54</x:v>
      </x:c>
      <x:c r="H311" s="32" t="str">
        <x:v>cb74c7605f9918b31b4f49ebbe0f63004b03886d5468bd258a3eb6f83ea9b61a</x:v>
      </x:c>
      <x:c r="I311" s="32" t="str">
        <x:v>Development evidence</x:v>
      </x:c>
      <x:c r="J311" s="32" t="str">
        <x:v>Consolidated documents 00–34; retained for genealogy and decisions not explicitly revoked</x:v>
      </x:c>
      <x:c r="K311" s="32" t="str">
        <x:v>Retain original acceptance intent, gates, constraints and evidence lineage unless explicitly superseded.</x:v>
      </x:c>
    </x:row>
    <x:row r="312">
      <x:c r="A312" s="32" t="str">
        <x:v>SRC-0308</x:v>
      </x:c>
      <x:c r="B312" s="32" t="str">
        <x:v>Validation/Audit</x:v>
      </x:c>
      <x:c r="C312" s="32" t="str">
        <x:v>Development record</x:v>
      </x:c>
      <x:c r="D312" s="32" t="str">
        <x:v>cc_project_old/Documentation/10_Development_Records/Sprint_15/QA/S15_Manual_Validation_Record.md</x:v>
      </x:c>
      <x:c r="E312" s="32" t="str">
        <x:v>md</x:v>
      </x:c>
      <x:c r="F312" s="88" t="n">
        <x:v>531</x:v>
      </x:c>
      <x:c r="G312" s="32" t="str">
        <x:v>2026-06-29 11:54</x:v>
      </x:c>
      <x:c r="H312" s="32" t="str">
        <x:v>cf0bf9e50007e2211b0404ef541a9ba1b23c97b6eb7909403c16e601f77b655a</x:v>
      </x:c>
      <x:c r="I312" s="32" t="str">
        <x:v>Development evidence</x:v>
      </x:c>
      <x:c r="J312" s="32" t="str">
        <x:v>Consolidated documents 00–34; retained for genealogy and decisions not explicitly revoked</x:v>
      </x:c>
      <x:c r="K312" s="32" t="str">
        <x:v>Retain original acceptance intent, gates, constraints and evidence lineage unless explicitly superseded.</x:v>
      </x:c>
    </x:row>
    <x:row r="313">
      <x:c r="A313" s="32" t="str">
        <x:v>SRC-0309</x:v>
      </x:c>
      <x:c r="B313" s="32" t="str">
        <x:v>Validation/Audit</x:v>
      </x:c>
      <x:c r="C313" s="32" t="str">
        <x:v>Development record</x:v>
      </x:c>
      <x:c r="D313" s="32" t="str">
        <x:v>cc_project_old/Documentation/10_Development_Records/Sprint_15/QA/S15_Validation_Checklist.md</x:v>
      </x:c>
      <x:c r="E313" s="32" t="str">
        <x:v>md</x:v>
      </x:c>
      <x:c r="F313" s="88" t="n">
        <x:v>485</x:v>
      </x:c>
      <x:c r="G313" s="32" t="str">
        <x:v>2026-06-29 11:54</x:v>
      </x:c>
      <x:c r="H313" s="32" t="str">
        <x:v>8af2c23ba1b2ae2eba5aa79c54c4c1af474773eae4814e2a1fb124f3611eaaff</x:v>
      </x:c>
      <x:c r="I313" s="32" t="str">
        <x:v>Development evidence</x:v>
      </x:c>
      <x:c r="J313" s="32" t="str">
        <x:v>Consolidated documents 00–34; retained for genealogy and decisions not explicitly revoked</x:v>
      </x:c>
      <x:c r="K313" s="32" t="str">
        <x:v>Retain original acceptance intent, gates, constraints and evidence lineage unless explicitly superseded.</x:v>
      </x:c>
    </x:row>
    <x:row r="314">
      <x:c r="A314" s="32" t="str">
        <x:v>SRC-0310</x:v>
      </x:c>
      <x:c r="B314" s="32" t="str">
        <x:v>Sprint_16_Two_Phase_Charter</x:v>
      </x:c>
      <x:c r="C314" s="32" t="str">
        <x:v>Development record</x:v>
      </x:c>
      <x:c r="D314" s="32" t="str">
        <x:v>cc_project_old/Documentation/10_Development_Records/Sprint_16/Governance/Sprint_16_Two_Phase_Charter.md</x:v>
      </x:c>
      <x:c r="E314" s="32" t="str">
        <x:v>md</x:v>
      </x:c>
      <x:c r="F314" s="88" t="n">
        <x:v>640</x:v>
      </x:c>
      <x:c r="G314" s="32" t="str">
        <x:v>2026-06-29 13:07</x:v>
      </x:c>
      <x:c r="H314" s="32" t="str">
        <x:v>b191b8b5d47654141df7860d6a79430552cc68e1bcdc786d1d4fef55583dc605</x:v>
      </x:c>
      <x:c r="I314" s="32" t="str">
        <x:v>Development evidence</x:v>
      </x:c>
      <x:c r="J314" s="32" t="str">
        <x:v>Consolidated documents 00–34; retained for genealogy and decisions not explicitly revoked</x:v>
      </x:c>
      <x:c r="K314" s="32" t="str">
        <x:v>Retain original acceptance intent, gates, constraints and evidence lineage unless explicitly superseded.</x:v>
      </x:c>
    </x:row>
    <x:row r="315">
      <x:c r="A315" s="32" t="str">
        <x:v>SRC-0311</x:v>
      </x:c>
      <x:c r="B315" s="32" t="str">
        <x:v>ADR-0067-Sprint16TwoPhaseDelivery</x:v>
      </x:c>
      <x:c r="C315" s="32" t="str">
        <x:v>Development record</x:v>
      </x:c>
      <x:c r="D315" s="32" t="str">
        <x:v>cc_project_old/Documentation/10_Development_Records/Sprint_16/Phase_1/Architecture/ADR-0067-Sprint16TwoPhaseDelivery.md</x:v>
      </x:c>
      <x:c r="E315" s="32" t="str">
        <x:v>md</x:v>
      </x:c>
      <x:c r="F315" s="88" t="n">
        <x:v>214</x:v>
      </x:c>
      <x:c r="G315" s="32" t="str">
        <x:v>2026-06-29 13:07</x:v>
      </x:c>
      <x:c r="H315" s="32" t="str">
        <x:v>59f759e966b057f091473d52cf205d1a089a0917d2f8fff80342ca8ce2ca0a75</x:v>
      </x:c>
      <x:c r="I315" s="32" t="str">
        <x:v>Development evidence</x:v>
      </x:c>
      <x:c r="J315" s="32" t="str">
        <x:v>Consolidated documents 00–34; retained for genealogy and decisions not explicitly revoked</x:v>
      </x:c>
      <x:c r="K315" s="32" t="str">
        <x:v>Retain original acceptance intent, gates, constraints and evidence lineage unless explicitly superseded.</x:v>
      </x:c>
    </x:row>
    <x:row r="316">
      <x:c r="A316" s="32" t="str">
        <x:v>SRC-0312</x:v>
      </x:c>
      <x:c r="B316" s="32" t="str">
        <x:v>ADR-0068-PurePhase1Sidecar</x:v>
      </x:c>
      <x:c r="C316" s="32" t="str">
        <x:v>Development record</x:v>
      </x:c>
      <x:c r="D316" s="32" t="str">
        <x:v>cc_project_old/Documentation/10_Development_Records/Sprint_16/Phase_1/Architecture/ADR-0068-PurePhase1Sidecar.md</x:v>
      </x:c>
      <x:c r="E316" s="32" t="str">
        <x:v>md</x:v>
      </x:c>
      <x:c r="F316" s="88" t="n">
        <x:v>232</x:v>
      </x:c>
      <x:c r="G316" s="32" t="str">
        <x:v>2026-06-29 13:07</x:v>
      </x:c>
      <x:c r="H316" s="32" t="str">
        <x:v>5a4b767d6daf552a48dc2b4d256b38c698da130b41314243902c4b5fbab68459</x:v>
      </x:c>
      <x:c r="I316" s="32" t="str">
        <x:v>Development evidence</x:v>
      </x:c>
      <x:c r="J316" s="32" t="str">
        <x:v>Consolidated documents 00–34; retained for genealogy and decisions not explicitly revoked</x:v>
      </x:c>
      <x:c r="K316" s="32" t="str">
        <x:v>Retain original acceptance intent, gates, constraints and evidence lineage unless explicitly superseded.</x:v>
      </x:c>
    </x:row>
    <x:row r="317">
      <x:c r="A317" s="32" t="str">
        <x:v>SRC-0313</x:v>
      </x:c>
      <x:c r="B317" s="32" t="str">
        <x:v>ADR-0069-AutosaveCoordinatedCheckpoint</x:v>
      </x:c>
      <x:c r="C317" s="32" t="str">
        <x:v>Development record</x:v>
      </x:c>
      <x:c r="D317" s="32" t="str">
        <x:v>cc_project_old/Documentation/10_Development_Records/Sprint_16/Phase_1/Architecture/ADR-0069-AutosaveCoordinatedCheckpoint.md</x:v>
      </x:c>
      <x:c r="E317" s="32" t="str">
        <x:v>md</x:v>
      </x:c>
      <x:c r="F317" s="88" t="n">
        <x:v>250</x:v>
      </x:c>
      <x:c r="G317" s="32" t="str">
        <x:v>2026-06-29 13:07</x:v>
      </x:c>
      <x:c r="H317" s="32" t="str">
        <x:v>c4aaad9ce98b604d52894350668f7e59cc8c9d893ec3e96658a467bff0dbd44a</x:v>
      </x:c>
      <x:c r="I317" s="32" t="str">
        <x:v>Development evidence</x:v>
      </x:c>
      <x:c r="J317" s="32" t="str">
        <x:v>Consolidated documents 00–34; retained for genealogy and decisions not explicitly revoked</x:v>
      </x:c>
      <x:c r="K317" s="32" t="str">
        <x:v>Retain original acceptance intent, gates, constraints and evidence lineage unless explicitly superseded.</x:v>
      </x:c>
    </x:row>
    <x:row r="318">
      <x:c r="A318" s="32" t="str">
        <x:v>SRC-0314</x:v>
      </x:c>
      <x:c r="B318" s="32" t="str">
        <x:v>ADR-0070-PlacementCompatibilityBridge</x:v>
      </x:c>
      <x:c r="C318" s="32" t="str">
        <x:v>Development record</x:v>
      </x:c>
      <x:c r="D318" s="32" t="str">
        <x:v>cc_project_old/Documentation/10_Development_Records/Sprint_16/Phase_1/Architecture/ADR-0070-PlacementCompatibilityBridge.md</x:v>
      </x:c>
      <x:c r="E318" s="32" t="str">
        <x:v>md</x:v>
      </x:c>
      <x:c r="F318" s="88" t="n">
        <x:v>353</x:v>
      </x:c>
      <x:c r="G318" s="32" t="str">
        <x:v>2026-06-29 13:07</x:v>
      </x:c>
      <x:c r="H318" s="32" t="str">
        <x:v>66a5b5172267c6984edd5474ba03dc2fb0da28de72c310ced74feba060f6df17</x:v>
      </x:c>
      <x:c r="I318" s="32" t="str">
        <x:v>Development evidence</x:v>
      </x:c>
      <x:c r="J318" s="32" t="str">
        <x:v>Consolidated documents 00–34; retained for genealogy and decisions not explicitly revoked</x:v>
      </x:c>
      <x:c r="K318" s="32" t="str">
        <x:v>Retain original acceptance intent, gates, constraints and evidence lineage unless explicitly superseded.</x:v>
      </x:c>
    </x:row>
    <x:row r="319">
      <x:c r="A319" s="32" t="str">
        <x:v>SRC-0315</x:v>
      </x:c>
      <x:c r="B319" s="32" t="str">
        <x:v>ADR-0071-DecoupledPresentationFallbacks</x:v>
      </x:c>
      <x:c r="C319" s="32" t="str">
        <x:v>Development record</x:v>
      </x:c>
      <x:c r="D319" s="32" t="str">
        <x:v>cc_project_old/Documentation/10_Development_Records/Sprint_16/Phase_1/Architecture/ADR-0071-DecoupledPresentationFallbacks.md</x:v>
      </x:c>
      <x:c r="E319" s="32" t="str">
        <x:v>md</x:v>
      </x:c>
      <x:c r="F319" s="88" t="n">
        <x:v>223</x:v>
      </x:c>
      <x:c r="G319" s="32" t="str">
        <x:v>2026-06-29 13:07</x:v>
      </x:c>
      <x:c r="H319" s="32" t="str">
        <x:v>f2e025be2f68b6de2388bd63a6b25549d4e6d111012bc685b034fa120ff9616c</x:v>
      </x:c>
      <x:c r="I319" s="32" t="str">
        <x:v>Development evidence</x:v>
      </x:c>
      <x:c r="J319" s="32" t="str">
        <x:v>Consolidated documents 00–34; retained for genealogy and decisions not explicitly revoked</x:v>
      </x:c>
      <x:c r="K319" s="32" t="str">
        <x:v>Retain original acceptance intent, gates, constraints and evidence lineage unless explicitly superseded.</x:v>
      </x:c>
    </x:row>
    <x:row r="320">
      <x:c r="A320" s="32" t="str">
        <x:v>SRC-0316</x:v>
      </x:c>
      <x:c r="B320" s="32" t="str">
        <x:v>ADR-0072-SharedMaterialAndPrefabIds</x:v>
      </x:c>
      <x:c r="C320" s="32" t="str">
        <x:v>Development record</x:v>
      </x:c>
      <x:c r="D320" s="32" t="str">
        <x:v>cc_project_old/Documentation/10_Development_Records/Sprint_16/Phase_1/Architecture/ADR-0072-SharedMaterialAndPrefabIds.md</x:v>
      </x:c>
      <x:c r="E320" s="32" t="str">
        <x:v>md</x:v>
      </x:c>
      <x:c r="F320" s="88" t="n">
        <x:v>223</x:v>
      </x:c>
      <x:c r="G320" s="32" t="str">
        <x:v>2026-06-29 13:07</x:v>
      </x:c>
      <x:c r="H320" s="32" t="str">
        <x:v>f32e2b4b274522d03df3c1c08084d86114a19dbe15fa2b3008c217943e2ff11a</x:v>
      </x:c>
      <x:c r="I320" s="32" t="str">
        <x:v>Development evidence</x:v>
      </x:c>
      <x:c r="J320" s="32" t="str">
        <x:v>Consolidated documents 00–34; retained for genealogy and decisions not explicitly revoked</x:v>
      </x:c>
      <x:c r="K320" s="32" t="str">
        <x:v>Retain original acceptance intent, gates, constraints and evidence lineage unless explicitly superseded.</x:v>
      </x:c>
    </x:row>
    <x:row r="321">
      <x:c r="A321" s="32" t="str">
        <x:v>SRC-0317</x:v>
      </x:c>
      <x:c r="B321" s="32" t="str">
        <x:v>ADR-0073-CompletedCheckoutSnapshotRecords</x:v>
      </x:c>
      <x:c r="C321" s="32" t="str">
        <x:v>Development record</x:v>
      </x:c>
      <x:c r="D321" s="32" t="str">
        <x:v>cc_project_old/Documentation/10_Development_Records/Sprint_16/Phase_1/Architecture/ADR-0073-CompletedCheckoutSnapshotRecords.md</x:v>
      </x:c>
      <x:c r="E321" s="32" t="str">
        <x:v>md</x:v>
      </x:c>
      <x:c r="F321" s="88" t="n">
        <x:v>377</x:v>
      </x:c>
      <x:c r="G321" s="32" t="str">
        <x:v>2026-06-29 13:07</x:v>
      </x:c>
      <x:c r="H321" s="32" t="str">
        <x:v>7d401e745e557c63167dae48cd0f4b05b1d08f5c58a2e652b4321925fc35caa7</x:v>
      </x:c>
      <x:c r="I321" s="32" t="str">
        <x:v>Development evidence</x:v>
      </x:c>
      <x:c r="J321" s="32" t="str">
        <x:v>Consolidated documents 00–34; retained for genealogy and decisions not explicitly revoked</x:v>
      </x:c>
      <x:c r="K321" s="32" t="str">
        <x:v>Retain original acceptance intent, gates, constraints and evidence lineage unless explicitly superseded.</x:v>
      </x:c>
    </x:row>
    <x:row r="322">
      <x:c r="A322" s="32" t="str">
        <x:v>SRC-0318</x:v>
      </x:c>
      <x:c r="B322" s="32" t="str">
        <x:v>Acceptance/QA</x:v>
      </x:c>
      <x:c r="C322" s="32" t="str">
        <x:v>Development record</x:v>
      </x:c>
      <x:c r="D322" s="32" t="str">
        <x:v>cc_project_old/Documentation/10_Development_Records/Sprint_16/Phase_1/QA/S16_P1_Acceptance_Matrix.md</x:v>
      </x:c>
      <x:c r="E322" s="32" t="str">
        <x:v>md</x:v>
      </x:c>
      <x:c r="F322" s="88" t="n">
        <x:v>1130</x:v>
      </x:c>
      <x:c r="G322" s="32" t="str">
        <x:v>2026-06-29 13:07</x:v>
      </x:c>
      <x:c r="H322" s="32" t="str">
        <x:v>d6d2ca42287be0fced9c3d9da09df5db9729442157035a9a711e0ddbb9d91337</x:v>
      </x:c>
      <x:c r="I322" s="32" t="str">
        <x:v>Development evidence</x:v>
      </x:c>
      <x:c r="J322" s="32" t="str">
        <x:v>Consolidated documents 00–34; retained for genealogy and decisions not explicitly revoked</x:v>
      </x:c>
      <x:c r="K322" s="32" t="str">
        <x:v>Retain original acceptance intent, gates, constraints and evidence lineage unless explicitly superseded.</x:v>
      </x:c>
    </x:row>
    <x:row r="323">
      <x:c r="A323" s="32" t="str">
        <x:v>SRC-0319</x:v>
      </x:c>
      <x:c r="B323" s="32" t="str">
        <x:v>Validation/Audit</x:v>
      </x:c>
      <x:c r="C323" s="32" t="str">
        <x:v>Development record</x:v>
      </x:c>
      <x:c r="D323" s="32" t="str">
        <x:v>cc_project_old/Documentation/10_Development_Records/Sprint_16/Phase_1/QA/S16_P1_Validation_Checklist.md</x:v>
      </x:c>
      <x:c r="E323" s="32" t="str">
        <x:v>md</x:v>
      </x:c>
      <x:c r="F323" s="88" t="n">
        <x:v>646</x:v>
      </x:c>
      <x:c r="G323" s="32" t="str">
        <x:v>2026-06-29 13:07</x:v>
      </x:c>
      <x:c r="H323" s="32" t="str">
        <x:v>ac85fc7fe9c1e905ca5ea2eb245aa016acf8c611b2a3fe1a10fb3d0740e0198b</x:v>
      </x:c>
      <x:c r="I323" s="32" t="str">
        <x:v>Development evidence</x:v>
      </x:c>
      <x:c r="J323" s="32" t="str">
        <x:v>Consolidated documents 00–34; retained for genealogy and decisions not explicitly revoked</x:v>
      </x:c>
      <x:c r="K323" s="32" t="str">
        <x:v>Retain original acceptance intent, gates, constraints and evidence lineage unless explicitly superseded.</x:v>
      </x:c>
    </x:row>
    <x:row r="324">
      <x:c r="A324" s="32" t="str">
        <x:v>SRC-0320</x:v>
      </x:c>
      <x:c r="B324" s="32" t="str">
        <x:v>Validation/Audit</x:v>
      </x:c>
      <x:c r="C324" s="32" t="str">
        <x:v>Development record</x:v>
      </x:c>
      <x:c r="D324" s="32" t="str">
        <x:v>cc_project_old/Documentation/10_Development_Records/Sprints/Sprint_00/S0.10_Validation_Checklist.md</x:v>
      </x:c>
      <x:c r="E324" s="32" t="str">
        <x:v>md</x:v>
      </x:c>
      <x:c r="F324" s="88" t="n">
        <x:v>1121</x:v>
      </x:c>
      <x:c r="G324" s="32" t="str">
        <x:v>2026-06-22 12:06</x:v>
      </x:c>
      <x:c r="H324" s="32" t="str">
        <x:v>292c90a2509bf4000f78d77cba56b38740a72e8bc5c3b99c53a4de14e6fb1279</x:v>
      </x:c>
      <x:c r="I324" s="32" t="str">
        <x:v>Development evidence</x:v>
      </x:c>
      <x:c r="J324" s="32" t="str">
        <x:v>Consolidated documents 00–34; retained for genealogy and decisions not explicitly revoked</x:v>
      </x:c>
      <x:c r="K324" s="32" t="str">
        <x:v>Retain original acceptance intent, gates, constraints and evidence lineage unless explicitly superseded.</x:v>
      </x:c>
    </x:row>
    <x:row r="325">
      <x:c r="A325" s="32" t="str">
        <x:v>SRC-0321</x:v>
      </x:c>
      <x:c r="B325" s="32" t="str">
        <x:v>Validation/Audit</x:v>
      </x:c>
      <x:c r="C325" s="32" t="str">
        <x:v>Development record</x:v>
      </x:c>
      <x:c r="D325" s="32" t="str">
        <x:v>cc_project_old/Documentation/10_Development_Records/Sprints/Sprint_00/S0.6D_Validation_Checklist.md</x:v>
      </x:c>
      <x:c r="E325" s="32" t="str">
        <x:v>md</x:v>
      </x:c>
      <x:c r="F325" s="88" t="n">
        <x:v>1603</x:v>
      </x:c>
      <x:c r="G325" s="32" t="str">
        <x:v>2026-06-21 21:55</x:v>
      </x:c>
      <x:c r="H325" s="32" t="str">
        <x:v>bdb9ff0dfe507e433ccc6ea636e6c076849a04043fbca9d8579177acc96a16da</x:v>
      </x:c>
      <x:c r="I325" s="32" t="str">
        <x:v>Development evidence</x:v>
      </x:c>
      <x:c r="J325" s="32" t="str">
        <x:v>Consolidated documents 00–34; retained for genealogy and decisions not explicitly revoked</x:v>
      </x:c>
      <x:c r="K325" s="32" t="str">
        <x:v>Retain original acceptance intent, gates, constraints and evidence lineage unless explicitly superseded.</x:v>
      </x:c>
    </x:row>
    <x:row r="326">
      <x:c r="A326" s="32" t="str">
        <x:v>SRC-0322</x:v>
      </x:c>
      <x:c r="B326" s="32" t="str">
        <x:v>Validation/Audit</x:v>
      </x:c>
      <x:c r="C326" s="32" t="str">
        <x:v>Development record</x:v>
      </x:c>
      <x:c r="D326" s="32" t="str">
        <x:v>cc_project_old/Documentation/10_Development_Records/Sprints/Sprint_00/S0.6_Validation_Checklist.md</x:v>
      </x:c>
      <x:c r="E326" s="32" t="str">
        <x:v>md</x:v>
      </x:c>
      <x:c r="F326" s="88" t="n">
        <x:v>1317</x:v>
      </x:c>
      <x:c r="G326" s="32" t="str">
        <x:v>2026-06-22 02:14</x:v>
      </x:c>
      <x:c r="H326" s="32" t="str">
        <x:v>440f314d65f488357e83bc0d0811c25c54a58dde7905289feb791382f81c1907</x:v>
      </x:c>
      <x:c r="I326" s="32" t="str">
        <x:v>Development evidence</x:v>
      </x:c>
      <x:c r="J326" s="32" t="str">
        <x:v>Consolidated documents 00–34; retained for genealogy and decisions not explicitly revoked</x:v>
      </x:c>
      <x:c r="K326" s="32" t="str">
        <x:v>Retain original acceptance intent, gates, constraints and evidence lineage unless explicitly superseded.</x:v>
      </x:c>
    </x:row>
    <x:row r="327">
      <x:c r="A327" s="32" t="str">
        <x:v>SRC-0323</x:v>
      </x:c>
      <x:c r="B327" s="32" t="str">
        <x:v>Validation/Audit</x:v>
      </x:c>
      <x:c r="C327" s="32" t="str">
        <x:v>Development record</x:v>
      </x:c>
      <x:c r="D327" s="32" t="str">
        <x:v>cc_project_old/Documentation/10_Development_Records/Sprints/Sprint_00/S0.7_Validation_Checklist.md</x:v>
      </x:c>
      <x:c r="E327" s="32" t="str">
        <x:v>md</x:v>
      </x:c>
      <x:c r="F327" s="88" t="n">
        <x:v>3145</x:v>
      </x:c>
      <x:c r="G327" s="32" t="str">
        <x:v>2026-06-22 00:44</x:v>
      </x:c>
      <x:c r="H327" s="32" t="str">
        <x:v>00a408289196f0e6a093400cdd6e8858d43cbf908cdfff94581b0f7dd774cf05</x:v>
      </x:c>
      <x:c r="I327" s="32" t="str">
        <x:v>Development evidence</x:v>
      </x:c>
      <x:c r="J327" s="32" t="str">
        <x:v>Consolidated documents 00–34; retained for genealogy and decisions not explicitly revoked</x:v>
      </x:c>
      <x:c r="K327" s="32" t="str">
        <x:v>Retain original acceptance intent, gates, constraints and evidence lineage unless explicitly superseded.</x:v>
      </x:c>
    </x:row>
    <x:row r="328">
      <x:c r="A328" s="32" t="str">
        <x:v>SRC-0324</x:v>
      </x:c>
      <x:c r="B328" s="32" t="str">
        <x:v>Validation/Audit</x:v>
      </x:c>
      <x:c r="C328" s="32" t="str">
        <x:v>Development record</x:v>
      </x:c>
      <x:c r="D328" s="32" t="str">
        <x:v>cc_project_old/Documentation/10_Development_Records/Sprints/Sprint_00/S0.8_Validation_Checklist.md</x:v>
      </x:c>
      <x:c r="E328" s="32" t="str">
        <x:v>md</x:v>
      </x:c>
      <x:c r="F328" s="88" t="n">
        <x:v>1304</x:v>
      </x:c>
      <x:c r="G328" s="32" t="str">
        <x:v>2026-06-22 01:51</x:v>
      </x:c>
      <x:c r="H328" s="32" t="str">
        <x:v>43754526f229576e39d61898d644cdf8d7122f7ae6b1d4891fd1fb465d0cb174</x:v>
      </x:c>
      <x:c r="I328" s="32" t="str">
        <x:v>Development evidence</x:v>
      </x:c>
      <x:c r="J328" s="32" t="str">
        <x:v>Consolidated documents 00–34; retained for genealogy and decisions not explicitly revoked</x:v>
      </x:c>
      <x:c r="K328" s="32" t="str">
        <x:v>Retain original acceptance intent, gates, constraints and evidence lineage unless explicitly superseded.</x:v>
      </x:c>
    </x:row>
    <x:row r="329">
      <x:c r="A329" s="32" t="str">
        <x:v>SRC-0325</x:v>
      </x:c>
      <x:c r="B329" s="32" t="str">
        <x:v>Validation/Audit</x:v>
      </x:c>
      <x:c r="C329" s="32" t="str">
        <x:v>Development record</x:v>
      </x:c>
      <x:c r="D329" s="32" t="str">
        <x:v>cc_project_old/Documentation/10_Development_Records/Sprints/Sprint_00/S0.9_Validation_Checklist.md</x:v>
      </x:c>
      <x:c r="E329" s="32" t="str">
        <x:v>md</x:v>
      </x:c>
      <x:c r="F329" s="88" t="n">
        <x:v>3752</x:v>
      </x:c>
      <x:c r="G329" s="32" t="str">
        <x:v>2026-06-22 03:18</x:v>
      </x:c>
      <x:c r="H329" s="32" t="str">
        <x:v>5f7bd2e73d22816dc586e781cc1e563408c68d363e080fa88c46989702e268cd</x:v>
      </x:c>
      <x:c r="I329" s="32" t="str">
        <x:v>Development evidence</x:v>
      </x:c>
      <x:c r="J329" s="32" t="str">
        <x:v>Consolidated documents 00–34; retained for genealogy and decisions not explicitly revoked</x:v>
      </x:c>
      <x:c r="K329" s="32" t="str">
        <x:v>Retain original acceptance intent, gates, constraints and evidence lineage unless explicitly superseded.</x:v>
      </x:c>
    </x:row>
    <x:row r="330">
      <x:c r="A330" s="96" t="str">
        <x:v>SRC-0326</x:v>
      </x:c>
      <x:c r="B330" s="96" t="str">
        <x:v>31_H6_and_Release_Readiness_Checklist</x:v>
      </x:c>
      <x:c r="C330" s="96" t="str">
        <x:v>Current candidate — regenerated</x:v>
      </x:c>
      <x:c r="D330" s="96" t="str">
        <x:v>Documentacion_Tras_RC1/31_H6_and_Release_Readiness_Checklist.xlsx</x:v>
      </x:c>
      <x:c r="E330" s="96" t="str">
        <x:v>xlsx</x:v>
      </x:c>
      <x:c r="F330" s="96"/>
      <x:c r="G330" s="96" t="str">
        <x:v>2026-07-01</x:v>
      </x:c>
      <x:c r="H330" s="96" t="str">
        <x:v>EXTERNAL_AFTER_EXPORT</x:v>
      </x:c>
      <x:c r="I330" s="96" t="str">
        <x:v>Current operational source</x:v>
      </x:c>
      <x:c r="J330" s="96" t="str">
        <x:v>Self hash recorded externally and later in 13/32/package checksums</x:v>
      </x:c>
      <x:c r="K330" s="96" t="str">
        <x:v>Retain operational states; existence does not imply execution or approval.</x:v>
      </x:c>
    </x:row>
    <x:row r="331">
      <x:c r="A331" s="96" t="str">
        <x:v>SRC-0327</x:v>
      </x:c>
      <x:c r="B331" s="96" t="str">
        <x:v>32_Documentation_Baseline_Manifest</x:v>
      </x:c>
      <x:c r="C331" s="96" t="str">
        <x:v>RC1 present — candidate regeneration pending</x:v>
      </x:c>
      <x:c r="D331" s="96" t="str">
        <x:v>Documentation_RC1/32_Documentation_Baseline_Manifest.xlsx</x:v>
      </x:c>
      <x:c r="E331" s="96" t="str">
        <x:v>xlsx</x:v>
      </x:c>
      <x:c r="F331" s="96" t="n">
        <x:v>197250</x:v>
      </x:c>
      <x:c r="G331" s="96" t="str">
        <x:v>2026-07-01</x:v>
      </x:c>
      <x:c r="H331" s="96" t="str">
        <x:v>05ef1aa53febb8015b1eb40be8f43a4f6cee5be3ce1d31c3eda03346b86ebc64</x:v>
      </x:c>
      <x:c r="I331" s="96" t="str">
        <x:v>Current source for directed update</x:v>
      </x:c>
      <x:c r="J331" s="96" t="str">
        <x:v>Regenerate as candidate after 33/34, then final after audit corrections</x:v>
      </x:c>
      <x:c r="K331" s="96" t="str">
        <x:v>Do not treat RC1 hash as final baseline hash.</x:v>
      </x:c>
    </x:row>
    <x:row r="332">
      <x:c r="A332" s="96" t="str">
        <x:v>SRC-0328</x:v>
      </x:c>
      <x:c r="B332" s="96" t="str">
        <x:v>33_Project_Risk_Register_and_Business_Continuity_Plan</x:v>
      </x:c>
      <x:c r="C332" s="96" t="str">
        <x:v>RC1 present — directed update pending</x:v>
      </x:c>
      <x:c r="D332" s="96" t="str">
        <x:v>Documentation_RC1/33_Project_Risk_Register_and_Business_Continuity_Plan.xlsx</x:v>
      </x:c>
      <x:c r="E332" s="96" t="str">
        <x:v>xlsx</x:v>
      </x:c>
      <x:c r="F332" s="96" t="n">
        <x:v>295103</x:v>
      </x:c>
      <x:c r="G332" s="96" t="str">
        <x:v>2026-07-01</x:v>
      </x:c>
      <x:c r="H332" s="96" t="str">
        <x:v>aff3d5173017c6e90eae4b743b00af9a5106ad8e8b61f4789ff6857d10a61d88</x:v>
      </x:c>
      <x:c r="I332" s="96" t="str">
        <x:v>Current source for directed update</x:v>
      </x:c>
      <x:c r="J332" s="96" t="str">
        <x:v>Update 00–34, audit risks, package, checksums and restore dependencies</x:v>
      </x:c>
      <x:c r="K332" s="96" t="str">
        <x:v>Unverified controls remain open until exercised.</x:v>
      </x:c>
    </x:row>
    <x:row r="333">
      <x:c r="A333" s="96" t="str">
        <x:v>SRC-0329</x:v>
      </x:c>
      <x:c r="B333" s="96" t="str">
        <x:v>34_Final_Handoff_and_Project_Operations_Manual</x:v>
      </x:c>
      <x:c r="C333" s="96" t="str">
        <x:v>RC1 present — final pass pending</x:v>
      </x:c>
      <x:c r="D333" s="96" t="str">
        <x:v>Documentation_RC1/34_Final_Handoff_and_Project_Operations_Manual.md</x:v>
      </x:c>
      <x:c r="E333" s="96" t="str">
        <x:v>md</x:v>
      </x:c>
      <x:c r="F333" s="96" t="n">
        <x:v>102697</x:v>
      </x:c>
      <x:c r="G333" s="96" t="str">
        <x:v>2026-07-01</x:v>
      </x:c>
      <x:c r="H333" s="96" t="str">
        <x:v>3b3fb3519caa4f899da10bf8bec73d72b5e0c3e3c6839c83157d1351a9ef9001</x:v>
      </x:c>
      <x:c r="I333" s="96" t="str">
        <x:v>Current source for directed update</x:v>
      </x:c>
      <x:c r="J333" s="96" t="str">
        <x:v>Update after 33; final pass after package name, hashes, commit and tag exist</x:v>
      </x:c>
      <x:c r="K333" s="96" t="str">
        <x:v>Operations manual does not close project gates automatically.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6a05f66d7a99464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54" hidden="0" customWidth="1"/>
    <x:col min="4" max="4" width="14" hidden="0" customWidth="1"/>
    <x:col min="5" max="5" width="14" hidden="0" customWidth="1"/>
    <x:col min="6" max="6" width="14" hidden="0" customWidth="1"/>
    <x:col min="7" max="7" width="24" hidden="0" customWidth="1"/>
    <x:col min="8" max="8" width="24" hidden="0" customWidth="1"/>
    <x:col min="9" max="9" width="52" hidden="0" customWidth="1"/>
    <x:col min="10" max="10" width="36" hidden="0" customWidth="1"/>
    <x:col min="11" max="11" width="16" hidden="0" customWidth="1"/>
    <x:col min="12" max="12" width="32" hidden="0" customWidth="1"/>
  </x:cols>
  <x:sheetData>
    <x:row r="1" ht="34" customHeight="1">
      <x:c r="A1" s="5" t="str">
        <x:v>H6 and Release Gate Risks / Dependencies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6" customHeight="1">
      <x:c r="A2" s="14" t="str">
        <x:v>Resumen operativo de riesgos y dependencias de gate. Complementa al documento 33, que es el registro global vigente y el plan de continuidad; no lo sustituye.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</x:row>
    <x:row r="4" ht="42" customHeight="1">
      <x:c r="A4" s="24" t="str">
        <x:v>ID</x:v>
      </x:c>
      <x:c r="B4" s="24" t="str">
        <x:v>Type</x:v>
      </x:c>
      <x:c r="C4" s="24" t="str">
        <x:v>Risk / Dependency</x:v>
      </x:c>
      <x:c r="D4" s="24" t="str">
        <x:v>Probability</x:v>
      </x:c>
      <x:c r="E4" s="24" t="str">
        <x:v>Impact</x:v>
      </x:c>
      <x:c r="F4" s="24" t="str">
        <x:v>Rating</x:v>
      </x:c>
      <x:c r="G4" s="24" t="str">
        <x:v>Affected Gate</x:v>
      </x:c>
      <x:c r="H4" s="24" t="str">
        <x:v>Owner</x:v>
      </x:c>
      <x:c r="I4" s="24" t="str">
        <x:v>Mitigation / Response</x:v>
      </x:c>
      <x:c r="J4" s="24" t="str">
        <x:v>Trigger / Exit Condition</x:v>
      </x:c>
      <x:c r="K4" s="24" t="str">
        <x:v>Status</x:v>
      </x:c>
      <x:c r="L4" s="24" t="str">
        <x:v>Related Source / Finding</x:v>
      </x:c>
    </x:row>
    <x:row r="5">
      <x:c r="A5" s="32" t="str">
        <x:v>RSK-001</x:v>
      </x:c>
      <x:c r="B5" s="32" t="str">
        <x:v>Risk</x:v>
      </x:c>
      <x:c r="C5" s="32" t="str">
        <x:v>StoreInitial remains unconnected or non-representative</x:v>
      </x:c>
      <x:c r="D5" s="32" t="str">
        <x:v>Very High</x:v>
      </x:c>
      <x:c r="E5" s="32" t="str">
        <x:v>Very High</x:v>
      </x:c>
      <x:c r="F5" s="32" t="str">
        <x:v>Critical</x:v>
      </x:c>
      <x:c r="G5" s="32" t="str">
        <x:v>Sprint 16 / H6</x:v>
      </x:c>
      <x:c r="H5" s="32" t="str">
        <x:v>Art/Level/Engineering</x:v>
      </x:c>
      <x:c r="I5" s="32" t="str">
        <x:v>Complete scene authoring, integration and QA; preserve fallback only for diagnosis</x:v>
      </x:c>
      <x:c r="J5" s="32" t="str">
        <x:v>StoreInitial signoff</x:v>
      </x:c>
      <x:c r="K5" s="32" t="str">
        <x:v>OPEN</x:v>
      </x:c>
      <x:c r="L5" s="32" t="str">
        <x:v>AUD-GLOB-007</x:v>
      </x:c>
    </x:row>
    <x:row r="6">
      <x:c r="A6" s="32" t="str">
        <x:v>RSK-002</x:v>
      </x:c>
      <x:c r="B6" s="32" t="str">
        <x:v>Risk</x:v>
      </x:c>
      <x:c r="C6" s="32" t="str">
        <x:v>No dedicated H6 build profile without TestLab</x:v>
      </x:c>
      <x:c r="D6" s="32" t="str">
        <x:v>High</x:v>
      </x:c>
      <x:c r="E6" s="32" t="str">
        <x:v>Very High</x:v>
      </x:c>
      <x:c r="F6" s="32" t="str">
        <x:v>Critical</x:v>
      </x:c>
      <x:c r="G6" s="32" t="str">
        <x:v>H6</x:v>
      </x:c>
      <x:c r="H6" s="32" t="str">
        <x:v>Build/Engineering</x:v>
      </x:c>
      <x:c r="I6" s="32" t="str">
        <x:v>Create and validate Windows_H6_Candidate profile</x:v>
      </x:c>
      <x:c r="J6" s="32" t="str">
        <x:v>Profile manifest passes</x:v>
      </x:c>
      <x:c r="K6" s="32" t="str">
        <x:v>OPEN</x:v>
      </x:c>
      <x:c r="L6" s="32" t="str">
        <x:v>AUD-GLOB-016</x:v>
      </x:c>
    </x:row>
    <x:row r="7">
      <x:c r="A7" s="32" t="str">
        <x:v>RSK-003</x:v>
      </x:c>
      <x:c r="B7" s="32" t="str">
        <x:v>Risk</x:v>
      </x:c>
      <x:c r="C7" s="32" t="str">
        <x:v>ES/EN tables incomplete or hardcoded text remains</x:v>
      </x:c>
      <x:c r="D7" s="32" t="str">
        <x:v>High</x:v>
      </x:c>
      <x:c r="E7" s="32" t="str">
        <x:v>High</x:v>
      </x:c>
      <x:c r="F7" s="32" t="str">
        <x:v>High</x:v>
      </x:c>
      <x:c r="G7" s="32" t="str">
        <x:v>Sprint 17 / H6</x:v>
      </x:c>
      <x:c r="H7" s="32" t="str">
        <x:v>Localization/UX</x:v>
      </x:c>
      <x:c r="I7" s="32" t="str">
        <x:v>Create tables, migrate runtime strings, run LQA</x:v>
      </x:c>
      <x:c r="J7" s="32" t="str">
        <x:v>Zero missing keys in H6 scope</x:v>
      </x:c>
      <x:c r="K7" s="32" t="str">
        <x:v>OPEN</x:v>
      </x:c>
      <x:c r="L7" s="32" t="str">
        <x:v>AUD-GLOB-018</x:v>
      </x:c>
    </x:row>
    <x:row r="8">
      <x:c r="A8" s="32" t="str">
        <x:v>RSK-004</x:v>
      </x:c>
      <x:c r="B8" s="32" t="str">
        <x:v>Risk</x:v>
      </x:c>
      <x:c r="C8" s="32" t="str">
        <x:v>Dynamic placement state not fully covered by schema</x:v>
      </x:c>
      <x:c r="D8" s="32" t="str">
        <x:v>Medium</x:v>
      </x:c>
      <x:c r="E8" s="32" t="str">
        <x:v>Very High</x:v>
      </x:c>
      <x:c r="F8" s="32" t="str">
        <x:v>High</x:v>
      </x:c>
      <x:c r="G8" s="32" t="str">
        <x:v>H6</x:v>
      </x:c>
      <x:c r="H8" s="32" t="str">
        <x:v>Engineering</x:v>
      </x:c>
      <x:c r="I8" s="32" t="str">
        <x:v>Define H6 persistent scope and prove equivalence</x:v>
      </x:c>
      <x:c r="J8" s="32" t="str">
        <x:v>Save diff passes</x:v>
      </x:c>
      <x:c r="K8" s="32" t="str">
        <x:v>OPEN</x:v>
      </x:c>
      <x:c r="L8" s="32" t="str">
        <x:v>AUD-GLOB-019</x:v>
      </x:c>
    </x:row>
    <x:row r="9">
      <x:c r="A9" s="32" t="str">
        <x:v>RSK-005</x:v>
      </x:c>
      <x:c r="B9" s="32" t="str">
        <x:v>Risk</x:v>
      </x:c>
      <x:c r="C9" s="32" t="str">
        <x:v>Resolution/window/VSync policy remains undecided</x:v>
      </x:c>
      <x:c r="D9" s="32" t="str">
        <x:v>Medium</x:v>
      </x:c>
      <x:c r="E9" s="32" t="str">
        <x:v>High</x:v>
      </x:c>
      <x:c r="F9" s="32" t="str">
        <x:v>High</x:v>
      </x:c>
      <x:c r="G9" s="32" t="str">
        <x:v>Sprint 17 / H6</x:v>
      </x:c>
      <x:c r="H9" s="32" t="str">
        <x:v>UX/Engineering</x:v>
      </x:c>
      <x:c r="I9" s="32" t="str">
        <x:v>Approve PC presentation decision and test matrix</x:v>
      </x:c>
      <x:c r="J9" s="32" t="str">
        <x:v>Decision record approved</x:v>
      </x:c>
      <x:c r="K9" s="32" t="str">
        <x:v>OPEN</x:v>
      </x:c>
      <x:c r="L9" s="32" t="str">
        <x:v>AUD-GLOB-017</x:v>
      </x:c>
    </x:row>
    <x:row r="10">
      <x:c r="A10" s="32" t="str">
        <x:v>RSK-006</x:v>
      </x:c>
      <x:c r="B10" s="32" t="str">
        <x:v>Risk</x:v>
      </x:c>
      <x:c r="C10" s="32" t="str">
        <x:v>Build/evidence hashes missing produce false PASS</x:v>
      </x:c>
      <x:c r="D10" s="32" t="str">
        <x:v>High</x:v>
      </x:c>
      <x:c r="E10" s="32" t="str">
        <x:v>Very High</x:v>
      </x:c>
      <x:c r="F10" s="32" t="str">
        <x:v>Critical</x:v>
      </x:c>
      <x:c r="G10" s="32" t="str">
        <x:v>H6 / Baseline</x:v>
      </x:c>
      <x:c r="H10" s="32" t="str">
        <x:v>Documentation/Build</x:v>
      </x:c>
      <x:c r="I10" s="32" t="str">
        <x:v>Require non-empty SHA/checksum and verification formula</x:v>
      </x:c>
      <x:c r="J10" s="32" t="str">
        <x:v>Integrity audit passes</x:v>
      </x:c>
      <x:c r="K10" s="32" t="str">
        <x:v>OPEN</x:v>
      </x:c>
      <x:c r="L10" s="32" t="str">
        <x:v>AUD-GLOB-002</x:v>
      </x:c>
    </x:row>
    <x:row r="11">
      <x:c r="A11" s="32" t="str">
        <x:v>RSK-007</x:v>
      </x:c>
      <x:c r="B11" s="32" t="str">
        <x:v>Risk</x:v>
      </x:c>
      <x:c r="C11" s="32" t="str">
        <x:v>S0/S1 universes differ across QA and production</x:v>
      </x:c>
      <x:c r="D11" s="32" t="str">
        <x:v>High</x:v>
      </x:c>
      <x:c r="E11" s="32" t="str">
        <x:v>Very High</x:v>
      </x:c>
      <x:c r="F11" s="32" t="str">
        <x:v>Critical</x:v>
      </x:c>
      <x:c r="G11" s="32" t="str">
        <x:v>Sprint 16/17 / H6</x:v>
      </x:c>
      <x:c r="H11" s="32" t="str">
        <x:v>QA/Production</x:v>
      </x:c>
      <x:c r="I11" s="32" t="str">
        <x:v>Use single gate blocker register and reconcile dashboards</x:v>
      </x:c>
      <x:c r="J11" s="32" t="str">
        <x:v>Zero discrepancies</x:v>
      </x:c>
      <x:c r="K11" s="32" t="str">
        <x:v>OPEN</x:v>
      </x:c>
      <x:c r="L11" s="32" t="str">
        <x:v>AUD-GLOB-005</x:v>
      </x:c>
    </x:row>
    <x:row r="12">
      <x:c r="A12" s="32" t="str">
        <x:v>RSK-008</x:v>
      </x:c>
      <x:c r="B12" s="32" t="str">
        <x:v>Risk</x:v>
      </x:c>
      <x:c r="C12" s="32" t="str">
        <x:v>Third-party asset or audio license is incomplete</x:v>
      </x:c>
      <x:c r="D12" s="32" t="str">
        <x:v>Medium</x:v>
      </x:c>
      <x:c r="E12" s="32" t="str">
        <x:v>Very High</x:v>
      </x:c>
      <x:c r="F12" s="32" t="str">
        <x:v>High</x:v>
      </x:c>
      <x:c r="G12" s="32" t="str">
        <x:v>H6 / Release</x:v>
      </x:c>
      <x:c r="H12" s="32" t="str">
        <x:v>Legal/Art/Audio</x:v>
      </x:c>
      <x:c r="I12" s="32" t="str">
        <x:v>Reconcile build manifest with legal register</x:v>
      </x:c>
      <x:c r="J12" s="32" t="str">
        <x:v>100% coverage</x:v>
      </x:c>
      <x:c r="K12" s="32" t="str">
        <x:v>OPEN</x:v>
      </x:c>
      <x:c r="L12" s="32" t="str">
        <x:v>23 / 17 / 18</x:v>
      </x:c>
    </x:row>
    <x:row r="13">
      <x:c r="A13" s="32" t="str">
        <x:v>RSK-009</x:v>
      </x:c>
      <x:c r="B13" s="32" t="str">
        <x:v>Risk</x:v>
      </x:c>
      <x:c r="C13" s="32" t="str">
        <x:v>Performance target fails on minimum candidate hardware</x:v>
      </x:c>
      <x:c r="D13" s="32" t="str">
        <x:v>Medium</x:v>
      </x:c>
      <x:c r="E13" s="32" t="str">
        <x:v>High</x:v>
      </x:c>
      <x:c r="F13" s="32" t="str">
        <x:v>High</x:v>
      </x:c>
      <x:c r="G13" s="32" t="str">
        <x:v>H6 / Release</x:v>
      </x:c>
      <x:c r="H13" s="32" t="str">
        <x:v>Engineering/QA</x:v>
      </x:c>
      <x:c r="I13" s="32" t="str">
        <x:v>Profile early, optimize bottlenecks, revise settings/hardware with evidence</x:v>
      </x:c>
      <x:c r="J13" s="32" t="str">
        <x:v>Approved benchmark</x:v>
      </x:c>
      <x:c r="K13" s="32" t="str">
        <x:v>OPEN</x:v>
      </x:c>
      <x:c r="L13" s="32" t="str">
        <x:v>30</x:v>
      </x:c>
    </x:row>
    <x:row r="14">
      <x:c r="A14" s="32" t="str">
        <x:v>RSK-010</x:v>
      </x:c>
      <x:c r="B14" s="32" t="str">
        <x:v>Risk</x:v>
      </x:c>
      <x:c r="C14" s="32" t="str">
        <x:v>Marketing begins before naming/build/legal gates</x:v>
      </x:c>
      <x:c r="D14" s="32" t="str">
        <x:v>Medium</x:v>
      </x:c>
      <x:c r="E14" s="32" t="str">
        <x:v>High</x:v>
      </x:c>
      <x:c r="F14" s="32" t="str">
        <x:v>High</x:v>
      </x:c>
      <x:c r="G14" s="32" t="str">
        <x:v>Premarketing / Steam</x:v>
      </x:c>
      <x:c r="H14" s="32" t="str">
        <x:v>Marketing/Production</x:v>
      </x:c>
      <x:c r="I14" s="32" t="str">
        <x:v>Enforce campaign opening signoff and claims matrix</x:v>
      </x:c>
      <x:c r="J14" s="32" t="str">
        <x:v>Gate approved</x:v>
      </x:c>
      <x:c r="K14" s="32" t="str">
        <x:v>OPEN</x:v>
      </x:c>
      <x:c r="L14" s="32" t="str">
        <x:v>28</x:v>
      </x:c>
    </x:row>
    <x:row r="15">
      <x:c r="A15" s="32" t="str">
        <x:v>RSK-011</x:v>
      </x:c>
      <x:c r="B15" s="32" t="str">
        <x:v>Risk</x:v>
      </x:c>
      <x:c r="C15" s="32" t="str">
        <x:v>Accessibility features are overclaimed on Steam</x:v>
      </x:c>
      <x:c r="D15" s="32" t="str">
        <x:v>Medium</x:v>
      </x:c>
      <x:c r="E15" s="32" t="str">
        <x:v>High</x:v>
      </x:c>
      <x:c r="F15" s="32" t="str">
        <x:v>High</x:v>
      </x:c>
      <x:c r="G15" s="32" t="str">
        <x:v>Store / Release</x:v>
      </x:c>
      <x:c r="H15" s="32" t="str">
        <x:v>Accessibility/Steam</x:v>
      </x:c>
      <x:c r="I15" s="32" t="str">
        <x:v>Require evidence per declaration</x:v>
      </x:c>
      <x:c r="J15" s="32" t="str">
        <x:v>Claims matrix approved</x:v>
      </x:c>
      <x:c r="K15" s="32" t="str">
        <x:v>OPEN</x:v>
      </x:c>
      <x:c r="L15" s="32" t="str">
        <x:v>29 / 24</x:v>
      </x:c>
    </x:row>
    <x:row r="16">
      <x:c r="A16" s="32" t="str">
        <x:v>RSK-012</x:v>
      </x:c>
      <x:c r="B16" s="32" t="str">
        <x:v>Risk</x:v>
      </x:c>
      <x:c r="C16" s="32" t="str">
        <x:v>Secrets or credentials leak through repo/build/upload logs</x:v>
      </x:c>
      <x:c r="D16" s="32" t="str">
        <x:v>Low</x:v>
      </x:c>
      <x:c r="E16" s="32" t="str">
        <x:v>Very High</x:v>
      </x:c>
      <x:c r="F16" s="32" t="str">
        <x:v>High</x:v>
      </x:c>
      <x:c r="G16" s="32" t="str">
        <x:v>H6 / Release</x:v>
      </x:c>
      <x:c r="H16" s="32" t="str">
        <x:v>Security/Build</x:v>
      </x:c>
      <x:c r="I16" s="32" t="str">
        <x:v>Secrets scans, least privilege, sanitized logs</x:v>
      </x:c>
      <x:c r="J16" s="32" t="str">
        <x:v>Zero findings</x:v>
      </x:c>
      <x:c r="K16" s="32" t="str">
        <x:v>OPEN</x:v>
      </x:c>
      <x:c r="L16" s="32" t="str">
        <x:v>27</x:v>
      </x:c>
    </x:row>
    <x:row r="17">
      <x:c r="A17" s="32" t="str">
        <x:v>RSK-013</x:v>
      </x:c>
      <x:c r="B17" s="32" t="str">
        <x:v>Dependency</x:v>
      </x:c>
      <x:c r="C17" s="32" t="str">
        <x:v>H6 depends on Sprint 16 visual acceptance</x:v>
      </x:c>
      <x:c r="D17" s="32" t="str">
        <x:v>Certain</x:v>
      </x:c>
      <x:c r="E17" s="32" t="str">
        <x:v>Very High</x:v>
      </x:c>
      <x:c r="F17" s="32" t="str">
        <x:v>Critical</x:v>
      </x:c>
      <x:c r="G17" s="32" t="str">
        <x:v>H6</x:v>
      </x:c>
      <x:c r="H17" s="32" t="str">
        <x:v>Production</x:v>
      </x:c>
      <x:c r="I17" s="32" t="str">
        <x:v>Do not open H6 until S16 PASS</x:v>
      </x:c>
      <x:c r="J17" s="32" t="str">
        <x:v>S16 signoff</x:v>
      </x:c>
      <x:c r="K17" s="32" t="str">
        <x:v>OPEN</x:v>
      </x:c>
      <x:c r="L17" s="32" t="str">
        <x:v>02 / 06</x:v>
      </x:c>
    </x:row>
    <x:row r="18">
      <x:c r="A18" s="32" t="str">
        <x:v>RSK-014</x:v>
      </x:c>
      <x:c r="B18" s="32" t="str">
        <x:v>Dependency</x:v>
      </x:c>
      <x:c r="C18" s="32" t="str">
        <x:v>Steam RC depends on H6 PASS and separate phase opening</x:v>
      </x:c>
      <x:c r="D18" s="32" t="str">
        <x:v>Certain</x:v>
      </x:c>
      <x:c r="E18" s="32" t="str">
        <x:v>Very High</x:v>
      </x:c>
      <x:c r="F18" s="32" t="str">
        <x:v>Critical</x:v>
      </x:c>
      <x:c r="G18" s="32" t="str">
        <x:v>Steam RC</x:v>
      </x:c>
      <x:c r="H18" s="32" t="str">
        <x:v>Production/Steam</x:v>
      </x:c>
      <x:c r="I18" s="32" t="str">
        <x:v>Require H6 decision and Steam phase approval</x:v>
      </x:c>
      <x:c r="J18" s="32" t="str">
        <x:v>Prerequisites complete</x:v>
      </x:c>
      <x:c r="K18" s="32" t="str">
        <x:v>OPEN</x:v>
      </x:c>
      <x:c r="L18" s="32" t="str">
        <x:v>24</x:v>
      </x:c>
    </x:row>
    <x:row r="19">
      <x:c r="A19" s="32" t="str">
        <x:v>RSK-015</x:v>
      </x:c>
      <x:c r="B19" s="32" t="str">
        <x:v>Dependency</x:v>
      </x:c>
      <x:c r="C19" s="32" t="str">
        <x:v>Final documentation baseline depends on updated 31/33/34, candidate and final 32, candidate and final 16, external checksums, restore validation and Git identity</x:v>
      </x:c>
      <x:c r="D19" s="32" t="str">
        <x:v>Certain</x:v>
      </x:c>
      <x:c r="E19" s="32" t="str">
        <x:v>Very High</x:v>
      </x:c>
      <x:c r="F19" s="32" t="str">
        <x:v>Critical</x:v>
      </x:c>
      <x:c r="G19" s="32" t="str">
        <x:v>Final Baseline</x:v>
      </x:c>
      <x:c r="H19" s="32" t="str">
        <x:v>Documentation</x:v>
      </x:c>
      <x:c r="I19" s="32" t="str">
        <x:v>Complete consolidation sequence and run candidate/final audits plus clean restore</x:v>
      </x:c>
      <x:c r="J19" s="32" t="str">
        <x:v>Final audit and restore PASS</x:v>
      </x:c>
      <x:c r="K19" s="32" t="str">
        <x:v>OPEN</x:v>
      </x:c>
      <x:c r="L19" s="32" t="str">
        <x:v>12–16 / 31–34 / package artifacts</x:v>
      </x:c>
    </x:row>
    <x:row r="20">
      <x:c r="A20" s="32" t="str">
        <x:v>RSK-016</x:v>
      </x:c>
      <x:c r="B20" s="32" t="str">
        <x:v>Risk</x:v>
      </x:c>
      <x:c r="C20" s="32" t="str">
        <x:v>Single-person project continuity and account recovery insufficient</x:v>
      </x:c>
      <x:c r="D20" s="32" t="str">
        <x:v>Medium</x:v>
      </x:c>
      <x:c r="E20" s="32" t="str">
        <x:v>Very High</x:v>
      </x:c>
      <x:c r="F20" s="32" t="str">
        <x:v>High</x:v>
      </x:c>
      <x:c r="G20" s="32" t="str">
        <x:v>Release / Continuity</x:v>
      </x:c>
      <x:c r="H20" s="32" t="str">
        <x:v>Production/Security</x:v>
      </x:c>
      <x:c r="I20" s="32" t="str">
        <x:v>Document recovery, backups, contacts and handoff</x:v>
      </x:c>
      <x:c r="J20" s="32" t="str">
        <x:v>Continuity drill</x:v>
      </x:c>
      <x:c r="K20" s="32" t="str">
        <x:v>OPEN</x:v>
      </x:c>
      <x:c r="L20" s="32" t="str">
        <x:v>27 / 33 / 34</x:v>
      </x:c>
    </x:row>
    <x:row r="21">
      <x:c r="A21" s="32" t="str">
        <x:v>RSK-017</x:v>
      </x:c>
      <x:c r="B21" s="32" t="str">
        <x:v>Risk</x:v>
      </x:c>
      <x:c r="C21" s="32" t="str">
        <x:v>Patch or rollback corrupts saves</x:v>
      </x:c>
      <x:c r="D21" s="32" t="str">
        <x:v>Low</x:v>
      </x:c>
      <x:c r="E21" s="32" t="str">
        <x:v>Very High</x:v>
      </x:c>
      <x:c r="F21" s="32" t="str">
        <x:v>High</x:v>
      </x:c>
      <x:c r="G21" s="32" t="str">
        <x:v>Release / Live Ops</x:v>
      </x:c>
      <x:c r="H21" s="32" t="str">
        <x:v>Engineering/QA</x:v>
      </x:c>
      <x:c r="I21" s="32" t="str">
        <x:v>Migration tests, backups and rollback policy</x:v>
      </x:c>
      <x:c r="J21" s="32" t="str">
        <x:v>Lifecycle tests PASS</x:v>
      </x:c>
      <x:c r="K21" s="32" t="str">
        <x:v>OPEN</x:v>
      </x:c>
      <x:c r="L21" s="32" t="str">
        <x:v>25 / 04</x:v>
      </x:c>
    </x:row>
    <x:row r="22">
      <x:c r="A22" s="32" t="str">
        <x:v>RSK-018</x:v>
      </x:c>
      <x:c r="B22" s="32" t="str">
        <x:v>Risk</x:v>
      </x:c>
      <x:c r="C22" s="32" t="str">
        <x:v>Public screenshots/trailer become outdated after visual or UI changes</x:v>
      </x:c>
      <x:c r="D22" s="32" t="str">
        <x:v>Medium</x:v>
      </x:c>
      <x:c r="E22" s="32" t="str">
        <x:v>Medium</x:v>
      </x:c>
      <x:c r="F22" s="32" t="str">
        <x:v>Medium</x:v>
      </x:c>
      <x:c r="G22" s="32" t="str">
        <x:v>Store / Marketing</x:v>
      </x:c>
      <x:c r="H22" s="32" t="str">
        <x:v>Marketing/Art</x:v>
      </x:c>
      <x:c r="I22" s="32" t="str">
        <x:v>Track media provenance by Build ID and invalidate obsolete assets</x:v>
      </x:c>
      <x:c r="J22" s="32" t="str">
        <x:v>Media audit current</x:v>
      </x:c>
      <x:c r="K22" s="32" t="str">
        <x:v>OPEN</x:v>
      </x:c>
      <x:c r="L22" s="32" t="str">
        <x:v>28</x:v>
      </x:c>
    </x:row>
    <x:row r="23">
      <x:c r="A23" s="32" t="str">
        <x:v>RSK-019</x:v>
      </x:c>
      <x:c r="B23" s="32" t="str">
        <x:v>Risk</x:v>
      </x:c>
      <x:c r="C23" s="32" t="str">
        <x:v>Support volume exceeds solo capacity at launch</x:v>
      </x:c>
      <x:c r="D23" s="32" t="str">
        <x:v>Medium</x:v>
      </x:c>
      <x:c r="E23" s="32" t="str">
        <x:v>High</x:v>
      </x:c>
      <x:c r="F23" s="32" t="str">
        <x:v>High</x:v>
      </x:c>
      <x:c r="G23" s="32" t="str">
        <x:v>Launch</x:v>
      </x:c>
      <x:c r="H23" s="32" t="str">
        <x:v>Support/Production</x:v>
      </x:c>
      <x:c r="I23" s="32" t="str">
        <x:v>Set expectations, FAQ, triage and escalation; avoid unsupported channels</x:v>
      </x:c>
      <x:c r="J23" s="32" t="str">
        <x:v>Support readiness signoff</x:v>
      </x:c>
      <x:c r="K23" s="32" t="str">
        <x:v>OPEN</x:v>
      </x:c>
      <x:c r="L23" s="32" t="str">
        <x:v>25 / 28</x:v>
      </x:c>
    </x:row>
    <x:row r="24">
      <x:c r="A24" s="32" t="str">
        <x:v>RSK-020</x:v>
      </x:c>
      <x:c r="B24" s="32" t="str">
        <x:v>Risk</x:v>
      </x:c>
      <x:c r="C24" s="32" t="str">
        <x:v>Tool/provider outage blocks build or publication</x:v>
      </x:c>
      <x:c r="D24" s="32" t="str">
        <x:v>Low</x:v>
      </x:c>
      <x:c r="E24" s="32" t="str">
        <x:v>Very High</x:v>
      </x:c>
      <x:c r="F24" s="32" t="str">
        <x:v>High</x:v>
      </x:c>
      <x:c r="G24" s="32" t="str">
        <x:v>Release / Continuity</x:v>
      </x:c>
      <x:c r="H24" s="32" t="str">
        <x:v>Build/Production</x:v>
      </x:c>
      <x:c r="I24" s="32" t="str">
        <x:v>Offline copies, backup workflows, alternate access and restore instructions</x:v>
      </x:c>
      <x:c r="J24" s="32" t="str">
        <x:v>Continuity drill</x:v>
      </x:c>
      <x:c r="K24" s="32" t="str">
        <x:v>OPEN</x:v>
      </x:c>
      <x:c r="L24" s="32" t="str">
        <x:v>27 / 33 / 34</x:v>
      </x:c>
    </x:row>
    <x:row r="25">
      <x:c r="A25" s="96" t="str">
        <x:v>RSK-021</x:v>
      </x:c>
      <x:c r="B25" s="96" t="str">
        <x:v>Risk</x:v>
      </x:c>
      <x:c r="C25" s="96" t="str">
        <x:v>Candidate manifest becomes stale after any dependent document changes</x:v>
      </x:c>
      <x:c r="D25" s="96" t="str">
        <x:v>High</x:v>
      </x:c>
      <x:c r="E25" s="96" t="str">
        <x:v>High</x:v>
      </x:c>
      <x:c r="F25" s="96" t="str">
        <x:v>High</x:v>
      </x:c>
      <x:c r="G25" s="96" t="str">
        <x:v>Documentation Candidate</x:v>
      </x:c>
      <x:c r="H25" s="96" t="str">
        <x:v>Documentation</x:v>
      </x:c>
      <x:c r="I25" s="96" t="str">
        <x:v>Regenerate 32 after each approved content change and before audit/freeze</x:v>
      </x:c>
      <x:c r="J25" s="96" t="str">
        <x:v>Manifest/file comparison mismatch</x:v>
      </x:c>
      <x:c r="K25" s="96" t="str">
        <x:v>OPEN</x:v>
      </x:c>
      <x:c r="L25" s="96" t="str">
        <x:v>32 / 13 / 31</x:v>
      </x:c>
    </x:row>
    <x:row r="26">
      <x:c r="A26" s="96" t="str">
        <x:v>RSK-022</x:v>
      </x:c>
      <x:c r="B26" s="96" t="str">
        <x:v>Risk</x:v>
      </x:c>
      <x:c r="C26" s="96" t="str">
        <x:v>Self-referential hashes or wrong generation order make checksums unstable</x:v>
      </x:c>
      <x:c r="D26" s="96" t="str">
        <x:v>Medium</x:v>
      </x:c>
      <x:c r="E26" s="96" t="str">
        <x:v>Very High</x:v>
      </x:c>
      <x:c r="F26" s="96" t="str">
        <x:v>High</x:v>
      </x:c>
      <x:c r="G26" s="96" t="str">
        <x:v>Final Baseline</x:v>
      </x:c>
      <x:c r="H26" s="96" t="str">
        <x:v>Documentation/Build</x:v>
      </x:c>
      <x:c r="I26" s="96" t="str">
        <x:v>Store self-hashes externally and define deterministic generation order</x:v>
      </x:c>
      <x:c r="J26" s="96" t="str">
        <x:v>Repeated export changes registered hash</x:v>
      </x:c>
      <x:c r="K26" s="96" t="str">
        <x:v>OPEN</x:v>
      </x:c>
      <x:c r="L26" s="96" t="str">
        <x:v>31 / 32 / CHECKSUMS</x:v>
      </x:c>
    </x:row>
    <x:row r="27">
      <x:c r="A27" s="96" t="str">
        <x:v>RSK-023</x:v>
      </x:c>
      <x:c r="B27" s="96" t="str">
        <x:v>Risk</x:v>
      </x:c>
      <x:c r="C27" s="96" t="str">
        <x:v>Final package includes drafts, previews, temporary files or unauthorized personal data</x:v>
      </x:c>
      <x:c r="D27" s="96" t="str">
        <x:v>Medium</x:v>
      </x:c>
      <x:c r="E27" s="96" t="str">
        <x:v>Very High</x:v>
      </x:c>
      <x:c r="F27" s="96" t="str">
        <x:v>High</x:v>
      </x:c>
      <x:c r="G27" s="96" t="str">
        <x:v>Final Baseline</x:v>
      </x:c>
      <x:c r="H27" s="96" t="str">
        <x:v>Documentation/Security</x:v>
      </x:c>
      <x:c r="I27" s="96" t="str">
        <x:v>Package from whitelist; run privacy and unexpected-file scan</x:v>
      </x:c>
      <x:c r="J27" s="96" t="str">
        <x:v>Unexpected file or sensitive data found</x:v>
      </x:c>
      <x:c r="K27" s="96" t="str">
        <x:v>OPEN</x:v>
      </x:c>
      <x:c r="L27" s="96" t="str">
        <x:v>16 / 26 / 27 / 34</x:v>
      </x:c>
    </x:row>
    <x:row r="28">
      <x:c r="A28" s="96" t="str">
        <x:v>RSK-024</x:v>
      </x:c>
      <x:c r="B28" s="96" t="str">
        <x:v>Risk</x:v>
      </x:c>
      <x:c r="C28" s="96" t="str">
        <x:v>Clean restore or independent handoff fails despite package hashes passing</x:v>
      </x:c>
      <x:c r="D28" s="96" t="str">
        <x:v>Medium</x:v>
      </x:c>
      <x:c r="E28" s="96" t="str">
        <x:v>Very High</x:v>
      </x:c>
      <x:c r="F28" s="96" t="str">
        <x:v>High</x:v>
      </x:c>
      <x:c r="G28" s="96" t="str">
        <x:v>Final Baseline / Continuity</x:v>
      </x:c>
      <x:c r="H28" s="96" t="str">
        <x:v>Production</x:v>
      </x:c>
      <x:c r="I28" s="96" t="str">
        <x:v>Run independent extraction, opening and handoff exercises; record gaps</x:v>
      </x:c>
      <x:c r="J28" s="96" t="str">
        <x:v>Restore/handoff test fails</x:v>
      </x:c>
      <x:c r="K28" s="96" t="str">
        <x:v>OPEN</x:v>
      </x:c>
      <x:c r="L28" s="96" t="str">
        <x:v>33 / 34 / EVD-DOC-007</x:v>
      </x:c>
    </x:row>
    <x:row r="29">
      <x:c r="A29" s="96" t="str">
        <x:v>RSK-025</x:v>
      </x:c>
      <x:c r="B29" s="96" t="str">
        <x:v>Risk</x:v>
      </x:c>
      <x:c r="C29" s="96" t="str">
        <x:v>Commit/tag recorded in documentation does not match the project state used for validation</x:v>
      </x:c>
      <x:c r="D29" s="96" t="str">
        <x:v>Medium</x:v>
      </x:c>
      <x:c r="E29" s="96" t="str">
        <x:v>Very High</x:v>
      </x:c>
      <x:c r="F29" s="96" t="str">
        <x:v>High</x:v>
      </x:c>
      <x:c r="G29" s="96" t="str">
        <x:v>Baseline / Release</x:v>
      </x:c>
      <x:c r="H29" s="96" t="str">
        <x:v>Documentation/Build</x:v>
      </x:c>
      <x:c r="I29" s="96" t="str">
        <x:v>Create dedicated commit/tag and compare SHA in 13/32/34/package manifest</x:v>
      </x:c>
      <x:c r="J29" s="96" t="str">
        <x:v>SHA/tag mismatch</x:v>
      </x:c>
      <x:c r="K29" s="96" t="str">
        <x:v>OPEN</x:v>
      </x:c>
      <x:c r="L29" s="96" t="str">
        <x:v>13 / 32 / 34</x:v>
      </x:c>
    </x:row>
    <x:row r="30">
      <x:c r="A30" s="96" t="str">
        <x:v>RSK-026</x:v>
      </x:c>
      <x:c r="B30" s="96" t="str">
        <x:v>Risk</x:v>
      </x:c>
      <x:c r="C30" s="96" t="str">
        <x:v>Final audit retains unresolved BLOCKER/HIGH findings or undocumented exceptions</x:v>
      </x:c>
      <x:c r="D30" s="96" t="str">
        <x:v>Medium</x:v>
      </x:c>
      <x:c r="E30" s="96" t="str">
        <x:v>Very High</x:v>
      </x:c>
      <x:c r="F30" s="96" t="str">
        <x:v>Critical</x:v>
      </x:c>
      <x:c r="G30" s="96" t="str">
        <x:v>Final Baseline</x:v>
      </x:c>
      <x:c r="H30" s="96" t="str">
        <x:v>Documentation/QA</x:v>
      </x:c>
      <x:c r="I30" s="96" t="str">
        <x:v>Block freeze until fixed or formally accepted with owner and rationale</x:v>
      </x:c>
      <x:c r="J30" s="96" t="str">
        <x:v>Open BLOCKER/HIGH at decision</x:v>
      </x:c>
      <x:c r="K30" s="96" t="str">
        <x:v>OPEN</x:v>
      </x:c>
      <x:c r="L30" s="96" t="str">
        <x:v>16 / 31 / 33</x:v>
      </x:c>
    </x:row>
    <x:row r="31">
      <x:c r="A31" s="96" t="str">
        <x:v>RSK-027</x:v>
      </x:c>
      <x:c r="B31" s="96" t="str">
        <x:v>Risk</x:v>
      </x:c>
      <x:c r="C31" s="96" t="str">
        <x:v>Risk owners, treatments, RTO/RPO or controls in 33 are mistaken for verified without exercises</x:v>
      </x:c>
      <x:c r="D31" s="96" t="str">
        <x:v>High</x:v>
      </x:c>
      <x:c r="E31" s="96" t="str">
        <x:v>High</x:v>
      </x:c>
      <x:c r="F31" s="96" t="str">
        <x:v>High</x:v>
      </x:c>
      <x:c r="G31" s="96" t="str">
        <x:v>Continuity / Release</x:v>
      </x:c>
      <x:c r="H31" s="96" t="str">
        <x:v>Risk/Production</x:v>
      </x:c>
      <x:c r="I31" s="96" t="str">
        <x:v>Keep OPEN/NOT VERIFIED until evidence; execute backup, restore and scenario tests</x:v>
      </x:c>
      <x:c r="J31" s="96" t="str">
        <x:v>Unverified control shown as closed</x:v>
      </x:c>
      <x:c r="K31" s="96" t="str">
        <x:v>OPEN</x:v>
      </x:c>
      <x:c r="L31" s="96" t="str">
        <x:v>33</x:v>
      </x:c>
    </x:row>
    <x:row r="32">
      <x:c r="A32" s="96" t="str">
        <x:v>RSK-028</x:v>
      </x:c>
      <x:c r="B32" s="96" t="str">
        <x:v>Risk</x:v>
      </x:c>
      <x:c r="C32" s="96" t="str">
        <x:v>Operations instructions in 34 drift from repository, Unity, packages or build profiles</x:v>
      </x:c>
      <x:c r="D32" s="96" t="str">
        <x:v>Medium</x:v>
      </x:c>
      <x:c r="E32" s="96" t="str">
        <x:v>High</x:v>
      </x:c>
      <x:c r="F32" s="96" t="str">
        <x:v>High</x:v>
      </x:c>
      <x:c r="G32" s="96" t="str">
        <x:v>Handoff / Recovery</x:v>
      </x:c>
      <x:c r="H32" s="96" t="str">
        <x:v>Documentation/Engineering</x:v>
      </x:c>
      <x:c r="I32" s="96" t="str">
        <x:v>Walk through 34 on clean checkout and update before freeze</x:v>
      </x:c>
      <x:c r="J32" s="96" t="str">
        <x:v>Procedure differs from observed project</x:v>
      </x:c>
      <x:c r="K32" s="96" t="str">
        <x:v>OPEN</x:v>
      </x:c>
      <x:c r="L32" s="96" t="str">
        <x:v>10 / 11 / 34</x:v>
      </x:c>
    </x:row>
  </x:sheetData>
  <x:mergeCells>
    <x:mergeCell ref="A1:L1"/>
    <x:mergeCell ref="A2:L2"/>
  </x:mergeCells>
  <x:conditionalFormatting sqref="K5:K24">
    <x:cfRule type="expression" dxfId="19" priority="1">
      <x:formula>K5="CLOSED"</x:formula>
    </x:cfRule>
    <x:cfRule type="expression" dxfId="20" priority="2">
      <x:formula>K5="OPEN"</x:formula>
    </x:cfRule>
  </x:conditionalFormatting>
  <x:dataValidations count="2">
    <x:dataValidation type="list" sqref="K5:K24">
      <x:formula1>"OPEN,MITIGATING,ACCEPTED,CLOSED,ESCALATED"</x:formula1>
    </x:dataValidation>
    <x:dataValidation type="list" sqref="K25:K32">
      <x:formula1>'11_Catalogos'!$G$2:$G$6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afc8ed6ba846a4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48" hidden="0" customWidth="1"/>
    <x:col min="5" max="5" width="52" hidden="0" customWidth="1"/>
    <x:col min="6" max="6" width="24" hidden="0" customWidth="1"/>
    <x:col min="7" max="7" width="13" hidden="0" customWidth="1"/>
    <x:col min="8" max="8" width="36" hidden="0" customWidth="1"/>
    <x:col min="9" max="9" width="22" hidden="0" customWidth="1"/>
    <x:col min="10" max="10" width="24" hidden="0" customWidth="1"/>
    <x:col min="11" max="11" width="16" hidden="0" customWidth="1"/>
    <x:col min="12" max="12" width="24" hidden="0" customWidth="1"/>
    <x:col min="13" max="13" width="38" hidden="0" customWidth="1"/>
    <x:col min="14" max="14" width="40" hidden="0" customWidth="1"/>
    <x:col min="15" max="15" width="34" hidden="0" customWidth="1"/>
    <x:col min="16" max="16" width="36" hidden="0" customWidth="1"/>
  </x:cols>
  <x:sheetData>
    <x:row r="1" ht="34" customHeight="1">
      <x:c r="A1" s="5" t="str">
        <x:v>Gate Definitions and Formal Signoff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38" customHeight="1">
      <x:c r="A2" s="14" t="str">
        <x:v>La columna Calculated Readiness es orientativa; la decisión final exige revisión humana, firmas y evidencia. H6 no autoriza automáticamente Steam, marketing o lanzamiento.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</x:row>
    <x:row r="4" ht="44" customHeight="1">
      <x:c r="A4" s="24" t="str">
        <x:v>Gate ID</x:v>
      </x:c>
      <x:c r="B4" s="24" t="str">
        <x:v>Gate</x:v>
      </x:c>
      <x:c r="C4" s="24" t="str">
        <x:v>Purpose</x:v>
      </x:c>
      <x:c r="D4" s="24" t="str">
        <x:v>Mandatory Entry Conditions</x:v>
      </x:c>
      <x:c r="E4" s="24" t="str">
        <x:v>Mandatory Exit Conditions</x:v>
      </x:c>
      <x:c r="F4" s="24" t="str">
        <x:v>Required Build / Artifact</x:v>
      </x:c>
      <x:c r="G4" s="24" t="str">
        <x:v>Zero S0/S1</x:v>
      </x:c>
      <x:c r="H4" s="24" t="str">
        <x:v>Required Evidence</x:v>
      </x:c>
      <x:c r="I4" s="24" t="str">
        <x:v>Calculated Readiness</x:v>
      </x:c>
      <x:c r="J4" s="24" t="str">
        <x:v>Formal Decision</x:v>
      </x:c>
      <x:c r="K4" s="24" t="str">
        <x:v>Decision Date</x:v>
      </x:c>
      <x:c r="L4" s="24" t="str">
        <x:v>Decision Owner</x:v>
      </x:c>
      <x:c r="M4" s="24" t="str">
        <x:v>Required Approvers</x:v>
      </x:c>
      <x:c r="N4" s="24" t="str">
        <x:v>Accepted Debt / Exceptions</x:v>
      </x:c>
      <x:c r="O4" s="24" t="str">
        <x:v>Re-entry Condition</x:v>
      </x:c>
      <x:c r="P4" s="24" t="str">
        <x:v>Notes</x:v>
      </x:c>
    </x:row>
    <x:row r="5">
      <x:c r="A5" s="32" t="str">
        <x:v>G-S16</x:v>
      </x:c>
      <x:c r="B5" s="32" t="str">
        <x:v>Sprint 16 — Representative Close</x:v>
      </x:c>
      <x:c r="C5" s="32" t="str">
        <x:v>Approve StoreInitial visual/functional integration</x:v>
      </x:c>
      <x:c r="D5" s="32" t="str">
        <x:v>Scope frozen; representative assets available; functional baseline green</x:v>
      </x:c>
      <x:c r="E5" s="32" t="str">
        <x:v>Scene connected; visual signoff; no S0/S1 regressions; evidence captured</x:v>
      </x:c>
      <x:c r="F5" s="32" t="str">
        <x:v>BLD-016-POST</x:v>
      </x:c>
      <x:c r="G5" s="32" t="str">
        <x:v>Yes</x:v>
      </x:c>
      <x:c r="H5" s="32" t="str">
        <x:v>EVD-H6-003; EVD-H6-004; EVD-H6-015</x:v>
      </x:c>
      <x:c r="I5" s="32" t="str">
        <x:v>READY / EVIDENCE REVIEWED</x:v>
      </x:c>
      <x:c r="J5" s="32" t="str">
        <x:v>PASS</x:v>
      </x:c>
      <x:c r="K5" s="82" t="str">
        <x:v>2026-07-06</x:v>
      </x:c>
      <x:c r="L5" s="32" t="str">
        <x:v>VRM Games / Production</x:v>
      </x:c>
      <x:c r="M5" s="32" t="str">
        <x:v>Project Owner; Art Direction; Engineering; QA</x:v>
      </x:c>
      <x:c r="N5" s="32" t="str">
        <x:v>None blocking</x:v>
      </x:c>
      <x:c r="O5" s="32" t="str">
        <x:v>Reabrir solo ante regresión S0/S1 atribuible al alcance de Sprint 16</x:v>
      </x:c>
      <x:c r="P5" s="32" t="str">
        <x:v>Aprobación visual y funcional registrada sobre build 0.0.21. No equivale a H6.</x:v>
      </x:c>
    </x:row>
    <x:row r="6">
      <x:c r="A6" s="32" t="str">
        <x:v>G-S17</x:v>
      </x:c>
      <x:c r="B6" s="32" t="str">
        <x:v>Sprint 17 — Stabilization and Build</x:v>
      </x:c>
      <x:c r="C6" s="32" t="str">
        <x:v>Stabilize input, localization, persistence, performance and build</x:v>
      </x:c>
      <x:c r="D6" s="32" t="str">
        <x:v>Sprint 16 PASS; no feature expansion</x:v>
      </x:c>
      <x:c r="E6" s="32" t="str">
        <x:v>All blocking criteria PASS; Golden Path; seven days; external build; logs; evidence</x:v>
      </x:c>
      <x:c r="F6" s="32" t="str">
        <x:v>BLD-017-QA</x:v>
      </x:c>
      <x:c r="G6" s="32" t="str">
        <x:v>Yes</x:v>
      </x:c>
      <x:c r="H6" s="32" t="str">
        <x:v>EVD-H6-005…EVD-H6-019</x:v>
      </x:c>
      <x:c r="I6" s="32" t="str">
        <x:v>BLOCKED / REMEDIATION REQUIRED</x:v>
      </x:c>
      <x:c r="J6" s="32" t="str">
        <x:v>PENDING</x:v>
      </x:c>
      <x:c r="K6" s="82"/>
      <x:c r="L6" s="32" t="str">
        <x:v>Production</x:v>
      </x:c>
      <x:c r="M6" s="32" t="str">
        <x:v>Engineering; QA; UX; Localization; Build</x:v>
      </x:c>
      <x:c r="N6" s="32"/>
      <x:c r="O6" s="32" t="str">
        <x:v>Completar W1-W8 y repetir regresión afectada</x:v>
      </x:c>
      <x:c r="P6" s="32" t="str">
        <x:v>W0 documental cerrado; caracterización definida, no ejecutada.</x:v>
      </x:c>
    </x:row>
    <x:row r="7">
      <x:c r="A7" s="32" t="str">
        <x:v>G-H6</x:v>
      </x:c>
      <x:c r="B7" s="32" t="str">
        <x:v>H6 — Vertical Slice Approval</x:v>
      </x:c>
      <x:c r="C7" s="32" t="str">
        <x:v>Approve representative, playable, persistent, stable, measurable and auditable slice</x:v>
      </x:c>
      <x:c r="D7" s="32" t="str">
        <x:v>Sprint 16/17 PASS; candidate immutable; package complete</x:v>
      </x:c>
      <x:c r="E7" s="32" t="str">
        <x:v>All H6 blockers zero; evidence verified; decision recorded</x:v>
      </x:c>
      <x:c r="F7" s="32" t="str">
        <x:v>BLD-H6</x:v>
      </x:c>
      <x:c r="G7" s="32" t="str">
        <x:v>Yes</x:v>
      </x:c>
      <x:c r="H7" s="32" t="str">
        <x:v>EVD-H6-001…EVD-H6-020</x:v>
      </x:c>
      <x:c r="I7" s="32" t="str">
        <x:f>IF(SUM('02_H6_Checklist'!$X$5:$X$270)&gt;0,"BLOCKED",IF(COUNTIF('02_H6_Checklist'!$O$5:$O$270,"NOT RUN")+COUNTIF('02_H6_Checklist'!$O$5:$O$270,"IN PROGRESS")&gt;0,"PENDING","READY FOR DECISION"))</x:f>
        <x:v>BLOCKED</x:v>
      </x:c>
      <x:c r="J7" s="32" t="str">
        <x:v>PENDING</x:v>
      </x:c>
      <x:c r="K7" s="82" t="str"/>
      <x:c r="L7" s="32" t="str">
        <x:v>Project Owner / Production</x:v>
      </x:c>
      <x:c r="M7" s="32" t="str">
        <x:v>All Discipline Leads</x:v>
      </x:c>
      <x:c r="N7" s="32" t="str"/>
      <x:c r="O7" s="32" t="str">
        <x:v>New candidate + complete impacted validation</x:v>
      </x:c>
      <x:c r="P7" s="32" t="str"/>
    </x:row>
    <x:row r="8">
      <x:c r="A8" s="32" t="str">
        <x:v>G-PREMKT</x:v>
      </x:c>
      <x:c r="B8" s="32" t="str">
        <x:v>Premarketing Authorization</x:v>
      </x:c>
      <x:c r="C8" s="32" t="str">
        <x:v>Allow limited public/portfolio communication</x:v>
      </x:c>
      <x:c r="D8" s="32" t="str">
        <x:v>Naming status; legal; representative media; claims review</x:v>
      </x:c>
      <x:c r="E8" s="32" t="str">
        <x:v>Approved channels, claims, media provenance and capacity</x:v>
      </x:c>
      <x:c r="F8" s="32" t="str">
        <x:v>Approved media build</x:v>
      </x:c>
      <x:c r="G8" s="32" t="str">
        <x:v>N/A</x:v>
      </x:c>
      <x:c r="H8" s="32" t="str">
        <x:v>EVD-REL-002; EVD-REL-003; EVD-REL-012</x:v>
      </x:c>
      <x:c r="I8" s="32" t="str">
        <x:f>"MANUAL REVIEW"</x:f>
        <x:v>MANUAL REVIEW</x:v>
      </x:c>
      <x:c r="J8" s="32" t="str">
        <x:v>PENDING</x:v>
      </x:c>
      <x:c r="K8" s="82" t="str"/>
      <x:c r="L8" s="32" t="str">
        <x:v>Product/Marketing</x:v>
      </x:c>
      <x:c r="M8" s="32" t="str">
        <x:v>Legal; Production; Art</x:v>
      </x:c>
      <x:c r="N8" s="32" t="str"/>
      <x:c r="O8" s="32" t="str">
        <x:v>Withdraw/replace media or close claim gaps</x:v>
      </x:c>
      <x:c r="P8" s="32" t="str"/>
    </x:row>
    <x:row r="9">
      <x:c r="A9" s="32" t="str">
        <x:v>G-STEAM</x:v>
      </x:c>
      <x:c r="B9" s="32" t="str">
        <x:v>Steam Phase Opening</x:v>
      </x:c>
      <x:c r="C9" s="32" t="str">
        <x:v>Open Steamworks/store production after H6</x:v>
      </x:c>
      <x:c r="D9" s="32" t="str">
        <x:v>H6 PASS; business decision; account readiness</x:v>
      </x:c>
      <x:c r="E9" s="32" t="str">
        <x:v>AppID/account/owners and roadmap approved</x:v>
      </x:c>
      <x:c r="F9" s="32" t="str">
        <x:v>Steam internal build</x:v>
      </x:c>
      <x:c r="G9" s="32" t="str">
        <x:v>Yes</x:v>
      </x:c>
      <x:c r="H9" s="32" t="str">
        <x:v>EVD-REL-001; H6 Decision</x:v>
      </x:c>
      <x:c r="I9" s="32" t="str">
        <x:f>"MANUAL REVIEW"</x:f>
        <x:v>MANUAL REVIEW</x:v>
      </x:c>
      <x:c r="J9" s="32" t="str">
        <x:v>PENDING</x:v>
      </x:c>
      <x:c r="K9" s="82" t="str"/>
      <x:c r="L9" s="32" t="str">
        <x:v>Production/Business</x:v>
      </x:c>
      <x:c r="M9" s="32" t="str">
        <x:v>Steam; Legal; Product</x:v>
      </x:c>
      <x:c r="N9" s="32" t="str"/>
      <x:c r="O9" s="32" t="str">
        <x:v>Complete prerequisites and reapprove</x:v>
      </x:c>
      <x:c r="P9" s="32" t="str"/>
    </x:row>
    <x:row r="10">
      <x:c r="A10" s="32" t="str">
        <x:v>G-COMING</x:v>
      </x:c>
      <x:c r="B10" s="32" t="str">
        <x:v>Coming Soon Page</x:v>
      </x:c>
      <x:c r="C10" s="32" t="str">
        <x:v>Publish store page and begin wishlist campaign</x:v>
      </x:c>
      <x:c r="D10" s="32" t="str">
        <x:v>Steam phase open; store content/claims/legal/LQA ready</x:v>
      </x:c>
      <x:c r="E10" s="32" t="str">
        <x:v>Valve/internal review complete; support and campaign operational</x:v>
      </x:c>
      <x:c r="F10" s="32" t="str">
        <x:v>Store-approved build/media</x:v>
      </x:c>
      <x:c r="G10" s="32" t="str">
        <x:v>Yes</x:v>
      </x:c>
      <x:c r="H10" s="32" t="str">
        <x:v>EVD-REL-002…005; 010; 012</x:v>
      </x:c>
      <x:c r="I10" s="32" t="str">
        <x:f>"MANUAL REVIEW"</x:f>
        <x:v>MANUAL REVIEW</x:v>
      </x:c>
      <x:c r="J10" s="32" t="str">
        <x:v>PENDING</x:v>
      </x:c>
      <x:c r="K10" s="82" t="str"/>
      <x:c r="L10" s="32" t="str">
        <x:v>Marketing/Steam</x:v>
      </x:c>
      <x:c r="M10" s="32" t="str">
        <x:v>Product; Legal; Localization; Accessibility</x:v>
      </x:c>
      <x:c r="N10" s="32" t="str"/>
      <x:c r="O10" s="32" t="str">
        <x:v>Correct page/media/build and resubmit</x:v>
      </x:c>
      <x:c r="P10" s="32" t="str"/>
    </x:row>
    <x:row r="11">
      <x:c r="A11" s="32" t="str">
        <x:v>G-DEMO</x:v>
      </x:c>
      <x:c r="B11" s="32" t="str">
        <x:v>Demo / Playtest</x:v>
      </x:c>
      <x:c r="C11" s="32" t="str">
        <x:v>Distribute controlled public build if chosen</x:v>
      </x:c>
      <x:c r="D11" s="32" t="str">
        <x:v>Objective/audience/support/privacy/build defined</x:v>
      </x:c>
      <x:c r="E11" s="32" t="str">
        <x:v>Build stable; feedback plan; close/rollback capability</x:v>
      </x:c>
      <x:c r="F11" s="32" t="str">
        <x:v>Demo/Playtest candidate</x:v>
      </x:c>
      <x:c r="G11" s="32" t="str">
        <x:v>Yes</x:v>
      </x:c>
      <x:c r="H11" s="32" t="str">
        <x:v>Release QA + Support + Legal evidence</x:v>
      </x:c>
      <x:c r="I11" s="32" t="str">
        <x:f>"MANUAL REVIEW"</x:f>
        <x:v>MANUAL REVIEW</x:v>
      </x:c>
      <x:c r="J11" s="32" t="str">
        <x:v>PENDING</x:v>
      </x:c>
      <x:c r="K11" s="82" t="str"/>
      <x:c r="L11" s="32" t="str">
        <x:v>Production</x:v>
      </x:c>
      <x:c r="M11" s="32" t="str">
        <x:v>QA; Steam; Support; Legal</x:v>
      </x:c>
      <x:c r="N11" s="32" t="str"/>
      <x:c r="O11" s="32" t="str">
        <x:v>New candidate or scope reduction</x:v>
      </x:c>
      <x:c r="P11" s="32" t="str"/>
    </x:row>
    <x:row r="12">
      <x:c r="A12" s="32" t="str">
        <x:v>G-RC</x:v>
      </x:c>
      <x:c r="B12" s="32" t="str">
        <x:v>Steam Release Candidate</x:v>
      </x:c>
      <x:c r="C12" s="32" t="str">
        <x:v>Approve exact binary/depot candidate</x:v>
      </x:c>
      <x:c r="D12" s="32" t="str">
        <x:v>Store ready; release scope frozen; RC built; support/live ops ready</x:v>
      </x:c>
      <x:c r="E12" s="32" t="str">
        <x:v>Full regression PASS; zero blockers; integrity and rollback verified</x:v>
      </x:c>
      <x:c r="F12" s="32" t="str">
        <x:v>BLD-STEAM-RC1</x:v>
      </x:c>
      <x:c r="G12" s="32" t="str">
        <x:v>Yes</x:v>
      </x:c>
      <x:c r="H12" s="32" t="str">
        <x:v>EVD-REL-006…011; 013…018</x:v>
      </x:c>
      <x:c r="I12" s="32" t="str">
        <x:f>IF(SUM('03_Release_Checklist'!$X$5:$X$213)&gt;0,"BLOCKED",IF(COUNTIF('03_Release_Checklist'!$O$5:$O$213,"NOT RUN")+COUNTIF('03_Release_Checklist'!$O$5:$O$213,"IN PROGRESS")&gt;0,"PENDING","READY FOR DECISION"))</x:f>
        <x:v>BLOCKED</x:v>
      </x:c>
      <x:c r="J12" s="32" t="str">
        <x:v>PENDING</x:v>
      </x:c>
      <x:c r="K12" s="82" t="str"/>
      <x:c r="L12" s="32" t="str">
        <x:v>Release Board</x:v>
      </x:c>
      <x:c r="M12" s="32" t="str">
        <x:v>All Discipline Leads</x:v>
      </x:c>
      <x:c r="N12" s="32" t="str"/>
      <x:c r="O12" s="32" t="str">
        <x:v>Fix blocker; rebuild; rerun impacted matrix</x:v>
      </x:c>
      <x:c r="P12" s="32" t="str"/>
    </x:row>
    <x:row r="13">
      <x:c r="A13" s="32" t="str">
        <x:v>G-LAUNCH</x:v>
      </x:c>
      <x:c r="B13" s="32" t="str">
        <x:v>Launch Go/No-Go</x:v>
      </x:c>
      <x:c r="C13" s="32" t="str">
        <x:v>Authorize public release</x:v>
      </x:c>
      <x:c r="D13" s="32" t="str">
        <x:v>RC PASS; Valve timing; campaign/support/monitoring ready</x:v>
      </x:c>
      <x:c r="E13" s="32" t="str">
        <x:v>No-go review complete; rollback available; communications scheduled</x:v>
      </x:c>
      <x:c r="F13" s="32" t="str">
        <x:v>Approved Steam RC</x:v>
      </x:c>
      <x:c r="G13" s="32" t="str">
        <x:v>Yes</x:v>
      </x:c>
      <x:c r="H13" s="32" t="str">
        <x:v>EVD-REL-019; EVD-REL-016; EVD-REL-017</x:v>
      </x:c>
      <x:c r="I13" s="32" t="str">
        <x:f>IF(SUM('03_Release_Checklist'!$X$5:$X$213)&gt;0,"BLOCKED",IF(COUNTIF('03_Release_Checklist'!$O$5:$O$213,"NOT RUN")+COUNTIF('03_Release_Checklist'!$O$5:$O$213,"IN PROGRESS")&gt;0,"PENDING","READY FOR DECISION"))</x:f>
        <x:v>BLOCKED</x:v>
      </x:c>
      <x:c r="J13" s="32" t="str">
        <x:v>PENDING</x:v>
      </x:c>
      <x:c r="K13" s="82" t="str"/>
      <x:c r="L13" s="32" t="str">
        <x:v>Project Owner / Release Board</x:v>
      </x:c>
      <x:c r="M13" s="32" t="str">
        <x:v>Product; QA; Build; Steam; Legal; Marketing; Support</x:v>
      </x:c>
      <x:c r="N13" s="32" t="str"/>
      <x:c r="O13" s="32" t="str">
        <x:v>Return to RC or reschedule</x:v>
      </x:c>
      <x:c r="P13" s="32" t="str"/>
    </x:row>
    <x:row r="14">
      <x:c r="A14" s="32" t="str">
        <x:v>G-BASE</x:v>
      </x:c>
      <x:c r="B14" s="32" t="str">
        <x:v>Final Documentation Baseline</x:v>
      </x:c>
      <x:c r="C14" s="32" t="str">
        <x:v>Freeze complete 00–34 package and operational handoff</x:v>
      </x:c>
      <x:c r="D14" s="32" t="str">
        <x:v>31, 33 and 34 present; 12–15, 21, 23 and 31 updated; 32 candidate and 16 candidate planned in sequence</x:v>
      </x:c>
      <x:c r="E14" s="32" t="str">
        <x:v>16 final PASS or formally accepted exceptions; 32 final; external manifests/checksums; immutable ZIP; restore PASS; commit/tag recorded</x:v>
      </x:c>
      <x:c r="F14" s="32" t="str">
        <x:v>PKG-DOC-FINAL</x:v>
      </x:c>
      <x:c r="G14" s="32" t="str">
        <x:v>N/A</x:v>
      </x:c>
      <x:c r="H14" s="32" t="str">
        <x:v>EVD-DOC-001…EVD-DOC-008</x:v>
      </x:c>
      <x:c r="I14" s="32" t="str">
        <x:v>MANUAL REVIEW</x:v>
      </x:c>
      <x:c r="J14" s="32" t="str">
        <x:v>PENDING</x:v>
      </x:c>
      <x:c r="K14" s="82"/>
      <x:c r="L14" s="32" t="str">
        <x:v>Documentation/Production</x:v>
      </x:c>
      <x:c r="M14" s="32" t="str">
        <x:v>Project Owner; QA; Discipline Leads</x:v>
      </x:c>
      <x:c r="N14" s="32"/>
      <x:c r="O14" s="32" t="str">
        <x:v>Correct source, regenerate dependent files, rerun audit and package validation</x:v>
      </x:c>
      <x:c r="P14" s="32" t="str">
        <x:v>32–34 are existing documents; presence alone does not close the gate.</x:v>
      </x:c>
    </x:row>
    <x:row r="15">
      <x:c r="A15" s="96" t="str">
        <x:v>G-DOC-RC</x:v>
      </x:c>
      <x:c r="B15" s="96" t="str">
        <x:v>Documentation Candidate Audit</x:v>
      </x:c>
      <x:c r="C15" s="96" t="str">
        <x:v>Approve the complete candidate set for global audit</x:v>
      </x:c>
      <x:c r="D15" s="96" t="str">
        <x:v>12–15, 21, 23, 31, 33 and 34 updated; 32 candidate generated</x:v>
      </x:c>
      <x:c r="E15" s="96" t="str">
        <x:v>All expected files present; formulas/references scan complete; candidate audit 16 can run</x:v>
      </x:c>
      <x:c r="F15" s="96" t="str">
        <x:v>PKG-DOC-RC1</x:v>
      </x:c>
      <x:c r="G15" s="96" t="str">
        <x:v>N/A</x:v>
      </x:c>
      <x:c r="H15" s="96" t="str">
        <x:v>EVD-DOC-001; EVD-DOC-002; EVD-DOC-003; EVD-DOC-004</x:v>
      </x:c>
      <x:c r="I15" s="96" t="str">
        <x:v>MANUAL REVIEW</x:v>
      </x:c>
      <x:c r="J15" s="96" t="str">
        <x:v>PENDING</x:v>
      </x:c>
      <x:c r="K15" s="96"/>
      <x:c r="L15" s="96" t="str">
        <x:v>Documentation/QA</x:v>
      </x:c>
      <x:c r="M15" s="96" t="str">
        <x:v>Project Owner; Production</x:v>
      </x:c>
      <x:c r="N15" s="96"/>
      <x:c r="O15" s="96" t="str">
        <x:v>Correct candidate and regenerate 32</x:v>
      </x:c>
      <x:c r="P15" s="96" t="str">
        <x:v>Precedes final baseline freeze.</x:v>
      </x:c>
    </x:row>
    <x:row r="16">
      <x:c r="A16" s="96" t="str">
        <x:v>G-DOC-RESTORE</x:v>
      </x:c>
      <x:c r="B16" s="96" t="str">
        <x:v>Documentation Restore Verification</x:v>
      </x:c>
      <x:c r="C16" s="96" t="str">
        <x:v>Approve the immutable package as recoverable and transferable</x:v>
      </x:c>
      <x:c r="D16" s="96" t="str">
        <x:v>G-BASE ready for decision; PKG-DOC-FINAL generated</x:v>
      </x:c>
      <x:c r="E16" s="96" t="str">
        <x:v>External checksums PASS; clean extraction PASS; independent handoff PASS</x:v>
      </x:c>
      <x:c r="F16" s="96" t="str">
        <x:v>PKG-DOC-FINAL</x:v>
      </x:c>
      <x:c r="G16" s="96" t="str">
        <x:v>N/A</x:v>
      </x:c>
      <x:c r="H16" s="96" t="str">
        <x:v>EVD-DOC-006; EVD-DOC-007; EVD-DOC-008</x:v>
      </x:c>
      <x:c r="I16" s="96" t="str">
        <x:v>BLOCKED</x:v>
      </x:c>
      <x:c r="J16" s="96" t="str">
        <x:v>PENDING</x:v>
      </x:c>
      <x:c r="K16" s="96"/>
      <x:c r="L16" s="96" t="str">
        <x:v>Documentation/Production</x:v>
      </x:c>
      <x:c r="M16" s="96" t="str">
        <x:v>Independent Reviewer; QA; Project Owner</x:v>
      </x:c>
      <x:c r="N16" s="96"/>
      <x:c r="O16" s="96" t="str">
        <x:v>Rebuild package and rerun restore/handoff tests</x:v>
      </x:c>
      <x:c r="P16" s="96" t="str">
        <x:v>Final operational closure; does not mark H6/Release PASS.</x:v>
      </x:c>
    </x:row>
  </x:sheetData>
  <x:mergeCells>
    <x:mergeCell ref="A1:P1"/>
    <x:mergeCell ref="A2:P2"/>
  </x:mergeCells>
  <x:conditionalFormatting sqref="I5:J14">
    <x:cfRule type="expression" dxfId="21" priority="1">
      <x:formula>I5="BLOCKED"</x:formula>
    </x:cfRule>
    <x:cfRule type="expression" dxfId="22" priority="2">
      <x:formula>I5="READY FOR DECISION"</x:formula>
    </x:cfRule>
  </x:conditionalFormatting>
  <x:dataValidations count="1">
    <x:dataValidation type="list" sqref="J5:J14">
      <x:formula1>"PENDING,READY FOR DECISION,PASS,FAIL,PASS WITH ACCEPTED DEBT"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8bc398593f43fe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24" t="str">
        <x:v>Status</x:v>
      </x:c>
      <x:c r="B1" s="24" t="str">
        <x:v>Priority</x:v>
      </x:c>
      <x:c r="C1" s="24" t="str">
        <x:v>Blocking</x:v>
      </x:c>
      <x:c r="D1" s="24" t="str">
        <x:v>Decision</x:v>
      </x:c>
      <x:c r="E1" s="24" t="str">
        <x:v>Evidence Status</x:v>
      </x:c>
      <x:c r="F1" s="24" t="str">
        <x:v>Build Status</x:v>
      </x:c>
      <x:c r="G1" s="24" t="str">
        <x:v>Risk Status</x:v>
      </x:c>
      <x:c r="H1" s="24" t="str">
        <x:v>Severity</x:v>
      </x:c>
    </x:row>
    <x:row r="2">
      <x:c r="A2" s="32" t="str">
        <x:v>NOT RUN</x:v>
      </x:c>
      <x:c r="B2" s="32" t="str">
        <x:v>P0</x:v>
      </x:c>
      <x:c r="C2" s="32" t="str">
        <x:v>Yes</x:v>
      </x:c>
      <x:c r="D2" s="32" t="str">
        <x:v>PENDING</x:v>
      </x:c>
      <x:c r="E2" s="32" t="str">
        <x:v>MISSING</x:v>
      </x:c>
      <x:c r="F2" s="32" t="str">
        <x:v>PLANNED</x:v>
      </x:c>
      <x:c r="G2" s="32" t="str">
        <x:v>OPEN</x:v>
      </x:c>
      <x:c r="H2" s="32" t="str">
        <x:v>S0</x:v>
      </x:c>
    </x:row>
    <x:row r="3">
      <x:c r="A3" s="32" t="str">
        <x:v>IN PROGRESS</x:v>
      </x:c>
      <x:c r="B3" s="32" t="str">
        <x:v>P1</x:v>
      </x:c>
      <x:c r="C3" s="32" t="str">
        <x:v>No</x:v>
      </x:c>
      <x:c r="D3" s="32" t="str">
        <x:v>READY FOR DECISION</x:v>
      </x:c>
      <x:c r="E3" s="32" t="str">
        <x:v>PARTIAL</x:v>
      </x:c>
      <x:c r="F3" s="32" t="str">
        <x:v>INCOMPLETE</x:v>
      </x:c>
      <x:c r="G3" s="32" t="str">
        <x:v>MITIGATING</x:v>
      </x:c>
      <x:c r="H3" s="32" t="str">
        <x:v>S1</x:v>
      </x:c>
    </x:row>
    <x:row r="4">
      <x:c r="A4" s="32" t="str">
        <x:v>PASS</x:v>
      </x:c>
      <x:c r="B4" s="32" t="str">
        <x:v>P2</x:v>
      </x:c>
      <x:c r="C4" s="32" t="str">
        <x:v>Review</x:v>
      </x:c>
      <x:c r="D4" s="32" t="str">
        <x:v>PASS</x:v>
      </x:c>
      <x:c r="E4" s="32" t="str">
        <x:v>COMPLETE</x:v>
      </x:c>
      <x:c r="F4" s="32" t="str">
        <x:v>READY</x:v>
      </x:c>
      <x:c r="G4" s="32" t="str">
        <x:v>ACCEPTED</x:v>
      </x:c>
      <x:c r="H4" s="32" t="str">
        <x:v>S2</x:v>
      </x:c>
    </x:row>
    <x:row r="5">
      <x:c r="A5" s="32" t="str">
        <x:v>FAIL</x:v>
      </x:c>
      <x:c r="B5" s="32" t="str">
        <x:v>P3</x:v>
      </x:c>
      <x:c r="C5" s="32" t="str"/>
      <x:c r="D5" s="32" t="str">
        <x:v>FAIL</x:v>
      </x:c>
      <x:c r="E5" s="32" t="str">
        <x:v>VERIFIED</x:v>
      </x:c>
      <x:c r="F5" s="32" t="str">
        <x:v>APPROVED</x:v>
      </x:c>
      <x:c r="G5" s="32" t="str">
        <x:v>CLOSED</x:v>
      </x:c>
      <x:c r="H5" s="32" t="str">
        <x:v>S3</x:v>
      </x:c>
    </x:row>
    <x:row r="6">
      <x:c r="A6" s="32" t="str">
        <x:v>BLOCKED</x:v>
      </x:c>
      <x:c r="B6" s="32" t="str"/>
      <x:c r="C6" s="32" t="str"/>
      <x:c r="D6" s="32" t="str">
        <x:v>PASS WITH ACCEPTED DEBT</x:v>
      </x:c>
      <x:c r="E6" s="32" t="str">
        <x:v>REJECTED</x:v>
      </x:c>
      <x:c r="F6" s="32" t="str">
        <x:v>REJECTED</x:v>
      </x:c>
      <x:c r="G6" s="32" t="str">
        <x:v>ESCALATED</x:v>
      </x:c>
      <x:c r="H6" s="32" t="str">
        <x:v>S4</x:v>
      </x:c>
    </x:row>
    <x:row r="7">
      <x:c r="A7" s="32" t="str">
        <x:v>EXCEPTION APPROVED</x:v>
      </x:c>
      <x:c r="B7" s="32" t="str"/>
      <x:c r="C7" s="32" t="str"/>
      <x:c r="D7" s="32" t="str"/>
      <x:c r="E7" s="32" t="str"/>
      <x:c r="F7" s="32" t="str"/>
      <x:c r="G7" s="32" t="str"/>
      <x:c r="H7" s="32" t="str">
        <x:v>A1</x:v>
      </x:c>
    </x:row>
    <x:row r="8">
      <x:c r="A8" s="32" t="str">
        <x:v>NOT APPLICABLE</x:v>
      </x:c>
      <x:c r="B8" s="32" t="str"/>
      <x:c r="C8" s="32" t="str"/>
      <x:c r="D8" s="32" t="str"/>
      <x:c r="E8" s="32" t="str"/>
      <x:c r="F8" s="32" t="str"/>
      <x:c r="G8" s="32" t="str"/>
      <x:c r="H8" s="32" t="str">
        <x:v>A2</x:v>
      </x:c>
    </x:row>
    <x:row r="9">
      <x:c r="A9" s="32" t="str"/>
      <x:c r="B9" s="32" t="str"/>
      <x:c r="C9" s="32" t="str"/>
      <x:c r="D9" s="32" t="str"/>
      <x:c r="E9" s="32" t="str"/>
      <x:c r="F9" s="32" t="str"/>
      <x:c r="G9" s="32" t="str"/>
      <x:c r="H9" s="32" t="str">
        <x:v>A3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8" hidden="0" customWidth="1"/>
    <x:col min="4" max="4" width="34" hidden="0" customWidth="1"/>
    <x:col min="5" max="5" width="48" hidden="0" customWidth="1"/>
    <x:col min="6" max="6" width="34" hidden="0" customWidth="1"/>
    <x:col min="7" max="7" width="24" hidden="0" customWidth="1"/>
    <x:col min="8" max="8" width="34" hidden="0" customWidth="1"/>
    <x:col min="9" max="9" width="12" hidden="0" customWidth="1"/>
    <x:col min="10" max="10" width="42" hidden="0" customWidth="1"/>
  </x:cols>
  <x:sheetData>
    <x:row r="1" ht="28" customHeight="1">
      <x:c r="A1" s="101" t="str">
        <x:v>31 — Integration of Documents 00–34</x:v>
      </x:c>
      <x:c r="B1" s="101"/>
      <x:c r="C1" s="101"/>
      <x:c r="D1" s="101"/>
      <x:c r="E1" s="101"/>
      <x:c r="F1" s="101"/>
      <x:c r="G1" s="101"/>
      <x:c r="H1" s="101"/>
      <x:c r="I1" s="101"/>
      <x:c r="J1" s="101"/>
    </x:row>
    <x:row r="2" ht="34" customHeight="1">
      <x:c r="A2" s="104" t="str">
        <x:v>Directed regeneration performed before updating 33, 34, candidate 32 and candidate audit 16. This sheet records what changed without claiming execution of H6 or Release.</x:v>
      </x:c>
      <x:c r="B2" s="104"/>
      <x:c r="C2" s="104"/>
      <x:c r="D2" s="104"/>
      <x:c r="E2" s="104"/>
      <x:c r="F2" s="104"/>
      <x:c r="G2" s="104"/>
      <x:c r="H2" s="104"/>
      <x:c r="I2" s="104"/>
      <x:c r="J2" s="104"/>
    </x:row>
    <x:row r="4">
      <x:c r="A4" s="109" t="str">
        <x:v>ID</x:v>
      </x:c>
      <x:c r="B4" s="109" t="str">
        <x:v>Area</x:v>
      </x:c>
      <x:c r="C4" s="109" t="str">
        <x:v>Source / Control</x:v>
      </x:c>
      <x:c r="D4" s="109" t="str">
        <x:v>State Before</x:v>
      </x:c>
      <x:c r="E4" s="109" t="str">
        <x:v>Update Applied</x:v>
      </x:c>
      <x:c r="F4" s="109" t="str">
        <x:v>Verification Method</x:v>
      </x:c>
      <x:c r="G4" s="109" t="str">
        <x:v>State After</x:v>
      </x:c>
      <x:c r="H4" s="109" t="str">
        <x:v>Next Dependency</x:v>
      </x:c>
      <x:c r="I4" s="109" t="str">
        <x:v>Blocking</x:v>
      </x:c>
      <x:c r="J4" s="109" t="str">
        <x:v>Notes</x:v>
      </x:c>
    </x:row>
    <x:row r="5">
      <x:c r="A5" s="119" t="str">
        <x:v>INT31-001</x:v>
      </x:c>
      <x:c r="B5" s="120" t="str">
        <x:v>Authority</x:v>
      </x:c>
      <x:c r="C5" s="120" t="str">
        <x:v>Documents 32–34</x:v>
      </x:c>
      <x:c r="D5" s="120" t="str">
        <x:v>Referenced as future or generation tasks</x:v>
      </x:c>
      <x:c r="E5" s="120" t="str">
        <x:v>Recognized as existing authoritative candidates; controls now validate content</x:v>
      </x:c>
      <x:c r="F5" s="120" t="str">
        <x:v>Search for future references and inspect source registers</x:v>
      </x:c>
      <x:c r="G5" s="120" t="str">
        <x:v>PRESENT / VALIDATION PENDING</x:v>
      </x:c>
      <x:c r="H5" s="120" t="str">
        <x:v>Update 33 and 34</x:v>
      </x:c>
      <x:c r="I5" s="120" t="str">
        <x:v>Yes</x:v>
      </x:c>
      <x:c r="J5" s="121" t="str">
        <x:v>Presence is not approval.</x:v>
      </x:c>
    </x:row>
    <x:row r="6">
      <x:c r="A6" s="122" t="str">
        <x:v>INT31-002</x:v>
      </x:c>
      <x:c r="B6" s="123" t="str">
        <x:v>H6</x:v>
      </x:c>
      <x:c r="C6" s="123" t="str">
        <x:v>H6-DOC controls</x:v>
      </x:c>
      <x:c r="D6" s="123" t="str">
        <x:v>00–30 and plan-to-generate assumptions</x:v>
      </x:c>
      <x:c r="E6" s="123" t="str">
        <x:v>Updated to 00–34; added validation for 32, 33, 34, audit, package and restore</x:v>
      </x:c>
      <x:c r="F6" s="123" t="str">
        <x:v>Checklist review and formula scan</x:v>
      </x:c>
      <x:c r="G6" s="123" t="str">
        <x:v>NOT RUN / STRUCTURE UPDATED</x:v>
      </x:c>
      <x:c r="H6" s="123" t="str">
        <x:v>Candidate 32 and audit 16</x:v>
      </x:c>
      <x:c r="I6" s="123" t="str">
        <x:v>Yes</x:v>
      </x:c>
      <x:c r="J6" s="124" t="str">
        <x:v>No status promoted.</x:v>
      </x:c>
    </x:row>
    <x:row r="7">
      <x:c r="A7" s="122" t="str">
        <x:v>INT31-003</x:v>
      </x:c>
      <x:c r="B7" s="123" t="str">
        <x:v>Release</x:v>
      </x:c>
      <x:c r="C7" s="123" t="str">
        <x:v>REL-DOC controls</x:v>
      </x:c>
      <x:c r="D7" s="123" t="str">
        <x:v>future 32–34 references</x:v>
      </x:c>
      <x:c r="E7" s="123" t="str">
        <x:v>Replaced with current source set and 14 new closure controls</x:v>
      </x:c>
      <x:c r="F7" s="123" t="str">
        <x:v>Checklist review</x:v>
      </x:c>
      <x:c r="G7" s="123" t="str">
        <x:v>NOT RUN / STRUCTURE UPDATED</x:v>
      </x:c>
      <x:c r="H7" s="123" t="str">
        <x:v>Final package and signoff</x:v>
      </x:c>
      <x:c r="I7" s="123" t="str">
        <x:v>Yes</x:v>
      </x:c>
      <x:c r="J7" s="124" t="str">
        <x:v>Release remains blocked.</x:v>
      </x:c>
    </x:row>
    <x:row r="8">
      <x:c r="A8" s="122" t="str">
        <x:v>INT31-004</x:v>
      </x:c>
      <x:c r="B8" s="123" t="str">
        <x:v>Continuity</x:v>
      </x:c>
      <x:c r="C8" s="123" t="str">
        <x:v>33 references</x:v>
      </x:c>
      <x:c r="D8" s="123" t="str">
        <x:v>33 marked future in release and risk summary</x:v>
      </x:c>
      <x:c r="E8" s="123" t="str">
        <x:v>Removed future label; linked global risk/continuity source</x:v>
      </x:c>
      <x:c r="F8" s="123" t="str">
        <x:v>Search and cross-reference</x:v>
      </x:c>
      <x:c r="G8" s="123" t="str">
        <x:v>PRESENT / UPDATE PENDING</x:v>
      </x:c>
      <x:c r="H8" s="123" t="str">
        <x:v>Regenerate 33</x:v>
      </x:c>
      <x:c r="I8" s="123" t="str">
        <x:v>Yes</x:v>
      </x:c>
      <x:c r="J8" s="124" t="str">
        <x:v>31 summary does not replace 33.</x:v>
      </x:c>
    </x:row>
    <x:row r="9">
      <x:c r="A9" s="122" t="str">
        <x:v>INT31-005</x:v>
      </x:c>
      <x:c r="B9" s="123" t="str">
        <x:v>Evidence</x:v>
      </x:c>
      <x:c r="C9" s="123" t="str">
        <x:v>05_Evidencias</x:v>
      </x:c>
      <x:c r="D9" s="123" t="str">
        <x:v>No dedicated documentation closure packages</x:v>
      </x:c>
      <x:c r="E9" s="123" t="str">
        <x:v>Added EVD-DOC-001…008</x:v>
      </x:c>
      <x:c r="F9" s="123" t="str">
        <x:v>Evidence register inspection</x:v>
      </x:c>
      <x:c r="G9" s="123" t="str">
        <x:v>MISSING / EXPECTED</x:v>
      </x:c>
      <x:c r="H9" s="123" t="str">
        <x:v>Produce candidate/final artifacts</x:v>
      </x:c>
      <x:c r="I9" s="123" t="str">
        <x:v>Yes</x:v>
      </x:c>
      <x:c r="J9" s="124" t="str">
        <x:v>Missing is correct initial state.</x:v>
      </x:c>
    </x:row>
    <x:row r="10">
      <x:c r="A10" s="122" t="str">
        <x:v>INT31-006</x:v>
      </x:c>
      <x:c r="B10" s="123" t="str">
        <x:v>Gates</x:v>
      </x:c>
      <x:c r="C10" s="123" t="str">
        <x:v>04_Gates_Signoff</x:v>
      </x:c>
      <x:c r="D10" s="123" t="str">
        <x:v>Single final baseline gate</x:v>
      </x:c>
      <x:c r="E10" s="123" t="str">
        <x:v>Updated G-BASE; added candidate-audit and restore gates</x:v>
      </x:c>
      <x:c r="F10" s="123" t="str">
        <x:v>Gate matrix review</x:v>
      </x:c>
      <x:c r="G10" s="123" t="str">
        <x:v>PENDING</x:v>
      </x:c>
      <x:c r="H10" s="123" t="str">
        <x:v>Human signoff after evidence</x:v>
      </x:c>
      <x:c r="I10" s="123" t="str">
        <x:v>Yes</x:v>
      </x:c>
      <x:c r="J10" s="124" t="str">
        <x:v>Manual decisions remain required.</x:v>
      </x:c>
    </x:row>
    <x:row r="11">
      <x:c r="A11" s="122" t="str">
        <x:v>INT31-007</x:v>
      </x:c>
      <x:c r="B11" s="123" t="str">
        <x:v>Integrity</x:v>
      </x:c>
      <x:c r="C11" s="123" t="str">
        <x:v>07_Builds_Integridad</x:v>
      </x:c>
      <x:c r="D11" s="123" t="str">
        <x:v>No documentation package identities</x:v>
      </x:c>
      <x:c r="E11" s="123" t="str">
        <x:v>Added PKG-DOC-RC1 and PKG-DOC-FINAL</x:v>
      </x:c>
      <x:c r="F11" s="123" t="str">
        <x:v>Build/package register review</x:v>
      </x:c>
      <x:c r="G11" s="123" t="str">
        <x:v>PLANNED</x:v>
      </x:c>
      <x:c r="H11" s="123" t="str">
        <x:v>Generate candidate/final ZIP</x:v>
      </x:c>
      <x:c r="I11" s="123" t="str">
        <x:v>Yes</x:v>
      </x:c>
      <x:c r="J11" s="124" t="str">
        <x:v>SHA fields intentionally blank.</x:v>
      </x:c>
    </x:row>
    <x:row r="12">
      <x:c r="A12" s="122" t="str">
        <x:v>INT31-008</x:v>
      </x:c>
      <x:c r="B12" s="123" t="str">
        <x:v>Testing</x:v>
      </x:c>
      <x:c r="C12" s="123" t="str">
        <x:v>08_Ejecucion_Pruebas</x:v>
      </x:c>
      <x:c r="D12" s="123" t="str">
        <x:v>No explicit document package tests</x:v>
      </x:c>
      <x:c r="E12" s="123" t="str">
        <x:v>Added DOC-TST-001…008</x:v>
      </x:c>
      <x:c r="F12" s="123" t="str">
        <x:v>Test matrix inspection</x:v>
      </x:c>
      <x:c r="G12" s="123" t="str">
        <x:v>NOT RUN</x:v>
      </x:c>
      <x:c r="H12" s="123" t="str">
        <x:v>Execute after package generation</x:v>
      </x:c>
      <x:c r="I12" s="123" t="str">
        <x:v>Yes</x:v>
      </x:c>
      <x:c r="J12" s="124" t="str">
        <x:v>Includes formula, Markdown and restore tests.</x:v>
      </x:c>
    </x:row>
    <x:row r="13">
      <x:c r="A13" s="122" t="str">
        <x:v>INT31-009</x:v>
      </x:c>
      <x:c r="B13" s="123" t="str">
        <x:v>Risk</x:v>
      </x:c>
      <x:c r="C13" s="123" t="str">
        <x:v>10_Riesgos_Dependencias</x:v>
      </x:c>
      <x:c r="D13" s="123" t="str">
        <x:v>Risk summary stopped before final packaging concerns</x:v>
      </x:c>
      <x:c r="E13" s="123" t="str">
        <x:v>Added eight packaging/audit/handoff risks and synchronized 33 relationship</x:v>
      </x:c>
      <x:c r="F13" s="123" t="str">
        <x:v>Risk review</x:v>
      </x:c>
      <x:c r="G13" s="123" t="str">
        <x:v>OPEN</x:v>
      </x:c>
      <x:c r="H13" s="123" t="str">
        <x:v>Update global register 33</x:v>
      </x:c>
      <x:c r="I13" s="123" t="str">
        <x:v>Yes</x:v>
      </x:c>
      <x:c r="J13" s="124" t="str">
        <x:v>Risk controls are unverified.</x:v>
      </x:c>
    </x:row>
    <x:row r="14">
      <x:c r="A14" s="122" t="str">
        <x:v>INT31-010</x:v>
      </x:c>
      <x:c r="B14" s="123" t="str">
        <x:v>Traceability</x:v>
      </x:c>
      <x:c r="C14" s="123" t="str">
        <x:v>09_Trazabilidad_Historica</x:v>
      </x:c>
      <x:c r="D14" s="123" t="str">
        <x:v>Current source hashes for updated docs were stale; 31–34 absent</x:v>
      </x:c>
      <x:c r="E14" s="123" t="str">
        <x:v>Updated 12–15/21/23 hashes; appended 31–34 and corrected current relation</x:v>
      </x:c>
      <x:c r="F14" s="123" t="str">
        <x:v>External SHA comparison</x:v>
      </x:c>
      <x:c r="G14" s="123" t="str">
        <x:v>CURRENT CANDIDATE</x:v>
      </x:c>
      <x:c r="H14" s="123" t="str">
        <x:v>Register 31 final hash externally</x:v>
      </x:c>
      <x:c r="I14" s="123" t="str">
        <x:v>Yes</x:v>
      </x:c>
      <x:c r="J14" s="124" t="str">
        <x:v>RC1 and current candidate distinguished.</x:v>
      </x:c>
    </x:row>
    <x:row r="15">
      <x:c r="A15" s="122" t="str">
        <x:v>INT31-011</x:v>
      </x:c>
      <x:c r="B15" s="123" t="str">
        <x:v>Audit findings</x:v>
      </x:c>
      <x:c r="C15" s="123" t="str">
        <x:v>06_Defectos_Excepciones</x:v>
      </x:c>
      <x:c r="D15" s="123" t="str">
        <x:v>Some findings appear structurally mitigated</x:v>
      </x:c>
      <x:c r="E15" s="123" t="str">
        <x:v>Recorded mitigation notes but kept findings OPEN</x:v>
      </x:c>
      <x:c r="F15" s="123" t="str">
        <x:v>Candidate audit 16</x:v>
      </x:c>
      <x:c r="G15" s="123" t="str">
        <x:v>OPEN / PENDING VERIFICATION</x:v>
      </x:c>
      <x:c r="H15" s="123" t="str">
        <x:v>Regenerate 16</x:v>
      </x:c>
      <x:c r="I15" s="123" t="str">
        <x:v>Yes</x:v>
      </x:c>
      <x:c r="J15" s="124" t="str">
        <x:v>No automatic closure.</x:v>
      </x:c>
    </x:row>
    <x:row r="16">
      <x:c r="A16" s="122" t="str">
        <x:v>INT31-012</x:v>
      </x:c>
      <x:c r="B16" s="123" t="str">
        <x:v>Dashboard</x:v>
      </x:c>
      <x:c r="C16" s="123" t="str">
        <x:v>01_Dashboard</x:v>
      </x:c>
      <x:c r="D16" s="123" t="str">
        <x:v>Final baseline claimed generation of 32–34 was pending</x:v>
      </x:c>
      <x:c r="E16" s="123" t="str">
        <x:v>Status now reflects directed updates, candidate/final audit and package sequence</x:v>
      </x:c>
      <x:c r="F16" s="123" t="str">
        <x:v>Formula and text review</x:v>
      </x:c>
      <x:c r="G16" s="123" t="str">
        <x:v>PENDING / ACCURATE</x:v>
      </x:c>
      <x:c r="H16" s="123" t="str">
        <x:v>33 → 34 → 32 → 16</x:v>
      </x:c>
      <x:c r="I16" s="123" t="str">
        <x:v>Yes</x:v>
      </x:c>
      <x:c r="J16" s="124" t="str">
        <x:v>H6/Release counts include new controls.</x:v>
      </x:c>
    </x:row>
    <x:row r="17">
      <x:c r="A17" s="122" t="str">
        <x:v>INT31-013</x:v>
      </x:c>
      <x:c r="B17" s="123" t="str">
        <x:v>Hashes</x:v>
      </x:c>
      <x:c r="C17" s="123" t="str">
        <x:v>31 and 32 self SHA</x:v>
      </x:c>
      <x:c r="D17" s="123" t="str">
        <x:v>Potential self-reference ambiguity</x:v>
      </x:c>
      <x:c r="E17" s="123" t="str">
        <x:v>Explicit external-after-export rule added</x:v>
      </x:c>
      <x:c r="F17" s="123" t="str">
        <x:v>Export and external checksum</x:v>
      </x:c>
      <x:c r="G17" s="123" t="str">
        <x:v>PENDING</x:v>
      </x:c>
      <x:c r="H17" s="123" t="str">
        <x:v>CHECKSUMS_SHA256</x:v>
      </x:c>
      <x:c r="I17" s="123" t="str">
        <x:v>Yes</x:v>
      </x:c>
      <x:c r="J17" s="124" t="str">
        <x:v>Prevents unstable hash cycles.</x:v>
      </x:c>
    </x:row>
    <x:row r="18">
      <x:c r="A18" s="122" t="str">
        <x:v>INT31-014</x:v>
      </x:c>
      <x:c r="B18" s="123" t="str">
        <x:v>Operational truth</x:v>
      </x:c>
      <x:c r="C18" s="123" t="str">
        <x:v>All gates</x:v>
      </x:c>
      <x:c r="D18" s="123" t="str">
        <x:v>Template existence could be confused with completion</x:v>
      </x:c>
      <x:c r="E18" s="123" t="str">
        <x:v>Retained NOT RUN/MISSING/OPEN and added explicit anti-false-PASS controls</x:v>
      </x:c>
      <x:c r="F18" s="123" t="str">
        <x:v>Status scan</x:v>
      </x:c>
      <x:c r="G18" s="123" t="str">
        <x:v>UNEXECUTED</x:v>
      </x:c>
      <x:c r="H18" s="123" t="str">
        <x:v>Real execution evidence</x:v>
      </x:c>
      <x:c r="I18" s="123" t="str">
        <x:v>Yes</x:v>
      </x:c>
      <x:c r="J18" s="124" t="str">
        <x:v>Core trust requirement.</x:v>
      </x:c>
    </x:row>
    <x:row r="19">
      <x:c r="A19" s="125" t="str">
        <x:v>INT31-015</x:v>
      </x:c>
      <x:c r="B19" s="126" t="str">
        <x:v>Sequence</x:v>
      </x:c>
      <x:c r="C19" s="126" t="str">
        <x:v>Closure roadmap</x:v>
      </x:c>
      <x:c r="D19" s="126" t="str">
        <x:v>No sheet-level record of next ordered work</x:v>
      </x:c>
      <x:c r="E19" s="126" t="str">
        <x:v>Recorded next order: 33, 34, 32 candidate, 16 candidate, corrections, 16 final, 32 final, package/restore</x:v>
      </x:c>
      <x:c r="F19" s="126" t="str">
        <x:v>Review against Guide and Binder</x:v>
      </x:c>
      <x:c r="G19" s="126" t="str">
        <x:v>DEFINED</x:v>
      </x:c>
      <x:c r="H19" s="126" t="str">
        <x:v>Regenerate 33 next</x:v>
      </x:c>
      <x:c r="I19" s="126" t="str">
        <x:v>Yes</x:v>
      </x:c>
      <x:c r="J19" s="127" t="str">
        <x:v>This workbook is ready to hand off to the next step.</x:v>
      </x:c>
    </x:row>
  </x:sheetData>
  <x:mergeCells>
    <x:mergeCell ref="A1:J1"/>
    <x:mergeCell ref="A2:J2"/>
  </x:mergeCells>
  <x:conditionalFormatting sqref="G5:G19">
    <x:cfRule type="expression" dxfId="27" priority="1">
      <x:formula>ISNUMBER(SEARCH("PENDING",G5))</x:formula>
    </x:cfRule>
    <x:cfRule type="expression" dxfId="28" priority="2">
      <x:formula>ISNUMBER(SEARCH("UPDATED",G5))</x:formula>
    </x:cfRule>
  </x:conditionalFormatting>
  <x:dataValidations count="1">
    <x:dataValidation type="list" sqref="I5:I19">
      <x:formula1>"Yes,No,Review"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16" hidden="0" customWidth="1"/>
    <x:col min="4" max="4" width="20" hidden="0" customWidth="1"/>
    <x:col min="5" max="5" width="48" hidden="0" customWidth="1"/>
    <x:col min="6" max="6" width="42" hidden="0" customWidth="1"/>
    <x:col min="7" max="7" width="36" hidden="0" customWidth="1"/>
    <x:col min="8" max="8" width="28" hidden="0" customWidth="1"/>
    <x:col min="9" max="9" width="28" hidden="0" customWidth="1"/>
    <x:col min="10" max="10" width="14" hidden="0" customWidth="1"/>
    <x:col min="11" max="11" width="34" hidden="0" customWidth="1"/>
    <x:col min="12" max="12" width="38" hidden="0" customWidth="1"/>
  </x:cols>
  <x:sheetData>
    <x:row r="1" ht="28" customHeight="1">
      <x:c r="A1" s="101" t="str">
        <x:v>31 — Regeneration Change Log</x:v>
      </x:c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</x:row>
    <x:row r="2">
      <x:c r="A2" s="104" t="str">
        <x:v>All structural changes performed during the post-RC1 regeneration of the H6 and Release Readiness workbook.</x:v>
      </x:c>
      <x:c r="B2" s="104"/>
      <x:c r="C2" s="104"/>
      <x:c r="D2" s="104"/>
      <x:c r="E2" s="104"/>
      <x:c r="F2" s="104"/>
      <x:c r="G2" s="104"/>
      <x:c r="H2" s="104"/>
      <x:c r="I2" s="104"/>
      <x:c r="J2" s="104"/>
      <x:c r="K2" s="104"/>
      <x:c r="L2" s="104"/>
    </x:row>
    <x:row r="4">
      <x:c r="A4" s="109" t="str">
        <x:v>Change ID</x:v>
      </x:c>
      <x:c r="B4" s="109" t="str">
        <x:v>Date</x:v>
      </x:c>
      <x:c r="C4" s="109" t="str">
        <x:v>Type</x:v>
      </x:c>
      <x:c r="D4" s="109" t="str">
        <x:v>Area</x:v>
      </x:c>
      <x:c r="E4" s="109" t="str">
        <x:v>Description</x:v>
      </x:c>
      <x:c r="F4" s="109" t="str">
        <x:v>Reason</x:v>
      </x:c>
      <x:c r="G4" s="109" t="str">
        <x:v>Source / Trigger</x:v>
      </x:c>
      <x:c r="H4" s="109" t="str">
        <x:v>Affected Sheets</x:v>
      </x:c>
      <x:c r="I4" s="109" t="str">
        <x:v>Validation</x:v>
      </x:c>
      <x:c r="J4" s="109" t="str">
        <x:v>Result</x:v>
      </x:c>
      <x:c r="K4" s="109" t="str">
        <x:v>Next Action</x:v>
      </x:c>
      <x:c r="L4" s="109" t="str">
        <x:v>Notes</x:v>
      </x:c>
    </x:row>
    <x:row r="5">
      <x:c r="A5" s="119" t="str">
        <x:v>CHG31-001</x:v>
      </x:c>
      <x:c r="B5" s="120" t="str">
        <x:v>2026-07-01</x:v>
      </x:c>
      <x:c r="C5" s="120" t="str">
        <x:v>Documentation</x:v>
      </x:c>
      <x:c r="D5" s="120" t="str">
        <x:v>Authority</x:v>
      </x:c>
      <x:c r="E5" s="120" t="str">
        <x:v>Recognized 32, 33 and 34 as existing documents and removed future-generation assumptions.</x:v>
      </x:c>
      <x:c r="F5" s="120" t="str">
        <x:v>RC1 workbook was created before final specialized documents were closed.</x:v>
      </x:c>
      <x:c r="G5" s="120" t="str">
        <x:v>Closure sequence from prior planning</x:v>
      </x:c>
      <x:c r="H5" s="120" t="str">
        <x:v>00, 02, 03, 10, 12</x:v>
      </x:c>
      <x:c r="I5" s="120" t="str">
        <x:v>Search for obsolete references</x:v>
      </x:c>
      <x:c r="J5" s="120" t="str">
        <x:v>PASS</x:v>
      </x:c>
      <x:c r="K5" s="120" t="str">
        <x:v>Update 33</x:v>
      </x:c>
      <x:c r="L5" s="121" t="str">
        <x:v>No operational control marked complete.</x:v>
      </x:c>
    </x:row>
    <x:row r="6">
      <x:c r="A6" s="122" t="str">
        <x:v>CHG31-002</x:v>
      </x:c>
      <x:c r="B6" s="123" t="str">
        <x:v>2026-07-01</x:v>
      </x:c>
      <x:c r="C6" s="123" t="str">
        <x:v>Fix</x:v>
      </x:c>
      <x:c r="D6" s="123" t="str">
        <x:v>Formulas</x:v>
      </x:c>
      <x:c r="E6" s="123" t="str">
        <x:v>Expanded dashboard ranges to include appended H6, Release and evidence rows.</x:v>
      </x:c>
      <x:c r="F6" s="123" t="str">
        <x:v>New controls otherwise would not affect KPIs or blocker counts.</x:v>
      </x:c>
      <x:c r="G6" s="123" t="str">
        <x:v>Regeneration scope</x:v>
      </x:c>
      <x:c r="H6" s="123" t="str">
        <x:v>01</x:v>
      </x:c>
      <x:c r="I6" s="123" t="str">
        <x:v>Formula inspection</x:v>
      </x:c>
      <x:c r="J6" s="123" t="str">
        <x:v>PASS</x:v>
      </x:c>
      <x:c r="K6" s="123" t="str">
        <x:v>Recalculate in target spreadsheet app</x:v>
      </x:c>
      <x:c r="L6" s="124" t="str">
        <x:v>Counts remain pending by design.</x:v>
      </x:c>
    </x:row>
    <x:row r="7">
      <x:c r="A7" s="122" t="str">
        <x:v>CHG31-003</x:v>
      </x:c>
      <x:c r="B7" s="123" t="str">
        <x:v>2026-07-01</x:v>
      </x:c>
      <x:c r="C7" s="123" t="str">
        <x:v>Documentation</x:v>
      </x:c>
      <x:c r="D7" s="123" t="str">
        <x:v>H6</x:v>
      </x:c>
      <x:c r="E7" s="123" t="str">
        <x:v>Updated documentation controls and added validation controls H6-DOC-015…028.</x:v>
      </x:c>
      <x:c r="F7" s="123" t="str">
        <x:v>Validate content, audit, package, restore and Git identity.</x:v>
      </x:c>
      <x:c r="G7" s="123" t="str">
        <x:v>Documents 12–16 / 31–34</x:v>
      </x:c>
      <x:c r="H7" s="123" t="str">
        <x:v>02</x:v>
      </x:c>
      <x:c r="I7" s="123" t="str">
        <x:v>Row and formula scan</x:v>
      </x:c>
      <x:c r="J7" s="123" t="str">
        <x:v>PASS</x:v>
      </x:c>
      <x:c r="K7" s="123" t="str">
        <x:v>Execute only with evidence</x:v>
      </x:c>
      <x:c r="L7" s="124" t="str">
        <x:v>Statuses remain NOT RUN.</x:v>
      </x:c>
    </x:row>
    <x:row r="8">
      <x:c r="A8" s="122" t="str">
        <x:v>CHG31-004</x:v>
      </x:c>
      <x:c r="B8" s="123" t="str">
        <x:v>2026-07-01</x:v>
      </x:c>
      <x:c r="C8" s="123" t="str">
        <x:v>Documentation</x:v>
      </x:c>
      <x:c r="D8" s="123" t="str">
        <x:v>Release</x:v>
      </x:c>
      <x:c r="E8" s="123" t="str">
        <x:v>Removed future references and added REL-DOC-013…026.</x:v>
      </x:c>
      <x:c r="F8" s="123" t="str">
        <x:v>Complete final baseline and handoff readiness coverage.</x:v>
      </x:c>
      <x:c r="G8" s="123" t="str">
        <x:v>Documents 24–34</x:v>
      </x:c>
      <x:c r="H8" s="123" t="str">
        <x:v>03</x:v>
      </x:c>
      <x:c r="I8" s="123" t="str">
        <x:v>Row and reference scan</x:v>
      </x:c>
      <x:c r="J8" s="123" t="str">
        <x:v>PASS</x:v>
      </x:c>
      <x:c r="K8" s="123" t="str">
        <x:v>Execute during closure</x:v>
      </x:c>
      <x:c r="L8" s="124" t="str">
        <x:v>Release remains blocked.</x:v>
      </x:c>
    </x:row>
    <x:row r="9">
      <x:c r="A9" s="122" t="str">
        <x:v>CHG31-005</x:v>
      </x:c>
      <x:c r="B9" s="123" t="str">
        <x:v>2026-07-01</x:v>
      </x:c>
      <x:c r="C9" s="123" t="str">
        <x:v>Documentation</x:v>
      </x:c>
      <x:c r="D9" s="123" t="str">
        <x:v>Evidence</x:v>
      </x:c>
      <x:c r="E9" s="123" t="str">
        <x:v>Added EVD-DOC-001…008.</x:v>
      </x:c>
      <x:c r="F9" s="123" t="str">
        <x:v>Provide stable evidence package identifiers.</x:v>
      </x:c>
      <x:c r="G9" s="123" t="str">
        <x:v>Audit/package requirements</x:v>
      </x:c>
      <x:c r="H9" s="123" t="str">
        <x:v>05</x:v>
      </x:c>
      <x:c r="I9" s="123" t="str">
        <x:v>Register scan</x:v>
      </x:c>
      <x:c r="J9" s="123" t="str">
        <x:v>PASS</x:v>
      </x:c>
      <x:c r="K9" s="123" t="str">
        <x:v>Produce artifacts later</x:v>
      </x:c>
      <x:c r="L9" s="124" t="str">
        <x:v>All evidence status MISSING.</x:v>
      </x:c>
    </x:row>
    <x:row r="10">
      <x:c r="A10" s="122" t="str">
        <x:v>CHG31-006</x:v>
      </x:c>
      <x:c r="B10" s="123" t="str">
        <x:v>2026-07-01</x:v>
      </x:c>
      <x:c r="C10" s="123" t="str">
        <x:v>Process</x:v>
      </x:c>
      <x:c r="D10" s="123" t="str">
        <x:v>Gates</x:v>
      </x:c>
      <x:c r="E10" s="123" t="str">
        <x:v>Updated G-BASE and added candidate-audit and restore gates.</x:v>
      </x:c>
      <x:c r="F10" s="123" t="str">
        <x:v>Separate candidate review, freeze and operational restoration.</x:v>
      </x:c>
      <x:c r="G10" s="123" t="str">
        <x:v>Baseline closure sequence</x:v>
      </x:c>
      <x:c r="H10" s="123" t="str">
        <x:v>04</x:v>
      </x:c>
      <x:c r="I10" s="123" t="str">
        <x:v>Gate matrix review</x:v>
      </x:c>
      <x:c r="J10" s="123" t="str">
        <x:v>PASS</x:v>
      </x:c>
      <x:c r="K10" s="123" t="str">
        <x:v>Obtain signoffs after evidence</x:v>
      </x:c>
      <x:c r="L10" s="124" t="str">
        <x:v>Manual decisions required.</x:v>
      </x:c>
    </x:row>
    <x:row r="11">
      <x:c r="A11" s="122" t="str">
        <x:v>CHG31-007</x:v>
      </x:c>
      <x:c r="B11" s="123" t="str">
        <x:v>2026-07-01</x:v>
      </x:c>
      <x:c r="C11" s="123" t="str">
        <x:v>Process</x:v>
      </x:c>
      <x:c r="D11" s="123" t="str">
        <x:v>Integrity</x:v>
      </x:c>
      <x:c r="E11" s="123" t="str">
        <x:v>Added documentation candidate/final package identities and eight validation tests.</x:v>
      </x:c>
      <x:c r="F11" s="123" t="str">
        <x:v>Treat documentation package as immutable artefact.</x:v>
      </x:c>
      <x:c r="G11" s="123" t="str">
        <x:v>Package closure requirements</x:v>
      </x:c>
      <x:c r="H11" s="123" t="str">
        <x:v>07, 08</x:v>
      </x:c>
      <x:c r="I11" s="123" t="str">
        <x:v>Registry/test scan</x:v>
      </x:c>
      <x:c r="J11" s="123" t="str">
        <x:v>PASS</x:v>
      </x:c>
      <x:c r="K11" s="123" t="str">
        <x:v>Generate and execute later</x:v>
      </x:c>
      <x:c r="L11" s="124" t="str">
        <x:v>No hashes fabricated.</x:v>
      </x:c>
    </x:row>
    <x:row r="12">
      <x:c r="A12" s="122" t="str">
        <x:v>CHG31-008</x:v>
      </x:c>
      <x:c r="B12" s="123" t="str">
        <x:v>2026-07-01</x:v>
      </x:c>
      <x:c r="C12" s="123" t="str">
        <x:v>Documentation</x:v>
      </x:c>
      <x:c r="D12" s="123" t="str">
        <x:v>Risk</x:v>
      </x:c>
      <x:c r="E12" s="123" t="str">
        <x:v>Synchronized 33 relationship and added packaging/audit/handoff risks.</x:v>
      </x:c>
      <x:c r="F12" s="123" t="str">
        <x:v>Expose final closure failure modes.</x:v>
      </x:c>
      <x:c r="G12" s="123" t="str">
        <x:v>33 and audit requirements</x:v>
      </x:c>
      <x:c r="H12" s="123" t="str">
        <x:v>10</x:v>
      </x:c>
      <x:c r="I12" s="123" t="str">
        <x:v>Risk review</x:v>
      </x:c>
      <x:c r="J12" s="123" t="str">
        <x:v>PASS</x:v>
      </x:c>
      <x:c r="K12" s="123" t="str">
        <x:v>Propagate into 33</x:v>
      </x:c>
      <x:c r="L12" s="124" t="str">
        <x:v>All new risks OPEN.</x:v>
      </x:c>
    </x:row>
    <x:row r="13">
      <x:c r="A13" s="122" t="str">
        <x:v>CHG31-009</x:v>
      </x:c>
      <x:c r="B13" s="123" t="str">
        <x:v>2026-07-01</x:v>
      </x:c>
      <x:c r="C13" s="123" t="str">
        <x:v>Documentation</x:v>
      </x:c>
      <x:c r="D13" s="123" t="str">
        <x:v>Traceability</x:v>
      </x:c>
      <x:c r="E13" s="123" t="str">
        <x:v>Updated hashes for regenerated 12–15/21/23 and appended 31–34.</x:v>
      </x:c>
      <x:c r="F13" s="123" t="str">
        <x:v>Current source register was stale and ended at 30.</x:v>
      </x:c>
      <x:c r="G13" s="123" t="str">
        <x:v>Actual files and external SHA-256</x:v>
      </x:c>
      <x:c r="H13" s="123" t="str">
        <x:v>09</x:v>
      </x:c>
      <x:c r="I13" s="123" t="str">
        <x:v>Hash comparison</x:v>
      </x:c>
      <x:c r="J13" s="123" t="str">
        <x:v>PASS</x:v>
      </x:c>
      <x:c r="K13" s="123" t="str">
        <x:v>Register final 31 hash externally</x:v>
      </x:c>
      <x:c r="L13" s="124" t="str">
        <x:v>31 self-hash intentionally external.</x:v>
      </x:c>
    </x:row>
    <x:row r="14">
      <x:c r="A14" s="122" t="str">
        <x:v>CHG31-010</x:v>
      </x:c>
      <x:c r="B14" s="123" t="str">
        <x:v>2026-07-01</x:v>
      </x:c>
      <x:c r="C14" s="123" t="str">
        <x:v>Process</x:v>
      </x:c>
      <x:c r="D14" s="123" t="str">
        <x:v>Audit findings</x:v>
      </x:c>
      <x:c r="E14" s="123" t="str">
        <x:v>Recorded mitigations for selected findings without closing them.</x:v>
      </x:c>
      <x:c r="F14" s="123" t="str">
        <x:v>Regeneration is not equivalent to independent verification.</x:v>
      </x:c>
      <x:c r="G14" s="123" t="str">
        <x:v>16 RC1 findings</x:v>
      </x:c>
      <x:c r="H14" s="123" t="str">
        <x:v>06</x:v>
      </x:c>
      <x:c r="I14" s="123" t="str">
        <x:v>Status review</x:v>
      </x:c>
      <x:c r="J14" s="123" t="str">
        <x:v>PASS</x:v>
      </x:c>
      <x:c r="K14" s="123" t="str">
        <x:v>Verify in 16 candidate</x:v>
      </x:c>
      <x:c r="L14" s="124" t="str">
        <x:v>Findings remain OPEN.</x:v>
      </x:c>
    </x:row>
    <x:row r="15">
      <x:c r="A15" s="122" t="str">
        <x:v>CHG31-011</x:v>
      </x:c>
      <x:c r="B15" s="123" t="str">
        <x:v>2026-07-01</x:v>
      </x:c>
      <x:c r="C15" s="123" t="str">
        <x:v>Documentation</x:v>
      </x:c>
      <x:c r="D15" s="123" t="str">
        <x:v>Navigation</x:v>
      </x:c>
      <x:c r="E15" s="123" t="str">
        <x:v>Added integration and change-control sheets.</x:v>
      </x:c>
      <x:c r="F15" s="123" t="str">
        <x:v>Make regeneration reviewable and handoff-ready.</x:v>
      </x:c>
      <x:c r="G15" s="123" t="str">
        <x:v>Post-RC1 process</x:v>
      </x:c>
      <x:c r="H15" s="123" t="str">
        <x:v>12, 13</x:v>
      </x:c>
      <x:c r="I15" s="123" t="str">
        <x:v>Sheet inspection</x:v>
      </x:c>
      <x:c r="J15" s="123" t="str">
        <x:v>PASS</x:v>
      </x:c>
      <x:c r="K15" s="123" t="str">
        <x:v>Use in next regeneration step</x:v>
      </x:c>
      <x:c r="L15" s="124" t="str">
        <x:v>New sheets are non-execution records.</x:v>
      </x:c>
    </x:row>
    <x:row r="16">
      <x:c r="A16" s="125" t="str">
        <x:v>CHG31-012</x:v>
      </x:c>
      <x:c r="B16" s="126" t="str">
        <x:v>2026-07-01</x:v>
      </x:c>
      <x:c r="C16" s="126" t="str">
        <x:v>Fix</x:v>
      </x:c>
      <x:c r="D16" s="126" t="str">
        <x:v>False PASS prevention</x:v>
      </x:c>
      <x:c r="E16" s="126" t="str">
        <x:v>Explicitly retained NOT RUN/MISSING/OPEN initial states and external hash rules.</x:v>
      </x:c>
      <x:c r="F16" s="126" t="str">
        <x:v>Avoid declaring H6, Release or baseline complete from document presence.</x:v>
      </x:c>
      <x:c r="G16" s="126" t="str">
        <x:v>Trust and integrity requirements</x:v>
      </x:c>
      <x:c r="H16" s="126" t="str">
        <x:v>All operational sheets</x:v>
      </x:c>
      <x:c r="I16" s="126" t="str">
        <x:v>Status/formula scan</x:v>
      </x:c>
      <x:c r="J16" s="126" t="str">
        <x:v>PASS</x:v>
      </x:c>
      <x:c r="K16" s="126" t="str">
        <x:v>Execute with real evidence only</x:v>
      </x:c>
      <x:c r="L16" s="127" t="str">
        <x:v>Critical invariant.</x:v>
      </x:c>
    </x:row>
    <x:row r="17">
      <x:c r="A17" t="str">
        <x:v>CHG31-S16-001</x:v>
      </x:c>
      <x:c r="B17" t="str">
        <x:v>2026-07-06</x:v>
      </x:c>
      <x:c r="C17" t="str">
        <x:v>Gate Signoff</x:v>
      </x:c>
      <x:c r="D17" t="str">
        <x:v>Sprint 16</x:v>
      </x:c>
      <x:c r="E17" t="str">
        <x:v>Marked G-S16 PASS and registered build/evidence references for Sprint 16 closure.</x:v>
      </x:c>
      <x:c r="F17" t="str">
        <x:v>All Sprint16_Phase1–4 validations completed without failures.</x:v>
      </x:c>
      <x:c r="G17" t="str">
        <x:v>Owner validation + updated 06/07/12/13/14/15/17/18/34</x:v>
      </x:c>
      <x:c r="H17" t="str">
        <x:v>01, 04, 05, 07, 13</x:v>
      </x:c>
      <x:c r="I17" t="str">
        <x:v>Cross-sheet review; H6 rows remain NOT RUN</x:v>
      </x:c>
      <x:c r="J17" t="str">
        <x:v>PASS</x:v>
      </x:c>
      <x:c r="K17" t="str">
        <x:v>Open Sprint 17 formally; do not declare H6</x:v>
      </x:c>
      <x:c r="L17" t="str">
        <x:v>Evidence packages are COMPLETE / S16 ONLY, not H6 VERIFIED.</x:v>
      </x:c>
    </x:row>
    <x:row r="18">
      <x:c r="A18" t="str">
        <x:v>CHG31-W0-001</x:v>
      </x:c>
      <x:c r="B18" t="str">
        <x:v>2026-07-07</x:v>
      </x:c>
      <x:c r="C18" t="str">
        <x:v>Documentation</x:v>
      </x:c>
      <x:c r="D18" t="str">
        <x:v>Sprint17_Phase1</x:v>
      </x:c>
      <x:c r="E18" t="str">
        <x:v>Added W0 characterization gates and blocked S17 until W1-W8 evidence.</x:v>
      </x:c>
      <x:c r="F18" t="str">
        <x:v>Prevent false readiness after decision closure.</x:v>
      </x:c>
      <x:c r="G18" t="str">
        <x:v>ADR-0074…0085 / 08 / 12 / 13</x:v>
      </x:c>
      <x:c r="H18" t="str">
        <x:v>01,02,04,13,14_W0</x:v>
      </x:c>
      <x:c r="I18" t="str">
        <x:v>Cross-sheet status review</x:v>
      </x:c>
      <x:c r="J18" t="str">
        <x:v>PASS DOCUMENTAL</x:v>
      </x:c>
      <x:c r="K18" t="str">
        <x:v>Execute CHAR-TIM</x:v>
      </x:c>
      <x:c r="L18" t="str">
        <x:v>H6 remains NOT RUN.</x:v>
      </x:c>
    </x:row>
  </x:sheetData>
  <x:mergeCells>
    <x:mergeCell ref="A1:L1"/>
    <x:mergeCell ref="A2:L2"/>
  </x:mergeCells>
  <x:conditionalFormatting sqref="J5:J16">
    <x:cfRule type="expression" dxfId="29" priority="1">
      <x:formula>J5="PASS"</x:formula>
    </x:cfRule>
    <x:cfRule type="expression" dxfId="30" priority="2">
      <x:formula>J5="FAIL"</x:formula>
    </x:cfRule>
  </x:conditionalFormatting>
  <x:dataValidations count="1">
    <x:dataValidation type="list" sqref="J5:J16">
      <x:formula1>"PASS,PASS WITH NOTES,FAIL"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8" hidden="0" customWidth="1"/>
    <x:col min="4" max="4" width="26" hidden="0" customWidth="1"/>
    <x:col min="5" max="5" width="62" hidden="0" customWidth="1"/>
    <x:col min="6" max="6" width="22" hidden="0" customWidth="1"/>
    <x:col min="7" max="7" width="12" hidden="0" customWidth="1"/>
    <x:col min="8" max="8" width="3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18" hidden="0" customHeight="1">
      <x:c r="A1" s="131" t="str">
        <x:v>Sprint17_Phase1 - cierre documental W0</x:v>
      </x:c>
      <x:c r="B1" s="131"/>
      <x:c r="C1" s="131"/>
      <x:c r="D1" s="131"/>
      <x:c r="E1" s="131"/>
      <x:c r="F1" s="131"/>
      <x:c r="G1" s="131"/>
      <x:c r="H1" s="131"/>
      <x:c r="I1" s="131"/>
      <x:c r="J1" s="131"/>
      <x:c r="K1" s="131"/>
    </x:row>
    <x:row r="2"/>
    <x:row r="3" ht="15" hidden="0" customHeight="1">
      <x:c r="A3" s="133" t="str">
        <x:v>Campo</x:v>
      </x:c>
      <x:c r="B3" s="133" t="str">
        <x:v>Valor</x:v>
      </x:c>
    </x:row>
    <x:row r="4" ht="15" hidden="0" customHeight="1">
      <x:c r="A4" s="134" t="str">
        <x:v>Fecha</x:v>
      </x:c>
      <x:c r="B4" s="135" t="n">
        <x:v>46210</x:v>
      </x:c>
    </x:row>
    <x:row r="5" ht="15" hidden="0" customHeight="1">
      <x:c r="A5" s="134" t="str">
        <x:v>Baseline</x:v>
      </x:c>
      <x:c r="B5" t="str">
        <x:v>main@efbc1a885a1d6819f764ec8cff8a465ad1986661</x:v>
      </x:c>
    </x:row>
    <x:row r="6" ht="15" hidden="0" customHeight="1">
      <x:c r="A6" s="134" t="str">
        <x:v>Versión aplicación</x:v>
      </x:c>
      <x:c r="B6" t="str">
        <x:v>0.0.21</x:v>
      </x:c>
    </x:row>
    <x:row r="7" ht="15" hidden="0" customHeight="1">
      <x:c r="A7" s="134" t="str">
        <x:v>W0</x:v>
      </x:c>
      <x:c r="B7" t="str">
        <x:v>COMPLETED / DOCUMENTAL PASS</x:v>
      </x:c>
    </x:row>
    <x:row r="8" ht="15" hidden="0" customHeight="1">
      <x:c r="A8" s="134" t="str">
        <x:v>Sprint17_Phase1</x:v>
      </x:c>
      <x:c r="B8" t="str">
        <x:v>BLOCKED / REMEDIATION REQUIRED</x:v>
      </x:c>
    </x:row>
    <x:row r="9" ht="15" hidden="0" customHeight="1">
      <x:c r="A9" s="134" t="str">
        <x:v>H6</x:v>
      </x:c>
      <x:c r="B9" t="str">
        <x:v>BLOCKED / NOT RUN</x:v>
      </x:c>
    </x:row>
    <x:row r="10" ht="15" hidden="0" customHeight="1">
      <x:c r="A10" s="134" t="str">
        <x:v>Vertical Slice</x:v>
      </x:c>
      <x:c r="B10" t="str">
        <x:v>NOT ACCEPTED</x:v>
      </x:c>
    </x:row>
    <x:row r="11"/>
    <x:row r="12" ht="15" hidden="0" customHeight="1">
      <x:c r="A12" s="136" t="str">
        <x:v>ADR</x:v>
      </x:c>
      <x:c r="B12" s="136" t="str">
        <x:v>DEC</x:v>
      </x:c>
      <x:c r="C12" s="136" t="str">
        <x:v>Título</x:v>
      </x:c>
      <x:c r="D12" s="136" t="str">
        <x:v>Área</x:v>
      </x:c>
      <x:c r="E12" s="136" t="str">
        <x:v>Decisión</x:v>
      </x:c>
      <x:c r="F12" s="136" t="str">
        <x:v>Caracterización</x:v>
      </x:c>
      <x:c r="G12" s="136" t="str">
        <x:v>Ola</x:v>
      </x:c>
    </x:row>
    <x:row r="13" ht="26.399999618530273" hidden="0" customHeight="1">
      <x:c r="A13" s="96" t="str">
        <x:v>ADR-0074</x:v>
      </x:c>
      <x:c r="B13" s="96" t="str">
        <x:v>DEC-01</x:v>
      </x:c>
      <x:c r="C13" s="96" t="str">
        <x:v>Día H6 y velocidades</x:v>
      </x:c>
      <x:c r="D13" s="96" t="str">
        <x:v>Tiempo / UX</x:v>
      </x:c>
      <x:c r="E13" s="96" t="str">
        <x:v>Día H6 configurable de 300 s; velocidades x0,5, x1, x2 y x4; PauseService independiente.</x:v>
      </x:c>
      <x:c r="F13" s="96" t="str">
        <x:v>CHAR-TIM</x:v>
      </x:c>
      <x:c r="G13" s="96" t="str">
        <x:v>W1</x:v>
      </x:c>
    </x:row>
    <x:row r="14" ht="26.399999618530273" hidden="0" customHeight="1">
      <x:c r="A14" s="96" t="str">
        <x:v>ADR-0075</x:v>
      </x:c>
      <x:c r="B14" s="96" t="str">
        <x:v>DEC-02</x:v>
      </x:c>
      <x:c r="C14" s="96" t="str">
        <x:v>Autoridad temporal única</x:v>
      </x:c>
      <x:c r="D14" s="96" t="str">
        <x:v>Arquitectura / Tiempo</x:v>
      </x:c>
      <x:c r="E14" s="96" t="str">
        <x:v>SimulationClock / StoreDay es la única autoridad de tiempo de negocio; PauseService separado.</x:v>
      </x:c>
      <x:c r="F14" s="96" t="str">
        <x:v>CHAR-TIM</x:v>
      </x:c>
      <x:c r="G14" s="96" t="str">
        <x:v>W1</x:v>
      </x:c>
    </x:row>
    <x:row r="15" ht="26.399999618530273" hidden="0" customHeight="1">
      <x:c r="A15" s="96" t="str">
        <x:v>ADR-0076</x:v>
      </x:c>
      <x:c r="B15" s="96" t="str">
        <x:v>DEC-03</x:v>
      </x:c>
      <x:c r="C15" s="96" t="str">
        <x:v>Guardado manual seguro</x:v>
      </x:c>
      <x:c r="D15" s="96" t="str">
        <x:v>Persistencia / UX</x:v>
      </x:c>
      <x:c r="E15" s="96" t="str">
        <x:v>Guardado desde pausa solo en BeforeOpen, Closed o Results y sin mutaciones pendientes; mid-day exacto Post-H6.</x:v>
      </x:c>
      <x:c r="F15" s="96" t="str">
        <x:v>CHAR-SAV</x:v>
      </x:c>
      <x:c r="G15" s="96" t="str">
        <x:v>W5</x:v>
      </x:c>
    </x:row>
    <x:row r="16" ht="26.399999618530273" hidden="0" customHeight="1">
      <x:c r="A16" s="96" t="str">
        <x:v>ADR-0077</x:v>
      </x:c>
      <x:c r="B16" s="96" t="str">
        <x:v>DEC-04</x:v>
      </x:c>
      <x:c r="C16" s="96" t="str">
        <x:v>Checkout requerido para abrir</x:v>
      </x:c>
      <x:c r="D16" s="96" t="str">
        <x:v>Checkout / Día</x:v>
      </x:c>
      <x:c r="E16" s="96" t="str">
        <x:v>Checkout funcional obligatorio; no retirar el último durante Open; invalidación bloquea spawn y fuerza recuperación/cierre.</x:v>
      </x:c>
      <x:c r="F16" s="96" t="str">
        <x:v>CHAR-CUS</x:v>
      </x:c>
      <x:c r="G16" s="96" t="str">
        <x:v>W2</x:v>
      </x:c>
    </x:row>
    <x:row r="17" ht="26.399999618530273" hidden="0" customHeight="1">
      <x:c r="A17" s="96" t="str">
        <x:v>ADR-0078</x:v>
      </x:c>
      <x:c r="B17" s="96" t="str">
        <x:v>DEC-05</x:v>
      </x:c>
      <x:c r="C17" s="96" t="str">
        <x:v>Máximo de clientes H6</x:v>
      </x:c>
      <x:c r="D17" s="96" t="str">
        <x:v>Clientes / Rendimiento</x:v>
      </x:c>
      <x:c r="E17" s="96" t="str">
        <x:v>Máximo configurable de 8 clientes activos; activo significa estado distinto de Despawned.</x:v>
      </x:c>
      <x:c r="F17" s="96" t="str">
        <x:v>CHAR-CUS</x:v>
      </x:c>
      <x:c r="G17" s="96" t="str">
        <x:v>W2</x:v>
      </x:c>
    </x:row>
    <x:row r="18" ht="26.399999618530273" hidden="0" customHeight="1">
      <x:c r="A18" s="96" t="str">
        <x:v>ADR-0079</x:v>
      </x:c>
      <x:c r="B18" s="96" t="str">
        <x:v>DEC-06</x:v>
      </x:c>
      <x:c r="C18" s="96" t="str">
        <x:v>Reserva y coste de recepción</x:v>
      </x:c>
      <x:c r="D18" s="96" t="str">
        <x:v>Pedidos / Economía</x:v>
      </x:c>
      <x:c r="E18" s="96" t="str">
        <x:v>Solicitud reserva fondos; recepción descuenta caja, registra SupplierReceivingCost y añade stock exactamente una vez.</x:v>
      </x:c>
      <x:c r="F18" s="96" t="str">
        <x:v>CHAR-ODR</x:v>
      </x:c>
      <x:c r="G18" s="96" t="str">
        <x:v>W3</x:v>
      </x:c>
    </x:row>
    <x:row r="19" ht="26.399999618530273" hidden="0" customHeight="1">
      <x:c r="A19" s="96" t="str">
        <x:v>ADR-0080</x:v>
      </x:c>
      <x:c r="B19" s="96" t="str">
        <x:v>DEC-07</x:v>
      </x:c>
      <x:c r="C19" s="96" t="str">
        <x:v>Process All atómico</x:v>
      </x:c>
      <x:c r="D19" s="96" t="str">
        <x:v>Pedidos / Economía</x:v>
      </x:c>
      <x:c r="E19" s="96" t="str">
        <x:v>Process All es todo-o-nada, reserva el total, crea un DeliveryRun y mantiene órdenes independientes.</x:v>
      </x:c>
      <x:c r="F19" s="96" t="str">
        <x:v>CHAR-ODR</x:v>
      </x:c>
      <x:c r="G19" s="96" t="str">
        <x:v>W3</x:v>
      </x:c>
    </x:row>
    <x:row r="20" ht="26.399999618530273" hidden="0" customHeight="1">
      <x:c r="A20" s="96" t="str">
        <x:v>ADR-0081</x:v>
      </x:c>
      <x:c r="B20" s="96" t="str">
        <x:v>DEC-08</x:v>
      </x:c>
      <x:c r="C20" s="96" t="str">
        <x:v>Displays monoproducto H6</x:v>
      </x:c>
      <x:c r="D20" s="96" t="str">
        <x:v>Displays / Inventario</x:v>
      </x:c>
      <x:c r="E20" s="96" t="str">
        <x:v>Displays monoproducto hasta H6; cantidades, retirada, retorno y clear-empty obligatorios; multiproducto Post-H6.</x:v>
      </x:c>
      <x:c r="F20" s="96" t="str">
        <x:v>CHAR-DSP</x:v>
      </x:c>
      <x:c r="G20" s="96" t="str">
        <x:v>W4</x:v>
      </x:c>
    </x:row>
    <x:row r="21" ht="26.399999618530273" hidden="0" customHeight="1">
      <x:c r="A21" s="96" t="str">
        <x:v>ADR-0082</x:v>
      </x:c>
      <x:c r="B21" s="96" t="str">
        <x:v>DEC-09</x:v>
      </x:c>
      <x:c r="C21" s="96" t="str">
        <x:v>Histórico de Management</x:v>
      </x:c>
      <x:c r="D21" s="96" t="str">
        <x:v>Management / Datos</x:v>
      </x:c>
      <x:c r="E21" s="96" t="str">
        <x:v>Día actual + dos completados con detalle; DailySummary individual para días anteriores y acumulados lifetime.</x:v>
      </x:c>
      <x:c r="F21" s="96" t="str">
        <x:v>CHAR-MGT</x:v>
      </x:c>
      <x:c r="G21" s="96" t="str">
        <x:v>W6</x:v>
      </x:c>
    </x:row>
    <x:row r="22" ht="26.399999618530273" hidden="0" customHeight="1">
      <x:c r="A22" s="96" t="str">
        <x:v>ADR-0083</x:v>
      </x:c>
      <x:c r="B22" s="96" t="str">
        <x:v>DEC-10</x:v>
      </x:c>
      <x:c r="C22" s="96" t="str">
        <x:v>Impuesto semanal H6</x:v>
      </x:c>
      <x:c r="D22" s="96" t="str">
        <x:v>Economía / Ledger</x:v>
      </x:c>
      <x:c r="E22" s="96" t="str">
        <x:v>Al cierre del día 7: 10 % de max(0, resultado bruto técnico semanal), exactamente una vez; costes fijos Post-H6.</x:v>
      </x:c>
      <x:c r="F22" s="96" t="str">
        <x:v>CHAR-ODR</x:v>
      </x:c>
      <x:c r="G22" s="96" t="str">
        <x:v>W3</x:v>
      </x:c>
    </x:row>
    <x:row r="23" ht="26.399999618530273" hidden="0" customHeight="1">
      <x:c r="A23" s="96" t="str">
        <x:v>ADR-0084</x:v>
      </x:c>
      <x:c r="B23" s="96" t="str">
        <x:v>DEC-11</x:v>
      </x:c>
      <x:c r="C23" s="96" t="str">
        <x:v>Wall occlusion desactivada</x:v>
      </x:c>
      <x:c r="D23" s="96" t="str">
        <x:v>Cámara / Settings</x:v>
      </x:c>
      <x:c r="E23" s="96" t="str">
        <x:v>Feature flag prioritaria false; toggle oculto; valores antiguos migrados o ignorados; regresión de cámara.</x:v>
      </x:c>
      <x:c r="F23" s="96" t="str">
        <x:v>CHAR-ART</x:v>
      </x:c>
      <x:c r="G23" s="96" t="str">
        <x:v>W7</x:v>
      </x:c>
    </x:row>
    <x:row r="24" ht="26.399999618530273" hidden="0" customHeight="1">
      <x:c r="A24" s="96" t="str">
        <x:v>ADR-0085</x:v>
      </x:c>
      <x:c r="B24" s="96" t="str">
        <x:v>DEC-12</x:v>
      </x:c>
      <x:c r="C24" s="96" t="str">
        <x:v>Pivotes y GroundAnchor</x:v>
      </x:c>
      <x:c r="D24" s="96" t="str">
        <x:v>Arte / Placement</x:v>
      </x:c>
      <x:c r="E24" s="96" t="str">
        <x:v>Contrato base-centro con wrapper o GroundAnchor y migración/compensación única; preservar escenas y saves.</x:v>
      </x:c>
      <x:c r="F24" s="96" t="str">
        <x:v>CHAR-ART</x:v>
      </x:c>
      <x:c r="G24" s="96" t="str">
        <x:v>W7</x:v>
      </x:c>
    </x:row>
    <x:row r="25"/>
    <x:row r="26"/>
    <x:row r="27" ht="15" hidden="0" customHeight="1">
      <x:c r="A27" s="136" t="str">
        <x:v>Grupo</x:v>
      </x:c>
      <x:c r="B27" s="136" t="str">
        <x:v>IDs</x:v>
      </x:c>
      <x:c r="C27" s="136" t="str">
        <x:v>Ola</x:v>
      </x:c>
      <x:c r="D27" s="136" t="str">
        <x:v>Cobertura</x:v>
      </x:c>
      <x:c r="E27" s="136" t="str">
        <x:v>Estado</x:v>
      </x:c>
      <x:c r="F27" s="136" t="str">
        <x:v>Ejecución</x:v>
      </x:c>
      <x:c r="G27" s="136" t="str">
        <x:v>Bloquea H6</x:v>
      </x:c>
      <x:c r="H27" s="136" t="str">
        <x:v>Nota</x:v>
      </x:c>
    </x:row>
    <x:row r="28" ht="26.399999618530273" hidden="0" customHeight="1">
      <x:c r="A28" s="96" t="str">
        <x:v>Tiempo y pausa</x:v>
      </x:c>
      <x:c r="B28" s="96" t="str">
        <x:v>CHAR-TIM-001…008</x:v>
      </x:c>
      <x:c r="C28" s="96" t="str">
        <x:v>W1</x:v>
      </x:c>
      <x:c r="D28" s="96" t="str">
        <x:v>clock, velocidades, pausa, HUD, transiciones, persistencia</x:v>
      </x:c>
      <x:c r="E28" s="96" t="str">
        <x:v>DEFINED</x:v>
      </x:c>
      <x:c r="F28" s="96" t="str">
        <x:v>NOT RUN</x:v>
      </x:c>
      <x:c r="G28" s="96" t="str">
        <x:v>Sí</x:v>
      </x:c>
      <x:c r="H28" s="96" t="str">
        <x:v>Ejecutar antes de W1</x:v>
      </x:c>
    </x:row>
    <x:row r="29" ht="26.399999618530273" hidden="0" customHeight="1">
      <x:c r="A29" s="96" t="str">
        <x:v>Clientes y checkout</x:v>
      </x:c>
      <x:c r="B29" s="96" t="str">
        <x:v>CHAR-CUS-001…009</x:v>
      </x:c>
      <x:c r="C29" s="96" t="str">
        <x:v>W2</x:v>
      </x:c>
      <x:c r="D29" s="96" t="str">
        <x:v>checkout, ocho activos, cierre, recuperación</x:v>
      </x:c>
      <x:c r="E29" s="96" t="str">
        <x:v>DEFINED</x:v>
      </x:c>
      <x:c r="F29" s="96" t="str">
        <x:v>NOT RUN</x:v>
      </x:c>
      <x:c r="G29" s="96" t="str">
        <x:v>Sí</x:v>
      </x:c>
      <x:c r="H29" s="96" t="str">
        <x:v>Ejecutar antes de W2</x:v>
      </x:c>
    </x:row>
    <x:row r="30" ht="26.399999618530273" hidden="0" customHeight="1">
      <x:c r="A30" s="96" t="str">
        <x:v>Pedidos y economía</x:v>
      </x:c>
      <x:c r="B30" s="96" t="str">
        <x:v>CHAR-ODR-001…010</x:v>
      </x:c>
      <x:c r="C30" s="96" t="str">
        <x:v>W3</x:v>
      </x:c>
      <x:c r="D30" s="96" t="str">
        <x:v>reservas, receipt, Process All, impuesto</x:v>
      </x:c>
      <x:c r="E30" s="96" t="str">
        <x:v>DEFINED</x:v>
      </x:c>
      <x:c r="F30" s="96" t="str">
        <x:v>NOT RUN</x:v>
      </x:c>
      <x:c r="G30" s="96" t="str">
        <x:v>Sí</x:v>
      </x:c>
      <x:c r="H30" s="96" t="str">
        <x:v>Ejecutar antes de W3</x:v>
      </x:c>
    </x:row>
    <x:row r="31" ht="26.399999618530273" hidden="0" customHeight="1">
      <x:c r="A31" s="96" t="str">
        <x:v>Displays</x:v>
      </x:c>
      <x:c r="B31" s="96" t="str">
        <x:v>CHAR-DSP-001…006</x:v>
      </x:c>
      <x:c r="C31" s="96" t="str">
        <x:v>W4</x:v>
      </x:c>
      <x:c r="D31" s="96" t="str">
        <x:v>monoproducto, cantidad, retorno, clear-empty</x:v>
      </x:c>
      <x:c r="E31" s="96" t="str">
        <x:v>DEFINED</x:v>
      </x:c>
      <x:c r="F31" s="96" t="str">
        <x:v>NOT RUN</x:v>
      </x:c>
      <x:c r="G31" s="96" t="str">
        <x:v>Sí</x:v>
      </x:c>
      <x:c r="H31" s="96" t="str">
        <x:v>Ejecutar antes de W4</x:v>
      </x:c>
    </x:row>
    <x:row r="32" ht="26.399999618530273" hidden="0" customHeight="1">
      <x:c r="A32" s="96" t="str">
        <x:v>Guardado</x:v>
      </x:c>
      <x:c r="B32" s="96" t="str">
        <x:v>CHAR-SAV-001…008</x:v>
      </x:c>
      <x:c r="C32" s="96" t="str">
        <x:v>W5</x:v>
      </x:c>
      <x:c r="D32" s="96" t="str">
        <x:v>estados seguros, mutaciones, recovery, idempotencia</x:v>
      </x:c>
      <x:c r="E32" s="96" t="str">
        <x:v>DEFINED</x:v>
      </x:c>
      <x:c r="F32" s="96" t="str">
        <x:v>NOT RUN</x:v>
      </x:c>
      <x:c r="G32" s="96" t="str">
        <x:v>Sí</x:v>
      </x:c>
      <x:c r="H32" s="96" t="str">
        <x:v>Ejecutar antes de W5</x:v>
      </x:c>
    </x:row>
    <x:row r="33" ht="26.399999618530273" hidden="0" customHeight="1">
      <x:c r="A33" s="96" t="str">
        <x:v>Management</x:v>
      </x:c>
      <x:c r="B33" s="96" t="str">
        <x:v>CHAR-MGT-001…008</x:v>
      </x:c>
      <x:c r="C33" s="96" t="str">
        <x:v>W6</x:v>
      </x:c>
      <x:c r="D33" s="96" t="str">
        <x:v>detalle reciente, summaries, lifetime, ES/EN, resolución</x:v>
      </x:c>
      <x:c r="E33" s="96" t="str">
        <x:v>DEFINED</x:v>
      </x:c>
      <x:c r="F33" s="96" t="str">
        <x:v>NOT RUN</x:v>
      </x:c>
      <x:c r="G33" s="96" t="str">
        <x:v>Sí</x:v>
      </x:c>
      <x:c r="H33" s="96" t="str">
        <x:v>Ejecutar antes de W6</x:v>
      </x:c>
    </x:row>
    <x:row r="34" ht="26.399999618530273" hidden="0" customHeight="1">
      <x:c r="A34" s="96" t="str">
        <x:v>Autoría y settings</x:v>
      </x:c>
      <x:c r="B34" s="96" t="str">
        <x:v>CHAR-ART-001…007</x:v>
      </x:c>
      <x:c r="C34" s="96" t="str">
        <x:v>W7</x:v>
      </x:c>
      <x:c r="D34" s="96" t="str">
        <x:v>occlusion, preferences, pivotes, GroundAnchor, saves</x:v>
      </x:c>
      <x:c r="E34" s="96" t="str">
        <x:v>DEFINED</x:v>
      </x:c>
      <x:c r="F34" s="96" t="str">
        <x:v>NOT RUN</x:v>
      </x:c>
      <x:c r="G34" s="96" t="str">
        <x:v>Sí</x:v>
      </x:c>
      <x:c r="H34" s="96" t="str">
        <x:v>Ejecutar antes de W7</x:v>
      </x:c>
    </x:row>
    <x:row r="35" ht="26.399999618530273" hidden="0" customHeight="1">
      <x:c r="A35" s="96" t="str">
        <x:v>Regresión integral</x:v>
      </x:c>
      <x:c r="B35" s="96" t="str">
        <x:v>CHAR-REG-001…010</x:v>
      </x:c>
      <x:c r="C35" s="96" t="str">
        <x:v>W8</x:v>
      </x:c>
      <x:c r="D35" s="96" t="str">
        <x:v>siete días, build, logs, save/reload, reconciliación</x:v>
      </x:c>
      <x:c r="E35" s="96" t="str">
        <x:v>DEFINED</x:v>
      </x:c>
      <x:c r="F35" s="96" t="str">
        <x:v>NOT RUN</x:v>
      </x:c>
      <x:c r="G35" s="96" t="str">
        <x:v>Sí</x:v>
      </x:c>
      <x:c r="H35" s="96" t="str">
        <x:v>Solo tras W1-W7</x:v>
      </x:c>
    </x:row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</x:sheetData>
  <x:mergeCells>
    <x:mergeCell ref="A1:K1"/>
  </x:mergeCells>
  <x:pageMargins left="0.7" right="0.7" top="0.75" bottom="0.75" header="0.3" footer="0.3"/>
</x:worksheet>
</file>